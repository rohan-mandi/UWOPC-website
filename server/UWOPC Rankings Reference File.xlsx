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updateLinks="always"/>
  <mc:AlternateContent xmlns:mc="http://schemas.openxmlformats.org/markup-compatibility/2006">
    <mc:Choice Requires="x15">
      <x15ac:absPath xmlns:x15ac="http://schemas.microsoft.com/office/spreadsheetml/2010/11/ac" url="https://uwoca-my.sharepoint.com/personal/mmacph52_uwo_ca/Documents/"/>
    </mc:Choice>
  </mc:AlternateContent>
  <xr:revisionPtr revIDLastSave="0" documentId="8_{FEB83541-48E2-4BC4-BF32-4F904082FF55}" xr6:coauthVersionLast="47" xr6:coauthVersionMax="47" xr10:uidLastSave="{00000000-0000-0000-0000-000000000000}"/>
  <bookViews>
    <workbookView xWindow="-120" yWindow="-120" windowWidth="29040" windowHeight="15720" tabRatio="832" firstSheet="2" activeTab="2" xr2:uid="{2AA0E1BE-09D5-423A-B472-1B1B9FC5960F}"/>
  </bookViews>
  <sheets>
    <sheet name="Chips" sheetId="13" state="hidden" r:id="rId1"/>
    <sheet name="Leadership" sheetId="11" r:id="rId2"/>
    <sheet name="Structures" sheetId="3" r:id="rId3"/>
    <sheet name="Weekly Attendance" sheetId="1" r:id="rId4"/>
    <sheet name="Sheet1" sheetId="16" state="hidden" r:id="rId5"/>
    <sheet name="Weekly Rankings" sheetId="2" r:id="rId6"/>
    <sheet name="Invitationals" sheetId="18" state="hidden" r:id="rId7"/>
    <sheet name="Player Summaries (pts)" sheetId="10" r:id="rId8"/>
    <sheet name="Player Summaries (%)" sheetId="14" state="hidden" r:id="rId9"/>
    <sheet name="Club Rankings" sheetId="9" r:id="rId10"/>
    <sheet name="Analytics" sheetId="12" state="hidden" r:id="rId11"/>
    <sheet name="Formatting" sheetId="15" state="hidden" r:id="rId12"/>
    <sheet name="Points" sheetId="5" r:id="rId13"/>
    <sheet name="All-Time Rankings" sheetId="4" state="hidden" r:id="rId14"/>
  </sheets>
  <definedNames>
    <definedName name="_xlnm._FilterDatabase" localSheetId="5" hidden="1">'Weekly Rankings'!$O$7:$Q$107</definedName>
  </definedNames>
  <calcPr calcId="191028"/>
  <pivotCaches>
    <pivotCache cacheId="364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5" i="1" l="1" a="1"/>
  <c r="G355" i="1"/>
  <c r="D355" i="1"/>
  <c r="E355" i="1"/>
  <c r="D6" i="1"/>
  <c r="B6" i="10"/>
  <c r="V6" i="10"/>
  <c r="D7" i="1"/>
  <c r="B7" i="10"/>
  <c r="DH2" i="2" a="1"/>
  <c r="DH2" i="2"/>
  <c r="DJ46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K46" i="2" a="1"/>
  <c r="DK46" i="2"/>
  <c r="V7" i="10"/>
  <c r="D8" i="1"/>
  <c r="B8" i="10"/>
  <c r="V8" i="10"/>
  <c r="D9" i="1"/>
  <c r="B9" i="10"/>
  <c r="V9" i="10"/>
  <c r="D10" i="1"/>
  <c r="B10" i="10"/>
  <c r="V10" i="10"/>
  <c r="D11" i="1"/>
  <c r="B11" i="10"/>
  <c r="V11" i="10"/>
  <c r="D12" i="1"/>
  <c r="B12" i="10"/>
  <c r="V12" i="10"/>
  <c r="D13" i="1"/>
  <c r="B13" i="10"/>
  <c r="V13" i="10"/>
  <c r="D14" i="1"/>
  <c r="B14" i="10"/>
  <c r="DK35" i="2" a="1"/>
  <c r="DK35" i="2"/>
  <c r="V14" i="10"/>
  <c r="D15" i="1"/>
  <c r="B15" i="10"/>
  <c r="V15" i="10"/>
  <c r="D16" i="1"/>
  <c r="B16" i="10"/>
  <c r="V16" i="10"/>
  <c r="D17" i="1"/>
  <c r="B17" i="10"/>
  <c r="DK50" i="2" a="1"/>
  <c r="DK50" i="2"/>
  <c r="V17" i="10"/>
  <c r="D18" i="1"/>
  <c r="B18" i="10"/>
  <c r="V18" i="10"/>
  <c r="D19" i="1"/>
  <c r="B19" i="10"/>
  <c r="V19" i="10"/>
  <c r="D20" i="1"/>
  <c r="B20" i="10"/>
  <c r="V20" i="10"/>
  <c r="D21" i="1"/>
  <c r="B21" i="10"/>
  <c r="V21" i="10"/>
  <c r="D22" i="1"/>
  <c r="B22" i="10"/>
  <c r="V22" i="10"/>
  <c r="D23" i="1"/>
  <c r="B23" i="10"/>
  <c r="V23" i="10"/>
  <c r="D24" i="1"/>
  <c r="B24" i="10"/>
  <c r="V24" i="10"/>
  <c r="D25" i="1"/>
  <c r="B25" i="10"/>
  <c r="V25" i="10"/>
  <c r="D26" i="1"/>
  <c r="B26" i="10"/>
  <c r="V26" i="10"/>
  <c r="D27" i="1"/>
  <c r="B27" i="10"/>
  <c r="V27" i="10"/>
  <c r="D28" i="1"/>
  <c r="B28" i="10"/>
  <c r="V28" i="10"/>
  <c r="D29" i="1"/>
  <c r="B29" i="10"/>
  <c r="V29" i="10"/>
  <c r="D30" i="1"/>
  <c r="B30" i="10"/>
  <c r="V30" i="10"/>
  <c r="D31" i="1"/>
  <c r="B31" i="10"/>
  <c r="V31" i="10"/>
  <c r="D32" i="1"/>
  <c r="B32" i="10"/>
  <c r="DK42" i="2" a="1"/>
  <c r="DK42" i="2"/>
  <c r="V32" i="10"/>
  <c r="D33" i="1"/>
  <c r="B33" i="10"/>
  <c r="V33" i="10"/>
  <c r="D34" i="1"/>
  <c r="B34" i="10"/>
  <c r="V34" i="10"/>
  <c r="D35" i="1"/>
  <c r="B35" i="10"/>
  <c r="V35" i="10"/>
  <c r="D36" i="1"/>
  <c r="B36" i="10"/>
  <c r="DK65" i="2" a="1"/>
  <c r="DK65" i="2"/>
  <c r="V36" i="10"/>
  <c r="D37" i="1"/>
  <c r="B37" i="10"/>
  <c r="V37" i="10"/>
  <c r="D38" i="1"/>
  <c r="B38" i="10"/>
  <c r="V38" i="10"/>
  <c r="D39" i="1"/>
  <c r="B39" i="10"/>
  <c r="DK59" i="2" a="1"/>
  <c r="DK59" i="2"/>
  <c r="V39" i="10"/>
  <c r="D40" i="1"/>
  <c r="B40" i="10"/>
  <c r="DK14" i="2" a="1"/>
  <c r="DK14" i="2"/>
  <c r="V40" i="10"/>
  <c r="D41" i="1"/>
  <c r="B41" i="10"/>
  <c r="DK53" i="2" a="1"/>
  <c r="DK53" i="2"/>
  <c r="V41" i="10"/>
  <c r="D42" i="1"/>
  <c r="B42" i="10"/>
  <c r="V42" i="10"/>
  <c r="D43" i="1"/>
  <c r="B43" i="10"/>
  <c r="V43" i="10"/>
  <c r="D44" i="1"/>
  <c r="B44" i="10"/>
  <c r="V44" i="10"/>
  <c r="D45" i="1"/>
  <c r="B45" i="10"/>
  <c r="V45" i="10"/>
  <c r="D46" i="1"/>
  <c r="B46" i="10"/>
  <c r="V46" i="10"/>
  <c r="D47" i="1"/>
  <c r="B47" i="10"/>
  <c r="V47" i="10"/>
  <c r="D48" i="1"/>
  <c r="B48" i="10"/>
  <c r="DK18" i="2" a="1"/>
  <c r="DK18" i="2"/>
  <c r="V48" i="10"/>
  <c r="D49" i="1"/>
  <c r="B49" i="10"/>
  <c r="V49" i="10"/>
  <c r="D50" i="1"/>
  <c r="B50" i="10"/>
  <c r="V50" i="10"/>
  <c r="D51" i="1"/>
  <c r="B51" i="10"/>
  <c r="V51" i="10"/>
  <c r="D52" i="1"/>
  <c r="B52" i="10"/>
  <c r="V52" i="10"/>
  <c r="D53" i="1"/>
  <c r="B53" i="10"/>
  <c r="DK51" i="2" a="1"/>
  <c r="DK51" i="2"/>
  <c r="V53" i="10"/>
  <c r="D54" i="1"/>
  <c r="B54" i="10"/>
  <c r="V54" i="10"/>
  <c r="D55" i="1"/>
  <c r="B55" i="10"/>
  <c r="DK47" i="2" a="1"/>
  <c r="DK47" i="2"/>
  <c r="V55" i="10"/>
  <c r="D56" i="1"/>
  <c r="B56" i="10"/>
  <c r="DK38" i="2" a="1"/>
  <c r="DK38" i="2"/>
  <c r="V56" i="10"/>
  <c r="D57" i="1"/>
  <c r="B57" i="10"/>
  <c r="DK28" i="2" a="1"/>
  <c r="DK28" i="2"/>
  <c r="V57" i="10"/>
  <c r="D58" i="1"/>
  <c r="B58" i="10"/>
  <c r="DK62" i="2" a="1"/>
  <c r="DK62" i="2"/>
  <c r="V58" i="10"/>
  <c r="D59" i="1"/>
  <c r="B59" i="10"/>
  <c r="V59" i="10"/>
  <c r="D60" i="1"/>
  <c r="B60" i="10"/>
  <c r="V60" i="10"/>
  <c r="D61" i="1"/>
  <c r="B61" i="10"/>
  <c r="V61" i="10"/>
  <c r="D62" i="1"/>
  <c r="B62" i="10"/>
  <c r="V62" i="10"/>
  <c r="D63" i="1"/>
  <c r="B63" i="10"/>
  <c r="V63" i="10"/>
  <c r="D64" i="1"/>
  <c r="B64" i="10"/>
  <c r="V64" i="10"/>
  <c r="D65" i="1"/>
  <c r="B65" i="10"/>
  <c r="V65" i="10"/>
  <c r="D66" i="1"/>
  <c r="B66" i="10"/>
  <c r="DK60" i="2" a="1"/>
  <c r="DK60" i="2"/>
  <c r="V66" i="10"/>
  <c r="D67" i="1"/>
  <c r="B67" i="10"/>
  <c r="V67" i="10"/>
  <c r="D68" i="1"/>
  <c r="B68" i="10"/>
  <c r="V68" i="10"/>
  <c r="D69" i="1"/>
  <c r="B69" i="10"/>
  <c r="DK26" i="2" a="1"/>
  <c r="DK26" i="2"/>
  <c r="V69" i="10"/>
  <c r="D70" i="1"/>
  <c r="B70" i="10"/>
  <c r="V70" i="10"/>
  <c r="D71" i="1"/>
  <c r="B71" i="10"/>
  <c r="V71" i="10"/>
  <c r="D72" i="1"/>
  <c r="B72" i="10"/>
  <c r="DK10" i="2" a="1"/>
  <c r="DK10" i="2"/>
  <c r="V72" i="10"/>
  <c r="D73" i="1"/>
  <c r="B73" i="10"/>
  <c r="V73" i="10"/>
  <c r="D74" i="1"/>
  <c r="B74" i="10"/>
  <c r="V74" i="10"/>
  <c r="D75" i="1"/>
  <c r="B75" i="10"/>
  <c r="V75" i="10"/>
  <c r="D76" i="1"/>
  <c r="B76" i="10"/>
  <c r="V76" i="10"/>
  <c r="D77" i="1"/>
  <c r="B77" i="10"/>
  <c r="V77" i="10"/>
  <c r="D78" i="1"/>
  <c r="B78" i="10"/>
  <c r="V78" i="10"/>
  <c r="D79" i="1"/>
  <c r="B79" i="10"/>
  <c r="V79" i="10"/>
  <c r="D80" i="1"/>
  <c r="B80" i="10"/>
  <c r="V80" i="10"/>
  <c r="D81" i="1"/>
  <c r="B81" i="10"/>
  <c r="V81" i="10"/>
  <c r="D82" i="1"/>
  <c r="B82" i="10"/>
  <c r="V82" i="10"/>
  <c r="D83" i="1"/>
  <c r="B83" i="10"/>
  <c r="V83" i="10"/>
  <c r="D84" i="1"/>
  <c r="B84" i="10"/>
  <c r="V84" i="10"/>
  <c r="D85" i="1"/>
  <c r="B85" i="10"/>
  <c r="V85" i="10"/>
  <c r="D86" i="1"/>
  <c r="B86" i="10"/>
  <c r="V86" i="10"/>
  <c r="D87" i="1"/>
  <c r="B87" i="10"/>
  <c r="V87" i="10"/>
  <c r="D88" i="1"/>
  <c r="B88" i="10"/>
  <c r="DK63" i="2" a="1"/>
  <c r="DK63" i="2"/>
  <c r="V88" i="10"/>
  <c r="D89" i="1"/>
  <c r="B89" i="10"/>
  <c r="V89" i="10"/>
  <c r="D90" i="1"/>
  <c r="B90" i="10"/>
  <c r="V90" i="10"/>
  <c r="D91" i="1"/>
  <c r="B91" i="10"/>
  <c r="V91" i="10"/>
  <c r="D92" i="1"/>
  <c r="B92" i="10"/>
  <c r="DK29" i="2" a="1"/>
  <c r="DK29" i="2"/>
  <c r="V92" i="10"/>
  <c r="D93" i="1"/>
  <c r="B93" i="10"/>
  <c r="V93" i="10"/>
  <c r="D94" i="1"/>
  <c r="B94" i="10"/>
  <c r="DK67" i="2" a="1"/>
  <c r="DK67" i="2"/>
  <c r="V94" i="10"/>
  <c r="D95" i="1"/>
  <c r="B95" i="10"/>
  <c r="V95" i="10"/>
  <c r="D96" i="1"/>
  <c r="B96" i="10"/>
  <c r="V96" i="10"/>
  <c r="D97" i="1"/>
  <c r="B97" i="10"/>
  <c r="V97" i="10"/>
  <c r="D98" i="1"/>
  <c r="B98" i="10"/>
  <c r="DK13" i="2" a="1"/>
  <c r="DK13" i="2"/>
  <c r="V98" i="10"/>
  <c r="D99" i="1"/>
  <c r="B99" i="10"/>
  <c r="V99" i="10"/>
  <c r="D100" i="1"/>
  <c r="B100" i="10"/>
  <c r="V100" i="10"/>
  <c r="D101" i="1"/>
  <c r="B101" i="10"/>
  <c r="V101" i="10"/>
  <c r="D102" i="1"/>
  <c r="B102" i="10"/>
  <c r="V102" i="10"/>
  <c r="D103" i="1"/>
  <c r="B103" i="10"/>
  <c r="V103" i="10"/>
  <c r="D104" i="1"/>
  <c r="B104" i="10"/>
  <c r="V104" i="10"/>
  <c r="D105" i="1"/>
  <c r="B105" i="10"/>
  <c r="V105" i="10"/>
  <c r="D106" i="1"/>
  <c r="B106" i="10"/>
  <c r="V106" i="10"/>
  <c r="D107" i="1"/>
  <c r="B107" i="10"/>
  <c r="V107" i="10"/>
  <c r="D108" i="1"/>
  <c r="B108" i="10"/>
  <c r="V108" i="10"/>
  <c r="D109" i="1"/>
  <c r="B109" i="10"/>
  <c r="V109" i="10"/>
  <c r="D110" i="1"/>
  <c r="B110" i="10"/>
  <c r="V110" i="10"/>
  <c r="D111" i="1"/>
  <c r="B111" i="10"/>
  <c r="V111" i="10"/>
  <c r="D112" i="1"/>
  <c r="B112" i="10"/>
  <c r="V112" i="10"/>
  <c r="D113" i="1"/>
  <c r="B113" i="10"/>
  <c r="V113" i="10"/>
  <c r="D114" i="1"/>
  <c r="B114" i="10"/>
  <c r="V114" i="10"/>
  <c r="D115" i="1"/>
  <c r="B115" i="10"/>
  <c r="V115" i="10"/>
  <c r="D116" i="1"/>
  <c r="B116" i="10"/>
  <c r="V116" i="10"/>
  <c r="D117" i="1"/>
  <c r="B117" i="10"/>
  <c r="V117" i="10"/>
  <c r="D118" i="1"/>
  <c r="B118" i="10"/>
  <c r="V118" i="10"/>
  <c r="D119" i="1"/>
  <c r="B119" i="10"/>
  <c r="V119" i="10"/>
  <c r="D120" i="1"/>
  <c r="B120" i="10"/>
  <c r="DK41" i="2" a="1"/>
  <c r="DK41" i="2"/>
  <c r="V120" i="10"/>
  <c r="D121" i="1"/>
  <c r="B121" i="10"/>
  <c r="V121" i="10"/>
  <c r="D122" i="1"/>
  <c r="B122" i="10"/>
  <c r="V122" i="10"/>
  <c r="D123" i="1"/>
  <c r="B123" i="10"/>
  <c r="V123" i="10"/>
  <c r="D124" i="1"/>
  <c r="B124" i="10"/>
  <c r="V124" i="10"/>
  <c r="D125" i="1"/>
  <c r="B125" i="10"/>
  <c r="V125" i="10"/>
  <c r="D126" i="1"/>
  <c r="B126" i="10"/>
  <c r="V126" i="10"/>
  <c r="D127" i="1"/>
  <c r="B127" i="10"/>
  <c r="V127" i="10"/>
  <c r="D128" i="1"/>
  <c r="B128" i="10"/>
  <c r="V128" i="10"/>
  <c r="D129" i="1"/>
  <c r="B129" i="10"/>
  <c r="V129" i="10"/>
  <c r="D130" i="1"/>
  <c r="B130" i="10"/>
  <c r="V130" i="10"/>
  <c r="D131" i="1"/>
  <c r="B131" i="10"/>
  <c r="V131" i="10"/>
  <c r="D132" i="1"/>
  <c r="B132" i="10"/>
  <c r="V132" i="10"/>
  <c r="D133" i="1"/>
  <c r="B133" i="10"/>
  <c r="V133" i="10"/>
  <c r="D134" i="1"/>
  <c r="B134" i="10"/>
  <c r="V134" i="10"/>
  <c r="D135" i="1"/>
  <c r="B135" i="10"/>
  <c r="DK52" i="2" a="1"/>
  <c r="DK52" i="2"/>
  <c r="V135" i="10"/>
  <c r="D136" i="1"/>
  <c r="B136" i="10"/>
  <c r="V136" i="10"/>
  <c r="D137" i="1"/>
  <c r="B137" i="10"/>
  <c r="DK55" i="2" a="1"/>
  <c r="DK55" i="2"/>
  <c r="V137" i="10"/>
  <c r="D138" i="1"/>
  <c r="B138" i="10"/>
  <c r="V138" i="10"/>
  <c r="D139" i="1"/>
  <c r="B139" i="10"/>
  <c r="V139" i="10"/>
  <c r="D140" i="1"/>
  <c r="B140" i="10"/>
  <c r="DK23" i="2" a="1"/>
  <c r="DK23" i="2"/>
  <c r="V140" i="10"/>
  <c r="D141" i="1"/>
  <c r="B141" i="10"/>
  <c r="DK43" i="2" a="1"/>
  <c r="DK43" i="2"/>
  <c r="V141" i="10"/>
  <c r="D142" i="1"/>
  <c r="B142" i="10"/>
  <c r="V142" i="10"/>
  <c r="D143" i="1"/>
  <c r="B143" i="10"/>
  <c r="V143" i="10"/>
  <c r="D144" i="1"/>
  <c r="B144" i="10"/>
  <c r="V144" i="10"/>
  <c r="D145" i="1"/>
  <c r="B145" i="10"/>
  <c r="V145" i="10"/>
  <c r="D146" i="1"/>
  <c r="B146" i="10"/>
  <c r="V146" i="10"/>
  <c r="D147" i="1"/>
  <c r="B147" i="10"/>
  <c r="V147" i="10"/>
  <c r="D148" i="1"/>
  <c r="B148" i="10"/>
  <c r="DK32" i="2" a="1"/>
  <c r="DK32" i="2"/>
  <c r="V148" i="10"/>
  <c r="D149" i="1"/>
  <c r="B149" i="10"/>
  <c r="DK31" i="2" a="1"/>
  <c r="DK31" i="2"/>
  <c r="V149" i="10"/>
  <c r="D150" i="1"/>
  <c r="B150" i="10"/>
  <c r="V150" i="10"/>
  <c r="D151" i="1"/>
  <c r="B151" i="10"/>
  <c r="V151" i="10"/>
  <c r="D152" i="1"/>
  <c r="B152" i="10"/>
  <c r="V152" i="10"/>
  <c r="D153" i="1"/>
  <c r="B153" i="10"/>
  <c r="V153" i="10"/>
  <c r="D154" i="1"/>
  <c r="B154" i="10"/>
  <c r="V154" i="10"/>
  <c r="D155" i="1"/>
  <c r="B155" i="10"/>
  <c r="V155" i="10"/>
  <c r="D156" i="1"/>
  <c r="B156" i="10"/>
  <c r="V156" i="10"/>
  <c r="D157" i="1"/>
  <c r="B157" i="10"/>
  <c r="V157" i="10"/>
  <c r="D158" i="1"/>
  <c r="B158" i="10"/>
  <c r="V158" i="10"/>
  <c r="D159" i="1"/>
  <c r="B159" i="10"/>
  <c r="V159" i="10"/>
  <c r="D160" i="1"/>
  <c r="B160" i="10"/>
  <c r="V160" i="10"/>
  <c r="D161" i="1"/>
  <c r="B161" i="10"/>
  <c r="V161" i="10"/>
  <c r="D162" i="1"/>
  <c r="B162" i="10"/>
  <c r="V162" i="10"/>
  <c r="D163" i="1"/>
  <c r="B163" i="10"/>
  <c r="V163" i="10"/>
  <c r="D164" i="1"/>
  <c r="B164" i="10"/>
  <c r="DK12" i="2" a="1"/>
  <c r="DK12" i="2"/>
  <c r="V164" i="10"/>
  <c r="D165" i="1"/>
  <c r="B165" i="10"/>
  <c r="V165" i="10"/>
  <c r="D166" i="1"/>
  <c r="B166" i="10"/>
  <c r="V166" i="10"/>
  <c r="D167" i="1"/>
  <c r="B167" i="10"/>
  <c r="V167" i="10"/>
  <c r="D168" i="1"/>
  <c r="B168" i="10"/>
  <c r="DK36" i="2" a="1"/>
  <c r="DK36" i="2"/>
  <c r="V168" i="10"/>
  <c r="D169" i="1"/>
  <c r="B169" i="10"/>
  <c r="V169" i="10"/>
  <c r="D170" i="1"/>
  <c r="B170" i="10"/>
  <c r="V170" i="10"/>
  <c r="D171" i="1"/>
  <c r="B171" i="10"/>
  <c r="V171" i="10"/>
  <c r="D172" i="1"/>
  <c r="B172" i="10"/>
  <c r="V172" i="10"/>
  <c r="D173" i="1"/>
  <c r="B173" i="10"/>
  <c r="V173" i="10"/>
  <c r="D174" i="1"/>
  <c r="B174" i="10"/>
  <c r="V174" i="10"/>
  <c r="D175" i="1"/>
  <c r="B175" i="10"/>
  <c r="V175" i="10"/>
  <c r="D176" i="1"/>
  <c r="B176" i="10"/>
  <c r="V176" i="10"/>
  <c r="D177" i="1"/>
  <c r="B177" i="10"/>
  <c r="DK15" i="2" a="1"/>
  <c r="DK15" i="2"/>
  <c r="V177" i="10"/>
  <c r="D178" i="1"/>
  <c r="B178" i="10"/>
  <c r="V178" i="10"/>
  <c r="D179" i="1"/>
  <c r="B179" i="10"/>
  <c r="V179" i="10"/>
  <c r="D180" i="1"/>
  <c r="B180" i="10"/>
  <c r="DK33" i="2" a="1"/>
  <c r="DK33" i="2"/>
  <c r="V180" i="10"/>
  <c r="D181" i="1"/>
  <c r="B181" i="10"/>
  <c r="V181" i="10"/>
  <c r="D182" i="1"/>
  <c r="B182" i="10"/>
  <c r="DK45" i="2" a="1"/>
  <c r="DK45" i="2"/>
  <c r="V182" i="10"/>
  <c r="D183" i="1"/>
  <c r="B183" i="10"/>
  <c r="V183" i="10"/>
  <c r="D184" i="1"/>
  <c r="B184" i="10"/>
  <c r="V184" i="10"/>
  <c r="D185" i="1"/>
  <c r="B185" i="10"/>
  <c r="V185" i="10"/>
  <c r="D186" i="1"/>
  <c r="B186" i="10"/>
  <c r="V186" i="10"/>
  <c r="D187" i="1"/>
  <c r="B187" i="10"/>
  <c r="V187" i="10"/>
  <c r="D188" i="1"/>
  <c r="B188" i="10"/>
  <c r="V188" i="10"/>
  <c r="D189" i="1"/>
  <c r="B189" i="10"/>
  <c r="V189" i="10"/>
  <c r="D190" i="1"/>
  <c r="B190" i="10"/>
  <c r="V190" i="10"/>
  <c r="D191" i="1"/>
  <c r="B191" i="10"/>
  <c r="V191" i="10"/>
  <c r="D192" i="1"/>
  <c r="B192" i="10"/>
  <c r="V192" i="10"/>
  <c r="D193" i="1"/>
  <c r="B193" i="10"/>
  <c r="V193" i="10"/>
  <c r="D194" i="1"/>
  <c r="B194" i="10"/>
  <c r="V194" i="10"/>
  <c r="D195" i="1"/>
  <c r="B195" i="10"/>
  <c r="V195" i="10"/>
  <c r="D196" i="1"/>
  <c r="B196" i="10"/>
  <c r="V196" i="10"/>
  <c r="D197" i="1"/>
  <c r="B197" i="10"/>
  <c r="DK57" i="2" a="1"/>
  <c r="DK57" i="2"/>
  <c r="V197" i="10"/>
  <c r="D198" i="1"/>
  <c r="B198" i="10"/>
  <c r="V198" i="10"/>
  <c r="D199" i="1"/>
  <c r="B199" i="10"/>
  <c r="V199" i="10"/>
  <c r="D200" i="1"/>
  <c r="B200" i="10"/>
  <c r="V200" i="10"/>
  <c r="D201" i="1"/>
  <c r="B201" i="10"/>
  <c r="V201" i="10"/>
  <c r="D202" i="1"/>
  <c r="B202" i="10"/>
  <c r="V202" i="10"/>
  <c r="D203" i="1"/>
  <c r="B203" i="10"/>
  <c r="V203" i="10"/>
  <c r="D204" i="1"/>
  <c r="B204" i="10"/>
  <c r="V204" i="10"/>
  <c r="D205" i="1"/>
  <c r="B205" i="10"/>
  <c r="V205" i="10"/>
  <c r="D206" i="1"/>
  <c r="B206" i="10"/>
  <c r="V206" i="10"/>
  <c r="D207" i="1"/>
  <c r="B207" i="10"/>
  <c r="V207" i="10"/>
  <c r="D208" i="1"/>
  <c r="B208" i="10"/>
  <c r="V208" i="10"/>
  <c r="D209" i="1"/>
  <c r="B209" i="10"/>
  <c r="V209" i="10"/>
  <c r="D210" i="1"/>
  <c r="B210" i="10"/>
  <c r="V210" i="10"/>
  <c r="D211" i="1"/>
  <c r="B211" i="10"/>
  <c r="V211" i="10"/>
  <c r="D212" i="1"/>
  <c r="B212" i="10"/>
  <c r="DK61" i="2" a="1"/>
  <c r="DK61" i="2"/>
  <c r="V212" i="10"/>
  <c r="D213" i="1"/>
  <c r="B213" i="10"/>
  <c r="V213" i="10"/>
  <c r="D214" i="1"/>
  <c r="B214" i="10"/>
  <c r="V214" i="10"/>
  <c r="D215" i="1"/>
  <c r="B215" i="10"/>
  <c r="V215" i="10"/>
  <c r="D216" i="1"/>
  <c r="B216" i="10"/>
  <c r="V216" i="10"/>
  <c r="D217" i="1"/>
  <c r="B217" i="10"/>
  <c r="V217" i="10"/>
  <c r="D218" i="1"/>
  <c r="B218" i="10"/>
  <c r="V218" i="10"/>
  <c r="D219" i="1"/>
  <c r="B219" i="10"/>
  <c r="V219" i="10"/>
  <c r="D220" i="1"/>
  <c r="B220" i="10"/>
  <c r="DK19" i="2" a="1"/>
  <c r="DK19" i="2"/>
  <c r="V220" i="10"/>
  <c r="D221" i="1"/>
  <c r="B221" i="10"/>
  <c r="DK9" i="2" a="1"/>
  <c r="DK9" i="2"/>
  <c r="V221" i="10"/>
  <c r="D222" i="1"/>
  <c r="B222" i="10"/>
  <c r="DK39" i="2" a="1"/>
  <c r="DK39" i="2"/>
  <c r="V222" i="10"/>
  <c r="D223" i="1"/>
  <c r="B223" i="10"/>
  <c r="V223" i="10"/>
  <c r="D224" i="1"/>
  <c r="B224" i="10"/>
  <c r="V224" i="10"/>
  <c r="D225" i="1"/>
  <c r="B225" i="10"/>
  <c r="V225" i="10"/>
  <c r="D226" i="1"/>
  <c r="B226" i="10"/>
  <c r="V226" i="10"/>
  <c r="D227" i="1"/>
  <c r="B227" i="10"/>
  <c r="V227" i="10"/>
  <c r="D228" i="1"/>
  <c r="B228" i="10"/>
  <c r="V228" i="10"/>
  <c r="D229" i="1"/>
  <c r="B229" i="10"/>
  <c r="V229" i="10"/>
  <c r="D230" i="1"/>
  <c r="B230" i="10"/>
  <c r="DK37" i="2" a="1"/>
  <c r="DK37" i="2"/>
  <c r="V230" i="10"/>
  <c r="D231" i="1"/>
  <c r="B231" i="10"/>
  <c r="V231" i="10"/>
  <c r="D232" i="1"/>
  <c r="B232" i="10"/>
  <c r="V232" i="10"/>
  <c r="D233" i="1"/>
  <c r="B233" i="10"/>
  <c r="V233" i="10"/>
  <c r="D234" i="1"/>
  <c r="B234" i="10"/>
  <c r="V234" i="10"/>
  <c r="D235" i="1"/>
  <c r="B235" i="10"/>
  <c r="DK48" i="2" a="1"/>
  <c r="DK48" i="2"/>
  <c r="V235" i="10"/>
  <c r="D236" i="1"/>
  <c r="B236" i="10"/>
  <c r="V236" i="10"/>
  <c r="D237" i="1"/>
  <c r="B237" i="10"/>
  <c r="V237" i="10"/>
  <c r="D238" i="1"/>
  <c r="B238" i="10"/>
  <c r="V238" i="10"/>
  <c r="D239" i="1"/>
  <c r="B239" i="10"/>
  <c r="V239" i="10"/>
  <c r="D240" i="1"/>
  <c r="B240" i="10"/>
  <c r="V240" i="10"/>
  <c r="D241" i="1"/>
  <c r="B241" i="10"/>
  <c r="V241" i="10"/>
  <c r="D242" i="1"/>
  <c r="B242" i="10"/>
  <c r="V242" i="10"/>
  <c r="D243" i="1"/>
  <c r="B243" i="10"/>
  <c r="V243" i="10"/>
  <c r="D244" i="1"/>
  <c r="B244" i="10"/>
  <c r="DK25" i="2" a="1"/>
  <c r="DK25" i="2"/>
  <c r="V244" i="10"/>
  <c r="D245" i="1"/>
  <c r="B245" i="10"/>
  <c r="V245" i="10"/>
  <c r="D246" i="1"/>
  <c r="B246" i="10"/>
  <c r="V246" i="10"/>
  <c r="D247" i="1"/>
  <c r="B247" i="10"/>
  <c r="V247" i="10"/>
  <c r="D248" i="1"/>
  <c r="B248" i="10"/>
  <c r="V248" i="10"/>
  <c r="D249" i="1"/>
  <c r="B249" i="10"/>
  <c r="V249" i="10"/>
  <c r="D250" i="1"/>
  <c r="B250" i="10"/>
  <c r="DK56" i="2" a="1"/>
  <c r="DK56" i="2"/>
  <c r="V250" i="10"/>
  <c r="D251" i="1"/>
  <c r="B251" i="10"/>
  <c r="V251" i="10"/>
  <c r="D252" i="1"/>
  <c r="B252" i="10"/>
  <c r="V252" i="10"/>
  <c r="D253" i="1"/>
  <c r="B253" i="10"/>
  <c r="V253" i="10"/>
  <c r="D254" i="1"/>
  <c r="B254" i="10"/>
  <c r="V254" i="10"/>
  <c r="D255" i="1"/>
  <c r="B255" i="10"/>
  <c r="V255" i="10"/>
  <c r="D256" i="1"/>
  <c r="B256" i="10"/>
  <c r="DK8" i="2" a="1"/>
  <c r="DK8" i="2"/>
  <c r="V256" i="10"/>
  <c r="D257" i="1"/>
  <c r="B257" i="10"/>
  <c r="V257" i="10"/>
  <c r="D258" i="1"/>
  <c r="B258" i="10"/>
  <c r="V258" i="10"/>
  <c r="D259" i="1"/>
  <c r="B259" i="10"/>
  <c r="V259" i="10"/>
  <c r="D260" i="1"/>
  <c r="B260" i="10"/>
  <c r="V260" i="10"/>
  <c r="D261" i="1"/>
  <c r="B261" i="10"/>
  <c r="V261" i="10"/>
  <c r="D262" i="1"/>
  <c r="B262" i="10"/>
  <c r="V262" i="10"/>
  <c r="D263" i="1"/>
  <c r="B263" i="10"/>
  <c r="V263" i="10"/>
  <c r="D264" i="1"/>
  <c r="B264" i="10"/>
  <c r="DK16" i="2" a="1"/>
  <c r="DK16" i="2"/>
  <c r="V264" i="10"/>
  <c r="D265" i="1"/>
  <c r="B265" i="10"/>
  <c r="DK27" i="2" a="1"/>
  <c r="DK27" i="2"/>
  <c r="V265" i="10"/>
  <c r="D266" i="1"/>
  <c r="B266" i="10"/>
  <c r="V266" i="10"/>
  <c r="D267" i="1"/>
  <c r="B267" i="10"/>
  <c r="V267" i="10"/>
  <c r="D268" i="1"/>
  <c r="B268" i="10"/>
  <c r="V268" i="10"/>
  <c r="D269" i="1"/>
  <c r="B269" i="10"/>
  <c r="V269" i="10"/>
  <c r="D270" i="1"/>
  <c r="B270" i="10"/>
  <c r="V270" i="10"/>
  <c r="D271" i="1"/>
  <c r="B271" i="10"/>
  <c r="V271" i="10"/>
  <c r="D272" i="1"/>
  <c r="B272" i="10"/>
  <c r="V272" i="10"/>
  <c r="D273" i="1"/>
  <c r="B273" i="10"/>
  <c r="V273" i="10"/>
  <c r="D274" i="1"/>
  <c r="B274" i="10"/>
  <c r="V274" i="10"/>
  <c r="D275" i="1"/>
  <c r="B275" i="10"/>
  <c r="V275" i="10"/>
  <c r="D276" i="1"/>
  <c r="B276" i="10"/>
  <c r="V276" i="10"/>
  <c r="D277" i="1"/>
  <c r="B277" i="10"/>
  <c r="V277" i="10"/>
  <c r="D278" i="1"/>
  <c r="B278" i="10"/>
  <c r="DK58" i="2" a="1"/>
  <c r="DK58" i="2"/>
  <c r="V278" i="10"/>
  <c r="D279" i="1"/>
  <c r="B279" i="10"/>
  <c r="V279" i="10"/>
  <c r="D280" i="1"/>
  <c r="B280" i="10"/>
  <c r="DK24" i="2" a="1"/>
  <c r="DK24" i="2"/>
  <c r="V280" i="10"/>
  <c r="D281" i="1"/>
  <c r="B281" i="10"/>
  <c r="DK21" i="2" a="1"/>
  <c r="DK21" i="2"/>
  <c r="V281" i="10"/>
  <c r="D282" i="1"/>
  <c r="B282" i="10"/>
  <c r="V282" i="10"/>
  <c r="D283" i="1"/>
  <c r="B283" i="10"/>
  <c r="V283" i="10"/>
  <c r="D284" i="1"/>
  <c r="B284" i="10"/>
  <c r="DK64" i="2" a="1"/>
  <c r="DK64" i="2"/>
  <c r="V284" i="10"/>
  <c r="D285" i="1"/>
  <c r="B285" i="10"/>
  <c r="V285" i="10"/>
  <c r="D286" i="1"/>
  <c r="B286" i="10"/>
  <c r="V286" i="10"/>
  <c r="D287" i="1"/>
  <c r="B287" i="10"/>
  <c r="V287" i="10"/>
  <c r="D288" i="1"/>
  <c r="B288" i="10"/>
  <c r="V288" i="10"/>
  <c r="D289" i="1"/>
  <c r="B289" i="10"/>
  <c r="V289" i="10"/>
  <c r="D290" i="1"/>
  <c r="B290" i="10"/>
  <c r="V290" i="10"/>
  <c r="D291" i="1"/>
  <c r="B291" i="10"/>
  <c r="V291" i="10"/>
  <c r="D292" i="1"/>
  <c r="B292" i="10"/>
  <c r="V292" i="10"/>
  <c r="D293" i="1"/>
  <c r="B293" i="10"/>
  <c r="V293" i="10"/>
  <c r="D294" i="1"/>
  <c r="B294" i="10"/>
  <c r="V294" i="10"/>
  <c r="D295" i="1"/>
  <c r="B295" i="10"/>
  <c r="V295" i="10"/>
  <c r="D296" i="1"/>
  <c r="B296" i="10"/>
  <c r="V296" i="10"/>
  <c r="D297" i="1"/>
  <c r="B297" i="10"/>
  <c r="V297" i="10"/>
  <c r="D298" i="1"/>
  <c r="B298" i="10"/>
  <c r="V298" i="10"/>
  <c r="D299" i="1"/>
  <c r="B299" i="10"/>
  <c r="V299" i="10"/>
  <c r="D300" i="1"/>
  <c r="B300" i="10"/>
  <c r="V300" i="10"/>
  <c r="D301" i="1"/>
  <c r="B301" i="10"/>
  <c r="V301" i="10"/>
  <c r="D302" i="1"/>
  <c r="B302" i="10"/>
  <c r="V302" i="10"/>
  <c r="D303" i="1"/>
  <c r="B303" i="10"/>
  <c r="V303" i="10"/>
  <c r="D304" i="1"/>
  <c r="B304" i="10"/>
  <c r="DK17" i="2" a="1"/>
  <c r="DK17" i="2"/>
  <c r="V304" i="10"/>
  <c r="D305" i="1"/>
  <c r="B305" i="10"/>
  <c r="DK40" i="2" a="1"/>
  <c r="DK40" i="2"/>
  <c r="V305" i="10"/>
  <c r="D306" i="1"/>
  <c r="B306" i="10"/>
  <c r="V306" i="10"/>
  <c r="D307" i="1"/>
  <c r="B307" i="10"/>
  <c r="V307" i="10"/>
  <c r="D308" i="1"/>
  <c r="B308" i="10"/>
  <c r="V308" i="10"/>
  <c r="D309" i="1"/>
  <c r="B309" i="10"/>
  <c r="V309" i="10"/>
  <c r="D310" i="1"/>
  <c r="B310" i="10"/>
  <c r="DK11" i="2" a="1"/>
  <c r="DK11" i="2"/>
  <c r="V310" i="10"/>
  <c r="D311" i="1"/>
  <c r="B311" i="10"/>
  <c r="V311" i="10"/>
  <c r="D312" i="1"/>
  <c r="B312" i="10"/>
  <c r="V312" i="10"/>
  <c r="D313" i="1"/>
  <c r="B313" i="10"/>
  <c r="V313" i="10"/>
  <c r="D314" i="1"/>
  <c r="B314" i="10"/>
  <c r="V314" i="10"/>
  <c r="D315" i="1"/>
  <c r="B315" i="10"/>
  <c r="V315" i="10"/>
  <c r="D316" i="1"/>
  <c r="B316" i="10"/>
  <c r="V316" i="10"/>
  <c r="D317" i="1"/>
  <c r="B317" i="10"/>
  <c r="V317" i="10"/>
  <c r="D318" i="1"/>
  <c r="B318" i="10"/>
  <c r="V318" i="10"/>
  <c r="D319" i="1"/>
  <c r="B319" i="10"/>
  <c r="DK20" i="2" a="1"/>
  <c r="DK20" i="2"/>
  <c r="V319" i="10"/>
  <c r="D320" i="1"/>
  <c r="B320" i="10"/>
  <c r="V320" i="10"/>
  <c r="D321" i="1"/>
  <c r="B321" i="10"/>
  <c r="V321" i="10"/>
  <c r="D322" i="1"/>
  <c r="B322" i="10"/>
  <c r="V322" i="10"/>
  <c r="D323" i="1"/>
  <c r="B323" i="10"/>
  <c r="V323" i="10"/>
  <c r="D324" i="1"/>
  <c r="B324" i="10"/>
  <c r="V324" i="10"/>
  <c r="D325" i="1"/>
  <c r="B325" i="10"/>
  <c r="V325" i="10"/>
  <c r="D326" i="1"/>
  <c r="B326" i="10"/>
  <c r="V326" i="10"/>
  <c r="D327" i="1"/>
  <c r="B327" i="10"/>
  <c r="V327" i="10"/>
  <c r="D328" i="1"/>
  <c r="B328" i="10"/>
  <c r="V328" i="10"/>
  <c r="D329" i="1"/>
  <c r="B329" i="10"/>
  <c r="DK44" i="2" a="1"/>
  <c r="DK44" i="2"/>
  <c r="V329" i="10"/>
  <c r="D330" i="1"/>
  <c r="B330" i="10"/>
  <c r="V330" i="10"/>
  <c r="D331" i="1"/>
  <c r="B331" i="10"/>
  <c r="V331" i="10"/>
  <c r="D332" i="1"/>
  <c r="B332" i="10"/>
  <c r="V332" i="10"/>
  <c r="D333" i="1"/>
  <c r="B333" i="10"/>
  <c r="V333" i="10"/>
  <c r="D334" i="1"/>
  <c r="B334" i="10"/>
  <c r="DK54" i="2" a="1"/>
  <c r="DK54" i="2"/>
  <c r="V334" i="10"/>
  <c r="D335" i="1"/>
  <c r="B335" i="10"/>
  <c r="V335" i="10"/>
  <c r="D336" i="1"/>
  <c r="B336" i="10"/>
  <c r="V336" i="10"/>
  <c r="D337" i="1"/>
  <c r="B337" i="10"/>
  <c r="V337" i="10"/>
  <c r="D338" i="1"/>
  <c r="B338" i="10"/>
  <c r="V338" i="10"/>
  <c r="D339" i="1"/>
  <c r="B339" i="10"/>
  <c r="V339" i="10"/>
  <c r="D340" i="1"/>
  <c r="B340" i="10"/>
  <c r="DK30" i="2" a="1"/>
  <c r="DK30" i="2"/>
  <c r="V340" i="10"/>
  <c r="D341" i="1"/>
  <c r="B341" i="10"/>
  <c r="V341" i="10"/>
  <c r="D342" i="1"/>
  <c r="B342" i="10"/>
  <c r="V342" i="10"/>
  <c r="D343" i="1"/>
  <c r="B343" i="10"/>
  <c r="DK49" i="2" a="1"/>
  <c r="DK49" i="2"/>
  <c r="V343" i="10"/>
  <c r="D344" i="1"/>
  <c r="B344" i="10"/>
  <c r="V344" i="10"/>
  <c r="D345" i="1"/>
  <c r="B345" i="10"/>
  <c r="V345" i="10"/>
  <c r="D346" i="1"/>
  <c r="B346" i="10"/>
  <c r="V346" i="10"/>
  <c r="D347" i="1"/>
  <c r="B347" i="10"/>
  <c r="DK22" i="2" a="1"/>
  <c r="DK22" i="2"/>
  <c r="V347" i="10"/>
  <c r="D348" i="1"/>
  <c r="B348" i="10"/>
  <c r="V348" i="10"/>
  <c r="D349" i="1"/>
  <c r="B349" i="10"/>
  <c r="V349" i="10"/>
  <c r="D350" i="1"/>
  <c r="B350" i="10"/>
  <c r="DK66" i="2" a="1"/>
  <c r="DK66" i="2"/>
  <c r="V350" i="10"/>
  <c r="D351" i="1"/>
  <c r="B351" i="10"/>
  <c r="V351" i="10"/>
  <c r="D352" i="1"/>
  <c r="B352" i="10"/>
  <c r="V352" i="10"/>
  <c r="D353" i="1"/>
  <c r="B353" i="10"/>
  <c r="V353" i="10"/>
  <c r="D354" i="1"/>
  <c r="B354" i="10"/>
  <c r="V354" i="10"/>
  <c r="B355" i="10"/>
  <c r="V355" i="10"/>
  <c r="B356" i="10"/>
  <c r="V356" i="10"/>
  <c r="B357" i="10"/>
  <c r="V357" i="10"/>
  <c r="B358" i="10"/>
  <c r="V358" i="10"/>
  <c r="B359" i="10"/>
  <c r="V359" i="10"/>
  <c r="B360" i="10"/>
  <c r="V360" i="10"/>
  <c r="B361" i="10"/>
  <c r="V361" i="10"/>
  <c r="B362" i="10"/>
  <c r="V362" i="10"/>
  <c r="B363" i="10"/>
  <c r="V363" i="10"/>
  <c r="B364" i="10"/>
  <c r="V364" i="10"/>
  <c r="B365" i="10"/>
  <c r="V365" i="10"/>
  <c r="B366" i="10"/>
  <c r="V366" i="10"/>
  <c r="B367" i="10"/>
  <c r="V367" i="10"/>
  <c r="B368" i="10"/>
  <c r="V368" i="10"/>
  <c r="B369" i="10"/>
  <c r="V369" i="10"/>
  <c r="B370" i="10"/>
  <c r="V370" i="10"/>
  <c r="B371" i="10"/>
  <c r="V371" i="10"/>
  <c r="B372" i="10"/>
  <c r="V372" i="10"/>
  <c r="B373" i="10"/>
  <c r="V373" i="10"/>
  <c r="B374" i="10"/>
  <c r="V374" i="10"/>
  <c r="B375" i="10"/>
  <c r="V375" i="10"/>
  <c r="B376" i="10"/>
  <c r="V376" i="10"/>
  <c r="B377" i="10"/>
  <c r="V377" i="10"/>
  <c r="B378" i="10"/>
  <c r="V378" i="10"/>
  <c r="B379" i="10"/>
  <c r="V379" i="10"/>
  <c r="B380" i="10"/>
  <c r="V380" i="10"/>
  <c r="B381" i="10"/>
  <c r="V381" i="10"/>
  <c r="B382" i="10"/>
  <c r="V382" i="10"/>
  <c r="B383" i="10"/>
  <c r="V383" i="10"/>
  <c r="B384" i="10"/>
  <c r="V384" i="10"/>
  <c r="B385" i="10"/>
  <c r="V385" i="10"/>
  <c r="B386" i="10"/>
  <c r="V386" i="10"/>
  <c r="B387" i="10"/>
  <c r="V387" i="10"/>
  <c r="B388" i="10"/>
  <c r="V388" i="10"/>
  <c r="B389" i="10"/>
  <c r="V389" i="10"/>
  <c r="B390" i="10"/>
  <c r="V390" i="10"/>
  <c r="U6" i="10"/>
  <c r="DB2" i="2" a="1"/>
  <c r="DB2" i="2"/>
  <c r="DD5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D103" i="2"/>
  <c r="DD104" i="2"/>
  <c r="DD105" i="2"/>
  <c r="DD106" i="2"/>
  <c r="DD107" i="2"/>
  <c r="DE57" i="2" a="1"/>
  <c r="DE57" i="2"/>
  <c r="U7" i="10"/>
  <c r="DE53" i="2" a="1"/>
  <c r="DE53" i="2"/>
  <c r="U8" i="10"/>
  <c r="U9" i="10"/>
  <c r="U10" i="10"/>
  <c r="DE81" i="2" a="1"/>
  <c r="DE81" i="2"/>
  <c r="U11" i="10"/>
  <c r="U12" i="10"/>
  <c r="U13" i="10"/>
  <c r="DE91" i="2" a="1"/>
  <c r="DE91" i="2"/>
  <c r="U14" i="10"/>
  <c r="DE85" i="2" a="1"/>
  <c r="DE85" i="2"/>
  <c r="U15" i="10"/>
  <c r="DE58" i="2" a="1"/>
  <c r="DE58" i="2"/>
  <c r="U16" i="10"/>
  <c r="DE27" i="2" a="1"/>
  <c r="DE27" i="2"/>
  <c r="U17" i="10"/>
  <c r="DE19" i="2" a="1"/>
  <c r="DE19" i="2"/>
  <c r="U18" i="10"/>
  <c r="U19" i="10"/>
  <c r="U20" i="10"/>
  <c r="U21" i="10"/>
  <c r="U22" i="10"/>
  <c r="DE41" i="2" a="1"/>
  <c r="DE41" i="2"/>
  <c r="U23" i="10"/>
  <c r="U24" i="10"/>
  <c r="DE73" i="2" a="1"/>
  <c r="DE73" i="2"/>
  <c r="U25" i="10"/>
  <c r="U26" i="10"/>
  <c r="U27" i="10"/>
  <c r="U28" i="10"/>
  <c r="U29" i="10"/>
  <c r="DE92" i="2" a="1"/>
  <c r="DE92" i="2"/>
  <c r="U30" i="10"/>
  <c r="U31" i="10"/>
  <c r="DE31" i="2" a="1"/>
  <c r="DE31" i="2"/>
  <c r="U32" i="10"/>
  <c r="DE35" i="2" a="1"/>
  <c r="DE35" i="2"/>
  <c r="U33" i="10"/>
  <c r="U34" i="10"/>
  <c r="DE75" i="2" a="1"/>
  <c r="DE75" i="2"/>
  <c r="U35" i="10"/>
  <c r="U36" i="10"/>
  <c r="U37" i="10"/>
  <c r="DE74" i="2" a="1"/>
  <c r="DE74" i="2"/>
  <c r="U38" i="10"/>
  <c r="DE12" i="2" a="1"/>
  <c r="DE12" i="2"/>
  <c r="U39" i="10"/>
  <c r="DE90" i="2" a="1"/>
  <c r="DE90" i="2"/>
  <c r="U40" i="10"/>
  <c r="DE98" i="2" a="1"/>
  <c r="DE98" i="2"/>
  <c r="U41" i="10"/>
  <c r="U42" i="10"/>
  <c r="U43" i="10"/>
  <c r="DE96" i="2" a="1"/>
  <c r="DE96" i="2"/>
  <c r="U44" i="10"/>
  <c r="U45" i="10"/>
  <c r="DE26" i="2" a="1"/>
  <c r="DE26" i="2"/>
  <c r="U46" i="10"/>
  <c r="U47" i="10"/>
  <c r="DE30" i="2" a="1"/>
  <c r="DE30" i="2"/>
  <c r="U48" i="10"/>
  <c r="U49" i="10"/>
  <c r="DE52" i="2" a="1"/>
  <c r="DE52" i="2"/>
  <c r="U50" i="10"/>
  <c r="U51" i="10"/>
  <c r="U52" i="10"/>
  <c r="DE71" i="2" a="1"/>
  <c r="DE71" i="2"/>
  <c r="U53" i="10"/>
  <c r="DE49" i="2" a="1"/>
  <c r="DE49" i="2"/>
  <c r="U54" i="10"/>
  <c r="U55" i="10"/>
  <c r="DE86" i="2" a="1"/>
  <c r="DE86" i="2"/>
  <c r="U56" i="10"/>
  <c r="U57" i="10"/>
  <c r="U58" i="10"/>
  <c r="U59" i="10"/>
  <c r="U60" i="10"/>
  <c r="DE100" i="2" a="1"/>
  <c r="DE100" i="2"/>
  <c r="U61" i="10"/>
  <c r="DE24" i="2" a="1"/>
  <c r="DE24" i="2"/>
  <c r="U62" i="10"/>
  <c r="DE56" i="2" a="1"/>
  <c r="DE56" i="2"/>
  <c r="U63" i="10"/>
  <c r="U64" i="10"/>
  <c r="DE44" i="2" a="1"/>
  <c r="DE44" i="2"/>
  <c r="U65" i="10"/>
  <c r="DE42" i="2" a="1"/>
  <c r="DE42" i="2"/>
  <c r="U66" i="10"/>
  <c r="U67" i="10"/>
  <c r="DE62" i="2" a="1"/>
  <c r="DE62" i="2"/>
  <c r="U68" i="10"/>
  <c r="U69" i="10"/>
  <c r="U70" i="10"/>
  <c r="U71" i="10"/>
  <c r="U72" i="10"/>
  <c r="U73" i="10"/>
  <c r="DE72" i="2" a="1"/>
  <c r="DE72" i="2"/>
  <c r="U74" i="10"/>
  <c r="U75" i="10"/>
  <c r="U76" i="10"/>
  <c r="U77" i="10"/>
  <c r="U78" i="10"/>
  <c r="U79" i="10"/>
  <c r="U80" i="10"/>
  <c r="U81" i="10"/>
  <c r="DE39" i="2" a="1"/>
  <c r="DE39" i="2"/>
  <c r="U82" i="10"/>
  <c r="U83" i="10"/>
  <c r="DE15" i="2" a="1"/>
  <c r="DE15" i="2"/>
  <c r="U84" i="10"/>
  <c r="U85" i="10"/>
  <c r="DE80" i="2" a="1"/>
  <c r="DE80" i="2"/>
  <c r="U86" i="10"/>
  <c r="U87" i="10"/>
  <c r="DE32" i="2" a="1"/>
  <c r="DE32" i="2"/>
  <c r="U88" i="10"/>
  <c r="U89" i="10"/>
  <c r="U90" i="10"/>
  <c r="U91" i="10"/>
  <c r="DE93" i="2" a="1"/>
  <c r="DE93" i="2"/>
  <c r="U92" i="10"/>
  <c r="U93" i="10"/>
  <c r="DE50" i="2" a="1"/>
  <c r="DE50" i="2"/>
  <c r="U94" i="10"/>
  <c r="U95" i="10"/>
  <c r="U96" i="10"/>
  <c r="U97" i="10"/>
  <c r="U98" i="10"/>
  <c r="U99" i="10"/>
  <c r="U100" i="10"/>
  <c r="DE36" i="2" a="1"/>
  <c r="DE36" i="2"/>
  <c r="U101" i="10"/>
  <c r="U102" i="10"/>
  <c r="U103" i="10"/>
  <c r="U104" i="10"/>
  <c r="U105" i="10"/>
  <c r="U106" i="10"/>
  <c r="DE107" i="2" a="1"/>
  <c r="DE107" i="2"/>
  <c r="U107" i="10"/>
  <c r="U108" i="10"/>
  <c r="U109" i="10"/>
  <c r="U110" i="10"/>
  <c r="U111" i="10"/>
  <c r="U112" i="10"/>
  <c r="U113" i="10"/>
  <c r="U114" i="10"/>
  <c r="U115" i="10"/>
  <c r="U116" i="10"/>
  <c r="U117" i="10"/>
  <c r="U118" i="10"/>
  <c r="U119" i="10"/>
  <c r="DE23" i="2" a="1"/>
  <c r="DE23" i="2"/>
  <c r="U120" i="10"/>
  <c r="U121" i="10"/>
  <c r="U122" i="10"/>
  <c r="U123" i="10"/>
  <c r="U124" i="10"/>
  <c r="U125" i="10"/>
  <c r="U126" i="10"/>
  <c r="U127" i="10"/>
  <c r="U128" i="10"/>
  <c r="U129" i="10"/>
  <c r="U130" i="10"/>
  <c r="U131" i="10"/>
  <c r="U132" i="10"/>
  <c r="DE38" i="2" a="1"/>
  <c r="DE38" i="2"/>
  <c r="U133" i="10"/>
  <c r="U134" i="10"/>
  <c r="DE88" i="2" a="1"/>
  <c r="DE88" i="2"/>
  <c r="U135" i="10"/>
  <c r="U136" i="10"/>
  <c r="DE47" i="2" a="1"/>
  <c r="DE47" i="2"/>
  <c r="U137" i="10"/>
  <c r="U138" i="10"/>
  <c r="U139" i="10"/>
  <c r="DE20" i="2" a="1"/>
  <c r="DE20" i="2"/>
  <c r="U140" i="10"/>
  <c r="U141" i="10"/>
  <c r="U142" i="10"/>
  <c r="U143" i="10"/>
  <c r="U144" i="10"/>
  <c r="U145" i="10"/>
  <c r="U146" i="10"/>
  <c r="U147" i="10"/>
  <c r="DE45" i="2" a="1"/>
  <c r="DE45" i="2"/>
  <c r="U148" i="10"/>
  <c r="DE16" i="2" a="1"/>
  <c r="DE16" i="2"/>
  <c r="U149" i="10"/>
  <c r="U150" i="10"/>
  <c r="U151" i="10"/>
  <c r="U152" i="10"/>
  <c r="U153" i="10"/>
  <c r="U154" i="10"/>
  <c r="U155" i="10"/>
  <c r="U156" i="10"/>
  <c r="U157" i="10"/>
  <c r="DE59" i="2" a="1"/>
  <c r="DE59" i="2"/>
  <c r="U158" i="10"/>
  <c r="DE11" i="2" a="1"/>
  <c r="DE11" i="2"/>
  <c r="U159" i="10"/>
  <c r="U160" i="10"/>
  <c r="U161" i="10"/>
  <c r="DE106" i="2" a="1"/>
  <c r="DE106" i="2"/>
  <c r="U162" i="10"/>
  <c r="U163" i="10"/>
  <c r="DE64" i="2" a="1"/>
  <c r="DE64" i="2"/>
  <c r="U164" i="10"/>
  <c r="U165" i="10"/>
  <c r="U166" i="10"/>
  <c r="U167" i="10"/>
  <c r="U168" i="10"/>
  <c r="U169" i="10"/>
  <c r="U170" i="10"/>
  <c r="U171" i="10"/>
  <c r="U172" i="10"/>
  <c r="U173" i="10"/>
  <c r="U174" i="10"/>
  <c r="U175" i="10"/>
  <c r="U176" i="10"/>
  <c r="DE40" i="2" a="1"/>
  <c r="DE40" i="2"/>
  <c r="U177" i="10"/>
  <c r="U178" i="10"/>
  <c r="U179" i="10"/>
  <c r="DE29" i="2" a="1"/>
  <c r="DE29" i="2"/>
  <c r="U180" i="10"/>
  <c r="U181" i="10"/>
  <c r="DE18" i="2" a="1"/>
  <c r="DE18" i="2"/>
  <c r="U182" i="10"/>
  <c r="U183" i="10"/>
  <c r="DE60" i="2" a="1"/>
  <c r="DE60" i="2"/>
  <c r="U184" i="10"/>
  <c r="U185" i="10"/>
  <c r="U186" i="10"/>
  <c r="DE17" i="2" a="1"/>
  <c r="DE17" i="2"/>
  <c r="U187" i="10"/>
  <c r="U188" i="10"/>
  <c r="U189" i="10"/>
  <c r="U190" i="10"/>
  <c r="U191" i="10"/>
  <c r="U192" i="10"/>
  <c r="DE77" i="2" a="1"/>
  <c r="DE77" i="2"/>
  <c r="U193" i="10"/>
  <c r="U194" i="10"/>
  <c r="U195" i="10"/>
  <c r="U196" i="10"/>
  <c r="U197" i="10"/>
  <c r="DE51" i="2" a="1"/>
  <c r="DE51" i="2"/>
  <c r="U198" i="10"/>
  <c r="U199" i="10"/>
  <c r="U200" i="10"/>
  <c r="U201" i="10"/>
  <c r="U202" i="10"/>
  <c r="U203" i="10"/>
  <c r="DE105" i="2" a="1"/>
  <c r="DE105" i="2"/>
  <c r="U204" i="10"/>
  <c r="U205" i="10"/>
  <c r="U206" i="10"/>
  <c r="U207" i="10"/>
  <c r="DE104" i="2" a="1"/>
  <c r="DE104" i="2"/>
  <c r="U208" i="10"/>
  <c r="U209" i="10"/>
  <c r="U210" i="10"/>
  <c r="DE28" i="2" a="1"/>
  <c r="DE28" i="2"/>
  <c r="U211" i="10"/>
  <c r="DE22" i="2" a="1"/>
  <c r="DE22" i="2"/>
  <c r="U212" i="10"/>
  <c r="U213" i="10"/>
  <c r="U214" i="10"/>
  <c r="U215" i="10"/>
  <c r="U216" i="10"/>
  <c r="U217" i="10"/>
  <c r="U218" i="10"/>
  <c r="U219" i="10"/>
  <c r="DE68" i="2" a="1"/>
  <c r="DE68" i="2"/>
  <c r="U220" i="10"/>
  <c r="DE103" i="2" a="1"/>
  <c r="DE103" i="2"/>
  <c r="U221" i="10"/>
  <c r="DE70" i="2" a="1"/>
  <c r="DE70" i="2"/>
  <c r="U222" i="10"/>
  <c r="U223" i="10"/>
  <c r="DE14" i="2" a="1"/>
  <c r="DE14" i="2"/>
  <c r="U224" i="10"/>
  <c r="U225" i="10"/>
  <c r="U226" i="10"/>
  <c r="U227" i="10"/>
  <c r="DE48" i="2" a="1"/>
  <c r="DE48" i="2"/>
  <c r="U228" i="10"/>
  <c r="U229" i="10"/>
  <c r="DE9" i="2" a="1"/>
  <c r="DE9" i="2"/>
  <c r="U230" i="10"/>
  <c r="U231" i="10"/>
  <c r="U232" i="10"/>
  <c r="U233" i="10"/>
  <c r="U234" i="10"/>
  <c r="DE37" i="2" a="1"/>
  <c r="DE37" i="2"/>
  <c r="U235" i="10"/>
  <c r="U236" i="10"/>
  <c r="DE84" i="2" a="1"/>
  <c r="DE84" i="2"/>
  <c r="U237" i="10"/>
  <c r="U238" i="10"/>
  <c r="U239" i="10"/>
  <c r="U240" i="10"/>
  <c r="U241" i="10"/>
  <c r="DE33" i="2" a="1"/>
  <c r="DE33" i="2"/>
  <c r="U242" i="10"/>
  <c r="U243" i="10"/>
  <c r="U244" i="10"/>
  <c r="U245" i="10"/>
  <c r="U246" i="10"/>
  <c r="U247" i="10"/>
  <c r="U248" i="10"/>
  <c r="U249" i="10"/>
  <c r="DE87" i="2" a="1"/>
  <c r="DE87" i="2"/>
  <c r="U250" i="10"/>
  <c r="U251" i="10"/>
  <c r="U252" i="10"/>
  <c r="DE102" i="2" a="1"/>
  <c r="DE102" i="2"/>
  <c r="U253" i="10"/>
  <c r="DE10" i="2" a="1"/>
  <c r="DE10" i="2"/>
  <c r="U254" i="10"/>
  <c r="U255" i="10"/>
  <c r="DE34" i="2" a="1"/>
  <c r="DE34" i="2"/>
  <c r="U256" i="10"/>
  <c r="U257" i="10"/>
  <c r="U258" i="10"/>
  <c r="U259" i="10"/>
  <c r="U260" i="10"/>
  <c r="U261" i="10"/>
  <c r="U262" i="10"/>
  <c r="U263" i="10"/>
  <c r="DE83" i="2" a="1"/>
  <c r="DE83" i="2"/>
  <c r="U264" i="10"/>
  <c r="DE95" i="2" a="1"/>
  <c r="DE95" i="2"/>
  <c r="U265" i="10"/>
  <c r="U266" i="10"/>
  <c r="U267" i="10"/>
  <c r="DE61" i="2" a="1"/>
  <c r="DE61" i="2"/>
  <c r="U268" i="10"/>
  <c r="U269" i="10"/>
  <c r="U270" i="10"/>
  <c r="U271" i="10"/>
  <c r="U272" i="10"/>
  <c r="DE46" i="2" a="1"/>
  <c r="DE46" i="2"/>
  <c r="U273" i="10"/>
  <c r="U274" i="10"/>
  <c r="U275" i="10"/>
  <c r="DE79" i="2" a="1"/>
  <c r="DE79" i="2"/>
  <c r="U276" i="10"/>
  <c r="U277" i="10"/>
  <c r="DE89" i="2" a="1"/>
  <c r="DE89" i="2"/>
  <c r="U278" i="10"/>
  <c r="U279" i="10"/>
  <c r="DE94" i="2" a="1"/>
  <c r="DE94" i="2"/>
  <c r="U280" i="10"/>
  <c r="DE67" i="2" a="1"/>
  <c r="DE67" i="2"/>
  <c r="U281" i="10"/>
  <c r="U282" i="10"/>
  <c r="U283" i="10"/>
  <c r="U284" i="10"/>
  <c r="U285" i="10"/>
  <c r="U286" i="10"/>
  <c r="U287" i="10"/>
  <c r="U288" i="10"/>
  <c r="DE63" i="2" a="1"/>
  <c r="DE63" i="2"/>
  <c r="U289" i="10"/>
  <c r="U290" i="10"/>
  <c r="U291" i="10"/>
  <c r="U292" i="10"/>
  <c r="U293" i="10"/>
  <c r="U294" i="10"/>
  <c r="U295" i="10"/>
  <c r="DE99" i="2" a="1"/>
  <c r="DE99" i="2"/>
  <c r="U296" i="10"/>
  <c r="DE54" i="2" a="1"/>
  <c r="DE54" i="2"/>
  <c r="U297" i="10"/>
  <c r="U298" i="10"/>
  <c r="U299" i="10"/>
  <c r="U300" i="10"/>
  <c r="U301" i="10"/>
  <c r="U302" i="10"/>
  <c r="U303" i="10"/>
  <c r="U304" i="10"/>
  <c r="DE78" i="2" a="1"/>
  <c r="DE78" i="2"/>
  <c r="U305" i="10"/>
  <c r="U306" i="10"/>
  <c r="U307" i="10"/>
  <c r="U308" i="10"/>
  <c r="U309" i="10"/>
  <c r="DE55" i="2" a="1"/>
  <c r="DE55" i="2"/>
  <c r="U310" i="10"/>
  <c r="U311" i="10"/>
  <c r="U312" i="10"/>
  <c r="U313" i="10"/>
  <c r="U314" i="10"/>
  <c r="U315" i="10"/>
  <c r="U316" i="10"/>
  <c r="U317" i="10"/>
  <c r="U318" i="10"/>
  <c r="U319" i="10"/>
  <c r="U320" i="10"/>
  <c r="U321" i="10"/>
  <c r="DE13" i="2" a="1"/>
  <c r="DE13" i="2"/>
  <c r="U322" i="10"/>
  <c r="U323" i="10"/>
  <c r="U324" i="10"/>
  <c r="DE21" i="2" a="1"/>
  <c r="DE21" i="2"/>
  <c r="U325" i="10"/>
  <c r="DE66" i="2" a="1"/>
  <c r="DE66" i="2"/>
  <c r="U326" i="10"/>
  <c r="U327" i="10"/>
  <c r="U328" i="10"/>
  <c r="DE65" i="2" a="1"/>
  <c r="DE65" i="2"/>
  <c r="U329" i="10"/>
  <c r="U330" i="10"/>
  <c r="U331" i="10"/>
  <c r="U332" i="10"/>
  <c r="DE82" i="2" a="1"/>
  <c r="DE82" i="2"/>
  <c r="U333" i="10"/>
  <c r="DE8" i="2" a="1"/>
  <c r="DE8" i="2"/>
  <c r="U334" i="10"/>
  <c r="U335" i="10"/>
  <c r="U336" i="10"/>
  <c r="U337" i="10"/>
  <c r="U338" i="10"/>
  <c r="U339" i="10"/>
  <c r="DE76" i="2" a="1"/>
  <c r="DE76" i="2"/>
  <c r="U340" i="10"/>
  <c r="DE25" i="2" a="1"/>
  <c r="DE25" i="2"/>
  <c r="U341" i="10"/>
  <c r="U342" i="10"/>
  <c r="DE97" i="2" a="1"/>
  <c r="DE97" i="2"/>
  <c r="U343" i="10"/>
  <c r="U344" i="10"/>
  <c r="U345" i="10"/>
  <c r="U346" i="10"/>
  <c r="U347" i="10"/>
  <c r="U348" i="10"/>
  <c r="U349" i="10"/>
  <c r="U350" i="10"/>
  <c r="U351" i="10"/>
  <c r="U352" i="10"/>
  <c r="DE43" i="2" a="1"/>
  <c r="DE43" i="2"/>
  <c r="U353" i="10"/>
  <c r="U354" i="10"/>
  <c r="U355" i="10"/>
  <c r="U356" i="10"/>
  <c r="U357" i="10"/>
  <c r="U358" i="10"/>
  <c r="U359" i="10"/>
  <c r="U360" i="10"/>
  <c r="U361" i="10"/>
  <c r="U362" i="10"/>
  <c r="U363" i="10"/>
  <c r="U364" i="10"/>
  <c r="U365" i="10"/>
  <c r="U366" i="10"/>
  <c r="U367" i="10"/>
  <c r="U368" i="10"/>
  <c r="U369" i="10"/>
  <c r="U370" i="10"/>
  <c r="U371" i="10"/>
  <c r="U372" i="10"/>
  <c r="U373" i="10"/>
  <c r="U374" i="10"/>
  <c r="U375" i="10"/>
  <c r="U376" i="10"/>
  <c r="U377" i="10"/>
  <c r="U378" i="10"/>
  <c r="U379" i="10"/>
  <c r="U380" i="10"/>
  <c r="U381" i="10"/>
  <c r="U382" i="10"/>
  <c r="U383" i="10"/>
  <c r="U384" i="10"/>
  <c r="U385" i="10"/>
  <c r="U386" i="10"/>
  <c r="U387" i="10"/>
  <c r="U388" i="10"/>
  <c r="U389" i="10"/>
  <c r="U390" i="10"/>
  <c r="DM90" i="2"/>
  <c r="DM91" i="2"/>
  <c r="DM92" i="2"/>
  <c r="DM64" i="2"/>
  <c r="DM93" i="2"/>
  <c r="DM94" i="2"/>
  <c r="DM41" i="2"/>
  <c r="DM95" i="2"/>
  <c r="DM96" i="2"/>
  <c r="DM97" i="2"/>
  <c r="DM98" i="2"/>
  <c r="DM69" i="2"/>
  <c r="DM99" i="2"/>
  <c r="DM100" i="2"/>
  <c r="DM101" i="2"/>
  <c r="DM102" i="2"/>
  <c r="DM103" i="2"/>
  <c r="DM104" i="2"/>
  <c r="DM105" i="2"/>
  <c r="DM72" i="2"/>
  <c r="DM106" i="2"/>
  <c r="DM107" i="2"/>
  <c r="DM108" i="2"/>
  <c r="DM109" i="2"/>
  <c r="DM13" i="2"/>
  <c r="DM110" i="2"/>
  <c r="DM53" i="2"/>
  <c r="DM27" i="2"/>
  <c r="DM111" i="2"/>
  <c r="DM112" i="2"/>
  <c r="DM113" i="2"/>
  <c r="DM114" i="2"/>
  <c r="DM115" i="2"/>
  <c r="DM52" i="2"/>
  <c r="DM40" i="2"/>
  <c r="DM116" i="2"/>
  <c r="DM117" i="2"/>
  <c r="DM118" i="2"/>
  <c r="DM119" i="2"/>
  <c r="DM120" i="2"/>
  <c r="DM58" i="2"/>
  <c r="DM121" i="2"/>
  <c r="DM44" i="2"/>
  <c r="DM43" i="2"/>
  <c r="DM10" i="2"/>
  <c r="DM122" i="2"/>
  <c r="DM123" i="2"/>
  <c r="DM62" i="2"/>
  <c r="DM24" i="2"/>
  <c r="DM56" i="2"/>
  <c r="DM68" i="2"/>
  <c r="DM65" i="2"/>
  <c r="DM39" i="2"/>
  <c r="DM124" i="2"/>
  <c r="DM125" i="2"/>
  <c r="DM126" i="2"/>
  <c r="DM127" i="2"/>
  <c r="DM8" i="2"/>
  <c r="DM128" i="2"/>
  <c r="DM34" i="2"/>
  <c r="DM9" i="2"/>
  <c r="DM129" i="2"/>
  <c r="DM130" i="2"/>
  <c r="DM131" i="2"/>
  <c r="DM132" i="2"/>
  <c r="DM133" i="2"/>
  <c r="DM22" i="2"/>
  <c r="DM134" i="2"/>
  <c r="DM28" i="2"/>
  <c r="DM135" i="2"/>
  <c r="DM136" i="2"/>
  <c r="DM137" i="2"/>
  <c r="DM138" i="2"/>
  <c r="DM139" i="2"/>
  <c r="DM140" i="2"/>
  <c r="DM89" i="2"/>
  <c r="DM141" i="2"/>
  <c r="DM142" i="2"/>
  <c r="DM50" i="2"/>
  <c r="DM143" i="2"/>
  <c r="DM51" i="2"/>
  <c r="DM144" i="2"/>
  <c r="DM88" i="2"/>
  <c r="DM145" i="2"/>
  <c r="DM146" i="2"/>
  <c r="DM147" i="2"/>
  <c r="DM87" i="2"/>
  <c r="DM148" i="2"/>
  <c r="DM86" i="2"/>
  <c r="DM16" i="2"/>
  <c r="DM149" i="2"/>
  <c r="DM150" i="2"/>
  <c r="DM46" i="2"/>
  <c r="DM151" i="2"/>
  <c r="DM152" i="2"/>
  <c r="DM153" i="2"/>
  <c r="DM154" i="2"/>
  <c r="DM155" i="2"/>
  <c r="DM54" i="2"/>
  <c r="DM156" i="2"/>
  <c r="DM157" i="2"/>
  <c r="DM158" i="2"/>
  <c r="DM159" i="2"/>
  <c r="DM160" i="2"/>
  <c r="DM161" i="2"/>
  <c r="DM162" i="2"/>
  <c r="DM163" i="2"/>
  <c r="DM164" i="2"/>
  <c r="DM165" i="2"/>
  <c r="DM166" i="2"/>
  <c r="DM167" i="2"/>
  <c r="DM168" i="2"/>
  <c r="DM169" i="2"/>
  <c r="DM170" i="2"/>
  <c r="DM85" i="2"/>
  <c r="DM171" i="2"/>
  <c r="DM172" i="2"/>
  <c r="DM173" i="2"/>
  <c r="DM174" i="2"/>
  <c r="DM175" i="2"/>
  <c r="DM176" i="2"/>
  <c r="DM177" i="2"/>
  <c r="DM178" i="2"/>
  <c r="DM179" i="2"/>
  <c r="DM180" i="2"/>
  <c r="DM181" i="2"/>
  <c r="DM182" i="2"/>
  <c r="DM183" i="2"/>
  <c r="DM184" i="2"/>
  <c r="DM84" i="2"/>
  <c r="DM185" i="2"/>
  <c r="DM49" i="2"/>
  <c r="DM186" i="2"/>
  <c r="DM187" i="2"/>
  <c r="DM188" i="2"/>
  <c r="DM189" i="2"/>
  <c r="DM190" i="2"/>
  <c r="DM191" i="2"/>
  <c r="DM192" i="2"/>
  <c r="DM193" i="2"/>
  <c r="DM194" i="2"/>
  <c r="DM195" i="2"/>
  <c r="DM17" i="2"/>
  <c r="DM33" i="2"/>
  <c r="DM196" i="2"/>
  <c r="DM197" i="2"/>
  <c r="DM198" i="2"/>
  <c r="DM199" i="2"/>
  <c r="DM200" i="2"/>
  <c r="DM201" i="2"/>
  <c r="DM202" i="2"/>
  <c r="DM203" i="2"/>
  <c r="DM204" i="2"/>
  <c r="DM83" i="2"/>
  <c r="DM35" i="2"/>
  <c r="DM205" i="2"/>
  <c r="DM206" i="2"/>
  <c r="DM207" i="2"/>
  <c r="DM208" i="2"/>
  <c r="DM209" i="2"/>
  <c r="DM60" i="2"/>
  <c r="DM210" i="2"/>
  <c r="DM211" i="2"/>
  <c r="DM212" i="2"/>
  <c r="DM213" i="2"/>
  <c r="DM214" i="2"/>
  <c r="DM215" i="2"/>
  <c r="DM216" i="2"/>
  <c r="DM217" i="2"/>
  <c r="DM59" i="2"/>
  <c r="DM218" i="2"/>
  <c r="DM219" i="2"/>
  <c r="DM220" i="2"/>
  <c r="DM82" i="2"/>
  <c r="DM31" i="2"/>
  <c r="DM221" i="2"/>
  <c r="DM63" i="2"/>
  <c r="DM222" i="2"/>
  <c r="DM223" i="2"/>
  <c r="DM224" i="2"/>
  <c r="DM225" i="2"/>
  <c r="DM81" i="2"/>
  <c r="DM226" i="2"/>
  <c r="DM45" i="2"/>
  <c r="DM227" i="2"/>
  <c r="DM228" i="2"/>
  <c r="DM229" i="2"/>
  <c r="DM230" i="2"/>
  <c r="DM231" i="2"/>
  <c r="DM232" i="2"/>
  <c r="DM233" i="2"/>
  <c r="DM80" i="2"/>
  <c r="DM79" i="2"/>
  <c r="DM234" i="2"/>
  <c r="DM235" i="2"/>
  <c r="DM236" i="2"/>
  <c r="DM237" i="2"/>
  <c r="DM238" i="2"/>
  <c r="DM239" i="2"/>
  <c r="DM240" i="2"/>
  <c r="DM241" i="2"/>
  <c r="DM242" i="2"/>
  <c r="DM78" i="2"/>
  <c r="DM243" i="2"/>
  <c r="DM244" i="2"/>
  <c r="DM48" i="2"/>
  <c r="DM21" i="2"/>
  <c r="DM245" i="2"/>
  <c r="DM246" i="2"/>
  <c r="DM247" i="2"/>
  <c r="DM248" i="2"/>
  <c r="DM249" i="2"/>
  <c r="DM250" i="2"/>
  <c r="DM251" i="2"/>
  <c r="DM77" i="2"/>
  <c r="DM55" i="2"/>
  <c r="DM252" i="2"/>
  <c r="DM253" i="2"/>
  <c r="DM76" i="2"/>
  <c r="DM254" i="2"/>
  <c r="DM255" i="2"/>
  <c r="DM256" i="2"/>
  <c r="DM66" i="2"/>
  <c r="DM257" i="2"/>
  <c r="DM12" i="2"/>
  <c r="DM258" i="2"/>
  <c r="DM259" i="2"/>
  <c r="DM260" i="2"/>
  <c r="DM75" i="2"/>
  <c r="DM74" i="2"/>
  <c r="DM261" i="2"/>
  <c r="DM32" i="2"/>
  <c r="DM262" i="2"/>
  <c r="DM263" i="2"/>
  <c r="DM264" i="2"/>
  <c r="DM265" i="2"/>
  <c r="DM29" i="2"/>
  <c r="DM266" i="2"/>
  <c r="DM267" i="2"/>
  <c r="DM268" i="2"/>
  <c r="DM269" i="2"/>
  <c r="DM270" i="2"/>
  <c r="DM271" i="2"/>
  <c r="DM272" i="2"/>
  <c r="DM18" i="2"/>
  <c r="DM273" i="2"/>
  <c r="DM274" i="2"/>
  <c r="DM275" i="2"/>
  <c r="DM276" i="2"/>
  <c r="DM277" i="2"/>
  <c r="DM38" i="2"/>
  <c r="DM278" i="2"/>
  <c r="DM279" i="2"/>
  <c r="DM280" i="2"/>
  <c r="DM281" i="2"/>
  <c r="DM282" i="2"/>
  <c r="DM283" i="2"/>
  <c r="DM284" i="2"/>
  <c r="DM30" i="2"/>
  <c r="DM285" i="2"/>
  <c r="DM47" i="2"/>
  <c r="DM286" i="2"/>
  <c r="DM19" i="2"/>
  <c r="DM287" i="2"/>
  <c r="DM37" i="2"/>
  <c r="DM288" i="2"/>
  <c r="DM289" i="2"/>
  <c r="DM290" i="2"/>
  <c r="DM291" i="2"/>
  <c r="DM292" i="2"/>
  <c r="DM293" i="2"/>
  <c r="DM294" i="2"/>
  <c r="DM15" i="2"/>
  <c r="DM295" i="2"/>
  <c r="DM296" i="2"/>
  <c r="DM297" i="2"/>
  <c r="DM14" i="2"/>
  <c r="DM298" i="2"/>
  <c r="DM299" i="2"/>
  <c r="DM300" i="2"/>
  <c r="DM301" i="2"/>
  <c r="DM302" i="2"/>
  <c r="DM303" i="2"/>
  <c r="DM304" i="2"/>
  <c r="DM305" i="2"/>
  <c r="DM306" i="2"/>
  <c r="DM307" i="2"/>
  <c r="DM308" i="2"/>
  <c r="DM309" i="2"/>
  <c r="DM310" i="2"/>
  <c r="DM311" i="2"/>
  <c r="DM312" i="2"/>
  <c r="DM313" i="2"/>
  <c r="DM314" i="2"/>
  <c r="DM315" i="2"/>
  <c r="DM316" i="2"/>
  <c r="DM317" i="2"/>
  <c r="DM71" i="2"/>
  <c r="DM318" i="2"/>
  <c r="DM57" i="2"/>
  <c r="DM319" i="2"/>
  <c r="DM320" i="2"/>
  <c r="DM321" i="2"/>
  <c r="DM322" i="2"/>
  <c r="DM23" i="2"/>
  <c r="DM323" i="2"/>
  <c r="DM324" i="2"/>
  <c r="DM325" i="2"/>
  <c r="DM326" i="2"/>
  <c r="DM327" i="2"/>
  <c r="DM328" i="2"/>
  <c r="DM329" i="2"/>
  <c r="DM330" i="2"/>
  <c r="DM20" i="2"/>
  <c r="DM331" i="2"/>
  <c r="DM332" i="2"/>
  <c r="DM333" i="2"/>
  <c r="DM334" i="2"/>
  <c r="DM335" i="2"/>
  <c r="DM336" i="2"/>
  <c r="DM337" i="2"/>
  <c r="DM338" i="2"/>
  <c r="DM339" i="2"/>
  <c r="DM42" i="2"/>
  <c r="DM340" i="2"/>
  <c r="DM341" i="2"/>
  <c r="DM342" i="2"/>
  <c r="DM61" i="2"/>
  <c r="DM67" i="2"/>
  <c r="DM343" i="2"/>
  <c r="DM344" i="2"/>
  <c r="DM345" i="2"/>
  <c r="DM346" i="2"/>
  <c r="DM347" i="2"/>
  <c r="DM348" i="2"/>
  <c r="DM26" i="2"/>
  <c r="DM349" i="2"/>
  <c r="DM350" i="2"/>
  <c r="DM351" i="2"/>
  <c r="DM352" i="2"/>
  <c r="DM353" i="2"/>
  <c r="DM70" i="2"/>
  <c r="DM25" i="2"/>
  <c r="DM354" i="2"/>
  <c r="DM36" i="2"/>
  <c r="DM355" i="2"/>
  <c r="DM356" i="2"/>
  <c r="DM11" i="2"/>
  <c r="DM357" i="2"/>
  <c r="DM73" i="2"/>
  <c r="DM358" i="2"/>
  <c r="DM359" i="2"/>
  <c r="DM360" i="2"/>
  <c r="DM361" i="2"/>
  <c r="DM362" i="2"/>
  <c r="DM363" i="2"/>
  <c r="DM364" i="2"/>
  <c r="DM365" i="2"/>
  <c r="DM366" i="2"/>
  <c r="DM367" i="2"/>
  <c r="DM368" i="2"/>
  <c r="DM369" i="2"/>
  <c r="DM370" i="2"/>
  <c r="DM371" i="2"/>
  <c r="DM372" i="2"/>
  <c r="DM373" i="2"/>
  <c r="DM374" i="2"/>
  <c r="DM375" i="2"/>
  <c r="DM376" i="2"/>
  <c r="DM377" i="2"/>
  <c r="DM378" i="2"/>
  <c r="DM379" i="2"/>
  <c r="DM380" i="2"/>
  <c r="DM381" i="2"/>
  <c r="DM382" i="2"/>
  <c r="DM383" i="2"/>
  <c r="DM384" i="2"/>
  <c r="DM385" i="2"/>
  <c r="DM386" i="2"/>
  <c r="DM387" i="2"/>
  <c r="DM388" i="2"/>
  <c r="DM389" i="2"/>
  <c r="DM390" i="2"/>
  <c r="DM391" i="2"/>
  <c r="DM392" i="2"/>
  <c r="DM393" i="2"/>
  <c r="DM394" i="2"/>
  <c r="DM395" i="2"/>
  <c r="DM396" i="2"/>
  <c r="DM397" i="2"/>
  <c r="DM398" i="2"/>
  <c r="DM399" i="2"/>
  <c r="DM400" i="2"/>
  <c r="DM401" i="2"/>
  <c r="DM402" i="2"/>
  <c r="DM403" i="2"/>
  <c r="DM404" i="2"/>
  <c r="DM405" i="2"/>
  <c r="DM406" i="2"/>
  <c r="DM407" i="2"/>
  <c r="DM408" i="2"/>
  <c r="DM409" i="2"/>
  <c r="DM410" i="2"/>
  <c r="DM411" i="2"/>
  <c r="DM412" i="2"/>
  <c r="DM413" i="2"/>
  <c r="DM414" i="2"/>
  <c r="DM415" i="2"/>
  <c r="DM416" i="2"/>
  <c r="DM417" i="2"/>
  <c r="DM418" i="2"/>
  <c r="DM419" i="2"/>
  <c r="DM420" i="2"/>
  <c r="DM421" i="2"/>
  <c r="DM422" i="2"/>
  <c r="DM423" i="2"/>
  <c r="DM424" i="2"/>
  <c r="DM425" i="2"/>
  <c r="DM426" i="2"/>
  <c r="DM427" i="2"/>
  <c r="DM428" i="2"/>
  <c r="DM429" i="2"/>
  <c r="DM430" i="2"/>
  <c r="DM431" i="2"/>
  <c r="DM432" i="2"/>
  <c r="DM433" i="2"/>
  <c r="DM434" i="2"/>
  <c r="DM435" i="2"/>
  <c r="DM436" i="2"/>
  <c r="DM437" i="2"/>
  <c r="DM438" i="2"/>
  <c r="DM439" i="2"/>
  <c r="DM440" i="2"/>
  <c r="DM441" i="2"/>
  <c r="DM442" i="2"/>
  <c r="DM443" i="2"/>
  <c r="DM444" i="2"/>
  <c r="DM445" i="2"/>
  <c r="DM446" i="2"/>
  <c r="DM447" i="2"/>
  <c r="DM448" i="2"/>
  <c r="DM449" i="2"/>
  <c r="DM450" i="2"/>
  <c r="DM451" i="2"/>
  <c r="DM452" i="2"/>
  <c r="DM453" i="2"/>
  <c r="DM454" i="2"/>
  <c r="DM455" i="2"/>
  <c r="DM456" i="2"/>
  <c r="DM457" i="2"/>
  <c r="DM458" i="2"/>
  <c r="DM459" i="2"/>
  <c r="DM460" i="2"/>
  <c r="DM461" i="2"/>
  <c r="DM462" i="2"/>
  <c r="DM463" i="2"/>
  <c r="DM464" i="2"/>
  <c r="DM465" i="2"/>
  <c r="DM466" i="2"/>
  <c r="DM467" i="2"/>
  <c r="DM468" i="2"/>
  <c r="DM469" i="2"/>
  <c r="DM470" i="2"/>
  <c r="DM471" i="2"/>
  <c r="DM472" i="2"/>
  <c r="DM473" i="2"/>
  <c r="DM474" i="2"/>
  <c r="DM475" i="2"/>
  <c r="DM476" i="2"/>
  <c r="DM477" i="2"/>
  <c r="DM478" i="2"/>
  <c r="DM479" i="2"/>
  <c r="DM480" i="2"/>
  <c r="DM481" i="2"/>
  <c r="DM482" i="2"/>
  <c r="DM483" i="2"/>
  <c r="DM484" i="2"/>
  <c r="DM485" i="2"/>
  <c r="DM486" i="2"/>
  <c r="DM487" i="2"/>
  <c r="DM488" i="2"/>
  <c r="DM489" i="2"/>
  <c r="DM490" i="2"/>
  <c r="DM491" i="2"/>
  <c r="DM492" i="2"/>
  <c r="DM493" i="2"/>
  <c r="DM494" i="2"/>
  <c r="DM495" i="2"/>
  <c r="DM496" i="2"/>
  <c r="DM497" i="2"/>
  <c r="DM498" i="2"/>
  <c r="DM499" i="2"/>
  <c r="DM500" i="2"/>
  <c r="DP500" i="2"/>
  <c r="DQ500" i="2" a="1"/>
  <c r="DQ500" i="2"/>
  <c r="DP499" i="2"/>
  <c r="DQ499" i="2" a="1"/>
  <c r="DQ499" i="2"/>
  <c r="DP498" i="2"/>
  <c r="DQ498" i="2" a="1"/>
  <c r="DQ498" i="2"/>
  <c r="DP497" i="2"/>
  <c r="DQ497" i="2" a="1"/>
  <c r="DQ497" i="2"/>
  <c r="DP496" i="2"/>
  <c r="DQ496" i="2" a="1"/>
  <c r="DQ496" i="2"/>
  <c r="DP495" i="2"/>
  <c r="DQ495" i="2" a="1"/>
  <c r="DQ495" i="2"/>
  <c r="DP494" i="2"/>
  <c r="DQ494" i="2" a="1"/>
  <c r="DQ494" i="2"/>
  <c r="DP493" i="2"/>
  <c r="DQ493" i="2" a="1"/>
  <c r="DQ493" i="2"/>
  <c r="DP492" i="2"/>
  <c r="DQ492" i="2" a="1"/>
  <c r="DQ492" i="2"/>
  <c r="DP491" i="2"/>
  <c r="DQ491" i="2" a="1"/>
  <c r="DQ491" i="2"/>
  <c r="DP490" i="2"/>
  <c r="DQ490" i="2" a="1"/>
  <c r="DQ490" i="2"/>
  <c r="DP489" i="2"/>
  <c r="DQ489" i="2" a="1"/>
  <c r="DQ489" i="2"/>
  <c r="DP488" i="2"/>
  <c r="DQ488" i="2" a="1"/>
  <c r="DQ488" i="2"/>
  <c r="DP487" i="2"/>
  <c r="DQ487" i="2" a="1"/>
  <c r="DQ487" i="2"/>
  <c r="DP486" i="2"/>
  <c r="DQ486" i="2" a="1"/>
  <c r="DQ486" i="2"/>
  <c r="DP485" i="2"/>
  <c r="DQ485" i="2" a="1"/>
  <c r="DQ485" i="2"/>
  <c r="DP484" i="2"/>
  <c r="DQ484" i="2" a="1"/>
  <c r="DQ484" i="2"/>
  <c r="DP483" i="2"/>
  <c r="DQ483" i="2" a="1"/>
  <c r="DQ483" i="2"/>
  <c r="DP482" i="2"/>
  <c r="DQ482" i="2" a="1"/>
  <c r="DQ482" i="2"/>
  <c r="DP481" i="2"/>
  <c r="DQ481" i="2" a="1"/>
  <c r="DQ481" i="2"/>
  <c r="DP480" i="2"/>
  <c r="DQ480" i="2" a="1"/>
  <c r="DQ480" i="2"/>
  <c r="DP479" i="2"/>
  <c r="DQ479" i="2" a="1"/>
  <c r="DQ479" i="2"/>
  <c r="DP478" i="2"/>
  <c r="DQ478" i="2" a="1"/>
  <c r="DQ478" i="2"/>
  <c r="DP477" i="2"/>
  <c r="DQ477" i="2" a="1"/>
  <c r="DQ477" i="2"/>
  <c r="DP476" i="2"/>
  <c r="DQ476" i="2" a="1"/>
  <c r="DQ476" i="2"/>
  <c r="DP475" i="2"/>
  <c r="DQ475" i="2" a="1"/>
  <c r="DQ475" i="2"/>
  <c r="DP474" i="2"/>
  <c r="DQ474" i="2" a="1"/>
  <c r="DQ474" i="2"/>
  <c r="DP473" i="2"/>
  <c r="DQ473" i="2" a="1"/>
  <c r="DQ473" i="2"/>
  <c r="DP472" i="2"/>
  <c r="DQ472" i="2" a="1"/>
  <c r="DQ472" i="2"/>
  <c r="DP471" i="2"/>
  <c r="DQ471" i="2" a="1"/>
  <c r="DQ471" i="2"/>
  <c r="DP470" i="2"/>
  <c r="DQ470" i="2" a="1"/>
  <c r="DQ470" i="2"/>
  <c r="DP469" i="2"/>
  <c r="DQ469" i="2" a="1"/>
  <c r="DQ469" i="2"/>
  <c r="DP468" i="2"/>
  <c r="DQ468" i="2" a="1"/>
  <c r="DQ468" i="2"/>
  <c r="DP467" i="2"/>
  <c r="DQ467" i="2" a="1"/>
  <c r="DQ467" i="2"/>
  <c r="DP466" i="2"/>
  <c r="DQ466" i="2" a="1"/>
  <c r="DQ466" i="2"/>
  <c r="DP465" i="2"/>
  <c r="DQ465" i="2" a="1"/>
  <c r="DQ465" i="2"/>
  <c r="DP464" i="2"/>
  <c r="DQ464" i="2" a="1"/>
  <c r="DQ464" i="2"/>
  <c r="DP463" i="2"/>
  <c r="DQ463" i="2" a="1"/>
  <c r="DQ463" i="2"/>
  <c r="DP462" i="2"/>
  <c r="DQ462" i="2" a="1"/>
  <c r="DQ462" i="2"/>
  <c r="DP461" i="2"/>
  <c r="DQ461" i="2" a="1"/>
  <c r="DQ461" i="2"/>
  <c r="DP460" i="2"/>
  <c r="DQ460" i="2" a="1"/>
  <c r="DQ460" i="2"/>
  <c r="DP459" i="2"/>
  <c r="DQ459" i="2" a="1"/>
  <c r="DQ459" i="2"/>
  <c r="DP458" i="2"/>
  <c r="DQ458" i="2" a="1"/>
  <c r="DQ458" i="2"/>
  <c r="DP457" i="2"/>
  <c r="DQ457" i="2" a="1"/>
  <c r="DQ457" i="2"/>
  <c r="DP456" i="2"/>
  <c r="DQ456" i="2" a="1"/>
  <c r="DQ456" i="2"/>
  <c r="DP455" i="2"/>
  <c r="DQ455" i="2" a="1"/>
  <c r="DQ455" i="2"/>
  <c r="DP454" i="2"/>
  <c r="DQ454" i="2" a="1"/>
  <c r="DQ454" i="2"/>
  <c r="DP453" i="2"/>
  <c r="DQ453" i="2" a="1"/>
  <c r="DQ453" i="2"/>
  <c r="DP452" i="2"/>
  <c r="DQ452" i="2" a="1"/>
  <c r="DQ452" i="2"/>
  <c r="DP451" i="2"/>
  <c r="DQ451" i="2" a="1"/>
  <c r="DQ451" i="2"/>
  <c r="DP450" i="2"/>
  <c r="DQ450" i="2" a="1"/>
  <c r="DQ450" i="2"/>
  <c r="DP449" i="2"/>
  <c r="DQ449" i="2" a="1"/>
  <c r="DQ449" i="2"/>
  <c r="DP448" i="2"/>
  <c r="DQ448" i="2" a="1"/>
  <c r="DQ448" i="2"/>
  <c r="DP447" i="2"/>
  <c r="DQ447" i="2" a="1"/>
  <c r="DQ447" i="2"/>
  <c r="DP446" i="2"/>
  <c r="DQ446" i="2" a="1"/>
  <c r="DQ446" i="2"/>
  <c r="DP445" i="2"/>
  <c r="DQ445" i="2" a="1"/>
  <c r="DQ445" i="2"/>
  <c r="DP444" i="2"/>
  <c r="DQ444" i="2" a="1"/>
  <c r="DQ444" i="2"/>
  <c r="DP443" i="2"/>
  <c r="DQ443" i="2" a="1"/>
  <c r="DQ443" i="2"/>
  <c r="DP442" i="2"/>
  <c r="DQ442" i="2" a="1"/>
  <c r="DQ442" i="2"/>
  <c r="DP441" i="2"/>
  <c r="DQ441" i="2" a="1"/>
  <c r="DQ441" i="2"/>
  <c r="DP440" i="2"/>
  <c r="DQ440" i="2" a="1"/>
  <c r="DQ440" i="2"/>
  <c r="DP439" i="2"/>
  <c r="DQ439" i="2" a="1"/>
  <c r="DQ439" i="2"/>
  <c r="DP438" i="2"/>
  <c r="DQ438" i="2" a="1"/>
  <c r="DQ438" i="2"/>
  <c r="DP437" i="2"/>
  <c r="DQ437" i="2" a="1"/>
  <c r="DQ437" i="2"/>
  <c r="DP436" i="2"/>
  <c r="DQ436" i="2" a="1"/>
  <c r="DQ436" i="2"/>
  <c r="DP435" i="2"/>
  <c r="DQ435" i="2" a="1"/>
  <c r="DQ435" i="2"/>
  <c r="DP434" i="2"/>
  <c r="DQ434" i="2" a="1"/>
  <c r="DQ434" i="2"/>
  <c r="DP433" i="2"/>
  <c r="DQ433" i="2" a="1"/>
  <c r="DQ433" i="2"/>
  <c r="DP432" i="2"/>
  <c r="DQ432" i="2" a="1"/>
  <c r="DQ432" i="2"/>
  <c r="DP431" i="2"/>
  <c r="DQ431" i="2" a="1"/>
  <c r="DQ431" i="2"/>
  <c r="DP430" i="2"/>
  <c r="DQ430" i="2" a="1"/>
  <c r="DQ430" i="2"/>
  <c r="DP429" i="2"/>
  <c r="DQ429" i="2" a="1"/>
  <c r="DQ429" i="2"/>
  <c r="DP428" i="2"/>
  <c r="DQ428" i="2" a="1"/>
  <c r="DQ428" i="2"/>
  <c r="DP427" i="2"/>
  <c r="DQ427" i="2" a="1"/>
  <c r="DQ427" i="2"/>
  <c r="DP426" i="2"/>
  <c r="DQ426" i="2" a="1"/>
  <c r="DQ426" i="2"/>
  <c r="DP425" i="2"/>
  <c r="DQ425" i="2" a="1"/>
  <c r="DQ425" i="2"/>
  <c r="DP424" i="2"/>
  <c r="DQ424" i="2" a="1"/>
  <c r="DQ424" i="2"/>
  <c r="DP423" i="2"/>
  <c r="DQ423" i="2" a="1"/>
  <c r="DQ423" i="2"/>
  <c r="DP422" i="2"/>
  <c r="DQ422" i="2" a="1"/>
  <c r="DQ422" i="2"/>
  <c r="DP421" i="2"/>
  <c r="DQ421" i="2" a="1"/>
  <c r="DQ421" i="2"/>
  <c r="DP420" i="2"/>
  <c r="DQ420" i="2" a="1"/>
  <c r="DQ420" i="2"/>
  <c r="DP419" i="2"/>
  <c r="DQ419" i="2" a="1"/>
  <c r="DQ419" i="2"/>
  <c r="DP418" i="2"/>
  <c r="DQ418" i="2" a="1"/>
  <c r="DQ418" i="2"/>
  <c r="DP417" i="2"/>
  <c r="DQ417" i="2" a="1"/>
  <c r="DQ417" i="2"/>
  <c r="DP416" i="2"/>
  <c r="DQ416" i="2" a="1"/>
  <c r="DQ416" i="2"/>
  <c r="DP415" i="2"/>
  <c r="DQ415" i="2" a="1"/>
  <c r="DQ415" i="2"/>
  <c r="DP414" i="2"/>
  <c r="DQ414" i="2" a="1"/>
  <c r="DQ414" i="2"/>
  <c r="DP413" i="2"/>
  <c r="DQ413" i="2" a="1"/>
  <c r="DQ413" i="2"/>
  <c r="DP412" i="2"/>
  <c r="DQ412" i="2" a="1"/>
  <c r="DQ412" i="2"/>
  <c r="DP411" i="2"/>
  <c r="DQ411" i="2" a="1"/>
  <c r="DQ411" i="2"/>
  <c r="DP410" i="2"/>
  <c r="DQ410" i="2" a="1"/>
  <c r="DQ410" i="2"/>
  <c r="DP409" i="2"/>
  <c r="DQ409" i="2" a="1"/>
  <c r="DQ409" i="2"/>
  <c r="DP408" i="2"/>
  <c r="DQ408" i="2" a="1"/>
  <c r="DQ408" i="2"/>
  <c r="DP407" i="2"/>
  <c r="DQ407" i="2" a="1"/>
  <c r="DQ407" i="2"/>
  <c r="DP406" i="2"/>
  <c r="DQ406" i="2" a="1"/>
  <c r="DQ406" i="2"/>
  <c r="DP405" i="2"/>
  <c r="DQ405" i="2" a="1"/>
  <c r="DQ405" i="2"/>
  <c r="DP404" i="2"/>
  <c r="DQ404" i="2" a="1"/>
  <c r="DQ404" i="2"/>
  <c r="DP403" i="2"/>
  <c r="DQ403" i="2" a="1"/>
  <c r="DQ403" i="2"/>
  <c r="DP402" i="2"/>
  <c r="DQ402" i="2" a="1"/>
  <c r="DQ402" i="2"/>
  <c r="DP401" i="2"/>
  <c r="DQ401" i="2" a="1"/>
  <c r="DQ401" i="2"/>
  <c r="DP400" i="2"/>
  <c r="DQ400" i="2" a="1"/>
  <c r="DQ400" i="2"/>
  <c r="DP399" i="2"/>
  <c r="DQ399" i="2" a="1"/>
  <c r="DQ399" i="2"/>
  <c r="DP398" i="2"/>
  <c r="DQ398" i="2" a="1"/>
  <c r="DQ398" i="2"/>
  <c r="DP397" i="2"/>
  <c r="DQ397" i="2" a="1"/>
  <c r="DQ397" i="2"/>
  <c r="DP396" i="2"/>
  <c r="DQ396" i="2" a="1"/>
  <c r="DQ396" i="2"/>
  <c r="DP395" i="2"/>
  <c r="DQ395" i="2" a="1"/>
  <c r="DQ395" i="2"/>
  <c r="DP394" i="2"/>
  <c r="DQ394" i="2" a="1"/>
  <c r="DQ394" i="2"/>
  <c r="DP393" i="2"/>
  <c r="DQ393" i="2" a="1"/>
  <c r="DQ393" i="2"/>
  <c r="DP392" i="2"/>
  <c r="DQ392" i="2" a="1"/>
  <c r="DQ392" i="2"/>
  <c r="DP391" i="2"/>
  <c r="DQ391" i="2" a="1"/>
  <c r="DQ391" i="2"/>
  <c r="DP390" i="2"/>
  <c r="DQ390" i="2" a="1"/>
  <c r="DQ390" i="2"/>
  <c r="DP389" i="2"/>
  <c r="DQ389" i="2" a="1"/>
  <c r="DQ389" i="2"/>
  <c r="DP388" i="2"/>
  <c r="DQ388" i="2" a="1"/>
  <c r="DQ388" i="2"/>
  <c r="DP387" i="2"/>
  <c r="DQ387" i="2" a="1"/>
  <c r="DQ387" i="2"/>
  <c r="DP386" i="2"/>
  <c r="DQ386" i="2" a="1"/>
  <c r="DQ386" i="2"/>
  <c r="DP385" i="2"/>
  <c r="DQ385" i="2" a="1"/>
  <c r="DQ385" i="2"/>
  <c r="DP384" i="2"/>
  <c r="DQ384" i="2" a="1"/>
  <c r="DQ384" i="2"/>
  <c r="DP383" i="2"/>
  <c r="DQ383" i="2" a="1"/>
  <c r="DQ383" i="2"/>
  <c r="DP382" i="2"/>
  <c r="DQ382" i="2" a="1"/>
  <c r="DQ382" i="2"/>
  <c r="DP381" i="2"/>
  <c r="DQ381" i="2" a="1"/>
  <c r="DQ381" i="2"/>
  <c r="DP380" i="2"/>
  <c r="DQ380" i="2" a="1"/>
  <c r="DQ380" i="2"/>
  <c r="DP379" i="2"/>
  <c r="DQ379" i="2" a="1"/>
  <c r="DQ379" i="2"/>
  <c r="DP378" i="2"/>
  <c r="DQ378" i="2" a="1"/>
  <c r="DQ378" i="2"/>
  <c r="DP377" i="2"/>
  <c r="DQ377" i="2" a="1"/>
  <c r="DQ377" i="2"/>
  <c r="DP376" i="2"/>
  <c r="DQ376" i="2" a="1"/>
  <c r="DQ376" i="2"/>
  <c r="DP375" i="2"/>
  <c r="DQ375" i="2" a="1"/>
  <c r="DQ375" i="2"/>
  <c r="DP374" i="2"/>
  <c r="DQ374" i="2" a="1"/>
  <c r="DQ374" i="2"/>
  <c r="DP373" i="2"/>
  <c r="DQ373" i="2" a="1"/>
  <c r="DQ373" i="2"/>
  <c r="DP372" i="2"/>
  <c r="DQ372" i="2" a="1"/>
  <c r="DQ372" i="2"/>
  <c r="DP371" i="2"/>
  <c r="DQ371" i="2" a="1"/>
  <c r="DQ371" i="2"/>
  <c r="DP370" i="2"/>
  <c r="DQ370" i="2" a="1"/>
  <c r="DQ370" i="2"/>
  <c r="DP369" i="2"/>
  <c r="DQ369" i="2" a="1"/>
  <c r="DQ369" i="2"/>
  <c r="DP368" i="2"/>
  <c r="DQ368" i="2" a="1"/>
  <c r="DQ368" i="2"/>
  <c r="DP367" i="2"/>
  <c r="DQ367" i="2" a="1"/>
  <c r="DQ367" i="2"/>
  <c r="DP366" i="2"/>
  <c r="DQ366" i="2" a="1"/>
  <c r="DQ366" i="2"/>
  <c r="DP365" i="2"/>
  <c r="DQ365" i="2" a="1"/>
  <c r="DQ365" i="2"/>
  <c r="DP364" i="2"/>
  <c r="DQ364" i="2" a="1"/>
  <c r="DQ364" i="2"/>
  <c r="DP363" i="2"/>
  <c r="DQ363" i="2" a="1"/>
  <c r="DQ363" i="2"/>
  <c r="DP362" i="2"/>
  <c r="DQ362" i="2" a="1"/>
  <c r="DQ362" i="2"/>
  <c r="DP361" i="2"/>
  <c r="DQ361" i="2" a="1"/>
  <c r="DQ361" i="2"/>
  <c r="DP360" i="2"/>
  <c r="DQ360" i="2" a="1"/>
  <c r="DQ360" i="2"/>
  <c r="DP359" i="2"/>
  <c r="DQ359" i="2" a="1"/>
  <c r="DQ359" i="2"/>
  <c r="DP358" i="2"/>
  <c r="DQ358" i="2" a="1"/>
  <c r="DQ358" i="2"/>
  <c r="DP73" i="2"/>
  <c r="DQ73" i="2" a="1"/>
  <c r="DQ73" i="2"/>
  <c r="DP357" i="2"/>
  <c r="DQ357" i="2" a="1"/>
  <c r="DQ357" i="2"/>
  <c r="DN2" i="2" a="1"/>
  <c r="DN2" i="2"/>
  <c r="DP11" i="2"/>
  <c r="DP36" i="2"/>
  <c r="DP25" i="2"/>
  <c r="DP70" i="2"/>
  <c r="DP26" i="2"/>
  <c r="DP67" i="2"/>
  <c r="DP61" i="2"/>
  <c r="DP9" i="2"/>
  <c r="DP64" i="2"/>
  <c r="DP42" i="2"/>
  <c r="DP20" i="2"/>
  <c r="DP23" i="2"/>
  <c r="DP34" i="2"/>
  <c r="DP57" i="2"/>
  <c r="DP71" i="2"/>
  <c r="DP69" i="2"/>
  <c r="DP8" i="2"/>
  <c r="DP72" i="2"/>
  <c r="DP14" i="2"/>
  <c r="DP39" i="2"/>
  <c r="DP65" i="2"/>
  <c r="DP15" i="2"/>
  <c r="DP68" i="2"/>
  <c r="DP56" i="2"/>
  <c r="DP24" i="2"/>
  <c r="DP62" i="2"/>
  <c r="DP37" i="2"/>
  <c r="DP19" i="2"/>
  <c r="DP47" i="2"/>
  <c r="DP30" i="2"/>
  <c r="DP38" i="2"/>
  <c r="DP43" i="2"/>
  <c r="DP18" i="2"/>
  <c r="DP10" i="2"/>
  <c r="DP29" i="2"/>
  <c r="DP44" i="2"/>
  <c r="DP32" i="2"/>
  <c r="DP74" i="2"/>
  <c r="DP75" i="2"/>
  <c r="DP12" i="2"/>
  <c r="DP66" i="2"/>
  <c r="DP76" i="2"/>
  <c r="DP55" i="2"/>
  <c r="DP77" i="2"/>
  <c r="DP21" i="2"/>
  <c r="DP48" i="2"/>
  <c r="DP78" i="2"/>
  <c r="DP79" i="2"/>
  <c r="DP80" i="2"/>
  <c r="DP58" i="2"/>
  <c r="DP45" i="2"/>
  <c r="DP81" i="2"/>
  <c r="DP63" i="2"/>
  <c r="DP31" i="2"/>
  <c r="DP82" i="2"/>
  <c r="DP59" i="2"/>
  <c r="DP60" i="2"/>
  <c r="DP83" i="2"/>
  <c r="DP40" i="2"/>
  <c r="DP41" i="2"/>
  <c r="DP33" i="2"/>
  <c r="DP17" i="2"/>
  <c r="DP49" i="2"/>
  <c r="DP84" i="2"/>
  <c r="DP27" i="2"/>
  <c r="DP85" i="2"/>
  <c r="DP53" i="2"/>
  <c r="DP46" i="2"/>
  <c r="DP16" i="2"/>
  <c r="DP86" i="2"/>
  <c r="DP13" i="2"/>
  <c r="DP87" i="2"/>
  <c r="DP88" i="2"/>
  <c r="DP51" i="2"/>
  <c r="DP50" i="2"/>
  <c r="DP89" i="2"/>
  <c r="DP28" i="2"/>
  <c r="DP22" i="2"/>
  <c r="DP90" i="2"/>
  <c r="DP91" i="2"/>
  <c r="DP92" i="2"/>
  <c r="DP93" i="2"/>
  <c r="DP94" i="2"/>
  <c r="DP95" i="2"/>
  <c r="DP96" i="2"/>
  <c r="DP97" i="2"/>
  <c r="DP98" i="2"/>
  <c r="DP99" i="2"/>
  <c r="DP100" i="2"/>
  <c r="DP101" i="2"/>
  <c r="DP102" i="2"/>
  <c r="DP103" i="2"/>
  <c r="DP104" i="2"/>
  <c r="DP105" i="2"/>
  <c r="DP106" i="2"/>
  <c r="DP107" i="2"/>
  <c r="DP108" i="2"/>
  <c r="DP109" i="2"/>
  <c r="DP110" i="2"/>
  <c r="DP111" i="2"/>
  <c r="DP112" i="2"/>
  <c r="DP113" i="2"/>
  <c r="DP114" i="2"/>
  <c r="DP115" i="2"/>
  <c r="DP52" i="2"/>
  <c r="DP116" i="2"/>
  <c r="DP117" i="2"/>
  <c r="DP118" i="2"/>
  <c r="DP119" i="2"/>
  <c r="DP120" i="2"/>
  <c r="DP121" i="2"/>
  <c r="DP122" i="2"/>
  <c r="DP123" i="2"/>
  <c r="DP124" i="2"/>
  <c r="DP125" i="2"/>
  <c r="DP126" i="2"/>
  <c r="DP127" i="2"/>
  <c r="DP128" i="2"/>
  <c r="DP129" i="2"/>
  <c r="DP130" i="2"/>
  <c r="DP131" i="2"/>
  <c r="DP132" i="2"/>
  <c r="DP133" i="2"/>
  <c r="DP134" i="2"/>
  <c r="DP135" i="2"/>
  <c r="DP136" i="2"/>
  <c r="DP137" i="2"/>
  <c r="DP138" i="2"/>
  <c r="DP139" i="2"/>
  <c r="DP140" i="2"/>
  <c r="DP141" i="2"/>
  <c r="DP142" i="2"/>
  <c r="DP143" i="2"/>
  <c r="DP144" i="2"/>
  <c r="DP145" i="2"/>
  <c r="DP146" i="2"/>
  <c r="DP147" i="2"/>
  <c r="DP148" i="2"/>
  <c r="DP149" i="2"/>
  <c r="DP150" i="2"/>
  <c r="DP151" i="2"/>
  <c r="DP152" i="2"/>
  <c r="DP153" i="2"/>
  <c r="DP154" i="2"/>
  <c r="DP155" i="2"/>
  <c r="DP54" i="2"/>
  <c r="DP156" i="2"/>
  <c r="DP157" i="2"/>
  <c r="DP158" i="2"/>
  <c r="DP159" i="2"/>
  <c r="DP160" i="2"/>
  <c r="DP161" i="2"/>
  <c r="DP162" i="2"/>
  <c r="DP163" i="2"/>
  <c r="DP164" i="2"/>
  <c r="DP165" i="2"/>
  <c r="DP166" i="2"/>
  <c r="DP167" i="2"/>
  <c r="DP168" i="2"/>
  <c r="DP169" i="2"/>
  <c r="DP170" i="2"/>
  <c r="DP171" i="2"/>
  <c r="DP172" i="2"/>
  <c r="DP173" i="2"/>
  <c r="DP174" i="2"/>
  <c r="DP175" i="2"/>
  <c r="DP176" i="2"/>
  <c r="DP177" i="2"/>
  <c r="DP178" i="2"/>
  <c r="DP179" i="2"/>
  <c r="DP180" i="2"/>
  <c r="DP181" i="2"/>
  <c r="DP182" i="2"/>
  <c r="DP183" i="2"/>
  <c r="DP184" i="2"/>
  <c r="DP185" i="2"/>
  <c r="DP186" i="2"/>
  <c r="DP187" i="2"/>
  <c r="DP188" i="2"/>
  <c r="DP189" i="2"/>
  <c r="DP190" i="2"/>
  <c r="DP191" i="2"/>
  <c r="DP192" i="2"/>
  <c r="DP193" i="2"/>
  <c r="DP194" i="2"/>
  <c r="DP195" i="2"/>
  <c r="DP196" i="2"/>
  <c r="DP197" i="2"/>
  <c r="DP198" i="2"/>
  <c r="DP199" i="2"/>
  <c r="DP200" i="2"/>
  <c r="DP201" i="2"/>
  <c r="DP202" i="2"/>
  <c r="DP203" i="2"/>
  <c r="DP204" i="2"/>
  <c r="DP35" i="2"/>
  <c r="DP205" i="2"/>
  <c r="DP206" i="2"/>
  <c r="DP207" i="2"/>
  <c r="DP208" i="2"/>
  <c r="DP209" i="2"/>
  <c r="DP210" i="2"/>
  <c r="DP211" i="2"/>
  <c r="DP212" i="2"/>
  <c r="DP213" i="2"/>
  <c r="DP214" i="2"/>
  <c r="DP215" i="2"/>
  <c r="DP216" i="2"/>
  <c r="DP217" i="2"/>
  <c r="DP218" i="2"/>
  <c r="DP219" i="2"/>
  <c r="DP220" i="2"/>
  <c r="DP221" i="2"/>
  <c r="DP222" i="2"/>
  <c r="DP223" i="2"/>
  <c r="DP224" i="2"/>
  <c r="DP225" i="2"/>
  <c r="DP226" i="2"/>
  <c r="DP227" i="2"/>
  <c r="DP228" i="2"/>
  <c r="DP229" i="2"/>
  <c r="DP230" i="2"/>
  <c r="DP231" i="2"/>
  <c r="DP232" i="2"/>
  <c r="DP233" i="2"/>
  <c r="DP234" i="2"/>
  <c r="DP235" i="2"/>
  <c r="DP236" i="2"/>
  <c r="DP237" i="2"/>
  <c r="DP238" i="2"/>
  <c r="DP239" i="2"/>
  <c r="DP240" i="2"/>
  <c r="DP241" i="2"/>
  <c r="DP242" i="2"/>
  <c r="DP243" i="2"/>
  <c r="DP244" i="2"/>
  <c r="DP245" i="2"/>
  <c r="DP246" i="2"/>
  <c r="DP247" i="2"/>
  <c r="DP248" i="2"/>
  <c r="DP249" i="2"/>
  <c r="DP250" i="2"/>
  <c r="DP251" i="2"/>
  <c r="DP252" i="2"/>
  <c r="DP253" i="2"/>
  <c r="DP254" i="2"/>
  <c r="DP255" i="2"/>
  <c r="DP256" i="2"/>
  <c r="DP257" i="2"/>
  <c r="DP258" i="2"/>
  <c r="DP259" i="2"/>
  <c r="DP260" i="2"/>
  <c r="DP261" i="2"/>
  <c r="DP262" i="2"/>
  <c r="DP263" i="2"/>
  <c r="DP264" i="2"/>
  <c r="DP265" i="2"/>
  <c r="DP266" i="2"/>
  <c r="DP267" i="2"/>
  <c r="DP268" i="2"/>
  <c r="DP269" i="2"/>
  <c r="DP270" i="2"/>
  <c r="DP271" i="2"/>
  <c r="DP272" i="2"/>
  <c r="DP273" i="2"/>
  <c r="DP274" i="2"/>
  <c r="DP275" i="2"/>
  <c r="DP276" i="2"/>
  <c r="DP277" i="2"/>
  <c r="DP278" i="2"/>
  <c r="DP279" i="2"/>
  <c r="DP280" i="2"/>
  <c r="DP281" i="2"/>
  <c r="DP282" i="2"/>
  <c r="DP283" i="2"/>
  <c r="DP284" i="2"/>
  <c r="DP285" i="2"/>
  <c r="DP286" i="2"/>
  <c r="DP287" i="2"/>
  <c r="DP288" i="2"/>
  <c r="DP289" i="2"/>
  <c r="DP290" i="2"/>
  <c r="DP291" i="2"/>
  <c r="DP292" i="2"/>
  <c r="DP293" i="2"/>
  <c r="DP294" i="2"/>
  <c r="DP295" i="2"/>
  <c r="DP296" i="2"/>
  <c r="DP297" i="2"/>
  <c r="DP298" i="2"/>
  <c r="DP299" i="2"/>
  <c r="DP300" i="2"/>
  <c r="DP301" i="2"/>
  <c r="DP302" i="2"/>
  <c r="DP303" i="2"/>
  <c r="DP304" i="2"/>
  <c r="DP305" i="2"/>
  <c r="DP306" i="2"/>
  <c r="DP307" i="2"/>
  <c r="DP308" i="2"/>
  <c r="DP309" i="2"/>
  <c r="DP310" i="2"/>
  <c r="DP311" i="2"/>
  <c r="DP312" i="2"/>
  <c r="DP313" i="2"/>
  <c r="DP314" i="2"/>
  <c r="DP315" i="2"/>
  <c r="DP316" i="2"/>
  <c r="DP317" i="2"/>
  <c r="DP318" i="2"/>
  <c r="DP319" i="2"/>
  <c r="DP320" i="2"/>
  <c r="DP321" i="2"/>
  <c r="DP322" i="2"/>
  <c r="DP323" i="2"/>
  <c r="DP324" i="2"/>
  <c r="DP325" i="2"/>
  <c r="DP326" i="2"/>
  <c r="DP327" i="2"/>
  <c r="DP328" i="2"/>
  <c r="DP329" i="2"/>
  <c r="DP330" i="2"/>
  <c r="DP331" i="2"/>
  <c r="DP332" i="2"/>
  <c r="DP333" i="2"/>
  <c r="DP334" i="2"/>
  <c r="DP335" i="2"/>
  <c r="DP336" i="2"/>
  <c r="DP337" i="2"/>
  <c r="DP338" i="2"/>
  <c r="DP339" i="2"/>
  <c r="DP340" i="2"/>
  <c r="DP341" i="2"/>
  <c r="DP342" i="2"/>
  <c r="DP343" i="2"/>
  <c r="DP344" i="2"/>
  <c r="DP345" i="2"/>
  <c r="DP346" i="2"/>
  <c r="DP347" i="2"/>
  <c r="DP348" i="2"/>
  <c r="DP349" i="2"/>
  <c r="DP350" i="2"/>
  <c r="DP351" i="2"/>
  <c r="DP352" i="2"/>
  <c r="DP353" i="2"/>
  <c r="DP354" i="2"/>
  <c r="DP355" i="2"/>
  <c r="DP356" i="2"/>
  <c r="DQ11" i="2" a="1"/>
  <c r="DQ11" i="2"/>
  <c r="DQ356" i="2" a="1"/>
  <c r="DQ356" i="2"/>
  <c r="DQ355" i="2" a="1"/>
  <c r="DQ355" i="2"/>
  <c r="DQ36" i="2" a="1"/>
  <c r="DQ36" i="2"/>
  <c r="DQ354" i="2" a="1"/>
  <c r="DQ354" i="2"/>
  <c r="DQ25" i="2" a="1"/>
  <c r="DQ25" i="2"/>
  <c r="DQ70" i="2" a="1"/>
  <c r="DQ70" i="2"/>
  <c r="DQ353" i="2" a="1"/>
  <c r="DQ353" i="2"/>
  <c r="DQ352" i="2" a="1"/>
  <c r="DQ352" i="2"/>
  <c r="DQ351" i="2" a="1"/>
  <c r="DQ351" i="2"/>
  <c r="DQ350" i="2" a="1"/>
  <c r="DQ350" i="2"/>
  <c r="DQ349" i="2" a="1"/>
  <c r="DQ349" i="2"/>
  <c r="DQ26" i="2" a="1"/>
  <c r="DQ26" i="2"/>
  <c r="DQ348" i="2" a="1"/>
  <c r="DQ348" i="2"/>
  <c r="DQ347" i="2" a="1"/>
  <c r="DQ347" i="2"/>
  <c r="DQ346" i="2" a="1"/>
  <c r="DQ346" i="2"/>
  <c r="DQ345" i="2" a="1"/>
  <c r="DQ345" i="2"/>
  <c r="DQ344" i="2" a="1"/>
  <c r="DQ344" i="2"/>
  <c r="DQ343" i="2" a="1"/>
  <c r="DQ343" i="2"/>
  <c r="DQ67" i="2" a="1"/>
  <c r="DQ67" i="2"/>
  <c r="DQ61" i="2" a="1"/>
  <c r="DQ61" i="2"/>
  <c r="DQ342" i="2" a="1"/>
  <c r="DQ342" i="2"/>
  <c r="DQ341" i="2" a="1"/>
  <c r="DQ341" i="2"/>
  <c r="DQ340" i="2" a="1"/>
  <c r="DQ340" i="2"/>
  <c r="DQ42" i="2" a="1"/>
  <c r="DQ42" i="2"/>
  <c r="DQ339" i="2" a="1"/>
  <c r="DQ339" i="2"/>
  <c r="DQ338" i="2" a="1"/>
  <c r="DQ338" i="2"/>
  <c r="DQ337" i="2" a="1"/>
  <c r="DQ337" i="2"/>
  <c r="DQ336" i="2" a="1"/>
  <c r="DQ336" i="2"/>
  <c r="DQ335" i="2" a="1"/>
  <c r="DQ335" i="2"/>
  <c r="DQ334" i="2" a="1"/>
  <c r="DQ334" i="2"/>
  <c r="DQ333" i="2" a="1"/>
  <c r="DQ333" i="2"/>
  <c r="DQ332" i="2" a="1"/>
  <c r="DQ332" i="2"/>
  <c r="DQ331" i="2" a="1"/>
  <c r="DQ331" i="2"/>
  <c r="DQ20" i="2" a="1"/>
  <c r="DQ20" i="2"/>
  <c r="DQ330" i="2" a="1"/>
  <c r="DQ330" i="2"/>
  <c r="DQ329" i="2" a="1"/>
  <c r="DQ329" i="2"/>
  <c r="DQ328" i="2" a="1"/>
  <c r="DQ328" i="2"/>
  <c r="DQ327" i="2" a="1"/>
  <c r="DQ327" i="2"/>
  <c r="DQ326" i="2" a="1"/>
  <c r="DQ326" i="2"/>
  <c r="DQ325" i="2" a="1"/>
  <c r="DQ325" i="2"/>
  <c r="DQ324" i="2" a="1"/>
  <c r="DQ324" i="2"/>
  <c r="DQ323" i="2" a="1"/>
  <c r="DQ323" i="2"/>
  <c r="DQ23" i="2" a="1"/>
  <c r="DQ23" i="2"/>
  <c r="DQ322" i="2" a="1"/>
  <c r="DQ322" i="2"/>
  <c r="DQ321" i="2" a="1"/>
  <c r="DQ321" i="2"/>
  <c r="DQ320" i="2" a="1"/>
  <c r="DQ320" i="2"/>
  <c r="DQ319" i="2" a="1"/>
  <c r="DQ319" i="2"/>
  <c r="DQ57" i="2" a="1"/>
  <c r="DQ57" i="2"/>
  <c r="DQ318" i="2" a="1"/>
  <c r="DQ318" i="2"/>
  <c r="DQ71" i="2" a="1"/>
  <c r="DQ71" i="2"/>
  <c r="DQ317" i="2" a="1"/>
  <c r="DQ317" i="2"/>
  <c r="DQ316" i="2" a="1"/>
  <c r="DQ316" i="2"/>
  <c r="DQ315" i="2" a="1"/>
  <c r="DQ315" i="2"/>
  <c r="DQ314" i="2" a="1"/>
  <c r="DQ314" i="2"/>
  <c r="DQ313" i="2" a="1"/>
  <c r="DQ313" i="2"/>
  <c r="DQ312" i="2" a="1"/>
  <c r="DQ312" i="2"/>
  <c r="DQ311" i="2" a="1"/>
  <c r="DQ311" i="2"/>
  <c r="DQ310" i="2" a="1"/>
  <c r="DQ310" i="2"/>
  <c r="DQ309" i="2" a="1"/>
  <c r="DQ309" i="2"/>
  <c r="DQ308" i="2" a="1"/>
  <c r="DQ308" i="2"/>
  <c r="DQ307" i="2" a="1"/>
  <c r="DQ307" i="2"/>
  <c r="DQ306" i="2" a="1"/>
  <c r="DQ306" i="2"/>
  <c r="DQ305" i="2" a="1"/>
  <c r="DQ305" i="2"/>
  <c r="DQ304" i="2" a="1"/>
  <c r="DQ304" i="2"/>
  <c r="DQ303" i="2" a="1"/>
  <c r="DQ303" i="2"/>
  <c r="DQ302" i="2" a="1"/>
  <c r="DQ302" i="2"/>
  <c r="DQ301" i="2" a="1"/>
  <c r="DQ301" i="2"/>
  <c r="DQ300" i="2" a="1"/>
  <c r="DQ300" i="2"/>
  <c r="DQ299" i="2" a="1"/>
  <c r="DQ299" i="2"/>
  <c r="DQ298" i="2" a="1"/>
  <c r="DQ298" i="2"/>
  <c r="DQ14" i="2" a="1"/>
  <c r="DQ14" i="2"/>
  <c r="DQ297" i="2" a="1"/>
  <c r="DQ297" i="2"/>
  <c r="DQ296" i="2" a="1"/>
  <c r="DQ296" i="2"/>
  <c r="DQ295" i="2" a="1"/>
  <c r="DQ295" i="2"/>
  <c r="DQ15" i="2" a="1"/>
  <c r="DQ15" i="2"/>
  <c r="DQ294" i="2" a="1"/>
  <c r="DQ294" i="2"/>
  <c r="DQ293" i="2" a="1"/>
  <c r="DQ293" i="2"/>
  <c r="DQ292" i="2" a="1"/>
  <c r="DQ292" i="2"/>
  <c r="DQ291" i="2" a="1"/>
  <c r="DQ291" i="2"/>
  <c r="DQ290" i="2" a="1"/>
  <c r="DQ290" i="2"/>
  <c r="DQ289" i="2" a="1"/>
  <c r="DQ289" i="2"/>
  <c r="DQ288" i="2" a="1"/>
  <c r="DQ288" i="2"/>
  <c r="DQ37" i="2" a="1"/>
  <c r="DQ37" i="2"/>
  <c r="DQ287" i="2" a="1"/>
  <c r="DQ287" i="2"/>
  <c r="DQ19" i="2" a="1"/>
  <c r="DQ19" i="2"/>
  <c r="DQ286" i="2" a="1"/>
  <c r="DQ286" i="2"/>
  <c r="DQ47" i="2" a="1"/>
  <c r="DQ47" i="2"/>
  <c r="DQ285" i="2" a="1"/>
  <c r="DQ285" i="2"/>
  <c r="DQ30" i="2" a="1"/>
  <c r="DQ30" i="2"/>
  <c r="DQ284" i="2" a="1"/>
  <c r="DQ284" i="2"/>
  <c r="DQ283" i="2" a="1"/>
  <c r="DQ283" i="2"/>
  <c r="DQ282" i="2" a="1"/>
  <c r="DQ282" i="2"/>
  <c r="DQ281" i="2" a="1"/>
  <c r="DQ281" i="2"/>
  <c r="DQ280" i="2" a="1"/>
  <c r="DQ280" i="2"/>
  <c r="DQ279" i="2" a="1"/>
  <c r="DQ279" i="2"/>
  <c r="DQ278" i="2" a="1"/>
  <c r="DQ278" i="2"/>
  <c r="DQ38" i="2" a="1"/>
  <c r="DQ38" i="2"/>
  <c r="DQ277" i="2" a="1"/>
  <c r="DQ277" i="2"/>
  <c r="DQ276" i="2" a="1"/>
  <c r="DQ276" i="2"/>
  <c r="DQ275" i="2" a="1"/>
  <c r="DQ275" i="2"/>
  <c r="DQ274" i="2" a="1"/>
  <c r="DQ274" i="2"/>
  <c r="DQ273" i="2" a="1"/>
  <c r="DQ273" i="2"/>
  <c r="DQ18" i="2" a="1"/>
  <c r="DQ18" i="2"/>
  <c r="DQ272" i="2" a="1"/>
  <c r="DQ272" i="2"/>
  <c r="DQ271" i="2" a="1"/>
  <c r="DQ271" i="2"/>
  <c r="DQ270" i="2" a="1"/>
  <c r="DQ270" i="2"/>
  <c r="DQ269" i="2" a="1"/>
  <c r="DQ269" i="2"/>
  <c r="DQ268" i="2" a="1"/>
  <c r="DQ268" i="2"/>
  <c r="DQ267" i="2" a="1"/>
  <c r="DQ267" i="2"/>
  <c r="DQ266" i="2" a="1"/>
  <c r="DQ266" i="2"/>
  <c r="DQ29" i="2" a="1"/>
  <c r="DQ29" i="2"/>
  <c r="DQ265" i="2" a="1"/>
  <c r="DQ265" i="2"/>
  <c r="DQ264" i="2" a="1"/>
  <c r="DQ264" i="2"/>
  <c r="DQ263" i="2" a="1"/>
  <c r="DQ263" i="2"/>
  <c r="DQ262" i="2" a="1"/>
  <c r="DQ262" i="2"/>
  <c r="DQ32" i="2" a="1"/>
  <c r="DQ32" i="2"/>
  <c r="DQ261" i="2" a="1"/>
  <c r="DQ261" i="2"/>
  <c r="DQ74" i="2" a="1"/>
  <c r="DQ74" i="2"/>
  <c r="DQ75" i="2" a="1"/>
  <c r="DQ75" i="2"/>
  <c r="DQ260" i="2" a="1"/>
  <c r="DQ260" i="2"/>
  <c r="DQ259" i="2" a="1"/>
  <c r="DQ259" i="2"/>
  <c r="DQ258" i="2" a="1"/>
  <c r="DQ258" i="2"/>
  <c r="DQ12" i="2" a="1"/>
  <c r="DQ12" i="2"/>
  <c r="DQ257" i="2" a="1"/>
  <c r="DQ257" i="2"/>
  <c r="DQ66" i="2" a="1"/>
  <c r="DQ66" i="2"/>
  <c r="DQ256" i="2" a="1"/>
  <c r="DQ256" i="2"/>
  <c r="DQ255" i="2" a="1"/>
  <c r="DQ255" i="2"/>
  <c r="DQ254" i="2" a="1"/>
  <c r="DQ254" i="2"/>
  <c r="DQ76" i="2" a="1"/>
  <c r="DQ76" i="2"/>
  <c r="DQ253" i="2" a="1"/>
  <c r="DQ253" i="2"/>
  <c r="DQ252" i="2" a="1"/>
  <c r="DQ252" i="2"/>
  <c r="DQ55" i="2" a="1"/>
  <c r="DQ55" i="2"/>
  <c r="DQ77" i="2" a="1"/>
  <c r="DQ77" i="2"/>
  <c r="DQ251" i="2" a="1"/>
  <c r="DQ251" i="2"/>
  <c r="DQ250" i="2" a="1"/>
  <c r="DQ250" i="2"/>
  <c r="DQ249" i="2" a="1"/>
  <c r="DQ249" i="2"/>
  <c r="DQ248" i="2" a="1"/>
  <c r="DQ248" i="2"/>
  <c r="DQ247" i="2" a="1"/>
  <c r="DQ247" i="2"/>
  <c r="DQ246" i="2" a="1"/>
  <c r="DQ246" i="2"/>
  <c r="DQ245" i="2" a="1"/>
  <c r="DQ245" i="2"/>
  <c r="DQ21" i="2" a="1"/>
  <c r="DQ21" i="2"/>
  <c r="DQ48" i="2" a="1"/>
  <c r="DQ48" i="2"/>
  <c r="DQ244" i="2" a="1"/>
  <c r="DQ244" i="2"/>
  <c r="DQ243" i="2" a="1"/>
  <c r="DQ243" i="2"/>
  <c r="DQ78" i="2" a="1"/>
  <c r="DQ78" i="2"/>
  <c r="DQ242" i="2" a="1"/>
  <c r="DQ242" i="2"/>
  <c r="DQ241" i="2" a="1"/>
  <c r="DQ241" i="2"/>
  <c r="DQ240" i="2" a="1"/>
  <c r="DQ240" i="2"/>
  <c r="DQ239" i="2" a="1"/>
  <c r="DQ239" i="2"/>
  <c r="DQ238" i="2" a="1"/>
  <c r="DQ238" i="2"/>
  <c r="DQ237" i="2" a="1"/>
  <c r="DQ237" i="2"/>
  <c r="DQ236" i="2" a="1"/>
  <c r="DQ236" i="2"/>
  <c r="DQ235" i="2" a="1"/>
  <c r="DQ235" i="2"/>
  <c r="DQ234" i="2" a="1"/>
  <c r="DQ234" i="2"/>
  <c r="DQ79" i="2" a="1"/>
  <c r="DQ79" i="2"/>
  <c r="DQ80" i="2" a="1"/>
  <c r="DQ80" i="2"/>
  <c r="DQ233" i="2" a="1"/>
  <c r="DQ233" i="2"/>
  <c r="DQ232" i="2" a="1"/>
  <c r="DQ232" i="2"/>
  <c r="DQ231" i="2" a="1"/>
  <c r="DQ231" i="2"/>
  <c r="DQ230" i="2" a="1"/>
  <c r="DQ230" i="2"/>
  <c r="DQ229" i="2" a="1"/>
  <c r="DQ229" i="2"/>
  <c r="DQ228" i="2" a="1"/>
  <c r="DQ228" i="2"/>
  <c r="DQ227" i="2" a="1"/>
  <c r="DQ227" i="2"/>
  <c r="DQ45" i="2" a="1"/>
  <c r="DQ45" i="2"/>
  <c r="DQ226" i="2" a="1"/>
  <c r="DQ226" i="2"/>
  <c r="DQ81" i="2" a="1"/>
  <c r="DQ81" i="2"/>
  <c r="DQ225" i="2" a="1"/>
  <c r="DQ225" i="2"/>
  <c r="DQ224" i="2" a="1"/>
  <c r="DQ224" i="2"/>
  <c r="DQ223" i="2" a="1"/>
  <c r="DQ223" i="2"/>
  <c r="DQ222" i="2" a="1"/>
  <c r="DQ222" i="2"/>
  <c r="DQ63" i="2" a="1"/>
  <c r="DQ63" i="2"/>
  <c r="DQ221" i="2" a="1"/>
  <c r="DQ221" i="2"/>
  <c r="DQ31" i="2" a="1"/>
  <c r="DQ31" i="2"/>
  <c r="DQ82" i="2" a="1"/>
  <c r="DQ82" i="2"/>
  <c r="DQ220" i="2" a="1"/>
  <c r="DQ220" i="2"/>
  <c r="DQ219" i="2" a="1"/>
  <c r="DQ219" i="2"/>
  <c r="DQ218" i="2" a="1"/>
  <c r="DQ218" i="2"/>
  <c r="DQ59" i="2" a="1"/>
  <c r="DQ59" i="2"/>
  <c r="DQ217" i="2" a="1"/>
  <c r="DQ217" i="2"/>
  <c r="DQ216" i="2" a="1"/>
  <c r="DQ216" i="2"/>
  <c r="DQ215" i="2" a="1"/>
  <c r="DQ215" i="2"/>
  <c r="DQ214" i="2" a="1"/>
  <c r="DQ214" i="2"/>
  <c r="DQ213" i="2" a="1"/>
  <c r="DQ213" i="2"/>
  <c r="DQ212" i="2" a="1"/>
  <c r="DQ212" i="2"/>
  <c r="DQ211" i="2" a="1"/>
  <c r="DQ211" i="2"/>
  <c r="DQ210" i="2" a="1"/>
  <c r="DQ210" i="2"/>
  <c r="DQ60" i="2" a="1"/>
  <c r="DQ60" i="2"/>
  <c r="DQ209" i="2" a="1"/>
  <c r="DQ209" i="2"/>
  <c r="DQ208" i="2" a="1"/>
  <c r="DQ208" i="2"/>
  <c r="DQ207" i="2" a="1"/>
  <c r="DQ207" i="2"/>
  <c r="DQ206" i="2" a="1"/>
  <c r="DQ206" i="2"/>
  <c r="DQ205" i="2" a="1"/>
  <c r="DQ205" i="2"/>
  <c r="DQ35" i="2" a="1"/>
  <c r="DQ35" i="2"/>
  <c r="DQ83" i="2" a="1"/>
  <c r="DQ83" i="2"/>
  <c r="DQ204" i="2" a="1"/>
  <c r="DQ204" i="2"/>
  <c r="DQ203" i="2" a="1"/>
  <c r="DQ203" i="2"/>
  <c r="DQ202" i="2" a="1"/>
  <c r="DQ202" i="2"/>
  <c r="DQ201" i="2" a="1"/>
  <c r="DQ201" i="2"/>
  <c r="DQ200" i="2" a="1"/>
  <c r="DQ200" i="2"/>
  <c r="DQ199" i="2" a="1"/>
  <c r="DQ199" i="2"/>
  <c r="DQ198" i="2" a="1"/>
  <c r="DQ198" i="2"/>
  <c r="DQ197" i="2" a="1"/>
  <c r="DQ197" i="2"/>
  <c r="DQ196" i="2" a="1"/>
  <c r="DQ196" i="2"/>
  <c r="DQ33" i="2" a="1"/>
  <c r="DQ33" i="2"/>
  <c r="DQ17" i="2" a="1"/>
  <c r="DQ17" i="2"/>
  <c r="DQ195" i="2" a="1"/>
  <c r="DQ195" i="2"/>
  <c r="DQ194" i="2" a="1"/>
  <c r="DQ194" i="2"/>
  <c r="DQ193" i="2" a="1"/>
  <c r="DQ193" i="2"/>
  <c r="DQ192" i="2" a="1"/>
  <c r="DQ192" i="2"/>
  <c r="DQ191" i="2" a="1"/>
  <c r="DQ191" i="2"/>
  <c r="DQ190" i="2" a="1"/>
  <c r="DQ190" i="2"/>
  <c r="DQ189" i="2" a="1"/>
  <c r="DQ189" i="2"/>
  <c r="DQ188" i="2" a="1"/>
  <c r="DQ188" i="2"/>
  <c r="DQ187" i="2" a="1"/>
  <c r="DQ187" i="2"/>
  <c r="DQ186" i="2" a="1"/>
  <c r="DQ186" i="2"/>
  <c r="DQ49" i="2" a="1"/>
  <c r="DQ49" i="2"/>
  <c r="DQ185" i="2" a="1"/>
  <c r="DQ185" i="2"/>
  <c r="DQ84" i="2" a="1"/>
  <c r="DQ84" i="2"/>
  <c r="DQ184" i="2" a="1"/>
  <c r="DQ184" i="2"/>
  <c r="DQ183" i="2" a="1"/>
  <c r="DQ183" i="2"/>
  <c r="DQ182" i="2" a="1"/>
  <c r="DQ182" i="2"/>
  <c r="DQ181" i="2" a="1"/>
  <c r="DQ181" i="2"/>
  <c r="DQ180" i="2" a="1"/>
  <c r="DQ180" i="2"/>
  <c r="DQ179" i="2" a="1"/>
  <c r="DQ179" i="2"/>
  <c r="DQ178" i="2" a="1"/>
  <c r="DQ178" i="2"/>
  <c r="DQ177" i="2" a="1"/>
  <c r="DQ177" i="2"/>
  <c r="DQ176" i="2" a="1"/>
  <c r="DQ176" i="2"/>
  <c r="DQ175" i="2" a="1"/>
  <c r="DQ175" i="2"/>
  <c r="DQ174" i="2" a="1"/>
  <c r="DQ174" i="2"/>
  <c r="DQ173" i="2" a="1"/>
  <c r="DQ173" i="2"/>
  <c r="DQ172" i="2" a="1"/>
  <c r="DQ172" i="2"/>
  <c r="DQ171" i="2" a="1"/>
  <c r="DQ171" i="2"/>
  <c r="DQ85" i="2" a="1"/>
  <c r="DQ85" i="2"/>
  <c r="DQ170" i="2" a="1"/>
  <c r="DQ170" i="2"/>
  <c r="DQ169" i="2" a="1"/>
  <c r="DQ169" i="2"/>
  <c r="DQ168" i="2" a="1"/>
  <c r="DQ168" i="2"/>
  <c r="DQ167" i="2" a="1"/>
  <c r="DQ167" i="2"/>
  <c r="DQ166" i="2" a="1"/>
  <c r="DQ166" i="2"/>
  <c r="DQ165" i="2" a="1"/>
  <c r="DQ165" i="2"/>
  <c r="DQ164" i="2" a="1"/>
  <c r="DQ164" i="2"/>
  <c r="DQ163" i="2" a="1"/>
  <c r="DQ163" i="2"/>
  <c r="DQ162" i="2" a="1"/>
  <c r="DQ162" i="2"/>
  <c r="DQ161" i="2" a="1"/>
  <c r="DQ161" i="2"/>
  <c r="DQ160" i="2" a="1"/>
  <c r="DQ160" i="2"/>
  <c r="DQ159" i="2" a="1"/>
  <c r="DQ159" i="2"/>
  <c r="DQ158" i="2" a="1"/>
  <c r="DQ158" i="2"/>
  <c r="DQ157" i="2" a="1"/>
  <c r="DQ157" i="2"/>
  <c r="DQ156" i="2" a="1"/>
  <c r="DQ156" i="2"/>
  <c r="DQ54" i="2" a="1"/>
  <c r="DQ54" i="2"/>
  <c r="DQ155" i="2" a="1"/>
  <c r="DQ155" i="2"/>
  <c r="DQ154" i="2" a="1"/>
  <c r="DQ154" i="2"/>
  <c r="DQ153" i="2" a="1"/>
  <c r="DQ153" i="2"/>
  <c r="DQ152" i="2" a="1"/>
  <c r="DQ152" i="2"/>
  <c r="DQ151" i="2" a="1"/>
  <c r="DQ151" i="2"/>
  <c r="DQ46" i="2" a="1"/>
  <c r="DQ46" i="2"/>
  <c r="DQ150" i="2" a="1"/>
  <c r="DQ150" i="2"/>
  <c r="DQ149" i="2" a="1"/>
  <c r="DQ149" i="2"/>
  <c r="DQ16" i="2" a="1"/>
  <c r="DQ16" i="2"/>
  <c r="DQ86" i="2" a="1"/>
  <c r="DQ86" i="2"/>
  <c r="DQ148" i="2" a="1"/>
  <c r="DQ148" i="2"/>
  <c r="DQ87" i="2" a="1"/>
  <c r="DQ87" i="2"/>
  <c r="DQ147" i="2" a="1"/>
  <c r="DQ147" i="2"/>
  <c r="DQ146" i="2" a="1"/>
  <c r="DQ146" i="2"/>
  <c r="DQ145" i="2" a="1"/>
  <c r="DQ145" i="2"/>
  <c r="DQ88" i="2" a="1"/>
  <c r="DQ88" i="2"/>
  <c r="DQ144" i="2" a="1"/>
  <c r="DQ144" i="2"/>
  <c r="DQ51" i="2" a="1"/>
  <c r="DQ51" i="2"/>
  <c r="DQ143" i="2" a="1"/>
  <c r="DQ143" i="2"/>
  <c r="DQ50" i="2" a="1"/>
  <c r="DQ50" i="2"/>
  <c r="DQ142" i="2" a="1"/>
  <c r="DQ142" i="2"/>
  <c r="DQ141" i="2" a="1"/>
  <c r="DQ141" i="2"/>
  <c r="DQ89" i="2" a="1"/>
  <c r="DQ89" i="2"/>
  <c r="DQ140" i="2" a="1"/>
  <c r="DQ140" i="2"/>
  <c r="DQ139" i="2" a="1"/>
  <c r="DQ139" i="2"/>
  <c r="DQ138" i="2" a="1"/>
  <c r="DQ138" i="2"/>
  <c r="DQ137" i="2" a="1"/>
  <c r="DQ137" i="2"/>
  <c r="DQ136" i="2" a="1"/>
  <c r="DQ136" i="2"/>
  <c r="DQ135" i="2" a="1"/>
  <c r="DQ135" i="2"/>
  <c r="DQ28" i="2" a="1"/>
  <c r="DQ28" i="2"/>
  <c r="DQ134" i="2" a="1"/>
  <c r="DQ134" i="2"/>
  <c r="DQ22" i="2" a="1"/>
  <c r="DQ22" i="2"/>
  <c r="DQ133" i="2" a="1"/>
  <c r="DQ133" i="2"/>
  <c r="DQ132" i="2" a="1"/>
  <c r="DQ132" i="2"/>
  <c r="DQ131" i="2" a="1"/>
  <c r="DQ131" i="2"/>
  <c r="DQ130" i="2" a="1"/>
  <c r="DQ130" i="2"/>
  <c r="DQ129" i="2" a="1"/>
  <c r="DQ129" i="2"/>
  <c r="DQ9" i="2" a="1"/>
  <c r="DQ9" i="2"/>
  <c r="DQ34" i="2" a="1"/>
  <c r="DQ34" i="2"/>
  <c r="DQ128" i="2" a="1"/>
  <c r="DQ128" i="2"/>
  <c r="DQ8" i="2" a="1"/>
  <c r="DQ8" i="2"/>
  <c r="DQ127" i="2" a="1"/>
  <c r="DQ127" i="2"/>
  <c r="DQ126" i="2" a="1"/>
  <c r="DQ126" i="2"/>
  <c r="DQ125" i="2" a="1"/>
  <c r="DQ125" i="2"/>
  <c r="DQ124" i="2" a="1"/>
  <c r="DQ124" i="2"/>
  <c r="DQ39" i="2" a="1"/>
  <c r="DQ39" i="2"/>
  <c r="DQ65" i="2" a="1"/>
  <c r="DQ65" i="2"/>
  <c r="DQ68" i="2" a="1"/>
  <c r="DQ68" i="2"/>
  <c r="DQ56" i="2" a="1"/>
  <c r="DQ56" i="2"/>
  <c r="DQ24" i="2" a="1"/>
  <c r="DQ24" i="2"/>
  <c r="DQ62" i="2" a="1"/>
  <c r="DQ62" i="2"/>
  <c r="DQ123" i="2" a="1"/>
  <c r="DQ123" i="2"/>
  <c r="DQ122" i="2" a="1"/>
  <c r="DQ122" i="2"/>
  <c r="DQ10" i="2" a="1"/>
  <c r="DQ10" i="2"/>
  <c r="DQ43" i="2" a="1"/>
  <c r="DQ43" i="2"/>
  <c r="DQ44" i="2" a="1"/>
  <c r="DQ44" i="2"/>
  <c r="DQ121" i="2" a="1"/>
  <c r="DQ121" i="2"/>
  <c r="DQ58" i="2" a="1"/>
  <c r="DQ58" i="2"/>
  <c r="DQ120" i="2" a="1"/>
  <c r="DQ120" i="2"/>
  <c r="DQ119" i="2" a="1"/>
  <c r="DQ119" i="2"/>
  <c r="DQ118" i="2" a="1"/>
  <c r="DQ118" i="2"/>
  <c r="DQ117" i="2" a="1"/>
  <c r="DQ117" i="2"/>
  <c r="DQ116" i="2" a="1"/>
  <c r="DQ116" i="2"/>
  <c r="DQ40" i="2" a="1"/>
  <c r="DQ40" i="2"/>
  <c r="DQ52" i="2" a="1"/>
  <c r="DQ52" i="2"/>
  <c r="DQ115" i="2" a="1"/>
  <c r="DQ115" i="2"/>
  <c r="DQ114" i="2" a="1"/>
  <c r="DQ114" i="2"/>
  <c r="DQ113" i="2" a="1"/>
  <c r="DQ113" i="2"/>
  <c r="DQ112" i="2" a="1"/>
  <c r="DQ112" i="2"/>
  <c r="DQ111" i="2" a="1"/>
  <c r="DQ111" i="2"/>
  <c r="DQ27" i="2" a="1"/>
  <c r="DQ27" i="2"/>
  <c r="DQ53" i="2" a="1"/>
  <c r="DQ53" i="2"/>
  <c r="DQ110" i="2" a="1"/>
  <c r="DQ110" i="2"/>
  <c r="DQ13" i="2" a="1"/>
  <c r="DQ13" i="2"/>
  <c r="DQ109" i="2" a="1"/>
  <c r="DQ109" i="2"/>
  <c r="DQ108" i="2" a="1"/>
  <c r="DQ108" i="2"/>
  <c r="DQ107" i="2" a="1"/>
  <c r="DQ107" i="2"/>
  <c r="DQ106" i="2" a="1"/>
  <c r="DQ106" i="2"/>
  <c r="DQ72" i="2" a="1"/>
  <c r="DQ72" i="2"/>
  <c r="DQ105" i="2" a="1"/>
  <c r="DQ105" i="2"/>
  <c r="DQ104" i="2" a="1"/>
  <c r="DQ104" i="2"/>
  <c r="DQ103" i="2" a="1"/>
  <c r="DQ103" i="2"/>
  <c r="DQ102" i="2" a="1"/>
  <c r="DQ102" i="2"/>
  <c r="DQ101" i="2" a="1"/>
  <c r="DQ101" i="2"/>
  <c r="DQ100" i="2" a="1"/>
  <c r="DQ100" i="2"/>
  <c r="DQ99" i="2" a="1"/>
  <c r="DQ99" i="2"/>
  <c r="DQ69" i="2" a="1"/>
  <c r="DQ69" i="2"/>
  <c r="DQ98" i="2" a="1"/>
  <c r="DQ98" i="2"/>
  <c r="DQ97" i="2" a="1"/>
  <c r="DQ97" i="2"/>
  <c r="DQ96" i="2" a="1"/>
  <c r="DQ96" i="2"/>
  <c r="DQ95" i="2" a="1"/>
  <c r="DQ95" i="2"/>
  <c r="DQ41" i="2" a="1"/>
  <c r="DQ41" i="2"/>
  <c r="DQ94" i="2" a="1"/>
  <c r="DQ94" i="2"/>
  <c r="DQ93" i="2" a="1"/>
  <c r="DQ93" i="2"/>
  <c r="DQ64" i="2" a="1"/>
  <c r="DQ64" i="2"/>
  <c r="DQ92" i="2" a="1"/>
  <c r="DQ92" i="2"/>
  <c r="DQ91" i="2" a="1"/>
  <c r="DQ91" i="2"/>
  <c r="DQ90" i="2" a="1"/>
  <c r="DQ90" i="2"/>
  <c r="DN4" i="2" a="1"/>
  <c r="DN4" i="2"/>
  <c r="DN3" i="2" a="1"/>
  <c r="DN3" i="2"/>
  <c r="DM1" i="2"/>
  <c r="DN1" i="2"/>
  <c r="DO1" i="2"/>
  <c r="DP1" i="2"/>
  <c r="DQ2" i="2"/>
  <c r="DQ3" i="2"/>
  <c r="DQ1" i="2"/>
  <c r="DQ4" i="2"/>
  <c r="G279" i="1" a="1"/>
  <c r="G279" i="1"/>
  <c r="E279" i="1"/>
  <c r="G172" i="1" a="1"/>
  <c r="G172" i="1"/>
  <c r="E172" i="1"/>
  <c r="G349" i="1" a="1"/>
  <c r="G349" i="1"/>
  <c r="E349" i="1"/>
  <c r="E254" i="1"/>
  <c r="G254" i="1" a="1"/>
  <c r="G254" i="1"/>
  <c r="G253" i="1" a="1"/>
  <c r="G253" i="1"/>
  <c r="E253" i="1"/>
  <c r="DK34" i="2" a="1"/>
  <c r="DK34" i="2"/>
  <c r="DH4" i="2" a="1"/>
  <c r="DH4" i="2"/>
  <c r="DH3" i="2" a="1"/>
  <c r="DH3" i="2"/>
  <c r="DJ1" i="2"/>
  <c r="DI1" i="2"/>
  <c r="DG1" i="2"/>
  <c r="G221" i="1" a="1"/>
  <c r="G221" i="1"/>
  <c r="G164" i="1" a="1"/>
  <c r="G164" i="1"/>
  <c r="DB4" i="2" a="1"/>
  <c r="DB4" i="2"/>
  <c r="DB3" i="2" a="1"/>
  <c r="DB3" i="2"/>
  <c r="DD1" i="2"/>
  <c r="DC1" i="2"/>
  <c r="DA1" i="2"/>
  <c r="CV4" i="2" a="1"/>
  <c r="CV4" i="2"/>
  <c r="CV3" i="2" a="1"/>
  <c r="CV3" i="2"/>
  <c r="CX1" i="2"/>
  <c r="CW1" i="2"/>
  <c r="CU1" i="2"/>
  <c r="G127" i="1" a="1"/>
  <c r="G127" i="1"/>
  <c r="B161" i="14"/>
  <c r="F161" i="14"/>
  <c r="G161" i="1" a="1"/>
  <c r="G161" i="1"/>
  <c r="G198" i="1" a="1"/>
  <c r="G198" i="1"/>
  <c r="E147" i="1"/>
  <c r="G147" i="1" a="1"/>
  <c r="G147" i="1"/>
  <c r="E77" i="1"/>
  <c r="G77" i="1" a="1"/>
  <c r="G77" i="1"/>
  <c r="CP4" i="2" a="1"/>
  <c r="CP4" i="2"/>
  <c r="CP3" i="2" a="1"/>
  <c r="CP3" i="2"/>
  <c r="CR1" i="2"/>
  <c r="CQ1" i="2"/>
  <c r="CO1" i="2"/>
  <c r="E198" i="1"/>
  <c r="G245" i="1" a="1"/>
  <c r="G245" i="1"/>
  <c r="G223" i="1" a="1"/>
  <c r="G223" i="1"/>
  <c r="E223" i="1"/>
  <c r="G193" i="1" a="1"/>
  <c r="G193" i="1"/>
  <c r="E193" i="1"/>
  <c r="CJ4" i="2" a="1"/>
  <c r="CJ4" i="2"/>
  <c r="CJ3" i="2" a="1"/>
  <c r="CJ3" i="2"/>
  <c r="CL1" i="2"/>
  <c r="CK1" i="2"/>
  <c r="CI1" i="2"/>
  <c r="G91" i="1" a="1"/>
  <c r="G91" i="1"/>
  <c r="CD4" i="2" a="1"/>
  <c r="CD4" i="2"/>
  <c r="CD3" i="2" a="1"/>
  <c r="CD3" i="2"/>
  <c r="CF1" i="2"/>
  <c r="CE1" i="2"/>
  <c r="CC1" i="2"/>
  <c r="BX4" i="2" a="1"/>
  <c r="BX4" i="2"/>
  <c r="BX3" i="2" a="1"/>
  <c r="BX3" i="2"/>
  <c r="BZ1" i="2"/>
  <c r="BY1" i="2"/>
  <c r="BW1" i="2"/>
  <c r="T86" i="10"/>
  <c r="G256" i="1" a="1"/>
  <c r="G256" i="1"/>
  <c r="G85" i="1" a="1"/>
  <c r="G85" i="1"/>
  <c r="G86" i="1" a="1"/>
  <c r="G86" i="1"/>
  <c r="G284" i="1" a="1"/>
  <c r="G284" i="1"/>
  <c r="G270" i="1" a="1"/>
  <c r="G270" i="1"/>
  <c r="G128" i="1" a="1"/>
  <c r="G128" i="1"/>
  <c r="G273" i="1" a="1"/>
  <c r="G273" i="1"/>
  <c r="E9" i="3"/>
  <c r="E8" i="3"/>
  <c r="E7" i="3"/>
  <c r="E6" i="3"/>
  <c r="E5" i="3"/>
  <c r="E4" i="3"/>
  <c r="E3" i="3"/>
  <c r="G84" i="1" a="1"/>
  <c r="G84" i="1"/>
  <c r="G262" i="1" a="1"/>
  <c r="G262" i="1"/>
  <c r="G25" i="1" a="1"/>
  <c r="G25" i="1"/>
  <c r="G308" i="1" a="1"/>
  <c r="G308" i="1"/>
  <c r="E249" i="1"/>
  <c r="G249" i="1" a="1"/>
  <c r="G249" i="1"/>
  <c r="G97" i="1" a="1"/>
  <c r="G97" i="1"/>
  <c r="G135" i="1" a="1"/>
  <c r="G135" i="1"/>
  <c r="G300" i="1" a="1"/>
  <c r="G300" i="1"/>
  <c r="E89" i="1"/>
  <c r="G89" i="1" a="1"/>
  <c r="G89" i="1"/>
  <c r="G108" i="1" a="1"/>
  <c r="G108" i="1"/>
  <c r="G12" i="1" a="1"/>
  <c r="G12" i="1"/>
  <c r="D3" i="18" a="1"/>
  <c r="D3" i="18"/>
  <c r="D2" i="18" a="1"/>
  <c r="D2" i="18"/>
  <c r="G59" i="18"/>
  <c r="N3" i="18"/>
  <c r="N4" i="18"/>
  <c r="N5" i="18"/>
  <c r="N6" i="18"/>
  <c r="N7" i="18"/>
  <c r="N8" i="18"/>
  <c r="N9" i="18"/>
  <c r="N10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23" i="18"/>
  <c r="N24" i="18"/>
  <c r="N25" i="18"/>
  <c r="N26" i="18"/>
  <c r="N27" i="18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J9" i="18"/>
  <c r="M9" i="18"/>
  <c r="G18" i="18"/>
  <c r="G32" i="18"/>
  <c r="G47" i="18"/>
  <c r="G52" i="18"/>
  <c r="G53" i="18"/>
  <c r="G54" i="18"/>
  <c r="G16" i="18"/>
  <c r="G17" i="18"/>
  <c r="G19" i="18"/>
  <c r="G20" i="18"/>
  <c r="G22" i="18"/>
  <c r="G24" i="18"/>
  <c r="G25" i="18"/>
  <c r="G26" i="18"/>
  <c r="G27" i="18"/>
  <c r="G29" i="18"/>
  <c r="G30" i="18"/>
  <c r="G33" i="18"/>
  <c r="G34" i="18"/>
  <c r="G36" i="18"/>
  <c r="G37" i="18"/>
  <c r="G38" i="18"/>
  <c r="G40" i="18"/>
  <c r="G41" i="18"/>
  <c r="G42" i="18"/>
  <c r="G43" i="18"/>
  <c r="G45" i="18"/>
  <c r="G48" i="18"/>
  <c r="G49" i="18"/>
  <c r="G50" i="18"/>
  <c r="G55" i="18"/>
  <c r="G58" i="18"/>
  <c r="D4" i="18" a="1"/>
  <c r="D4" i="18"/>
  <c r="F1" i="18"/>
  <c r="E1" i="18"/>
  <c r="B1" i="18"/>
  <c r="J7" i="18"/>
  <c r="J8" i="18"/>
  <c r="J10" i="18"/>
  <c r="J11" i="18"/>
  <c r="J15" i="18"/>
  <c r="J18" i="18"/>
  <c r="J19" i="18"/>
  <c r="J20" i="18"/>
  <c r="J28" i="18"/>
  <c r="J29" i="18"/>
  <c r="J30" i="18"/>
  <c r="J31" i="18"/>
  <c r="J32" i="18"/>
  <c r="J33" i="18"/>
  <c r="J34" i="18"/>
  <c r="J35" i="18"/>
  <c r="J36" i="18"/>
  <c r="J47" i="18"/>
  <c r="J48" i="18"/>
  <c r="J49" i="18"/>
  <c r="J50" i="18"/>
  <c r="J51" i="18"/>
  <c r="J52" i="18"/>
  <c r="J41" i="18"/>
  <c r="J40" i="18"/>
  <c r="J39" i="18"/>
  <c r="J25" i="18"/>
  <c r="J24" i="18"/>
  <c r="J23" i="18"/>
  <c r="J17" i="18"/>
  <c r="J16" i="18"/>
  <c r="J6" i="18"/>
  <c r="J54" i="18"/>
  <c r="J53" i="18"/>
  <c r="J46" i="18"/>
  <c r="J45" i="18"/>
  <c r="J44" i="18"/>
  <c r="J43" i="18"/>
  <c r="J42" i="18"/>
  <c r="J38" i="18"/>
  <c r="J37" i="18"/>
  <c r="J27" i="18"/>
  <c r="J26" i="18"/>
  <c r="J22" i="18"/>
  <c r="J21" i="18"/>
  <c r="J14" i="18"/>
  <c r="J13" i="18"/>
  <c r="J12" i="18"/>
  <c r="J5" i="18"/>
  <c r="J4" i="18"/>
  <c r="R37" i="18"/>
  <c r="BR4" i="2" a="1"/>
  <c r="BR4" i="2"/>
  <c r="BR3" i="2" a="1"/>
  <c r="BR3" i="2"/>
  <c r="BT1" i="2"/>
  <c r="BS1" i="2"/>
  <c r="BQ1" i="2"/>
  <c r="B36" i="14"/>
  <c r="P36" i="14"/>
  <c r="G278" i="3"/>
  <c r="G16" i="3"/>
  <c r="G6" i="3"/>
  <c r="G18" i="3"/>
  <c r="E74" i="1"/>
  <c r="G7" i="10"/>
  <c r="E46" i="1"/>
  <c r="B341" i="14"/>
  <c r="B63" i="14"/>
  <c r="E353" i="1"/>
  <c r="E11" i="1"/>
  <c r="E145" i="1"/>
  <c r="G333" i="3"/>
  <c r="B156" i="14"/>
  <c r="G340" i="1" a="1"/>
  <c r="G340" i="1"/>
  <c r="G219" i="1" a="1"/>
  <c r="G219" i="1"/>
  <c r="G210" i="1" a="1"/>
  <c r="G210" i="1"/>
  <c r="G327" i="1" a="1"/>
  <c r="G327" i="1"/>
  <c r="G112" i="1" a="1"/>
  <c r="G112" i="1"/>
  <c r="G171" i="1" a="1"/>
  <c r="G171" i="1"/>
  <c r="G160" i="1" a="1"/>
  <c r="G160" i="1"/>
  <c r="G319" i="1" a="1"/>
  <c r="G319" i="1"/>
  <c r="G187" i="1" a="1"/>
  <c r="G187" i="1"/>
  <c r="G324" i="1" a="1"/>
  <c r="G324" i="1"/>
  <c r="E19" i="1"/>
  <c r="E26" i="1"/>
  <c r="B33" i="14"/>
  <c r="E34" i="1"/>
  <c r="E39" i="1"/>
  <c r="E57" i="1"/>
  <c r="E69" i="1"/>
  <c r="B131" i="14"/>
  <c r="Q131" i="14"/>
  <c r="R157" i="10"/>
  <c r="B179" i="14"/>
  <c r="G189" i="3"/>
  <c r="G196" i="3"/>
  <c r="B200" i="14"/>
  <c r="G204" i="3"/>
  <c r="G205" i="3"/>
  <c r="E215" i="1"/>
  <c r="E216" i="1"/>
  <c r="B225" i="14"/>
  <c r="B232" i="14"/>
  <c r="B233" i="14"/>
  <c r="E243" i="1"/>
  <c r="B265" i="14"/>
  <c r="G266" i="3"/>
  <c r="E282" i="1"/>
  <c r="E288" i="1"/>
  <c r="E297" i="1"/>
  <c r="B303" i="14"/>
  <c r="E307" i="1"/>
  <c r="E323" i="1"/>
  <c r="K346" i="10"/>
  <c r="G145" i="1" a="1"/>
  <c r="G145" i="1"/>
  <c r="G224" i="1" a="1"/>
  <c r="G224" i="1"/>
  <c r="G148" i="1" a="1"/>
  <c r="G148" i="1"/>
  <c r="G302" i="1" a="1"/>
  <c r="G302" i="1"/>
  <c r="G242" i="1" a="1"/>
  <c r="G242" i="1"/>
  <c r="G341" i="1" a="1"/>
  <c r="G341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3" i="1" a="1"/>
  <c r="G13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14" i="1" a="1"/>
  <c r="G14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7" i="1" a="1"/>
  <c r="G87" i="1"/>
  <c r="G88" i="1" a="1"/>
  <c r="G88" i="1"/>
  <c r="G90" i="1" a="1"/>
  <c r="G90" i="1"/>
  <c r="G92" i="1" a="1"/>
  <c r="G92" i="1"/>
  <c r="G93" i="1" a="1"/>
  <c r="G93" i="1"/>
  <c r="G94" i="1" a="1"/>
  <c r="G94" i="1"/>
  <c r="G95" i="1" a="1"/>
  <c r="G95" i="1"/>
  <c r="G96" i="1" a="1"/>
  <c r="G96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9" i="1" a="1"/>
  <c r="G109" i="1"/>
  <c r="G110" i="1" a="1"/>
  <c r="G110" i="1"/>
  <c r="G111" i="1" a="1"/>
  <c r="G111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6" i="1" a="1"/>
  <c r="G146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7" i="1" a="1"/>
  <c r="G157" i="1"/>
  <c r="G158" i="1" a="1"/>
  <c r="G158" i="1"/>
  <c r="G159" i="1" a="1"/>
  <c r="G159" i="1"/>
  <c r="G162" i="1" a="1"/>
  <c r="G162" i="1"/>
  <c r="G163" i="1" a="1"/>
  <c r="G163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56" i="1" a="1"/>
  <c r="G156" i="1"/>
  <c r="G184" i="1" a="1"/>
  <c r="G184" i="1"/>
  <c r="G185" i="1" a="1"/>
  <c r="G185" i="1"/>
  <c r="G186" i="1" a="1"/>
  <c r="G186" i="1"/>
  <c r="G188" i="1" a="1"/>
  <c r="G188" i="1"/>
  <c r="G189" i="1" a="1"/>
  <c r="G189" i="1"/>
  <c r="G190" i="1" a="1"/>
  <c r="G190" i="1"/>
  <c r="G191" i="1" a="1"/>
  <c r="G191" i="1"/>
  <c r="G192" i="1" a="1"/>
  <c r="G192" i="1"/>
  <c r="G194" i="1" a="1"/>
  <c r="G194" i="1"/>
  <c r="G195" i="1" a="1"/>
  <c r="G195" i="1"/>
  <c r="G196" i="1" a="1"/>
  <c r="G196" i="1"/>
  <c r="G197" i="1" a="1"/>
  <c r="G197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20" i="1" a="1"/>
  <c r="G220" i="1"/>
  <c r="G222" i="1" a="1"/>
  <c r="G222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3" i="1" a="1"/>
  <c r="G243" i="1"/>
  <c r="G244" i="1" a="1"/>
  <c r="G244" i="1"/>
  <c r="G246" i="1" a="1"/>
  <c r="G246" i="1"/>
  <c r="G247" i="1" a="1"/>
  <c r="G247" i="1"/>
  <c r="G248" i="1" a="1"/>
  <c r="G248" i="1"/>
  <c r="G250" i="1" a="1"/>
  <c r="G250" i="1"/>
  <c r="G251" i="1" a="1"/>
  <c r="G251" i="1"/>
  <c r="G252" i="1" a="1"/>
  <c r="G252" i="1"/>
  <c r="G255" i="1" a="1"/>
  <c r="G255" i="1"/>
  <c r="G257" i="1" a="1"/>
  <c r="G257" i="1"/>
  <c r="G258" i="1" a="1"/>
  <c r="G258" i="1"/>
  <c r="G259" i="1" a="1"/>
  <c r="G259" i="1"/>
  <c r="G260" i="1" a="1"/>
  <c r="G260" i="1"/>
  <c r="G261" i="1" a="1"/>
  <c r="G261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1" i="1" a="1"/>
  <c r="G271" i="1"/>
  <c r="G272" i="1" a="1"/>
  <c r="G272" i="1"/>
  <c r="G274" i="1" a="1"/>
  <c r="G274" i="1"/>
  <c r="G275" i="1" a="1"/>
  <c r="G275" i="1"/>
  <c r="G276" i="1" a="1"/>
  <c r="G276" i="1"/>
  <c r="G277" i="1" a="1"/>
  <c r="G277" i="1"/>
  <c r="G278" i="1" a="1"/>
  <c r="G278" i="1"/>
  <c r="G280" i="1" a="1"/>
  <c r="G280" i="1"/>
  <c r="G281" i="1" a="1"/>
  <c r="G281" i="1"/>
  <c r="G282" i="1" a="1"/>
  <c r="G282" i="1"/>
  <c r="G283" i="1" a="1"/>
  <c r="G283" i="1"/>
  <c r="G61" i="1" a="1"/>
  <c r="G61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1" i="1" a="1"/>
  <c r="G301" i="1"/>
  <c r="G303" i="1" a="1"/>
  <c r="G303" i="1"/>
  <c r="G304" i="1" a="1"/>
  <c r="G304" i="1"/>
  <c r="G305" i="1" a="1"/>
  <c r="G305" i="1"/>
  <c r="G306" i="1" a="1"/>
  <c r="G306" i="1"/>
  <c r="G307" i="1" a="1"/>
  <c r="G307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20" i="1" a="1"/>
  <c r="G320" i="1"/>
  <c r="G321" i="1" a="1"/>
  <c r="G321" i="1"/>
  <c r="G322" i="1" a="1"/>
  <c r="G322" i="1"/>
  <c r="G323" i="1" a="1"/>
  <c r="G323" i="1"/>
  <c r="G325" i="1" a="1"/>
  <c r="G325" i="1"/>
  <c r="G326" i="1" a="1"/>
  <c r="G326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50" i="1" a="1"/>
  <c r="G350" i="1"/>
  <c r="G351" i="1" a="1"/>
  <c r="G351" i="1"/>
  <c r="G352" i="1" a="1"/>
  <c r="G352" i="1"/>
  <c r="G353" i="1" a="1"/>
  <c r="G353" i="1"/>
  <c r="G354" i="1" a="1"/>
  <c r="G354" i="1"/>
  <c r="G1" i="3"/>
  <c r="AP1" i="2"/>
  <c r="CW101" i="15"/>
  <c r="CV101" i="15"/>
  <c r="CU101" i="15"/>
  <c r="CT101" i="15"/>
  <c r="CS101" i="15"/>
  <c r="CR101" i="15"/>
  <c r="CQ101" i="15"/>
  <c r="CP101" i="15"/>
  <c r="CO101" i="15"/>
  <c r="CN101" i="15"/>
  <c r="CM101" i="15"/>
  <c r="CL101" i="15"/>
  <c r="CK101" i="15"/>
  <c r="CJ101" i="15"/>
  <c r="CI101" i="15"/>
  <c r="CH101" i="15"/>
  <c r="CG101" i="15"/>
  <c r="CF101" i="15"/>
  <c r="CE101" i="15"/>
  <c r="CD101" i="15"/>
  <c r="CC101" i="15"/>
  <c r="CB101" i="15"/>
  <c r="CA101" i="15"/>
  <c r="BZ101" i="15"/>
  <c r="BY101" i="15"/>
  <c r="BX101" i="15"/>
  <c r="BW101" i="15"/>
  <c r="BV101" i="15"/>
  <c r="BU101" i="15"/>
  <c r="BT101" i="15"/>
  <c r="BS101" i="15"/>
  <c r="BR101" i="15"/>
  <c r="BQ101" i="15"/>
  <c r="BP101" i="15"/>
  <c r="BO101" i="15"/>
  <c r="BN101" i="15"/>
  <c r="BM101" i="15"/>
  <c r="BL101" i="15"/>
  <c r="BK101" i="15"/>
  <c r="BJ101" i="15"/>
  <c r="BI101" i="15"/>
  <c r="BH101" i="15"/>
  <c r="BG101" i="15"/>
  <c r="BF101" i="15"/>
  <c r="BE101" i="15"/>
  <c r="BD101" i="15"/>
  <c r="BC101" i="15"/>
  <c r="BB101" i="15"/>
  <c r="BA101" i="15"/>
  <c r="AZ101" i="15"/>
  <c r="AY101" i="15"/>
  <c r="AX101" i="15"/>
  <c r="AW101" i="15"/>
  <c r="AV101" i="15"/>
  <c r="AU101" i="15"/>
  <c r="AT101" i="15"/>
  <c r="AS101" i="15"/>
  <c r="AR101" i="15"/>
  <c r="AQ101" i="15"/>
  <c r="AP101" i="15"/>
  <c r="AO101" i="15"/>
  <c r="AN101" i="15"/>
  <c r="AM101" i="15"/>
  <c r="AL101" i="15"/>
  <c r="AK101" i="15"/>
  <c r="AJ101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BJ100" i="15"/>
  <c r="BI100" i="15"/>
  <c r="BH100" i="15"/>
  <c r="BG100" i="15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CW99" i="15"/>
  <c r="CV99" i="15"/>
  <c r="CU99" i="15"/>
  <c r="CT99" i="15"/>
  <c r="CS99" i="15"/>
  <c r="CR99" i="15"/>
  <c r="CQ99" i="15"/>
  <c r="CP99" i="15"/>
  <c r="CO99" i="15"/>
  <c r="CN99" i="15"/>
  <c r="CM99" i="15"/>
  <c r="CL99" i="15"/>
  <c r="CK99" i="15"/>
  <c r="CJ99" i="15"/>
  <c r="CI99" i="15"/>
  <c r="CH99" i="15"/>
  <c r="CG99" i="15"/>
  <c r="CF99" i="15"/>
  <c r="CE99" i="15"/>
  <c r="CD99" i="15"/>
  <c r="CC99" i="15"/>
  <c r="CB99" i="15"/>
  <c r="CA99" i="15"/>
  <c r="BZ99" i="15"/>
  <c r="BY99" i="15"/>
  <c r="BX99" i="15"/>
  <c r="BW99" i="15"/>
  <c r="BV99" i="15"/>
  <c r="BU99" i="15"/>
  <c r="BT99" i="15"/>
  <c r="BS99" i="15"/>
  <c r="BR99" i="15"/>
  <c r="BQ99" i="15"/>
  <c r="BP99" i="15"/>
  <c r="BO99" i="15"/>
  <c r="BN99" i="15"/>
  <c r="BM99" i="15"/>
  <c r="BL99" i="15"/>
  <c r="BK99" i="15"/>
  <c r="BJ99" i="15"/>
  <c r="BI99" i="15"/>
  <c r="BH99" i="15"/>
  <c r="BG99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CW98" i="15"/>
  <c r="CV98" i="15"/>
  <c r="CU98" i="15"/>
  <c r="CT98" i="15"/>
  <c r="CS98" i="15"/>
  <c r="CR98" i="15"/>
  <c r="CQ98" i="15"/>
  <c r="CP98" i="15"/>
  <c r="CO98" i="15"/>
  <c r="CN98" i="15"/>
  <c r="CM98" i="15"/>
  <c r="CL98" i="15"/>
  <c r="CK98" i="15"/>
  <c r="CJ98" i="15"/>
  <c r="CI98" i="15"/>
  <c r="CH98" i="15"/>
  <c r="CG98" i="15"/>
  <c r="CF98" i="15"/>
  <c r="CE98" i="15"/>
  <c r="CD98" i="15"/>
  <c r="CC98" i="15"/>
  <c r="CB98" i="15"/>
  <c r="CA98" i="15"/>
  <c r="BZ98" i="15"/>
  <c r="BY98" i="15"/>
  <c r="BX98" i="15"/>
  <c r="BW98" i="15"/>
  <c r="BV98" i="15"/>
  <c r="BU98" i="15"/>
  <c r="BT98" i="15"/>
  <c r="BS98" i="15"/>
  <c r="BR98" i="15"/>
  <c r="BQ98" i="15"/>
  <c r="BP98" i="15"/>
  <c r="BO98" i="15"/>
  <c r="BN98" i="15"/>
  <c r="BM98" i="15"/>
  <c r="BL98" i="15"/>
  <c r="BK98" i="15"/>
  <c r="BJ98" i="15"/>
  <c r="BI98" i="15"/>
  <c r="BH98" i="15"/>
  <c r="BG98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CW97" i="15"/>
  <c r="CV97" i="15"/>
  <c r="CU97" i="15"/>
  <c r="CT97" i="15"/>
  <c r="CS97" i="15"/>
  <c r="CR97" i="15"/>
  <c r="CQ97" i="15"/>
  <c r="CP97" i="15"/>
  <c r="CO97" i="15"/>
  <c r="CN97" i="15"/>
  <c r="CM97" i="15"/>
  <c r="CL97" i="15"/>
  <c r="CK97" i="15"/>
  <c r="CJ97" i="15"/>
  <c r="CI97" i="15"/>
  <c r="CH97" i="15"/>
  <c r="CG97" i="15"/>
  <c r="CF97" i="15"/>
  <c r="CE97" i="15"/>
  <c r="CD97" i="15"/>
  <c r="CC97" i="15"/>
  <c r="CB97" i="15"/>
  <c r="CA97" i="15"/>
  <c r="BZ97" i="15"/>
  <c r="BY97" i="15"/>
  <c r="BX97" i="15"/>
  <c r="BW97" i="15"/>
  <c r="BV97" i="15"/>
  <c r="BU97" i="15"/>
  <c r="BT97" i="15"/>
  <c r="BS97" i="15"/>
  <c r="BR97" i="15"/>
  <c r="BQ97" i="15"/>
  <c r="BP97" i="15"/>
  <c r="BO97" i="15"/>
  <c r="BN97" i="15"/>
  <c r="BM97" i="15"/>
  <c r="BL97" i="15"/>
  <c r="BK97" i="15"/>
  <c r="BJ97" i="15"/>
  <c r="BI97" i="15"/>
  <c r="BH97" i="15"/>
  <c r="BG97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CW96" i="15"/>
  <c r="CV96" i="15"/>
  <c r="CU96" i="15"/>
  <c r="CT96" i="15"/>
  <c r="CS96" i="15"/>
  <c r="CR96" i="15"/>
  <c r="CQ96" i="15"/>
  <c r="CP96" i="15"/>
  <c r="CO96" i="15"/>
  <c r="CN96" i="15"/>
  <c r="CM96" i="15"/>
  <c r="CL96" i="15"/>
  <c r="CK96" i="15"/>
  <c r="CJ96" i="15"/>
  <c r="CI96" i="15"/>
  <c r="CH96" i="15"/>
  <c r="CG96" i="15"/>
  <c r="CF96" i="15"/>
  <c r="CE96" i="15"/>
  <c r="CD96" i="15"/>
  <c r="CC96" i="15"/>
  <c r="CB96" i="15"/>
  <c r="CA96" i="15"/>
  <c r="BZ96" i="15"/>
  <c r="BY96" i="15"/>
  <c r="BX96" i="15"/>
  <c r="BW96" i="15"/>
  <c r="BV96" i="15"/>
  <c r="BU96" i="15"/>
  <c r="BT96" i="15"/>
  <c r="BS96" i="15"/>
  <c r="BR96" i="15"/>
  <c r="BQ96" i="15"/>
  <c r="BP96" i="15"/>
  <c r="BO96" i="15"/>
  <c r="BN96" i="15"/>
  <c r="BM96" i="15"/>
  <c r="BL96" i="15"/>
  <c r="BK96" i="15"/>
  <c r="BJ96" i="15"/>
  <c r="BI96" i="15"/>
  <c r="BH96" i="15"/>
  <c r="BG96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CW95" i="15"/>
  <c r="CV95" i="15"/>
  <c r="CU95" i="15"/>
  <c r="CT95" i="15"/>
  <c r="CS95" i="15"/>
  <c r="CR95" i="15"/>
  <c r="CQ95" i="15"/>
  <c r="CP95" i="15"/>
  <c r="CO95" i="15"/>
  <c r="CN95" i="15"/>
  <c r="CM95" i="15"/>
  <c r="CL95" i="15"/>
  <c r="CK95" i="15"/>
  <c r="CJ95" i="15"/>
  <c r="CI95" i="15"/>
  <c r="CH95" i="15"/>
  <c r="CG95" i="15"/>
  <c r="CF95" i="15"/>
  <c r="CE95" i="15"/>
  <c r="CD95" i="15"/>
  <c r="CC95" i="15"/>
  <c r="CB95" i="15"/>
  <c r="CA95" i="15"/>
  <c r="BZ95" i="15"/>
  <c r="BY95" i="15"/>
  <c r="BX95" i="15"/>
  <c r="BW95" i="15"/>
  <c r="BV95" i="15"/>
  <c r="BU95" i="15"/>
  <c r="BT95" i="15"/>
  <c r="BS95" i="15"/>
  <c r="BR95" i="15"/>
  <c r="BQ95" i="15"/>
  <c r="BP95" i="15"/>
  <c r="BO95" i="15"/>
  <c r="BN95" i="15"/>
  <c r="BM95" i="15"/>
  <c r="BL95" i="15"/>
  <c r="BK95" i="15"/>
  <c r="BJ95" i="15"/>
  <c r="BI95" i="15"/>
  <c r="BH95" i="15"/>
  <c r="BG95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CW94" i="15"/>
  <c r="CV94" i="15"/>
  <c r="CU94" i="15"/>
  <c r="CT94" i="15"/>
  <c r="CS94" i="15"/>
  <c r="CR94" i="15"/>
  <c r="CQ94" i="15"/>
  <c r="CP94" i="15"/>
  <c r="CO94" i="15"/>
  <c r="CN94" i="15"/>
  <c r="CM94" i="15"/>
  <c r="CL94" i="15"/>
  <c r="CK94" i="15"/>
  <c r="CJ94" i="15"/>
  <c r="CI94" i="15"/>
  <c r="CH94" i="15"/>
  <c r="CG94" i="15"/>
  <c r="CF94" i="15"/>
  <c r="CE94" i="15"/>
  <c r="CD94" i="15"/>
  <c r="CC94" i="15"/>
  <c r="CB94" i="15"/>
  <c r="CA94" i="15"/>
  <c r="BZ94" i="15"/>
  <c r="BY94" i="15"/>
  <c r="BX94" i="15"/>
  <c r="BW94" i="15"/>
  <c r="BV94" i="15"/>
  <c r="BU94" i="15"/>
  <c r="BT94" i="15"/>
  <c r="BS94" i="15"/>
  <c r="BR94" i="15"/>
  <c r="BQ94" i="15"/>
  <c r="BP94" i="15"/>
  <c r="BO94" i="15"/>
  <c r="BN94" i="15"/>
  <c r="BM94" i="15"/>
  <c r="BL94" i="15"/>
  <c r="BK94" i="15"/>
  <c r="BJ94" i="15"/>
  <c r="BI94" i="15"/>
  <c r="BH94" i="15"/>
  <c r="BG94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BJ93" i="15"/>
  <c r="BI93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CW92" i="15"/>
  <c r="CV92" i="15"/>
  <c r="CU92" i="15"/>
  <c r="CT92" i="15"/>
  <c r="CS92" i="15"/>
  <c r="CR92" i="15"/>
  <c r="CQ92" i="15"/>
  <c r="CP92" i="15"/>
  <c r="CO92" i="15"/>
  <c r="CN92" i="15"/>
  <c r="CM92" i="15"/>
  <c r="CL92" i="15"/>
  <c r="CK92" i="15"/>
  <c r="CJ92" i="15"/>
  <c r="CI92" i="15"/>
  <c r="CH92" i="15"/>
  <c r="CG92" i="15"/>
  <c r="CF92" i="15"/>
  <c r="CE92" i="15"/>
  <c r="CD92" i="15"/>
  <c r="CC92" i="15"/>
  <c r="CB92" i="15"/>
  <c r="CA92" i="15"/>
  <c r="BZ92" i="15"/>
  <c r="BY92" i="15"/>
  <c r="BX92" i="15"/>
  <c r="BW92" i="15"/>
  <c r="BV92" i="15"/>
  <c r="BU92" i="15"/>
  <c r="BT92" i="15"/>
  <c r="BS92" i="15"/>
  <c r="BR92" i="15"/>
  <c r="BQ92" i="15"/>
  <c r="BP92" i="15"/>
  <c r="BO92" i="15"/>
  <c r="BN92" i="15"/>
  <c r="BM92" i="15"/>
  <c r="BL92" i="15"/>
  <c r="BK92" i="15"/>
  <c r="BJ92" i="15"/>
  <c r="BI92" i="15"/>
  <c r="BH92" i="15"/>
  <c r="BG92" i="15"/>
  <c r="BF92" i="15"/>
  <c r="BE92" i="15"/>
  <c r="BD92" i="15"/>
  <c r="BC92" i="15"/>
  <c r="BB92" i="15"/>
  <c r="BA92" i="15"/>
  <c r="AZ92" i="15"/>
  <c r="AY92" i="15"/>
  <c r="AX92" i="15"/>
  <c r="AW92" i="15"/>
  <c r="AV92" i="15"/>
  <c r="AU92" i="15"/>
  <c r="AT92" i="15"/>
  <c r="AS92" i="15"/>
  <c r="AR92" i="15"/>
  <c r="AQ92" i="15"/>
  <c r="AP92" i="15"/>
  <c r="AO92" i="15"/>
  <c r="AN92" i="15"/>
  <c r="AM92" i="15"/>
  <c r="AL92" i="15"/>
  <c r="AK92" i="15"/>
  <c r="AJ92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CW91" i="15"/>
  <c r="CV91" i="15"/>
  <c r="CU91" i="15"/>
  <c r="CT91" i="15"/>
  <c r="CS91" i="15"/>
  <c r="CR91" i="15"/>
  <c r="CQ91" i="15"/>
  <c r="CP91" i="15"/>
  <c r="CO91" i="15"/>
  <c r="CN91" i="15"/>
  <c r="CM91" i="15"/>
  <c r="CL91" i="15"/>
  <c r="CK91" i="15"/>
  <c r="CJ91" i="15"/>
  <c r="CI91" i="15"/>
  <c r="CH91" i="15"/>
  <c r="CG91" i="15"/>
  <c r="CF91" i="15"/>
  <c r="CE91" i="15"/>
  <c r="CD91" i="15"/>
  <c r="CC91" i="15"/>
  <c r="CB91" i="15"/>
  <c r="CA91" i="15"/>
  <c r="BZ91" i="15"/>
  <c r="BY91" i="15"/>
  <c r="BX91" i="15"/>
  <c r="BW91" i="15"/>
  <c r="BV91" i="15"/>
  <c r="BU91" i="15"/>
  <c r="BT91" i="15"/>
  <c r="BS91" i="15"/>
  <c r="BR91" i="15"/>
  <c r="BQ91" i="15"/>
  <c r="BP91" i="15"/>
  <c r="BO91" i="15"/>
  <c r="BN91" i="15"/>
  <c r="BM91" i="15"/>
  <c r="BL91" i="15"/>
  <c r="BK91" i="15"/>
  <c r="BJ91" i="15"/>
  <c r="BI91" i="15"/>
  <c r="BH91" i="15"/>
  <c r="BG91" i="15"/>
  <c r="BF91" i="15"/>
  <c r="BE91" i="15"/>
  <c r="BD91" i="15"/>
  <c r="BC91" i="15"/>
  <c r="BB91" i="15"/>
  <c r="BA91" i="15"/>
  <c r="AZ91" i="15"/>
  <c r="AY91" i="15"/>
  <c r="AX91" i="15"/>
  <c r="AW91" i="15"/>
  <c r="AV91" i="15"/>
  <c r="AU91" i="15"/>
  <c r="AT91" i="15"/>
  <c r="AS91" i="15"/>
  <c r="AR91" i="15"/>
  <c r="AQ91" i="15"/>
  <c r="AP91" i="15"/>
  <c r="AO91" i="15"/>
  <c r="AN91" i="15"/>
  <c r="AM91" i="15"/>
  <c r="AL91" i="15"/>
  <c r="AK91" i="15"/>
  <c r="AJ91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CW90" i="15"/>
  <c r="CV90" i="15"/>
  <c r="CU90" i="15"/>
  <c r="CT90" i="15"/>
  <c r="CS90" i="15"/>
  <c r="CR90" i="15"/>
  <c r="CQ90" i="15"/>
  <c r="CP90" i="15"/>
  <c r="CO90" i="15"/>
  <c r="CN90" i="15"/>
  <c r="CM90" i="15"/>
  <c r="CL90" i="15"/>
  <c r="CK90" i="15"/>
  <c r="CJ90" i="15"/>
  <c r="CI90" i="15"/>
  <c r="CH90" i="15"/>
  <c r="CG90" i="15"/>
  <c r="CF90" i="15"/>
  <c r="CE90" i="15"/>
  <c r="CD90" i="15"/>
  <c r="CC90" i="15"/>
  <c r="CB90" i="15"/>
  <c r="CA90" i="15"/>
  <c r="BZ90" i="15"/>
  <c r="BY90" i="15"/>
  <c r="BX90" i="15"/>
  <c r="BW90" i="15"/>
  <c r="BV90" i="15"/>
  <c r="BU90" i="15"/>
  <c r="BT90" i="15"/>
  <c r="BS90" i="15"/>
  <c r="BR90" i="15"/>
  <c r="BQ90" i="15"/>
  <c r="BP90" i="15"/>
  <c r="BO90" i="15"/>
  <c r="BN90" i="15"/>
  <c r="BM90" i="15"/>
  <c r="BL90" i="15"/>
  <c r="BK90" i="15"/>
  <c r="BJ90" i="15"/>
  <c r="BI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CW89" i="15"/>
  <c r="CV89" i="15"/>
  <c r="CU89" i="15"/>
  <c r="CT89" i="15"/>
  <c r="CS89" i="15"/>
  <c r="CR89" i="15"/>
  <c r="CQ89" i="15"/>
  <c r="CP89" i="15"/>
  <c r="CO89" i="15"/>
  <c r="CN89" i="15"/>
  <c r="CM89" i="15"/>
  <c r="CL89" i="15"/>
  <c r="CK89" i="15"/>
  <c r="CJ89" i="15"/>
  <c r="CI89" i="15"/>
  <c r="CH89" i="15"/>
  <c r="CG89" i="15"/>
  <c r="CF89" i="15"/>
  <c r="CE89" i="15"/>
  <c r="CD89" i="15"/>
  <c r="CC89" i="15"/>
  <c r="CB89" i="15"/>
  <c r="CA89" i="15"/>
  <c r="BZ89" i="15"/>
  <c r="BY89" i="15"/>
  <c r="BX89" i="15"/>
  <c r="BW89" i="15"/>
  <c r="BV89" i="15"/>
  <c r="BU89" i="15"/>
  <c r="BT89" i="15"/>
  <c r="BS89" i="15"/>
  <c r="BR89" i="15"/>
  <c r="BQ89" i="15"/>
  <c r="BP89" i="15"/>
  <c r="BO89" i="15"/>
  <c r="BN89" i="15"/>
  <c r="BM89" i="15"/>
  <c r="BL89" i="15"/>
  <c r="BK89" i="15"/>
  <c r="BJ89" i="15"/>
  <c r="BI89" i="15"/>
  <c r="BH89" i="15"/>
  <c r="BG89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CW88" i="15"/>
  <c r="CV88" i="15"/>
  <c r="CU88" i="15"/>
  <c r="CT88" i="15"/>
  <c r="CS88" i="15"/>
  <c r="CR88" i="15"/>
  <c r="CQ88" i="15"/>
  <c r="CP88" i="15"/>
  <c r="CO88" i="15"/>
  <c r="CN88" i="15"/>
  <c r="CM88" i="15"/>
  <c r="CL88" i="15"/>
  <c r="CK88" i="15"/>
  <c r="CJ88" i="15"/>
  <c r="CI88" i="15"/>
  <c r="CH88" i="15"/>
  <c r="CG88" i="15"/>
  <c r="CF88" i="15"/>
  <c r="CE88" i="15"/>
  <c r="CD88" i="15"/>
  <c r="CC88" i="15"/>
  <c r="CB88" i="15"/>
  <c r="CA88" i="15"/>
  <c r="BZ88" i="15"/>
  <c r="BY88" i="15"/>
  <c r="BX88" i="15"/>
  <c r="BW88" i="15"/>
  <c r="BV88" i="15"/>
  <c r="BU88" i="15"/>
  <c r="BT88" i="15"/>
  <c r="BS88" i="15"/>
  <c r="BR88" i="15"/>
  <c r="BQ88" i="15"/>
  <c r="BP88" i="15"/>
  <c r="BO88" i="15"/>
  <c r="BN88" i="15"/>
  <c r="BM88" i="15"/>
  <c r="BL88" i="15"/>
  <c r="BK88" i="15"/>
  <c r="BJ88" i="15"/>
  <c r="BI88" i="15"/>
  <c r="BH88" i="15"/>
  <c r="BG88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CW87" i="15"/>
  <c r="CV87" i="15"/>
  <c r="CU87" i="15"/>
  <c r="CT87" i="15"/>
  <c r="CS87" i="15"/>
  <c r="CR87" i="15"/>
  <c r="CQ87" i="15"/>
  <c r="CP87" i="15"/>
  <c r="CO87" i="15"/>
  <c r="CN87" i="15"/>
  <c r="CM87" i="15"/>
  <c r="CL87" i="15"/>
  <c r="CK87" i="15"/>
  <c r="CJ87" i="15"/>
  <c r="CI87" i="15"/>
  <c r="CH87" i="15"/>
  <c r="CG87" i="15"/>
  <c r="CF87" i="15"/>
  <c r="CE87" i="15"/>
  <c r="CD87" i="15"/>
  <c r="CC87" i="15"/>
  <c r="CB87" i="15"/>
  <c r="CA87" i="15"/>
  <c r="BZ87" i="15"/>
  <c r="BY87" i="15"/>
  <c r="BX87" i="15"/>
  <c r="BW87" i="15"/>
  <c r="BV87" i="15"/>
  <c r="BU87" i="15"/>
  <c r="BT87" i="15"/>
  <c r="BS87" i="15"/>
  <c r="BR87" i="15"/>
  <c r="BQ87" i="15"/>
  <c r="BP87" i="15"/>
  <c r="BO87" i="15"/>
  <c r="BN87" i="15"/>
  <c r="BM87" i="15"/>
  <c r="BL87" i="15"/>
  <c r="BK87" i="15"/>
  <c r="BJ87" i="15"/>
  <c r="BI87" i="15"/>
  <c r="BH87" i="15"/>
  <c r="BG87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BJ86" i="15"/>
  <c r="BI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CW85" i="15"/>
  <c r="CV85" i="15"/>
  <c r="CU85" i="15"/>
  <c r="CT85" i="15"/>
  <c r="CS85" i="15"/>
  <c r="CR85" i="15"/>
  <c r="CQ85" i="15"/>
  <c r="CP85" i="15"/>
  <c r="CO85" i="15"/>
  <c r="CN85" i="15"/>
  <c r="CM85" i="15"/>
  <c r="CL85" i="15"/>
  <c r="CK85" i="15"/>
  <c r="CJ85" i="15"/>
  <c r="CI85" i="15"/>
  <c r="CH85" i="15"/>
  <c r="CG85" i="15"/>
  <c r="CF85" i="15"/>
  <c r="CE85" i="15"/>
  <c r="CD85" i="15"/>
  <c r="CC85" i="15"/>
  <c r="CB85" i="15"/>
  <c r="CA85" i="15"/>
  <c r="BZ85" i="15"/>
  <c r="BY85" i="15"/>
  <c r="BX85" i="15"/>
  <c r="BW85" i="15"/>
  <c r="BV85" i="15"/>
  <c r="BU85" i="15"/>
  <c r="BT85" i="15"/>
  <c r="BS85" i="15"/>
  <c r="BR85" i="15"/>
  <c r="BQ85" i="15"/>
  <c r="BP85" i="15"/>
  <c r="BO85" i="15"/>
  <c r="BN85" i="15"/>
  <c r="BM85" i="15"/>
  <c r="BL85" i="15"/>
  <c r="BK85" i="15"/>
  <c r="BJ85" i="15"/>
  <c r="BI85" i="15"/>
  <c r="BH85" i="15"/>
  <c r="BG85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J84" i="15"/>
  <c r="CI84" i="15"/>
  <c r="CH84" i="15"/>
  <c r="CG84" i="15"/>
  <c r="CF84" i="15"/>
  <c r="CE84" i="15"/>
  <c r="CD84" i="15"/>
  <c r="CC84" i="15"/>
  <c r="CB84" i="15"/>
  <c r="CA84" i="15"/>
  <c r="BZ84" i="15"/>
  <c r="BY84" i="15"/>
  <c r="BX84" i="15"/>
  <c r="BW84" i="15"/>
  <c r="BV84" i="15"/>
  <c r="BU84" i="15"/>
  <c r="BT84" i="15"/>
  <c r="BS84" i="15"/>
  <c r="BR84" i="15"/>
  <c r="BQ84" i="15"/>
  <c r="BP84" i="15"/>
  <c r="BO84" i="15"/>
  <c r="BN84" i="15"/>
  <c r="BM84" i="15"/>
  <c r="BL84" i="15"/>
  <c r="BK84" i="15"/>
  <c r="BJ84" i="15"/>
  <c r="BI84" i="15"/>
  <c r="BH84" i="15"/>
  <c r="BG84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CW83" i="15"/>
  <c r="CV83" i="15"/>
  <c r="CU83" i="15"/>
  <c r="CT83" i="15"/>
  <c r="CS83" i="15"/>
  <c r="CR83" i="15"/>
  <c r="CQ83" i="15"/>
  <c r="CP83" i="15"/>
  <c r="CO83" i="15"/>
  <c r="CN83" i="15"/>
  <c r="CM83" i="15"/>
  <c r="CL83" i="15"/>
  <c r="CK83" i="15"/>
  <c r="CJ83" i="15"/>
  <c r="CI83" i="15"/>
  <c r="CH83" i="15"/>
  <c r="CG83" i="15"/>
  <c r="CF83" i="15"/>
  <c r="CE83" i="15"/>
  <c r="CD83" i="15"/>
  <c r="CC83" i="15"/>
  <c r="CB83" i="15"/>
  <c r="CA83" i="15"/>
  <c r="BZ83" i="15"/>
  <c r="BY83" i="15"/>
  <c r="BX83" i="15"/>
  <c r="BW83" i="15"/>
  <c r="BV83" i="15"/>
  <c r="BU83" i="15"/>
  <c r="BT83" i="15"/>
  <c r="BS83" i="15"/>
  <c r="BR83" i="15"/>
  <c r="BQ83" i="15"/>
  <c r="BP83" i="15"/>
  <c r="BO83" i="15"/>
  <c r="BN83" i="15"/>
  <c r="BM83" i="15"/>
  <c r="BL83" i="15"/>
  <c r="BK83" i="15"/>
  <c r="BJ83" i="15"/>
  <c r="BI83" i="15"/>
  <c r="BH83" i="15"/>
  <c r="BG83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CW82" i="15"/>
  <c r="CV82" i="15"/>
  <c r="CU82" i="15"/>
  <c r="CT82" i="15"/>
  <c r="CS82" i="15"/>
  <c r="CR82" i="15"/>
  <c r="CQ82" i="15"/>
  <c r="CP82" i="15"/>
  <c r="CO82" i="15"/>
  <c r="CN82" i="15"/>
  <c r="CM82" i="15"/>
  <c r="CL82" i="15"/>
  <c r="CK82" i="15"/>
  <c r="CJ82" i="15"/>
  <c r="CI82" i="15"/>
  <c r="CH82" i="15"/>
  <c r="CG82" i="15"/>
  <c r="CF82" i="15"/>
  <c r="CE82" i="15"/>
  <c r="CD82" i="15"/>
  <c r="CC82" i="15"/>
  <c r="CB82" i="15"/>
  <c r="CA82" i="15"/>
  <c r="BZ82" i="15"/>
  <c r="BY82" i="15"/>
  <c r="BX82" i="15"/>
  <c r="BW82" i="15"/>
  <c r="BV82" i="15"/>
  <c r="BU82" i="15"/>
  <c r="BT82" i="15"/>
  <c r="BS82" i="15"/>
  <c r="BR82" i="15"/>
  <c r="BQ82" i="15"/>
  <c r="BP82" i="15"/>
  <c r="BO82" i="15"/>
  <c r="BN82" i="15"/>
  <c r="BM82" i="15"/>
  <c r="BL82" i="15"/>
  <c r="BK82" i="15"/>
  <c r="BJ82" i="15"/>
  <c r="BI82" i="15"/>
  <c r="BH82" i="15"/>
  <c r="BG82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CW81" i="15"/>
  <c r="CV81" i="15"/>
  <c r="CU81" i="15"/>
  <c r="CT81" i="15"/>
  <c r="CS81" i="15"/>
  <c r="CR81" i="15"/>
  <c r="CQ81" i="15"/>
  <c r="CP81" i="15"/>
  <c r="CO81" i="15"/>
  <c r="CN81" i="15"/>
  <c r="CM81" i="15"/>
  <c r="CL81" i="15"/>
  <c r="CK81" i="15"/>
  <c r="CJ81" i="15"/>
  <c r="CI81" i="15"/>
  <c r="CH81" i="15"/>
  <c r="CG81" i="15"/>
  <c r="CF81" i="15"/>
  <c r="CE81" i="15"/>
  <c r="CD81" i="15"/>
  <c r="CC81" i="15"/>
  <c r="CB81" i="15"/>
  <c r="CA81" i="15"/>
  <c r="BZ81" i="15"/>
  <c r="BY81" i="15"/>
  <c r="BX81" i="15"/>
  <c r="BW81" i="15"/>
  <c r="BV81" i="15"/>
  <c r="BU81" i="15"/>
  <c r="BT81" i="15"/>
  <c r="BS81" i="15"/>
  <c r="BR81" i="15"/>
  <c r="BQ81" i="15"/>
  <c r="BP81" i="15"/>
  <c r="BO81" i="15"/>
  <c r="BN81" i="15"/>
  <c r="BM81" i="15"/>
  <c r="BL81" i="15"/>
  <c r="BK81" i="15"/>
  <c r="BJ81" i="15"/>
  <c r="BI81" i="15"/>
  <c r="BH81" i="15"/>
  <c r="BG81" i="15"/>
  <c r="BF81" i="15"/>
  <c r="BE81" i="15"/>
  <c r="BD81" i="15"/>
  <c r="BC81" i="15"/>
  <c r="BB81" i="15"/>
  <c r="BA81" i="15"/>
  <c r="AZ81" i="15"/>
  <c r="AY81" i="15"/>
  <c r="AX81" i="15"/>
  <c r="AW81" i="15"/>
  <c r="AV81" i="15"/>
  <c r="AU81" i="15"/>
  <c r="AT81" i="15"/>
  <c r="AS81" i="15"/>
  <c r="AR81" i="15"/>
  <c r="AQ81" i="15"/>
  <c r="AP81" i="15"/>
  <c r="AO81" i="15"/>
  <c r="AN81" i="15"/>
  <c r="AM81" i="15"/>
  <c r="AL81" i="15"/>
  <c r="AK81" i="15"/>
  <c r="AJ81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CW80" i="15"/>
  <c r="CV80" i="15"/>
  <c r="CU80" i="15"/>
  <c r="CT80" i="15"/>
  <c r="CS80" i="15"/>
  <c r="CR80" i="15"/>
  <c r="CQ80" i="15"/>
  <c r="CP80" i="15"/>
  <c r="CO80" i="15"/>
  <c r="CN80" i="15"/>
  <c r="CM80" i="15"/>
  <c r="CL80" i="15"/>
  <c r="CK80" i="15"/>
  <c r="CJ80" i="15"/>
  <c r="CI80" i="15"/>
  <c r="CH80" i="15"/>
  <c r="CG80" i="15"/>
  <c r="CF80" i="15"/>
  <c r="CE80" i="15"/>
  <c r="CD80" i="15"/>
  <c r="CC80" i="15"/>
  <c r="CB80" i="15"/>
  <c r="CA80" i="15"/>
  <c r="BZ80" i="15"/>
  <c r="BY80" i="15"/>
  <c r="BX80" i="15"/>
  <c r="BW80" i="15"/>
  <c r="BV80" i="15"/>
  <c r="BU80" i="15"/>
  <c r="BT80" i="15"/>
  <c r="BS80" i="15"/>
  <c r="BR80" i="15"/>
  <c r="BQ80" i="15"/>
  <c r="BP80" i="15"/>
  <c r="BO80" i="15"/>
  <c r="BN80" i="15"/>
  <c r="BM80" i="15"/>
  <c r="BL80" i="15"/>
  <c r="BK80" i="15"/>
  <c r="BJ80" i="15"/>
  <c r="BI80" i="15"/>
  <c r="BH80" i="15"/>
  <c r="BG80" i="15"/>
  <c r="BF80" i="15"/>
  <c r="BE80" i="15"/>
  <c r="BD80" i="15"/>
  <c r="BC80" i="15"/>
  <c r="BB80" i="15"/>
  <c r="BA80" i="15"/>
  <c r="AZ80" i="15"/>
  <c r="AY80" i="15"/>
  <c r="AX80" i="15"/>
  <c r="AW80" i="15"/>
  <c r="AV80" i="15"/>
  <c r="AU80" i="15"/>
  <c r="AT80" i="15"/>
  <c r="AS80" i="15"/>
  <c r="AR80" i="15"/>
  <c r="AQ80" i="15"/>
  <c r="AP80" i="15"/>
  <c r="AO80" i="15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BJ79" i="15"/>
  <c r="BI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CW78" i="15"/>
  <c r="CV78" i="15"/>
  <c r="CU78" i="15"/>
  <c r="CT78" i="15"/>
  <c r="CS78" i="15"/>
  <c r="CR78" i="15"/>
  <c r="CQ78" i="15"/>
  <c r="CP78" i="15"/>
  <c r="CO78" i="15"/>
  <c r="CN78" i="15"/>
  <c r="CM78" i="15"/>
  <c r="CL78" i="15"/>
  <c r="CK78" i="15"/>
  <c r="CJ78" i="15"/>
  <c r="CI78" i="15"/>
  <c r="CH78" i="15"/>
  <c r="CG78" i="15"/>
  <c r="CF78" i="15"/>
  <c r="CE78" i="15"/>
  <c r="CD78" i="15"/>
  <c r="CC78" i="15"/>
  <c r="CB78" i="15"/>
  <c r="CA78" i="15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BJ78" i="15"/>
  <c r="BI78" i="15"/>
  <c r="BH78" i="15"/>
  <c r="BG78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CW77" i="15"/>
  <c r="CV77" i="15"/>
  <c r="CU77" i="15"/>
  <c r="CT77" i="15"/>
  <c r="CS77" i="15"/>
  <c r="CR77" i="15"/>
  <c r="CQ77" i="15"/>
  <c r="CP77" i="15"/>
  <c r="CO77" i="15"/>
  <c r="CN77" i="15"/>
  <c r="CM77" i="15"/>
  <c r="CL77" i="15"/>
  <c r="CK77" i="15"/>
  <c r="CJ77" i="15"/>
  <c r="CI77" i="15"/>
  <c r="CH77" i="15"/>
  <c r="CG77" i="15"/>
  <c r="CF77" i="15"/>
  <c r="CE77" i="15"/>
  <c r="CD77" i="15"/>
  <c r="CC77" i="15"/>
  <c r="CB77" i="15"/>
  <c r="CA77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BJ77" i="15"/>
  <c r="BI77" i="15"/>
  <c r="BH77" i="15"/>
  <c r="BG77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CW76" i="15"/>
  <c r="CV76" i="15"/>
  <c r="CU76" i="15"/>
  <c r="CT76" i="15"/>
  <c r="CS76" i="15"/>
  <c r="CR76" i="15"/>
  <c r="CQ76" i="15"/>
  <c r="CP76" i="15"/>
  <c r="CO76" i="15"/>
  <c r="CN76" i="15"/>
  <c r="CM76" i="15"/>
  <c r="CL76" i="15"/>
  <c r="CK76" i="15"/>
  <c r="CJ76" i="15"/>
  <c r="CI76" i="15"/>
  <c r="CH76" i="15"/>
  <c r="CG76" i="15"/>
  <c r="CF76" i="15"/>
  <c r="CE76" i="15"/>
  <c r="CD76" i="15"/>
  <c r="CC76" i="15"/>
  <c r="CB76" i="15"/>
  <c r="CA76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BJ76" i="15"/>
  <c r="BI76" i="15"/>
  <c r="BH76" i="15"/>
  <c r="BG76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BJ75" i="15"/>
  <c r="BI75" i="15"/>
  <c r="BH75" i="15"/>
  <c r="BG75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CW74" i="15"/>
  <c r="CV74" i="15"/>
  <c r="CU74" i="15"/>
  <c r="CT74" i="15"/>
  <c r="CS74" i="15"/>
  <c r="CR74" i="15"/>
  <c r="CQ74" i="15"/>
  <c r="CP74" i="15"/>
  <c r="CO74" i="15"/>
  <c r="CN74" i="15"/>
  <c r="CM74" i="15"/>
  <c r="CL74" i="15"/>
  <c r="CK74" i="15"/>
  <c r="CJ74" i="15"/>
  <c r="CI74" i="15"/>
  <c r="CH74" i="15"/>
  <c r="CG74" i="15"/>
  <c r="CF74" i="15"/>
  <c r="CE74" i="15"/>
  <c r="CD74" i="15"/>
  <c r="CC74" i="15"/>
  <c r="CB74" i="15"/>
  <c r="CA74" i="15"/>
  <c r="BZ74" i="15"/>
  <c r="BY74" i="15"/>
  <c r="BX74" i="15"/>
  <c r="BW74" i="15"/>
  <c r="BV74" i="15"/>
  <c r="BU74" i="15"/>
  <c r="BT74" i="15"/>
  <c r="BS74" i="15"/>
  <c r="BR74" i="15"/>
  <c r="BQ74" i="15"/>
  <c r="BP74" i="15"/>
  <c r="BO74" i="15"/>
  <c r="BN74" i="15"/>
  <c r="BM74" i="15"/>
  <c r="BL74" i="15"/>
  <c r="BK74" i="15"/>
  <c r="BJ74" i="15"/>
  <c r="BI74" i="15"/>
  <c r="BH74" i="15"/>
  <c r="BG74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BJ73" i="15"/>
  <c r="BI73" i="15"/>
  <c r="BH73" i="15"/>
  <c r="BG73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BJ71" i="15"/>
  <c r="BI71" i="15"/>
  <c r="BH71" i="15"/>
  <c r="BG71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BJ70" i="15"/>
  <c r="BI70" i="15"/>
  <c r="BH70" i="15"/>
  <c r="BG70" i="15"/>
  <c r="BF70" i="15"/>
  <c r="BE70" i="15"/>
  <c r="BD70" i="15"/>
  <c r="BC70" i="15"/>
  <c r="BB70" i="15"/>
  <c r="BA70" i="15"/>
  <c r="AZ70" i="15"/>
  <c r="AY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K70" i="15"/>
  <c r="AJ70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BJ69" i="15"/>
  <c r="BI69" i="15"/>
  <c r="BH69" i="15"/>
  <c r="BG69" i="15"/>
  <c r="BF69" i="15"/>
  <c r="BE69" i="15"/>
  <c r="BD69" i="15"/>
  <c r="BC69" i="15"/>
  <c r="BB69" i="15"/>
  <c r="BA69" i="15"/>
  <c r="AZ69" i="15"/>
  <c r="AY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K69" i="15"/>
  <c r="AJ69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BJ68" i="15"/>
  <c r="BI68" i="15"/>
  <c r="BH68" i="15"/>
  <c r="BG68" i="15"/>
  <c r="BF68" i="15"/>
  <c r="BE68" i="15"/>
  <c r="BD68" i="15"/>
  <c r="BC68" i="15"/>
  <c r="BB68" i="15"/>
  <c r="BA68" i="15"/>
  <c r="AZ68" i="15"/>
  <c r="AY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K68" i="15"/>
  <c r="AJ68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CW67" i="15"/>
  <c r="CV67" i="15"/>
  <c r="CU67" i="15"/>
  <c r="CT67" i="15"/>
  <c r="CS67" i="15"/>
  <c r="CR67" i="15"/>
  <c r="CQ67" i="15"/>
  <c r="CP67" i="15"/>
  <c r="CO67" i="15"/>
  <c r="CN67" i="15"/>
  <c r="CM67" i="15"/>
  <c r="CL67" i="15"/>
  <c r="CK67" i="15"/>
  <c r="CJ67" i="15"/>
  <c r="CI67" i="15"/>
  <c r="CH67" i="15"/>
  <c r="CG67" i="15"/>
  <c r="CF67" i="15"/>
  <c r="CE67" i="15"/>
  <c r="CD67" i="15"/>
  <c r="CC67" i="15"/>
  <c r="CB67" i="15"/>
  <c r="CA67" i="15"/>
  <c r="BZ67" i="15"/>
  <c r="BY67" i="15"/>
  <c r="BX67" i="15"/>
  <c r="BW67" i="15"/>
  <c r="BV67" i="15"/>
  <c r="BU67" i="15"/>
  <c r="BT67" i="15"/>
  <c r="BS67" i="15"/>
  <c r="BR67" i="15"/>
  <c r="BQ67" i="15"/>
  <c r="BP67" i="15"/>
  <c r="BO67" i="15"/>
  <c r="BN67" i="15"/>
  <c r="BM67" i="15"/>
  <c r="BL67" i="15"/>
  <c r="BK67" i="15"/>
  <c r="BJ67" i="15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BJ66" i="15"/>
  <c r="BI66" i="15"/>
  <c r="BH66" i="15"/>
  <c r="BG66" i="15"/>
  <c r="BF66" i="15"/>
  <c r="BE66" i="15"/>
  <c r="BD66" i="15"/>
  <c r="BC66" i="15"/>
  <c r="BB66" i="15"/>
  <c r="BA66" i="15"/>
  <c r="AZ66" i="15"/>
  <c r="AY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K66" i="15"/>
  <c r="AJ66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CW60" i="15"/>
  <c r="CV60" i="15"/>
  <c r="CU60" i="15"/>
  <c r="CT60" i="15"/>
  <c r="CS60" i="15"/>
  <c r="CR60" i="15"/>
  <c r="CQ60" i="15"/>
  <c r="CP60" i="15"/>
  <c r="CO60" i="15"/>
  <c r="CN60" i="15"/>
  <c r="CM60" i="15"/>
  <c r="CL60" i="15"/>
  <c r="CK60" i="15"/>
  <c r="CJ60" i="15"/>
  <c r="CI60" i="15"/>
  <c r="CH60" i="15"/>
  <c r="CG60" i="15"/>
  <c r="CF60" i="15"/>
  <c r="CE60" i="15"/>
  <c r="CD60" i="15"/>
  <c r="CC60" i="15"/>
  <c r="CB60" i="15"/>
  <c r="CA60" i="15"/>
  <c r="BZ60" i="15"/>
  <c r="BY60" i="15"/>
  <c r="BX60" i="15"/>
  <c r="BW60" i="15"/>
  <c r="BV60" i="15"/>
  <c r="BU60" i="15"/>
  <c r="BT60" i="15"/>
  <c r="BS60" i="15"/>
  <c r="BR60" i="15"/>
  <c r="BQ60" i="15"/>
  <c r="BP60" i="15"/>
  <c r="BO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CW53" i="15"/>
  <c r="CV53" i="15"/>
  <c r="CU53" i="15"/>
  <c r="CT53" i="15"/>
  <c r="CS53" i="15"/>
  <c r="CR53" i="15"/>
  <c r="CQ53" i="15"/>
  <c r="CP53" i="15"/>
  <c r="CO53" i="15"/>
  <c r="CN53" i="15"/>
  <c r="CM53" i="15"/>
  <c r="CL53" i="15"/>
  <c r="CK53" i="15"/>
  <c r="CJ53" i="15"/>
  <c r="CI53" i="15"/>
  <c r="CH53" i="15"/>
  <c r="CG53" i="15"/>
  <c r="CF53" i="15"/>
  <c r="CE53" i="15"/>
  <c r="CD53" i="15"/>
  <c r="CC53" i="15"/>
  <c r="CB53" i="15"/>
  <c r="CA53" i="15"/>
  <c r="BZ53" i="15"/>
  <c r="BY53" i="15"/>
  <c r="BX53" i="15"/>
  <c r="BW53" i="15"/>
  <c r="BV53" i="15"/>
  <c r="BU53" i="15"/>
  <c r="BT53" i="15"/>
  <c r="BS53" i="15"/>
  <c r="BR53" i="15"/>
  <c r="BQ53" i="15"/>
  <c r="BP53" i="15"/>
  <c r="BO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CW46" i="15"/>
  <c r="CV46" i="15"/>
  <c r="CU46" i="15"/>
  <c r="CT46" i="15"/>
  <c r="CS46" i="15"/>
  <c r="CR46" i="15"/>
  <c r="CQ46" i="15"/>
  <c r="CP46" i="15"/>
  <c r="CO46" i="15"/>
  <c r="CN46" i="15"/>
  <c r="CM46" i="15"/>
  <c r="CL46" i="15"/>
  <c r="CK46" i="15"/>
  <c r="CJ46" i="15"/>
  <c r="CI46" i="15"/>
  <c r="CH46" i="15"/>
  <c r="CG46" i="15"/>
  <c r="CF46" i="15"/>
  <c r="CE46" i="15"/>
  <c r="CD46" i="15"/>
  <c r="CC46" i="15"/>
  <c r="CB46" i="15"/>
  <c r="CA46" i="15"/>
  <c r="BZ46" i="15"/>
  <c r="BY46" i="15"/>
  <c r="BX46" i="15"/>
  <c r="BW46" i="15"/>
  <c r="BV46" i="15"/>
  <c r="BU46" i="15"/>
  <c r="BT46" i="15"/>
  <c r="BS46" i="15"/>
  <c r="BR46" i="15"/>
  <c r="BQ46" i="15"/>
  <c r="BP46" i="15"/>
  <c r="BO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CW39" i="15"/>
  <c r="CV39" i="15"/>
  <c r="CU39" i="15"/>
  <c r="CT39" i="15"/>
  <c r="CS39" i="15"/>
  <c r="CR39" i="15"/>
  <c r="CQ39" i="15"/>
  <c r="CP39" i="15"/>
  <c r="CO39" i="15"/>
  <c r="CN39" i="15"/>
  <c r="CM39" i="15"/>
  <c r="CL39" i="15"/>
  <c r="CK39" i="15"/>
  <c r="CJ39" i="15"/>
  <c r="CI39" i="15"/>
  <c r="CH39" i="15"/>
  <c r="CG39" i="15"/>
  <c r="CF39" i="15"/>
  <c r="CE39" i="15"/>
  <c r="CD39" i="15"/>
  <c r="CC39" i="15"/>
  <c r="CB39" i="15"/>
  <c r="CA39" i="15"/>
  <c r="BZ39" i="15"/>
  <c r="BY39" i="15"/>
  <c r="BX39" i="15"/>
  <c r="BW39" i="15"/>
  <c r="BV39" i="15"/>
  <c r="BU39" i="15"/>
  <c r="BT39" i="15"/>
  <c r="BS39" i="15"/>
  <c r="BR39" i="15"/>
  <c r="BQ39" i="15"/>
  <c r="BP39" i="15"/>
  <c r="BO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CW32" i="15"/>
  <c r="CV32" i="15"/>
  <c r="CU32" i="15"/>
  <c r="CT32" i="15"/>
  <c r="CS32" i="15"/>
  <c r="CR32" i="15"/>
  <c r="CQ32" i="15"/>
  <c r="CP32" i="15"/>
  <c r="CO32" i="15"/>
  <c r="CN32" i="15"/>
  <c r="CM32" i="15"/>
  <c r="CL32" i="15"/>
  <c r="CK32" i="15"/>
  <c r="CJ32" i="15"/>
  <c r="CI32" i="15"/>
  <c r="CH32" i="15"/>
  <c r="CG32" i="15"/>
  <c r="CF32" i="15"/>
  <c r="CE32" i="15"/>
  <c r="CD32" i="15"/>
  <c r="CC32" i="15"/>
  <c r="CB32" i="15"/>
  <c r="CA32" i="15"/>
  <c r="BZ32" i="15"/>
  <c r="BY32" i="15"/>
  <c r="BX32" i="15"/>
  <c r="BW32" i="15"/>
  <c r="BV32" i="15"/>
  <c r="BU32" i="15"/>
  <c r="BT32" i="15"/>
  <c r="BS32" i="15"/>
  <c r="BR32" i="15"/>
  <c r="BQ32" i="15"/>
  <c r="BP32" i="15"/>
  <c r="BO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CW25" i="15"/>
  <c r="CV25" i="15"/>
  <c r="CU25" i="15"/>
  <c r="CT25" i="15"/>
  <c r="CS25" i="15"/>
  <c r="CR25" i="15"/>
  <c r="CQ25" i="15"/>
  <c r="CP25" i="15"/>
  <c r="CO25" i="15"/>
  <c r="CN25" i="15"/>
  <c r="CM25" i="15"/>
  <c r="CL25" i="15"/>
  <c r="CK25" i="15"/>
  <c r="CJ25" i="15"/>
  <c r="CI25" i="15"/>
  <c r="CH25" i="15"/>
  <c r="CG25" i="15"/>
  <c r="CF25" i="15"/>
  <c r="CE25" i="15"/>
  <c r="CD25" i="15"/>
  <c r="CC25" i="15"/>
  <c r="CB25" i="15"/>
  <c r="CA25" i="15"/>
  <c r="BZ25" i="15"/>
  <c r="BY25" i="15"/>
  <c r="BX25" i="15"/>
  <c r="BW25" i="15"/>
  <c r="BV25" i="15"/>
  <c r="BU25" i="15"/>
  <c r="BT25" i="15"/>
  <c r="BS25" i="15"/>
  <c r="BR25" i="15"/>
  <c r="BQ25" i="15"/>
  <c r="BP25" i="15"/>
  <c r="BO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CW18" i="15"/>
  <c r="CV18" i="15"/>
  <c r="CU18" i="15"/>
  <c r="CT18" i="15"/>
  <c r="CS18" i="15"/>
  <c r="CR18" i="15"/>
  <c r="CQ18" i="15"/>
  <c r="CP18" i="15"/>
  <c r="CO18" i="15"/>
  <c r="CN18" i="15"/>
  <c r="CM18" i="15"/>
  <c r="CL18" i="15"/>
  <c r="CK18" i="15"/>
  <c r="CJ18" i="15"/>
  <c r="CI18" i="15"/>
  <c r="CH18" i="15"/>
  <c r="CG18" i="15"/>
  <c r="CF18" i="15"/>
  <c r="CE18" i="15"/>
  <c r="CD18" i="15"/>
  <c r="CC18" i="15"/>
  <c r="CB18" i="15"/>
  <c r="CA18" i="15"/>
  <c r="BZ18" i="15"/>
  <c r="BY18" i="15"/>
  <c r="BX18" i="15"/>
  <c r="BW18" i="15"/>
  <c r="BV18" i="15"/>
  <c r="BU18" i="15"/>
  <c r="BT18" i="15"/>
  <c r="BS18" i="15"/>
  <c r="BR18" i="15"/>
  <c r="BQ18" i="15"/>
  <c r="BP18" i="15"/>
  <c r="BO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CW11" i="15"/>
  <c r="CV11" i="15"/>
  <c r="CU11" i="15"/>
  <c r="CT11" i="15"/>
  <c r="CS11" i="15"/>
  <c r="CR11" i="15"/>
  <c r="CQ11" i="15"/>
  <c r="CP11" i="15"/>
  <c r="CO11" i="15"/>
  <c r="CN11" i="15"/>
  <c r="CM11" i="15"/>
  <c r="CL11" i="15"/>
  <c r="CK11" i="15"/>
  <c r="CJ11" i="15"/>
  <c r="CI11" i="15"/>
  <c r="CH11" i="15"/>
  <c r="CG11" i="15"/>
  <c r="CF11" i="15"/>
  <c r="CE11" i="15"/>
  <c r="CD11" i="15"/>
  <c r="CC11" i="15"/>
  <c r="CB11" i="15"/>
  <c r="CA11" i="15"/>
  <c r="BZ11" i="15"/>
  <c r="BY11" i="15"/>
  <c r="BX11" i="15"/>
  <c r="BW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CW3" i="15"/>
  <c r="CV3" i="15"/>
  <c r="CU3" i="15"/>
  <c r="CT3" i="15"/>
  <c r="CS3" i="15"/>
  <c r="CR3" i="15"/>
  <c r="CQ3" i="15"/>
  <c r="CP3" i="15"/>
  <c r="CO3" i="15"/>
  <c r="CN3" i="15"/>
  <c r="CM3" i="15"/>
  <c r="CL3" i="15"/>
  <c r="CK3" i="15"/>
  <c r="CJ3" i="15"/>
  <c r="CI3" i="15"/>
  <c r="CH3" i="15"/>
  <c r="CG3" i="15"/>
  <c r="CF3" i="15"/>
  <c r="CE3" i="15"/>
  <c r="CD3" i="15"/>
  <c r="CC3" i="15"/>
  <c r="CB3" i="15"/>
  <c r="CA3" i="15"/>
  <c r="BZ3" i="15"/>
  <c r="BY3" i="15"/>
  <c r="BX3" i="15"/>
  <c r="BW3" i="15"/>
  <c r="BV3" i="15"/>
  <c r="BU3" i="15"/>
  <c r="BT3" i="15"/>
  <c r="BS3" i="15"/>
  <c r="BR3" i="15"/>
  <c r="BQ3" i="15"/>
  <c r="BP3" i="15"/>
  <c r="BO3" i="15"/>
  <c r="BN3" i="15"/>
  <c r="BM3" i="15"/>
  <c r="BL3" i="15"/>
  <c r="BK3" i="15"/>
  <c r="BJ3" i="15"/>
  <c r="BI3" i="15"/>
  <c r="BH3" i="15"/>
  <c r="BG3" i="15"/>
  <c r="BF3" i="15"/>
  <c r="BE3" i="15"/>
  <c r="BD3" i="15"/>
  <c r="BC3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CW2" i="15"/>
  <c r="CV2" i="15"/>
  <c r="CU2" i="15"/>
  <c r="CT2" i="15"/>
  <c r="CS2" i="15"/>
  <c r="CR2" i="15"/>
  <c r="CQ2" i="15"/>
  <c r="CP2" i="15"/>
  <c r="CO2" i="15"/>
  <c r="CN2" i="15"/>
  <c r="CM2" i="15"/>
  <c r="CL2" i="15"/>
  <c r="CK2" i="15"/>
  <c r="CJ2" i="15"/>
  <c r="CI2" i="15"/>
  <c r="CH2" i="15"/>
  <c r="CG2" i="15"/>
  <c r="CF2" i="15"/>
  <c r="CE2" i="15"/>
  <c r="CD2" i="15"/>
  <c r="CC2" i="15"/>
  <c r="CB2" i="15"/>
  <c r="CA2" i="15"/>
  <c r="BZ2" i="15"/>
  <c r="BY2" i="15"/>
  <c r="BX2" i="15"/>
  <c r="BW2" i="15"/>
  <c r="BV2" i="15"/>
  <c r="BU2" i="15"/>
  <c r="BT2" i="15"/>
  <c r="BS2" i="15"/>
  <c r="BR2" i="15"/>
  <c r="BQ2" i="15"/>
  <c r="BP2" i="15"/>
  <c r="BO2" i="15"/>
  <c r="BN2" i="15"/>
  <c r="BM2" i="15"/>
  <c r="BL2" i="15"/>
  <c r="BK2" i="15"/>
  <c r="BJ2" i="15"/>
  <c r="BI2" i="15"/>
  <c r="BH2" i="15"/>
  <c r="BG2" i="15"/>
  <c r="BF2" i="15"/>
  <c r="BE2" i="15"/>
  <c r="BD2" i="15"/>
  <c r="BC2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B358" i="14"/>
  <c r="L358" i="14"/>
  <c r="B373" i="14"/>
  <c r="R373" i="14"/>
  <c r="B389" i="14"/>
  <c r="Q389" i="14"/>
  <c r="B388" i="14"/>
  <c r="F388" i="14"/>
  <c r="B390" i="14"/>
  <c r="S390" i="14"/>
  <c r="B387" i="14"/>
  <c r="I387" i="14"/>
  <c r="B386" i="14"/>
  <c r="N386" i="14"/>
  <c r="B385" i="14"/>
  <c r="G385" i="14"/>
  <c r="B384" i="14"/>
  <c r="B383" i="14"/>
  <c r="P383" i="14"/>
  <c r="B382" i="14"/>
  <c r="K382" i="14"/>
  <c r="B381" i="14"/>
  <c r="N381" i="14"/>
  <c r="B380" i="14"/>
  <c r="B379" i="14"/>
  <c r="I379" i="14"/>
  <c r="B378" i="14"/>
  <c r="Q378" i="14"/>
  <c r="B377" i="14"/>
  <c r="B376" i="14"/>
  <c r="S376" i="14"/>
  <c r="B375" i="14"/>
  <c r="R375" i="14"/>
  <c r="B374" i="14"/>
  <c r="G374" i="14"/>
  <c r="B372" i="14"/>
  <c r="D372" i="14"/>
  <c r="B371" i="14"/>
  <c r="F371" i="14"/>
  <c r="B370" i="14"/>
  <c r="B369" i="14"/>
  <c r="N369" i="14"/>
  <c r="B368" i="14"/>
  <c r="N368" i="14"/>
  <c r="B367" i="14"/>
  <c r="B366" i="14"/>
  <c r="R366" i="14"/>
  <c r="B365" i="14"/>
  <c r="Q365" i="14"/>
  <c r="B364" i="14"/>
  <c r="D364" i="14"/>
  <c r="B363" i="14"/>
  <c r="I363" i="14"/>
  <c r="B362" i="14"/>
  <c r="O362" i="14"/>
  <c r="B361" i="14"/>
  <c r="F361" i="14"/>
  <c r="B360" i="14"/>
  <c r="B359" i="14"/>
  <c r="O359" i="14"/>
  <c r="B357" i="14"/>
  <c r="B356" i="14"/>
  <c r="M356" i="14"/>
  <c r="B355" i="14"/>
  <c r="O355" i="14"/>
  <c r="B354" i="14"/>
  <c r="K354" i="14"/>
  <c r="B350" i="14"/>
  <c r="B349" i="14"/>
  <c r="N349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BL4" i="2" a="1"/>
  <c r="BL4" i="2"/>
  <c r="BL3" i="2" a="1"/>
  <c r="BL3" i="2"/>
  <c r="BN1" i="2"/>
  <c r="BM1" i="2"/>
  <c r="BK1" i="2"/>
  <c r="I2" i="13"/>
  <c r="BF4" i="2" a="1"/>
  <c r="BF4" i="2"/>
  <c r="BF3" i="2" a="1"/>
  <c r="BF3" i="2"/>
  <c r="BH1" i="2"/>
  <c r="BG1" i="2"/>
  <c r="BE1" i="2"/>
  <c r="AZ4" i="2" a="1"/>
  <c r="AZ4" i="2"/>
  <c r="AZ3" i="2" a="1"/>
  <c r="AZ3" i="2"/>
  <c r="BB1" i="2"/>
  <c r="BA1" i="2"/>
  <c r="AY1" i="2"/>
  <c r="H9" i="13"/>
  <c r="I8" i="13"/>
  <c r="I7" i="13"/>
  <c r="I6" i="13"/>
  <c r="I5" i="13"/>
  <c r="I4" i="13"/>
  <c r="E1" i="2"/>
  <c r="F1" i="2"/>
  <c r="H1" i="2"/>
  <c r="I1" i="2"/>
  <c r="K1" i="2"/>
  <c r="L1" i="2"/>
  <c r="N1" i="2"/>
  <c r="O1" i="2"/>
  <c r="Q1" i="2"/>
  <c r="R1" i="2"/>
  <c r="T1" i="2"/>
  <c r="U1" i="2"/>
  <c r="W1" i="2"/>
  <c r="X1" i="2"/>
  <c r="Z1" i="2"/>
  <c r="AA1" i="2"/>
  <c r="AC1" i="2"/>
  <c r="AD1" i="2"/>
  <c r="AF1" i="2"/>
  <c r="AG1" i="2"/>
  <c r="AI1" i="2"/>
  <c r="AJ1" i="2"/>
  <c r="AL1" i="2"/>
  <c r="AM1" i="2"/>
  <c r="AO1" i="2"/>
  <c r="AR1" i="2"/>
  <c r="AS1" i="2"/>
  <c r="AU1" i="2"/>
  <c r="AV1" i="2"/>
  <c r="AX1" i="2"/>
  <c r="BD1" i="2"/>
  <c r="BJ1" i="2"/>
  <c r="BP1" i="2"/>
  <c r="BV1" i="2"/>
  <c r="CB1" i="2"/>
  <c r="CH1" i="2"/>
  <c r="CN1" i="2"/>
  <c r="D3" i="2" a="1"/>
  <c r="D3" i="2"/>
  <c r="J3" i="2" a="1"/>
  <c r="J3" i="2"/>
  <c r="V3" i="2" a="1"/>
  <c r="V3" i="2"/>
  <c r="AB3" i="2" a="1"/>
  <c r="AB3" i="2"/>
  <c r="AT4" i="2" a="1"/>
  <c r="AT4" i="2"/>
  <c r="AT3" i="2" a="1"/>
  <c r="AT3" i="2"/>
  <c r="P3" i="2" a="1"/>
  <c r="P3" i="2"/>
  <c r="AN4" i="2" a="1"/>
  <c r="AN4" i="2"/>
  <c r="AN3" i="2" a="1"/>
  <c r="AN3" i="2"/>
  <c r="AN2" i="2" a="1"/>
  <c r="AN2" i="2"/>
  <c r="AP32" i="2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0" i="3"/>
  <c r="G349" i="3"/>
  <c r="G348" i="3"/>
  <c r="D4" i="10"/>
  <c r="P2" i="2" a="1"/>
  <c r="P2" i="2"/>
  <c r="R83" i="2"/>
  <c r="AB4" i="2" a="1"/>
  <c r="AB4" i="2"/>
  <c r="D4" i="2" a="1"/>
  <c r="D4" i="2"/>
  <c r="P4" i="2" a="1"/>
  <c r="P4" i="2"/>
  <c r="J4" i="2" a="1"/>
  <c r="J4" i="2"/>
  <c r="J2" i="2" a="1"/>
  <c r="J2" i="2"/>
  <c r="L39" i="2"/>
  <c r="V2" i="2" a="1"/>
  <c r="V2" i="2"/>
  <c r="X9" i="2"/>
  <c r="E349" i="10"/>
  <c r="I350" i="10"/>
  <c r="E355" i="10"/>
  <c r="G356" i="10"/>
  <c r="J359" i="10"/>
  <c r="S360" i="10"/>
  <c r="G361" i="10"/>
  <c r="D363" i="10"/>
  <c r="O364" i="10"/>
  <c r="L366" i="10"/>
  <c r="D367" i="10"/>
  <c r="I368" i="10"/>
  <c r="O371" i="10"/>
  <c r="F372" i="10"/>
  <c r="O375" i="10"/>
  <c r="Q376" i="10"/>
  <c r="L377" i="10"/>
  <c r="N378" i="10"/>
  <c r="S379" i="10"/>
  <c r="Q380" i="10"/>
  <c r="O382" i="10"/>
  <c r="Q383" i="10"/>
  <c r="P384" i="10"/>
  <c r="S385" i="10"/>
  <c r="Q387" i="10"/>
  <c r="S388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2" a="1"/>
  <c r="AH4" i="2"/>
  <c r="AH3" i="2" a="1"/>
  <c r="AH3" i="2"/>
  <c r="I6" i="2"/>
  <c r="C6" i="2"/>
  <c r="U6" i="2"/>
  <c r="BF2" i="2" a="1"/>
  <c r="BF2" i="2"/>
  <c r="BH31" i="2"/>
  <c r="AZ2" i="2" a="1"/>
  <c r="AZ2" i="2"/>
  <c r="BB79" i="2"/>
  <c r="AT2" i="2" a="1"/>
  <c r="AT2" i="2"/>
  <c r="AV36" i="2"/>
  <c r="D2" i="2" a="1"/>
  <c r="D2" i="2"/>
  <c r="F66" i="2"/>
  <c r="AB2" i="2" a="1"/>
  <c r="AB2" i="2"/>
  <c r="AD63" i="2"/>
  <c r="AH2" i="2" a="1"/>
  <c r="AH2" i="2"/>
  <c r="K2" i="13"/>
  <c r="J7" i="13"/>
  <c r="K7" i="13"/>
  <c r="J5" i="13"/>
  <c r="K5" i="13"/>
  <c r="J6" i="13"/>
  <c r="K6" i="13"/>
  <c r="J4" i="13"/>
  <c r="K4" i="13"/>
  <c r="J8" i="13"/>
  <c r="K8" i="13"/>
  <c r="E284" i="1"/>
  <c r="B345" i="14"/>
  <c r="T345" i="14"/>
  <c r="B348" i="14"/>
  <c r="B344" i="14"/>
  <c r="N344" i="14"/>
  <c r="B329" i="14"/>
  <c r="G329" i="14"/>
  <c r="G345" i="3"/>
  <c r="G347" i="3"/>
  <c r="G344" i="3"/>
  <c r="B335" i="14"/>
  <c r="J335" i="14"/>
  <c r="G328" i="3"/>
  <c r="E328" i="10"/>
  <c r="B328" i="14"/>
  <c r="F328" i="14"/>
  <c r="B14" i="14"/>
  <c r="O14" i="14"/>
  <c r="B34" i="14"/>
  <c r="O34" i="14"/>
  <c r="G343" i="3"/>
  <c r="B347" i="14"/>
  <c r="B42" i="14"/>
  <c r="B343" i="14"/>
  <c r="L370" i="14"/>
  <c r="P370" i="14"/>
  <c r="Q355" i="14"/>
  <c r="S355" i="14"/>
  <c r="S380" i="10"/>
  <c r="S356" i="14"/>
  <c r="Q356" i="14"/>
  <c r="S378" i="10"/>
  <c r="P378" i="10"/>
  <c r="P377" i="10"/>
  <c r="S377" i="10"/>
  <c r="P361" i="10"/>
  <c r="Q360" i="10"/>
  <c r="P360" i="10"/>
  <c r="S378" i="14"/>
  <c r="S382" i="10"/>
  <c r="Q382" i="10"/>
  <c r="Q350" i="10"/>
  <c r="F354" i="14"/>
  <c r="Q371" i="14"/>
  <c r="P371" i="14"/>
  <c r="P365" i="10"/>
  <c r="Q365" i="10"/>
  <c r="Q363" i="10"/>
  <c r="F382" i="14"/>
  <c r="S382" i="14"/>
  <c r="Q382" i="14"/>
  <c r="P382" i="14"/>
  <c r="S383" i="10"/>
  <c r="P366" i="10"/>
  <c r="Q366" i="10"/>
  <c r="L390" i="14"/>
  <c r="P390" i="14"/>
  <c r="Q390" i="14"/>
  <c r="S381" i="10"/>
  <c r="Q381" i="10"/>
  <c r="P379" i="10"/>
  <c r="Q362" i="10"/>
  <c r="Q363" i="14"/>
  <c r="S64" i="10"/>
  <c r="P64" i="10"/>
  <c r="S367" i="10"/>
  <c r="Q367" i="10"/>
  <c r="P387" i="14"/>
  <c r="S372" i="14"/>
  <c r="P372" i="14"/>
  <c r="F374" i="14"/>
  <c r="Q374" i="14"/>
  <c r="M389" i="14"/>
  <c r="P389" i="14"/>
  <c r="F380" i="14"/>
  <c r="Q380" i="14"/>
  <c r="Q371" i="10"/>
  <c r="Q355" i="10"/>
  <c r="F384" i="14"/>
  <c r="P384" i="14"/>
  <c r="S359" i="10"/>
  <c r="L379" i="14"/>
  <c r="Q379" i="14"/>
  <c r="H365" i="14"/>
  <c r="F365" i="14"/>
  <c r="S365" i="14"/>
  <c r="P385" i="10"/>
  <c r="Q385" i="10"/>
  <c r="I368" i="14"/>
  <c r="F368" i="14"/>
  <c r="Q368" i="14"/>
  <c r="P368" i="14"/>
  <c r="S385" i="14"/>
  <c r="P385" i="14"/>
  <c r="S346" i="10"/>
  <c r="Q375" i="10"/>
  <c r="S375" i="10"/>
  <c r="F362" i="14"/>
  <c r="S369" i="10"/>
  <c r="Q369" i="10"/>
  <c r="P369" i="10"/>
  <c r="S384" i="10"/>
  <c r="Q384" i="10"/>
  <c r="S368" i="10"/>
  <c r="Q368" i="10"/>
  <c r="F369" i="14"/>
  <c r="Q369" i="14"/>
  <c r="S369" i="14"/>
  <c r="S386" i="14"/>
  <c r="P386" i="14"/>
  <c r="O379" i="10"/>
  <c r="O385" i="10"/>
  <c r="O369" i="10"/>
  <c r="O384" i="10"/>
  <c r="B79" i="14"/>
  <c r="F79" i="14"/>
  <c r="G331" i="3"/>
  <c r="G126" i="3"/>
  <c r="G80" i="3"/>
  <c r="B13" i="14"/>
  <c r="F13" i="14"/>
  <c r="G15" i="3"/>
  <c r="E135" i="1"/>
  <c r="E84" i="1"/>
  <c r="E128" i="1"/>
  <c r="B336" i="14"/>
  <c r="J342" i="10"/>
  <c r="G329" i="3"/>
  <c r="G232" i="3"/>
  <c r="E108" i="1"/>
  <c r="G156" i="3"/>
  <c r="G143" i="3"/>
  <c r="G119" i="3"/>
  <c r="B27" i="14"/>
  <c r="G101" i="3"/>
  <c r="B77" i="14"/>
  <c r="M77" i="14"/>
  <c r="G76" i="3"/>
  <c r="E97" i="1"/>
  <c r="B308" i="14"/>
  <c r="T308" i="14"/>
  <c r="G251" i="3"/>
  <c r="G185" i="3"/>
  <c r="G98" i="3"/>
  <c r="B339" i="14"/>
  <c r="P336" i="10"/>
  <c r="G336" i="3"/>
  <c r="G291" i="3"/>
  <c r="G247" i="3"/>
  <c r="G207" i="3"/>
  <c r="B162" i="14"/>
  <c r="G335" i="3"/>
  <c r="G160" i="3"/>
  <c r="G306" i="3"/>
  <c r="G110" i="3"/>
  <c r="G197" i="3"/>
  <c r="G108" i="3"/>
  <c r="E308" i="1"/>
  <c r="G339" i="3"/>
  <c r="E85" i="1"/>
  <c r="B333" i="14"/>
  <c r="T333" i="14"/>
  <c r="G271" i="3"/>
  <c r="B153" i="14"/>
  <c r="G249" i="3"/>
  <c r="B230" i="14"/>
  <c r="G69" i="3"/>
  <c r="L24" i="10"/>
  <c r="B29" i="14"/>
  <c r="B120" i="14"/>
  <c r="G326" i="3"/>
  <c r="B74" i="14"/>
  <c r="G74" i="14"/>
  <c r="S212" i="10"/>
  <c r="B324" i="14"/>
  <c r="B229" i="14"/>
  <c r="G228" i="3"/>
  <c r="B266" i="14"/>
  <c r="P266" i="14"/>
  <c r="G136" i="3"/>
  <c r="B114" i="14"/>
  <c r="B180" i="14"/>
  <c r="B284" i="14"/>
  <c r="D284" i="14"/>
  <c r="B226" i="14"/>
  <c r="T201" i="10"/>
  <c r="G159" i="3"/>
  <c r="B95" i="14"/>
  <c r="G334" i="3"/>
  <c r="B325" i="14"/>
  <c r="G287" i="3"/>
  <c r="G116" i="3"/>
  <c r="B326" i="14"/>
  <c r="G324" i="3"/>
  <c r="G325" i="3"/>
  <c r="G323" i="3"/>
  <c r="Q219" i="10"/>
  <c r="G193" i="3"/>
  <c r="G213" i="3"/>
  <c r="B239" i="14"/>
  <c r="L239" i="14"/>
  <c r="G235" i="3"/>
  <c r="G150" i="3"/>
  <c r="G131" i="3"/>
  <c r="E256" i="1"/>
  <c r="G279" i="3"/>
  <c r="O387" i="10"/>
  <c r="E383" i="10"/>
  <c r="I381" i="10"/>
  <c r="I377" i="10"/>
  <c r="O376" i="10"/>
  <c r="O368" i="10"/>
  <c r="O367" i="10"/>
  <c r="N366" i="10"/>
  <c r="L365" i="10"/>
  <c r="O365" i="10"/>
  <c r="J364" i="10"/>
  <c r="E363" i="10"/>
  <c r="I360" i="10"/>
  <c r="O359" i="10"/>
  <c r="N345" i="14"/>
  <c r="O345" i="14"/>
  <c r="O356" i="14"/>
  <c r="O385" i="14"/>
  <c r="O368" i="14"/>
  <c r="O367" i="14"/>
  <c r="O382" i="14"/>
  <c r="O369" i="14"/>
  <c r="O365" i="14"/>
  <c r="O370" i="14"/>
  <c r="O380" i="14"/>
  <c r="O363" i="14"/>
  <c r="O386" i="14"/>
  <c r="O390" i="14"/>
  <c r="G66" i="3"/>
  <c r="G317" i="3"/>
  <c r="G304" i="3"/>
  <c r="B255" i="14"/>
  <c r="Q255" i="14"/>
  <c r="B216" i="14"/>
  <c r="G200" i="3"/>
  <c r="G92" i="3"/>
  <c r="G40" i="3"/>
  <c r="Q168" i="10"/>
  <c r="S23" i="10"/>
  <c r="G50" i="3"/>
  <c r="G17" i="3"/>
  <c r="G137" i="3"/>
  <c r="G166" i="3"/>
  <c r="B58" i="14"/>
  <c r="G38" i="3"/>
  <c r="F84" i="10"/>
  <c r="G21" i="3"/>
  <c r="B178" i="14"/>
  <c r="F178" i="14"/>
  <c r="J377" i="10"/>
  <c r="I366" i="10"/>
  <c r="B299" i="14"/>
  <c r="P299" i="14"/>
  <c r="G277" i="3"/>
  <c r="G106" i="3"/>
  <c r="B108" i="14"/>
  <c r="H108" i="14"/>
  <c r="B285" i="14"/>
  <c r="L367" i="10"/>
  <c r="H363" i="10"/>
  <c r="B213" i="14"/>
  <c r="T213" i="14"/>
  <c r="G372" i="14"/>
  <c r="G212" i="3"/>
  <c r="T230" i="10"/>
  <c r="B249" i="14"/>
  <c r="E249" i="14"/>
  <c r="B290" i="14"/>
  <c r="T77" i="10"/>
  <c r="R101" i="10"/>
  <c r="B143" i="14"/>
  <c r="G226" i="3"/>
  <c r="Q114" i="10"/>
  <c r="G78" i="3"/>
  <c r="G95" i="3"/>
  <c r="B48" i="14"/>
  <c r="E359" i="10"/>
  <c r="I108" i="10"/>
  <c r="G201" i="3"/>
  <c r="G48" i="3"/>
  <c r="R274" i="10"/>
  <c r="G274" i="3"/>
  <c r="G162" i="3"/>
  <c r="I361" i="10"/>
  <c r="G255" i="3"/>
  <c r="B138" i="14"/>
  <c r="S255" i="10"/>
  <c r="J362" i="10"/>
  <c r="B317" i="14"/>
  <c r="S317" i="14"/>
  <c r="B140" i="14"/>
  <c r="B20" i="14"/>
  <c r="L20" i="14"/>
  <c r="G243" i="3"/>
  <c r="I380" i="10"/>
  <c r="T229" i="10"/>
  <c r="G24" i="3"/>
  <c r="B221" i="14"/>
  <c r="E386" i="14"/>
  <c r="L386" i="14"/>
  <c r="G20" i="3"/>
  <c r="G14" i="3"/>
  <c r="B201" i="14"/>
  <c r="T201" i="14"/>
  <c r="D374" i="14"/>
  <c r="G386" i="14"/>
  <c r="B135" i="14"/>
  <c r="F135" i="14"/>
  <c r="E98" i="10"/>
  <c r="G47" i="3"/>
  <c r="B21" i="14"/>
  <c r="R197" i="10"/>
  <c r="S179" i="10"/>
  <c r="G284" i="3"/>
  <c r="G178" i="3"/>
  <c r="G179" i="3"/>
  <c r="B292" i="14"/>
  <c r="R225" i="10"/>
  <c r="G390" i="14"/>
  <c r="S29" i="10"/>
  <c r="G229" i="3"/>
  <c r="M366" i="10"/>
  <c r="G301" i="3"/>
  <c r="B238" i="14"/>
  <c r="T238" i="14"/>
  <c r="B306" i="14"/>
  <c r="F306" i="14"/>
  <c r="G153" i="3"/>
  <c r="B40" i="14"/>
  <c r="D366" i="10"/>
  <c r="K356" i="14"/>
  <c r="K382" i="10"/>
  <c r="T166" i="10"/>
  <c r="G238" i="3"/>
  <c r="J368" i="10"/>
  <c r="G365" i="14"/>
  <c r="B90" i="14"/>
  <c r="L371" i="10"/>
  <c r="B126" i="14"/>
  <c r="P126" i="14"/>
  <c r="I365" i="10"/>
  <c r="G120" i="3"/>
  <c r="I389" i="14"/>
  <c r="G168" i="3"/>
  <c r="I365" i="14"/>
  <c r="B101" i="14"/>
  <c r="R101" i="14"/>
  <c r="Q15" i="10"/>
  <c r="B66" i="14"/>
  <c r="M378" i="10"/>
  <c r="G217" i="3"/>
  <c r="J363" i="14"/>
  <c r="H359" i="10"/>
  <c r="T143" i="10"/>
  <c r="G27" i="3"/>
  <c r="G133" i="3"/>
  <c r="J366" i="10"/>
  <c r="L374" i="14"/>
  <c r="I374" i="14"/>
  <c r="I381" i="14"/>
  <c r="M368" i="14"/>
  <c r="J368" i="14"/>
  <c r="K368" i="10"/>
  <c r="H368" i="10"/>
  <c r="D368" i="10"/>
  <c r="M368" i="10"/>
  <c r="N379" i="10"/>
  <c r="S247" i="10"/>
  <c r="G74" i="3"/>
  <c r="G355" i="10"/>
  <c r="H362" i="10"/>
  <c r="Q27" i="10"/>
  <c r="G140" i="3"/>
  <c r="B80" i="14"/>
  <c r="M80" i="14"/>
  <c r="F387" i="10"/>
  <c r="T269" i="10"/>
  <c r="S207" i="10"/>
  <c r="B98" i="14"/>
  <c r="B116" i="14"/>
  <c r="F366" i="10"/>
  <c r="I356" i="14"/>
  <c r="H356" i="14"/>
  <c r="D377" i="10"/>
  <c r="K366" i="10"/>
  <c r="S213" i="10"/>
  <c r="G84" i="3"/>
  <c r="B133" i="14"/>
  <c r="E133" i="14"/>
  <c r="L356" i="14"/>
  <c r="F52" i="10"/>
  <c r="H377" i="10"/>
  <c r="G23" i="3"/>
  <c r="K377" i="10"/>
  <c r="S160" i="10"/>
  <c r="D363" i="14"/>
  <c r="B279" i="14"/>
  <c r="B119" i="14"/>
  <c r="H119" i="14"/>
  <c r="D383" i="10"/>
  <c r="G77" i="3"/>
  <c r="G172" i="3"/>
  <c r="G130" i="3"/>
  <c r="B130" i="14"/>
  <c r="B8" i="14"/>
  <c r="G8" i="3"/>
  <c r="T8" i="10"/>
  <c r="B149" i="14"/>
  <c r="R149" i="14"/>
  <c r="G149" i="3"/>
  <c r="R149" i="10"/>
  <c r="G276" i="3"/>
  <c r="B16" i="14"/>
  <c r="D382" i="14"/>
  <c r="J382" i="14"/>
  <c r="L382" i="14"/>
  <c r="N382" i="14"/>
  <c r="G382" i="14"/>
  <c r="I382" i="14"/>
  <c r="H382" i="14"/>
  <c r="E382" i="14"/>
  <c r="M382" i="14"/>
  <c r="M375" i="10"/>
  <c r="G147" i="3"/>
  <c r="T148" i="10"/>
  <c r="B148" i="14"/>
  <c r="B191" i="14"/>
  <c r="S191" i="14"/>
  <c r="B204" i="14"/>
  <c r="T204" i="10"/>
  <c r="B235" i="14"/>
  <c r="B321" i="14"/>
  <c r="G321" i="3"/>
  <c r="S321" i="10"/>
  <c r="B298" i="14"/>
  <c r="P298" i="14"/>
  <c r="G299" i="3"/>
  <c r="P299" i="10"/>
  <c r="B88" i="14"/>
  <c r="T38" i="10"/>
  <c r="G39" i="3"/>
  <c r="T130" i="10"/>
  <c r="M365" i="10"/>
  <c r="H365" i="10"/>
  <c r="D365" i="10"/>
  <c r="I387" i="10"/>
  <c r="L364" i="10"/>
  <c r="N364" i="10"/>
  <c r="K364" i="10"/>
  <c r="N371" i="14"/>
  <c r="I371" i="14"/>
  <c r="L371" i="14"/>
  <c r="D364" i="10"/>
  <c r="G87" i="3"/>
  <c r="B170" i="14"/>
  <c r="O170" i="14"/>
  <c r="G131" i="10"/>
  <c r="N363" i="10"/>
  <c r="L363" i="10"/>
  <c r="B275" i="14"/>
  <c r="G275" i="3"/>
  <c r="N371" i="10"/>
  <c r="N385" i="14"/>
  <c r="J372" i="14"/>
  <c r="H372" i="14"/>
  <c r="H366" i="10"/>
  <c r="L355" i="10"/>
  <c r="E366" i="10"/>
  <c r="J357" i="10"/>
  <c r="J361" i="10"/>
  <c r="D361" i="10"/>
  <c r="L382" i="10"/>
  <c r="K372" i="14"/>
  <c r="B250" i="14"/>
  <c r="D250" i="14"/>
  <c r="G366" i="10"/>
  <c r="F377" i="10"/>
  <c r="E377" i="10"/>
  <c r="E368" i="14"/>
  <c r="L355" i="14"/>
  <c r="E385" i="14"/>
  <c r="J356" i="14"/>
  <c r="G356" i="14"/>
  <c r="G222" i="3"/>
  <c r="B198" i="14"/>
  <c r="Q156" i="10"/>
  <c r="B109" i="14"/>
  <c r="B110" i="14"/>
  <c r="H110" i="10"/>
  <c r="K385" i="10"/>
  <c r="I385" i="10"/>
  <c r="E372" i="14"/>
  <c r="T231" i="10"/>
  <c r="G231" i="3"/>
  <c r="N385" i="10"/>
  <c r="T74" i="10"/>
  <c r="M371" i="10"/>
  <c r="G361" i="14"/>
  <c r="J379" i="14"/>
  <c r="F382" i="10"/>
  <c r="H376" i="10"/>
  <c r="J385" i="14"/>
  <c r="L368" i="14"/>
  <c r="G368" i="14"/>
  <c r="B154" i="14"/>
  <c r="I154" i="14"/>
  <c r="N361" i="14"/>
  <c r="L381" i="10"/>
  <c r="D381" i="10"/>
  <c r="J380" i="10"/>
  <c r="M380" i="10"/>
  <c r="H371" i="10"/>
  <c r="G382" i="10"/>
  <c r="E379" i="14"/>
  <c r="H385" i="14"/>
  <c r="K374" i="14"/>
  <c r="G381" i="14"/>
  <c r="M381" i="14"/>
  <c r="B69" i="14"/>
  <c r="S44" i="10"/>
  <c r="J383" i="10"/>
  <c r="M383" i="10"/>
  <c r="G250" i="3"/>
  <c r="P240" i="10"/>
  <c r="N389" i="14"/>
  <c r="J389" i="14"/>
  <c r="H389" i="14"/>
  <c r="E389" i="14"/>
  <c r="K389" i="14"/>
  <c r="G389" i="14"/>
  <c r="D389" i="14"/>
  <c r="L389" i="14"/>
  <c r="E311" i="1"/>
  <c r="B155" i="14"/>
  <c r="T155" i="10"/>
  <c r="B92" i="14"/>
  <c r="R92" i="14"/>
  <c r="B91" i="14"/>
  <c r="B295" i="14"/>
  <c r="F295" i="14"/>
  <c r="G295" i="3"/>
  <c r="B197" i="14"/>
  <c r="R197" i="14"/>
  <c r="B196" i="14"/>
  <c r="G152" i="3"/>
  <c r="G65" i="3"/>
  <c r="B259" i="14"/>
  <c r="Q236" i="10"/>
  <c r="B236" i="14"/>
  <c r="F236" i="14"/>
  <c r="B192" i="14"/>
  <c r="P192" i="14"/>
  <c r="G192" i="3"/>
  <c r="B152" i="14"/>
  <c r="R124" i="10"/>
  <c r="B124" i="14"/>
  <c r="G124" i="3"/>
  <c r="S10" i="10"/>
  <c r="G10" i="3"/>
  <c r="B129" i="14"/>
  <c r="F129" i="14"/>
  <c r="G129" i="3"/>
  <c r="T129" i="10"/>
  <c r="B104" i="14"/>
  <c r="G202" i="3"/>
  <c r="K202" i="10"/>
  <c r="B202" i="14"/>
  <c r="G267" i="3"/>
  <c r="E370" i="14"/>
  <c r="G370" i="14"/>
  <c r="I370" i="14"/>
  <c r="N370" i="14"/>
  <c r="B222" i="14"/>
  <c r="Q222" i="14"/>
  <c r="G328" i="10"/>
  <c r="B17" i="14"/>
  <c r="G54" i="3"/>
  <c r="B278" i="14"/>
  <c r="N384" i="10"/>
  <c r="J384" i="10"/>
  <c r="M384" i="10"/>
  <c r="D384" i="10"/>
  <c r="H384" i="10"/>
  <c r="G68" i="3"/>
  <c r="B147" i="14"/>
  <c r="B322" i="14"/>
  <c r="B175" i="14"/>
  <c r="F175" i="14"/>
  <c r="G155" i="3"/>
  <c r="G259" i="3"/>
  <c r="G89" i="3"/>
  <c r="B89" i="14"/>
  <c r="B35" i="14"/>
  <c r="M35" i="10"/>
  <c r="G35" i="3"/>
  <c r="B44" i="14"/>
  <c r="P44" i="14"/>
  <c r="G44" i="3"/>
  <c r="G173" i="3"/>
  <c r="B68" i="14"/>
  <c r="F362" i="10"/>
  <c r="N350" i="10"/>
  <c r="M361" i="10"/>
  <c r="E361" i="10"/>
  <c r="N361" i="10"/>
  <c r="D390" i="14"/>
  <c r="D369" i="10"/>
  <c r="N369" i="10"/>
  <c r="K386" i="14"/>
  <c r="N381" i="10"/>
  <c r="G359" i="10"/>
  <c r="D386" i="14"/>
  <c r="M365" i="14"/>
  <c r="L365" i="14"/>
  <c r="N365" i="14"/>
  <c r="K365" i="14"/>
  <c r="E365" i="14"/>
  <c r="N387" i="14"/>
  <c r="H381" i="10"/>
  <c r="E381" i="10"/>
  <c r="H358" i="10"/>
  <c r="I386" i="14"/>
  <c r="J365" i="14"/>
  <c r="H390" i="14"/>
  <c r="E382" i="10"/>
  <c r="M382" i="10"/>
  <c r="D382" i="10"/>
  <c r="I382" i="10"/>
  <c r="H382" i="10"/>
  <c r="M367" i="10"/>
  <c r="N355" i="14"/>
  <c r="K355" i="14"/>
  <c r="D378" i="14"/>
  <c r="E378" i="14"/>
  <c r="G362" i="10"/>
  <c r="N362" i="10"/>
  <c r="I369" i="10"/>
  <c r="J387" i="14"/>
  <c r="D365" i="14"/>
  <c r="G379" i="14"/>
  <c r="L372" i="10"/>
  <c r="K362" i="10"/>
  <c r="N390" i="14"/>
  <c r="I390" i="14"/>
  <c r="I362" i="10"/>
  <c r="L361" i="10"/>
  <c r="M387" i="10"/>
  <c r="M390" i="14"/>
  <c r="E356" i="14"/>
  <c r="E380" i="14"/>
  <c r="J380" i="14"/>
  <c r="G88" i="3"/>
  <c r="B38" i="14"/>
  <c r="S38" i="14"/>
  <c r="G383" i="10"/>
  <c r="G378" i="10"/>
  <c r="G368" i="10"/>
  <c r="N368" i="10"/>
  <c r="N380" i="14"/>
  <c r="G175" i="3"/>
  <c r="B217" i="14"/>
  <c r="G236" i="3"/>
  <c r="B171" i="14"/>
  <c r="K383" i="10"/>
  <c r="L380" i="14"/>
  <c r="H374" i="14"/>
  <c r="J374" i="14"/>
  <c r="E374" i="14"/>
  <c r="B168" i="14"/>
  <c r="T168" i="14"/>
  <c r="E363" i="14"/>
  <c r="N363" i="14"/>
  <c r="G363" i="14"/>
  <c r="L363" i="14"/>
  <c r="I385" i="14"/>
  <c r="D385" i="14"/>
  <c r="G82" i="3"/>
  <c r="B212" i="14"/>
  <c r="T271" i="10"/>
  <c r="B185" i="14"/>
  <c r="G184" i="3"/>
  <c r="B25" i="14"/>
  <c r="B11" i="14"/>
  <c r="B65" i="14"/>
  <c r="R65" i="14"/>
  <c r="G223" i="3"/>
  <c r="B223" i="14"/>
  <c r="K371" i="14"/>
  <c r="H371" i="14"/>
  <c r="L361" i="14"/>
  <c r="G216" i="3"/>
  <c r="G170" i="3"/>
  <c r="B150" i="14"/>
  <c r="G104" i="3"/>
  <c r="G188" i="3"/>
  <c r="P253" i="10"/>
  <c r="B78" i="14"/>
  <c r="P78" i="14"/>
  <c r="F116" i="10"/>
  <c r="B24" i="14"/>
  <c r="T24" i="14"/>
  <c r="B43" i="14"/>
  <c r="S43" i="14"/>
  <c r="B76" i="14"/>
  <c r="B23" i="14"/>
  <c r="Q23" i="14"/>
  <c r="E371" i="14"/>
  <c r="B136" i="14"/>
  <c r="G114" i="3"/>
  <c r="G180" i="3"/>
  <c r="B84" i="14"/>
  <c r="N360" i="10"/>
  <c r="G29" i="3"/>
  <c r="N388" i="14"/>
  <c r="B54" i="14"/>
  <c r="E144" i="1"/>
  <c r="E104" i="1"/>
  <c r="E275" i="1"/>
  <c r="E252" i="1"/>
  <c r="E201" i="1"/>
  <c r="E120" i="1"/>
  <c r="D76" i="11"/>
  <c r="E189" i="1"/>
  <c r="E197" i="1"/>
  <c r="E250" i="1"/>
  <c r="E203" i="1"/>
  <c r="E98" i="1"/>
  <c r="E347" i="1"/>
  <c r="E140" i="1"/>
  <c r="E68" i="1"/>
  <c r="E234" i="1"/>
  <c r="E158" i="1"/>
  <c r="E304" i="1"/>
  <c r="E276" i="1"/>
  <c r="E314" i="1"/>
  <c r="E281" i="1"/>
  <c r="E93" i="1"/>
  <c r="E312" i="1"/>
  <c r="E102" i="1"/>
  <c r="E228" i="1"/>
  <c r="E155" i="1"/>
  <c r="E130" i="1"/>
  <c r="E188" i="1"/>
  <c r="E129" i="1"/>
  <c r="E159" i="1"/>
  <c r="E92" i="1"/>
  <c r="E261" i="1"/>
  <c r="E163" i="1"/>
  <c r="E160" i="1"/>
  <c r="E236" i="1"/>
  <c r="E124" i="1"/>
  <c r="E24" i="1"/>
  <c r="E200" i="1"/>
  <c r="E153" i="1"/>
  <c r="E202" i="1"/>
  <c r="E290" i="1"/>
  <c r="E126" i="1"/>
  <c r="E52" i="1"/>
  <c r="E306" i="1"/>
  <c r="E132" i="1"/>
  <c r="E91" i="1"/>
  <c r="E336" i="1"/>
  <c r="E88" i="1"/>
  <c r="E247" i="1"/>
  <c r="E213" i="1"/>
  <c r="E105" i="1"/>
  <c r="E64" i="1"/>
  <c r="E94" i="1"/>
  <c r="E30" i="1"/>
  <c r="E231" i="1"/>
  <c r="E265" i="1"/>
  <c r="E17" i="1"/>
  <c r="E344" i="1"/>
  <c r="E112" i="1"/>
  <c r="E195" i="1"/>
  <c r="E322" i="1"/>
  <c r="E58" i="1"/>
  <c r="E154" i="1"/>
  <c r="E317" i="1"/>
  <c r="E339" i="1"/>
  <c r="E235" i="1"/>
  <c r="E316" i="1"/>
  <c r="E136" i="1"/>
  <c r="E208" i="1"/>
  <c r="E48" i="1"/>
  <c r="E320" i="1"/>
  <c r="E329" i="1"/>
  <c r="E251" i="1"/>
  <c r="E149" i="1"/>
  <c r="E14" i="1"/>
  <c r="E78" i="1"/>
  <c r="E217" i="1"/>
  <c r="E295" i="1"/>
  <c r="E44" i="1"/>
  <c r="E113" i="1"/>
  <c r="E289" i="1"/>
  <c r="E54" i="1"/>
  <c r="E65" i="1"/>
  <c r="E40" i="1"/>
  <c r="E328" i="1"/>
  <c r="E8" i="1"/>
  <c r="E95" i="1"/>
  <c r="E76" i="1"/>
  <c r="E100" i="1"/>
  <c r="E264" i="1"/>
  <c r="E248" i="1"/>
  <c r="E83" i="1"/>
  <c r="E219" i="1"/>
  <c r="E168" i="1"/>
  <c r="E212" i="1"/>
  <c r="E185" i="1"/>
  <c r="E50" i="1"/>
  <c r="E239" i="1"/>
  <c r="E238" i="1"/>
  <c r="E133" i="1"/>
  <c r="E285" i="1"/>
  <c r="E259" i="1"/>
  <c r="E225" i="1"/>
  <c r="E80" i="1"/>
  <c r="E162" i="1"/>
  <c r="E346" i="1"/>
  <c r="E274" i="1"/>
  <c r="E27" i="1"/>
  <c r="E192" i="1"/>
  <c r="E292" i="1"/>
  <c r="E21" i="1"/>
  <c r="E310" i="1"/>
  <c r="E169" i="1"/>
  <c r="E343" i="1"/>
  <c r="E325" i="1"/>
  <c r="E298" i="1"/>
  <c r="E101" i="1"/>
  <c r="E37" i="1"/>
  <c r="E206" i="1"/>
  <c r="E184" i="1"/>
  <c r="E178" i="1"/>
  <c r="E260" i="1"/>
  <c r="E173" i="1"/>
  <c r="E75" i="1"/>
  <c r="E150" i="1"/>
  <c r="E333" i="1"/>
  <c r="E299" i="1"/>
  <c r="E180" i="1"/>
  <c r="E66" i="1"/>
  <c r="E152" i="1"/>
  <c r="E35" i="1"/>
  <c r="E15" i="1"/>
  <c r="E137" i="1"/>
  <c r="E241" i="1"/>
  <c r="E337" i="1"/>
  <c r="E291" i="1"/>
  <c r="E266" i="1"/>
  <c r="G225" i="3"/>
  <c r="E191" i="1"/>
  <c r="E170" i="1"/>
  <c r="B157" i="14"/>
  <c r="S157" i="14"/>
  <c r="B132" i="14"/>
  <c r="F132" i="14"/>
  <c r="E142" i="1"/>
  <c r="G93" i="3"/>
  <c r="B93" i="14"/>
  <c r="E72" i="1"/>
  <c r="G72" i="3"/>
  <c r="B72" i="14"/>
  <c r="E42" i="1"/>
  <c r="E20" i="1"/>
  <c r="E277" i="1"/>
  <c r="E232" i="1"/>
  <c r="E148" i="1"/>
  <c r="B137" i="14"/>
  <c r="D137" i="14"/>
  <c r="T311" i="10"/>
  <c r="G311" i="3"/>
  <c r="E268" i="1"/>
  <c r="B244" i="14"/>
  <c r="T244" i="14"/>
  <c r="G261" i="3"/>
  <c r="G239" i="3"/>
  <c r="E214" i="1"/>
  <c r="G198" i="3"/>
  <c r="G154" i="3"/>
  <c r="G128" i="3"/>
  <c r="E116" i="1"/>
  <c r="G91" i="3"/>
  <c r="E70" i="1"/>
  <c r="B70" i="14"/>
  <c r="G70" i="3"/>
  <c r="E38" i="1"/>
  <c r="E13" i="1"/>
  <c r="G13" i="3"/>
  <c r="G294" i="3"/>
  <c r="B294" i="14"/>
  <c r="L294" i="14"/>
  <c r="P294" i="10"/>
  <c r="E204" i="1"/>
  <c r="T188" i="10"/>
  <c r="E181" i="1"/>
  <c r="P167" i="10"/>
  <c r="G252" i="3"/>
  <c r="B311" i="14"/>
  <c r="S311" i="14"/>
  <c r="E229" i="1"/>
  <c r="G118" i="3"/>
  <c r="E106" i="1"/>
  <c r="B100" i="14"/>
  <c r="E100" i="14"/>
  <c r="E345" i="1"/>
  <c r="E318" i="1"/>
  <c r="G58" i="3"/>
  <c r="B271" i="14"/>
  <c r="F271" i="14"/>
  <c r="E125" i="1"/>
  <c r="G100" i="3"/>
  <c r="E179" i="1"/>
  <c r="B158" i="14"/>
  <c r="S158" i="14"/>
  <c r="G158" i="3"/>
  <c r="S50" i="10"/>
  <c r="B50" i="14"/>
  <c r="S50" i="14"/>
  <c r="B297" i="14"/>
  <c r="E327" i="1"/>
  <c r="G297" i="3"/>
  <c r="G308" i="3"/>
  <c r="E244" i="1"/>
  <c r="B113" i="14"/>
  <c r="O113" i="14"/>
  <c r="G113" i="3"/>
  <c r="G148" i="3"/>
  <c r="E166" i="1"/>
  <c r="B219" i="14"/>
  <c r="Q219" i="14"/>
  <c r="B193" i="14"/>
  <c r="L172" i="10"/>
  <c r="G125" i="3"/>
  <c r="E114" i="1"/>
  <c r="B107" i="14"/>
  <c r="R107" i="14"/>
  <c r="G34" i="3"/>
  <c r="B258" i="14"/>
  <c r="G258" i="3"/>
  <c r="G191" i="3"/>
  <c r="E207" i="1"/>
  <c r="B87" i="14"/>
  <c r="T87" i="14"/>
  <c r="G33" i="3"/>
  <c r="B82" i="14"/>
  <c r="E267" i="1"/>
  <c r="G42" i="3"/>
  <c r="G49" i="3"/>
  <c r="B231" i="14"/>
  <c r="G109" i="3"/>
  <c r="B261" i="14"/>
  <c r="R261" i="14"/>
  <c r="G13" i="18"/>
  <c r="G8" i="18"/>
  <c r="G46" i="18"/>
  <c r="G56" i="18"/>
  <c r="G57" i="18"/>
  <c r="G12" i="18"/>
  <c r="G10" i="18"/>
  <c r="G9" i="18"/>
  <c r="G44" i="18"/>
  <c r="G11" i="18"/>
  <c r="G21" i="18"/>
  <c r="G39" i="18"/>
  <c r="G23" i="18"/>
  <c r="I9" i="13"/>
  <c r="G31" i="18"/>
  <c r="J3" i="18"/>
  <c r="AA19" i="18" a="1"/>
  <c r="AA19" i="18"/>
  <c r="D64" i="10"/>
  <c r="E64" i="10"/>
  <c r="B319" i="14"/>
  <c r="F319" i="14"/>
  <c r="G319" i="3"/>
  <c r="B293" i="14"/>
  <c r="G293" i="14"/>
  <c r="G256" i="3"/>
  <c r="B256" i="14"/>
  <c r="B234" i="14"/>
  <c r="T234" i="10"/>
  <c r="B215" i="14"/>
  <c r="G215" i="3"/>
  <c r="B189" i="14"/>
  <c r="T189" i="10"/>
  <c r="B122" i="14"/>
  <c r="T122" i="14"/>
  <c r="G122" i="3"/>
  <c r="R122" i="10"/>
  <c r="G61" i="3"/>
  <c r="E61" i="1"/>
  <c r="B62" i="14"/>
  <c r="E62" i="14"/>
  <c r="G195" i="3"/>
  <c r="S195" i="10"/>
  <c r="B56" i="14"/>
  <c r="E56" i="1"/>
  <c r="E278" i="1"/>
  <c r="B253" i="14"/>
  <c r="G253" i="3"/>
  <c r="B208" i="14"/>
  <c r="F208" i="14"/>
  <c r="G208" i="3"/>
  <c r="E226" i="1"/>
  <c r="S208" i="10"/>
  <c r="B305" i="14"/>
  <c r="E335" i="1"/>
  <c r="G305" i="3"/>
  <c r="G234" i="3"/>
  <c r="B195" i="14"/>
  <c r="L195" i="14"/>
  <c r="B207" i="14"/>
  <c r="B318" i="14"/>
  <c r="G318" i="3"/>
  <c r="E348" i="1"/>
  <c r="B291" i="14"/>
  <c r="E321" i="1"/>
  <c r="S291" i="10"/>
  <c r="B144" i="14"/>
  <c r="T144" i="10"/>
  <c r="E109" i="1"/>
  <c r="G102" i="3"/>
  <c r="B102" i="14"/>
  <c r="N102" i="10"/>
  <c r="E82" i="1"/>
  <c r="E60" i="1"/>
  <c r="N60" i="10"/>
  <c r="B28" i="14"/>
  <c r="N28" i="14"/>
  <c r="B112" i="14"/>
  <c r="R112" i="14"/>
  <c r="G112" i="3"/>
  <c r="E255" i="1"/>
  <c r="E342" i="1"/>
  <c r="E294" i="1"/>
  <c r="B247" i="14"/>
  <c r="F247" i="14"/>
  <c r="E271" i="1"/>
  <c r="G181" i="3"/>
  <c r="E196" i="1"/>
  <c r="E175" i="1"/>
  <c r="G161" i="3"/>
  <c r="E122" i="1"/>
  <c r="B97" i="14"/>
  <c r="Q97" i="14"/>
  <c r="G97" i="3"/>
  <c r="G51" i="3"/>
  <c r="E51" i="1"/>
  <c r="B51" i="14"/>
  <c r="G233" i="3"/>
  <c r="E301" i="1"/>
  <c r="G144" i="3"/>
  <c r="E29" i="1"/>
  <c r="B188" i="14"/>
  <c r="S188" i="14"/>
  <c r="B304" i="14"/>
  <c r="G322" i="3"/>
  <c r="R322" i="10"/>
  <c r="B243" i="14"/>
  <c r="E280" i="1"/>
  <c r="B254" i="14"/>
  <c r="J254" i="14"/>
  <c r="G254" i="3"/>
  <c r="B251" i="14"/>
  <c r="R251" i="14"/>
  <c r="G262" i="3"/>
  <c r="P205" i="10"/>
  <c r="E222" i="1"/>
  <c r="E354" i="1"/>
  <c r="E269" i="1"/>
  <c r="E23" i="1"/>
  <c r="E187" i="1"/>
  <c r="B173" i="14"/>
  <c r="E16" i="1"/>
  <c r="B15" i="14"/>
  <c r="R15" i="14"/>
  <c r="B172" i="14"/>
  <c r="L172" i="14"/>
  <c r="E305" i="1"/>
  <c r="B277" i="14"/>
  <c r="B166" i="14"/>
  <c r="G171" i="3"/>
  <c r="B106" i="14"/>
  <c r="T106" i="14"/>
  <c r="S106" i="10"/>
  <c r="E67" i="1"/>
  <c r="Q45" i="10"/>
  <c r="G219" i="3"/>
  <c r="B320" i="14"/>
  <c r="G320" i="3"/>
  <c r="G298" i="3"/>
  <c r="T298" i="10"/>
  <c r="B257" i="14"/>
  <c r="E283" i="1"/>
  <c r="E258" i="1"/>
  <c r="B184" i="14"/>
  <c r="B64" i="14"/>
  <c r="G64" i="3"/>
  <c r="E33" i="1"/>
  <c r="B160" i="14"/>
  <c r="S160" i="14"/>
  <c r="B276" i="14"/>
  <c r="F276" i="14"/>
  <c r="B301" i="14"/>
  <c r="B252" i="14"/>
  <c r="B151" i="14"/>
  <c r="F151" i="14"/>
  <c r="B169" i="14"/>
  <c r="F169" i="14"/>
  <c r="B280" i="14"/>
  <c r="B287" i="14"/>
  <c r="B267" i="14"/>
  <c r="B228" i="14"/>
  <c r="O228" i="14"/>
  <c r="G53" i="3"/>
  <c r="E53" i="1"/>
  <c r="B53" i="14"/>
  <c r="E326" i="1"/>
  <c r="B283" i="14"/>
  <c r="R283" i="14"/>
  <c r="T283" i="10"/>
  <c r="G283" i="3"/>
  <c r="E156" i="1"/>
  <c r="G314" i="3"/>
  <c r="E324" i="1"/>
  <c r="Q314" i="10"/>
  <c r="B314" i="14"/>
  <c r="Q314" i="14"/>
  <c r="B31" i="14"/>
  <c r="G31" i="3"/>
  <c r="E32" i="1"/>
  <c r="B55" i="14"/>
  <c r="R55" i="10"/>
  <c r="E55" i="1"/>
  <c r="G55" i="3"/>
  <c r="M369" i="14"/>
  <c r="E369" i="14"/>
  <c r="D369" i="14"/>
  <c r="H369" i="14"/>
  <c r="K369" i="14"/>
  <c r="J369" i="14"/>
  <c r="I369" i="14"/>
  <c r="G369" i="14"/>
  <c r="L369" i="14"/>
  <c r="G303" i="3"/>
  <c r="E350" i="1"/>
  <c r="E303" i="1"/>
  <c r="G263" i="3"/>
  <c r="B224" i="14"/>
  <c r="F224" i="14"/>
  <c r="G224" i="3"/>
  <c r="T142" i="10"/>
  <c r="B142" i="14"/>
  <c r="E157" i="1"/>
  <c r="E90" i="1"/>
  <c r="G85" i="3"/>
  <c r="K360" i="10"/>
  <c r="M385" i="10"/>
  <c r="H385" i="10"/>
  <c r="F385" i="10"/>
  <c r="E385" i="10"/>
  <c r="D385" i="10"/>
  <c r="G385" i="10"/>
  <c r="J385" i="10"/>
  <c r="J365" i="10"/>
  <c r="F365" i="10"/>
  <c r="G365" i="10"/>
  <c r="E365" i="10"/>
  <c r="K365" i="10"/>
  <c r="E345" i="14"/>
  <c r="K366" i="14"/>
  <c r="M366" i="14"/>
  <c r="H366" i="14"/>
  <c r="B183" i="14"/>
  <c r="E205" i="1"/>
  <c r="G183" i="3"/>
  <c r="B85" i="14"/>
  <c r="M376" i="10"/>
  <c r="F376" i="10"/>
  <c r="G376" i="10"/>
  <c r="E376" i="10"/>
  <c r="K376" i="10"/>
  <c r="J376" i="10"/>
  <c r="D376" i="10"/>
  <c r="D384" i="14"/>
  <c r="J384" i="14"/>
  <c r="I384" i="14"/>
  <c r="H384" i="14"/>
  <c r="L384" i="14"/>
  <c r="L385" i="10"/>
  <c r="E384" i="10"/>
  <c r="F384" i="10"/>
  <c r="G384" i="10"/>
  <c r="K384" i="10"/>
  <c r="L384" i="10"/>
  <c r="I384" i="10"/>
  <c r="J354" i="14"/>
  <c r="H354" i="14"/>
  <c r="D354" i="14"/>
  <c r="I354" i="14"/>
  <c r="G354" i="14"/>
  <c r="E354" i="14"/>
  <c r="G360" i="10"/>
  <c r="L360" i="10"/>
  <c r="J360" i="10"/>
  <c r="M360" i="10"/>
  <c r="G281" i="3"/>
  <c r="B281" i="14"/>
  <c r="S206" i="10"/>
  <c r="B206" i="14"/>
  <c r="J206" i="14"/>
  <c r="G206" i="3"/>
  <c r="E183" i="1"/>
  <c r="G163" i="3"/>
  <c r="B163" i="14"/>
  <c r="F163" i="14"/>
  <c r="B121" i="14"/>
  <c r="O121" i="14"/>
  <c r="E131" i="1"/>
  <c r="G103" i="3"/>
  <c r="E110" i="1"/>
  <c r="B61" i="14"/>
  <c r="S61" i="10"/>
  <c r="E31" i="1"/>
  <c r="B30" i="14"/>
  <c r="J30" i="14"/>
  <c r="G142" i="3"/>
  <c r="E369" i="10"/>
  <c r="J369" i="10"/>
  <c r="L369" i="10"/>
  <c r="K369" i="10"/>
  <c r="M369" i="10"/>
  <c r="F369" i="10"/>
  <c r="H369" i="10"/>
  <c r="G369" i="10"/>
  <c r="J388" i="14"/>
  <c r="G388" i="14"/>
  <c r="E388" i="14"/>
  <c r="L388" i="14"/>
  <c r="K388" i="14"/>
  <c r="I388" i="14"/>
  <c r="D360" i="10"/>
  <c r="H360" i="10"/>
  <c r="G30" i="3"/>
  <c r="B9" i="14"/>
  <c r="E9" i="1"/>
  <c r="G9" i="3"/>
  <c r="E87" i="1"/>
  <c r="E63" i="1"/>
  <c r="G63" i="3"/>
  <c r="E143" i="1"/>
  <c r="G132" i="3"/>
  <c r="E230" i="1"/>
  <c r="G203" i="3"/>
  <c r="B203" i="14"/>
  <c r="T203" i="14"/>
  <c r="B111" i="14"/>
  <c r="J111" i="14"/>
  <c r="G111" i="3"/>
  <c r="M377" i="10"/>
  <c r="G377" i="10"/>
  <c r="I383" i="14"/>
  <c r="D383" i="14"/>
  <c r="E368" i="10"/>
  <c r="F368" i="10"/>
  <c r="L376" i="14"/>
  <c r="M376" i="14"/>
  <c r="G376" i="14"/>
  <c r="K376" i="14"/>
  <c r="D376" i="14"/>
  <c r="B309" i="14"/>
  <c r="N309" i="14"/>
  <c r="E224" i="1"/>
  <c r="B312" i="14"/>
  <c r="G312" i="3"/>
  <c r="F364" i="10"/>
  <c r="G364" i="10"/>
  <c r="F355" i="10"/>
  <c r="J355" i="10"/>
  <c r="H367" i="14"/>
  <c r="I367" i="14"/>
  <c r="E373" i="10"/>
  <c r="H376" i="14"/>
  <c r="K378" i="14"/>
  <c r="H378" i="14"/>
  <c r="L378" i="14"/>
  <c r="G378" i="14"/>
  <c r="J378" i="14"/>
  <c r="F381" i="10"/>
  <c r="G381" i="10"/>
  <c r="M381" i="10"/>
  <c r="I359" i="14"/>
  <c r="H359" i="14"/>
  <c r="J359" i="14"/>
  <c r="G359" i="14"/>
  <c r="M362" i="10"/>
  <c r="M389" i="10"/>
  <c r="G280" i="3"/>
  <c r="B125" i="14"/>
  <c r="Q125" i="14"/>
  <c r="J386" i="14"/>
  <c r="H386" i="14"/>
  <c r="M386" i="14"/>
  <c r="B316" i="14"/>
  <c r="O316" i="14"/>
  <c r="E319" i="1"/>
  <c r="F363" i="10"/>
  <c r="J363" i="10"/>
  <c r="D380" i="14"/>
  <c r="K380" i="14"/>
  <c r="H380" i="14"/>
  <c r="B313" i="14"/>
  <c r="G313" i="3"/>
  <c r="G380" i="10"/>
  <c r="F380" i="10"/>
  <c r="E371" i="10"/>
  <c r="F371" i="10"/>
  <c r="J371" i="10"/>
  <c r="J371" i="14"/>
  <c r="D371" i="14"/>
  <c r="M371" i="14"/>
  <c r="G371" i="14"/>
  <c r="E171" i="1"/>
  <c r="G379" i="10"/>
  <c r="E389" i="10"/>
  <c r="L362" i="14"/>
  <c r="E362" i="14"/>
  <c r="G362" i="14"/>
  <c r="H362" i="14"/>
  <c r="B128" i="14"/>
  <c r="M363" i="10"/>
  <c r="F378" i="10"/>
  <c r="E378" i="10"/>
  <c r="D368" i="14"/>
  <c r="H368" i="14"/>
  <c r="K368" i="14"/>
  <c r="L385" i="14"/>
  <c r="K385" i="14"/>
  <c r="M370" i="14"/>
  <c r="H370" i="14"/>
  <c r="J370" i="14"/>
  <c r="K370" i="14"/>
  <c r="D387" i="14"/>
  <c r="K387" i="14"/>
  <c r="M387" i="14"/>
  <c r="M385" i="14"/>
  <c r="E361" i="14"/>
  <c r="D361" i="14"/>
  <c r="K361" i="14"/>
  <c r="K364" i="14"/>
  <c r="AV29" i="2"/>
  <c r="AV25" i="2"/>
  <c r="BB16" i="2"/>
  <c r="BB48" i="2"/>
  <c r="BB82" i="2"/>
  <c r="BB42" i="2"/>
  <c r="R97" i="2"/>
  <c r="BL2" i="2" a="1"/>
  <c r="BL2" i="2"/>
  <c r="BN92" i="2"/>
  <c r="G349" i="14"/>
  <c r="K345" i="14"/>
  <c r="L349" i="14"/>
  <c r="F349" i="14"/>
  <c r="E348" i="14"/>
  <c r="J348" i="14"/>
  <c r="M349" i="14"/>
  <c r="K349" i="14"/>
  <c r="L120" i="14"/>
  <c r="K335" i="14"/>
  <c r="E345" i="10"/>
  <c r="O345" i="10"/>
  <c r="N345" i="10"/>
  <c r="H345" i="10"/>
  <c r="G34" i="14"/>
  <c r="M34" i="14"/>
  <c r="F34" i="14"/>
  <c r="I34" i="14"/>
  <c r="J34" i="14"/>
  <c r="N34" i="14"/>
  <c r="E328" i="14"/>
  <c r="I328" i="10"/>
  <c r="F328" i="10"/>
  <c r="D328" i="10"/>
  <c r="H344" i="14"/>
  <c r="G344" i="14"/>
  <c r="L345" i="14"/>
  <c r="K120" i="14"/>
  <c r="F345" i="14"/>
  <c r="J328" i="10"/>
  <c r="Q34" i="14"/>
  <c r="P34" i="14"/>
  <c r="F14" i="14"/>
  <c r="T64" i="10"/>
  <c r="J20" i="10"/>
  <c r="P20" i="10"/>
  <c r="F20" i="10"/>
  <c r="M20" i="10"/>
  <c r="J328" i="14"/>
  <c r="E20" i="10"/>
  <c r="T20" i="10"/>
  <c r="D328" i="14"/>
  <c r="G328" i="14"/>
  <c r="S20" i="10"/>
  <c r="T345" i="10"/>
  <c r="T34" i="14"/>
  <c r="CV2" i="2" a="1"/>
  <c r="CV2" i="2"/>
  <c r="CX22" i="2"/>
  <c r="H77" i="14"/>
  <c r="M27" i="14"/>
  <c r="D347" i="14"/>
  <c r="K74" i="14"/>
  <c r="F347" i="14"/>
  <c r="E343" i="14"/>
  <c r="S42" i="14"/>
  <c r="G343" i="14"/>
  <c r="O27" i="14"/>
  <c r="G72" i="10"/>
  <c r="N24" i="10"/>
  <c r="R205" i="10"/>
  <c r="E229" i="14"/>
  <c r="T229" i="14"/>
  <c r="F229" i="14"/>
  <c r="R13" i="14"/>
  <c r="Q13" i="14"/>
  <c r="P13" i="14"/>
  <c r="R34" i="14"/>
  <c r="O15" i="14"/>
  <c r="F15" i="14"/>
  <c r="T15" i="14"/>
  <c r="Q15" i="14"/>
  <c r="P304" i="14"/>
  <c r="T208" i="14"/>
  <c r="P208" i="14"/>
  <c r="S208" i="14"/>
  <c r="S250" i="10"/>
  <c r="T250" i="10"/>
  <c r="R250" i="10"/>
  <c r="O11" i="14"/>
  <c r="F11" i="14"/>
  <c r="T11" i="14"/>
  <c r="R140" i="14"/>
  <c r="Q179" i="14"/>
  <c r="S179" i="14"/>
  <c r="P203" i="14"/>
  <c r="N122" i="14"/>
  <c r="F122" i="14"/>
  <c r="S122" i="14"/>
  <c r="Q122" i="14"/>
  <c r="P122" i="14"/>
  <c r="S24" i="14"/>
  <c r="P24" i="14"/>
  <c r="F25" i="14"/>
  <c r="T25" i="14"/>
  <c r="S25" i="14"/>
  <c r="R44" i="10"/>
  <c r="H153" i="14"/>
  <c r="Q203" i="10"/>
  <c r="P203" i="10"/>
  <c r="R374" i="14"/>
  <c r="R390" i="14"/>
  <c r="O15" i="10"/>
  <c r="S15" i="10"/>
  <c r="F201" i="14"/>
  <c r="S201" i="14"/>
  <c r="Q201" i="14"/>
  <c r="P201" i="14"/>
  <c r="Q339" i="14"/>
  <c r="F339" i="14"/>
  <c r="R339" i="14"/>
  <c r="F336" i="14"/>
  <c r="S336" i="14"/>
  <c r="P336" i="14"/>
  <c r="R367" i="14"/>
  <c r="O112" i="14"/>
  <c r="T112" i="14"/>
  <c r="S112" i="14"/>
  <c r="Q112" i="14"/>
  <c r="S189" i="10"/>
  <c r="R189" i="10"/>
  <c r="Q189" i="10"/>
  <c r="P189" i="10"/>
  <c r="S319" i="14"/>
  <c r="O78" i="14"/>
  <c r="T78" i="14"/>
  <c r="R78" i="14"/>
  <c r="Q78" i="14"/>
  <c r="S68" i="14"/>
  <c r="Q68" i="14"/>
  <c r="P68" i="14"/>
  <c r="T68" i="14"/>
  <c r="T317" i="10"/>
  <c r="S317" i="10"/>
  <c r="R317" i="10"/>
  <c r="Q317" i="10"/>
  <c r="T16" i="10"/>
  <c r="Q16" i="10"/>
  <c r="P16" i="10"/>
  <c r="T29" i="10"/>
  <c r="Q77" i="10"/>
  <c r="P77" i="10"/>
  <c r="T277" i="10"/>
  <c r="Q277" i="10"/>
  <c r="R277" i="10"/>
  <c r="F95" i="14"/>
  <c r="Q95" i="14"/>
  <c r="S95" i="14"/>
  <c r="O120" i="14"/>
  <c r="F120" i="14"/>
  <c r="T120" i="14"/>
  <c r="P120" i="14"/>
  <c r="D225" i="14"/>
  <c r="F225" i="14"/>
  <c r="R225" i="14"/>
  <c r="R369" i="14"/>
  <c r="R20" i="10"/>
  <c r="R347" i="14"/>
  <c r="R378" i="14"/>
  <c r="R9" i="10"/>
  <c r="S9" i="10"/>
  <c r="T142" i="14"/>
  <c r="S74" i="10"/>
  <c r="S109" i="14"/>
  <c r="P109" i="14"/>
  <c r="R109" i="14"/>
  <c r="T120" i="10"/>
  <c r="P120" i="10"/>
  <c r="Q249" i="14"/>
  <c r="P107" i="14"/>
  <c r="P255" i="14"/>
  <c r="T255" i="14"/>
  <c r="T308" i="10"/>
  <c r="S308" i="10"/>
  <c r="T54" i="10"/>
  <c r="P54" i="10"/>
  <c r="R54" i="10"/>
  <c r="T197" i="14"/>
  <c r="P197" i="14"/>
  <c r="R372" i="14"/>
  <c r="T53" i="10"/>
  <c r="P53" i="10"/>
  <c r="F243" i="14"/>
  <c r="F85" i="14"/>
  <c r="S244" i="14"/>
  <c r="Q244" i="14"/>
  <c r="F244" i="14"/>
  <c r="F157" i="14"/>
  <c r="T253" i="10"/>
  <c r="T185" i="14"/>
  <c r="T295" i="14"/>
  <c r="P295" i="14"/>
  <c r="R131" i="14"/>
  <c r="S8" i="10"/>
  <c r="P8" i="10"/>
  <c r="R8" i="10"/>
  <c r="Q179" i="10"/>
  <c r="T113" i="10"/>
  <c r="S113" i="10"/>
  <c r="R113" i="10"/>
  <c r="Q113" i="10"/>
  <c r="P113" i="10"/>
  <c r="T333" i="10"/>
  <c r="R376" i="14"/>
  <c r="S163" i="10"/>
  <c r="R163" i="10"/>
  <c r="T106" i="10"/>
  <c r="R106" i="10"/>
  <c r="Q106" i="10"/>
  <c r="Q195" i="10"/>
  <c r="Q33" i="10"/>
  <c r="S33" i="10"/>
  <c r="T167" i="10"/>
  <c r="Q10" i="10"/>
  <c r="P10" i="10"/>
  <c r="T236" i="10"/>
  <c r="T91" i="10"/>
  <c r="S91" i="10"/>
  <c r="Q91" i="10"/>
  <c r="P91" i="10"/>
  <c r="R91" i="10"/>
  <c r="T298" i="14"/>
  <c r="Q92" i="10"/>
  <c r="R92" i="10"/>
  <c r="S92" i="10"/>
  <c r="P92" i="10"/>
  <c r="F108" i="14"/>
  <c r="T108" i="14"/>
  <c r="S108" i="14"/>
  <c r="R108" i="14"/>
  <c r="T84" i="10"/>
  <c r="Q84" i="10"/>
  <c r="R316" i="10"/>
  <c r="R140" i="10"/>
  <c r="F27" i="14"/>
  <c r="Q27" i="14"/>
  <c r="T78" i="10"/>
  <c r="Q78" i="10"/>
  <c r="R356" i="14"/>
  <c r="T261" i="10"/>
  <c r="R261" i="10"/>
  <c r="T228" i="10"/>
  <c r="S228" i="10"/>
  <c r="R228" i="10"/>
  <c r="P228" i="10"/>
  <c r="Q228" i="10"/>
  <c r="S27" i="10"/>
  <c r="P27" i="10"/>
  <c r="T27" i="10"/>
  <c r="R383" i="14"/>
  <c r="T122" i="10"/>
  <c r="Q122" i="10"/>
  <c r="S38" i="10"/>
  <c r="P38" i="10"/>
  <c r="Q38" i="10"/>
  <c r="O14" i="10"/>
  <c r="T247" i="10"/>
  <c r="Q247" i="10"/>
  <c r="R247" i="10"/>
  <c r="Q43" i="14"/>
  <c r="F232" i="14"/>
  <c r="T232" i="14"/>
  <c r="Q232" i="14"/>
  <c r="T119" i="10"/>
  <c r="P119" i="10"/>
  <c r="R119" i="10"/>
  <c r="Q119" i="10"/>
  <c r="O112" i="10"/>
  <c r="S112" i="10"/>
  <c r="R112" i="10"/>
  <c r="Q112" i="10"/>
  <c r="T112" i="10"/>
  <c r="P112" i="10"/>
  <c r="T238" i="10"/>
  <c r="R365" i="14"/>
  <c r="T82" i="10"/>
  <c r="S82" i="10"/>
  <c r="R82" i="10"/>
  <c r="Q82" i="10"/>
  <c r="P82" i="10"/>
  <c r="Q198" i="14"/>
  <c r="P198" i="14"/>
  <c r="T213" i="10"/>
  <c r="Q213" i="10"/>
  <c r="S266" i="14"/>
  <c r="S336" i="10"/>
  <c r="P163" i="14"/>
  <c r="F267" i="14"/>
  <c r="T303" i="14"/>
  <c r="S287" i="14"/>
  <c r="Q287" i="14"/>
  <c r="T287" i="14"/>
  <c r="R287" i="14"/>
  <c r="P287" i="14"/>
  <c r="T51" i="10"/>
  <c r="S51" i="10"/>
  <c r="T261" i="14"/>
  <c r="F261" i="14"/>
  <c r="F87" i="14"/>
  <c r="S87" i="14"/>
  <c r="P87" i="14"/>
  <c r="Q198" i="10"/>
  <c r="R198" i="10"/>
  <c r="Q168" i="14"/>
  <c r="F44" i="14"/>
  <c r="R44" i="14"/>
  <c r="Q44" i="14"/>
  <c r="S44" i="14"/>
  <c r="T258" i="10"/>
  <c r="S258" i="10"/>
  <c r="R258" i="10"/>
  <c r="Q258" i="10"/>
  <c r="P258" i="10"/>
  <c r="T153" i="10"/>
  <c r="Q153" i="10"/>
  <c r="S153" i="10"/>
  <c r="P153" i="10"/>
  <c r="S130" i="14"/>
  <c r="R130" i="14"/>
  <c r="P130" i="14"/>
  <c r="F130" i="14"/>
  <c r="Q130" i="14"/>
  <c r="T130" i="14"/>
  <c r="T21" i="10"/>
  <c r="S21" i="10"/>
  <c r="Q21" i="10"/>
  <c r="P21" i="10"/>
  <c r="T76" i="10"/>
  <c r="Q76" i="10"/>
  <c r="S76" i="10"/>
  <c r="P76" i="10"/>
  <c r="Q136" i="10"/>
  <c r="P136" i="10"/>
  <c r="T197" i="10"/>
  <c r="P197" i="10"/>
  <c r="S201" i="10"/>
  <c r="Q201" i="10"/>
  <c r="P201" i="10"/>
  <c r="S158" i="10"/>
  <c r="T158" i="10"/>
  <c r="Q158" i="10"/>
  <c r="R184" i="10"/>
  <c r="O79" i="14"/>
  <c r="R79" i="14"/>
  <c r="R363" i="14"/>
  <c r="R382" i="14"/>
  <c r="P172" i="14"/>
  <c r="F216" i="14"/>
  <c r="S216" i="14"/>
  <c r="Q216" i="14"/>
  <c r="S301" i="10"/>
  <c r="Q301" i="10"/>
  <c r="P301" i="10"/>
  <c r="F128" i="14"/>
  <c r="P128" i="14"/>
  <c r="T128" i="14"/>
  <c r="P152" i="14"/>
  <c r="R152" i="14"/>
  <c r="T113" i="14"/>
  <c r="R113" i="14"/>
  <c r="T281" i="14"/>
  <c r="S281" i="14"/>
  <c r="R281" i="14"/>
  <c r="R276" i="10"/>
  <c r="T104" i="10"/>
  <c r="S104" i="10"/>
  <c r="R33" i="14"/>
  <c r="T33" i="14"/>
  <c r="S33" i="14"/>
  <c r="Q33" i="14"/>
  <c r="S45" i="10"/>
  <c r="R45" i="10"/>
  <c r="T45" i="10"/>
  <c r="P45" i="10"/>
  <c r="E40" i="14"/>
  <c r="F40" i="14"/>
  <c r="F84" i="14"/>
  <c r="T314" i="14"/>
  <c r="P314" i="14"/>
  <c r="Q51" i="14"/>
  <c r="S51" i="14"/>
  <c r="T51" i="14"/>
  <c r="P51" i="14"/>
  <c r="R51" i="14"/>
  <c r="Q193" i="10"/>
  <c r="P193" i="10"/>
  <c r="F136" i="14"/>
  <c r="Q136" i="14"/>
  <c r="P136" i="14"/>
  <c r="E297" i="10"/>
  <c r="Q297" i="10"/>
  <c r="P297" i="10"/>
  <c r="T297" i="10"/>
  <c r="R387" i="14"/>
  <c r="F166" i="14"/>
  <c r="T166" i="14"/>
  <c r="S166" i="14"/>
  <c r="P166" i="14"/>
  <c r="T247" i="14"/>
  <c r="S247" i="14"/>
  <c r="R247" i="14"/>
  <c r="Q247" i="14"/>
  <c r="R65" i="10"/>
  <c r="S65" i="10"/>
  <c r="R322" i="14"/>
  <c r="S155" i="10"/>
  <c r="T42" i="10"/>
  <c r="S42" i="10"/>
  <c r="R42" i="10"/>
  <c r="Q42" i="10"/>
  <c r="P42" i="10"/>
  <c r="N58" i="14"/>
  <c r="R368" i="14"/>
  <c r="T85" i="10"/>
  <c r="R169" i="14"/>
  <c r="R257" i="14"/>
  <c r="T257" i="14"/>
  <c r="F257" i="14"/>
  <c r="T267" i="10"/>
  <c r="S267" i="10"/>
  <c r="P267" i="10"/>
  <c r="F231" i="14"/>
  <c r="T231" i="14"/>
  <c r="T158" i="14"/>
  <c r="Q158" i="14"/>
  <c r="T200" i="10"/>
  <c r="Q200" i="10"/>
  <c r="P200" i="10"/>
  <c r="S200" i="10"/>
  <c r="R200" i="10"/>
  <c r="G23" i="14"/>
  <c r="S23" i="14"/>
  <c r="S212" i="14"/>
  <c r="Q222" i="10"/>
  <c r="D147" i="14"/>
  <c r="Q147" i="14"/>
  <c r="F147" i="14"/>
  <c r="T147" i="14"/>
  <c r="P147" i="14"/>
  <c r="R147" i="14"/>
  <c r="G155" i="14"/>
  <c r="F155" i="14"/>
  <c r="T155" i="14"/>
  <c r="R155" i="14"/>
  <c r="Q155" i="14"/>
  <c r="S155" i="14"/>
  <c r="Q130" i="10"/>
  <c r="P130" i="10"/>
  <c r="F235" i="14"/>
  <c r="T235" i="14"/>
  <c r="F126" i="14"/>
  <c r="R126" i="14"/>
  <c r="S126" i="14"/>
  <c r="Q126" i="14"/>
  <c r="T126" i="14"/>
  <c r="R238" i="14"/>
  <c r="P238" i="14"/>
  <c r="Q238" i="14"/>
  <c r="T185" i="10"/>
  <c r="R185" i="10"/>
  <c r="P24" i="10"/>
  <c r="T24" i="10"/>
  <c r="R24" i="10"/>
  <c r="S24" i="10"/>
  <c r="R389" i="14"/>
  <c r="E54" i="14"/>
  <c r="T54" i="14"/>
  <c r="R54" i="14"/>
  <c r="P54" i="14"/>
  <c r="T98" i="10"/>
  <c r="F143" i="14"/>
  <c r="T143" i="14"/>
  <c r="O114" i="14"/>
  <c r="R114" i="14"/>
  <c r="T114" i="14"/>
  <c r="S114" i="14"/>
  <c r="Q114" i="14"/>
  <c r="P114" i="14"/>
  <c r="R276" i="14"/>
  <c r="T128" i="10"/>
  <c r="P128" i="10"/>
  <c r="L324" i="14"/>
  <c r="S324" i="14"/>
  <c r="T324" i="14"/>
  <c r="F324" i="14"/>
  <c r="R385" i="14"/>
  <c r="R279" i="10"/>
  <c r="R282" i="10"/>
  <c r="Q282" i="10"/>
  <c r="T282" i="10"/>
  <c r="R371" i="14"/>
  <c r="R355" i="14"/>
  <c r="R55" i="14"/>
  <c r="G90" i="14"/>
  <c r="F90" i="14"/>
  <c r="T90" i="14"/>
  <c r="S90" i="14"/>
  <c r="R90" i="14"/>
  <c r="Q90" i="14"/>
  <c r="P90" i="14"/>
  <c r="S266" i="10"/>
  <c r="P266" i="10"/>
  <c r="O9" i="14"/>
  <c r="F9" i="14"/>
  <c r="T9" i="14"/>
  <c r="S9" i="14"/>
  <c r="Q9" i="14"/>
  <c r="R9" i="14"/>
  <c r="P9" i="14"/>
  <c r="R161" i="14"/>
  <c r="T161" i="14"/>
  <c r="F144" i="14"/>
  <c r="T144" i="14"/>
  <c r="F253" i="14"/>
  <c r="P253" i="14"/>
  <c r="T253" i="14"/>
  <c r="S192" i="14"/>
  <c r="Q192" i="14"/>
  <c r="F192" i="14"/>
  <c r="T192" i="14"/>
  <c r="P168" i="10"/>
  <c r="S168" i="10"/>
  <c r="T168" i="10"/>
  <c r="R168" i="10"/>
  <c r="S268" i="10"/>
  <c r="S288" i="10"/>
  <c r="Q288" i="10"/>
  <c r="R288" i="10"/>
  <c r="O77" i="14"/>
  <c r="T77" i="14"/>
  <c r="F77" i="14"/>
  <c r="Q77" i="14"/>
  <c r="P77" i="14"/>
  <c r="R381" i="14"/>
  <c r="S319" i="10"/>
  <c r="Q319" i="10"/>
  <c r="F150" i="14"/>
  <c r="R150" i="14"/>
  <c r="Q150" i="14"/>
  <c r="O74" i="14"/>
  <c r="F74" i="14"/>
  <c r="R344" i="14"/>
  <c r="T233" i="10"/>
  <c r="R233" i="10"/>
  <c r="S233" i="10"/>
  <c r="P233" i="10"/>
  <c r="R252" i="10"/>
  <c r="P252" i="10"/>
  <c r="T235" i="10"/>
  <c r="F106" i="14"/>
  <c r="S215" i="10"/>
  <c r="Q215" i="10"/>
  <c r="T37" i="10"/>
  <c r="Q37" i="10"/>
  <c r="S37" i="10"/>
  <c r="T147" i="10"/>
  <c r="R147" i="10"/>
  <c r="Q147" i="10"/>
  <c r="P147" i="10"/>
  <c r="S217" i="14"/>
  <c r="T38" i="14"/>
  <c r="R86" i="10"/>
  <c r="S86" i="10"/>
  <c r="F8" i="14"/>
  <c r="T8" i="14"/>
  <c r="S8" i="14"/>
  <c r="R8" i="14"/>
  <c r="P8" i="14"/>
  <c r="F291" i="14"/>
  <c r="F80" i="14"/>
  <c r="Q80" i="14"/>
  <c r="F138" i="14"/>
  <c r="T72" i="10"/>
  <c r="Q72" i="10"/>
  <c r="R72" i="10"/>
  <c r="R370" i="14"/>
  <c r="Q309" i="14"/>
  <c r="S309" i="14"/>
  <c r="F309" i="14"/>
  <c r="T151" i="14"/>
  <c r="S151" i="14"/>
  <c r="R151" i="14"/>
  <c r="Q151" i="14"/>
  <c r="P151" i="14"/>
  <c r="T277" i="14"/>
  <c r="R277" i="14"/>
  <c r="Q277" i="14"/>
  <c r="F277" i="14"/>
  <c r="S97" i="10"/>
  <c r="T97" i="10"/>
  <c r="P97" i="10"/>
  <c r="Q97" i="10"/>
  <c r="R97" i="10"/>
  <c r="T234" i="14"/>
  <c r="S70" i="10"/>
  <c r="R70" i="10"/>
  <c r="Q70" i="10"/>
  <c r="F72" i="14"/>
  <c r="T72" i="14"/>
  <c r="R72" i="14"/>
  <c r="Q72" i="14"/>
  <c r="T200" i="14"/>
  <c r="S200" i="14"/>
  <c r="R200" i="14"/>
  <c r="Q200" i="14"/>
  <c r="P200" i="14"/>
  <c r="F223" i="14"/>
  <c r="P35" i="14"/>
  <c r="F35" i="14"/>
  <c r="O124" i="14"/>
  <c r="F124" i="14"/>
  <c r="R124" i="14"/>
  <c r="S124" i="14"/>
  <c r="Q124" i="14"/>
  <c r="P124" i="14"/>
  <c r="F170" i="14"/>
  <c r="P170" i="14"/>
  <c r="S171" i="10"/>
  <c r="Q171" i="10"/>
  <c r="P171" i="10"/>
  <c r="T171" i="10"/>
  <c r="F279" i="14"/>
  <c r="R279" i="14"/>
  <c r="S116" i="14"/>
  <c r="Q116" i="14"/>
  <c r="R116" i="14"/>
  <c r="F116" i="14"/>
  <c r="P116" i="14"/>
  <c r="T116" i="14"/>
  <c r="P166" i="10"/>
  <c r="S290" i="14"/>
  <c r="T251" i="10"/>
  <c r="R251" i="10"/>
  <c r="O36" i="14"/>
  <c r="S36" i="14"/>
  <c r="F36" i="14"/>
  <c r="T36" i="14"/>
  <c r="R348" i="14"/>
  <c r="R362" i="14"/>
  <c r="R388" i="14"/>
  <c r="R361" i="14"/>
  <c r="F301" i="14"/>
  <c r="S301" i="14"/>
  <c r="Q301" i="14"/>
  <c r="P301" i="14"/>
  <c r="R97" i="14"/>
  <c r="F97" i="14"/>
  <c r="T97" i="14"/>
  <c r="S97" i="14"/>
  <c r="P97" i="14"/>
  <c r="O230" i="14"/>
  <c r="F230" i="14"/>
  <c r="T230" i="14"/>
  <c r="R364" i="14"/>
  <c r="T312" i="10"/>
  <c r="S312" i="10"/>
  <c r="T34" i="10"/>
  <c r="S34" i="10"/>
  <c r="Q34" i="10"/>
  <c r="R34" i="10"/>
  <c r="P34" i="10"/>
  <c r="S93" i="10"/>
  <c r="Q191" i="14"/>
  <c r="F191" i="14"/>
  <c r="T191" i="14"/>
  <c r="P191" i="14"/>
  <c r="T320" i="14"/>
  <c r="F320" i="14"/>
  <c r="S320" i="14"/>
  <c r="F251" i="14"/>
  <c r="T251" i="14"/>
  <c r="T188" i="14"/>
  <c r="F207" i="14"/>
  <c r="T207" i="14"/>
  <c r="S207" i="14"/>
  <c r="P207" i="14"/>
  <c r="S294" i="10"/>
  <c r="Q294" i="10"/>
  <c r="T192" i="10"/>
  <c r="S192" i="10"/>
  <c r="Q192" i="10"/>
  <c r="P192" i="10"/>
  <c r="T152" i="10"/>
  <c r="Q152" i="10"/>
  <c r="S152" i="10"/>
  <c r="P152" i="10"/>
  <c r="R152" i="10"/>
  <c r="S191" i="10"/>
  <c r="T191" i="10"/>
  <c r="Q191" i="10"/>
  <c r="P191" i="10"/>
  <c r="S254" i="10"/>
  <c r="T254" i="10"/>
  <c r="R254" i="10"/>
  <c r="P254" i="10"/>
  <c r="Q254" i="10"/>
  <c r="T226" i="10"/>
  <c r="R226" i="10"/>
  <c r="Q226" i="10"/>
  <c r="P226" i="10"/>
  <c r="F156" i="14"/>
  <c r="R156" i="14"/>
  <c r="T156" i="14"/>
  <c r="Q156" i="14"/>
  <c r="S156" i="14"/>
  <c r="F88" i="14"/>
  <c r="S114" i="10"/>
  <c r="T324" i="10"/>
  <c r="S324" i="10"/>
  <c r="S111" i="10"/>
  <c r="Q111" i="10"/>
  <c r="T111" i="10"/>
  <c r="P111" i="10"/>
  <c r="Q196" i="14"/>
  <c r="R196" i="14"/>
  <c r="P196" i="14"/>
  <c r="F196" i="14"/>
  <c r="T196" i="14"/>
  <c r="F285" i="14"/>
  <c r="S285" i="14"/>
  <c r="T285" i="14"/>
  <c r="R285" i="14"/>
  <c r="P285" i="14"/>
  <c r="F233" i="14"/>
  <c r="T233" i="14"/>
  <c r="S233" i="14"/>
  <c r="R233" i="14"/>
  <c r="P233" i="14"/>
  <c r="S125" i="10"/>
  <c r="R125" i="10"/>
  <c r="T125" i="10"/>
  <c r="Q125" i="10"/>
  <c r="P125" i="10"/>
  <c r="T31" i="10"/>
  <c r="S31" i="10"/>
  <c r="P31" i="10"/>
  <c r="Q31" i="10"/>
  <c r="F121" i="14"/>
  <c r="T121" i="14"/>
  <c r="P121" i="14"/>
  <c r="E50" i="14"/>
  <c r="F50" i="14"/>
  <c r="Q91" i="14"/>
  <c r="R91" i="14"/>
  <c r="P91" i="14"/>
  <c r="T173" i="10"/>
  <c r="S173" i="10"/>
  <c r="Q173" i="10"/>
  <c r="P173" i="10"/>
  <c r="P119" i="14"/>
  <c r="L47" i="10"/>
  <c r="S47" i="10"/>
  <c r="Q47" i="10"/>
  <c r="T47" i="10"/>
  <c r="P47" i="10"/>
  <c r="L7" i="10"/>
  <c r="T7" i="10"/>
  <c r="R7" i="10"/>
  <c r="Q7" i="10"/>
  <c r="R379" i="14"/>
  <c r="T312" i="14"/>
  <c r="S312" i="14"/>
  <c r="T259" i="14"/>
  <c r="R259" i="14"/>
  <c r="F259" i="14"/>
  <c r="Q321" i="14"/>
  <c r="F321" i="14"/>
  <c r="S321" i="14"/>
  <c r="Q226" i="14"/>
  <c r="F226" i="14"/>
  <c r="T226" i="14"/>
  <c r="R226" i="14"/>
  <c r="P226" i="14"/>
  <c r="R386" i="14"/>
  <c r="R384" i="14"/>
  <c r="F313" i="14"/>
  <c r="T313" i="14"/>
  <c r="S313" i="14"/>
  <c r="R313" i="14"/>
  <c r="Q313" i="14"/>
  <c r="F252" i="14"/>
  <c r="R252" i="14"/>
  <c r="P252" i="14"/>
  <c r="P298" i="10"/>
  <c r="P304" i="10"/>
  <c r="R256" i="14"/>
  <c r="T256" i="14"/>
  <c r="P256" i="14"/>
  <c r="F256" i="14"/>
  <c r="T258" i="14"/>
  <c r="S258" i="14"/>
  <c r="Q258" i="14"/>
  <c r="R258" i="14"/>
  <c r="F258" i="14"/>
  <c r="P258" i="14"/>
  <c r="S100" i="14"/>
  <c r="F100" i="14"/>
  <c r="F70" i="14"/>
  <c r="S70" i="14"/>
  <c r="R70" i="14"/>
  <c r="Q70" i="14"/>
  <c r="S124" i="10"/>
  <c r="Q124" i="10"/>
  <c r="P124" i="10"/>
  <c r="E342" i="10"/>
  <c r="T110" i="14"/>
  <c r="S110" i="14"/>
  <c r="Q110" i="14"/>
  <c r="P110" i="14"/>
  <c r="R110" i="14"/>
  <c r="O170" i="10"/>
  <c r="T39" i="10"/>
  <c r="Q220" i="10"/>
  <c r="S220" i="10"/>
  <c r="T98" i="14"/>
  <c r="S292" i="14"/>
  <c r="Q292" i="14"/>
  <c r="T292" i="14"/>
  <c r="P292" i="14"/>
  <c r="F292" i="14"/>
  <c r="S80" i="10"/>
  <c r="T80" i="10"/>
  <c r="Q80" i="10"/>
  <c r="P80" i="10"/>
  <c r="T232" i="10"/>
  <c r="Q232" i="10"/>
  <c r="T249" i="10"/>
  <c r="R249" i="10"/>
  <c r="Q249" i="10"/>
  <c r="S249" i="10"/>
  <c r="Q217" i="10"/>
  <c r="S217" i="10"/>
  <c r="S326" i="10"/>
  <c r="R339" i="10"/>
  <c r="Q339" i="10"/>
  <c r="R346" i="10"/>
  <c r="R380" i="14"/>
  <c r="R359" i="14"/>
  <c r="L324" i="10"/>
  <c r="L79" i="14"/>
  <c r="H79" i="14"/>
  <c r="G84" i="10"/>
  <c r="I133" i="10"/>
  <c r="E337" i="10"/>
  <c r="G113" i="10"/>
  <c r="N72" i="10"/>
  <c r="O78" i="10"/>
  <c r="J105" i="10"/>
  <c r="G184" i="10"/>
  <c r="E79" i="14"/>
  <c r="L128" i="10"/>
  <c r="J338" i="10"/>
  <c r="K324" i="14"/>
  <c r="O115" i="10"/>
  <c r="O339" i="10"/>
  <c r="D344" i="14"/>
  <c r="D345" i="14"/>
  <c r="L344" i="14"/>
  <c r="K328" i="14"/>
  <c r="M284" i="14"/>
  <c r="L13" i="14"/>
  <c r="H339" i="14"/>
  <c r="E339" i="14"/>
  <c r="J339" i="14"/>
  <c r="E13" i="14"/>
  <c r="M339" i="14"/>
  <c r="N13" i="14"/>
  <c r="K339" i="14"/>
  <c r="D333" i="14"/>
  <c r="O339" i="14"/>
  <c r="I339" i="14"/>
  <c r="G339" i="14"/>
  <c r="N339" i="14"/>
  <c r="G13" i="14"/>
  <c r="CP2" i="2" a="1"/>
  <c r="CP2" i="2"/>
  <c r="G336" i="14"/>
  <c r="K336" i="14"/>
  <c r="M336" i="14"/>
  <c r="E336" i="14"/>
  <c r="J336" i="14"/>
  <c r="I336" i="14"/>
  <c r="H336" i="14"/>
  <c r="D339" i="14"/>
  <c r="L339" i="14"/>
  <c r="K36" i="14"/>
  <c r="I162" i="14"/>
  <c r="E77" i="14"/>
  <c r="L77" i="14"/>
  <c r="H223" i="10"/>
  <c r="L114" i="14"/>
  <c r="J140" i="10"/>
  <c r="J113" i="10"/>
  <c r="D333" i="10"/>
  <c r="L23" i="10"/>
  <c r="N128" i="10"/>
  <c r="E133" i="10"/>
  <c r="J24" i="10"/>
  <c r="M133" i="10"/>
  <c r="H48" i="10"/>
  <c r="L133" i="10"/>
  <c r="N339" i="10"/>
  <c r="I84" i="10"/>
  <c r="J95" i="14"/>
  <c r="E95" i="14"/>
  <c r="I77" i="14"/>
  <c r="D77" i="14"/>
  <c r="N77" i="14"/>
  <c r="G77" i="14"/>
  <c r="D179" i="14"/>
  <c r="M128" i="10"/>
  <c r="I36" i="14"/>
  <c r="H95" i="14"/>
  <c r="CJ2" i="2" a="1"/>
  <c r="CJ2" i="2"/>
  <c r="CL50" i="2"/>
  <c r="N250" i="10"/>
  <c r="G23" i="10"/>
  <c r="G162" i="14"/>
  <c r="H226" i="14"/>
  <c r="N162" i="14"/>
  <c r="I226" i="14"/>
  <c r="I297" i="10"/>
  <c r="G297" i="10"/>
  <c r="J23" i="10"/>
  <c r="D162" i="14"/>
  <c r="G112" i="10"/>
  <c r="H324" i="10"/>
  <c r="H335" i="10"/>
  <c r="G335" i="10"/>
  <c r="L316" i="10"/>
  <c r="G316" i="10"/>
  <c r="D335" i="10"/>
  <c r="J112" i="10"/>
  <c r="J335" i="10"/>
  <c r="E324" i="14"/>
  <c r="L333" i="14"/>
  <c r="H333" i="14"/>
  <c r="I230" i="14"/>
  <c r="H328" i="14"/>
  <c r="M225" i="14"/>
  <c r="J225" i="14"/>
  <c r="L336" i="14"/>
  <c r="I225" i="14"/>
  <c r="D336" i="14"/>
  <c r="D120" i="14"/>
  <c r="J229" i="14"/>
  <c r="H105" i="10"/>
  <c r="E114" i="14"/>
  <c r="G105" i="10"/>
  <c r="I284" i="14"/>
  <c r="K178" i="14"/>
  <c r="J114" i="14"/>
  <c r="M178" i="14"/>
  <c r="M114" i="14"/>
  <c r="G178" i="14"/>
  <c r="I29" i="14"/>
  <c r="H178" i="14"/>
  <c r="G29" i="14"/>
  <c r="I105" i="10"/>
  <c r="G229" i="14"/>
  <c r="J29" i="14"/>
  <c r="I254" i="10"/>
  <c r="H324" i="14"/>
  <c r="L229" i="14"/>
  <c r="I229" i="14"/>
  <c r="I114" i="14"/>
  <c r="D324" i="14"/>
  <c r="N114" i="14"/>
  <c r="K29" i="14"/>
  <c r="CD2" i="2" a="1"/>
  <c r="CD2" i="2"/>
  <c r="G324" i="14"/>
  <c r="BX2" i="2" a="1"/>
  <c r="BX2" i="2"/>
  <c r="BZ87" i="2"/>
  <c r="L328" i="14"/>
  <c r="K308" i="14"/>
  <c r="M326" i="14"/>
  <c r="E284" i="14"/>
  <c r="L308" i="14"/>
  <c r="J324" i="14"/>
  <c r="M308" i="14"/>
  <c r="I324" i="14"/>
  <c r="L284" i="14"/>
  <c r="I95" i="14"/>
  <c r="J308" i="14"/>
  <c r="M328" i="14"/>
  <c r="G226" i="14"/>
  <c r="H308" i="14"/>
  <c r="L230" i="14"/>
  <c r="K225" i="14"/>
  <c r="M97" i="14"/>
  <c r="H216" i="14"/>
  <c r="M324" i="14"/>
  <c r="J153" i="14"/>
  <c r="H225" i="14"/>
  <c r="L179" i="14"/>
  <c r="J84" i="14"/>
  <c r="D72" i="10"/>
  <c r="H72" i="10"/>
  <c r="M201" i="10"/>
  <c r="F72" i="10"/>
  <c r="E226" i="14"/>
  <c r="M239" i="14"/>
  <c r="D95" i="14"/>
  <c r="E72" i="10"/>
  <c r="J226" i="14"/>
  <c r="H201" i="10"/>
  <c r="K58" i="14"/>
  <c r="I128" i="10"/>
  <c r="M47" i="10"/>
  <c r="L113" i="10"/>
  <c r="O113" i="10"/>
  <c r="L72" i="10"/>
  <c r="G128" i="10"/>
  <c r="N179" i="14"/>
  <c r="K113" i="10"/>
  <c r="M179" i="14"/>
  <c r="E216" i="14"/>
  <c r="N128" i="14"/>
  <c r="O128" i="14"/>
  <c r="O125" i="14"/>
  <c r="O30" i="10"/>
  <c r="N121" i="14"/>
  <c r="N287" i="14"/>
  <c r="N151" i="14"/>
  <c r="O151" i="14"/>
  <c r="N257" i="14"/>
  <c r="N298" i="10"/>
  <c r="N106" i="10"/>
  <c r="O106" i="10"/>
  <c r="O106" i="14"/>
  <c r="N51" i="14"/>
  <c r="O51" i="14"/>
  <c r="N102" i="14"/>
  <c r="N233" i="14"/>
  <c r="N233" i="10"/>
  <c r="O291" i="10"/>
  <c r="O291" i="14"/>
  <c r="N122" i="10"/>
  <c r="O189" i="10"/>
  <c r="N215" i="10"/>
  <c r="N215" i="14"/>
  <c r="K261" i="14"/>
  <c r="H258" i="14"/>
  <c r="G34" i="10"/>
  <c r="O34" i="10"/>
  <c r="K125" i="10"/>
  <c r="O125" i="10"/>
  <c r="G193" i="14"/>
  <c r="G193" i="10"/>
  <c r="O37" i="10"/>
  <c r="F70" i="10"/>
  <c r="O70" i="10"/>
  <c r="H70" i="14"/>
  <c r="O70" i="14"/>
  <c r="O19" i="10"/>
  <c r="J93" i="10"/>
  <c r="G111" i="10"/>
  <c r="O111" i="10"/>
  <c r="I82" i="10"/>
  <c r="O82" i="10"/>
  <c r="O228" i="10"/>
  <c r="N24" i="14"/>
  <c r="J150" i="14"/>
  <c r="O25" i="14"/>
  <c r="O44" i="14"/>
  <c r="I35" i="14"/>
  <c r="I65" i="10"/>
  <c r="H104" i="10"/>
  <c r="H10" i="10"/>
  <c r="O10" i="10"/>
  <c r="K124" i="10"/>
  <c r="O124" i="10"/>
  <c r="H258" i="10"/>
  <c r="D68" i="10"/>
  <c r="M154" i="14"/>
  <c r="O74" i="10"/>
  <c r="O110" i="10"/>
  <c r="H110" i="14"/>
  <c r="O110" i="14"/>
  <c r="H128" i="10"/>
  <c r="O128" i="10"/>
  <c r="K131" i="14"/>
  <c r="M86" i="10"/>
  <c r="I88" i="10"/>
  <c r="G89" i="10"/>
  <c r="N298" i="14"/>
  <c r="J321" i="14"/>
  <c r="F8" i="10"/>
  <c r="O8" i="10"/>
  <c r="N8" i="14"/>
  <c r="O8" i="14"/>
  <c r="O220" i="10"/>
  <c r="F21" i="10"/>
  <c r="G279" i="14"/>
  <c r="K116" i="14"/>
  <c r="O116" i="14"/>
  <c r="N98" i="14"/>
  <c r="J27" i="10"/>
  <c r="O27" i="10"/>
  <c r="N76" i="10"/>
  <c r="O76" i="10"/>
  <c r="I143" i="10"/>
  <c r="O101" i="14"/>
  <c r="L239" i="10"/>
  <c r="N126" i="14"/>
  <c r="O120" i="10"/>
  <c r="F29" i="10"/>
  <c r="O42" i="10"/>
  <c r="M265" i="14"/>
  <c r="M80" i="10"/>
  <c r="O80" i="10"/>
  <c r="O119" i="10"/>
  <c r="O101" i="10"/>
  <c r="N77" i="10"/>
  <c r="O77" i="10"/>
  <c r="L249" i="14"/>
  <c r="D213" i="14"/>
  <c r="O157" i="10"/>
  <c r="K108" i="14"/>
  <c r="H249" i="10"/>
  <c r="H93" i="10"/>
  <c r="M216" i="14"/>
  <c r="M255" i="14"/>
  <c r="E120" i="14"/>
  <c r="E308" i="14"/>
  <c r="E45" i="10"/>
  <c r="G153" i="14"/>
  <c r="G225" i="14"/>
  <c r="G38" i="10"/>
  <c r="G255" i="14"/>
  <c r="G308" i="14"/>
  <c r="G120" i="14"/>
  <c r="D308" i="14"/>
  <c r="H162" i="14"/>
  <c r="H255" i="14"/>
  <c r="M212" i="14"/>
  <c r="D192" i="14"/>
  <c r="M130" i="14"/>
  <c r="BR2" i="2" a="1"/>
  <c r="BR2" i="2"/>
  <c r="BT60" i="2"/>
  <c r="E101" i="10"/>
  <c r="E299" i="14"/>
  <c r="N80" i="10"/>
  <c r="N249" i="10"/>
  <c r="D317" i="14"/>
  <c r="E175" i="14"/>
  <c r="J143" i="14"/>
  <c r="K68" i="10"/>
  <c r="E213" i="14"/>
  <c r="E80" i="10"/>
  <c r="D116" i="14"/>
  <c r="H143" i="14"/>
  <c r="F80" i="10"/>
  <c r="G110" i="14"/>
  <c r="H201" i="14"/>
  <c r="I108" i="14"/>
  <c r="N108" i="14"/>
  <c r="E285" i="14"/>
  <c r="I80" i="10"/>
  <c r="G80" i="10"/>
  <c r="L80" i="10"/>
  <c r="I143" i="14"/>
  <c r="K80" i="10"/>
  <c r="J80" i="10"/>
  <c r="D285" i="14"/>
  <c r="I157" i="10"/>
  <c r="I109" i="14"/>
  <c r="L207" i="10"/>
  <c r="M108" i="14"/>
  <c r="J157" i="10"/>
  <c r="N68" i="10"/>
  <c r="E109" i="14"/>
  <c r="K157" i="10"/>
  <c r="L109" i="14"/>
  <c r="K93" i="14"/>
  <c r="M285" i="14"/>
  <c r="J108" i="14"/>
  <c r="K285" i="14"/>
  <c r="L143" i="14"/>
  <c r="E157" i="10"/>
  <c r="H93" i="14"/>
  <c r="J220" i="10"/>
  <c r="D157" i="10"/>
  <c r="L285" i="14"/>
  <c r="I285" i="14"/>
  <c r="G109" i="14"/>
  <c r="D143" i="14"/>
  <c r="G285" i="14"/>
  <c r="H185" i="14"/>
  <c r="N69" i="10"/>
  <c r="M77" i="10"/>
  <c r="E138" i="14"/>
  <c r="M138" i="14"/>
  <c r="H285" i="14"/>
  <c r="H251" i="10"/>
  <c r="M157" i="10"/>
  <c r="G138" i="14"/>
  <c r="G249" i="14"/>
  <c r="F157" i="10"/>
  <c r="I192" i="14"/>
  <c r="L157" i="10"/>
  <c r="J285" i="14"/>
  <c r="F119" i="10"/>
  <c r="G80" i="14"/>
  <c r="E77" i="10"/>
  <c r="J197" i="14"/>
  <c r="K274" i="10"/>
  <c r="I138" i="14"/>
  <c r="J140" i="14"/>
  <c r="J8" i="10"/>
  <c r="I101" i="14"/>
  <c r="K69" i="10"/>
  <c r="D77" i="10"/>
  <c r="D40" i="10"/>
  <c r="E185" i="10"/>
  <c r="F185" i="10"/>
  <c r="L76" i="10"/>
  <c r="H77" i="10"/>
  <c r="I201" i="14"/>
  <c r="N257" i="10"/>
  <c r="G42" i="10"/>
  <c r="J258" i="10"/>
  <c r="E69" i="14"/>
  <c r="L77" i="10"/>
  <c r="M201" i="14"/>
  <c r="N42" i="10"/>
  <c r="D201" i="14"/>
  <c r="G77" i="10"/>
  <c r="G201" i="14"/>
  <c r="H136" i="10"/>
  <c r="I77" i="10"/>
  <c r="K201" i="14"/>
  <c r="D98" i="14"/>
  <c r="D101" i="10"/>
  <c r="E201" i="14"/>
  <c r="G274" i="10"/>
  <c r="H185" i="10"/>
  <c r="G185" i="10"/>
  <c r="F42" i="10"/>
  <c r="D101" i="14"/>
  <c r="G317" i="14"/>
  <c r="M93" i="14"/>
  <c r="H48" i="14"/>
  <c r="L136" i="10"/>
  <c r="K185" i="14"/>
  <c r="H207" i="10"/>
  <c r="J101" i="14"/>
  <c r="K20" i="14"/>
  <c r="D8" i="14"/>
  <c r="E40" i="10"/>
  <c r="F40" i="10"/>
  <c r="K136" i="10"/>
  <c r="D185" i="14"/>
  <c r="H193" i="10"/>
  <c r="J197" i="10"/>
  <c r="F207" i="10"/>
  <c r="E278" i="14"/>
  <c r="M21" i="14"/>
  <c r="H101" i="14"/>
  <c r="E317" i="14"/>
  <c r="M193" i="10"/>
  <c r="N179" i="10"/>
  <c r="M317" i="14"/>
  <c r="I229" i="10"/>
  <c r="L238" i="14"/>
  <c r="N98" i="10"/>
  <c r="J92" i="10"/>
  <c r="G152" i="14"/>
  <c r="D235" i="14"/>
  <c r="G292" i="14"/>
  <c r="G116" i="14"/>
  <c r="N92" i="10"/>
  <c r="N27" i="10"/>
  <c r="G258" i="10"/>
  <c r="M27" i="10"/>
  <c r="F258" i="10"/>
  <c r="F14" i="10"/>
  <c r="K128" i="10"/>
  <c r="H133" i="14"/>
  <c r="I27" i="10"/>
  <c r="F15" i="10"/>
  <c r="J132" i="14"/>
  <c r="M152" i="14"/>
  <c r="J238" i="14"/>
  <c r="N110" i="14"/>
  <c r="M292" i="14"/>
  <c r="G238" i="14"/>
  <c r="I21" i="14"/>
  <c r="K92" i="10"/>
  <c r="K29" i="10"/>
  <c r="I321" i="14"/>
  <c r="H90" i="14"/>
  <c r="H292" i="14"/>
  <c r="K27" i="10"/>
  <c r="L27" i="10"/>
  <c r="E21" i="14"/>
  <c r="I124" i="10"/>
  <c r="E152" i="14"/>
  <c r="G27" i="10"/>
  <c r="J110" i="14"/>
  <c r="H98" i="10"/>
  <c r="E29" i="10"/>
  <c r="I116" i="14"/>
  <c r="E90" i="14"/>
  <c r="D292" i="14"/>
  <c r="J89" i="14"/>
  <c r="D104" i="14"/>
  <c r="J207" i="10"/>
  <c r="L98" i="14"/>
  <c r="M155" i="14"/>
  <c r="H8" i="14"/>
  <c r="D126" i="14"/>
  <c r="H8" i="10"/>
  <c r="L116" i="14"/>
  <c r="D40" i="14"/>
  <c r="E52" i="10"/>
  <c r="J52" i="10"/>
  <c r="J90" i="14"/>
  <c r="J185" i="14"/>
  <c r="K80" i="14"/>
  <c r="G8" i="10"/>
  <c r="H65" i="10"/>
  <c r="K155" i="14"/>
  <c r="E98" i="14"/>
  <c r="H98" i="14"/>
  <c r="J8" i="14"/>
  <c r="E126" i="14"/>
  <c r="N90" i="14"/>
  <c r="D90" i="14"/>
  <c r="M192" i="14"/>
  <c r="I200" i="14"/>
  <c r="E259" i="14"/>
  <c r="L133" i="14"/>
  <c r="M207" i="10"/>
  <c r="I33" i="14"/>
  <c r="E65" i="10"/>
  <c r="G321" i="14"/>
  <c r="F120" i="10"/>
  <c r="K98" i="14"/>
  <c r="J116" i="14"/>
  <c r="I8" i="10"/>
  <c r="K8" i="10"/>
  <c r="N58" i="10"/>
  <c r="G185" i="14"/>
  <c r="M185" i="14"/>
  <c r="G200" i="14"/>
  <c r="K110" i="14"/>
  <c r="I207" i="10"/>
  <c r="M101" i="14"/>
  <c r="I90" i="14"/>
  <c r="L88" i="14"/>
  <c r="E76" i="10"/>
  <c r="M116" i="14"/>
  <c r="J104" i="14"/>
  <c r="J98" i="14"/>
  <c r="K11" i="14"/>
  <c r="G298" i="14"/>
  <c r="G88" i="10"/>
  <c r="I110" i="14"/>
  <c r="I185" i="14"/>
  <c r="G52" i="10"/>
  <c r="F76" i="10"/>
  <c r="L247" i="10"/>
  <c r="J279" i="14"/>
  <c r="K279" i="14"/>
  <c r="M279" i="14"/>
  <c r="G76" i="10"/>
  <c r="F88" i="10"/>
  <c r="H147" i="14"/>
  <c r="E21" i="10"/>
  <c r="M278" i="14"/>
  <c r="H116" i="14"/>
  <c r="J147" i="14"/>
  <c r="I21" i="10"/>
  <c r="K278" i="14"/>
  <c r="I152" i="14"/>
  <c r="E147" i="14"/>
  <c r="G196" i="14"/>
  <c r="I52" i="10"/>
  <c r="D279" i="14"/>
  <c r="D109" i="14"/>
  <c r="L232" i="14"/>
  <c r="N33" i="14"/>
  <c r="L147" i="14"/>
  <c r="L196" i="14"/>
  <c r="E279" i="14"/>
  <c r="M21" i="10"/>
  <c r="K21" i="10"/>
  <c r="G33" i="14"/>
  <c r="K147" i="14"/>
  <c r="M196" i="14"/>
  <c r="M232" i="14"/>
  <c r="H196" i="14"/>
  <c r="H232" i="14"/>
  <c r="G322" i="14"/>
  <c r="M76" i="10"/>
  <c r="H68" i="10"/>
  <c r="K52" i="10"/>
  <c r="G175" i="14"/>
  <c r="H253" i="10"/>
  <c r="D76" i="10"/>
  <c r="H130" i="14"/>
  <c r="E68" i="10"/>
  <c r="J155" i="10"/>
  <c r="J21" i="10"/>
  <c r="L132" i="14"/>
  <c r="J155" i="14"/>
  <c r="I80" i="14"/>
  <c r="K88" i="14"/>
  <c r="D110" i="14"/>
  <c r="E110" i="14"/>
  <c r="H76" i="10"/>
  <c r="G150" i="14"/>
  <c r="I133" i="14"/>
  <c r="L110" i="14"/>
  <c r="N21" i="10"/>
  <c r="M149" i="10"/>
  <c r="E156" i="14"/>
  <c r="G156" i="14"/>
  <c r="L156" i="14"/>
  <c r="H88" i="14"/>
  <c r="J88" i="14"/>
  <c r="E254" i="14"/>
  <c r="D104" i="10"/>
  <c r="I149" i="10"/>
  <c r="G299" i="10"/>
  <c r="H191" i="14"/>
  <c r="I191" i="14"/>
  <c r="E191" i="14"/>
  <c r="G191" i="14"/>
  <c r="J191" i="14"/>
  <c r="M191" i="14"/>
  <c r="K191" i="14"/>
  <c r="L191" i="14"/>
  <c r="J267" i="14"/>
  <c r="D155" i="10"/>
  <c r="H155" i="10"/>
  <c r="G155" i="10"/>
  <c r="M259" i="14"/>
  <c r="K320" i="14"/>
  <c r="L82" i="10"/>
  <c r="M87" i="14"/>
  <c r="G87" i="14"/>
  <c r="I86" i="10"/>
  <c r="G86" i="10"/>
  <c r="L271" i="14"/>
  <c r="E54" i="10"/>
  <c r="L84" i="14"/>
  <c r="E95" i="10"/>
  <c r="H95" i="10"/>
  <c r="I259" i="14"/>
  <c r="M38" i="14"/>
  <c r="H104" i="14"/>
  <c r="E131" i="14"/>
  <c r="J82" i="10"/>
  <c r="I34" i="10"/>
  <c r="L13" i="10"/>
  <c r="F240" i="10"/>
  <c r="I88" i="14"/>
  <c r="M82" i="10"/>
  <c r="G131" i="14"/>
  <c r="D131" i="14"/>
  <c r="M271" i="14"/>
  <c r="F86" i="10"/>
  <c r="D107" i="14"/>
  <c r="L107" i="14"/>
  <c r="M107" i="14"/>
  <c r="M170" i="14"/>
  <c r="H170" i="14"/>
  <c r="G107" i="14"/>
  <c r="E154" i="14"/>
  <c r="H154" i="14"/>
  <c r="H38" i="14"/>
  <c r="K82" i="10"/>
  <c r="J204" i="14"/>
  <c r="H192" i="14"/>
  <c r="G192" i="14"/>
  <c r="E13" i="10"/>
  <c r="G88" i="14"/>
  <c r="F82" i="10"/>
  <c r="J68" i="14"/>
  <c r="K68" i="14"/>
  <c r="N38" i="10"/>
  <c r="H38" i="10"/>
  <c r="M38" i="10"/>
  <c r="J89" i="10"/>
  <c r="G259" i="14"/>
  <c r="G44" i="14"/>
  <c r="M198" i="14"/>
  <c r="G91" i="10"/>
  <c r="E97" i="10"/>
  <c r="I84" i="14"/>
  <c r="M149" i="14"/>
  <c r="I149" i="14"/>
  <c r="J112" i="14"/>
  <c r="E112" i="14"/>
  <c r="L104" i="14"/>
  <c r="N250" i="14"/>
  <c r="D156" i="14"/>
  <c r="J278" i="14"/>
  <c r="E298" i="14"/>
  <c r="K8" i="14"/>
  <c r="E8" i="14"/>
  <c r="G8" i="14"/>
  <c r="I8" i="14"/>
  <c r="N69" i="14"/>
  <c r="K69" i="14"/>
  <c r="H319" i="14"/>
  <c r="N8" i="10"/>
  <c r="H124" i="10"/>
  <c r="H321" i="14"/>
  <c r="E321" i="14"/>
  <c r="D8" i="10"/>
  <c r="D43" i="14"/>
  <c r="E8" i="10"/>
  <c r="M124" i="10"/>
  <c r="D128" i="10"/>
  <c r="H295" i="14"/>
  <c r="K92" i="14"/>
  <c r="I271" i="14"/>
  <c r="H44" i="14"/>
  <c r="M44" i="14"/>
  <c r="E44" i="14"/>
  <c r="I44" i="14"/>
  <c r="K44" i="14"/>
  <c r="J93" i="14"/>
  <c r="L93" i="14"/>
  <c r="G91" i="14"/>
  <c r="G93" i="14"/>
  <c r="K70" i="10"/>
  <c r="F124" i="10"/>
  <c r="F35" i="10"/>
  <c r="I35" i="10"/>
  <c r="G279" i="10"/>
  <c r="L162" i="10"/>
  <c r="H147" i="10"/>
  <c r="K147" i="10"/>
  <c r="I147" i="10"/>
  <c r="L136" i="14"/>
  <c r="D136" i="14"/>
  <c r="H136" i="14"/>
  <c r="K136" i="14"/>
  <c r="G136" i="14"/>
  <c r="E271" i="14"/>
  <c r="D93" i="14"/>
  <c r="G68" i="14"/>
  <c r="N78" i="14"/>
  <c r="G78" i="14"/>
  <c r="H78" i="14"/>
  <c r="D78" i="14"/>
  <c r="L78" i="14"/>
  <c r="E78" i="14"/>
  <c r="M78" i="14"/>
  <c r="I78" i="14"/>
  <c r="K78" i="14"/>
  <c r="E93" i="14"/>
  <c r="I93" i="14"/>
  <c r="E150" i="14"/>
  <c r="D150" i="14"/>
  <c r="H150" i="14"/>
  <c r="I150" i="14"/>
  <c r="K150" i="14"/>
  <c r="D25" i="14"/>
  <c r="H25" i="14"/>
  <c r="E10" i="10"/>
  <c r="N10" i="10"/>
  <c r="L10" i="10"/>
  <c r="F10" i="10"/>
  <c r="M192" i="10"/>
  <c r="N25" i="14"/>
  <c r="D155" i="14"/>
  <c r="I155" i="14"/>
  <c r="H155" i="14"/>
  <c r="E155" i="14"/>
  <c r="E106" i="14"/>
  <c r="J253" i="14"/>
  <c r="G11" i="14"/>
  <c r="D68" i="14"/>
  <c r="L25" i="14"/>
  <c r="L124" i="10"/>
  <c r="D54" i="14"/>
  <c r="H54" i="14"/>
  <c r="G54" i="14"/>
  <c r="E217" i="14"/>
  <c r="D217" i="14"/>
  <c r="M217" i="14"/>
  <c r="M11" i="14"/>
  <c r="G33" i="10"/>
  <c r="H65" i="14"/>
  <c r="I91" i="14"/>
  <c r="J91" i="14"/>
  <c r="M91" i="14"/>
  <c r="L91" i="14"/>
  <c r="K171" i="14"/>
  <c r="H222" i="14"/>
  <c r="H68" i="14"/>
  <c r="L76" i="14"/>
  <c r="I152" i="10"/>
  <c r="K152" i="10"/>
  <c r="H11" i="14"/>
  <c r="E11" i="14"/>
  <c r="I10" i="10"/>
  <c r="L23" i="14"/>
  <c r="D124" i="10"/>
  <c r="I259" i="10"/>
  <c r="M147" i="14"/>
  <c r="I147" i="14"/>
  <c r="I202" i="14"/>
  <c r="E196" i="14"/>
  <c r="D171" i="14"/>
  <c r="E185" i="14"/>
  <c r="I236" i="14"/>
  <c r="D188" i="14"/>
  <c r="H192" i="10"/>
  <c r="M247" i="14"/>
  <c r="F125" i="10"/>
  <c r="K10" i="10"/>
  <c r="H267" i="14"/>
  <c r="I70" i="14"/>
  <c r="K247" i="14"/>
  <c r="G76" i="14"/>
  <c r="J91" i="10"/>
  <c r="E137" i="14"/>
  <c r="D70" i="14"/>
  <c r="J10" i="10"/>
  <c r="J23" i="14"/>
  <c r="E154" i="10"/>
  <c r="K84" i="14"/>
  <c r="H84" i="14"/>
  <c r="G84" i="14"/>
  <c r="G43" i="14"/>
  <c r="E43" i="14"/>
  <c r="N68" i="14"/>
  <c r="L68" i="14"/>
  <c r="E100" i="10"/>
  <c r="K124" i="14"/>
  <c r="M124" i="14"/>
  <c r="D124" i="14"/>
  <c r="I124" i="14"/>
  <c r="L124" i="14"/>
  <c r="H124" i="14"/>
  <c r="D168" i="14"/>
  <c r="H91" i="14"/>
  <c r="I320" i="14"/>
  <c r="I11" i="14"/>
  <c r="H240" i="10"/>
  <c r="J125" i="10"/>
  <c r="I111" i="10"/>
  <c r="M236" i="14"/>
  <c r="G294" i="10"/>
  <c r="L322" i="14"/>
  <c r="I155" i="10"/>
  <c r="G124" i="14"/>
  <c r="M295" i="14"/>
  <c r="L24" i="14"/>
  <c r="J24" i="14"/>
  <c r="L259" i="14"/>
  <c r="H259" i="14"/>
  <c r="E91" i="14"/>
  <c r="M76" i="14"/>
  <c r="M188" i="14"/>
  <c r="J70" i="14"/>
  <c r="I247" i="14"/>
  <c r="G188" i="14"/>
  <c r="I319" i="14"/>
  <c r="K152" i="14"/>
  <c r="K155" i="10"/>
  <c r="E68" i="14"/>
  <c r="J116" i="10"/>
  <c r="I116" i="10"/>
  <c r="E223" i="14"/>
  <c r="K223" i="14"/>
  <c r="L223" i="14"/>
  <c r="H223" i="14"/>
  <c r="J223" i="14"/>
  <c r="G223" i="14"/>
  <c r="D223" i="14"/>
  <c r="M223" i="14"/>
  <c r="L212" i="14"/>
  <c r="N104" i="10"/>
  <c r="J104" i="10"/>
  <c r="L104" i="10"/>
  <c r="K104" i="10"/>
  <c r="I104" i="10"/>
  <c r="H200" i="10"/>
  <c r="I193" i="10"/>
  <c r="M253" i="14"/>
  <c r="K253" i="14"/>
  <c r="E113" i="14"/>
  <c r="L113" i="14"/>
  <c r="K113" i="14"/>
  <c r="M113" i="14"/>
  <c r="G113" i="14"/>
  <c r="J113" i="14"/>
  <c r="D100" i="10"/>
  <c r="D137" i="10"/>
  <c r="H311" i="14"/>
  <c r="G13" i="10"/>
  <c r="I193" i="14"/>
  <c r="K193" i="14"/>
  <c r="I72" i="14"/>
  <c r="N72" i="14"/>
  <c r="D72" i="14"/>
  <c r="H200" i="14"/>
  <c r="L193" i="14"/>
  <c r="K37" i="10"/>
  <c r="H31" i="10"/>
  <c r="E320" i="14"/>
  <c r="L161" i="14"/>
  <c r="I231" i="14"/>
  <c r="L231" i="14"/>
  <c r="D231" i="14"/>
  <c r="H231" i="14"/>
  <c r="E231" i="14"/>
  <c r="G231" i="14"/>
  <c r="N167" i="10"/>
  <c r="M167" i="10"/>
  <c r="N70" i="10"/>
  <c r="E70" i="10"/>
  <c r="M70" i="10"/>
  <c r="I70" i="10"/>
  <c r="H70" i="10"/>
  <c r="G112" i="14"/>
  <c r="I258" i="14"/>
  <c r="G258" i="14"/>
  <c r="E258" i="14"/>
  <c r="H31" i="14"/>
  <c r="I311" i="14"/>
  <c r="G100" i="14"/>
  <c r="N70" i="14"/>
  <c r="K70" i="14"/>
  <c r="E70" i="14"/>
  <c r="M70" i="14"/>
  <c r="L70" i="14"/>
  <c r="J111" i="10"/>
  <c r="H111" i="10"/>
  <c r="G72" i="14"/>
  <c r="L97" i="14"/>
  <c r="K294" i="10"/>
  <c r="I294" i="10"/>
  <c r="F34" i="10"/>
  <c r="N34" i="10"/>
  <c r="J34" i="10"/>
  <c r="M34" i="10"/>
  <c r="K34" i="10"/>
  <c r="J294" i="14"/>
  <c r="H294" i="14"/>
  <c r="F13" i="10"/>
  <c r="K311" i="14"/>
  <c r="L72" i="14"/>
  <c r="D97" i="14"/>
  <c r="I97" i="14"/>
  <c r="J311" i="14"/>
  <c r="K301" i="14"/>
  <c r="J72" i="14"/>
  <c r="H72" i="14"/>
  <c r="H97" i="14"/>
  <c r="H189" i="14"/>
  <c r="D100" i="14"/>
  <c r="N107" i="14"/>
  <c r="E107" i="14"/>
  <c r="I107" i="14"/>
  <c r="J107" i="14"/>
  <c r="H107" i="14"/>
  <c r="K107" i="14"/>
  <c r="K297" i="14"/>
  <c r="D109" i="10"/>
  <c r="I109" i="10"/>
  <c r="G109" i="10"/>
  <c r="I244" i="14"/>
  <c r="J244" i="14"/>
  <c r="M244" i="14"/>
  <c r="I82" i="14"/>
  <c r="J82" i="14"/>
  <c r="L82" i="14"/>
  <c r="M82" i="14"/>
  <c r="K82" i="14"/>
  <c r="E72" i="14"/>
  <c r="M258" i="14"/>
  <c r="L301" i="14"/>
  <c r="D112" i="14"/>
  <c r="N33" i="10"/>
  <c r="I33" i="10"/>
  <c r="H50" i="14"/>
  <c r="D50" i="14"/>
  <c r="K157" i="14"/>
  <c r="D157" i="14"/>
  <c r="K97" i="14"/>
  <c r="E53" i="10"/>
  <c r="E261" i="14"/>
  <c r="J261" i="14"/>
  <c r="G261" i="14"/>
  <c r="I261" i="14"/>
  <c r="L261" i="14"/>
  <c r="N37" i="10"/>
  <c r="J97" i="14"/>
  <c r="E311" i="14"/>
  <c r="J188" i="10"/>
  <c r="J258" i="14"/>
  <c r="E97" i="14"/>
  <c r="E50" i="10"/>
  <c r="D145" i="10"/>
  <c r="J145" i="10"/>
  <c r="L145" i="10"/>
  <c r="K145" i="10"/>
  <c r="G145" i="10"/>
  <c r="D87" i="14"/>
  <c r="M125" i="10"/>
  <c r="N125" i="10"/>
  <c r="L125" i="10"/>
  <c r="D125" i="10"/>
  <c r="H125" i="10"/>
  <c r="N19" i="10"/>
  <c r="J19" i="10"/>
  <c r="D19" i="10"/>
  <c r="L19" i="10"/>
  <c r="G35" i="18"/>
  <c r="G14" i="18"/>
  <c r="G28" i="18"/>
  <c r="G51" i="18"/>
  <c r="G2" i="18"/>
  <c r="G15" i="18"/>
  <c r="J299" i="14"/>
  <c r="J201" i="14"/>
  <c r="J230" i="14"/>
  <c r="J295" i="14"/>
  <c r="J124" i="14"/>
  <c r="J120" i="14"/>
  <c r="J292" i="14"/>
  <c r="J170" i="14"/>
  <c r="J317" i="14"/>
  <c r="J259" i="14"/>
  <c r="J255" i="14"/>
  <c r="J196" i="14"/>
  <c r="J178" i="14"/>
  <c r="J293" i="14"/>
  <c r="J231" i="14"/>
  <c r="J136" i="14"/>
  <c r="J200" i="14"/>
  <c r="I153" i="14"/>
  <c r="I170" i="14"/>
  <c r="I113" i="14"/>
  <c r="I292" i="14"/>
  <c r="I223" i="14"/>
  <c r="I216" i="14"/>
  <c r="I275" i="14"/>
  <c r="I299" i="14"/>
  <c r="I204" i="14"/>
  <c r="I196" i="14"/>
  <c r="I222" i="14"/>
  <c r="I253" i="14"/>
  <c r="I317" i="14"/>
  <c r="I308" i="14"/>
  <c r="I87" i="14"/>
  <c r="I37" i="10"/>
  <c r="I258" i="10"/>
  <c r="I189" i="10"/>
  <c r="I24" i="14"/>
  <c r="I217" i="14"/>
  <c r="I255" i="14"/>
  <c r="L175" i="14"/>
  <c r="L155" i="14"/>
  <c r="L112" i="14"/>
  <c r="L130" i="14"/>
  <c r="L185" i="14"/>
  <c r="L200" i="14"/>
  <c r="L299" i="14"/>
  <c r="L317" i="14"/>
  <c r="L225" i="14"/>
  <c r="K130" i="14"/>
  <c r="K292" i="14"/>
  <c r="K216" i="14"/>
  <c r="K133" i="14"/>
  <c r="K271" i="14"/>
  <c r="K317" i="14"/>
  <c r="K112" i="14"/>
  <c r="K231" i="14"/>
  <c r="K204" i="14"/>
  <c r="K192" i="14"/>
  <c r="K179" i="14"/>
  <c r="K255" i="14"/>
  <c r="K138" i="14"/>
  <c r="K196" i="14"/>
  <c r="G3" i="18"/>
  <c r="G4" i="18"/>
  <c r="D1" i="18"/>
  <c r="M320" i="14"/>
  <c r="M301" i="14"/>
  <c r="D301" i="14"/>
  <c r="E301" i="14"/>
  <c r="H301" i="14"/>
  <c r="J301" i="14"/>
  <c r="M173" i="14"/>
  <c r="H173" i="14"/>
  <c r="I173" i="14"/>
  <c r="D293" i="14"/>
  <c r="H293" i="14"/>
  <c r="G304" i="14"/>
  <c r="D304" i="14"/>
  <c r="G320" i="14"/>
  <c r="L318" i="14"/>
  <c r="G257" i="14"/>
  <c r="M257" i="14"/>
  <c r="I257" i="14"/>
  <c r="K257" i="14"/>
  <c r="D257" i="14"/>
  <c r="H257" i="14"/>
  <c r="L257" i="14"/>
  <c r="J257" i="14"/>
  <c r="M205" i="10"/>
  <c r="H205" i="10"/>
  <c r="H189" i="10"/>
  <c r="I102" i="14"/>
  <c r="D102" i="14"/>
  <c r="L102" i="14"/>
  <c r="E102" i="14"/>
  <c r="H233" i="14"/>
  <c r="E233" i="14"/>
  <c r="H251" i="14"/>
  <c r="L251" i="14"/>
  <c r="I251" i="14"/>
  <c r="M215" i="10"/>
  <c r="K215" i="10"/>
  <c r="H215" i="10"/>
  <c r="M319" i="14"/>
  <c r="J319" i="14"/>
  <c r="L319" i="14"/>
  <c r="K319" i="14"/>
  <c r="E319" i="14"/>
  <c r="D320" i="14"/>
  <c r="D228" i="14"/>
  <c r="L254" i="14"/>
  <c r="K254" i="14"/>
  <c r="D254" i="14"/>
  <c r="G28" i="14"/>
  <c r="H28" i="14"/>
  <c r="J28" i="14"/>
  <c r="L28" i="14"/>
  <c r="K28" i="14"/>
  <c r="M28" i="14"/>
  <c r="I28" i="14"/>
  <c r="M215" i="14"/>
  <c r="L215" i="14"/>
  <c r="G215" i="14"/>
  <c r="H215" i="14"/>
  <c r="D215" i="14"/>
  <c r="E188" i="14"/>
  <c r="H188" i="14"/>
  <c r="E207" i="14"/>
  <c r="M207" i="14"/>
  <c r="L207" i="14"/>
  <c r="J207" i="14"/>
  <c r="G207" i="14"/>
  <c r="K207" i="14"/>
  <c r="I207" i="14"/>
  <c r="H207" i="14"/>
  <c r="L267" i="14"/>
  <c r="K267" i="14"/>
  <c r="I267" i="14"/>
  <c r="G267" i="14"/>
  <c r="H166" i="14"/>
  <c r="D97" i="10"/>
  <c r="K195" i="14"/>
  <c r="H253" i="14"/>
  <c r="L253" i="14"/>
  <c r="G184" i="14"/>
  <c r="H184" i="14"/>
  <c r="M172" i="14"/>
  <c r="E172" i="14"/>
  <c r="M51" i="14"/>
  <c r="G51" i="14"/>
  <c r="E51" i="14"/>
  <c r="H51" i="14"/>
  <c r="L51" i="14"/>
  <c r="J318" i="14"/>
  <c r="J106" i="14"/>
  <c r="L106" i="14"/>
  <c r="M106" i="14"/>
  <c r="L320" i="14"/>
  <c r="M318" i="14"/>
  <c r="M287" i="14"/>
  <c r="G287" i="14"/>
  <c r="E287" i="14"/>
  <c r="I287" i="14"/>
  <c r="L287" i="14"/>
  <c r="H287" i="14"/>
  <c r="K287" i="14"/>
  <c r="I320" i="10"/>
  <c r="K243" i="14"/>
  <c r="H243" i="14"/>
  <c r="E247" i="14"/>
  <c r="L247" i="14"/>
  <c r="E60" i="10"/>
  <c r="L60" i="10"/>
  <c r="M60" i="10"/>
  <c r="I60" i="10"/>
  <c r="G60" i="10"/>
  <c r="H208" i="10"/>
  <c r="G151" i="14"/>
  <c r="L151" i="14"/>
  <c r="D151" i="14"/>
  <c r="J151" i="14"/>
  <c r="M151" i="14"/>
  <c r="I151" i="14"/>
  <c r="H151" i="14"/>
  <c r="E151" i="14"/>
  <c r="K151" i="14"/>
  <c r="F45" i="10"/>
  <c r="M45" i="10"/>
  <c r="G45" i="10"/>
  <c r="K45" i="10"/>
  <c r="H45" i="10"/>
  <c r="E298" i="10"/>
  <c r="L51" i="10"/>
  <c r="H51" i="10"/>
  <c r="J320" i="14"/>
  <c r="J280" i="14"/>
  <c r="I280" i="14"/>
  <c r="E277" i="14"/>
  <c r="H277" i="14"/>
  <c r="J277" i="14"/>
  <c r="G277" i="14"/>
  <c r="K277" i="14"/>
  <c r="H234" i="14"/>
  <c r="H208" i="14"/>
  <c r="L122" i="14"/>
  <c r="J122" i="14"/>
  <c r="M122" i="14"/>
  <c r="E122" i="14"/>
  <c r="I122" i="14"/>
  <c r="D122" i="14"/>
  <c r="G276" i="14"/>
  <c r="E276" i="14"/>
  <c r="J276" i="14"/>
  <c r="M160" i="14"/>
  <c r="L160" i="14"/>
  <c r="D160" i="14"/>
  <c r="K160" i="14"/>
  <c r="E160" i="14"/>
  <c r="G106" i="10"/>
  <c r="H106" i="10"/>
  <c r="I106" i="10"/>
  <c r="L106" i="10"/>
  <c r="H233" i="10"/>
  <c r="G169" i="14"/>
  <c r="H169" i="14"/>
  <c r="M169" i="14"/>
  <c r="J169" i="14"/>
  <c r="D169" i="14"/>
  <c r="E64" i="14"/>
  <c r="L64" i="14"/>
  <c r="I291" i="14"/>
  <c r="H291" i="14"/>
  <c r="M122" i="10"/>
  <c r="E122" i="10"/>
  <c r="M256" i="14"/>
  <c r="J256" i="14"/>
  <c r="K256" i="14"/>
  <c r="G256" i="14"/>
  <c r="E256" i="14"/>
  <c r="H256" i="14"/>
  <c r="L256" i="14"/>
  <c r="I256" i="14"/>
  <c r="D256" i="14"/>
  <c r="M61" i="14"/>
  <c r="J61" i="14"/>
  <c r="K61" i="14"/>
  <c r="G128" i="14"/>
  <c r="M128" i="14"/>
  <c r="I128" i="14"/>
  <c r="J128" i="14"/>
  <c r="L128" i="14"/>
  <c r="K128" i="14"/>
  <c r="D128" i="14"/>
  <c r="E128" i="14"/>
  <c r="H128" i="14"/>
  <c r="G142" i="14"/>
  <c r="H142" i="14"/>
  <c r="L142" i="14"/>
  <c r="E142" i="14"/>
  <c r="K142" i="14"/>
  <c r="D142" i="14"/>
  <c r="I142" i="14"/>
  <c r="J142" i="14"/>
  <c r="G63" i="14"/>
  <c r="E63" i="14"/>
  <c r="D63" i="14"/>
  <c r="G183" i="14"/>
  <c r="L183" i="14"/>
  <c r="K183" i="14"/>
  <c r="M183" i="14"/>
  <c r="J183" i="14"/>
  <c r="I183" i="14"/>
  <c r="E183" i="14"/>
  <c r="H183" i="14"/>
  <c r="E314" i="14"/>
  <c r="G314" i="14"/>
  <c r="M314" i="14"/>
  <c r="I314" i="14"/>
  <c r="J314" i="14"/>
  <c r="D314" i="14"/>
  <c r="K314" i="14"/>
  <c r="L314" i="14"/>
  <c r="H314" i="14"/>
  <c r="E132" i="10"/>
  <c r="D132" i="10"/>
  <c r="M206" i="10"/>
  <c r="I206" i="10"/>
  <c r="L206" i="10"/>
  <c r="H206" i="10"/>
  <c r="H85" i="14"/>
  <c r="E85" i="14"/>
  <c r="G85" i="14"/>
  <c r="M85" i="14"/>
  <c r="L85" i="14"/>
  <c r="J85" i="14"/>
  <c r="K142" i="10"/>
  <c r="I312" i="14"/>
  <c r="H312" i="14"/>
  <c r="L312" i="14"/>
  <c r="J312" i="14"/>
  <c r="E312" i="14"/>
  <c r="M312" i="14"/>
  <c r="H224" i="10"/>
  <c r="D313" i="14"/>
  <c r="H313" i="14"/>
  <c r="G313" i="14"/>
  <c r="I313" i="14"/>
  <c r="E313" i="14"/>
  <c r="M313" i="14"/>
  <c r="L313" i="14"/>
  <c r="J313" i="14"/>
  <c r="H309" i="14"/>
  <c r="G309" i="14"/>
  <c r="E309" i="14"/>
  <c r="D309" i="14"/>
  <c r="K309" i="14"/>
  <c r="L309" i="14"/>
  <c r="M309" i="14"/>
  <c r="G224" i="14"/>
  <c r="H224" i="14"/>
  <c r="K224" i="14"/>
  <c r="L224" i="14"/>
  <c r="M224" i="14"/>
  <c r="I224" i="14"/>
  <c r="J224" i="14"/>
  <c r="J61" i="10"/>
  <c r="M61" i="10"/>
  <c r="L125" i="14"/>
  <c r="G111" i="14"/>
  <c r="I111" i="14"/>
  <c r="H111" i="14"/>
  <c r="M287" i="10"/>
  <c r="G203" i="14"/>
  <c r="J203" i="14"/>
  <c r="E203" i="14"/>
  <c r="L203" i="14"/>
  <c r="M121" i="14"/>
  <c r="G121" i="14"/>
  <c r="E121" i="14"/>
  <c r="K121" i="14"/>
  <c r="E203" i="10"/>
  <c r="I9" i="14"/>
  <c r="L9" i="14"/>
  <c r="G9" i="14"/>
  <c r="M9" i="14"/>
  <c r="K9" i="14"/>
  <c r="H9" i="14"/>
  <c r="H206" i="14"/>
  <c r="J85" i="10"/>
  <c r="L85" i="10"/>
  <c r="H85" i="10"/>
  <c r="G85" i="10"/>
  <c r="I85" i="10"/>
  <c r="F85" i="10"/>
  <c r="K55" i="14"/>
  <c r="J55" i="14"/>
  <c r="H55" i="14"/>
  <c r="I55" i="14"/>
  <c r="L55" i="14"/>
  <c r="E303" i="14"/>
  <c r="F30" i="10"/>
  <c r="E30" i="10"/>
  <c r="K30" i="10"/>
  <c r="D30" i="10"/>
  <c r="L30" i="10"/>
  <c r="H30" i="10"/>
  <c r="I30" i="10"/>
  <c r="G30" i="10"/>
  <c r="J30" i="10"/>
  <c r="M116" i="10"/>
  <c r="M48" i="14"/>
  <c r="M161" i="14"/>
  <c r="M31" i="14"/>
  <c r="M223" i="10"/>
  <c r="M90" i="14"/>
  <c r="M36" i="14"/>
  <c r="M314" i="10"/>
  <c r="M31" i="10"/>
  <c r="M29" i="14"/>
  <c r="M233" i="14"/>
  <c r="M156" i="14"/>
  <c r="M29" i="10"/>
  <c r="M48" i="10"/>
  <c r="M179" i="10"/>
  <c r="M131" i="14"/>
  <c r="M259" i="10"/>
  <c r="M267" i="14"/>
  <c r="M67" i="10"/>
  <c r="M23" i="10"/>
  <c r="M153" i="10"/>
  <c r="M141" i="10"/>
  <c r="M39" i="10"/>
  <c r="M238" i="14"/>
  <c r="M231" i="14"/>
  <c r="M191" i="10"/>
  <c r="M280" i="14"/>
  <c r="M144" i="14"/>
  <c r="M129" i="14"/>
  <c r="M102" i="14"/>
  <c r="M112" i="14"/>
  <c r="M208" i="14"/>
  <c r="M136" i="14"/>
  <c r="M84" i="14"/>
  <c r="M126" i="14"/>
  <c r="M252" i="14"/>
  <c r="M189" i="14"/>
  <c r="M98" i="14"/>
  <c r="M166" i="14"/>
  <c r="M200" i="14"/>
  <c r="F37" i="10"/>
  <c r="L126" i="14"/>
  <c r="E193" i="14"/>
  <c r="L90" i="14"/>
  <c r="H266" i="14"/>
  <c r="G126" i="14"/>
  <c r="D303" i="14"/>
  <c r="D238" i="14"/>
  <c r="E266" i="14"/>
  <c r="G278" i="14"/>
  <c r="L196" i="10"/>
  <c r="J189" i="14"/>
  <c r="L34" i="14"/>
  <c r="I298" i="14"/>
  <c r="I285" i="10"/>
  <c r="J138" i="14"/>
  <c r="G233" i="14"/>
  <c r="G119" i="14"/>
  <c r="L308" i="10"/>
  <c r="K338" i="10"/>
  <c r="H167" i="10"/>
  <c r="I156" i="14"/>
  <c r="G207" i="10"/>
  <c r="E85" i="10"/>
  <c r="L86" i="10"/>
  <c r="K129" i="14"/>
  <c r="K170" i="14"/>
  <c r="K110" i="10"/>
  <c r="K102" i="14"/>
  <c r="H126" i="14"/>
  <c r="H86" i="10"/>
  <c r="M346" i="10"/>
  <c r="D23" i="14"/>
  <c r="D239" i="14"/>
  <c r="L138" i="14"/>
  <c r="I126" i="14"/>
  <c r="L144" i="10"/>
  <c r="L38" i="10"/>
  <c r="M261" i="14"/>
  <c r="M288" i="10"/>
  <c r="E253" i="14"/>
  <c r="E36" i="14"/>
  <c r="E234" i="14"/>
  <c r="G47" i="10"/>
  <c r="G135" i="14"/>
  <c r="G276" i="10"/>
  <c r="G144" i="14"/>
  <c r="I47" i="10"/>
  <c r="E84" i="14"/>
  <c r="J31" i="14"/>
  <c r="M23" i="14"/>
  <c r="L173" i="14"/>
  <c r="L42" i="14"/>
  <c r="L42" i="10"/>
  <c r="K169" i="14"/>
  <c r="K203" i="14"/>
  <c r="K114" i="14"/>
  <c r="K158" i="14"/>
  <c r="K158" i="10"/>
  <c r="H191" i="10"/>
  <c r="H156" i="10"/>
  <c r="H212" i="14"/>
  <c r="K85" i="14"/>
  <c r="I31" i="14"/>
  <c r="I252" i="14"/>
  <c r="I288" i="10"/>
  <c r="H216" i="10"/>
  <c r="L38" i="14"/>
  <c r="J126" i="14"/>
  <c r="J132" i="10"/>
  <c r="G287" i="10"/>
  <c r="G253" i="14"/>
  <c r="L216" i="14"/>
  <c r="L230" i="10"/>
  <c r="K185" i="10"/>
  <c r="K166" i="14"/>
  <c r="L298" i="14"/>
  <c r="E244" i="14"/>
  <c r="K232" i="14"/>
  <c r="D253" i="14"/>
  <c r="J233" i="14"/>
  <c r="J253" i="10"/>
  <c r="E135" i="14"/>
  <c r="H36" i="14"/>
  <c r="M303" i="14"/>
  <c r="E33" i="10"/>
  <c r="E33" i="14"/>
  <c r="F307" i="10"/>
  <c r="L346" i="10"/>
  <c r="D278" i="14"/>
  <c r="M203" i="14"/>
  <c r="M228" i="10"/>
  <c r="E144" i="10"/>
  <c r="E144" i="14"/>
  <c r="G132" i="14"/>
  <c r="F16" i="10"/>
  <c r="L31" i="14"/>
  <c r="L31" i="10"/>
  <c r="K58" i="10"/>
  <c r="H143" i="10"/>
  <c r="H135" i="14"/>
  <c r="L121" i="14"/>
  <c r="L15" i="14"/>
  <c r="J36" i="14"/>
  <c r="E252" i="14"/>
  <c r="E224" i="14"/>
  <c r="E170" i="14"/>
  <c r="E188" i="10"/>
  <c r="F251" i="10"/>
  <c r="G54" i="10"/>
  <c r="L180" i="14"/>
  <c r="K15" i="14"/>
  <c r="K95" i="14"/>
  <c r="K47" i="10"/>
  <c r="K85" i="10"/>
  <c r="K301" i="10"/>
  <c r="K15" i="10"/>
  <c r="K153" i="10"/>
  <c r="K144" i="14"/>
  <c r="K230" i="14"/>
  <c r="K213" i="14"/>
  <c r="H121" i="14"/>
  <c r="H161" i="14"/>
  <c r="M236" i="10"/>
  <c r="I295" i="14"/>
  <c r="I321" i="10"/>
  <c r="H250" i="10"/>
  <c r="BN79" i="2"/>
  <c r="M152" i="10"/>
  <c r="H54" i="10"/>
  <c r="J154" i="14"/>
  <c r="L291" i="14"/>
  <c r="K206" i="10"/>
  <c r="D20" i="14"/>
  <c r="J130" i="14"/>
  <c r="G216" i="14"/>
  <c r="L233" i="14"/>
  <c r="M243" i="10"/>
  <c r="M222" i="14"/>
  <c r="D116" i="10"/>
  <c r="D111" i="14"/>
  <c r="G163" i="14"/>
  <c r="L258" i="14"/>
  <c r="K324" i="10"/>
  <c r="D258" i="14"/>
  <c r="L15" i="10"/>
  <c r="J249" i="14"/>
  <c r="J288" i="10"/>
  <c r="E161" i="14"/>
  <c r="F170" i="10"/>
  <c r="F202" i="10"/>
  <c r="K156" i="14"/>
  <c r="H279" i="14"/>
  <c r="L34" i="10"/>
  <c r="I238" i="14"/>
  <c r="M291" i="14"/>
  <c r="E108" i="14"/>
  <c r="F27" i="10"/>
  <c r="M108" i="10"/>
  <c r="J268" i="10"/>
  <c r="M204" i="14"/>
  <c r="F253" i="10"/>
  <c r="D38" i="14"/>
  <c r="D38" i="10"/>
  <c r="I349" i="10"/>
  <c r="I87" i="10"/>
  <c r="I15" i="10"/>
  <c r="I129" i="14"/>
  <c r="I144" i="14"/>
  <c r="I169" i="14"/>
  <c r="I243" i="14"/>
  <c r="I208" i="14"/>
  <c r="I163" i="14"/>
  <c r="I160" i="14"/>
  <c r="I112" i="14"/>
  <c r="G97" i="14"/>
  <c r="E128" i="10"/>
  <c r="J213" i="14"/>
  <c r="J238" i="10"/>
  <c r="J25" i="14"/>
  <c r="E142" i="10"/>
  <c r="G31" i="14"/>
  <c r="G31" i="10"/>
  <c r="G114" i="14"/>
  <c r="G92" i="14"/>
  <c r="G92" i="10"/>
  <c r="J156" i="14"/>
  <c r="D54" i="10"/>
  <c r="G104" i="10"/>
  <c r="L44" i="14"/>
  <c r="L44" i="10"/>
  <c r="K38" i="10"/>
  <c r="I239" i="10"/>
  <c r="I158" i="14"/>
  <c r="D261" i="14"/>
  <c r="G154" i="14"/>
  <c r="K258" i="14"/>
  <c r="K297" i="10"/>
  <c r="J135" i="14"/>
  <c r="J150" i="10"/>
  <c r="F243" i="10"/>
  <c r="G40" i="10"/>
  <c r="F115" i="10"/>
  <c r="G24" i="14"/>
  <c r="J208" i="14"/>
  <c r="L36" i="14"/>
  <c r="L48" i="14"/>
  <c r="L171" i="10"/>
  <c r="L116" i="10"/>
  <c r="L150" i="14"/>
  <c r="L48" i="10"/>
  <c r="L21" i="10"/>
  <c r="L208" i="14"/>
  <c r="L312" i="10"/>
  <c r="L158" i="14"/>
  <c r="L111" i="14"/>
  <c r="L144" i="14"/>
  <c r="L217" i="14"/>
  <c r="L257" i="10"/>
  <c r="M98" i="10"/>
  <c r="K91" i="14"/>
  <c r="BN58" i="2"/>
  <c r="J161" i="14"/>
  <c r="J166" i="14"/>
  <c r="F245" i="10"/>
  <c r="I225" i="10"/>
  <c r="K161" i="14"/>
  <c r="J102" i="14"/>
  <c r="J228" i="14"/>
  <c r="J252" i="14"/>
  <c r="J198" i="14"/>
  <c r="J119" i="14"/>
  <c r="J160" i="14"/>
  <c r="J321" i="10"/>
  <c r="J189" i="10"/>
  <c r="J38" i="10"/>
  <c r="J31" i="10"/>
  <c r="J128" i="10"/>
  <c r="J223" i="10"/>
  <c r="J225" i="10"/>
  <c r="J108" i="10"/>
  <c r="J279" i="10"/>
  <c r="J254" i="10"/>
  <c r="J47" i="10"/>
  <c r="G191" i="10"/>
  <c r="L303" i="14"/>
  <c r="L55" i="10"/>
  <c r="M280" i="10"/>
  <c r="H204" i="14"/>
  <c r="J147" i="10"/>
  <c r="M304" i="14"/>
  <c r="E24" i="14"/>
  <c r="E119" i="14"/>
  <c r="E119" i="10"/>
  <c r="G232" i="14"/>
  <c r="G247" i="14"/>
  <c r="E292" i="14"/>
  <c r="D129" i="14"/>
  <c r="I130" i="14"/>
  <c r="I142" i="10"/>
  <c r="L255" i="14"/>
  <c r="K233" i="14"/>
  <c r="K252" i="14"/>
  <c r="K269" i="10"/>
  <c r="H138" i="14"/>
  <c r="H112" i="14"/>
  <c r="H156" i="14"/>
  <c r="D215" i="10"/>
  <c r="I31" i="10"/>
  <c r="I161" i="14"/>
  <c r="E31" i="10"/>
  <c r="E31" i="14"/>
  <c r="L169" i="14"/>
  <c r="L179" i="10"/>
  <c r="K126" i="14"/>
  <c r="E179" i="14"/>
  <c r="E261" i="10"/>
  <c r="I211" i="10"/>
  <c r="I233" i="14"/>
  <c r="E204" i="14"/>
  <c r="E229" i="10"/>
  <c r="E296" i="10"/>
  <c r="E257" i="14"/>
  <c r="G20" i="14"/>
  <c r="G20" i="10"/>
  <c r="G36" i="14"/>
  <c r="G303" i="14"/>
  <c r="G349" i="10"/>
  <c r="F31" i="10"/>
  <c r="D86" i="10"/>
  <c r="I178" i="14"/>
  <c r="L252" i="14"/>
  <c r="K154" i="14"/>
  <c r="K163" i="14"/>
  <c r="K335" i="10"/>
  <c r="L259" i="10"/>
  <c r="H244" i="14"/>
  <c r="H275" i="10"/>
  <c r="H259" i="10"/>
  <c r="H276" i="14"/>
  <c r="H296" i="10"/>
  <c r="L178" i="14"/>
  <c r="D106" i="14"/>
  <c r="I121" i="14"/>
  <c r="H160" i="14"/>
  <c r="G95" i="14"/>
  <c r="D267" i="14"/>
  <c r="G40" i="14"/>
  <c r="K349" i="10"/>
  <c r="K116" i="10"/>
  <c r="K111" i="14"/>
  <c r="E82" i="14"/>
  <c r="E82" i="10"/>
  <c r="E104" i="14"/>
  <c r="G158" i="14"/>
  <c r="G244" i="14"/>
  <c r="G213" i="14"/>
  <c r="I45" i="10"/>
  <c r="L170" i="14"/>
  <c r="H80" i="10"/>
  <c r="J247" i="14"/>
  <c r="G215" i="10"/>
  <c r="G195" i="14"/>
  <c r="F128" i="10"/>
  <c r="L135" i="14"/>
  <c r="L143" i="10"/>
  <c r="H303" i="14"/>
  <c r="I15" i="14"/>
  <c r="H80" i="14"/>
  <c r="J144" i="14"/>
  <c r="G228" i="14"/>
  <c r="D158" i="14"/>
  <c r="D158" i="10"/>
  <c r="D113" i="14"/>
  <c r="L147" i="10"/>
  <c r="J307" i="10"/>
  <c r="E143" i="14"/>
  <c r="E152" i="10"/>
  <c r="J158" i="14"/>
  <c r="J158" i="10"/>
  <c r="J15" i="14"/>
  <c r="J15" i="10"/>
  <c r="E239" i="14"/>
  <c r="G204" i="14"/>
  <c r="F175" i="10"/>
  <c r="F142" i="10"/>
  <c r="F167" i="10"/>
  <c r="L163" i="14"/>
  <c r="L21" i="14"/>
  <c r="M224" i="10"/>
  <c r="K86" i="10"/>
  <c r="K31" i="14"/>
  <c r="K31" i="10"/>
  <c r="K135" i="14"/>
  <c r="H39" i="10"/>
  <c r="H33" i="14"/>
  <c r="H33" i="10"/>
  <c r="H14" i="14"/>
  <c r="H14" i="10"/>
  <c r="K67" i="10"/>
  <c r="H60" i="10"/>
  <c r="H114" i="14"/>
  <c r="D271" i="14"/>
  <c r="I42" i="14"/>
  <c r="H23" i="10"/>
  <c r="G157" i="10"/>
  <c r="G147" i="14"/>
  <c r="K284" i="14"/>
  <c r="H297" i="14"/>
  <c r="E125" i="14"/>
  <c r="G295" i="14"/>
  <c r="D130" i="14"/>
  <c r="D17" i="14"/>
  <c r="D14" i="14"/>
  <c r="D252" i="14"/>
  <c r="D170" i="14"/>
  <c r="D161" i="14"/>
  <c r="D175" i="14"/>
  <c r="D14" i="10"/>
  <c r="D160" i="10"/>
  <c r="D203" i="14"/>
  <c r="D244" i="14"/>
  <c r="D67" i="10"/>
  <c r="D84" i="10"/>
  <c r="D80" i="10"/>
  <c r="D33" i="14"/>
  <c r="D147" i="10"/>
  <c r="D33" i="10"/>
  <c r="D17" i="10"/>
  <c r="D154" i="10"/>
  <c r="D302" i="10"/>
  <c r="D232" i="14"/>
  <c r="D47" i="10"/>
  <c r="D316" i="10"/>
  <c r="D115" i="10"/>
  <c r="D225" i="10"/>
  <c r="D31" i="10"/>
  <c r="D233" i="14"/>
  <c r="D154" i="14"/>
  <c r="D120" i="10"/>
  <c r="D326" i="10"/>
  <c r="D23" i="10"/>
  <c r="D193" i="10"/>
  <c r="D257" i="10"/>
  <c r="D144" i="14"/>
  <c r="D135" i="14"/>
  <c r="D20" i="10"/>
  <c r="D166" i="14"/>
  <c r="D80" i="14"/>
  <c r="D200" i="14"/>
  <c r="D84" i="14"/>
  <c r="D138" i="14"/>
  <c r="D183" i="14"/>
  <c r="K228" i="14"/>
  <c r="H158" i="14"/>
  <c r="H158" i="10"/>
  <c r="M349" i="10"/>
  <c r="G170" i="14"/>
  <c r="G188" i="10"/>
  <c r="E173" i="14"/>
  <c r="H247" i="14"/>
  <c r="E91" i="10"/>
  <c r="F47" i="10"/>
  <c r="H129" i="14"/>
  <c r="K198" i="14"/>
  <c r="E232" i="14"/>
  <c r="G130" i="14"/>
  <c r="G136" i="10"/>
  <c r="F189" i="10"/>
  <c r="D249" i="14"/>
  <c r="F67" i="10"/>
  <c r="M84" i="10"/>
  <c r="L301" i="10"/>
  <c r="H20" i="14"/>
  <c r="H20" i="10"/>
  <c r="I232" i="14"/>
  <c r="I167" i="10"/>
  <c r="I42" i="10"/>
  <c r="H203" i="14"/>
  <c r="L232" i="10"/>
  <c r="J265" i="14"/>
  <c r="J121" i="14"/>
  <c r="J77" i="14"/>
  <c r="M110" i="14"/>
  <c r="E27" i="10"/>
  <c r="E27" i="14"/>
  <c r="E211" i="10"/>
  <c r="E16" i="10"/>
  <c r="E16" i="14"/>
  <c r="G198" i="14"/>
  <c r="G161" i="14"/>
  <c r="G160" i="14"/>
  <c r="F206" i="10"/>
  <c r="M143" i="14"/>
  <c r="D224" i="14"/>
  <c r="L129" i="14"/>
  <c r="K191" i="10"/>
  <c r="K200" i="14"/>
  <c r="K24" i="14"/>
  <c r="K244" i="14"/>
  <c r="K267" i="10"/>
  <c r="H232" i="10"/>
  <c r="H261" i="14"/>
  <c r="M221" i="14"/>
  <c r="I247" i="10"/>
  <c r="I249" i="10"/>
  <c r="D31" i="14"/>
  <c r="H23" i="14"/>
  <c r="I228" i="14"/>
  <c r="D346" i="10"/>
  <c r="G259" i="10"/>
  <c r="I185" i="10"/>
  <c r="F349" i="10"/>
  <c r="F223" i="10"/>
  <c r="J191" i="10"/>
  <c r="J346" i="10"/>
  <c r="J185" i="10"/>
  <c r="L287" i="10"/>
  <c r="L215" i="10"/>
  <c r="F153" i="10"/>
  <c r="H88" i="10"/>
  <c r="D217" i="10"/>
  <c r="L229" i="10"/>
  <c r="J142" i="10"/>
  <c r="J291" i="10"/>
  <c r="M274" i="10"/>
  <c r="J240" i="10"/>
  <c r="H67" i="10"/>
  <c r="E283" i="10"/>
  <c r="M105" i="10"/>
  <c r="M183" i="10"/>
  <c r="L223" i="10"/>
  <c r="H198" i="10"/>
  <c r="E137" i="10"/>
  <c r="J285" i="10"/>
  <c r="E160" i="10"/>
  <c r="H274" i="10"/>
  <c r="J70" i="10"/>
  <c r="J193" i="10"/>
  <c r="I236" i="10"/>
  <c r="F93" i="10"/>
  <c r="K345" i="10"/>
  <c r="N101" i="14"/>
  <c r="H153" i="10"/>
  <c r="K120" i="10"/>
  <c r="L154" i="10"/>
  <c r="N113" i="14"/>
  <c r="N169" i="14"/>
  <c r="F132" i="10"/>
  <c r="L132" i="10"/>
  <c r="M284" i="10"/>
  <c r="K77" i="10"/>
  <c r="N198" i="14"/>
  <c r="H82" i="10"/>
  <c r="L203" i="10"/>
  <c r="N172" i="14"/>
  <c r="N291" i="14"/>
  <c r="N183" i="14"/>
  <c r="E167" i="10"/>
  <c r="D82" i="10"/>
  <c r="H236" i="10"/>
  <c r="L245" i="10"/>
  <c r="N231" i="14"/>
  <c r="K88" i="10"/>
  <c r="N243" i="14"/>
  <c r="N95" i="14"/>
  <c r="H231" i="10"/>
  <c r="I93" i="10"/>
  <c r="I67" i="10"/>
  <c r="N64" i="14"/>
  <c r="N161" i="14"/>
  <c r="F74" i="10"/>
  <c r="J101" i="10"/>
  <c r="D342" i="10"/>
  <c r="D349" i="10"/>
  <c r="N354" i="14"/>
  <c r="J344" i="10"/>
  <c r="I76" i="10"/>
  <c r="I55" i="10"/>
  <c r="K141" i="10"/>
  <c r="D142" i="10"/>
  <c r="D122" i="10"/>
  <c r="G67" i="10"/>
  <c r="E216" i="10"/>
  <c r="E223" i="10"/>
  <c r="G144" i="10"/>
  <c r="E339" i="10"/>
  <c r="E256" i="10"/>
  <c r="E112" i="10"/>
  <c r="F336" i="10"/>
  <c r="H64" i="10"/>
  <c r="E343" i="10"/>
  <c r="E348" i="10"/>
  <c r="L64" i="10"/>
  <c r="G142" i="10"/>
  <c r="D70" i="10"/>
  <c r="J348" i="10"/>
  <c r="J153" i="10"/>
  <c r="G223" i="10"/>
  <c r="L93" i="10"/>
  <c r="L212" i="10"/>
  <c r="H132" i="10"/>
  <c r="I200" i="10"/>
  <c r="L238" i="10"/>
  <c r="H239" i="10"/>
  <c r="N144" i="14"/>
  <c r="E106" i="10"/>
  <c r="H344" i="10"/>
  <c r="H349" i="10"/>
  <c r="F100" i="10"/>
  <c r="G238" i="10"/>
  <c r="J64" i="10"/>
  <c r="G343" i="10"/>
  <c r="F339" i="10"/>
  <c r="E268" i="10"/>
  <c r="L70" i="10"/>
  <c r="D89" i="10"/>
  <c r="J88" i="10"/>
  <c r="M185" i="10"/>
  <c r="D297" i="10"/>
  <c r="E67" i="10"/>
  <c r="G339" i="10"/>
  <c r="G346" i="10"/>
  <c r="K64" i="10"/>
  <c r="F64" i="10"/>
  <c r="M55" i="10"/>
  <c r="G63" i="10"/>
  <c r="L120" i="10"/>
  <c r="M160" i="10"/>
  <c r="L345" i="10"/>
  <c r="M198" i="10"/>
  <c r="D153" i="10"/>
  <c r="H183" i="10"/>
  <c r="E93" i="10"/>
  <c r="E74" i="10"/>
  <c r="J74" i="10"/>
  <c r="J67" i="10"/>
  <c r="H74" i="10"/>
  <c r="I101" i="10"/>
  <c r="L342" i="10"/>
  <c r="L349" i="10"/>
  <c r="N236" i="14"/>
  <c r="L88" i="10"/>
  <c r="J55" i="10"/>
  <c r="K160" i="10"/>
  <c r="I64" i="10"/>
  <c r="M69" i="10"/>
  <c r="M89" i="10"/>
  <c r="K61" i="10"/>
  <c r="L160" i="10"/>
  <c r="F55" i="10"/>
  <c r="J110" i="10"/>
  <c r="D92" i="10"/>
  <c r="M339" i="10"/>
  <c r="I198" i="10"/>
  <c r="H338" i="10"/>
  <c r="M225" i="10"/>
  <c r="J215" i="10"/>
  <c r="E191" i="10"/>
  <c r="J318" i="10"/>
  <c r="G321" i="10"/>
  <c r="G178" i="10"/>
  <c r="G249" i="10"/>
  <c r="K257" i="10"/>
  <c r="J278" i="10"/>
  <c r="N207" i="14"/>
  <c r="N277" i="14"/>
  <c r="F279" i="10"/>
  <c r="I219" i="10"/>
  <c r="I339" i="10"/>
  <c r="M196" i="10"/>
  <c r="N343" i="14"/>
  <c r="E219" i="10"/>
  <c r="H301" i="10"/>
  <c r="N299" i="14"/>
  <c r="E278" i="10"/>
  <c r="G269" i="10"/>
  <c r="G342" i="10"/>
  <c r="G344" i="10"/>
  <c r="D235" i="10"/>
  <c r="F263" i="10"/>
  <c r="M249" i="10"/>
  <c r="H234" i="10"/>
  <c r="H196" i="10"/>
  <c r="K207" i="10"/>
  <c r="K339" i="10"/>
  <c r="E312" i="10"/>
  <c r="F236" i="10"/>
  <c r="J172" i="10"/>
  <c r="F342" i="10"/>
  <c r="F344" i="10"/>
  <c r="I274" i="10"/>
  <c r="M342" i="10"/>
  <c r="M344" i="10"/>
  <c r="I342" i="10"/>
  <c r="I344" i="10"/>
  <c r="N348" i="14"/>
  <c r="J183" i="10"/>
  <c r="K193" i="10"/>
  <c r="I257" i="10"/>
  <c r="H339" i="10"/>
  <c r="G329" i="10"/>
  <c r="J301" i="10"/>
  <c r="D206" i="10"/>
  <c r="M320" i="10"/>
  <c r="J263" i="10"/>
  <c r="D179" i="10"/>
  <c r="K342" i="10"/>
  <c r="M219" i="10"/>
  <c r="T372" i="14"/>
  <c r="T388" i="14"/>
  <c r="T365" i="14"/>
  <c r="T386" i="14"/>
  <c r="T363" i="14"/>
  <c r="T374" i="14"/>
  <c r="T357" i="14"/>
  <c r="T354" i="14"/>
  <c r="T382" i="14"/>
  <c r="T376" i="14"/>
  <c r="T387" i="14"/>
  <c r="T384" i="14"/>
  <c r="T389" i="14"/>
  <c r="T383" i="14"/>
  <c r="T362" i="14"/>
  <c r="T370" i="14"/>
  <c r="T369" i="14"/>
  <c r="T350" i="14"/>
  <c r="T359" i="14"/>
  <c r="T355" i="14"/>
  <c r="T379" i="14"/>
  <c r="T358" i="14"/>
  <c r="T375" i="14"/>
  <c r="T368" i="14"/>
  <c r="T364" i="14"/>
  <c r="T381" i="14"/>
  <c r="T367" i="14"/>
  <c r="T366" i="14"/>
  <c r="T356" i="14"/>
  <c r="T390" i="14"/>
  <c r="T385" i="14"/>
  <c r="T380" i="14"/>
  <c r="T371" i="14"/>
  <c r="T378" i="14"/>
  <c r="T373" i="14"/>
  <c r="T361" i="14"/>
  <c r="K24" i="10"/>
  <c r="G24" i="10"/>
  <c r="I24" i="10"/>
  <c r="E24" i="10"/>
  <c r="J219" i="10"/>
  <c r="M173" i="10"/>
  <c r="F226" i="10"/>
  <c r="F231" i="10"/>
  <c r="I144" i="10"/>
  <c r="L261" i="10"/>
  <c r="L231" i="10"/>
  <c r="F178" i="10"/>
  <c r="G285" i="10"/>
  <c r="H268" i="10"/>
  <c r="K178" i="10"/>
  <c r="J236" i="10"/>
  <c r="K319" i="10"/>
  <c r="I201" i="10"/>
  <c r="F225" i="10"/>
  <c r="F235" i="10"/>
  <c r="E206" i="10"/>
  <c r="I231" i="10"/>
  <c r="J316" i="10"/>
  <c r="N221" i="14"/>
  <c r="N284" i="14"/>
  <c r="N170" i="14"/>
  <c r="H195" i="10"/>
  <c r="N223" i="14"/>
  <c r="N193" i="14"/>
  <c r="N175" i="14"/>
  <c r="D283" i="10"/>
  <c r="I261" i="10"/>
  <c r="N318" i="14"/>
  <c r="L274" i="10"/>
  <c r="M232" i="10"/>
  <c r="I335" i="10"/>
  <c r="J77" i="10"/>
  <c r="D345" i="10"/>
  <c r="G336" i="10"/>
  <c r="G206" i="10"/>
  <c r="F345" i="10"/>
  <c r="M336" i="10"/>
  <c r="E247" i="10"/>
  <c r="N239" i="14"/>
  <c r="M338" i="10"/>
  <c r="E310" i="10"/>
  <c r="E195" i="10"/>
  <c r="H226" i="10"/>
  <c r="K316" i="10"/>
  <c r="M301" i="10"/>
  <c r="L167" i="10"/>
  <c r="D202" i="10"/>
  <c r="J337" i="10"/>
  <c r="N328" i="14"/>
  <c r="H267" i="10"/>
  <c r="F319" i="10"/>
  <c r="E336" i="10"/>
  <c r="J229" i="10"/>
  <c r="M247" i="10"/>
  <c r="F77" i="10"/>
  <c r="K336" i="10"/>
  <c r="G261" i="10"/>
  <c r="L338" i="10"/>
  <c r="H336" i="10"/>
  <c r="F310" i="10"/>
  <c r="J336" i="10"/>
  <c r="K320" i="10"/>
  <c r="K328" i="10"/>
  <c r="M316" i="10"/>
  <c r="H337" i="10"/>
  <c r="L284" i="10"/>
  <c r="G240" i="10"/>
  <c r="E285" i="10"/>
  <c r="H319" i="10"/>
  <c r="F215" i="10"/>
  <c r="D339" i="10"/>
  <c r="D344" i="10"/>
  <c r="J339" i="10"/>
  <c r="L339" i="10"/>
  <c r="L344" i="10"/>
  <c r="I336" i="10"/>
  <c r="H178" i="10"/>
  <c r="J261" i="10"/>
  <c r="D129" i="10"/>
  <c r="I268" i="10"/>
  <c r="F278" i="10"/>
  <c r="K223" i="10"/>
  <c r="J267" i="10"/>
  <c r="D284" i="10"/>
  <c r="E258" i="10"/>
  <c r="I284" i="10"/>
  <c r="E201" i="10"/>
  <c r="H170" i="10"/>
  <c r="L285" i="10"/>
  <c r="I232" i="10"/>
  <c r="E314" i="10"/>
  <c r="M258" i="10"/>
  <c r="K249" i="10"/>
  <c r="I267" i="10"/>
  <c r="N234" i="14"/>
  <c r="N285" i="14"/>
  <c r="E284" i="10"/>
  <c r="N258" i="14"/>
  <c r="F193" i="10"/>
  <c r="F294" i="10"/>
  <c r="J224" i="10"/>
  <c r="N259" i="14"/>
  <c r="D301" i="10"/>
  <c r="N271" i="14"/>
  <c r="N189" i="14"/>
  <c r="H222" i="10"/>
  <c r="M296" i="10"/>
  <c r="N329" i="14"/>
  <c r="K201" i="10"/>
  <c r="K310" i="10"/>
  <c r="D256" i="10"/>
  <c r="E213" i="10"/>
  <c r="N336" i="14"/>
  <c r="L314" i="10"/>
  <c r="H314" i="10"/>
  <c r="G314" i="10"/>
  <c r="J312" i="10"/>
  <c r="H263" i="10"/>
  <c r="H294" i="10"/>
  <c r="L271" i="10"/>
  <c r="K279" i="10"/>
  <c r="H213" i="10"/>
  <c r="E279" i="10"/>
  <c r="E324" i="10"/>
  <c r="I192" i="10"/>
  <c r="J314" i="10"/>
  <c r="M279" i="10"/>
  <c r="J294" i="10"/>
  <c r="E271" i="10"/>
  <c r="F229" i="10"/>
  <c r="L322" i="10"/>
  <c r="D201" i="10"/>
  <c r="K278" i="10"/>
  <c r="K288" i="10"/>
  <c r="I291" i="10"/>
  <c r="L236" i="10"/>
  <c r="G337" i="10"/>
  <c r="I337" i="10"/>
  <c r="K311" i="10"/>
  <c r="E193" i="10"/>
  <c r="F192" i="10"/>
  <c r="I205" i="10"/>
  <c r="L294" i="10"/>
  <c r="I213" i="10"/>
  <c r="I250" i="10"/>
  <c r="H278" i="10"/>
  <c r="H288" i="10"/>
  <c r="I226" i="10"/>
  <c r="K243" i="10"/>
  <c r="M254" i="10"/>
  <c r="M337" i="10"/>
  <c r="D243" i="10"/>
  <c r="I173" i="10"/>
  <c r="K337" i="10"/>
  <c r="G171" i="10"/>
  <c r="D310" i="10"/>
  <c r="E318" i="10"/>
  <c r="G256" i="10"/>
  <c r="J204" i="10"/>
  <c r="I314" i="10"/>
  <c r="I256" i="10"/>
  <c r="F320" i="10"/>
  <c r="D314" i="10"/>
  <c r="L337" i="10"/>
  <c r="G322" i="10"/>
  <c r="I271" i="10"/>
  <c r="D279" i="10"/>
  <c r="G253" i="10"/>
  <c r="K171" i="10"/>
  <c r="L233" i="10"/>
  <c r="K156" i="10"/>
  <c r="D185" i="10"/>
  <c r="I119" i="10"/>
  <c r="D224" i="10"/>
  <c r="K285" i="10"/>
  <c r="E104" i="10"/>
  <c r="G97" i="10"/>
  <c r="L156" i="10"/>
  <c r="F155" i="10"/>
  <c r="K108" i="10"/>
  <c r="L307" i="10"/>
  <c r="H91" i="10"/>
  <c r="D213" i="10"/>
  <c r="N93" i="14"/>
  <c r="M178" i="10"/>
  <c r="E110" i="10"/>
  <c r="N188" i="14"/>
  <c r="G156" i="10"/>
  <c r="F213" i="10"/>
  <c r="N266" i="14"/>
  <c r="M253" i="10"/>
  <c r="I230" i="10"/>
  <c r="I224" i="10"/>
  <c r="N166" i="14"/>
  <c r="K93" i="10"/>
  <c r="D167" i="10"/>
  <c r="F97" i="10"/>
  <c r="J311" i="10"/>
  <c r="G213" i="10"/>
  <c r="M156" i="10"/>
  <c r="G167" i="10"/>
  <c r="N321" i="14"/>
  <c r="K167" i="10"/>
  <c r="N267" i="14"/>
  <c r="H173" i="10"/>
  <c r="G124" i="10"/>
  <c r="G292" i="10"/>
  <c r="H101" i="10"/>
  <c r="F268" i="10"/>
  <c r="H219" i="10"/>
  <c r="N276" i="14"/>
  <c r="H225" i="10"/>
  <c r="M171" i="10"/>
  <c r="N111" i="14"/>
  <c r="H119" i="10"/>
  <c r="N256" i="14"/>
  <c r="N216" i="14"/>
  <c r="K224" i="10"/>
  <c r="K203" i="10"/>
  <c r="I319" i="10"/>
  <c r="N157" i="14"/>
  <c r="D267" i="10"/>
  <c r="D337" i="10"/>
  <c r="L224" i="10"/>
  <c r="M87" i="10"/>
  <c r="G229" i="10"/>
  <c r="D156" i="10"/>
  <c r="I156" i="10"/>
  <c r="J171" i="10"/>
  <c r="H171" i="10"/>
  <c r="M324" i="10"/>
  <c r="M308" i="10"/>
  <c r="I311" i="10"/>
  <c r="J167" i="10"/>
  <c r="L91" i="10"/>
  <c r="F156" i="10"/>
  <c r="L263" i="10"/>
  <c r="K225" i="10"/>
  <c r="H308" i="10"/>
  <c r="M297" i="10"/>
  <c r="J203" i="10"/>
  <c r="E228" i="10"/>
  <c r="J326" i="10"/>
  <c r="K95" i="10"/>
  <c r="N228" i="14"/>
  <c r="G224" i="10"/>
  <c r="M326" i="10"/>
  <c r="N232" i="14"/>
  <c r="M328" i="10"/>
  <c r="M335" i="10"/>
  <c r="H142" i="10"/>
  <c r="K183" i="10"/>
  <c r="I296" i="10"/>
  <c r="M93" i="10"/>
  <c r="L193" i="10"/>
  <c r="G252" i="10"/>
  <c r="F191" i="10"/>
  <c r="M155" i="10"/>
  <c r="M239" i="10"/>
  <c r="E321" i="10"/>
  <c r="G268" i="10"/>
  <c r="I125" i="10"/>
  <c r="I191" i="10"/>
  <c r="D285" i="10"/>
  <c r="K89" i="10"/>
  <c r="G183" i="10"/>
  <c r="J319" i="10"/>
  <c r="J296" i="10"/>
  <c r="K253" i="10"/>
  <c r="E311" i="10"/>
  <c r="D336" i="10"/>
  <c r="I326" i="10"/>
  <c r="J156" i="10"/>
  <c r="F267" i="10"/>
  <c r="E319" i="10"/>
  <c r="E156" i="10"/>
  <c r="F91" i="10"/>
  <c r="E155" i="10"/>
  <c r="D317" i="10"/>
  <c r="D324" i="10"/>
  <c r="G324" i="10"/>
  <c r="E183" i="10"/>
  <c r="J308" i="10"/>
  <c r="L326" i="10"/>
  <c r="L333" i="10"/>
  <c r="F203" i="10"/>
  <c r="J86" i="10"/>
  <c r="L336" i="10"/>
  <c r="F291" i="10"/>
  <c r="F337" i="10"/>
  <c r="F105" i="10"/>
  <c r="F112" i="10"/>
  <c r="E171" i="10"/>
  <c r="F324" i="10"/>
  <c r="L191" i="10"/>
  <c r="M285" i="10"/>
  <c r="G203" i="10"/>
  <c r="M263" i="10"/>
  <c r="E326" i="10"/>
  <c r="J213" i="10"/>
  <c r="G267" i="10"/>
  <c r="H291" i="10"/>
  <c r="I195" i="10"/>
  <c r="I91" i="10"/>
  <c r="E86" i="10"/>
  <c r="I324" i="10"/>
  <c r="H321" i="10"/>
  <c r="H328" i="10"/>
  <c r="J324" i="10"/>
  <c r="I171" i="10"/>
  <c r="N308" i="14"/>
  <c r="F171" i="10"/>
  <c r="L297" i="10"/>
  <c r="L328" i="10"/>
  <c r="L335" i="10"/>
  <c r="E113" i="10"/>
  <c r="E115" i="10"/>
  <c r="G288" i="10"/>
  <c r="H326" i="10"/>
  <c r="H333" i="10"/>
  <c r="G298" i="10"/>
  <c r="H285" i="10"/>
  <c r="L267" i="10"/>
  <c r="H311" i="10"/>
  <c r="E226" i="10"/>
  <c r="D87" i="10"/>
  <c r="K247" i="10"/>
  <c r="K307" i="10"/>
  <c r="D232" i="10"/>
  <c r="I132" i="10"/>
  <c r="K200" i="10"/>
  <c r="J97" i="10"/>
  <c r="J106" i="10"/>
  <c r="M106" i="10"/>
  <c r="I158" i="10"/>
  <c r="L200" i="10"/>
  <c r="I129" i="10"/>
  <c r="N201" i="14"/>
  <c r="N178" i="14"/>
  <c r="I89" i="10"/>
  <c r="G95" i="10"/>
  <c r="N132" i="14"/>
  <c r="L249" i="10"/>
  <c r="N152" i="14"/>
  <c r="N154" i="14"/>
  <c r="N319" i="14"/>
  <c r="J226" i="10"/>
  <c r="F104" i="10"/>
  <c r="N261" i="14"/>
  <c r="N306" i="14"/>
  <c r="G304" i="10"/>
  <c r="N124" i="14"/>
  <c r="N185" i="14"/>
  <c r="N247" i="14"/>
  <c r="N200" i="14"/>
  <c r="N312" i="14"/>
  <c r="D171" i="10"/>
  <c r="N251" i="14"/>
  <c r="N97" i="14"/>
  <c r="N275" i="14"/>
  <c r="N252" i="14"/>
  <c r="N301" i="14"/>
  <c r="K97" i="10"/>
  <c r="F89" i="10"/>
  <c r="J143" i="10"/>
  <c r="M97" i="10"/>
  <c r="N136" i="14"/>
  <c r="N314" i="14"/>
  <c r="M222" i="10"/>
  <c r="I97" i="10"/>
  <c r="K98" i="10"/>
  <c r="H97" i="10"/>
  <c r="G226" i="10"/>
  <c r="L251" i="10"/>
  <c r="D223" i="10"/>
  <c r="N85" i="14"/>
  <c r="N229" i="14"/>
  <c r="D143" i="10"/>
  <c r="H84" i="10"/>
  <c r="H89" i="10"/>
  <c r="L213" i="10"/>
  <c r="M312" i="10"/>
  <c r="N320" i="14"/>
  <c r="E89" i="10"/>
  <c r="N91" i="14"/>
  <c r="N191" i="14"/>
  <c r="N213" i="14"/>
  <c r="K84" i="10"/>
  <c r="I283" i="10"/>
  <c r="K106" i="10"/>
  <c r="N150" i="14"/>
  <c r="I95" i="10"/>
  <c r="N313" i="14"/>
  <c r="F224" i="10"/>
  <c r="D304" i="10"/>
  <c r="F95" i="10"/>
  <c r="E301" i="10"/>
  <c r="L173" i="10"/>
  <c r="J256" i="10"/>
  <c r="J84" i="10"/>
  <c r="N109" i="14"/>
  <c r="K91" i="10"/>
  <c r="E84" i="10"/>
  <c r="F239" i="10"/>
  <c r="M85" i="10"/>
  <c r="L97" i="10"/>
  <c r="M101" i="10"/>
  <c r="L98" i="10"/>
  <c r="N116" i="14"/>
  <c r="G100" i="10"/>
  <c r="K308" i="10"/>
  <c r="H228" i="10"/>
  <c r="H243" i="10"/>
  <c r="G228" i="10"/>
  <c r="M91" i="10"/>
  <c r="N142" i="14"/>
  <c r="F261" i="10"/>
  <c r="L89" i="10"/>
  <c r="M200" i="10"/>
  <c r="I312" i="10"/>
  <c r="M213" i="10"/>
  <c r="M92" i="10"/>
  <c r="N225" i="14"/>
  <c r="L158" i="10"/>
  <c r="J228" i="10"/>
  <c r="J243" i="10"/>
  <c r="N153" i="14"/>
  <c r="F277" i="10"/>
  <c r="L84" i="10"/>
  <c r="G200" i="10"/>
  <c r="M110" i="10"/>
  <c r="M115" i="10"/>
  <c r="G158" i="10"/>
  <c r="D85" i="10"/>
  <c r="F108" i="10"/>
  <c r="F249" i="10"/>
  <c r="F129" i="10"/>
  <c r="D239" i="10"/>
  <c r="D200" i="10"/>
  <c r="E204" i="10"/>
  <c r="F195" i="10"/>
  <c r="L255" i="10"/>
  <c r="L208" i="10"/>
  <c r="D261" i="10"/>
  <c r="D166" i="10"/>
  <c r="D253" i="10"/>
  <c r="F285" i="10"/>
  <c r="H261" i="10"/>
  <c r="H217" i="10"/>
  <c r="G160" i="10"/>
  <c r="G198" i="10"/>
  <c r="G205" i="10"/>
  <c r="E196" i="10"/>
  <c r="D219" i="10"/>
  <c r="D228" i="10"/>
  <c r="G148" i="10"/>
  <c r="G153" i="10"/>
  <c r="D249" i="10"/>
  <c r="F166" i="10"/>
  <c r="G130" i="10"/>
  <c r="E232" i="10"/>
  <c r="H129" i="10"/>
  <c r="H130" i="10"/>
  <c r="G170" i="10"/>
  <c r="G175" i="10"/>
  <c r="E299" i="10"/>
  <c r="M318" i="10"/>
  <c r="D240" i="10"/>
  <c r="D250" i="10"/>
  <c r="D183" i="10"/>
  <c r="D188" i="10"/>
  <c r="D233" i="10"/>
  <c r="D113" i="10"/>
  <c r="D168" i="10"/>
  <c r="D271" i="10"/>
  <c r="D320" i="10"/>
  <c r="D244" i="10"/>
  <c r="D254" i="10"/>
  <c r="D231" i="10"/>
  <c r="D175" i="10"/>
  <c r="D106" i="10"/>
  <c r="D292" i="10"/>
  <c r="D130" i="10"/>
  <c r="D198" i="10"/>
  <c r="D205" i="10"/>
  <c r="D245" i="10"/>
  <c r="D136" i="10"/>
  <c r="D258" i="10"/>
  <c r="D268" i="10"/>
  <c r="D170" i="10"/>
  <c r="D144" i="10"/>
  <c r="D148" i="10"/>
  <c r="D203" i="10"/>
  <c r="D211" i="10"/>
  <c r="D192" i="10"/>
  <c r="D252" i="10"/>
  <c r="G295" i="10"/>
  <c r="G308" i="10"/>
  <c r="E125" i="10"/>
  <c r="F219" i="10"/>
  <c r="F145" i="10"/>
  <c r="F150" i="10"/>
  <c r="G147" i="10"/>
  <c r="G152" i="10"/>
  <c r="M208" i="10"/>
  <c r="M216" i="10"/>
  <c r="D308" i="10"/>
  <c r="F154" i="10"/>
  <c r="F130" i="10"/>
  <c r="G204" i="10"/>
  <c r="E276" i="10"/>
  <c r="E239" i="10"/>
  <c r="E249" i="10"/>
  <c r="E143" i="10"/>
  <c r="E147" i="10"/>
  <c r="H318" i="10"/>
  <c r="F247" i="10"/>
  <c r="F257" i="10"/>
  <c r="G195" i="10"/>
  <c r="G201" i="10"/>
  <c r="M217" i="10"/>
  <c r="H295" i="10"/>
  <c r="M256" i="10"/>
  <c r="E217" i="10"/>
  <c r="H114" i="10"/>
  <c r="H115" i="10"/>
  <c r="H276" i="10"/>
  <c r="H287" i="10"/>
  <c r="H244" i="10"/>
  <c r="H254" i="10"/>
  <c r="F301" i="10"/>
  <c r="F198" i="10"/>
  <c r="F205" i="10"/>
  <c r="E257" i="10"/>
  <c r="E244" i="10"/>
  <c r="E254" i="10"/>
  <c r="F306" i="10"/>
  <c r="F321" i="10"/>
  <c r="E231" i="10"/>
  <c r="H160" i="10"/>
  <c r="H112" i="10"/>
  <c r="H113" i="10"/>
  <c r="H141" i="10"/>
  <c r="F122" i="10"/>
  <c r="G247" i="10"/>
  <c r="G257" i="10"/>
  <c r="G232" i="10"/>
  <c r="M304" i="10"/>
  <c r="M319" i="10"/>
  <c r="H204" i="10"/>
  <c r="F244" i="10"/>
  <c r="F254" i="10"/>
  <c r="E292" i="10"/>
  <c r="E207" i="10"/>
  <c r="E302" i="10"/>
  <c r="E317" i="10"/>
  <c r="G244" i="10"/>
  <c r="G254" i="10"/>
  <c r="H245" i="10"/>
  <c r="H255" i="10"/>
  <c r="G317" i="10"/>
  <c r="H247" i="10"/>
  <c r="H257" i="10"/>
  <c r="F106" i="10"/>
  <c r="F228" i="10"/>
  <c r="G154" i="10"/>
  <c r="F252" i="10"/>
  <c r="H256" i="10"/>
  <c r="H292" i="10"/>
  <c r="F144" i="10"/>
  <c r="F148" i="10"/>
  <c r="F208" i="10"/>
  <c r="F216" i="10"/>
  <c r="F276" i="10"/>
  <c r="G115" i="10"/>
  <c r="E131" i="10"/>
  <c r="E308" i="10"/>
  <c r="E120" i="10"/>
  <c r="F292" i="10"/>
  <c r="F233" i="10"/>
  <c r="F232" i="10"/>
  <c r="E252" i="10"/>
  <c r="G277" i="10"/>
  <c r="M204" i="10"/>
  <c r="M212" i="10"/>
  <c r="F143" i="10"/>
  <c r="F147" i="10"/>
  <c r="E108" i="10"/>
  <c r="E109" i="10"/>
  <c r="M291" i="10"/>
  <c r="D278" i="10"/>
  <c r="H279" i="10"/>
  <c r="F188" i="10"/>
  <c r="F160" i="10"/>
  <c r="D238" i="10"/>
  <c r="M245" i="10"/>
  <c r="M255" i="10"/>
  <c r="E173" i="10"/>
  <c r="D111" i="10"/>
  <c r="D112" i="10"/>
  <c r="G196" i="10"/>
  <c r="M302" i="10"/>
  <c r="M317" i="10"/>
  <c r="F295" i="10"/>
  <c r="F308" i="10"/>
  <c r="G216" i="10"/>
  <c r="G225" i="10"/>
  <c r="M143" i="10"/>
  <c r="M147" i="10"/>
  <c r="F259" i="10"/>
  <c r="H166" i="10"/>
  <c r="G263" i="10"/>
  <c r="E168" i="10"/>
  <c r="G231" i="10"/>
  <c r="F136" i="10"/>
  <c r="F230" i="10"/>
  <c r="E198" i="10"/>
  <c r="E205" i="10"/>
  <c r="E170" i="10"/>
  <c r="E175" i="10"/>
  <c r="E234" i="10"/>
  <c r="E243" i="10"/>
  <c r="E148" i="10"/>
  <c r="E153" i="10"/>
  <c r="F163" i="10"/>
  <c r="F168" i="10"/>
  <c r="F196" i="10"/>
  <c r="G132" i="10"/>
  <c r="G133" i="10"/>
  <c r="M203" i="10"/>
  <c r="E179" i="10"/>
  <c r="E184" i="10"/>
  <c r="G163" i="10"/>
  <c r="G168" i="10"/>
  <c r="H163" i="10"/>
  <c r="H168" i="10"/>
  <c r="H203" i="10"/>
  <c r="H211" i="10"/>
  <c r="H302" i="10"/>
  <c r="H297" i="10"/>
  <c r="H312" i="10"/>
  <c r="H133" i="10"/>
  <c r="H212" i="10"/>
  <c r="F256" i="10"/>
  <c r="E224" i="10"/>
  <c r="E233" i="10"/>
  <c r="G245" i="10"/>
  <c r="G255" i="10"/>
  <c r="E245" i="10"/>
  <c r="E253" i="10"/>
  <c r="M261" i="10"/>
  <c r="M271" i="10"/>
  <c r="H126" i="10"/>
  <c r="F184" i="10"/>
  <c r="G296" i="10"/>
  <c r="G192" i="10"/>
  <c r="H252" i="10"/>
  <c r="H157" i="10"/>
  <c r="H162" i="10"/>
  <c r="M233" i="10"/>
  <c r="G219" i="10"/>
  <c r="G119" i="10"/>
  <c r="G120" i="10"/>
  <c r="G233" i="10"/>
  <c r="F201" i="10"/>
  <c r="G278" i="10"/>
  <c r="E266" i="10"/>
  <c r="E277" i="10"/>
  <c r="H266" i="10"/>
  <c r="H277" i="10"/>
  <c r="F271" i="10"/>
  <c r="M267" i="10"/>
  <c r="M278" i="10"/>
  <c r="M129" i="10"/>
  <c r="M130" i="10"/>
  <c r="M144" i="10"/>
  <c r="M148" i="10"/>
  <c r="M166" i="10"/>
  <c r="M170" i="10"/>
  <c r="M136" i="10"/>
  <c r="M244" i="10"/>
  <c r="M189" i="10"/>
  <c r="M195" i="10"/>
  <c r="M231" i="10"/>
  <c r="M131" i="10"/>
  <c r="M132" i="10"/>
  <c r="M112" i="10"/>
  <c r="M113" i="10"/>
  <c r="M240" i="10"/>
  <c r="M163" i="10"/>
  <c r="M168" i="10"/>
  <c r="M292" i="10"/>
  <c r="M295" i="10"/>
  <c r="M252" i="10"/>
  <c r="M238" i="10"/>
  <c r="M111" i="10"/>
  <c r="N297" i="14"/>
  <c r="N292" i="14"/>
  <c r="N203" i="14"/>
  <c r="N163" i="14"/>
  <c r="N253" i="14"/>
  <c r="N196" i="14"/>
  <c r="N89" i="14"/>
  <c r="N317" i="14"/>
  <c r="N304" i="14"/>
  <c r="N204" i="14"/>
  <c r="N130" i="14"/>
  <c r="N294" i="14"/>
  <c r="N31" i="14"/>
  <c r="N173" i="14"/>
  <c r="N217" i="14"/>
  <c r="N133" i="14"/>
  <c r="N138" i="14"/>
  <c r="N120" i="14"/>
  <c r="N244" i="14"/>
  <c r="N255" i="14"/>
  <c r="N305" i="14"/>
  <c r="N155" i="14"/>
  <c r="N29" i="14"/>
  <c r="N254" i="14"/>
  <c r="N84" i="14"/>
  <c r="N82" i="14"/>
  <c r="N43" i="14"/>
  <c r="N131" i="14"/>
  <c r="N147" i="14"/>
  <c r="N180" i="14"/>
  <c r="N192" i="14"/>
  <c r="N35" i="14"/>
  <c r="N135" i="14"/>
  <c r="G1" i="18"/>
  <c r="I163" i="10"/>
  <c r="I168" i="10"/>
  <c r="I204" i="10"/>
  <c r="I233" i="10"/>
  <c r="I112" i="10"/>
  <c r="I113" i="10"/>
  <c r="I228" i="10"/>
  <c r="K244" i="10"/>
  <c r="K254" i="10"/>
  <c r="L129" i="10"/>
  <c r="L130" i="10"/>
  <c r="J122" i="10"/>
  <c r="J276" i="10"/>
  <c r="I245" i="10"/>
  <c r="I255" i="10"/>
  <c r="I148" i="10"/>
  <c r="I153" i="10"/>
  <c r="J196" i="10"/>
  <c r="I238" i="10"/>
  <c r="K277" i="10"/>
  <c r="L195" i="10"/>
  <c r="L253" i="10"/>
  <c r="K228" i="10"/>
  <c r="K284" i="10"/>
  <c r="K196" i="10"/>
  <c r="L163" i="10"/>
  <c r="L198" i="10"/>
  <c r="L205" i="10"/>
  <c r="J178" i="10"/>
  <c r="J277" i="10"/>
  <c r="L142" i="10"/>
  <c r="K204" i="10"/>
  <c r="J247" i="10"/>
  <c r="J257" i="10"/>
  <c r="L170" i="10"/>
  <c r="L175" i="10"/>
  <c r="K111" i="10"/>
  <c r="K112" i="10"/>
  <c r="K318" i="10"/>
  <c r="I170" i="10"/>
  <c r="K291" i="10"/>
  <c r="K163" i="10"/>
  <c r="K168" i="10"/>
  <c r="K154" i="10"/>
  <c r="I178" i="10"/>
  <c r="I183" i="10"/>
  <c r="J200" i="10"/>
  <c r="I196" i="10"/>
  <c r="I160" i="10"/>
  <c r="K252" i="10"/>
  <c r="K233" i="10"/>
  <c r="L252" i="10"/>
  <c r="I130" i="10"/>
  <c r="J136" i="10"/>
  <c r="K245" i="10"/>
  <c r="K255" i="10"/>
  <c r="L318" i="10"/>
  <c r="J302" i="10"/>
  <c r="J317" i="10"/>
  <c r="J119" i="10"/>
  <c r="J120" i="10"/>
  <c r="J252" i="10"/>
  <c r="J280" i="10"/>
  <c r="J230" i="10"/>
  <c r="J292" i="10"/>
  <c r="J198" i="10"/>
  <c r="J205" i="10"/>
  <c r="J166" i="10"/>
  <c r="J170" i="10"/>
  <c r="J124" i="10"/>
  <c r="J163" i="10"/>
  <c r="J168" i="10"/>
  <c r="J295" i="10"/>
  <c r="J144" i="10"/>
  <c r="J148" i="10"/>
  <c r="J160" i="10"/>
  <c r="J206" i="10"/>
  <c r="I217" i="10"/>
  <c r="L240" i="10"/>
  <c r="L250" i="10"/>
  <c r="L148" i="10"/>
  <c r="L217" i="10"/>
  <c r="L141" i="10"/>
  <c r="L254" i="10"/>
  <c r="L219" i="10"/>
  <c r="L122" i="10"/>
  <c r="L150" i="10"/>
  <c r="L155" i="10"/>
  <c r="L111" i="10"/>
  <c r="L112" i="10"/>
  <c r="L178" i="10"/>
  <c r="L183" i="10"/>
  <c r="L319" i="10"/>
  <c r="J208" i="10"/>
  <c r="L204" i="10"/>
  <c r="K258" i="10"/>
  <c r="K268" i="10"/>
  <c r="K198" i="10"/>
  <c r="K205" i="10"/>
  <c r="I292" i="10"/>
  <c r="I222" i="10"/>
  <c r="L256" i="10"/>
  <c r="I122" i="10"/>
  <c r="I280" i="10"/>
  <c r="I275" i="10"/>
  <c r="I243" i="10"/>
  <c r="I253" i="10"/>
  <c r="I318" i="10"/>
  <c r="J245" i="10"/>
  <c r="J255" i="10"/>
  <c r="K231" i="10"/>
  <c r="J249" i="10"/>
  <c r="J259" i="10"/>
  <c r="I316" i="10"/>
  <c r="L258" i="10"/>
  <c r="J130" i="10"/>
  <c r="K192" i="10"/>
  <c r="L291" i="10"/>
  <c r="J154" i="10"/>
  <c r="I252" i="10"/>
  <c r="K179" i="10"/>
  <c r="K217" i="10"/>
  <c r="K216" i="10"/>
  <c r="K144" i="10"/>
  <c r="K148" i="10"/>
  <c r="K232" i="10"/>
  <c r="K292" i="10"/>
  <c r="K261" i="10"/>
  <c r="K271" i="10"/>
  <c r="K213" i="10"/>
  <c r="K230" i="10"/>
  <c r="K129" i="10"/>
  <c r="K130" i="10"/>
  <c r="L180" i="10"/>
  <c r="L185" i="10"/>
  <c r="I215" i="10"/>
  <c r="I223" i="10"/>
  <c r="J195" i="10"/>
  <c r="J201" i="10"/>
  <c r="L320" i="10"/>
  <c r="J299" i="10"/>
  <c r="J233" i="10"/>
  <c r="L298" i="10"/>
  <c r="K166" i="10"/>
  <c r="L216" i="10"/>
  <c r="L225" i="10"/>
  <c r="I263" i="10"/>
  <c r="I299" i="10"/>
  <c r="I295" i="10"/>
  <c r="I308" i="10"/>
  <c r="K115" i="10"/>
  <c r="J231" i="10"/>
  <c r="I317" i="10"/>
  <c r="K132" i="10"/>
  <c r="K133" i="10"/>
  <c r="K195" i="10"/>
  <c r="K256" i="10"/>
  <c r="K170" i="10"/>
  <c r="L302" i="10"/>
  <c r="L317" i="10"/>
  <c r="I298" i="10"/>
  <c r="K314" i="10"/>
  <c r="L299" i="10"/>
  <c r="K219" i="10"/>
  <c r="K240" i="10"/>
  <c r="K250" i="10"/>
  <c r="K302" i="10"/>
  <c r="K317" i="10"/>
  <c r="I208" i="10"/>
  <c r="I216" i="10"/>
  <c r="I126" i="10"/>
  <c r="I251" i="10"/>
  <c r="N299" i="10"/>
  <c r="N236" i="10"/>
  <c r="N67" i="10"/>
  <c r="N307" i="10"/>
  <c r="N144" i="10"/>
  <c r="N277" i="10"/>
  <c r="N207" i="10"/>
  <c r="N95" i="10"/>
  <c r="N64" i="10"/>
  <c r="N183" i="10"/>
  <c r="N231" i="10"/>
  <c r="N101" i="10"/>
  <c r="N198" i="10"/>
  <c r="N113" i="10"/>
  <c r="N343" i="10"/>
  <c r="S231" i="14"/>
  <c r="Q183" i="14"/>
  <c r="O193" i="14"/>
  <c r="S284" i="14"/>
  <c r="O144" i="14"/>
  <c r="Q121" i="14"/>
  <c r="N291" i="10"/>
  <c r="Q144" i="14"/>
  <c r="P243" i="14"/>
  <c r="S162" i="14"/>
  <c r="O150" i="14"/>
  <c r="O64" i="14"/>
  <c r="Q142" i="14"/>
  <c r="Q55" i="14"/>
  <c r="P144" i="14"/>
  <c r="P70" i="14"/>
  <c r="S136" i="14"/>
  <c r="S150" i="14"/>
  <c r="O284" i="14"/>
  <c r="P150" i="14"/>
  <c r="S138" i="14"/>
  <c r="P157" i="14"/>
  <c r="Q267" i="14"/>
  <c r="P213" i="14"/>
  <c r="O62" i="14"/>
  <c r="Q89" i="14"/>
  <c r="Q243" i="14"/>
  <c r="Q275" i="14"/>
  <c r="P236" i="14"/>
  <c r="P354" i="14"/>
  <c r="S185" i="14"/>
  <c r="P326" i="14"/>
  <c r="Q235" i="14"/>
  <c r="N337" i="10"/>
  <c r="N342" i="10"/>
  <c r="Q225" i="14"/>
  <c r="P231" i="14"/>
  <c r="S257" i="14"/>
  <c r="S243" i="14"/>
  <c r="O109" i="14"/>
  <c r="O354" i="14"/>
  <c r="P317" i="14"/>
  <c r="S304" i="14"/>
  <c r="Q101" i="14"/>
  <c r="Q312" i="14"/>
  <c r="Q64" i="14"/>
  <c r="P101" i="14"/>
  <c r="S54" i="14"/>
  <c r="S78" i="14"/>
  <c r="S89" i="14"/>
  <c r="N243" i="10"/>
  <c r="Q345" i="14"/>
  <c r="P291" i="14"/>
  <c r="P225" i="14"/>
  <c r="Q212" i="14"/>
  <c r="S280" i="14"/>
  <c r="Q354" i="14"/>
  <c r="P95" i="14"/>
  <c r="Q178" i="14"/>
  <c r="S128" i="14"/>
  <c r="O136" i="14"/>
  <c r="O188" i="14"/>
  <c r="Q291" i="14"/>
  <c r="P160" i="14"/>
  <c r="S348" i="14"/>
  <c r="S144" i="14"/>
  <c r="Q129" i="14"/>
  <c r="N283" i="10"/>
  <c r="Q349" i="14"/>
  <c r="O69" i="14"/>
  <c r="S335" i="14"/>
  <c r="S238" i="14"/>
  <c r="Q252" i="14"/>
  <c r="S178" i="14"/>
  <c r="Q280" i="14"/>
  <c r="P188" i="14"/>
  <c r="S265" i="14"/>
  <c r="N348" i="10"/>
  <c r="N354" i="10"/>
  <c r="O349" i="14"/>
  <c r="Q188" i="14"/>
  <c r="P335" i="14"/>
  <c r="P251" i="14"/>
  <c r="S102" i="14"/>
  <c r="P89" i="14"/>
  <c r="O236" i="14"/>
  <c r="S85" i="14"/>
  <c r="Q61" i="14"/>
  <c r="S63" i="14"/>
  <c r="O104" i="14"/>
  <c r="P138" i="14"/>
  <c r="S345" i="14"/>
  <c r="Q149" i="14"/>
  <c r="P313" i="14"/>
  <c r="P217" i="14"/>
  <c r="Q138" i="14"/>
  <c r="P61" i="14"/>
  <c r="P132" i="14"/>
  <c r="P63" i="14"/>
  <c r="S121" i="14"/>
  <c r="R291" i="14"/>
  <c r="R63" i="14"/>
  <c r="R121" i="14"/>
  <c r="R231" i="14"/>
  <c r="R183" i="14"/>
  <c r="R341" i="14"/>
  <c r="R77" i="14"/>
  <c r="R243" i="14"/>
  <c r="R129" i="14"/>
  <c r="R142" i="14"/>
  <c r="R85" i="14"/>
  <c r="R138" i="14"/>
  <c r="R136" i="14"/>
  <c r="R326" i="14"/>
  <c r="R89" i="14"/>
  <c r="R236" i="14"/>
  <c r="T136" i="14"/>
  <c r="T291" i="14"/>
  <c r="T138" i="14"/>
  <c r="T225" i="14"/>
  <c r="T150" i="14"/>
  <c r="T326" i="14"/>
  <c r="T89" i="14"/>
  <c r="T266" i="14"/>
  <c r="T93" i="14"/>
  <c r="T70" i="14"/>
  <c r="T63" i="14"/>
  <c r="T95" i="14"/>
  <c r="T102" i="14"/>
  <c r="T280" i="14"/>
  <c r="T124" i="14"/>
  <c r="T243" i="14"/>
  <c r="T344" i="14"/>
  <c r="T183" i="14"/>
  <c r="T61" i="14"/>
  <c r="T212" i="14"/>
  <c r="T132" i="14"/>
  <c r="R354" i="14"/>
  <c r="P355" i="14"/>
  <c r="T266" i="10"/>
  <c r="T326" i="10"/>
  <c r="T344" i="10"/>
  <c r="T307" i="10"/>
  <c r="T179" i="14"/>
  <c r="T318" i="14"/>
  <c r="T301" i="14"/>
  <c r="T216" i="14"/>
  <c r="T276" i="14"/>
  <c r="T336" i="14"/>
  <c r="T321" i="14"/>
  <c r="T223" i="14"/>
  <c r="T339" i="14"/>
  <c r="O343" i="14"/>
  <c r="Q281" i="14"/>
  <c r="S295" i="14"/>
  <c r="P339" i="14"/>
  <c r="P321" i="14"/>
  <c r="O223" i="14"/>
  <c r="Q320" i="14"/>
  <c r="O233" i="14"/>
  <c r="Q233" i="14"/>
  <c r="P265" i="14"/>
  <c r="S236" i="14"/>
  <c r="O191" i="14"/>
  <c r="S325" i="14"/>
  <c r="S339" i="14"/>
  <c r="Q295" i="14"/>
  <c r="O250" i="14"/>
  <c r="Q253" i="14"/>
  <c r="P345" i="14"/>
  <c r="P234" i="14"/>
  <c r="P348" i="14"/>
  <c r="P183" i="14"/>
  <c r="Q207" i="14"/>
  <c r="Q223" i="14"/>
  <c r="P229" i="14"/>
  <c r="S183" i="14"/>
  <c r="S318" i="14"/>
  <c r="Q325" i="14"/>
  <c r="Q343" i="14"/>
  <c r="S253" i="14"/>
  <c r="P271" i="14"/>
  <c r="P215" i="14"/>
  <c r="O265" i="14"/>
  <c r="Q229" i="14"/>
  <c r="Q265" i="14"/>
  <c r="O215" i="14"/>
  <c r="P223" i="14"/>
  <c r="P261" i="14"/>
  <c r="O207" i="14"/>
  <c r="P320" i="14"/>
  <c r="S229" i="14"/>
  <c r="O179" i="14"/>
  <c r="Q250" i="14"/>
  <c r="Q276" i="14"/>
  <c r="P179" i="14"/>
  <c r="S225" i="14"/>
  <c r="O344" i="14"/>
  <c r="Q336" i="14"/>
  <c r="P249" i="14"/>
  <c r="S197" i="14"/>
  <c r="S261" i="14"/>
  <c r="R207" i="14"/>
  <c r="R336" i="14"/>
  <c r="R179" i="14"/>
  <c r="R216" i="14"/>
  <c r="R321" i="14"/>
  <c r="R144" i="14"/>
  <c r="R244" i="14"/>
  <c r="R221" i="14"/>
  <c r="R345" i="14"/>
  <c r="R295" i="14"/>
  <c r="R234" i="14"/>
  <c r="R294" i="14"/>
  <c r="R229" i="14"/>
  <c r="R301" i="14"/>
  <c r="R192" i="14"/>
  <c r="Q259" i="14"/>
  <c r="P257" i="14"/>
  <c r="S221" i="14"/>
  <c r="P277" i="14"/>
  <c r="P175" i="14"/>
  <c r="S175" i="14"/>
  <c r="S232" i="14"/>
  <c r="P239" i="14"/>
  <c r="S341" i="14"/>
  <c r="Q185" i="14"/>
  <c r="Q180" i="14"/>
  <c r="Q326" i="14"/>
  <c r="P303" i="14"/>
  <c r="P318" i="14"/>
  <c r="P284" i="14"/>
  <c r="P219" i="14"/>
  <c r="S293" i="14"/>
  <c r="P178" i="14"/>
  <c r="P319" i="14"/>
  <c r="P221" i="14"/>
  <c r="S277" i="14"/>
  <c r="S180" i="14"/>
  <c r="P341" i="14"/>
  <c r="Q261" i="14"/>
  <c r="Q231" i="14"/>
  <c r="S234" i="14"/>
  <c r="P185" i="14"/>
  <c r="P328" i="14"/>
  <c r="S328" i="14"/>
  <c r="Q239" i="14"/>
  <c r="P232" i="14"/>
  <c r="S219" i="14"/>
  <c r="S223" i="14"/>
  <c r="Q293" i="14"/>
  <c r="S271" i="14"/>
  <c r="Q257" i="14"/>
  <c r="Q221" i="14"/>
  <c r="Q328" i="14"/>
  <c r="P247" i="14"/>
  <c r="S196" i="14"/>
  <c r="Q318" i="14"/>
  <c r="S251" i="14"/>
  <c r="S239" i="14"/>
  <c r="S259" i="14"/>
  <c r="P276" i="14"/>
  <c r="Q175" i="14"/>
  <c r="P259" i="14"/>
  <c r="S297" i="14"/>
  <c r="T284" i="14"/>
  <c r="T93" i="10"/>
  <c r="T136" i="10"/>
  <c r="T348" i="14"/>
  <c r="T349" i="10"/>
  <c r="T349" i="14"/>
  <c r="T342" i="10"/>
  <c r="T335" i="14"/>
  <c r="T89" i="10"/>
  <c r="T70" i="10"/>
  <c r="T67" i="10"/>
  <c r="T299" i="14"/>
  <c r="T219" i="10"/>
  <c r="T219" i="14"/>
  <c r="T150" i="10"/>
  <c r="T215" i="10"/>
  <c r="T215" i="14"/>
  <c r="T132" i="10"/>
  <c r="T175" i="14"/>
  <c r="T95" i="10"/>
  <c r="T178" i="14"/>
  <c r="T274" i="10"/>
  <c r="T319" i="10"/>
  <c r="T319" i="14"/>
  <c r="T239" i="10"/>
  <c r="T239" i="14"/>
  <c r="T328" i="14"/>
  <c r="T328" i="10"/>
  <c r="R275" i="14"/>
  <c r="R68" i="14"/>
  <c r="R27" i="14"/>
  <c r="R314" i="14"/>
  <c r="R69" i="14"/>
  <c r="R320" i="14"/>
  <c r="R267" i="14"/>
  <c r="R253" i="14"/>
  <c r="R312" i="14"/>
  <c r="R111" i="14"/>
  <c r="R158" i="14"/>
  <c r="R61" i="14"/>
  <c r="R25" i="14"/>
  <c r="R80" i="14"/>
  <c r="R201" i="14"/>
  <c r="R95" i="14"/>
  <c r="R166" i="14"/>
  <c r="R280" i="14"/>
  <c r="R212" i="14"/>
  <c r="R21" i="14"/>
  <c r="R53" i="14"/>
  <c r="R28" i="14"/>
  <c r="R224" i="14"/>
  <c r="R153" i="14"/>
  <c r="R64" i="14"/>
  <c r="R100" i="14"/>
  <c r="R319" i="14"/>
  <c r="R170" i="14"/>
  <c r="R232" i="14"/>
  <c r="R293" i="14"/>
  <c r="R266" i="14"/>
  <c r="R343" i="14"/>
  <c r="R292" i="14"/>
  <c r="R29" i="14"/>
  <c r="R38" i="14"/>
  <c r="R239" i="14"/>
  <c r="R35" i="14"/>
  <c r="R318" i="14"/>
  <c r="R191" i="14"/>
  <c r="R31" i="14"/>
  <c r="R284" i="14"/>
  <c r="R178" i="14"/>
  <c r="R173" i="14"/>
  <c r="R219" i="14"/>
  <c r="R16" i="14"/>
  <c r="R328" i="14"/>
  <c r="R215" i="14"/>
  <c r="N35" i="10"/>
  <c r="N150" i="10"/>
  <c r="N266" i="10"/>
  <c r="N29" i="10"/>
  <c r="N130" i="10"/>
  <c r="N284" i="10"/>
  <c r="N170" i="10"/>
  <c r="N239" i="10"/>
  <c r="N346" i="10"/>
  <c r="N155" i="10"/>
  <c r="N308" i="10"/>
  <c r="N93" i="10"/>
  <c r="N223" i="10"/>
  <c r="N193" i="10"/>
  <c r="N285" i="10"/>
  <c r="N47" i="10"/>
  <c r="N271" i="10"/>
  <c r="N39" i="10"/>
  <c r="N31" i="10"/>
  <c r="N316" i="10"/>
  <c r="N111" i="10"/>
  <c r="N82" i="10"/>
  <c r="N258" i="10"/>
  <c r="N263" i="10"/>
  <c r="O219" i="14"/>
  <c r="N294" i="10"/>
  <c r="N318" i="10"/>
  <c r="N175" i="10"/>
  <c r="O185" i="14"/>
  <c r="N329" i="10"/>
  <c r="N157" i="10"/>
  <c r="O257" i="14"/>
  <c r="O276" i="14"/>
  <c r="N328" i="10"/>
  <c r="O239" i="14"/>
  <c r="R77" i="10"/>
  <c r="S280" i="10"/>
  <c r="S345" i="10"/>
  <c r="S335" i="10"/>
  <c r="S54" i="10"/>
  <c r="R142" i="10"/>
  <c r="R129" i="10"/>
  <c r="R302" i="10"/>
  <c r="R89" i="10"/>
  <c r="R326" i="10"/>
  <c r="R136" i="10"/>
  <c r="R295" i="10"/>
  <c r="R345" i="10"/>
  <c r="R179" i="10"/>
  <c r="R85" i="10"/>
  <c r="O293" i="14"/>
  <c r="O258" i="14"/>
  <c r="O243" i="14"/>
  <c r="O298" i="14"/>
  <c r="O336" i="14"/>
  <c r="O271" i="14"/>
  <c r="O259" i="14"/>
  <c r="O226" i="14"/>
  <c r="N321" i="10"/>
  <c r="N232" i="10"/>
  <c r="N234" i="10"/>
  <c r="N188" i="10"/>
  <c r="N189" i="10"/>
  <c r="N338" i="10"/>
  <c r="N228" i="10"/>
  <c r="N276" i="10"/>
  <c r="N336" i="10"/>
  <c r="N216" i="10"/>
  <c r="N267" i="10"/>
  <c r="N256" i="10"/>
  <c r="N259" i="10"/>
  <c r="N255" i="10"/>
  <c r="P326" i="10"/>
  <c r="P317" i="10"/>
  <c r="P335" i="10"/>
  <c r="O232" i="14"/>
  <c r="O297" i="14"/>
  <c r="N133" i="10"/>
  <c r="N166" i="10"/>
  <c r="O213" i="14"/>
  <c r="O129" i="14"/>
  <c r="O156" i="14"/>
  <c r="N203" i="10"/>
  <c r="O267" i="14"/>
  <c r="O169" i="14"/>
  <c r="O202" i="14"/>
  <c r="O321" i="14"/>
  <c r="O102" i="14"/>
  <c r="O238" i="14"/>
  <c r="O287" i="14"/>
  <c r="O319" i="14"/>
  <c r="O107" i="14"/>
  <c r="O225" i="14"/>
  <c r="O203" i="14"/>
  <c r="N86" i="10"/>
  <c r="O204" i="14"/>
  <c r="Q275" i="10"/>
  <c r="Q349" i="10"/>
  <c r="Q280" i="10"/>
  <c r="Q252" i="10"/>
  <c r="Q167" i="10"/>
  <c r="Q267" i="10"/>
  <c r="Q345" i="10"/>
  <c r="O314" i="14"/>
  <c r="O85" i="14"/>
  <c r="N147" i="10"/>
  <c r="N152" i="10"/>
  <c r="N196" i="10"/>
  <c r="N201" i="10"/>
  <c r="O160" i="14"/>
  <c r="N200" i="10"/>
  <c r="N213" i="10"/>
  <c r="O313" i="14"/>
  <c r="N105" i="10"/>
  <c r="N109" i="10"/>
  <c r="N192" i="10"/>
  <c r="N84" i="10"/>
  <c r="N85" i="10"/>
  <c r="N136" i="10"/>
  <c r="N245" i="10"/>
  <c r="N252" i="10"/>
  <c r="O91" i="14"/>
  <c r="O201" i="14"/>
  <c r="N180" i="10"/>
  <c r="N185" i="10"/>
  <c r="O312" i="14"/>
  <c r="O183" i="14"/>
  <c r="N297" i="10"/>
  <c r="N306" i="10"/>
  <c r="N240" i="10"/>
  <c r="N247" i="10"/>
  <c r="N305" i="10"/>
  <c r="N314" i="10"/>
  <c r="N204" i="10"/>
  <c r="O152" i="14"/>
  <c r="N225" i="10"/>
  <c r="N317" i="10"/>
  <c r="N244" i="10"/>
  <c r="N251" i="10"/>
  <c r="O221" i="14"/>
  <c r="O126" i="14"/>
  <c r="O153" i="14"/>
  <c r="N97" i="10"/>
  <c r="N254" i="10"/>
  <c r="N261" i="10"/>
  <c r="N191" i="10"/>
  <c r="O142" i="14"/>
  <c r="N142" i="10"/>
  <c r="N320" i="10"/>
  <c r="N89" i="10"/>
  <c r="N91" i="10"/>
  <c r="O132" i="14"/>
  <c r="O229" i="14"/>
  <c r="O100" i="14"/>
  <c r="N206" i="10"/>
  <c r="N253" i="10"/>
  <c r="N205" i="10"/>
  <c r="O171" i="14"/>
  <c r="N168" i="10"/>
  <c r="N153" i="10"/>
  <c r="N312" i="10"/>
  <c r="O252" i="14"/>
  <c r="O320" i="14"/>
  <c r="N319" i="10"/>
  <c r="N304" i="10"/>
  <c r="O285" i="14"/>
  <c r="N292" i="10"/>
  <c r="N301" i="10"/>
  <c r="N274" i="10"/>
  <c r="O247" i="14"/>
  <c r="O290" i="14"/>
  <c r="N173" i="10"/>
  <c r="N178" i="10"/>
  <c r="N116" i="10"/>
  <c r="N154" i="10"/>
  <c r="N217" i="10"/>
  <c r="N163" i="10"/>
  <c r="N275" i="10"/>
  <c r="N229" i="10"/>
  <c r="N132" i="10"/>
  <c r="N120" i="10"/>
  <c r="N124" i="10"/>
  <c r="O197" i="14"/>
  <c r="O261" i="14"/>
  <c r="O277" i="14"/>
  <c r="O299" i="14"/>
  <c r="O178" i="14"/>
  <c r="O217" i="14"/>
  <c r="O92" i="14"/>
  <c r="O256" i="14"/>
  <c r="O196" i="14"/>
  <c r="O133" i="14"/>
  <c r="O16" i="14"/>
  <c r="O200" i="14"/>
  <c r="O147" i="14"/>
  <c r="O294" i="14"/>
  <c r="O31" i="14"/>
  <c r="O231" i="14"/>
  <c r="O166" i="14"/>
  <c r="O292" i="14"/>
  <c r="O295" i="14"/>
  <c r="O122" i="14"/>
  <c r="O38" i="14"/>
  <c r="O195" i="14"/>
  <c r="O163" i="14"/>
  <c r="O253" i="14"/>
  <c r="O155" i="14"/>
  <c r="O90" i="14"/>
  <c r="O244" i="14"/>
  <c r="O326" i="14"/>
  <c r="O317" i="14"/>
  <c r="O21" i="14"/>
  <c r="O173" i="14"/>
  <c r="O254" i="14"/>
  <c r="O138" i="14"/>
  <c r="O328" i="14"/>
  <c r="O275" i="14"/>
  <c r="O255" i="14"/>
  <c r="O161" i="14"/>
  <c r="O130" i="14"/>
  <c r="O318" i="14"/>
  <c r="O136" i="10"/>
  <c r="O109" i="10"/>
  <c r="O21" i="10"/>
  <c r="O316" i="10"/>
  <c r="O38" i="10"/>
  <c r="O207" i="10"/>
  <c r="O167" i="10"/>
  <c r="O16" i="10"/>
  <c r="O202" i="10"/>
  <c r="O236" i="10"/>
  <c r="O257" i="10"/>
  <c r="O31" i="10"/>
  <c r="O239" i="10"/>
  <c r="O104" i="10"/>
  <c r="O150" i="10"/>
  <c r="O215" i="10"/>
  <c r="O144" i="10"/>
  <c r="O287" i="10"/>
  <c r="O188" i="10"/>
  <c r="P225" i="10"/>
  <c r="P188" i="10"/>
  <c r="P251" i="10"/>
  <c r="P243" i="10"/>
  <c r="P231" i="10"/>
  <c r="P291" i="10"/>
  <c r="P236" i="10"/>
  <c r="P213" i="10"/>
  <c r="P257" i="10"/>
  <c r="P217" i="10"/>
  <c r="Q183" i="10"/>
  <c r="Q291" i="10"/>
  <c r="Q312" i="10"/>
  <c r="Q188" i="10"/>
  <c r="Q316" i="10"/>
  <c r="Q235" i="10"/>
  <c r="Q225" i="10"/>
  <c r="Q243" i="10"/>
  <c r="Q354" i="10"/>
  <c r="Q212" i="10"/>
  <c r="Q178" i="10"/>
  <c r="R183" i="10"/>
  <c r="R294" i="10"/>
  <c r="R318" i="10"/>
  <c r="S238" i="10"/>
  <c r="S284" i="10"/>
  <c r="S231" i="10"/>
  <c r="S185" i="10"/>
  <c r="S348" i="10"/>
  <c r="S307" i="10"/>
  <c r="S243" i="10"/>
  <c r="S219" i="10"/>
  <c r="S232" i="10"/>
  <c r="S178" i="10"/>
  <c r="S304" i="10"/>
  <c r="S257" i="10"/>
  <c r="T183" i="10"/>
  <c r="T212" i="10"/>
  <c r="T225" i="10"/>
  <c r="T291" i="10"/>
  <c r="T280" i="10"/>
  <c r="T348" i="10"/>
  <c r="T243" i="10"/>
  <c r="Q257" i="10"/>
  <c r="O250" i="10"/>
  <c r="R307" i="10"/>
  <c r="O302" i="10"/>
  <c r="P132" i="10"/>
  <c r="Q55" i="10"/>
  <c r="S85" i="10"/>
  <c r="S136" i="10"/>
  <c r="Q142" i="10"/>
  <c r="O191" i="10"/>
  <c r="O193" i="10"/>
  <c r="O344" i="10"/>
  <c r="O349" i="10"/>
  <c r="P70" i="10"/>
  <c r="Q67" i="10"/>
  <c r="S144" i="10"/>
  <c r="P144" i="10"/>
  <c r="O64" i="10"/>
  <c r="Q61" i="10"/>
  <c r="P95" i="10"/>
  <c r="P150" i="10"/>
  <c r="P101" i="10"/>
  <c r="Q129" i="10"/>
  <c r="S162" i="10"/>
  <c r="Q89" i="10"/>
  <c r="Q149" i="10"/>
  <c r="P61" i="10"/>
  <c r="P160" i="10"/>
  <c r="Q326" i="10"/>
  <c r="S67" i="10"/>
  <c r="P63" i="10"/>
  <c r="S89" i="10"/>
  <c r="P355" i="10"/>
  <c r="O284" i="10"/>
  <c r="S63" i="10"/>
  <c r="O67" i="10"/>
  <c r="Q64" i="10"/>
  <c r="P67" i="10"/>
  <c r="P157" i="10"/>
  <c r="P89" i="10"/>
  <c r="P86" i="10"/>
  <c r="O307" i="10"/>
  <c r="Q101" i="10"/>
  <c r="S141" i="10"/>
  <c r="S150" i="10"/>
  <c r="S78" i="10"/>
  <c r="O69" i="10"/>
  <c r="P141" i="10"/>
  <c r="S128" i="10"/>
  <c r="O223" i="10"/>
  <c r="Q144" i="10"/>
  <c r="R229" i="10"/>
  <c r="R231" i="10"/>
  <c r="R234" i="10"/>
  <c r="R236" i="10"/>
  <c r="R63" i="10"/>
  <c r="R243" i="10"/>
  <c r="R216" i="10"/>
  <c r="R291" i="10"/>
  <c r="R336" i="10"/>
  <c r="R192" i="10"/>
  <c r="R244" i="10"/>
  <c r="R207" i="10"/>
  <c r="R301" i="10"/>
  <c r="T63" i="10"/>
  <c r="T124" i="10"/>
  <c r="T178" i="10"/>
  <c r="T141" i="10"/>
  <c r="T61" i="10"/>
  <c r="P219" i="10"/>
  <c r="T336" i="10"/>
  <c r="T263" i="10"/>
  <c r="T318" i="10"/>
  <c r="T284" i="10"/>
  <c r="T316" i="10"/>
  <c r="T223" i="10"/>
  <c r="T179" i="10"/>
  <c r="T302" i="10"/>
  <c r="T321" i="10"/>
  <c r="T299" i="10"/>
  <c r="T276" i="10"/>
  <c r="T335" i="10"/>
  <c r="T220" i="10"/>
  <c r="T301" i="10"/>
  <c r="T175" i="10"/>
  <c r="T216" i="10"/>
  <c r="T339" i="10"/>
  <c r="T337" i="10"/>
  <c r="O321" i="10"/>
  <c r="Q259" i="10"/>
  <c r="Q185" i="10"/>
  <c r="P345" i="10"/>
  <c r="S325" i="10"/>
  <c r="Q338" i="10"/>
  <c r="P271" i="10"/>
  <c r="S239" i="10"/>
  <c r="O276" i="10"/>
  <c r="Q337" i="10"/>
  <c r="Q263" i="10"/>
  <c r="P259" i="10"/>
  <c r="P261" i="10"/>
  <c r="P337" i="10"/>
  <c r="P339" i="10"/>
  <c r="P211" i="10"/>
  <c r="S277" i="10"/>
  <c r="S183" i="10"/>
  <c r="P346" i="10"/>
  <c r="P348" i="10"/>
  <c r="P276" i="10"/>
  <c r="P223" i="10"/>
  <c r="Q281" i="10"/>
  <c r="P338" i="10"/>
  <c r="S180" i="10"/>
  <c r="S295" i="10"/>
  <c r="P178" i="10"/>
  <c r="P179" i="10"/>
  <c r="P247" i="10"/>
  <c r="P249" i="10"/>
  <c r="Q325" i="10"/>
  <c r="P232" i="10"/>
  <c r="P234" i="10"/>
  <c r="Q328" i="10"/>
  <c r="S175" i="10"/>
  <c r="Q206" i="10"/>
  <c r="Q207" i="10"/>
  <c r="Q231" i="10"/>
  <c r="Q233" i="10"/>
  <c r="P302" i="10"/>
  <c r="P318" i="10"/>
  <c r="P320" i="10"/>
  <c r="S316" i="10"/>
  <c r="S318" i="10"/>
  <c r="S196" i="10"/>
  <c r="S197" i="10"/>
  <c r="S297" i="10"/>
  <c r="S223" i="10"/>
  <c r="S225" i="10"/>
  <c r="P175" i="10"/>
  <c r="S271" i="10"/>
  <c r="Q336" i="10"/>
  <c r="Q302" i="10"/>
  <c r="Q180" i="10"/>
  <c r="Q175" i="10"/>
  <c r="P284" i="10"/>
  <c r="Q223" i="10"/>
  <c r="P239" i="10"/>
  <c r="S337" i="10"/>
  <c r="S339" i="10"/>
  <c r="S274" i="10"/>
  <c r="P263" i="10"/>
  <c r="Q276" i="10"/>
  <c r="Q342" i="10"/>
  <c r="Q295" i="10"/>
  <c r="S251" i="10"/>
  <c r="S253" i="10"/>
  <c r="Q261" i="10"/>
  <c r="Q239" i="10"/>
  <c r="Q269" i="10"/>
  <c r="P185" i="10"/>
  <c r="S259" i="10"/>
  <c r="S261" i="10"/>
  <c r="Q307" i="10"/>
  <c r="P277" i="10"/>
  <c r="P215" i="10"/>
  <c r="S234" i="10"/>
  <c r="S236" i="10"/>
  <c r="O336" i="10"/>
  <c r="O343" i="10"/>
  <c r="Q318" i="10"/>
  <c r="Q320" i="10"/>
  <c r="O226" i="10"/>
  <c r="O233" i="10"/>
  <c r="Q253" i="10"/>
  <c r="Q250" i="10"/>
  <c r="P229" i="10"/>
  <c r="S229" i="10"/>
  <c r="Q229" i="10"/>
  <c r="O179" i="10"/>
  <c r="P328" i="10"/>
  <c r="S328" i="10"/>
  <c r="O258" i="10"/>
  <c r="Q346" i="10"/>
  <c r="Q343" i="10"/>
  <c r="P307" i="10"/>
  <c r="P319" i="10"/>
  <c r="P321" i="10"/>
  <c r="P183" i="10"/>
  <c r="S338" i="10"/>
  <c r="T370" i="10"/>
  <c r="T374" i="10"/>
  <c r="T361" i="10"/>
  <c r="T369" i="10"/>
  <c r="T381" i="10"/>
  <c r="T371" i="10"/>
  <c r="T378" i="10"/>
  <c r="T364" i="10"/>
  <c r="T387" i="10"/>
  <c r="T372" i="10"/>
  <c r="T365" i="10"/>
  <c r="T359" i="10"/>
  <c r="T389" i="10"/>
  <c r="T354" i="10"/>
  <c r="T382" i="10"/>
  <c r="T383" i="10"/>
  <c r="T388" i="10"/>
  <c r="T360" i="10"/>
  <c r="T376" i="10"/>
  <c r="T377" i="10"/>
  <c r="T379" i="10"/>
  <c r="T384" i="10"/>
  <c r="T386" i="10"/>
  <c r="T357" i="10"/>
  <c r="T385" i="10"/>
  <c r="T390" i="10"/>
  <c r="T373" i="10"/>
  <c r="T375" i="10"/>
  <c r="T350" i="10"/>
  <c r="T362" i="10"/>
  <c r="T368" i="10"/>
  <c r="T363" i="10"/>
  <c r="T366" i="10"/>
  <c r="T358" i="10"/>
  <c r="T367" i="10"/>
  <c r="T380" i="10"/>
  <c r="T356" i="10"/>
  <c r="T355" i="10"/>
  <c r="R173" i="10"/>
  <c r="R319" i="10"/>
  <c r="R321" i="10"/>
  <c r="O47" i="10"/>
  <c r="O45" i="10"/>
  <c r="R328" i="10"/>
  <c r="R292" i="10"/>
  <c r="R69" i="10"/>
  <c r="R267" i="10"/>
  <c r="R212" i="10"/>
  <c r="R220" i="10"/>
  <c r="R167" i="10"/>
  <c r="R266" i="10"/>
  <c r="R111" i="10"/>
  <c r="R35" i="10"/>
  <c r="R268" i="10"/>
  <c r="R68" i="10"/>
  <c r="R239" i="10"/>
  <c r="R145" i="10"/>
  <c r="R386" i="10"/>
  <c r="R378" i="10"/>
  <c r="R362" i="10"/>
  <c r="R387" i="10"/>
  <c r="R367" i="10"/>
  <c r="R388" i="10"/>
  <c r="R372" i="10"/>
  <c r="R381" i="10"/>
  <c r="R365" i="10"/>
  <c r="R368" i="10"/>
  <c r="R360" i="10"/>
  <c r="R359" i="10"/>
  <c r="R379" i="10"/>
  <c r="R375" i="10"/>
  <c r="R389" i="10"/>
  <c r="R382" i="10"/>
  <c r="R370" i="10"/>
  <c r="R355" i="10"/>
  <c r="R380" i="10"/>
  <c r="R366" i="10"/>
  <c r="R357" i="10"/>
  <c r="R364" i="10"/>
  <c r="R358" i="10"/>
  <c r="R385" i="10"/>
  <c r="R371" i="10"/>
  <c r="R374" i="10"/>
  <c r="R354" i="10"/>
  <c r="R377" i="10"/>
  <c r="R356" i="10"/>
  <c r="R369" i="10"/>
  <c r="R348" i="10"/>
  <c r="R383" i="10"/>
  <c r="R361" i="10"/>
  <c r="R390" i="10"/>
  <c r="R363" i="10"/>
  <c r="R384" i="10"/>
  <c r="R373" i="10"/>
  <c r="R376" i="10"/>
  <c r="R31" i="10"/>
  <c r="R312" i="10"/>
  <c r="R342" i="10"/>
  <c r="R60" i="10"/>
  <c r="R206" i="10"/>
  <c r="R16" i="10"/>
  <c r="R64" i="10"/>
  <c r="R337" i="10"/>
  <c r="R144" i="10"/>
  <c r="R38" i="10"/>
  <c r="R253" i="10"/>
  <c r="R21" i="10"/>
  <c r="R240" i="10"/>
  <c r="R170" i="10"/>
  <c r="R224" i="10"/>
  <c r="R215" i="10"/>
  <c r="R314" i="10"/>
  <c r="R29" i="10"/>
  <c r="R320" i="10"/>
  <c r="R61" i="10"/>
  <c r="R158" i="10"/>
  <c r="R284" i="10"/>
  <c r="R80" i="10"/>
  <c r="R53" i="10"/>
  <c r="R47" i="10"/>
  <c r="R148" i="10"/>
  <c r="R95" i="10"/>
  <c r="R178" i="10"/>
  <c r="R232" i="10"/>
  <c r="R153" i="10"/>
  <c r="R280" i="10"/>
  <c r="R100" i="10"/>
  <c r="R191" i="10"/>
  <c r="R201" i="10"/>
  <c r="R27" i="10"/>
  <c r="R219" i="10"/>
  <c r="R166" i="10"/>
  <c r="R343" i="10"/>
  <c r="R10" i="10"/>
  <c r="R275" i="10"/>
  <c r="O298" i="10"/>
  <c r="O129" i="10"/>
  <c r="O319" i="10"/>
  <c r="O213" i="10"/>
  <c r="O219" i="10"/>
  <c r="O259" i="10"/>
  <c r="O337" i="10"/>
  <c r="O342" i="10"/>
  <c r="O243" i="10"/>
  <c r="O156" i="10"/>
  <c r="O274" i="10"/>
  <c r="O346" i="10"/>
  <c r="O185" i="10"/>
  <c r="O204" i="10"/>
  <c r="O267" i="10"/>
  <c r="O232" i="10"/>
  <c r="O225" i="10"/>
  <c r="O238" i="10"/>
  <c r="O297" i="10"/>
  <c r="O271" i="10"/>
  <c r="O338" i="10"/>
  <c r="O294" i="10"/>
  <c r="O133" i="10"/>
  <c r="O141" i="10"/>
  <c r="O163" i="10"/>
  <c r="O195" i="10"/>
  <c r="O203" i="10"/>
  <c r="O295" i="10"/>
  <c r="O318" i="10"/>
  <c r="O317" i="10"/>
  <c r="O253" i="10"/>
  <c r="O217" i="10"/>
  <c r="O155" i="10"/>
  <c r="O160" i="10"/>
  <c r="O105" i="10"/>
  <c r="O130" i="10"/>
  <c r="O206" i="10"/>
  <c r="O275" i="10"/>
  <c r="O86" i="10"/>
  <c r="O200" i="10"/>
  <c r="O244" i="10"/>
  <c r="O173" i="10"/>
  <c r="O85" i="10"/>
  <c r="O326" i="10"/>
  <c r="O197" i="10"/>
  <c r="O299" i="10"/>
  <c r="O312" i="10"/>
  <c r="O142" i="10"/>
  <c r="O277" i="10"/>
  <c r="O285" i="10"/>
  <c r="O92" i="10"/>
  <c r="O147" i="10"/>
  <c r="O152" i="10"/>
  <c r="O314" i="10"/>
  <c r="O288" i="10"/>
  <c r="O240" i="10"/>
  <c r="O247" i="10"/>
  <c r="O231" i="10"/>
  <c r="O100" i="10"/>
  <c r="O166" i="10"/>
  <c r="O171" i="10"/>
  <c r="O178" i="10"/>
  <c r="O183" i="10"/>
  <c r="O205" i="10"/>
  <c r="O229" i="10"/>
  <c r="O292" i="10"/>
  <c r="O122" i="10"/>
  <c r="O256" i="10"/>
  <c r="O263" i="10"/>
  <c r="O255" i="10"/>
  <c r="O254" i="10"/>
  <c r="O261" i="10"/>
  <c r="O196" i="10"/>
  <c r="O201" i="10"/>
  <c r="O245" i="10"/>
  <c r="O252" i="10"/>
  <c r="O132" i="10"/>
  <c r="O328" i="10"/>
  <c r="O153" i="10"/>
  <c r="O320" i="10"/>
  <c r="O91" i="10"/>
  <c r="I202" i="10"/>
  <c r="H228" i="14"/>
  <c r="J195" i="14"/>
  <c r="H125" i="14"/>
  <c r="I195" i="14"/>
  <c r="J168" i="14"/>
  <c r="M188" i="10"/>
  <c r="H113" i="14"/>
  <c r="G35" i="10"/>
  <c r="M92" i="14"/>
  <c r="D110" i="10"/>
  <c r="M135" i="14"/>
  <c r="M294" i="14"/>
  <c r="E101" i="14"/>
  <c r="I249" i="14"/>
  <c r="L110" i="10"/>
  <c r="N125" i="14"/>
  <c r="F294" i="14"/>
  <c r="F188" i="14"/>
  <c r="Q170" i="14"/>
  <c r="P20" i="14"/>
  <c r="P113" i="14"/>
  <c r="S168" i="14"/>
  <c r="T271" i="14"/>
  <c r="R249" i="14"/>
  <c r="S65" i="14"/>
  <c r="E350" i="10"/>
  <c r="S350" i="10"/>
  <c r="J125" i="14"/>
  <c r="E195" i="14"/>
  <c r="I168" i="14"/>
  <c r="H188" i="10"/>
  <c r="E202" i="10"/>
  <c r="J202" i="10"/>
  <c r="J35" i="10"/>
  <c r="J92" i="14"/>
  <c r="H168" i="14"/>
  <c r="J20" i="14"/>
  <c r="G108" i="10"/>
  <c r="S125" i="14"/>
  <c r="I294" i="14"/>
  <c r="S170" i="14"/>
  <c r="T20" i="14"/>
  <c r="Q113" i="14"/>
  <c r="S311" i="10"/>
  <c r="S249" i="14"/>
  <c r="M195" i="14"/>
  <c r="M228" i="14"/>
  <c r="K35" i="10"/>
  <c r="D92" i="14"/>
  <c r="M168" i="14"/>
  <c r="L108" i="10"/>
  <c r="N110" i="10"/>
  <c r="K249" i="14"/>
  <c r="O154" i="14"/>
  <c r="R125" i="14"/>
  <c r="T170" i="14"/>
  <c r="R20" i="14"/>
  <c r="P169" i="14"/>
  <c r="S113" i="14"/>
  <c r="F228" i="14"/>
  <c r="T249" i="14"/>
  <c r="F125" i="14"/>
  <c r="F20" i="14"/>
  <c r="P92" i="14"/>
  <c r="T228" i="14"/>
  <c r="F249" i="14"/>
  <c r="I61" i="10"/>
  <c r="E228" i="14"/>
  <c r="M219" i="14"/>
  <c r="I65" i="14"/>
  <c r="E168" i="14"/>
  <c r="N92" i="14"/>
  <c r="M20" i="14"/>
  <c r="H108" i="10"/>
  <c r="T125" i="14"/>
  <c r="Q119" i="14"/>
  <c r="Q20" i="14"/>
  <c r="T169" i="14"/>
  <c r="S92" i="14"/>
  <c r="T314" i="10"/>
  <c r="P202" i="10"/>
  <c r="Q308" i="14"/>
  <c r="H350" i="10"/>
  <c r="H219" i="14"/>
  <c r="E65" i="14"/>
  <c r="H44" i="10"/>
  <c r="G44" i="10"/>
  <c r="I119" i="14"/>
  <c r="O44" i="10"/>
  <c r="P154" i="14"/>
  <c r="P110" i="10"/>
  <c r="S20" i="14"/>
  <c r="Q92" i="14"/>
  <c r="S188" i="10"/>
  <c r="S314" i="10"/>
  <c r="S202" i="10"/>
  <c r="S129" i="10"/>
  <c r="S308" i="14"/>
  <c r="G350" i="10"/>
  <c r="K172" i="14"/>
  <c r="E293" i="14"/>
  <c r="L250" i="14"/>
  <c r="F44" i="10"/>
  <c r="M293" i="14"/>
  <c r="E169" i="14"/>
  <c r="J236" i="14"/>
  <c r="H236" i="14"/>
  <c r="H148" i="10"/>
  <c r="E20" i="14"/>
  <c r="H249" i="14"/>
  <c r="K44" i="10"/>
  <c r="H239" i="14"/>
  <c r="R154" i="14"/>
  <c r="R160" i="10"/>
  <c r="T110" i="10"/>
  <c r="P135" i="14"/>
  <c r="R188" i="10"/>
  <c r="Q321" i="10"/>
  <c r="Q236" i="14"/>
  <c r="T202" i="10"/>
  <c r="Q116" i="10"/>
  <c r="F350" i="10"/>
  <c r="K293" i="14"/>
  <c r="I293" i="14"/>
  <c r="I125" i="14"/>
  <c r="I110" i="10"/>
  <c r="E44" i="10"/>
  <c r="N293" i="14"/>
  <c r="N108" i="10"/>
  <c r="M249" i="14"/>
  <c r="Q154" i="14"/>
  <c r="T160" i="10"/>
  <c r="Q110" i="10"/>
  <c r="Q135" i="14"/>
  <c r="S156" i="10"/>
  <c r="T236" i="14"/>
  <c r="T108" i="10"/>
  <c r="R116" i="10"/>
  <c r="G110" i="10"/>
  <c r="I44" i="10"/>
  <c r="N249" i="14"/>
  <c r="S154" i="14"/>
  <c r="Q160" i="10"/>
  <c r="R110" i="10"/>
  <c r="T156" i="10"/>
  <c r="P108" i="10"/>
  <c r="S116" i="10"/>
  <c r="J350" i="10"/>
  <c r="O350" i="10"/>
  <c r="M44" i="10"/>
  <c r="T154" i="14"/>
  <c r="S110" i="10"/>
  <c r="Q23" i="10"/>
  <c r="R250" i="14"/>
  <c r="S108" i="10"/>
  <c r="P116" i="10"/>
  <c r="D350" i="10"/>
  <c r="K350" i="10"/>
  <c r="K250" i="14"/>
  <c r="H116" i="10"/>
  <c r="J188" i="14"/>
  <c r="H202" i="10"/>
  <c r="L236" i="14"/>
  <c r="L154" i="14"/>
  <c r="D108" i="10"/>
  <c r="H250" i="14"/>
  <c r="F154" i="14"/>
  <c r="P204" i="10"/>
  <c r="S35" i="10"/>
  <c r="S314" i="14"/>
  <c r="S167" i="10"/>
  <c r="S250" i="14"/>
  <c r="R108" i="10"/>
  <c r="T116" i="10"/>
  <c r="G202" i="10"/>
  <c r="O20" i="14"/>
  <c r="I135" i="14"/>
  <c r="O116" i="10"/>
  <c r="Q204" i="10"/>
  <c r="P35" i="10"/>
  <c r="R255" i="10"/>
  <c r="T250" i="14"/>
  <c r="Q108" i="10"/>
  <c r="D125" i="14"/>
  <c r="K168" i="14"/>
  <c r="G116" i="10"/>
  <c r="I250" i="14"/>
  <c r="N20" i="14"/>
  <c r="S166" i="10"/>
  <c r="R204" i="10"/>
  <c r="Q35" i="10"/>
  <c r="Q197" i="10"/>
  <c r="R213" i="10"/>
  <c r="Q319" i="14"/>
  <c r="S203" i="14"/>
  <c r="K125" i="14"/>
  <c r="M202" i="10"/>
  <c r="N61" i="10"/>
  <c r="S204" i="10"/>
  <c r="F239" i="14"/>
  <c r="O35" i="10"/>
  <c r="M125" i="14"/>
  <c r="G168" i="14"/>
  <c r="O119" i="14"/>
  <c r="R188" i="14"/>
  <c r="S354" i="14"/>
  <c r="M111" i="14"/>
  <c r="M133" i="14"/>
  <c r="R114" i="10"/>
  <c r="P80" i="14"/>
  <c r="E375" i="14"/>
  <c r="B338" i="14"/>
  <c r="E338" i="1"/>
  <c r="G338" i="3"/>
  <c r="E313" i="1"/>
  <c r="E293" i="1"/>
  <c r="G293" i="3"/>
  <c r="G269" i="3"/>
  <c r="B269" i="14"/>
  <c r="E246" i="1"/>
  <c r="B246" i="14"/>
  <c r="G246" i="3"/>
  <c r="G218" i="3"/>
  <c r="B218" i="14"/>
  <c r="E218" i="1"/>
  <c r="G194" i="3"/>
  <c r="B194" i="14"/>
  <c r="E194" i="14"/>
  <c r="E194" i="1"/>
  <c r="G174" i="3"/>
  <c r="E174" i="1"/>
  <c r="B174" i="14"/>
  <c r="B146" i="14"/>
  <c r="E146" i="1"/>
  <c r="G121" i="3"/>
  <c r="E121" i="1"/>
  <c r="T126" i="10"/>
  <c r="R126" i="10"/>
  <c r="Q126" i="10"/>
  <c r="P126" i="10"/>
  <c r="K386" i="10"/>
  <c r="L386" i="10"/>
  <c r="S386" i="10"/>
  <c r="P386" i="10"/>
  <c r="J386" i="10"/>
  <c r="E386" i="10"/>
  <c r="G386" i="10"/>
  <c r="O386" i="10"/>
  <c r="D386" i="10"/>
  <c r="M386" i="10"/>
  <c r="F370" i="10"/>
  <c r="S370" i="10"/>
  <c r="Q370" i="10"/>
  <c r="D370" i="10"/>
  <c r="P370" i="10"/>
  <c r="N370" i="10"/>
  <c r="I370" i="10"/>
  <c r="J370" i="10"/>
  <c r="G370" i="10"/>
  <c r="H370" i="10"/>
  <c r="M354" i="10"/>
  <c r="E354" i="10"/>
  <c r="G354" i="10"/>
  <c r="I354" i="10"/>
  <c r="S354" i="10"/>
  <c r="J354" i="10"/>
  <c r="D354" i="10"/>
  <c r="L354" i="10"/>
  <c r="P360" i="14"/>
  <c r="D360" i="14"/>
  <c r="E360" i="14"/>
  <c r="I360" i="14"/>
  <c r="F360" i="14"/>
  <c r="S360" i="14"/>
  <c r="Q360" i="14"/>
  <c r="G360" i="14"/>
  <c r="L360" i="14"/>
  <c r="O360" i="14"/>
  <c r="H360" i="14"/>
  <c r="J360" i="14"/>
  <c r="K360" i="14"/>
  <c r="M360" i="14"/>
  <c r="N360" i="14"/>
  <c r="R360" i="14"/>
  <c r="T360" i="14"/>
  <c r="C360" i="14"/>
  <c r="N377" i="14"/>
  <c r="G377" i="14"/>
  <c r="L377" i="14"/>
  <c r="D377" i="14"/>
  <c r="E377" i="14"/>
  <c r="M377" i="14"/>
  <c r="H377" i="14"/>
  <c r="K377" i="14"/>
  <c r="F377" i="14"/>
  <c r="Q377" i="14"/>
  <c r="I114" i="10"/>
  <c r="T114" i="10"/>
  <c r="S254" i="14"/>
  <c r="P254" i="14"/>
  <c r="R254" i="14"/>
  <c r="T254" i="14"/>
  <c r="T133" i="14"/>
  <c r="D133" i="14"/>
  <c r="P133" i="14"/>
  <c r="F133" i="14"/>
  <c r="S79" i="14"/>
  <c r="T79" i="14"/>
  <c r="N79" i="14"/>
  <c r="Q28" i="14"/>
  <c r="O28" i="14"/>
  <c r="J372" i="10"/>
  <c r="E344" i="10"/>
  <c r="N344" i="10"/>
  <c r="R344" i="10"/>
  <c r="E114" i="10"/>
  <c r="D126" i="10"/>
  <c r="R338" i="10"/>
  <c r="T338" i="10"/>
  <c r="G126" i="10"/>
  <c r="F293" i="14"/>
  <c r="P293" i="14"/>
  <c r="T293" i="14"/>
  <c r="P377" i="14"/>
  <c r="G42" i="14"/>
  <c r="T42" i="14"/>
  <c r="R42" i="14"/>
  <c r="H213" i="14"/>
  <c r="I213" i="14"/>
  <c r="P28" i="14"/>
  <c r="T267" i="14"/>
  <c r="P267" i="14"/>
  <c r="S267" i="14"/>
  <c r="F91" i="14"/>
  <c r="S91" i="14"/>
  <c r="O377" i="14"/>
  <c r="S377" i="14"/>
  <c r="P354" i="10"/>
  <c r="L126" i="10"/>
  <c r="G133" i="14"/>
  <c r="N114" i="10"/>
  <c r="H109" i="10"/>
  <c r="T109" i="10"/>
  <c r="P44" i="10"/>
  <c r="Q44" i="10"/>
  <c r="K354" i="10"/>
  <c r="O354" i="10"/>
  <c r="G114" i="10"/>
  <c r="H254" i="14"/>
  <c r="J80" i="14"/>
  <c r="J79" i="14"/>
  <c r="P173" i="14"/>
  <c r="S173" i="14"/>
  <c r="F102" i="14"/>
  <c r="R102" i="14"/>
  <c r="Q102" i="14"/>
  <c r="P102" i="14"/>
  <c r="F16" i="14"/>
  <c r="P16" i="14"/>
  <c r="E300" i="1"/>
  <c r="B300" i="14"/>
  <c r="E270" i="1"/>
  <c r="K114" i="10"/>
  <c r="F126" i="10"/>
  <c r="L80" i="14"/>
  <c r="M114" i="10"/>
  <c r="M213" i="14"/>
  <c r="O114" i="10"/>
  <c r="Q388" i="10"/>
  <c r="J114" i="10"/>
  <c r="L114" i="10"/>
  <c r="F213" i="14"/>
  <c r="F133" i="10"/>
  <c r="T133" i="10"/>
  <c r="S133" i="10"/>
  <c r="P133" i="10"/>
  <c r="Q133" i="10"/>
  <c r="N288" i="10"/>
  <c r="L288" i="10"/>
  <c r="O126" i="10"/>
  <c r="K126" i="10"/>
  <c r="M254" i="14"/>
  <c r="L213" i="14"/>
  <c r="O80" i="14"/>
  <c r="Q213" i="14"/>
  <c r="S100" i="10"/>
  <c r="T100" i="10"/>
  <c r="Q84" i="14"/>
  <c r="T84" i="14"/>
  <c r="I377" i="14"/>
  <c r="B45" i="14"/>
  <c r="E45" i="1"/>
  <c r="G45" i="3"/>
  <c r="G41" i="3"/>
  <c r="B41" i="14"/>
  <c r="E41" i="1"/>
  <c r="E126" i="10"/>
  <c r="T377" i="14"/>
  <c r="G254" i="14"/>
  <c r="N80" i="14"/>
  <c r="R213" i="14"/>
  <c r="I79" i="14"/>
  <c r="S189" i="14"/>
  <c r="T189" i="14"/>
  <c r="Q308" i="10"/>
  <c r="R308" i="10"/>
  <c r="J377" i="14"/>
  <c r="R377" i="14"/>
  <c r="C377" i="14"/>
  <c r="E81" i="1"/>
  <c r="E59" i="1"/>
  <c r="G59" i="3"/>
  <c r="E28" i="1"/>
  <c r="G28" i="3"/>
  <c r="I254" i="14"/>
  <c r="M79" i="14"/>
  <c r="S213" i="14"/>
  <c r="P79" i="14"/>
  <c r="P198" i="10"/>
  <c r="T198" i="10"/>
  <c r="O198" i="10"/>
  <c r="S211" i="10"/>
  <c r="R211" i="10"/>
  <c r="J126" i="10"/>
  <c r="M126" i="10"/>
  <c r="E80" i="14"/>
  <c r="D79" i="14"/>
  <c r="P114" i="10"/>
  <c r="Q79" i="14"/>
  <c r="S133" i="14"/>
  <c r="F142" i="14"/>
  <c r="S142" i="14"/>
  <c r="P142" i="14"/>
  <c r="G342" i="3"/>
  <c r="B342" i="14"/>
  <c r="G315" i="3"/>
  <c r="E315" i="1"/>
  <c r="B315" i="14"/>
  <c r="G296" i="3"/>
  <c r="B296" i="14"/>
  <c r="E296" i="1"/>
  <c r="T272" i="10"/>
  <c r="E272" i="1"/>
  <c r="B272" i="14"/>
  <c r="G272" i="3"/>
  <c r="B248" i="14"/>
  <c r="G248" i="3"/>
  <c r="E227" i="1"/>
  <c r="B227" i="14"/>
  <c r="G227" i="3"/>
  <c r="E199" i="1"/>
  <c r="G199" i="3"/>
  <c r="B199" i="14"/>
  <c r="B176" i="14"/>
  <c r="E151" i="1"/>
  <c r="G151" i="3"/>
  <c r="B123" i="14"/>
  <c r="G123" i="3"/>
  <c r="E123" i="1"/>
  <c r="E79" i="1"/>
  <c r="G79" i="3"/>
  <c r="N126" i="10"/>
  <c r="S126" i="10"/>
  <c r="O111" i="14"/>
  <c r="T111" i="14"/>
  <c r="S111" i="14"/>
  <c r="Q111" i="14"/>
  <c r="P111" i="14"/>
  <c r="S80" i="14"/>
  <c r="T80" i="14"/>
  <c r="M388" i="10"/>
  <c r="G388" i="10"/>
  <c r="E388" i="10"/>
  <c r="J388" i="10"/>
  <c r="K388" i="10"/>
  <c r="D388" i="10"/>
  <c r="F388" i="10"/>
  <c r="H388" i="10"/>
  <c r="I388" i="10"/>
  <c r="L388" i="10"/>
  <c r="N388" i="10"/>
  <c r="O388" i="10"/>
  <c r="P388" i="10"/>
  <c r="C388" i="10"/>
  <c r="Q372" i="10"/>
  <c r="N372" i="10"/>
  <c r="S372" i="10"/>
  <c r="K372" i="10"/>
  <c r="G372" i="10"/>
  <c r="P372" i="10"/>
  <c r="E372" i="10"/>
  <c r="I372" i="10"/>
  <c r="M372" i="10"/>
  <c r="D372" i="10"/>
  <c r="H372" i="10"/>
  <c r="P356" i="10"/>
  <c r="S356" i="10"/>
  <c r="H356" i="10"/>
  <c r="J356" i="10"/>
  <c r="L356" i="10"/>
  <c r="E356" i="10"/>
  <c r="D356" i="10"/>
  <c r="K356" i="10"/>
  <c r="F356" i="10"/>
  <c r="M356" i="10"/>
  <c r="N356" i="10"/>
  <c r="O356" i="10"/>
  <c r="I356" i="10"/>
  <c r="Q356" i="10"/>
  <c r="C356" i="10"/>
  <c r="L357" i="14"/>
  <c r="G357" i="14"/>
  <c r="H357" i="14"/>
  <c r="N357" i="14"/>
  <c r="P357" i="14"/>
  <c r="K357" i="14"/>
  <c r="S357" i="14"/>
  <c r="R357" i="14"/>
  <c r="J357" i="14"/>
  <c r="D357" i="14"/>
  <c r="M357" i="14"/>
  <c r="O357" i="14"/>
  <c r="N375" i="14"/>
  <c r="I375" i="14"/>
  <c r="G375" i="14"/>
  <c r="H375" i="14"/>
  <c r="J375" i="14"/>
  <c r="D375" i="14"/>
  <c r="K375" i="14"/>
  <c r="S375" i="14"/>
  <c r="Q375" i="14"/>
  <c r="M375" i="14"/>
  <c r="L375" i="14"/>
  <c r="P373" i="14"/>
  <c r="Q373" i="14"/>
  <c r="K373" i="14"/>
  <c r="E373" i="14"/>
  <c r="G373" i="14"/>
  <c r="J373" i="14"/>
  <c r="I373" i="14"/>
  <c r="E103" i="1"/>
  <c r="B103" i="14"/>
  <c r="R156" i="10"/>
  <c r="P122" i="10"/>
  <c r="P314" i="10"/>
  <c r="P112" i="14"/>
  <c r="R317" i="14"/>
  <c r="S142" i="10"/>
  <c r="I328" i="14"/>
  <c r="E380" i="10"/>
  <c r="M364" i="10"/>
  <c r="E211" i="1"/>
  <c r="G220" i="3"/>
  <c r="E220" i="1"/>
  <c r="J390" i="14"/>
  <c r="H361" i="10"/>
  <c r="F361" i="10"/>
  <c r="K361" i="10"/>
  <c r="O361" i="10"/>
  <c r="Q361" i="10"/>
  <c r="S361" i="10"/>
  <c r="C361" i="10"/>
  <c r="L383" i="10"/>
  <c r="J375" i="10"/>
  <c r="M363" i="14"/>
  <c r="D355" i="10"/>
  <c r="O361" i="14"/>
  <c r="O366" i="10"/>
  <c r="J382" i="10"/>
  <c r="P368" i="10"/>
  <c r="F385" i="14"/>
  <c r="P387" i="10"/>
  <c r="P388" i="14"/>
  <c r="F390" i="14"/>
  <c r="S371" i="14"/>
  <c r="S358" i="14"/>
  <c r="G285" i="3"/>
  <c r="F43" i="14"/>
  <c r="F112" i="14"/>
  <c r="L368" i="10"/>
  <c r="E360" i="10"/>
  <c r="L387" i="10"/>
  <c r="S368" i="14"/>
  <c r="S366" i="10"/>
  <c r="L354" i="14"/>
  <c r="P364" i="10"/>
  <c r="E86" i="1"/>
  <c r="G7" i="3"/>
  <c r="F386" i="14"/>
  <c r="S364" i="10"/>
  <c r="G302" i="3"/>
  <c r="B7" i="14"/>
  <c r="Q364" i="10"/>
  <c r="N377" i="10"/>
  <c r="I364" i="10"/>
  <c r="K390" i="14"/>
  <c r="O360" i="10"/>
  <c r="Q386" i="14"/>
  <c r="P382" i="10"/>
  <c r="P380" i="10"/>
  <c r="E6" i="1"/>
  <c r="P106" i="10"/>
  <c r="P244" i="14"/>
  <c r="Q197" i="14"/>
  <c r="T15" i="10"/>
  <c r="R122" i="14"/>
  <c r="S15" i="14"/>
  <c r="G387" i="10"/>
  <c r="N382" i="10"/>
  <c r="E364" i="10"/>
  <c r="M355" i="10"/>
  <c r="F360" i="10"/>
  <c r="K355" i="10"/>
  <c r="B6" i="14"/>
  <c r="O371" i="14"/>
  <c r="L376" i="10"/>
  <c r="P378" i="14"/>
  <c r="F355" i="14"/>
  <c r="H364" i="10"/>
  <c r="O377" i="10"/>
  <c r="P369" i="14"/>
  <c r="P362" i="14"/>
  <c r="F383" i="14"/>
  <c r="O380" i="10"/>
  <c r="E7" i="1"/>
  <c r="P376" i="10"/>
  <c r="Q377" i="10"/>
  <c r="P142" i="10"/>
  <c r="G358" i="14"/>
  <c r="K380" i="10"/>
  <c r="E390" i="14"/>
  <c r="BN10" i="2"/>
  <c r="BN42" i="2"/>
  <c r="BN21" i="2"/>
  <c r="BN9" i="2"/>
  <c r="BN11" i="2"/>
  <c r="BN55" i="2"/>
  <c r="BN80" i="2"/>
  <c r="BB40" i="2"/>
  <c r="BZ69" i="2"/>
  <c r="BZ44" i="2"/>
  <c r="BZ32" i="2"/>
  <c r="BZ67" i="2"/>
  <c r="BZ52" i="2"/>
  <c r="BZ29" i="2"/>
  <c r="BZ62" i="2"/>
  <c r="BZ49" i="2"/>
  <c r="BZ16" i="2"/>
  <c r="BZ65" i="2"/>
  <c r="CA2" i="2"/>
  <c r="BZ48" i="2"/>
  <c r="BZ81" i="2"/>
  <c r="BZ10" i="2"/>
  <c r="BZ64" i="2"/>
  <c r="BZ96" i="2"/>
  <c r="BZ63" i="2"/>
  <c r="BZ50" i="2"/>
  <c r="BZ27" i="2"/>
  <c r="BZ97" i="2"/>
  <c r="BZ25" i="2"/>
  <c r="BZ33" i="2"/>
  <c r="BZ41" i="2"/>
  <c r="BZ53" i="2"/>
  <c r="BZ43" i="2"/>
  <c r="BZ92" i="2"/>
  <c r="BZ72" i="2"/>
  <c r="BZ80" i="2"/>
  <c r="BZ85" i="2"/>
  <c r="BZ66" i="2"/>
  <c r="BZ24" i="2"/>
  <c r="BZ94" i="2"/>
  <c r="BZ75" i="2"/>
  <c r="BZ40" i="2"/>
  <c r="BZ98" i="2"/>
  <c r="BZ54" i="2"/>
  <c r="BZ71" i="2"/>
  <c r="BZ78" i="2"/>
  <c r="BZ38" i="2"/>
  <c r="BZ99" i="2"/>
  <c r="BZ22" i="2"/>
  <c r="BZ23" i="2"/>
  <c r="BZ73" i="2"/>
  <c r="BH19" i="2"/>
  <c r="BT50" i="2"/>
  <c r="BT85" i="2"/>
  <c r="BI2" i="2"/>
  <c r="BT39" i="2"/>
  <c r="BT23" i="2"/>
  <c r="BT15" i="2"/>
  <c r="BT65" i="2"/>
  <c r="BT80" i="2"/>
  <c r="BT92" i="2"/>
  <c r="BH25" i="2"/>
  <c r="BN74" i="2"/>
  <c r="BN57" i="2"/>
  <c r="BN84" i="2"/>
  <c r="BN68" i="2"/>
  <c r="AP65" i="2"/>
  <c r="BN66" i="2"/>
  <c r="BN93" i="2"/>
  <c r="AP80" i="2"/>
  <c r="BN60" i="2"/>
  <c r="BN37" i="2"/>
  <c r="BN89" i="2"/>
  <c r="BN97" i="2"/>
  <c r="BN28" i="2"/>
  <c r="BN91" i="2"/>
  <c r="BN62" i="2"/>
  <c r="BN17" i="2"/>
  <c r="CX16" i="2"/>
  <c r="BN67" i="2"/>
  <c r="CX28" i="2"/>
  <c r="BN35" i="2"/>
  <c r="CX34" i="2"/>
  <c r="CX48" i="2"/>
  <c r="BN99" i="2"/>
  <c r="BN30" i="2"/>
  <c r="BN81" i="2"/>
  <c r="BN31" i="2"/>
  <c r="BN24" i="2"/>
  <c r="BN83" i="2"/>
  <c r="BN40" i="2"/>
  <c r="AV89" i="2"/>
  <c r="BH83" i="2"/>
  <c r="BN95" i="2"/>
  <c r="BN44" i="2"/>
  <c r="BN54" i="2"/>
  <c r="BN51" i="2"/>
  <c r="AV90" i="2"/>
  <c r="BH65" i="2"/>
  <c r="BN49" i="2"/>
  <c r="BN22" i="2"/>
  <c r="BN19" i="2"/>
  <c r="BN63" i="2"/>
  <c r="BH43" i="2"/>
  <c r="AV13" i="2"/>
  <c r="BH74" i="2"/>
  <c r="BO2" i="2"/>
  <c r="BN78" i="2"/>
  <c r="BH9" i="2"/>
  <c r="AV83" i="2"/>
  <c r="AV78" i="2"/>
  <c r="BN26" i="2"/>
  <c r="BN34" i="2"/>
  <c r="BN77" i="2"/>
  <c r="X27" i="2"/>
  <c r="AV43" i="2"/>
  <c r="BN41" i="2"/>
  <c r="BN76" i="2"/>
  <c r="BN96" i="2"/>
  <c r="BN69" i="2"/>
  <c r="X30" i="2"/>
  <c r="BN23" i="2"/>
  <c r="BN65" i="2"/>
  <c r="BN46" i="2"/>
  <c r="BN8" i="2"/>
  <c r="X28" i="2"/>
  <c r="BN82" i="2"/>
  <c r="BN70" i="2"/>
  <c r="X62" i="2"/>
  <c r="R80" i="2"/>
  <c r="BZ17" i="2"/>
  <c r="BZ91" i="2"/>
  <c r="BT66" i="2"/>
  <c r="BZ21" i="2"/>
  <c r="BZ45" i="2"/>
  <c r="BZ57" i="2"/>
  <c r="BZ13" i="2"/>
  <c r="BZ95" i="2"/>
  <c r="R47" i="2"/>
  <c r="BH32" i="2"/>
  <c r="BZ47" i="2"/>
  <c r="R71" i="2"/>
  <c r="R38" i="2"/>
  <c r="BT82" i="2"/>
  <c r="BZ11" i="2"/>
  <c r="BZ51" i="2"/>
  <c r="BZ34" i="2"/>
  <c r="BZ68" i="2"/>
  <c r="BZ88" i="2"/>
  <c r="R11" i="2"/>
  <c r="BH63" i="2"/>
  <c r="BZ26" i="2"/>
  <c r="BZ39" i="2"/>
  <c r="BT19" i="2"/>
  <c r="BZ56" i="2"/>
  <c r="BZ70" i="2"/>
  <c r="BZ35" i="2"/>
  <c r="BZ18" i="2"/>
  <c r="BZ46" i="2"/>
  <c r="BZ8" i="2"/>
  <c r="AP51" i="2"/>
  <c r="R100" i="2"/>
  <c r="X46" i="2"/>
  <c r="BZ84" i="2"/>
  <c r="AP70" i="2"/>
  <c r="CA3" i="2"/>
  <c r="CA4" i="2"/>
  <c r="BZ60" i="2"/>
  <c r="BZ59" i="2"/>
  <c r="BZ30" i="2"/>
  <c r="BZ28" i="2"/>
  <c r="BZ31" i="2"/>
  <c r="BZ86" i="2"/>
  <c r="BT89" i="2"/>
  <c r="BZ20" i="2"/>
  <c r="BZ14" i="2"/>
  <c r="BZ55" i="2"/>
  <c r="BZ61" i="2"/>
  <c r="BZ93" i="2"/>
  <c r="CX24" i="2"/>
  <c r="BZ58" i="2"/>
  <c r="BZ83" i="2"/>
  <c r="BZ77" i="2"/>
  <c r="BZ42" i="2"/>
  <c r="BZ90" i="2"/>
  <c r="BT49" i="2"/>
  <c r="BZ37" i="2"/>
  <c r="BZ36" i="2"/>
  <c r="BZ15" i="2"/>
  <c r="BZ12" i="2"/>
  <c r="CX41" i="2"/>
  <c r="J102" i="10"/>
  <c r="M269" i="10"/>
  <c r="L102" i="10"/>
  <c r="I297" i="14"/>
  <c r="M297" i="14"/>
  <c r="H145" i="10"/>
  <c r="T145" i="10"/>
  <c r="S145" i="10"/>
  <c r="Q145" i="10"/>
  <c r="E145" i="10"/>
  <c r="I145" i="10"/>
  <c r="M145" i="10"/>
  <c r="T204" i="14"/>
  <c r="L204" i="14"/>
  <c r="S204" i="14"/>
  <c r="R204" i="14"/>
  <c r="Q204" i="14"/>
  <c r="P204" i="14"/>
  <c r="Q172" i="10"/>
  <c r="T172" i="10"/>
  <c r="P172" i="10"/>
  <c r="S172" i="10"/>
  <c r="E148" i="14"/>
  <c r="F148" i="14"/>
  <c r="T148" i="14"/>
  <c r="M148" i="14"/>
  <c r="G246" i="10"/>
  <c r="T246" i="10"/>
  <c r="S102" i="10"/>
  <c r="J246" i="10"/>
  <c r="I172" i="10"/>
  <c r="D148" i="14"/>
  <c r="N246" i="10"/>
  <c r="P53" i="14"/>
  <c r="E53" i="14"/>
  <c r="T53" i="14"/>
  <c r="S64" i="14"/>
  <c r="T64" i="14"/>
  <c r="H64" i="14"/>
  <c r="I64" i="14"/>
  <c r="K64" i="14"/>
  <c r="F64" i="14"/>
  <c r="J64" i="14"/>
  <c r="P64" i="14"/>
  <c r="D64" i="14"/>
  <c r="F69" i="14"/>
  <c r="H69" i="14"/>
  <c r="M69" i="14"/>
  <c r="S69" i="14"/>
  <c r="Q69" i="14"/>
  <c r="I69" i="14"/>
  <c r="I246" i="10"/>
  <c r="T287" i="10"/>
  <c r="N287" i="10"/>
  <c r="I287" i="10"/>
  <c r="R287" i="10"/>
  <c r="Q287" i="10"/>
  <c r="T310" i="10"/>
  <c r="S310" i="10"/>
  <c r="T9" i="10"/>
  <c r="O9" i="10"/>
  <c r="P9" i="10"/>
  <c r="Q9" i="10"/>
  <c r="F9" i="10"/>
  <c r="L9" i="10"/>
  <c r="H9" i="10"/>
  <c r="T245" i="10"/>
  <c r="S245" i="10"/>
  <c r="Q245" i="10"/>
  <c r="P245" i="10"/>
  <c r="E352" i="1"/>
  <c r="G352" i="3"/>
  <c r="B352" i="14"/>
  <c r="E164" i="1"/>
  <c r="B164" i="14"/>
  <c r="R164" i="14"/>
  <c r="G164" i="3"/>
  <c r="D172" i="10"/>
  <c r="I293" i="10"/>
  <c r="H246" i="10"/>
  <c r="M246" i="10"/>
  <c r="R148" i="14"/>
  <c r="K172" i="10"/>
  <c r="M9" i="10"/>
  <c r="K287" i="10"/>
  <c r="N61" i="14"/>
  <c r="I61" i="14"/>
  <c r="S61" i="14"/>
  <c r="T85" i="14"/>
  <c r="D85" i="14"/>
  <c r="I85" i="14"/>
  <c r="Q292" i="10"/>
  <c r="S292" i="10"/>
  <c r="T292" i="10"/>
  <c r="P292" i="10"/>
  <c r="Q216" i="10"/>
  <c r="S216" i="10"/>
  <c r="E89" i="14"/>
  <c r="F89" i="14"/>
  <c r="R278" i="10"/>
  <c r="B286" i="14"/>
  <c r="G286" i="3"/>
  <c r="E286" i="1"/>
  <c r="B260" i="14"/>
  <c r="G260" i="3"/>
  <c r="G237" i="3"/>
  <c r="E237" i="1"/>
  <c r="B237" i="14"/>
  <c r="E209" i="1"/>
  <c r="B209" i="14"/>
  <c r="G209" i="3"/>
  <c r="B186" i="14"/>
  <c r="S186" i="14"/>
  <c r="G186" i="3"/>
  <c r="E186" i="1"/>
  <c r="E165" i="1"/>
  <c r="G165" i="3"/>
  <c r="B165" i="14"/>
  <c r="E134" i="1"/>
  <c r="G134" i="3"/>
  <c r="B134" i="14"/>
  <c r="B115" i="14"/>
  <c r="E115" i="1"/>
  <c r="G115" i="3"/>
  <c r="B96" i="14"/>
  <c r="E96" i="1"/>
  <c r="G96" i="3"/>
  <c r="G71" i="3"/>
  <c r="E71" i="1"/>
  <c r="B71" i="14"/>
  <c r="S269" i="10"/>
  <c r="R269" i="10"/>
  <c r="S293" i="10"/>
  <c r="D293" i="10"/>
  <c r="F172" i="10"/>
  <c r="H293" i="10"/>
  <c r="K9" i="10"/>
  <c r="T281" i="10"/>
  <c r="R281" i="10"/>
  <c r="S281" i="10"/>
  <c r="Q217" i="14"/>
  <c r="H217" i="14"/>
  <c r="K217" i="14"/>
  <c r="J269" i="10"/>
  <c r="F246" i="10"/>
  <c r="E246" i="10"/>
  <c r="G172" i="10"/>
  <c r="I9" i="10"/>
  <c r="H172" i="10"/>
  <c r="G293" i="10"/>
  <c r="O172" i="10"/>
  <c r="P246" i="10"/>
  <c r="E76" i="14"/>
  <c r="D76" i="14"/>
  <c r="N76" i="14"/>
  <c r="H76" i="14"/>
  <c r="O76" i="14"/>
  <c r="F76" i="14"/>
  <c r="I76" i="14"/>
  <c r="T76" i="14"/>
  <c r="S76" i="14"/>
  <c r="Q76" i="14"/>
  <c r="P76" i="14"/>
  <c r="R259" i="10"/>
  <c r="E259" i="10"/>
  <c r="T259" i="10"/>
  <c r="Q293" i="10"/>
  <c r="O246" i="10"/>
  <c r="K102" i="10"/>
  <c r="K55" i="10"/>
  <c r="L148" i="14"/>
  <c r="G9" i="10"/>
  <c r="H148" i="14"/>
  <c r="S246" i="10"/>
  <c r="Q283" i="14"/>
  <c r="T293" i="10"/>
  <c r="P293" i="10"/>
  <c r="N293" i="10"/>
  <c r="R293" i="10"/>
  <c r="N283" i="14"/>
  <c r="E283" i="14"/>
  <c r="I148" i="14"/>
  <c r="Q246" i="10"/>
  <c r="T283" i="14"/>
  <c r="T102" i="10"/>
  <c r="R246" i="10"/>
  <c r="N172" i="10"/>
  <c r="F269" i="10"/>
  <c r="E102" i="10"/>
  <c r="D269" i="10"/>
  <c r="G310" i="10"/>
  <c r="K148" i="14"/>
  <c r="O102" i="10"/>
  <c r="I269" i="10"/>
  <c r="H310" i="10"/>
  <c r="J148" i="14"/>
  <c r="N269" i="10"/>
  <c r="K293" i="10"/>
  <c r="D283" i="14"/>
  <c r="E269" i="10"/>
  <c r="J115" i="10"/>
  <c r="T115" i="10"/>
  <c r="P115" i="10"/>
  <c r="S115" i="10"/>
  <c r="R115" i="10"/>
  <c r="L115" i="10"/>
  <c r="Q115" i="10"/>
  <c r="I115" i="10"/>
  <c r="N115" i="10"/>
  <c r="O269" i="10"/>
  <c r="P269" i="10"/>
  <c r="K246" i="10"/>
  <c r="H269" i="10"/>
  <c r="I283" i="14"/>
  <c r="E293" i="10"/>
  <c r="R93" i="10"/>
  <c r="Q93" i="10"/>
  <c r="D93" i="10"/>
  <c r="P93" i="10"/>
  <c r="G93" i="10"/>
  <c r="L162" i="14"/>
  <c r="M162" i="14"/>
  <c r="K162" i="14"/>
  <c r="R162" i="14"/>
  <c r="T162" i="14"/>
  <c r="E162" i="14"/>
  <c r="O162" i="14"/>
  <c r="P162" i="14"/>
  <c r="Q162" i="14"/>
  <c r="J162" i="14"/>
  <c r="O293" i="10"/>
  <c r="M102" i="10"/>
  <c r="F293" i="10"/>
  <c r="G148" i="14"/>
  <c r="E287" i="10"/>
  <c r="M172" i="10"/>
  <c r="T294" i="14"/>
  <c r="G294" i="14"/>
  <c r="K294" i="14"/>
  <c r="S294" i="14"/>
  <c r="Q294" i="14"/>
  <c r="D294" i="14"/>
  <c r="P294" i="14"/>
  <c r="R154" i="10"/>
  <c r="Q154" i="10"/>
  <c r="M154" i="10"/>
  <c r="H154" i="10"/>
  <c r="I154" i="10"/>
  <c r="T154" i="10"/>
  <c r="O154" i="10"/>
  <c r="S154" i="10"/>
  <c r="P154" i="10"/>
  <c r="J21" i="14"/>
  <c r="N21" i="14"/>
  <c r="K21" i="14"/>
  <c r="T21" i="14"/>
  <c r="S21" i="14"/>
  <c r="Q21" i="14"/>
  <c r="F21" i="14"/>
  <c r="P21" i="14"/>
  <c r="E221" i="14"/>
  <c r="L221" i="14"/>
  <c r="H221" i="14"/>
  <c r="E172" i="10"/>
  <c r="L246" i="10"/>
  <c r="L269" i="10"/>
  <c r="H55" i="10"/>
  <c r="T100" i="14"/>
  <c r="R195" i="14"/>
  <c r="P195" i="14"/>
  <c r="F195" i="14"/>
  <c r="H195" i="14"/>
  <c r="T285" i="10"/>
  <c r="P285" i="10"/>
  <c r="E221" i="1"/>
  <c r="G221" i="3"/>
  <c r="Q184" i="14"/>
  <c r="R184" i="14"/>
  <c r="T205" i="10"/>
  <c r="S205" i="10"/>
  <c r="Q205" i="10"/>
  <c r="O82" i="14"/>
  <c r="R82" i="14"/>
  <c r="Q82" i="14"/>
  <c r="S105" i="10"/>
  <c r="P105" i="10"/>
  <c r="T105" i="10"/>
  <c r="N78" i="10"/>
  <c r="G78" i="10"/>
  <c r="E242" i="1"/>
  <c r="B210" i="14"/>
  <c r="E210" i="1"/>
  <c r="B12" i="14"/>
  <c r="G12" i="3"/>
  <c r="E12" i="1"/>
  <c r="D4" i="1"/>
  <c r="B245" i="14"/>
  <c r="G245" i="3"/>
  <c r="Q105" i="10"/>
  <c r="R303" i="14"/>
  <c r="G177" i="3"/>
  <c r="E262" i="1"/>
  <c r="B262" i="14"/>
  <c r="E127" i="1"/>
  <c r="R119" i="14"/>
  <c r="R309" i="14"/>
  <c r="R105" i="10"/>
  <c r="R160" i="14"/>
  <c r="S31" i="14"/>
  <c r="P31" i="14"/>
  <c r="R81" i="10"/>
  <c r="P81" i="10"/>
  <c r="S81" i="10"/>
  <c r="T193" i="10"/>
  <c r="S193" i="10"/>
  <c r="T13" i="10"/>
  <c r="Q13" i="10"/>
  <c r="P13" i="10"/>
  <c r="O29" i="14"/>
  <c r="T29" i="14"/>
  <c r="S29" i="14"/>
  <c r="G83" i="3"/>
  <c r="B83" i="14"/>
  <c r="L109" i="10"/>
  <c r="N106" i="14"/>
  <c r="T119" i="14"/>
  <c r="T91" i="14"/>
  <c r="T309" i="14"/>
  <c r="P103" i="14"/>
  <c r="P29" i="14"/>
  <c r="T81" i="10"/>
  <c r="L78" i="10"/>
  <c r="S228" i="14"/>
  <c r="R228" i="14"/>
  <c r="Q228" i="14"/>
  <c r="P228" i="14"/>
  <c r="R33" i="10"/>
  <c r="T33" i="10"/>
  <c r="T311" i="14"/>
  <c r="E177" i="1"/>
  <c r="R238" i="10"/>
  <c r="P238" i="10"/>
  <c r="Q238" i="10"/>
  <c r="O42" i="14"/>
  <c r="N42" i="14"/>
  <c r="F42" i="14"/>
  <c r="Q42" i="14"/>
  <c r="P42" i="14"/>
  <c r="G340" i="3"/>
  <c r="E340" i="1"/>
  <c r="B340" i="14"/>
  <c r="G273" i="3"/>
  <c r="B273" i="14"/>
  <c r="K105" i="10"/>
  <c r="F119" i="14"/>
  <c r="R103" i="14"/>
  <c r="P342" i="10"/>
  <c r="Q29" i="14"/>
  <c r="F254" i="14"/>
  <c r="Q254" i="14"/>
  <c r="R177" i="10"/>
  <c r="R11" i="14"/>
  <c r="Q11" i="14"/>
  <c r="S11" i="14"/>
  <c r="T152" i="14"/>
  <c r="S152" i="14"/>
  <c r="Q152" i="14"/>
  <c r="B32" i="14"/>
  <c r="G32" i="3"/>
  <c r="B268" i="14"/>
  <c r="G268" i="3"/>
  <c r="H82" i="14"/>
  <c r="H278" i="14"/>
  <c r="N52" i="10"/>
  <c r="L108" i="14"/>
  <c r="N103" i="14"/>
  <c r="E29" i="14"/>
  <c r="H29" i="14"/>
  <c r="S342" i="10"/>
  <c r="F29" i="14"/>
  <c r="Q283" i="10"/>
  <c r="T172" i="14"/>
  <c r="S172" i="14"/>
  <c r="F168" i="14"/>
  <c r="R168" i="14"/>
  <c r="P168" i="14"/>
  <c r="E334" i="1"/>
  <c r="B334" i="14"/>
  <c r="B141" i="14"/>
  <c r="G141" i="3"/>
  <c r="E141" i="1"/>
  <c r="B264" i="14"/>
  <c r="G264" i="3"/>
  <c r="R283" i="10"/>
  <c r="H78" i="10"/>
  <c r="P163" i="10"/>
  <c r="T163" i="10"/>
  <c r="Q163" i="10"/>
  <c r="B177" i="14"/>
  <c r="R177" i="14"/>
  <c r="B18" i="14"/>
  <c r="R202" i="10"/>
  <c r="Q202" i="10"/>
  <c r="H109" i="14"/>
  <c r="T109" i="14"/>
  <c r="Q109" i="14"/>
  <c r="J72" i="10"/>
  <c r="I72" i="10"/>
  <c r="G62" i="3"/>
  <c r="E62" i="1"/>
  <c r="B46" i="14"/>
  <c r="G46" i="3"/>
  <c r="D82" i="14"/>
  <c r="L52" i="10"/>
  <c r="D108" i="14"/>
  <c r="L29" i="14"/>
  <c r="P206" i="10"/>
  <c r="P106" i="14"/>
  <c r="R132" i="10"/>
  <c r="S132" i="10"/>
  <c r="S169" i="14"/>
  <c r="Q169" i="14"/>
  <c r="C169" i="14"/>
  <c r="G127" i="3"/>
  <c r="G210" i="3"/>
  <c r="E49" i="1"/>
  <c r="B49" i="14"/>
  <c r="H106" i="14"/>
  <c r="J98" i="10"/>
  <c r="D105" i="10"/>
  <c r="T206" i="10"/>
  <c r="P208" i="10"/>
  <c r="Q106" i="14"/>
  <c r="R52" i="10"/>
  <c r="P82" i="14"/>
  <c r="R13" i="10"/>
  <c r="T31" i="14"/>
  <c r="T173" i="14"/>
  <c r="Q173" i="14"/>
  <c r="G57" i="3"/>
  <c r="B57" i="14"/>
  <c r="G26" i="3"/>
  <c r="B26" i="14"/>
  <c r="B302" i="14"/>
  <c r="E302" i="1"/>
  <c r="B211" i="14"/>
  <c r="G211" i="3"/>
  <c r="G106" i="14"/>
  <c r="E184" i="14"/>
  <c r="G108" i="14"/>
  <c r="O13" i="10"/>
  <c r="O184" i="14"/>
  <c r="S194" i="14"/>
  <c r="Q50" i="14"/>
  <c r="T208" i="10"/>
  <c r="R106" i="14"/>
  <c r="P52" i="10"/>
  <c r="S82" i="14"/>
  <c r="T184" i="14"/>
  <c r="F31" i="14"/>
  <c r="B242" i="14"/>
  <c r="F185" i="14"/>
  <c r="R185" i="14"/>
  <c r="Q104" i="10"/>
  <c r="P104" i="10"/>
  <c r="R104" i="10"/>
  <c r="T240" i="10"/>
  <c r="S240" i="10"/>
  <c r="Q240" i="10"/>
  <c r="J27" i="14"/>
  <c r="L27" i="14"/>
  <c r="S27" i="14"/>
  <c r="G52" i="3"/>
  <c r="B52" i="14"/>
  <c r="G25" i="3"/>
  <c r="E25" i="1"/>
  <c r="G50" i="14"/>
  <c r="M52" i="10"/>
  <c r="G299" i="14"/>
  <c r="O52" i="10"/>
  <c r="N13" i="10"/>
  <c r="N184" i="14"/>
  <c r="D29" i="14"/>
  <c r="P125" i="14"/>
  <c r="R50" i="14"/>
  <c r="S106" i="14"/>
  <c r="S52" i="10"/>
  <c r="T82" i="14"/>
  <c r="R78" i="10"/>
  <c r="F184" i="14"/>
  <c r="T121" i="10"/>
  <c r="M78" i="10"/>
  <c r="T255" i="10"/>
  <c r="P255" i="10"/>
  <c r="Q255" i="10"/>
  <c r="K20" i="10"/>
  <c r="N20" i="10"/>
  <c r="L20" i="10"/>
  <c r="I106" i="14"/>
  <c r="K106" i="14"/>
  <c r="D98" i="10"/>
  <c r="O230" i="10"/>
  <c r="L105" i="10"/>
  <c r="F82" i="14"/>
  <c r="P78" i="10"/>
  <c r="I78" i="10"/>
  <c r="G242" i="3"/>
  <c r="E18" i="1"/>
  <c r="N332" i="10"/>
  <c r="E332" i="1"/>
  <c r="G309" i="3"/>
  <c r="G290" i="3"/>
  <c r="G241" i="3"/>
  <c r="B241" i="14"/>
  <c r="B190" i="14"/>
  <c r="S190" i="14"/>
  <c r="G190" i="3"/>
  <c r="E190" i="1"/>
  <c r="G169" i="3"/>
  <c r="E139" i="1"/>
  <c r="B139" i="14"/>
  <c r="G139" i="3"/>
  <c r="E118" i="1"/>
  <c r="B118" i="14"/>
  <c r="E99" i="1"/>
  <c r="B99" i="14"/>
  <c r="G99" i="3"/>
  <c r="B75" i="14"/>
  <c r="G75" i="3"/>
  <c r="B47" i="14"/>
  <c r="E47" i="1"/>
  <c r="G22" i="3"/>
  <c r="E22" i="1"/>
  <c r="B22" i="14"/>
  <c r="F160" i="14"/>
  <c r="T160" i="14"/>
  <c r="Q160" i="14"/>
  <c r="Q109" i="10"/>
  <c r="S109" i="10"/>
  <c r="R109" i="10"/>
  <c r="P109" i="10"/>
  <c r="S129" i="14"/>
  <c r="P129" i="14"/>
  <c r="T129" i="14"/>
  <c r="T52" i="10"/>
  <c r="Q52" i="10"/>
  <c r="Q108" i="14"/>
  <c r="P108" i="14"/>
  <c r="E331" i="1"/>
  <c r="B331" i="14"/>
  <c r="E263" i="1"/>
  <c r="B263" i="14"/>
  <c r="R263" i="14"/>
  <c r="E240" i="1"/>
  <c r="G240" i="3"/>
  <c r="B240" i="14"/>
  <c r="G214" i="3"/>
  <c r="B214" i="14"/>
  <c r="E167" i="1"/>
  <c r="B167" i="14"/>
  <c r="G167" i="3"/>
  <c r="G138" i="3"/>
  <c r="E138" i="1"/>
  <c r="E117" i="1"/>
  <c r="G117" i="3"/>
  <c r="B117" i="14"/>
  <c r="G73" i="3"/>
  <c r="B73" i="14"/>
  <c r="E73" i="1"/>
  <c r="T10" i="10"/>
  <c r="R24" i="14"/>
  <c r="Q16" i="14"/>
  <c r="E233" i="1"/>
  <c r="G145" i="3"/>
  <c r="G19" i="3"/>
  <c r="B270" i="14"/>
  <c r="B145" i="14"/>
  <c r="G346" i="3"/>
  <c r="R6" i="14"/>
  <c r="T16" i="14"/>
  <c r="B323" i="14"/>
  <c r="G300" i="3"/>
  <c r="B205" i="14"/>
  <c r="I239" i="14"/>
  <c r="M354" i="14"/>
  <c r="C354" i="14"/>
  <c r="H345" i="14"/>
  <c r="G270" i="3"/>
  <c r="G36" i="3"/>
  <c r="B282" i="14"/>
  <c r="B346" i="14"/>
  <c r="B220" i="14"/>
  <c r="G282" i="3"/>
  <c r="G157" i="3"/>
  <c r="Q155" i="10"/>
  <c r="S131" i="14"/>
  <c r="T28" i="14"/>
  <c r="Q151" i="10"/>
  <c r="T317" i="14"/>
  <c r="R15" i="10"/>
  <c r="T13" i="14"/>
  <c r="J344" i="14"/>
  <c r="E111" i="1"/>
  <c r="R155" i="10"/>
  <c r="S28" i="14"/>
  <c r="P151" i="10"/>
  <c r="Q317" i="14"/>
  <c r="P15" i="10"/>
  <c r="O13" i="14"/>
  <c r="F308" i="14"/>
  <c r="E257" i="1"/>
  <c r="G316" i="3"/>
  <c r="G257" i="3"/>
  <c r="B19" i="14"/>
  <c r="G292" i="3"/>
  <c r="G206" i="14"/>
  <c r="T83" i="10"/>
  <c r="R83" i="10"/>
  <c r="S83" i="10"/>
  <c r="D83" i="10"/>
  <c r="Q83" i="10"/>
  <c r="F83" i="10"/>
  <c r="G199" i="10"/>
  <c r="J199" i="10"/>
  <c r="Q199" i="10"/>
  <c r="P199" i="10"/>
  <c r="T199" i="10"/>
  <c r="H199" i="10"/>
  <c r="R199" i="10"/>
  <c r="M199" i="10"/>
  <c r="T332" i="10"/>
  <c r="F341" i="14"/>
  <c r="D341" i="14"/>
  <c r="L341" i="14"/>
  <c r="G341" i="14"/>
  <c r="H341" i="14"/>
  <c r="J341" i="14"/>
  <c r="I341" i="14"/>
  <c r="E341" i="14"/>
  <c r="K341" i="14"/>
  <c r="M341" i="14"/>
  <c r="R206" i="14"/>
  <c r="K30" i="14"/>
  <c r="N206" i="14"/>
  <c r="H30" i="14"/>
  <c r="I390" i="10"/>
  <c r="S390" i="10"/>
  <c r="L390" i="10"/>
  <c r="P390" i="10"/>
  <c r="J390" i="10"/>
  <c r="H390" i="10"/>
  <c r="K390" i="10"/>
  <c r="M390" i="10"/>
  <c r="N390" i="10"/>
  <c r="F390" i="10"/>
  <c r="O390" i="10"/>
  <c r="G390" i="10"/>
  <c r="D390" i="10"/>
  <c r="E390" i="10"/>
  <c r="P374" i="10"/>
  <c r="E374" i="10"/>
  <c r="M374" i="10"/>
  <c r="G374" i="10"/>
  <c r="Q374" i="10"/>
  <c r="J374" i="10"/>
  <c r="N374" i="10"/>
  <c r="I374" i="10"/>
  <c r="F374" i="10"/>
  <c r="S374" i="10"/>
  <c r="K374" i="10"/>
  <c r="D374" i="10"/>
  <c r="O374" i="10"/>
  <c r="H374" i="10"/>
  <c r="L374" i="10"/>
  <c r="P358" i="10"/>
  <c r="I358" i="10"/>
  <c r="E358" i="10"/>
  <c r="F358" i="10"/>
  <c r="G358" i="10"/>
  <c r="J358" i="10"/>
  <c r="O358" i="10"/>
  <c r="D358" i="10"/>
  <c r="K358" i="10"/>
  <c r="L358" i="10"/>
  <c r="M358" i="10"/>
  <c r="Q358" i="10"/>
  <c r="N358" i="10"/>
  <c r="N350" i="14"/>
  <c r="S350" i="14"/>
  <c r="H350" i="14"/>
  <c r="Q350" i="14"/>
  <c r="D350" i="14"/>
  <c r="G350" i="14"/>
  <c r="O350" i="14"/>
  <c r="E350" i="14"/>
  <c r="K350" i="14"/>
  <c r="J350" i="14"/>
  <c r="I350" i="14"/>
  <c r="F350" i="14"/>
  <c r="S131" i="10"/>
  <c r="R131" i="10"/>
  <c r="Q131" i="10"/>
  <c r="K131" i="10"/>
  <c r="D30" i="14"/>
  <c r="G286" i="14"/>
  <c r="I286" i="14"/>
  <c r="S286" i="14"/>
  <c r="O286" i="14"/>
  <c r="N184" i="10"/>
  <c r="Q184" i="10"/>
  <c r="O184" i="10"/>
  <c r="H184" i="10"/>
  <c r="T184" i="10"/>
  <c r="O389" i="10"/>
  <c r="L389" i="10"/>
  <c r="I389" i="10"/>
  <c r="P389" i="10"/>
  <c r="D389" i="10"/>
  <c r="Q389" i="10"/>
  <c r="F389" i="10"/>
  <c r="H389" i="10"/>
  <c r="G389" i="10"/>
  <c r="N389" i="10"/>
  <c r="J389" i="10"/>
  <c r="K389" i="10"/>
  <c r="S389" i="10"/>
  <c r="N373" i="10"/>
  <c r="K373" i="10"/>
  <c r="P373" i="10"/>
  <c r="O373" i="10"/>
  <c r="D373" i="10"/>
  <c r="J373" i="10"/>
  <c r="H373" i="10"/>
  <c r="S373" i="10"/>
  <c r="L373" i="10"/>
  <c r="F373" i="10"/>
  <c r="M373" i="10"/>
  <c r="I373" i="10"/>
  <c r="Q373" i="10"/>
  <c r="G373" i="10"/>
  <c r="P357" i="10"/>
  <c r="N357" i="10"/>
  <c r="L357" i="10"/>
  <c r="M357" i="10"/>
  <c r="S357" i="10"/>
  <c r="Q357" i="10"/>
  <c r="K357" i="10"/>
  <c r="I357" i="10"/>
  <c r="F357" i="10"/>
  <c r="G357" i="10"/>
  <c r="O357" i="10"/>
  <c r="E357" i="10"/>
  <c r="D357" i="10"/>
  <c r="H357" i="10"/>
  <c r="I30" i="14"/>
  <c r="I83" i="14"/>
  <c r="D83" i="14"/>
  <c r="K83" i="14"/>
  <c r="H83" i="14"/>
  <c r="F83" i="14"/>
  <c r="S83" i="14"/>
  <c r="I198" i="14"/>
  <c r="H198" i="14"/>
  <c r="O198" i="14"/>
  <c r="F198" i="14"/>
  <c r="T198" i="14"/>
  <c r="R198" i="14"/>
  <c r="E198" i="14"/>
  <c r="L198" i="14"/>
  <c r="D198" i="14"/>
  <c r="T170" i="10"/>
  <c r="S170" i="10"/>
  <c r="Q170" i="10"/>
  <c r="P170" i="10"/>
  <c r="F153" i="14"/>
  <c r="T153" i="14"/>
  <c r="S153" i="14"/>
  <c r="Q153" i="14"/>
  <c r="M153" i="14"/>
  <c r="P153" i="14"/>
  <c r="E153" i="14"/>
  <c r="D153" i="14"/>
  <c r="K153" i="14"/>
  <c r="G275" i="10"/>
  <c r="T275" i="10"/>
  <c r="R316" i="14"/>
  <c r="I316" i="14"/>
  <c r="K316" i="14"/>
  <c r="G316" i="14"/>
  <c r="Q38" i="14"/>
  <c r="J38" i="14"/>
  <c r="G38" i="14"/>
  <c r="P38" i="14"/>
  <c r="K38" i="14"/>
  <c r="N38" i="14"/>
  <c r="D326" i="14"/>
  <c r="H326" i="14"/>
  <c r="E326" i="14"/>
  <c r="L326" i="14"/>
  <c r="S326" i="14"/>
  <c r="I326" i="14"/>
  <c r="J326" i="14"/>
  <c r="T316" i="14"/>
  <c r="L316" i="14"/>
  <c r="S263" i="10"/>
  <c r="R263" i="10"/>
  <c r="F164" i="14"/>
  <c r="G252" i="14"/>
  <c r="H252" i="14"/>
  <c r="S252" i="14"/>
  <c r="T252" i="14"/>
  <c r="G172" i="14"/>
  <c r="O172" i="14"/>
  <c r="H172" i="14"/>
  <c r="J172" i="14"/>
  <c r="D172" i="14"/>
  <c r="I172" i="14"/>
  <c r="F172" i="14"/>
  <c r="Q172" i="14"/>
  <c r="S60" i="10"/>
  <c r="O60" i="10"/>
  <c r="D60" i="10"/>
  <c r="J60" i="10"/>
  <c r="F60" i="10"/>
  <c r="S291" i="14"/>
  <c r="K291" i="14"/>
  <c r="J291" i="14"/>
  <c r="F189" i="14"/>
  <c r="R189" i="14"/>
  <c r="O189" i="14"/>
  <c r="P189" i="14"/>
  <c r="Q189" i="14"/>
  <c r="I189" i="14"/>
  <c r="S95" i="10"/>
  <c r="D95" i="10"/>
  <c r="Q95" i="10"/>
  <c r="J95" i="10"/>
  <c r="S296" i="10"/>
  <c r="R296" i="10"/>
  <c r="Q296" i="10"/>
  <c r="P296" i="10"/>
  <c r="T296" i="10"/>
  <c r="O296" i="10"/>
  <c r="F302" i="10"/>
  <c r="T252" i="10"/>
  <c r="S252" i="10"/>
  <c r="D132" i="14"/>
  <c r="K132" i="14"/>
  <c r="M132" i="14"/>
  <c r="S132" i="14"/>
  <c r="Q132" i="14"/>
  <c r="R132" i="14"/>
  <c r="E132" i="14"/>
  <c r="H132" i="14"/>
  <c r="I132" i="14"/>
  <c r="G307" i="10"/>
  <c r="H307" i="10"/>
  <c r="I307" i="10"/>
  <c r="E307" i="10"/>
  <c r="P162" i="10"/>
  <c r="T162" i="10"/>
  <c r="N162" i="10"/>
  <c r="I162" i="10"/>
  <c r="K162" i="10"/>
  <c r="O162" i="10"/>
  <c r="G162" i="10"/>
  <c r="D162" i="10"/>
  <c r="J162" i="10"/>
  <c r="Q162" i="10"/>
  <c r="E162" i="10"/>
  <c r="R162" i="10"/>
  <c r="M162" i="10"/>
  <c r="T171" i="14"/>
  <c r="Q171" i="14"/>
  <c r="P171" i="14"/>
  <c r="F171" i="14"/>
  <c r="M171" i="14"/>
  <c r="S171" i="14"/>
  <c r="E171" i="14"/>
  <c r="H171" i="14"/>
  <c r="L171" i="14"/>
  <c r="I171" i="14"/>
  <c r="G171" i="14"/>
  <c r="J171" i="14"/>
  <c r="K74" i="10"/>
  <c r="G74" i="10"/>
  <c r="D74" i="10"/>
  <c r="I74" i="10"/>
  <c r="H275" i="14"/>
  <c r="G275" i="14"/>
  <c r="T275" i="14"/>
  <c r="J74" i="14"/>
  <c r="T74" i="14"/>
  <c r="E74" i="14"/>
  <c r="D74" i="14"/>
  <c r="S74" i="14"/>
  <c r="H74" i="14"/>
  <c r="I74" i="14"/>
  <c r="F30" i="14"/>
  <c r="E30" i="14"/>
  <c r="O30" i="14"/>
  <c r="G30" i="14"/>
  <c r="L30" i="14"/>
  <c r="D131" i="10"/>
  <c r="S193" i="14"/>
  <c r="Q193" i="14"/>
  <c r="H193" i="14"/>
  <c r="M193" i="14"/>
  <c r="F193" i="14"/>
  <c r="J193" i="14"/>
  <c r="D193" i="14"/>
  <c r="T193" i="14"/>
  <c r="P193" i="14"/>
  <c r="T297" i="14"/>
  <c r="Q297" i="14"/>
  <c r="E297" i="14"/>
  <c r="L297" i="14"/>
  <c r="P297" i="14"/>
  <c r="D297" i="14"/>
  <c r="G297" i="14"/>
  <c r="S315" i="10"/>
  <c r="R315" i="10"/>
  <c r="Q315" i="10"/>
  <c r="D294" i="10"/>
  <c r="M294" i="10"/>
  <c r="T294" i="10"/>
  <c r="Q157" i="14"/>
  <c r="T157" i="14"/>
  <c r="H157" i="14"/>
  <c r="J157" i="14"/>
  <c r="E157" i="14"/>
  <c r="I157" i="14"/>
  <c r="L157" i="14"/>
  <c r="G157" i="14"/>
  <c r="O157" i="14"/>
  <c r="R157" i="14"/>
  <c r="M157" i="14"/>
  <c r="S210" i="14"/>
  <c r="G210" i="14"/>
  <c r="I210" i="14"/>
  <c r="F210" i="14"/>
  <c r="M210" i="14"/>
  <c r="R210" i="14"/>
  <c r="J210" i="14"/>
  <c r="L210" i="14"/>
  <c r="F69" i="10"/>
  <c r="S69" i="10"/>
  <c r="E69" i="10"/>
  <c r="Q69" i="10"/>
  <c r="H69" i="10"/>
  <c r="I69" i="10"/>
  <c r="I150" i="10"/>
  <c r="K150" i="10"/>
  <c r="E150" i="10"/>
  <c r="G150" i="10"/>
  <c r="H150" i="10"/>
  <c r="D150" i="10"/>
  <c r="R150" i="10"/>
  <c r="Q150" i="10"/>
  <c r="S316" i="14"/>
  <c r="J316" i="14"/>
  <c r="T202" i="14"/>
  <c r="Q202" i="14"/>
  <c r="M202" i="14"/>
  <c r="F202" i="14"/>
  <c r="S202" i="14"/>
  <c r="G202" i="14"/>
  <c r="R202" i="14"/>
  <c r="H202" i="14"/>
  <c r="P202" i="14"/>
  <c r="D202" i="14"/>
  <c r="E202" i="14"/>
  <c r="J202" i="14"/>
  <c r="K202" i="14"/>
  <c r="T196" i="10"/>
  <c r="R196" i="10"/>
  <c r="P196" i="10"/>
  <c r="Q196" i="10"/>
  <c r="T68" i="10"/>
  <c r="S68" i="10"/>
  <c r="P68" i="10"/>
  <c r="Q68" i="10"/>
  <c r="J68" i="10"/>
  <c r="L68" i="10"/>
  <c r="G68" i="10"/>
  <c r="Q29" i="10"/>
  <c r="J29" i="10"/>
  <c r="G29" i="10"/>
  <c r="I29" i="10"/>
  <c r="D29" i="10"/>
  <c r="O29" i="10"/>
  <c r="H29" i="10"/>
  <c r="P29" i="10"/>
  <c r="L29" i="10"/>
  <c r="R257" i="10"/>
  <c r="T257" i="10"/>
  <c r="M257" i="10"/>
  <c r="S358" i="10"/>
  <c r="F206" i="14"/>
  <c r="T206" i="14"/>
  <c r="P206" i="14"/>
  <c r="S206" i="14"/>
  <c r="K206" i="14"/>
  <c r="L206" i="14"/>
  <c r="I206" i="14"/>
  <c r="N131" i="10"/>
  <c r="D206" i="14"/>
  <c r="M316" i="14"/>
  <c r="E63" i="10"/>
  <c r="D63" i="10"/>
  <c r="M163" i="14"/>
  <c r="H163" i="14"/>
  <c r="J163" i="14"/>
  <c r="Q163" i="14"/>
  <c r="S163" i="14"/>
  <c r="R163" i="14"/>
  <c r="T163" i="14"/>
  <c r="F102" i="10"/>
  <c r="R102" i="10"/>
  <c r="P102" i="10"/>
  <c r="Q102" i="10"/>
  <c r="I102" i="10"/>
  <c r="D102" i="10"/>
  <c r="I318" i="14"/>
  <c r="E318" i="14"/>
  <c r="H318" i="14"/>
  <c r="K318" i="14"/>
  <c r="P195" i="10"/>
  <c r="T195" i="10"/>
  <c r="R195" i="10"/>
  <c r="F215" i="14"/>
  <c r="I215" i="14"/>
  <c r="S215" i="14"/>
  <c r="Q215" i="14"/>
  <c r="K215" i="14"/>
  <c r="J215" i="14"/>
  <c r="T87" i="10"/>
  <c r="G87" i="10"/>
  <c r="P87" i="10"/>
  <c r="S87" i="10"/>
  <c r="F87" i="10"/>
  <c r="G219" i="14"/>
  <c r="K219" i="14"/>
  <c r="D219" i="14"/>
  <c r="J219" i="14"/>
  <c r="L219" i="14"/>
  <c r="F219" i="14"/>
  <c r="I219" i="14"/>
  <c r="E219" i="14"/>
  <c r="R50" i="10"/>
  <c r="Q50" i="10"/>
  <c r="H50" i="10"/>
  <c r="D50" i="10"/>
  <c r="G50" i="10"/>
  <c r="F50" i="10"/>
  <c r="T244" i="10"/>
  <c r="Q244" i="10"/>
  <c r="P244" i="10"/>
  <c r="I244" i="10"/>
  <c r="J244" i="10"/>
  <c r="S244" i="10"/>
  <c r="K19" i="10"/>
  <c r="G19" i="10"/>
  <c r="T19" i="10"/>
  <c r="R19" i="10"/>
  <c r="S19" i="10"/>
  <c r="Q19" i="10"/>
  <c r="P19" i="10"/>
  <c r="H19" i="10"/>
  <c r="M19" i="10"/>
  <c r="I19" i="10"/>
  <c r="O35" i="14"/>
  <c r="K35" i="14"/>
  <c r="M35" i="14"/>
  <c r="G35" i="14"/>
  <c r="J35" i="14"/>
  <c r="Q35" i="14"/>
  <c r="S35" i="14"/>
  <c r="Q390" i="10"/>
  <c r="O206" i="14"/>
  <c r="Q316" i="14"/>
  <c r="Q206" i="14"/>
  <c r="M206" i="14"/>
  <c r="D316" i="14"/>
  <c r="R303" i="10"/>
  <c r="F55" i="14"/>
  <c r="M55" i="14"/>
  <c r="T320" i="10"/>
  <c r="S320" i="10"/>
  <c r="E320" i="10"/>
  <c r="J320" i="10"/>
  <c r="G320" i="10"/>
  <c r="E243" i="14"/>
  <c r="J243" i="14"/>
  <c r="D243" i="14"/>
  <c r="M243" i="14"/>
  <c r="R51" i="10"/>
  <c r="P51" i="10"/>
  <c r="Q51" i="10"/>
  <c r="N51" i="10"/>
  <c r="G51" i="10"/>
  <c r="O51" i="10"/>
  <c r="E51" i="10"/>
  <c r="M51" i="10"/>
  <c r="G89" i="14"/>
  <c r="H89" i="14"/>
  <c r="M89" i="14"/>
  <c r="D89" i="14"/>
  <c r="I89" i="14"/>
  <c r="K89" i="14"/>
  <c r="L89" i="14"/>
  <c r="Q218" i="10"/>
  <c r="O218" i="10"/>
  <c r="S218" i="10"/>
  <c r="F218" i="10"/>
  <c r="F221" i="14"/>
  <c r="G221" i="14"/>
  <c r="D221" i="14"/>
  <c r="J221" i="14"/>
  <c r="I221" i="14"/>
  <c r="K221" i="14"/>
  <c r="N316" i="14"/>
  <c r="E206" i="14"/>
  <c r="R332" i="10"/>
  <c r="F104" i="14"/>
  <c r="T104" i="14"/>
  <c r="S104" i="14"/>
  <c r="Q104" i="14"/>
  <c r="N104" i="14"/>
  <c r="R104" i="14"/>
  <c r="P104" i="14"/>
  <c r="K104" i="14"/>
  <c r="G104" i="14"/>
  <c r="I104" i="14"/>
  <c r="F218" i="14"/>
  <c r="Q218" i="14"/>
  <c r="M218" i="14"/>
  <c r="H218" i="14"/>
  <c r="P295" i="10"/>
  <c r="T295" i="10"/>
  <c r="R265" i="14"/>
  <c r="H265" i="14"/>
  <c r="L265" i="14"/>
  <c r="N265" i="14"/>
  <c r="P288" i="10"/>
  <c r="S122" i="10"/>
  <c r="G366" i="14"/>
  <c r="H340" i="14"/>
  <c r="K340" i="14"/>
  <c r="K331" i="10"/>
  <c r="D331" i="10"/>
  <c r="P331" i="10"/>
  <c r="Q103" i="14"/>
  <c r="T288" i="10"/>
  <c r="H335" i="14"/>
  <c r="L366" i="14"/>
  <c r="T195" i="14"/>
  <c r="Q195" i="14"/>
  <c r="S195" i="14"/>
  <c r="S285" i="10"/>
  <c r="R285" i="10"/>
  <c r="K34" i="14"/>
  <c r="S34" i="14"/>
  <c r="G335" i="14"/>
  <c r="D366" i="14"/>
  <c r="N364" i="14"/>
  <c r="S194" i="10"/>
  <c r="P194" i="10"/>
  <c r="T248" i="10"/>
  <c r="S248" i="10"/>
  <c r="Q381" i="14"/>
  <c r="Q359" i="14"/>
  <c r="L359" i="14"/>
  <c r="N359" i="14"/>
  <c r="K359" i="14"/>
  <c r="E359" i="14"/>
  <c r="F359" i="14"/>
  <c r="S359" i="14"/>
  <c r="P359" i="14"/>
  <c r="M359" i="14"/>
  <c r="D359" i="14"/>
  <c r="F376" i="14"/>
  <c r="P376" i="14"/>
  <c r="E376" i="14"/>
  <c r="N376" i="14"/>
  <c r="O376" i="14"/>
  <c r="J376" i="14"/>
  <c r="Q358" i="14"/>
  <c r="O358" i="14"/>
  <c r="E358" i="14"/>
  <c r="I358" i="14"/>
  <c r="M358" i="14"/>
  <c r="N358" i="14"/>
  <c r="F358" i="14"/>
  <c r="J358" i="14"/>
  <c r="P358" i="14"/>
  <c r="R358" i="14"/>
  <c r="S103" i="14"/>
  <c r="S209" i="14"/>
  <c r="Q107" i="14"/>
  <c r="L364" i="14"/>
  <c r="K358" i="14"/>
  <c r="O381" i="14"/>
  <c r="S381" i="14"/>
  <c r="N349" i="10"/>
  <c r="P349" i="10"/>
  <c r="J349" i="10"/>
  <c r="S349" i="10"/>
  <c r="L335" i="14"/>
  <c r="I335" i="14"/>
  <c r="T103" i="14"/>
  <c r="S107" i="14"/>
  <c r="F203" i="14"/>
  <c r="Q203" i="14"/>
  <c r="R203" i="14"/>
  <c r="H358" i="14"/>
  <c r="G364" i="14"/>
  <c r="H346" i="10"/>
  <c r="F346" i="10"/>
  <c r="T346" i="10"/>
  <c r="E346" i="10"/>
  <c r="Q161" i="14"/>
  <c r="P43" i="14"/>
  <c r="T107" i="14"/>
  <c r="S203" i="10"/>
  <c r="R203" i="10"/>
  <c r="T256" i="10"/>
  <c r="P256" i="10"/>
  <c r="R278" i="14"/>
  <c r="F278" i="14"/>
  <c r="M145" i="14"/>
  <c r="J145" i="14"/>
  <c r="E145" i="14"/>
  <c r="P161" i="14"/>
  <c r="R43" i="14"/>
  <c r="P129" i="10"/>
  <c r="T203" i="10"/>
  <c r="N383" i="14"/>
  <c r="K79" i="14"/>
  <c r="G79" i="14"/>
  <c r="G230" i="3"/>
  <c r="M335" i="14"/>
  <c r="F93" i="14"/>
  <c r="Q93" i="14"/>
  <c r="S93" i="14"/>
  <c r="S255" i="14"/>
  <c r="R255" i="14"/>
  <c r="J364" i="14"/>
  <c r="H364" i="14"/>
  <c r="I364" i="14"/>
  <c r="F364" i="14"/>
  <c r="Q364" i="14"/>
  <c r="P364" i="14"/>
  <c r="E364" i="14"/>
  <c r="M364" i="14"/>
  <c r="O364" i="14"/>
  <c r="H381" i="14"/>
  <c r="K381" i="14"/>
  <c r="E381" i="14"/>
  <c r="F381" i="14"/>
  <c r="P381" i="14"/>
  <c r="L381" i="14"/>
  <c r="D381" i="14"/>
  <c r="J381" i="14"/>
  <c r="B332" i="14"/>
  <c r="G332" i="3"/>
  <c r="B310" i="14"/>
  <c r="E309" i="1"/>
  <c r="G310" i="3"/>
  <c r="G265" i="3"/>
  <c r="E182" i="1"/>
  <c r="B182" i="14"/>
  <c r="G182" i="3"/>
  <c r="E341" i="1"/>
  <c r="G341" i="3"/>
  <c r="B327" i="14"/>
  <c r="G327" i="3"/>
  <c r="E161" i="1"/>
  <c r="P287" i="10"/>
  <c r="R130" i="10"/>
  <c r="Q49" i="14"/>
  <c r="T43" i="14"/>
  <c r="E288" i="10"/>
  <c r="H383" i="14"/>
  <c r="T207" i="10"/>
  <c r="P207" i="10"/>
  <c r="I376" i="14"/>
  <c r="D358" i="14"/>
  <c r="Q376" i="14"/>
  <c r="D335" i="14"/>
  <c r="G134" i="10"/>
  <c r="N134" i="10"/>
  <c r="S134" i="10"/>
  <c r="Q134" i="10"/>
  <c r="N366" i="14"/>
  <c r="Q366" i="14"/>
  <c r="S366" i="14"/>
  <c r="I366" i="14"/>
  <c r="O366" i="14"/>
  <c r="F366" i="14"/>
  <c r="P366" i="14"/>
  <c r="E366" i="14"/>
  <c r="J366" i="14"/>
  <c r="Q383" i="14"/>
  <c r="M383" i="14"/>
  <c r="O383" i="14"/>
  <c r="E383" i="14"/>
  <c r="G383" i="14"/>
  <c r="L383" i="14"/>
  <c r="G351" i="3"/>
  <c r="B351" i="14"/>
  <c r="E351" i="1"/>
  <c r="G330" i="3"/>
  <c r="B330" i="14"/>
  <c r="E330" i="1"/>
  <c r="B307" i="14"/>
  <c r="G307" i="3"/>
  <c r="B288" i="14"/>
  <c r="E287" i="1"/>
  <c r="G288" i="3"/>
  <c r="G187" i="3"/>
  <c r="B187" i="14"/>
  <c r="S287" i="10"/>
  <c r="S130" i="10"/>
  <c r="T49" i="14"/>
  <c r="O43" i="14"/>
  <c r="T134" i="10"/>
  <c r="P93" i="14"/>
  <c r="K383" i="14"/>
  <c r="N27" i="14"/>
  <c r="I27" i="14"/>
  <c r="P27" i="14"/>
  <c r="G27" i="14"/>
  <c r="K27" i="14"/>
  <c r="T27" i="14"/>
  <c r="S383" i="14"/>
  <c r="Q367" i="14"/>
  <c r="M367" i="14"/>
  <c r="L367" i="14"/>
  <c r="K367" i="14"/>
  <c r="E367" i="14"/>
  <c r="G367" i="14"/>
  <c r="N367" i="14"/>
  <c r="F367" i="14"/>
  <c r="S367" i="14"/>
  <c r="P367" i="14"/>
  <c r="D367" i="14"/>
  <c r="J367" i="14"/>
  <c r="Q384" i="14"/>
  <c r="O384" i="14"/>
  <c r="G384" i="14"/>
  <c r="K384" i="14"/>
  <c r="E384" i="14"/>
  <c r="N384" i="14"/>
  <c r="S384" i="14"/>
  <c r="B274" i="14"/>
  <c r="E273" i="1"/>
  <c r="Q132" i="10"/>
  <c r="R93" i="14"/>
  <c r="R256" i="10"/>
  <c r="M134" i="10"/>
  <c r="J383" i="14"/>
  <c r="P237" i="10"/>
  <c r="T237" i="10"/>
  <c r="M384" i="14"/>
  <c r="S157" i="10"/>
  <c r="Q157" i="10"/>
  <c r="T157" i="10"/>
  <c r="R315" i="14"/>
  <c r="S364" i="14"/>
  <c r="P375" i="10"/>
  <c r="I375" i="10"/>
  <c r="K375" i="10"/>
  <c r="G375" i="10"/>
  <c r="E375" i="10"/>
  <c r="N375" i="10"/>
  <c r="L375" i="10"/>
  <c r="H375" i="10"/>
  <c r="D375" i="10"/>
  <c r="F375" i="10"/>
  <c r="Q359" i="10"/>
  <c r="D359" i="10"/>
  <c r="N359" i="10"/>
  <c r="I359" i="10"/>
  <c r="F359" i="10"/>
  <c r="L359" i="10"/>
  <c r="P359" i="10"/>
  <c r="K359" i="10"/>
  <c r="M359" i="10"/>
  <c r="J349" i="14"/>
  <c r="D349" i="14"/>
  <c r="I349" i="14"/>
  <c r="S349" i="14"/>
  <c r="P349" i="14"/>
  <c r="H349" i="14"/>
  <c r="E349" i="14"/>
  <c r="G43" i="3"/>
  <c r="E43" i="1"/>
  <c r="G353" i="3"/>
  <c r="B353" i="14"/>
  <c r="Q133" i="14"/>
  <c r="R308" i="14"/>
  <c r="G11" i="3"/>
  <c r="L379" i="10"/>
  <c r="J362" i="14"/>
  <c r="K379" i="14"/>
  <c r="G363" i="10"/>
  <c r="H379" i="10"/>
  <c r="Q362" i="14"/>
  <c r="P379" i="14"/>
  <c r="Q378" i="10"/>
  <c r="O378" i="10"/>
  <c r="H378" i="10"/>
  <c r="K378" i="10"/>
  <c r="I378" i="10"/>
  <c r="L378" i="10"/>
  <c r="L362" i="10"/>
  <c r="S362" i="10"/>
  <c r="E362" i="10"/>
  <c r="P362" i="10"/>
  <c r="D362" i="10"/>
  <c r="P363" i="14"/>
  <c r="H363" i="14"/>
  <c r="K363" i="14"/>
  <c r="P380" i="14"/>
  <c r="I380" i="14"/>
  <c r="G380" i="14"/>
  <c r="G94" i="3"/>
  <c r="K78" i="10"/>
  <c r="Q20" i="10"/>
  <c r="F344" i="14"/>
  <c r="M362" i="14"/>
  <c r="I379" i="10"/>
  <c r="G387" i="14"/>
  <c r="K367" i="10"/>
  <c r="J378" i="10"/>
  <c r="O362" i="10"/>
  <c r="K362" i="14"/>
  <c r="F357" i="14"/>
  <c r="I376" i="10"/>
  <c r="S376" i="10"/>
  <c r="N376" i="10"/>
  <c r="B289" i="14"/>
  <c r="G289" i="3"/>
  <c r="M379" i="14"/>
  <c r="D379" i="10"/>
  <c r="N362" i="14"/>
  <c r="B127" i="14"/>
  <c r="F378" i="14"/>
  <c r="S387" i="10"/>
  <c r="E387" i="10"/>
  <c r="J387" i="10"/>
  <c r="N387" i="10"/>
  <c r="K387" i="10"/>
  <c r="D387" i="10"/>
  <c r="P371" i="10"/>
  <c r="D371" i="10"/>
  <c r="K371" i="10"/>
  <c r="I371" i="10"/>
  <c r="O355" i="10"/>
  <c r="H355" i="10"/>
  <c r="I355" i="10"/>
  <c r="D370" i="14"/>
  <c r="S370" i="14"/>
  <c r="F370" i="14"/>
  <c r="Q387" i="14"/>
  <c r="O387" i="14"/>
  <c r="H387" i="14"/>
  <c r="S387" i="14"/>
  <c r="L387" i="14"/>
  <c r="F387" i="14"/>
  <c r="B39" i="14"/>
  <c r="H379" i="14"/>
  <c r="D355" i="14"/>
  <c r="I362" i="14"/>
  <c r="N355" i="10"/>
  <c r="D378" i="10"/>
  <c r="S380" i="14"/>
  <c r="S363" i="14"/>
  <c r="N378" i="14"/>
  <c r="Q370" i="14"/>
  <c r="Q386" i="10"/>
  <c r="I386" i="10"/>
  <c r="F386" i="10"/>
  <c r="H386" i="10"/>
  <c r="N386" i="10"/>
  <c r="O370" i="10"/>
  <c r="E370" i="10"/>
  <c r="M370" i="10"/>
  <c r="K370" i="10"/>
  <c r="L370" i="10"/>
  <c r="F354" i="10"/>
  <c r="H354" i="10"/>
  <c r="B181" i="14"/>
  <c r="E36" i="1"/>
  <c r="E245" i="1"/>
  <c r="Q361" i="14"/>
  <c r="H355" i="14"/>
  <c r="I355" i="14"/>
  <c r="E355" i="14"/>
  <c r="J355" i="14"/>
  <c r="L372" i="14"/>
  <c r="O372" i="14"/>
  <c r="M372" i="14"/>
  <c r="N372" i="14"/>
  <c r="I372" i="14"/>
  <c r="M388" i="14"/>
  <c r="Q388" i="14"/>
  <c r="O388" i="14"/>
  <c r="B67" i="14"/>
  <c r="G67" i="3"/>
  <c r="B37" i="14"/>
  <c r="G37" i="3"/>
  <c r="E10" i="1"/>
  <c r="B10" i="14"/>
  <c r="Q31" i="14"/>
  <c r="P15" i="14"/>
  <c r="D78" i="10"/>
  <c r="D379" i="14"/>
  <c r="J379" i="10"/>
  <c r="I378" i="14"/>
  <c r="H388" i="14"/>
  <c r="H361" i="14"/>
  <c r="G355" i="14"/>
  <c r="G371" i="10"/>
  <c r="H387" i="10"/>
  <c r="M361" i="14"/>
  <c r="I367" i="10"/>
  <c r="E387" i="14"/>
  <c r="S355" i="10"/>
  <c r="M380" i="14"/>
  <c r="S388" i="14"/>
  <c r="F363" i="14"/>
  <c r="S361" i="14"/>
  <c r="E107" i="1"/>
  <c r="G107" i="3"/>
  <c r="G90" i="3"/>
  <c r="G56" i="3"/>
  <c r="G86" i="3"/>
  <c r="B86" i="14"/>
  <c r="E78" i="10"/>
  <c r="K77" i="14"/>
  <c r="I344" i="14"/>
  <c r="M379" i="10"/>
  <c r="E119" i="1"/>
  <c r="I361" i="14"/>
  <c r="O378" i="14"/>
  <c r="Q372" i="14"/>
  <c r="I383" i="10"/>
  <c r="P383" i="10"/>
  <c r="H383" i="10"/>
  <c r="N383" i="10"/>
  <c r="F383" i="10"/>
  <c r="H367" i="10"/>
  <c r="P367" i="10"/>
  <c r="G367" i="10"/>
  <c r="J367" i="10"/>
  <c r="F367" i="10"/>
  <c r="N367" i="10"/>
  <c r="Q357" i="14"/>
  <c r="I357" i="14"/>
  <c r="E357" i="14"/>
  <c r="F375" i="14"/>
  <c r="P375" i="14"/>
  <c r="F373" i="14"/>
  <c r="L373" i="14"/>
  <c r="O373" i="14"/>
  <c r="H373" i="14"/>
  <c r="M373" i="14"/>
  <c r="S373" i="14"/>
  <c r="N373" i="14"/>
  <c r="G135" i="3"/>
  <c r="G176" i="3"/>
  <c r="E176" i="1"/>
  <c r="B105" i="14"/>
  <c r="G105" i="3"/>
  <c r="B81" i="14"/>
  <c r="G81" i="3"/>
  <c r="G60" i="3"/>
  <c r="B60" i="14"/>
  <c r="D133" i="10"/>
  <c r="O20" i="10"/>
  <c r="M344" i="14"/>
  <c r="F379" i="10"/>
  <c r="M378" i="14"/>
  <c r="D388" i="14"/>
  <c r="E344" i="14"/>
  <c r="E367" i="10"/>
  <c r="D373" i="14"/>
  <c r="M355" i="14"/>
  <c r="B94" i="14"/>
  <c r="O375" i="14"/>
  <c r="O383" i="10"/>
  <c r="S371" i="10"/>
  <c r="F372" i="14"/>
  <c r="P381" i="10"/>
  <c r="K381" i="10"/>
  <c r="O381" i="10"/>
  <c r="J381" i="10"/>
  <c r="S365" i="10"/>
  <c r="N365" i="10"/>
  <c r="B59" i="14"/>
  <c r="P361" i="14"/>
  <c r="J361" i="14"/>
  <c r="G146" i="3"/>
  <c r="Q379" i="10"/>
  <c r="E379" i="10"/>
  <c r="K379" i="10"/>
  <c r="I363" i="10"/>
  <c r="S363" i="10"/>
  <c r="P363" i="10"/>
  <c r="O363" i="10"/>
  <c r="K363" i="10"/>
  <c r="S362" i="14"/>
  <c r="D362" i="14"/>
  <c r="N379" i="14"/>
  <c r="F379" i="14"/>
  <c r="S379" i="14"/>
  <c r="O379" i="14"/>
  <c r="G337" i="3"/>
  <c r="B337" i="14"/>
  <c r="G244" i="3"/>
  <c r="B159" i="14"/>
  <c r="D380" i="10"/>
  <c r="L380" i="10"/>
  <c r="N380" i="10"/>
  <c r="F389" i="14"/>
  <c r="P374" i="14"/>
  <c r="F356" i="14"/>
  <c r="D356" i="14"/>
  <c r="H380" i="10"/>
  <c r="O372" i="10"/>
  <c r="Q385" i="14"/>
  <c r="C385" i="14"/>
  <c r="P365" i="14"/>
  <c r="C365" i="14"/>
  <c r="S389" i="14"/>
  <c r="S374" i="14"/>
  <c r="P356" i="14"/>
  <c r="N374" i="14"/>
  <c r="N356" i="14"/>
  <c r="O389" i="14"/>
  <c r="M374" i="14"/>
  <c r="O374" i="14"/>
  <c r="M2" i="2"/>
  <c r="X40" i="2"/>
  <c r="X89" i="2"/>
  <c r="X82" i="2"/>
  <c r="X45" i="2"/>
  <c r="X11" i="2"/>
  <c r="X88" i="2"/>
  <c r="X60" i="2"/>
  <c r="AN1" i="2"/>
  <c r="AV33" i="2"/>
  <c r="BB66" i="2"/>
  <c r="BB23" i="2"/>
  <c r="BB31" i="2"/>
  <c r="CR48" i="2"/>
  <c r="CR50" i="2"/>
  <c r="CR36" i="2"/>
  <c r="CR45" i="2"/>
  <c r="CR14" i="2"/>
  <c r="CR12" i="2"/>
  <c r="CR19" i="2"/>
  <c r="CR28" i="2"/>
  <c r="CP1" i="2"/>
  <c r="CR15" i="2"/>
  <c r="CR58" i="2"/>
  <c r="CS2" i="2"/>
  <c r="CR43" i="2"/>
  <c r="CR54" i="2"/>
  <c r="CR17" i="2"/>
  <c r="CR63" i="2"/>
  <c r="CR49" i="2"/>
  <c r="CR33" i="2"/>
  <c r="CR10" i="2"/>
  <c r="CR60" i="2"/>
  <c r="CR27" i="2"/>
  <c r="CR35" i="2"/>
  <c r="CR55" i="2"/>
  <c r="CR16" i="2"/>
  <c r="CR38" i="2"/>
  <c r="CR8" i="2"/>
  <c r="CR44" i="2"/>
  <c r="CR13" i="2"/>
  <c r="BT34" i="2"/>
  <c r="BT53" i="2"/>
  <c r="BT73" i="2"/>
  <c r="BT76" i="2"/>
  <c r="C336" i="10"/>
  <c r="BT74" i="2"/>
  <c r="BT83" i="2"/>
  <c r="BT71" i="2"/>
  <c r="BT90" i="2"/>
  <c r="BB95" i="2"/>
  <c r="BB11" i="2"/>
  <c r="BT93" i="2"/>
  <c r="BT47" i="2"/>
  <c r="BT30" i="2"/>
  <c r="CL10" i="2"/>
  <c r="C261" i="14"/>
  <c r="BT63" i="2"/>
  <c r="BT79" i="2"/>
  <c r="BT78" i="2"/>
  <c r="CL32" i="2"/>
  <c r="C328" i="14"/>
  <c r="BB96" i="2"/>
  <c r="BT55" i="2"/>
  <c r="BT87" i="2"/>
  <c r="BT96" i="2"/>
  <c r="BT32" i="2"/>
  <c r="BT94" i="2"/>
  <c r="CL69" i="2"/>
  <c r="CL64" i="2"/>
  <c r="BT33" i="2"/>
  <c r="BT11" i="2"/>
  <c r="F52" i="2"/>
  <c r="BX1" i="2"/>
  <c r="BT67" i="2"/>
  <c r="BT77" i="2"/>
  <c r="BT17" i="2"/>
  <c r="CL59" i="2"/>
  <c r="BT97" i="2"/>
  <c r="BT72" i="2"/>
  <c r="BT59" i="2"/>
  <c r="F62" i="2"/>
  <c r="BT20" i="2"/>
  <c r="BT88" i="2"/>
  <c r="BT75" i="2"/>
  <c r="F100" i="2"/>
  <c r="CL33" i="2"/>
  <c r="C80" i="14"/>
  <c r="BT16" i="2"/>
  <c r="BT21" i="2"/>
  <c r="BT9" i="2"/>
  <c r="BT44" i="2"/>
  <c r="CL41" i="2"/>
  <c r="F78" i="2"/>
  <c r="BR1" i="2"/>
  <c r="BT14" i="2"/>
  <c r="BT18" i="2"/>
  <c r="BT37" i="2"/>
  <c r="BT57" i="2"/>
  <c r="CL37" i="2"/>
  <c r="C336" i="14"/>
  <c r="CF11" i="2"/>
  <c r="CF21" i="2"/>
  <c r="CF35" i="2"/>
  <c r="CF50" i="2"/>
  <c r="CF69" i="2"/>
  <c r="CG3" i="2"/>
  <c r="CF26" i="2"/>
  <c r="CF63" i="2"/>
  <c r="CF31" i="2"/>
  <c r="CF77" i="2"/>
  <c r="CF20" i="2"/>
  <c r="CF34" i="2"/>
  <c r="CF53" i="2"/>
  <c r="CF67" i="2"/>
  <c r="CG2" i="2"/>
  <c r="CF47" i="2"/>
  <c r="CF16" i="2"/>
  <c r="CF19" i="2"/>
  <c r="CF37" i="2"/>
  <c r="CF52" i="2"/>
  <c r="CF71" i="2"/>
  <c r="CF45" i="2"/>
  <c r="CF15" i="2"/>
  <c r="CF48" i="2"/>
  <c r="CF33" i="2"/>
  <c r="CF8" i="2"/>
  <c r="CF36" i="2"/>
  <c r="CF55" i="2"/>
  <c r="CF70" i="2"/>
  <c r="CF75" i="2"/>
  <c r="CF40" i="2"/>
  <c r="CF28" i="2"/>
  <c r="CF83" i="2"/>
  <c r="CF64" i="2"/>
  <c r="CF9" i="2"/>
  <c r="CF66" i="2"/>
  <c r="CF22" i="2"/>
  <c r="CF39" i="2"/>
  <c r="CF54" i="2"/>
  <c r="CF72" i="2"/>
  <c r="CF10" i="2"/>
  <c r="CF74" i="2"/>
  <c r="CF60" i="2"/>
  <c r="CF14" i="2"/>
  <c r="CD1" i="2"/>
  <c r="CF24" i="2"/>
  <c r="CF38" i="2"/>
  <c r="CF56" i="2"/>
  <c r="CF59" i="2"/>
  <c r="CF65" i="2"/>
  <c r="CF29" i="2"/>
  <c r="CF80" i="2"/>
  <c r="CF23" i="2"/>
  <c r="CF43" i="2"/>
  <c r="CF58" i="2"/>
  <c r="CF79" i="2"/>
  <c r="CF12" i="2"/>
  <c r="CF44" i="2"/>
  <c r="CF17" i="2"/>
  <c r="CF49" i="2"/>
  <c r="CF32" i="2"/>
  <c r="CF27" i="2"/>
  <c r="CF41" i="2"/>
  <c r="CF61" i="2"/>
  <c r="CF78" i="2"/>
  <c r="CF13" i="2"/>
  <c r="CF81" i="2"/>
  <c r="CF82" i="2"/>
  <c r="CF30" i="2"/>
  <c r="CF18" i="2"/>
  <c r="CF51" i="2"/>
  <c r="CF62" i="2"/>
  <c r="CF46" i="2"/>
  <c r="CF68" i="2"/>
  <c r="L33" i="2"/>
  <c r="X85" i="2"/>
  <c r="BB19" i="2"/>
  <c r="AV96" i="2"/>
  <c r="AD71" i="2"/>
  <c r="BB64" i="2"/>
  <c r="F97" i="2"/>
  <c r="AV74" i="2"/>
  <c r="CX42" i="2"/>
  <c r="CR42" i="2"/>
  <c r="CR22" i="2"/>
  <c r="CR23" i="2"/>
  <c r="CY3" i="2"/>
  <c r="CX45" i="2"/>
  <c r="CX17" i="2"/>
  <c r="C261" i="10"/>
  <c r="L76" i="2"/>
  <c r="X59" i="2"/>
  <c r="BB100" i="2"/>
  <c r="AV15" i="2"/>
  <c r="AD50" i="2"/>
  <c r="BH85" i="2"/>
  <c r="BH22" i="2"/>
  <c r="F111" i="2"/>
  <c r="AQ3" i="2"/>
  <c r="C386" i="14"/>
  <c r="CX50" i="2"/>
  <c r="CX56" i="2"/>
  <c r="AV21" i="2"/>
  <c r="CX15" i="2"/>
  <c r="CX12" i="2"/>
  <c r="C154" i="14"/>
  <c r="CR25" i="2"/>
  <c r="CR32" i="2"/>
  <c r="CR31" i="2"/>
  <c r="CV1" i="2"/>
  <c r="CX53" i="2"/>
  <c r="L70" i="2"/>
  <c r="X73" i="2"/>
  <c r="BB26" i="2"/>
  <c r="AV82" i="2"/>
  <c r="AB1" i="2"/>
  <c r="BB54" i="2"/>
  <c r="BB38" i="2"/>
  <c r="BH29" i="2"/>
  <c r="F19" i="2"/>
  <c r="X68" i="2"/>
  <c r="L27" i="2"/>
  <c r="X43" i="2"/>
  <c r="BB90" i="2"/>
  <c r="AV75" i="2"/>
  <c r="X67" i="2"/>
  <c r="BH11" i="2"/>
  <c r="L67" i="2"/>
  <c r="F22" i="2"/>
  <c r="AV19" i="2"/>
  <c r="CX8" i="2"/>
  <c r="L41" i="2"/>
  <c r="X23" i="2"/>
  <c r="BB98" i="2"/>
  <c r="AV48" i="2"/>
  <c r="BB84" i="2"/>
  <c r="BH17" i="2"/>
  <c r="L61" i="2"/>
  <c r="F37" i="2"/>
  <c r="AV58" i="2"/>
  <c r="AD53" i="2"/>
  <c r="X14" i="2"/>
  <c r="F112" i="2"/>
  <c r="CS3" i="2"/>
  <c r="CR62" i="2"/>
  <c r="CR52" i="2"/>
  <c r="CX13" i="2"/>
  <c r="CX62" i="2"/>
  <c r="L66" i="2"/>
  <c r="X13" i="2"/>
  <c r="BB49" i="2"/>
  <c r="AV94" i="2"/>
  <c r="BH78" i="2"/>
  <c r="BH39" i="2"/>
  <c r="F68" i="2"/>
  <c r="F85" i="2"/>
  <c r="AP94" i="2"/>
  <c r="BU2" i="2"/>
  <c r="F42" i="2"/>
  <c r="CR9" i="2"/>
  <c r="CR41" i="2"/>
  <c r="CX54" i="2"/>
  <c r="CX38" i="2"/>
  <c r="X58" i="2"/>
  <c r="F25" i="2"/>
  <c r="BB89" i="2"/>
  <c r="AV37" i="2"/>
  <c r="BH24" i="2"/>
  <c r="BH80" i="2"/>
  <c r="F106" i="2"/>
  <c r="F88" i="2"/>
  <c r="X20" i="2"/>
  <c r="C233" i="14"/>
  <c r="AD73" i="2"/>
  <c r="AD9" i="2"/>
  <c r="X32" i="2"/>
  <c r="CX33" i="2"/>
  <c r="CX11" i="2"/>
  <c r="C253" i="10"/>
  <c r="CR30" i="2"/>
  <c r="CR34" i="2"/>
  <c r="CX31" i="2"/>
  <c r="CX57" i="2"/>
  <c r="C151" i="14"/>
  <c r="AP55" i="2"/>
  <c r="X18" i="2"/>
  <c r="X41" i="2"/>
  <c r="F10" i="2"/>
  <c r="BB81" i="2"/>
  <c r="AV100" i="2"/>
  <c r="BH77" i="2"/>
  <c r="F27" i="2"/>
  <c r="F91" i="2"/>
  <c r="AD33" i="2"/>
  <c r="C366" i="10"/>
  <c r="CX59" i="2"/>
  <c r="F49" i="2"/>
  <c r="CX18" i="2"/>
  <c r="CR24" i="2"/>
  <c r="CR39" i="2"/>
  <c r="CR64" i="2"/>
  <c r="CX25" i="2"/>
  <c r="CX43" i="2"/>
  <c r="X86" i="2"/>
  <c r="X75" i="2"/>
  <c r="F93" i="2"/>
  <c r="AV39" i="2"/>
  <c r="AV9" i="2"/>
  <c r="BB33" i="2"/>
  <c r="BB41" i="2"/>
  <c r="F31" i="2"/>
  <c r="F17" i="2"/>
  <c r="AV54" i="2"/>
  <c r="AW3" i="2"/>
  <c r="C390" i="14"/>
  <c r="CR59" i="2"/>
  <c r="CR40" i="2"/>
  <c r="CR65" i="2"/>
  <c r="CX32" i="2"/>
  <c r="C31" i="10"/>
  <c r="C258" i="14"/>
  <c r="X35" i="2"/>
  <c r="X81" i="2"/>
  <c r="BB71" i="2"/>
  <c r="AV26" i="2"/>
  <c r="AV97" i="2"/>
  <c r="AP71" i="2"/>
  <c r="F114" i="2"/>
  <c r="AV62" i="2"/>
  <c r="DB1" i="2"/>
  <c r="DE3" i="2"/>
  <c r="DE2" i="2"/>
  <c r="C254" i="10"/>
  <c r="C258" i="10"/>
  <c r="CL35" i="2"/>
  <c r="CL36" i="2"/>
  <c r="CL74" i="2"/>
  <c r="C170" i="14"/>
  <c r="BT91" i="2"/>
  <c r="BT10" i="2"/>
  <c r="BT24" i="2"/>
  <c r="BT54" i="2"/>
  <c r="BT61" i="2"/>
  <c r="BT64" i="2"/>
  <c r="BT28" i="2"/>
  <c r="BT58" i="2"/>
  <c r="BT56" i="2"/>
  <c r="BT70" i="2"/>
  <c r="BT45" i="2"/>
  <c r="BT62" i="2"/>
  <c r="BT31" i="2"/>
  <c r="BT81" i="2"/>
  <c r="BT99" i="2"/>
  <c r="BT12" i="2"/>
  <c r="BT42" i="2"/>
  <c r="BT40" i="2"/>
  <c r="BT38" i="2"/>
  <c r="BT29" i="2"/>
  <c r="BU3" i="2"/>
  <c r="BT95" i="2"/>
  <c r="BT26" i="2"/>
  <c r="BT84" i="2"/>
  <c r="BT22" i="2"/>
  <c r="BT13" i="2"/>
  <c r="BT8" i="2"/>
  <c r="BT36" i="2"/>
  <c r="BT68" i="2"/>
  <c r="CL23" i="2"/>
  <c r="CL47" i="2"/>
  <c r="CL43" i="2"/>
  <c r="CL39" i="2"/>
  <c r="CL34" i="2"/>
  <c r="CL68" i="2"/>
  <c r="CL49" i="2"/>
  <c r="CM2" i="2"/>
  <c r="CL30" i="2"/>
  <c r="CL12" i="2"/>
  <c r="CL54" i="2"/>
  <c r="CL70" i="2"/>
  <c r="CL29" i="2"/>
  <c r="CL57" i="2"/>
  <c r="CL48" i="2"/>
  <c r="CL13" i="2"/>
  <c r="CL51" i="2"/>
  <c r="CL61" i="2"/>
  <c r="CL55" i="2"/>
  <c r="CL56" i="2"/>
  <c r="CL46" i="2"/>
  <c r="CL62" i="2"/>
  <c r="CL53" i="2"/>
  <c r="CL27" i="2"/>
  <c r="CL28" i="2"/>
  <c r="C339" i="10"/>
  <c r="C231" i="10"/>
  <c r="C257" i="14"/>
  <c r="CL24" i="2"/>
  <c r="CL25" i="2"/>
  <c r="CL19" i="2"/>
  <c r="C213" i="14"/>
  <c r="C185" i="10"/>
  <c r="CL14" i="2"/>
  <c r="CL31" i="2"/>
  <c r="CL66" i="2"/>
  <c r="C371" i="14"/>
  <c r="CL18" i="2"/>
  <c r="CL9" i="2"/>
  <c r="CL40" i="2"/>
  <c r="AJ63" i="2"/>
  <c r="AJ11" i="2"/>
  <c r="AK3" i="2"/>
  <c r="AJ67" i="2"/>
  <c r="AJ30" i="2"/>
  <c r="AJ85" i="2"/>
  <c r="AJ31" i="2"/>
  <c r="AJ47" i="2"/>
  <c r="AJ39" i="2"/>
  <c r="AJ50" i="2"/>
  <c r="C233" i="10"/>
  <c r="BT98" i="2"/>
  <c r="BT69" i="2"/>
  <c r="BT52" i="2"/>
  <c r="BT48" i="2"/>
  <c r="CL17" i="2"/>
  <c r="CL72" i="2"/>
  <c r="CL21" i="2"/>
  <c r="CJ1" i="2"/>
  <c r="CM3" i="2"/>
  <c r="C106" i="10"/>
  <c r="CL67" i="2"/>
  <c r="C138" i="14"/>
  <c r="CL15" i="2"/>
  <c r="CL71" i="2"/>
  <c r="CL52" i="2"/>
  <c r="C213" i="10"/>
  <c r="CL63" i="2"/>
  <c r="CL73" i="2"/>
  <c r="CL65" i="2"/>
  <c r="C231" i="14"/>
  <c r="CL44" i="2"/>
  <c r="CL45" i="2"/>
  <c r="BT35" i="2"/>
  <c r="BT86" i="2"/>
  <c r="BT25" i="2"/>
  <c r="BT27" i="2"/>
  <c r="CL20" i="2"/>
  <c r="CL26" i="2"/>
  <c r="CL16" i="2"/>
  <c r="CL60" i="2"/>
  <c r="C360" i="10"/>
  <c r="C382" i="10"/>
  <c r="C384" i="10"/>
  <c r="C385" i="10"/>
  <c r="C377" i="10"/>
  <c r="C364" i="10"/>
  <c r="C382" i="14"/>
  <c r="R101" i="2"/>
  <c r="R23" i="2"/>
  <c r="R61" i="2"/>
  <c r="R49" i="2"/>
  <c r="R19" i="2"/>
  <c r="R88" i="2"/>
  <c r="R96" i="2"/>
  <c r="R42" i="2"/>
  <c r="R52" i="2"/>
  <c r="R16" i="2"/>
  <c r="R67" i="2"/>
  <c r="R87" i="2"/>
  <c r="R98" i="2"/>
  <c r="R48" i="2"/>
  <c r="R15" i="2"/>
  <c r="R57" i="2"/>
  <c r="R91" i="2"/>
  <c r="R93" i="2"/>
  <c r="R90" i="2"/>
  <c r="R84" i="2"/>
  <c r="R66" i="2"/>
  <c r="R26" i="2"/>
  <c r="R79" i="2"/>
  <c r="R13" i="2"/>
  <c r="R76" i="2"/>
  <c r="R60" i="2"/>
  <c r="R41" i="2"/>
  <c r="R63" i="2"/>
  <c r="R17" i="2"/>
  <c r="R72" i="2"/>
  <c r="R50" i="2"/>
  <c r="R95" i="2"/>
  <c r="R64" i="2"/>
  <c r="R89" i="2"/>
  <c r="R81" i="2"/>
  <c r="R94" i="2"/>
  <c r="R14" i="2"/>
  <c r="R24" i="2"/>
  <c r="R55" i="2"/>
  <c r="R74" i="2"/>
  <c r="R31" i="2"/>
  <c r="R106" i="2"/>
  <c r="R22" i="2"/>
  <c r="R54" i="2"/>
  <c r="R99" i="2"/>
  <c r="R82" i="2"/>
  <c r="R62" i="2"/>
  <c r="S2" i="2"/>
  <c r="R65" i="2"/>
  <c r="R70" i="2"/>
  <c r="R44" i="2"/>
  <c r="R40" i="2"/>
  <c r="CL11" i="2"/>
  <c r="CL58" i="2"/>
  <c r="CL8" i="2"/>
  <c r="BT51" i="2"/>
  <c r="BT46" i="2"/>
  <c r="BT41" i="2"/>
  <c r="BT43" i="2"/>
  <c r="CL38" i="2"/>
  <c r="CL22" i="2"/>
  <c r="CL42" i="2"/>
  <c r="BB77" i="2"/>
  <c r="BB44" i="2"/>
  <c r="BB51" i="2"/>
  <c r="BB25" i="2"/>
  <c r="BB67" i="2"/>
  <c r="BB83" i="2"/>
  <c r="BB101" i="2"/>
  <c r="BB17" i="2"/>
  <c r="BB78" i="2"/>
  <c r="BB50" i="2"/>
  <c r="BB46" i="2"/>
  <c r="BB72" i="2"/>
  <c r="BB45" i="2"/>
  <c r="BB27" i="2"/>
  <c r="BB39" i="2"/>
  <c r="BB32" i="2"/>
  <c r="BB56" i="2"/>
  <c r="BB30" i="2"/>
  <c r="BB93" i="2"/>
  <c r="BB69" i="2"/>
  <c r="BB76" i="2"/>
  <c r="BB13" i="2"/>
  <c r="BB37" i="2"/>
  <c r="BB74" i="2"/>
  <c r="BB8" i="2"/>
  <c r="BB21" i="2"/>
  <c r="BB14" i="2"/>
  <c r="BB91" i="2"/>
  <c r="BB65" i="2"/>
  <c r="BB88" i="2"/>
  <c r="BB92" i="2"/>
  <c r="BB55" i="2"/>
  <c r="BB53" i="2"/>
  <c r="BB47" i="2"/>
  <c r="BB75" i="2"/>
  <c r="BB36" i="2"/>
  <c r="BB22" i="2"/>
  <c r="BB35" i="2"/>
  <c r="BB87" i="2"/>
  <c r="BB58" i="2"/>
  <c r="BB10" i="2"/>
  <c r="BB99" i="2"/>
  <c r="BB59" i="2"/>
  <c r="BB9" i="2"/>
  <c r="BB68" i="2"/>
  <c r="BB80" i="2"/>
  <c r="BB94" i="2"/>
  <c r="BB43" i="2"/>
  <c r="BB97" i="2"/>
  <c r="BB34" i="2"/>
  <c r="BB61" i="2"/>
  <c r="BB20" i="2"/>
  <c r="BB63" i="2"/>
  <c r="BB85" i="2"/>
  <c r="BB29" i="2"/>
  <c r="BB28" i="2"/>
  <c r="BB62" i="2"/>
  <c r="BB70" i="2"/>
  <c r="BB57" i="2"/>
  <c r="BB24" i="2"/>
  <c r="BB15" i="2"/>
  <c r="BB12" i="2"/>
  <c r="AP47" i="2"/>
  <c r="AP49" i="2"/>
  <c r="AP46" i="2"/>
  <c r="AP11" i="2"/>
  <c r="AP67" i="2"/>
  <c r="AP18" i="2"/>
  <c r="AP8" i="2"/>
  <c r="AP41" i="2"/>
  <c r="AP58" i="2"/>
  <c r="AP57" i="2"/>
  <c r="AP88" i="2"/>
  <c r="AP73" i="2"/>
  <c r="AP25" i="2"/>
  <c r="AP91" i="2"/>
  <c r="AP29" i="2"/>
  <c r="AP28" i="2"/>
  <c r="AP23" i="2"/>
  <c r="AP66" i="2"/>
  <c r="AP16" i="2"/>
  <c r="AP21" i="2"/>
  <c r="AP62" i="2"/>
  <c r="AP96" i="2"/>
  <c r="AP89" i="2"/>
  <c r="AP9" i="2"/>
  <c r="AP92" i="2"/>
  <c r="AP60" i="2"/>
  <c r="AP17" i="2"/>
  <c r="AP36" i="2"/>
  <c r="AP39" i="2"/>
  <c r="AP81" i="2"/>
  <c r="AP38" i="2"/>
  <c r="CX35" i="2"/>
  <c r="CX9" i="2"/>
  <c r="CX14" i="2"/>
  <c r="CX21" i="2"/>
  <c r="CX20" i="2"/>
  <c r="CX37" i="2"/>
  <c r="CX55" i="2"/>
  <c r="CX36" i="2"/>
  <c r="CX60" i="2"/>
  <c r="CX46" i="2"/>
  <c r="CX19" i="2"/>
  <c r="CX44" i="2"/>
  <c r="CX52" i="2"/>
  <c r="CX47" i="2"/>
  <c r="CX29" i="2"/>
  <c r="CX49" i="2"/>
  <c r="CX61" i="2"/>
  <c r="CX27" i="2"/>
  <c r="AQ2" i="2"/>
  <c r="AP54" i="2"/>
  <c r="AD16" i="2"/>
  <c r="AD21" i="2"/>
  <c r="AD19" i="2"/>
  <c r="AD43" i="2"/>
  <c r="AD32" i="2"/>
  <c r="AD65" i="2"/>
  <c r="AD36" i="2"/>
  <c r="AD20" i="2"/>
  <c r="AD75" i="2"/>
  <c r="AD34" i="2"/>
  <c r="AD27" i="2"/>
  <c r="AD25" i="2"/>
  <c r="AD30" i="2"/>
  <c r="AD45" i="2"/>
  <c r="AD60" i="2"/>
  <c r="AD76" i="2"/>
  <c r="CX51" i="2"/>
  <c r="CX10" i="2"/>
  <c r="CX63" i="2"/>
  <c r="BN32" i="2"/>
  <c r="BN88" i="2"/>
  <c r="BN27" i="2"/>
  <c r="BN52" i="2"/>
  <c r="BN39" i="2"/>
  <c r="BN85" i="2"/>
  <c r="BN48" i="2"/>
  <c r="BN87" i="2"/>
  <c r="BN86" i="2"/>
  <c r="BN53" i="2"/>
  <c r="BN15" i="2"/>
  <c r="BN98" i="2"/>
  <c r="BO3" i="2"/>
  <c r="BN13" i="2"/>
  <c r="BN29" i="2"/>
  <c r="BN50" i="2"/>
  <c r="BN59" i="2"/>
  <c r="BN75" i="2"/>
  <c r="BN33" i="2"/>
  <c r="BN94" i="2"/>
  <c r="BN16" i="2"/>
  <c r="BN56" i="2"/>
  <c r="BN12" i="2"/>
  <c r="BN25" i="2"/>
  <c r="BN73" i="2"/>
  <c r="BN14" i="2"/>
  <c r="AP33" i="2"/>
  <c r="C368" i="14"/>
  <c r="F54" i="2"/>
  <c r="F34" i="2"/>
  <c r="F35" i="2"/>
  <c r="F28" i="2"/>
  <c r="F86" i="2"/>
  <c r="F95" i="2"/>
  <c r="F110" i="2"/>
  <c r="F51" i="2"/>
  <c r="F84" i="2"/>
  <c r="F33" i="2"/>
  <c r="F94" i="2"/>
  <c r="F11" i="2"/>
  <c r="F67" i="2"/>
  <c r="F26" i="2"/>
  <c r="F117" i="2"/>
  <c r="F99" i="2"/>
  <c r="F47" i="2"/>
  <c r="F32" i="2"/>
  <c r="F24" i="2"/>
  <c r="F23" i="2"/>
  <c r="F77" i="2"/>
  <c r="F81" i="2"/>
  <c r="F9" i="2"/>
  <c r="F76" i="2"/>
  <c r="F107" i="2"/>
  <c r="F102" i="2"/>
  <c r="F60" i="2"/>
  <c r="F98" i="2"/>
  <c r="F14" i="2"/>
  <c r="F69" i="2"/>
  <c r="F45" i="2"/>
  <c r="F30" i="2"/>
  <c r="F70" i="2"/>
  <c r="F79" i="2"/>
  <c r="F75" i="2"/>
  <c r="F56" i="2"/>
  <c r="F38" i="2"/>
  <c r="F90" i="2"/>
  <c r="F109" i="2"/>
  <c r="F72" i="2"/>
  <c r="F82" i="2"/>
  <c r="F65" i="2"/>
  <c r="F116" i="2"/>
  <c r="F115" i="2"/>
  <c r="F73" i="2"/>
  <c r="F40" i="2"/>
  <c r="F71" i="2"/>
  <c r="F53" i="2"/>
  <c r="F105" i="2"/>
  <c r="F50" i="2"/>
  <c r="F63" i="2"/>
  <c r="F8" i="2"/>
  <c r="F83" i="2"/>
  <c r="F55" i="2"/>
  <c r="F12" i="2"/>
  <c r="F101" i="2"/>
  <c r="F59" i="2"/>
  <c r="F74" i="2"/>
  <c r="BL1" i="2"/>
  <c r="CR47" i="2"/>
  <c r="CR21" i="2"/>
  <c r="CR29" i="2"/>
  <c r="CR46" i="2"/>
  <c r="CX30" i="2"/>
  <c r="CX23" i="2"/>
  <c r="CX39" i="2"/>
  <c r="BN45" i="2"/>
  <c r="BZ9" i="2"/>
  <c r="BZ89" i="2"/>
  <c r="BZ82" i="2"/>
  <c r="BZ76" i="2"/>
  <c r="BZ74" i="2"/>
  <c r="BZ19" i="2"/>
  <c r="BZ79" i="2"/>
  <c r="AP78" i="2"/>
  <c r="BB52" i="2"/>
  <c r="AT1" i="2"/>
  <c r="F64" i="2"/>
  <c r="C369" i="10"/>
  <c r="C368" i="10"/>
  <c r="C339" i="14"/>
  <c r="CR61" i="2"/>
  <c r="CR20" i="2"/>
  <c r="CY2" i="2"/>
  <c r="CX58" i="2"/>
  <c r="CX26" i="2"/>
  <c r="CX40" i="2"/>
  <c r="BN61" i="2"/>
  <c r="BN43" i="2"/>
  <c r="AP22" i="2"/>
  <c r="BB60" i="2"/>
  <c r="F89" i="2"/>
  <c r="CR66" i="2"/>
  <c r="CR37" i="2"/>
  <c r="CR56" i="2"/>
  <c r="CR11" i="2"/>
  <c r="CR26" i="2"/>
  <c r="CR53" i="2"/>
  <c r="CR57" i="2"/>
  <c r="CR51" i="2"/>
  <c r="CR18" i="2"/>
  <c r="AP40" i="2"/>
  <c r="BB73" i="2"/>
  <c r="F87" i="2"/>
  <c r="F104" i="2"/>
  <c r="AD44" i="2"/>
  <c r="AV76" i="2"/>
  <c r="AV35" i="2"/>
  <c r="AV70" i="2"/>
  <c r="AV56" i="2"/>
  <c r="AV42" i="2"/>
  <c r="AV49" i="2"/>
  <c r="AV81" i="2"/>
  <c r="AV18" i="2"/>
  <c r="AV16" i="2"/>
  <c r="AV14" i="2"/>
  <c r="AV61" i="2"/>
  <c r="AV95" i="2"/>
  <c r="AV34" i="2"/>
  <c r="AV23" i="2"/>
  <c r="AV12" i="2"/>
  <c r="AV98" i="2"/>
  <c r="AV86" i="2"/>
  <c r="AV102" i="2"/>
  <c r="AV40" i="2"/>
  <c r="AV24" i="2"/>
  <c r="AV45" i="2"/>
  <c r="AV99" i="2"/>
  <c r="AV73" i="2"/>
  <c r="AV64" i="2"/>
  <c r="AV47" i="2"/>
  <c r="AV65" i="2"/>
  <c r="AV57" i="2"/>
  <c r="AV92" i="2"/>
  <c r="AV66" i="2"/>
  <c r="AV53" i="2"/>
  <c r="AV80" i="2"/>
  <c r="AV88" i="2"/>
  <c r="AV32" i="2"/>
  <c r="AV10" i="2"/>
  <c r="AV27" i="2"/>
  <c r="AV55" i="2"/>
  <c r="AV84" i="2"/>
  <c r="AV51" i="2"/>
  <c r="AV8" i="2"/>
  <c r="AV67" i="2"/>
  <c r="AV93" i="2"/>
  <c r="AV72" i="2"/>
  <c r="AV77" i="2"/>
  <c r="AV22" i="2"/>
  <c r="AV44" i="2"/>
  <c r="AV20" i="2"/>
  <c r="AV69" i="2"/>
  <c r="AV46" i="2"/>
  <c r="AV41" i="2"/>
  <c r="AV79" i="2"/>
  <c r="AV71" i="2"/>
  <c r="AV63" i="2"/>
  <c r="AV38" i="2"/>
  <c r="AV30" i="2"/>
  <c r="AV87" i="2"/>
  <c r="AV85" i="2"/>
  <c r="AV68" i="2"/>
  <c r="AV60" i="2"/>
  <c r="CF73" i="2"/>
  <c r="CF57" i="2"/>
  <c r="CF42" i="2"/>
  <c r="CF25" i="2"/>
  <c r="CF76" i="2"/>
  <c r="C167" i="10"/>
  <c r="C80" i="10"/>
  <c r="AW2" i="2"/>
  <c r="BH18" i="2"/>
  <c r="BH90" i="2"/>
  <c r="BH89" i="2"/>
  <c r="BH26" i="2"/>
  <c r="BH86" i="2"/>
  <c r="BH75" i="2"/>
  <c r="BH41" i="2"/>
  <c r="BH30" i="2"/>
  <c r="BH33" i="2"/>
  <c r="BH35" i="2"/>
  <c r="BH71" i="2"/>
  <c r="BH92" i="2"/>
  <c r="BH42" i="2"/>
  <c r="BF1" i="2"/>
  <c r="BH21" i="2"/>
  <c r="BH27" i="2"/>
  <c r="BH49" i="2"/>
  <c r="BH81" i="2"/>
  <c r="BH59" i="2"/>
  <c r="L9" i="2"/>
  <c r="L79" i="2"/>
  <c r="L14" i="2"/>
  <c r="L72" i="2"/>
  <c r="L82" i="2"/>
  <c r="L91" i="2"/>
  <c r="L80" i="2"/>
  <c r="L21" i="2"/>
  <c r="L31" i="2"/>
  <c r="G3" i="2"/>
  <c r="BC3" i="2"/>
  <c r="C369" i="14"/>
  <c r="C126" i="14"/>
  <c r="C337" i="10"/>
  <c r="C328" i="10"/>
  <c r="C253" i="14"/>
  <c r="P1" i="2"/>
  <c r="S3" i="2"/>
  <c r="BN36" i="2"/>
  <c r="BN64" i="2"/>
  <c r="BN71" i="2"/>
  <c r="BN18" i="2"/>
  <c r="BN47" i="2"/>
  <c r="BN72" i="2"/>
  <c r="BN38" i="2"/>
  <c r="BN20" i="2"/>
  <c r="BN90" i="2"/>
  <c r="AJ18" i="2"/>
  <c r="AJ40" i="2"/>
  <c r="AJ16" i="2"/>
  <c r="AJ72" i="2"/>
  <c r="AJ53" i="2"/>
  <c r="AJ78" i="2"/>
  <c r="AJ64" i="2"/>
  <c r="AJ32" i="2"/>
  <c r="AJ65" i="2"/>
  <c r="AJ69" i="2"/>
  <c r="AJ13" i="2"/>
  <c r="AJ79" i="2"/>
  <c r="AJ48" i="2"/>
  <c r="AJ54" i="2"/>
  <c r="AJ58" i="2"/>
  <c r="AJ33" i="2"/>
  <c r="AJ44" i="2"/>
  <c r="AJ35" i="2"/>
  <c r="AJ34" i="2"/>
  <c r="AJ68" i="2"/>
  <c r="AJ37" i="2"/>
  <c r="AJ26" i="2"/>
  <c r="AJ41" i="2"/>
  <c r="AJ25" i="2"/>
  <c r="AJ22" i="2"/>
  <c r="AJ76" i="2"/>
  <c r="AJ45" i="2"/>
  <c r="AJ38" i="2"/>
  <c r="AJ29" i="2"/>
  <c r="AJ86" i="2"/>
  <c r="AJ21" i="2"/>
  <c r="AJ42" i="2"/>
  <c r="AJ75" i="2"/>
  <c r="AJ57" i="2"/>
  <c r="AJ15" i="2"/>
  <c r="AJ55" i="2"/>
  <c r="AJ10" i="2"/>
  <c r="AJ77" i="2"/>
  <c r="AJ24" i="2"/>
  <c r="AJ17" i="2"/>
  <c r="AJ66" i="2"/>
  <c r="AJ81" i="2"/>
  <c r="AK2" i="2"/>
  <c r="AJ61" i="2"/>
  <c r="AJ27" i="2"/>
  <c r="AJ12" i="2"/>
  <c r="AJ56" i="2"/>
  <c r="AJ74" i="2"/>
  <c r="AJ62" i="2"/>
  <c r="AJ80" i="2"/>
  <c r="AJ82" i="2"/>
  <c r="AJ70" i="2"/>
  <c r="AJ52" i="2"/>
  <c r="AJ23" i="2"/>
  <c r="AJ59" i="2"/>
  <c r="AJ46" i="2"/>
  <c r="AJ71" i="2"/>
  <c r="AJ28" i="2"/>
  <c r="AJ84" i="2"/>
  <c r="AJ19" i="2"/>
  <c r="AJ60" i="2"/>
  <c r="AJ9" i="2"/>
  <c r="AJ36" i="2"/>
  <c r="AJ8" i="2"/>
  <c r="AJ43" i="2"/>
  <c r="AJ51" i="2"/>
  <c r="AH1" i="2"/>
  <c r="AJ20" i="2"/>
  <c r="AJ73" i="2"/>
  <c r="AJ49" i="2"/>
  <c r="AJ14" i="2"/>
  <c r="AJ83" i="2"/>
  <c r="L83" i="2"/>
  <c r="L56" i="2"/>
  <c r="L54" i="2"/>
  <c r="L22" i="2"/>
  <c r="L37" i="2"/>
  <c r="L12" i="2"/>
  <c r="L75" i="2"/>
  <c r="L77" i="2"/>
  <c r="L73" i="2"/>
  <c r="L51" i="2"/>
  <c r="L74" i="2"/>
  <c r="L57" i="2"/>
  <c r="L93" i="2"/>
  <c r="L10" i="2"/>
  <c r="L11" i="2"/>
  <c r="L30" i="2"/>
  <c r="L46" i="2"/>
  <c r="L42" i="2"/>
  <c r="L64" i="2"/>
  <c r="L35" i="2"/>
  <c r="L20" i="2"/>
  <c r="L34" i="2"/>
  <c r="L62" i="2"/>
  <c r="L40" i="2"/>
  <c r="L16" i="2"/>
  <c r="L38" i="2"/>
  <c r="L8" i="2"/>
  <c r="L89" i="2"/>
  <c r="L95" i="2"/>
  <c r="L85" i="2"/>
  <c r="L36" i="2"/>
  <c r="L28" i="2"/>
  <c r="L68" i="2"/>
  <c r="L90" i="2"/>
  <c r="L60" i="2"/>
  <c r="L86" i="2"/>
  <c r="L53" i="2"/>
  <c r="L43" i="2"/>
  <c r="L52" i="2"/>
  <c r="L24" i="2"/>
  <c r="L94" i="2"/>
  <c r="L26" i="2"/>
  <c r="L44" i="2"/>
  <c r="M3" i="2"/>
  <c r="L15" i="2"/>
  <c r="L63" i="2"/>
  <c r="L81" i="2"/>
  <c r="L59" i="2"/>
  <c r="L84" i="2"/>
  <c r="L18" i="2"/>
  <c r="L25" i="2"/>
  <c r="L29" i="2"/>
  <c r="L32" i="2"/>
  <c r="J1" i="2"/>
  <c r="L58" i="2"/>
  <c r="L23" i="2"/>
  <c r="L13" i="2"/>
  <c r="L88" i="2"/>
  <c r="L55" i="2"/>
  <c r="L71" i="2"/>
  <c r="L48" i="2"/>
  <c r="L19" i="2"/>
  <c r="L17" i="2"/>
  <c r="L69" i="2"/>
  <c r="AD35" i="2"/>
  <c r="AD67" i="2"/>
  <c r="AD72" i="2"/>
  <c r="AD66" i="2"/>
  <c r="AD56" i="2"/>
  <c r="AD59" i="2"/>
  <c r="AD64" i="2"/>
  <c r="AD17" i="2"/>
  <c r="AD79" i="2"/>
  <c r="AD42" i="2"/>
  <c r="AD31" i="2"/>
  <c r="AD78" i="2"/>
  <c r="AD8" i="2"/>
  <c r="AD10" i="2"/>
  <c r="AD54" i="2"/>
  <c r="AD14" i="2"/>
  <c r="AD62" i="2"/>
  <c r="AD13" i="2"/>
  <c r="AD18" i="2"/>
  <c r="AD22" i="2"/>
  <c r="AD55" i="2"/>
  <c r="AD29" i="2"/>
  <c r="AD58" i="2"/>
  <c r="AE3" i="2"/>
  <c r="AD26" i="2"/>
  <c r="AD61" i="2"/>
  <c r="AD51" i="2"/>
  <c r="AD57" i="2"/>
  <c r="AE2" i="2"/>
  <c r="AD70" i="2"/>
  <c r="AD46" i="2"/>
  <c r="AD24" i="2"/>
  <c r="AD28" i="2"/>
  <c r="AD48" i="2"/>
  <c r="AD15" i="2"/>
  <c r="AD77" i="2"/>
  <c r="AD52" i="2"/>
  <c r="AD11" i="2"/>
  <c r="AD47" i="2"/>
  <c r="AD49" i="2"/>
  <c r="AD69" i="2"/>
  <c r="AD23" i="2"/>
  <c r="AD39" i="2"/>
  <c r="AD68" i="2"/>
  <c r="AD41" i="2"/>
  <c r="AD12" i="2"/>
  <c r="AD38" i="2"/>
  <c r="AD37" i="2"/>
  <c r="L49" i="2"/>
  <c r="L87" i="2"/>
  <c r="L78" i="2"/>
  <c r="L47" i="2"/>
  <c r="L65" i="2"/>
  <c r="L50" i="2"/>
  <c r="AD74" i="2"/>
  <c r="AD40" i="2"/>
  <c r="L48" i="18"/>
  <c r="L92" i="2"/>
  <c r="L45" i="2"/>
  <c r="X54" i="2"/>
  <c r="X83" i="2"/>
  <c r="X26" i="2"/>
  <c r="X42" i="2"/>
  <c r="X47" i="2"/>
  <c r="X65" i="2"/>
  <c r="X76" i="2"/>
  <c r="X12" i="2"/>
  <c r="X71" i="2"/>
  <c r="X57" i="2"/>
  <c r="X92" i="2"/>
  <c r="X61" i="2"/>
  <c r="X16" i="2"/>
  <c r="X74" i="2"/>
  <c r="X34" i="2"/>
  <c r="X53" i="2"/>
  <c r="X19" i="2"/>
  <c r="X90" i="2"/>
  <c r="X36" i="2"/>
  <c r="X29" i="2"/>
  <c r="X63" i="2"/>
  <c r="X77" i="2"/>
  <c r="X37" i="2"/>
  <c r="X33" i="2"/>
  <c r="X87" i="2"/>
  <c r="X25" i="2"/>
  <c r="X8" i="2"/>
  <c r="X80" i="2"/>
  <c r="X69" i="2"/>
  <c r="X10" i="2"/>
  <c r="X39" i="2"/>
  <c r="X21" i="2"/>
  <c r="X84" i="2"/>
  <c r="X52" i="2"/>
  <c r="X17" i="2"/>
  <c r="X56" i="2"/>
  <c r="X48" i="2"/>
  <c r="X55" i="2"/>
  <c r="X24" i="2"/>
  <c r="X15" i="2"/>
  <c r="X31" i="2"/>
  <c r="X91" i="2"/>
  <c r="X49" i="2"/>
  <c r="X79" i="2"/>
  <c r="X44" i="2"/>
  <c r="X70" i="2"/>
  <c r="X22" i="2"/>
  <c r="X78" i="2"/>
  <c r="X51" i="2"/>
  <c r="Y3" i="2"/>
  <c r="X64" i="2"/>
  <c r="X50" i="2"/>
  <c r="V1" i="2"/>
  <c r="X72" i="2"/>
  <c r="X38" i="2"/>
  <c r="X66" i="2"/>
  <c r="AP26" i="2"/>
  <c r="AP24" i="2"/>
  <c r="AP42" i="2"/>
  <c r="AP27" i="2"/>
  <c r="AP72" i="2"/>
  <c r="AP30" i="2"/>
  <c r="AP44" i="2"/>
  <c r="AP85" i="2"/>
  <c r="AP52" i="2"/>
  <c r="AP43" i="2"/>
  <c r="AP83" i="2"/>
  <c r="AP93" i="2"/>
  <c r="AP97" i="2"/>
  <c r="AP90" i="2"/>
  <c r="AP87" i="2"/>
  <c r="AP53" i="2"/>
  <c r="AP75" i="2"/>
  <c r="AP69" i="2"/>
  <c r="AP68" i="2"/>
  <c r="AP10" i="2"/>
  <c r="AP34" i="2"/>
  <c r="AP61" i="2"/>
  <c r="AP15" i="2"/>
  <c r="AP86" i="2"/>
  <c r="AP45" i="2"/>
  <c r="AP79" i="2"/>
  <c r="AP56" i="2"/>
  <c r="AP95" i="2"/>
  <c r="AP12" i="2"/>
  <c r="AP19" i="2"/>
  <c r="AP13" i="2"/>
  <c r="AP63" i="2"/>
  <c r="AP74" i="2"/>
  <c r="AP37" i="2"/>
  <c r="AP64" i="2"/>
  <c r="AP31" i="2"/>
  <c r="AP20" i="2"/>
  <c r="AP59" i="2"/>
  <c r="AP48" i="2"/>
  <c r="AP77" i="2"/>
  <c r="AP35" i="2"/>
  <c r="AP84" i="2"/>
  <c r="BH73" i="2"/>
  <c r="BH10" i="2"/>
  <c r="BH48" i="2"/>
  <c r="AP50" i="2"/>
  <c r="AP14" i="2"/>
  <c r="BH37" i="2"/>
  <c r="BH55" i="2"/>
  <c r="BH58" i="2"/>
  <c r="BH54" i="2"/>
  <c r="BH72" i="2"/>
  <c r="BH46" i="2"/>
  <c r="BH16" i="2"/>
  <c r="BH28" i="2"/>
  <c r="BH93" i="2"/>
  <c r="BH50" i="2"/>
  <c r="BH88" i="2"/>
  <c r="BH57" i="2"/>
  <c r="BH45" i="2"/>
  <c r="BH56" i="2"/>
  <c r="BH53" i="2"/>
  <c r="BH64" i="2"/>
  <c r="BH69" i="2"/>
  <c r="BH70" i="2"/>
  <c r="BH82" i="2"/>
  <c r="BH13" i="2"/>
  <c r="BH20" i="2"/>
  <c r="BH66" i="2"/>
  <c r="BH8" i="2"/>
  <c r="BH36" i="2"/>
  <c r="BH23" i="2"/>
  <c r="BH61" i="2"/>
  <c r="BH84" i="2"/>
  <c r="BH40" i="2"/>
  <c r="BH94" i="2"/>
  <c r="BH79" i="2"/>
  <c r="BH76" i="2"/>
  <c r="BH51" i="2"/>
  <c r="BH91" i="2"/>
  <c r="BH12" i="2"/>
  <c r="BH34" i="2"/>
  <c r="BH14" i="2"/>
  <c r="BI3" i="2"/>
  <c r="BH38" i="2"/>
  <c r="BH15" i="2"/>
  <c r="BH68" i="2"/>
  <c r="BH60" i="2"/>
  <c r="BH47" i="2"/>
  <c r="BH96" i="2"/>
  <c r="BH95" i="2"/>
  <c r="BH44" i="2"/>
  <c r="BH62" i="2"/>
  <c r="BH67" i="2"/>
  <c r="BH87" i="2"/>
  <c r="BH52" i="2"/>
  <c r="AP82" i="2"/>
  <c r="AP76" i="2"/>
  <c r="R10" i="2"/>
  <c r="R12" i="2"/>
  <c r="R105" i="2"/>
  <c r="R43" i="2"/>
  <c r="R102" i="2"/>
  <c r="R39" i="2"/>
  <c r="R8" i="2"/>
  <c r="R33" i="2"/>
  <c r="R34" i="2"/>
  <c r="R59" i="2"/>
  <c r="R21" i="2"/>
  <c r="R58" i="2"/>
  <c r="R36" i="2"/>
  <c r="R73" i="2"/>
  <c r="R103" i="2"/>
  <c r="R86" i="2"/>
  <c r="R68" i="2"/>
  <c r="R25" i="2"/>
  <c r="BC2" i="2"/>
  <c r="AV31" i="2"/>
  <c r="F29" i="2"/>
  <c r="F46" i="2"/>
  <c r="F36" i="2"/>
  <c r="F80" i="2"/>
  <c r="F58" i="2"/>
  <c r="F44" i="2"/>
  <c r="F108" i="2"/>
  <c r="F18" i="2"/>
  <c r="F113" i="2"/>
  <c r="F103" i="2"/>
  <c r="F48" i="2"/>
  <c r="F21" i="2"/>
  <c r="F41" i="2"/>
  <c r="D1" i="2"/>
  <c r="F43" i="2"/>
  <c r="F92" i="2"/>
  <c r="F61" i="2"/>
  <c r="F57" i="2"/>
  <c r="F39" i="2"/>
  <c r="F20" i="2"/>
  <c r="F96" i="2"/>
  <c r="F13" i="2"/>
  <c r="F16" i="2"/>
  <c r="F15" i="2"/>
  <c r="G2" i="2"/>
  <c r="R78" i="2"/>
  <c r="R35" i="2"/>
  <c r="R27" i="2"/>
  <c r="R51" i="2"/>
  <c r="R107" i="2"/>
  <c r="R85" i="2"/>
  <c r="R18" i="2"/>
  <c r="R104" i="2"/>
  <c r="R29" i="2"/>
  <c r="R37" i="2"/>
  <c r="R53" i="2"/>
  <c r="AV28" i="2"/>
  <c r="AV59" i="2"/>
  <c r="AV101" i="2"/>
  <c r="AV17" i="2"/>
  <c r="AV50" i="2"/>
  <c r="AV11" i="2"/>
  <c r="AV91" i="2"/>
  <c r="R45" i="2"/>
  <c r="R75" i="2"/>
  <c r="R77" i="2"/>
  <c r="R28" i="2"/>
  <c r="R9" i="2"/>
  <c r="R46" i="2"/>
  <c r="R32" i="2"/>
  <c r="R30" i="2"/>
  <c r="R92" i="2"/>
  <c r="R69" i="2"/>
  <c r="R20" i="2"/>
  <c r="R56" i="2"/>
  <c r="AV52" i="2"/>
  <c r="BB86" i="2"/>
  <c r="BB18" i="2"/>
  <c r="AZ1" i="2"/>
  <c r="L23" i="18"/>
  <c r="L10" i="18"/>
  <c r="L25" i="18"/>
  <c r="L34" i="18"/>
  <c r="L51" i="18"/>
  <c r="L39" i="18"/>
  <c r="L26" i="18"/>
  <c r="L42" i="18"/>
  <c r="L32" i="18"/>
  <c r="L24" i="18"/>
  <c r="L15" i="18"/>
  <c r="L47" i="18"/>
  <c r="L46" i="18"/>
  <c r="L9" i="18"/>
  <c r="L54" i="18"/>
  <c r="L22" i="18"/>
  <c r="L21" i="18"/>
  <c r="L36" i="18"/>
  <c r="L20" i="18"/>
  <c r="L16" i="18"/>
  <c r="L30" i="18"/>
  <c r="L35" i="18"/>
  <c r="L45" i="18"/>
  <c r="L12" i="18"/>
  <c r="L27" i="18"/>
  <c r="L17" i="18"/>
  <c r="L50" i="18"/>
  <c r="L49" i="18"/>
  <c r="L29" i="18"/>
  <c r="L28" i="18"/>
  <c r="L11" i="18"/>
  <c r="L31" i="18"/>
  <c r="L52" i="18"/>
  <c r="L37" i="18"/>
  <c r="L40" i="18"/>
  <c r="L33" i="18"/>
  <c r="L14" i="18"/>
  <c r="L18" i="18"/>
  <c r="L41" i="18"/>
  <c r="L19" i="18"/>
  <c r="L43" i="18"/>
  <c r="L38" i="18"/>
  <c r="L13" i="18"/>
  <c r="L44" i="18"/>
  <c r="L53" i="18"/>
  <c r="C126" i="10"/>
  <c r="P194" i="14"/>
  <c r="F194" i="14"/>
  <c r="S272" i="10"/>
  <c r="Q194" i="14"/>
  <c r="N272" i="10"/>
  <c r="R347" i="10"/>
  <c r="D347" i="10"/>
  <c r="F347" i="10"/>
  <c r="T194" i="14"/>
  <c r="F103" i="14"/>
  <c r="I103" i="14"/>
  <c r="J103" i="14"/>
  <c r="D103" i="14"/>
  <c r="K103" i="14"/>
  <c r="H103" i="14"/>
  <c r="E103" i="14"/>
  <c r="M103" i="14"/>
  <c r="L103" i="14"/>
  <c r="T315" i="14"/>
  <c r="S315" i="14"/>
  <c r="G315" i="14"/>
  <c r="I315" i="14"/>
  <c r="H315" i="14"/>
  <c r="Q315" i="14"/>
  <c r="M315" i="14"/>
  <c r="J315" i="14"/>
  <c r="N315" i="14"/>
  <c r="L315" i="14"/>
  <c r="K315" i="14"/>
  <c r="D315" i="14"/>
  <c r="O315" i="14"/>
  <c r="S146" i="14"/>
  <c r="O146" i="14"/>
  <c r="P146" i="14"/>
  <c r="H146" i="14"/>
  <c r="N146" i="14"/>
  <c r="T146" i="14"/>
  <c r="Q146" i="14"/>
  <c r="E146" i="14"/>
  <c r="R146" i="14"/>
  <c r="L146" i="14"/>
  <c r="G146" i="14"/>
  <c r="I146" i="14"/>
  <c r="K146" i="14"/>
  <c r="M146" i="14"/>
  <c r="R6" i="10"/>
  <c r="S6" i="10"/>
  <c r="L6" i="10"/>
  <c r="E6" i="10"/>
  <c r="K6" i="10"/>
  <c r="D6" i="10"/>
  <c r="H6" i="10"/>
  <c r="G6" i="10"/>
  <c r="T7" i="14"/>
  <c r="Q7" i="14"/>
  <c r="G7" i="14"/>
  <c r="R7" i="14"/>
  <c r="L7" i="14"/>
  <c r="H174" i="14"/>
  <c r="L174" i="14"/>
  <c r="R174" i="14"/>
  <c r="D174" i="14"/>
  <c r="M174" i="14"/>
  <c r="K174" i="14"/>
  <c r="E174" i="14"/>
  <c r="J174" i="14"/>
  <c r="O174" i="14"/>
  <c r="F174" i="14"/>
  <c r="T174" i="14"/>
  <c r="N174" i="14"/>
  <c r="I174" i="14"/>
  <c r="S174" i="14"/>
  <c r="G174" i="14"/>
  <c r="G269" i="14"/>
  <c r="F269" i="14"/>
  <c r="R269" i="14"/>
  <c r="S269" i="14"/>
  <c r="J269" i="14"/>
  <c r="M269" i="14"/>
  <c r="E269" i="14"/>
  <c r="P269" i="14"/>
  <c r="K269" i="14"/>
  <c r="D269" i="14"/>
  <c r="I269" i="14"/>
  <c r="T269" i="14"/>
  <c r="O269" i="14"/>
  <c r="L269" i="14"/>
  <c r="H269" i="14"/>
  <c r="Q269" i="14"/>
  <c r="N269" i="14"/>
  <c r="T227" i="10"/>
  <c r="S227" i="10"/>
  <c r="O227" i="10"/>
  <c r="M227" i="10"/>
  <c r="I227" i="10"/>
  <c r="Q227" i="10"/>
  <c r="G227" i="10"/>
  <c r="R227" i="10"/>
  <c r="P227" i="10"/>
  <c r="J227" i="10"/>
  <c r="D227" i="10"/>
  <c r="N227" i="10"/>
  <c r="K227" i="10"/>
  <c r="H227" i="10"/>
  <c r="L227" i="10"/>
  <c r="E227" i="10"/>
  <c r="P174" i="10"/>
  <c r="S174" i="10"/>
  <c r="F174" i="10"/>
  <c r="L174" i="10"/>
  <c r="H174" i="10"/>
  <c r="E174" i="10"/>
  <c r="K174" i="10"/>
  <c r="O174" i="10"/>
  <c r="G174" i="10"/>
  <c r="R174" i="10"/>
  <c r="I174" i="10"/>
  <c r="D174" i="10"/>
  <c r="N174" i="10"/>
  <c r="J174" i="10"/>
  <c r="T174" i="10"/>
  <c r="Q174" i="10"/>
  <c r="M174" i="10"/>
  <c r="S79" i="10"/>
  <c r="Q79" i="10"/>
  <c r="R79" i="10"/>
  <c r="D79" i="10"/>
  <c r="G79" i="10"/>
  <c r="E79" i="10"/>
  <c r="F79" i="10"/>
  <c r="K79" i="10"/>
  <c r="T79" i="10"/>
  <c r="P79" i="10"/>
  <c r="I79" i="10"/>
  <c r="M79" i="10"/>
  <c r="L79" i="10"/>
  <c r="N79" i="10"/>
  <c r="J79" i="10"/>
  <c r="O79" i="10"/>
  <c r="H79" i="10"/>
  <c r="T227" i="14"/>
  <c r="J227" i="14"/>
  <c r="N227" i="14"/>
  <c r="R227" i="14"/>
  <c r="S227" i="14"/>
  <c r="E227" i="14"/>
  <c r="O227" i="14"/>
  <c r="K227" i="14"/>
  <c r="I227" i="14"/>
  <c r="D227" i="14"/>
  <c r="Q227" i="14"/>
  <c r="P227" i="14"/>
  <c r="L227" i="14"/>
  <c r="H227" i="14"/>
  <c r="G227" i="14"/>
  <c r="M227" i="14"/>
  <c r="S342" i="14"/>
  <c r="I342" i="14"/>
  <c r="K342" i="14"/>
  <c r="Q342" i="14"/>
  <c r="E342" i="14"/>
  <c r="J342" i="14"/>
  <c r="D342" i="14"/>
  <c r="F342" i="14"/>
  <c r="T342" i="14"/>
  <c r="P342" i="14"/>
  <c r="L342" i="14"/>
  <c r="G342" i="14"/>
  <c r="R342" i="14"/>
  <c r="M342" i="14"/>
  <c r="N342" i="14"/>
  <c r="O342" i="14"/>
  <c r="N300" i="14"/>
  <c r="T300" i="14"/>
  <c r="E300" i="14"/>
  <c r="M300" i="14"/>
  <c r="J300" i="14"/>
  <c r="Q300" i="14"/>
  <c r="S300" i="14"/>
  <c r="L300" i="14"/>
  <c r="K300" i="14"/>
  <c r="D300" i="14"/>
  <c r="R300" i="14"/>
  <c r="F300" i="14"/>
  <c r="I300" i="14"/>
  <c r="P300" i="14"/>
  <c r="H300" i="14"/>
  <c r="G300" i="14"/>
  <c r="J293" i="10"/>
  <c r="M293" i="10"/>
  <c r="T186" i="14"/>
  <c r="Q45" i="14"/>
  <c r="F45" i="14"/>
  <c r="T45" i="14"/>
  <c r="O45" i="14"/>
  <c r="M45" i="14"/>
  <c r="I45" i="14"/>
  <c r="G45" i="14"/>
  <c r="H45" i="14"/>
  <c r="R45" i="14"/>
  <c r="P45" i="14"/>
  <c r="S45" i="14"/>
  <c r="E45" i="14"/>
  <c r="K45" i="14"/>
  <c r="H300" i="10"/>
  <c r="K300" i="10"/>
  <c r="L300" i="10"/>
  <c r="J300" i="10"/>
  <c r="T300" i="10"/>
  <c r="R300" i="10"/>
  <c r="S300" i="10"/>
  <c r="F300" i="10"/>
  <c r="D300" i="10"/>
  <c r="P300" i="10"/>
  <c r="Q300" i="10"/>
  <c r="E300" i="10"/>
  <c r="M300" i="10"/>
  <c r="G300" i="10"/>
  <c r="I300" i="10"/>
  <c r="N300" i="10"/>
  <c r="K186" i="14"/>
  <c r="G186" i="14"/>
  <c r="Q123" i="10"/>
  <c r="R123" i="10"/>
  <c r="L123" i="10"/>
  <c r="M123" i="10"/>
  <c r="N123" i="10"/>
  <c r="D123" i="10"/>
  <c r="O123" i="10"/>
  <c r="H123" i="10"/>
  <c r="I123" i="10"/>
  <c r="S123" i="10"/>
  <c r="F123" i="10"/>
  <c r="E123" i="10"/>
  <c r="P123" i="10"/>
  <c r="K123" i="10"/>
  <c r="G123" i="10"/>
  <c r="J123" i="10"/>
  <c r="P248" i="10"/>
  <c r="O248" i="10"/>
  <c r="M248" i="10"/>
  <c r="F248" i="10"/>
  <c r="K248" i="10"/>
  <c r="I248" i="10"/>
  <c r="R248" i="10"/>
  <c r="L248" i="10"/>
  <c r="E248" i="10"/>
  <c r="G248" i="10"/>
  <c r="H248" i="10"/>
  <c r="N248" i="10"/>
  <c r="J248" i="10"/>
  <c r="Q248" i="10"/>
  <c r="D248" i="10"/>
  <c r="T194" i="10"/>
  <c r="Q194" i="10"/>
  <c r="J194" i="10"/>
  <c r="N194" i="10"/>
  <c r="R194" i="10"/>
  <c r="I194" i="10"/>
  <c r="L194" i="10"/>
  <c r="G194" i="10"/>
  <c r="O194" i="10"/>
  <c r="D194" i="10"/>
  <c r="M194" i="10"/>
  <c r="H194" i="10"/>
  <c r="E194" i="10"/>
  <c r="F194" i="10"/>
  <c r="L186" i="14"/>
  <c r="O123" i="14"/>
  <c r="E123" i="14"/>
  <c r="J123" i="14"/>
  <c r="M123" i="14"/>
  <c r="H123" i="14"/>
  <c r="N123" i="14"/>
  <c r="F123" i="14"/>
  <c r="R123" i="14"/>
  <c r="D123" i="14"/>
  <c r="Q123" i="14"/>
  <c r="S123" i="14"/>
  <c r="P123" i="14"/>
  <c r="K123" i="14"/>
  <c r="G123" i="14"/>
  <c r="L123" i="14"/>
  <c r="I123" i="14"/>
  <c r="R248" i="14"/>
  <c r="P248" i="14"/>
  <c r="D248" i="14"/>
  <c r="Q248" i="14"/>
  <c r="E248" i="14"/>
  <c r="I248" i="14"/>
  <c r="F248" i="14"/>
  <c r="O248" i="14"/>
  <c r="T248" i="14"/>
  <c r="S248" i="14"/>
  <c r="L248" i="14"/>
  <c r="J248" i="14"/>
  <c r="N248" i="14"/>
  <c r="H248" i="14"/>
  <c r="K248" i="14"/>
  <c r="M248" i="14"/>
  <c r="G248" i="14"/>
  <c r="H194" i="14"/>
  <c r="L194" i="14"/>
  <c r="D194" i="14"/>
  <c r="O194" i="14"/>
  <c r="G194" i="14"/>
  <c r="R194" i="14"/>
  <c r="N194" i="14"/>
  <c r="J194" i="14"/>
  <c r="M194" i="14"/>
  <c r="I194" i="14"/>
  <c r="T313" i="10"/>
  <c r="Q313" i="10"/>
  <c r="G313" i="10"/>
  <c r="R313" i="10"/>
  <c r="N313" i="10"/>
  <c r="S313" i="10"/>
  <c r="I313" i="10"/>
  <c r="F313" i="10"/>
  <c r="M313" i="10"/>
  <c r="L313" i="10"/>
  <c r="J313" i="10"/>
  <c r="O313" i="10"/>
  <c r="P313" i="10"/>
  <c r="E313" i="10"/>
  <c r="D313" i="10"/>
  <c r="H313" i="10"/>
  <c r="M186" i="14"/>
  <c r="P174" i="14"/>
  <c r="E186" i="14"/>
  <c r="K332" i="10"/>
  <c r="Q174" i="14"/>
  <c r="F272" i="14"/>
  <c r="T272" i="14"/>
  <c r="N272" i="14"/>
  <c r="L272" i="14"/>
  <c r="P272" i="14"/>
  <c r="S272" i="14"/>
  <c r="O272" i="14"/>
  <c r="R272" i="14"/>
  <c r="K272" i="14"/>
  <c r="E272" i="14"/>
  <c r="P332" i="10"/>
  <c r="S6" i="14"/>
  <c r="P6" i="14"/>
  <c r="D6" i="14"/>
  <c r="E6" i="14"/>
  <c r="O6" i="14"/>
  <c r="K6" i="14"/>
  <c r="H6" i="14"/>
  <c r="G6" i="14"/>
  <c r="L6" i="14"/>
  <c r="S151" i="10"/>
  <c r="M151" i="10"/>
  <c r="F151" i="10"/>
  <c r="T151" i="10"/>
  <c r="K151" i="10"/>
  <c r="D151" i="10"/>
  <c r="R151" i="10"/>
  <c r="E151" i="10"/>
  <c r="J151" i="10"/>
  <c r="I151" i="10"/>
  <c r="L151" i="10"/>
  <c r="N151" i="10"/>
  <c r="H151" i="10"/>
  <c r="O151" i="10"/>
  <c r="G151" i="10"/>
  <c r="I218" i="10"/>
  <c r="D218" i="10"/>
  <c r="J218" i="10"/>
  <c r="G218" i="10"/>
  <c r="P218" i="10"/>
  <c r="E218" i="10"/>
  <c r="N218" i="10"/>
  <c r="M218" i="10"/>
  <c r="K218" i="10"/>
  <c r="L218" i="10"/>
  <c r="T218" i="10"/>
  <c r="R218" i="10"/>
  <c r="H218" i="10"/>
  <c r="P338" i="14"/>
  <c r="J338" i="14"/>
  <c r="N338" i="14"/>
  <c r="Q338" i="14"/>
  <c r="H338" i="14"/>
  <c r="L338" i="14"/>
  <c r="S338" i="14"/>
  <c r="M338" i="14"/>
  <c r="O338" i="14"/>
  <c r="K338" i="14"/>
  <c r="T338" i="14"/>
  <c r="R338" i="14"/>
  <c r="O176" i="10"/>
  <c r="L176" i="10"/>
  <c r="T176" i="10"/>
  <c r="P176" i="10"/>
  <c r="I176" i="10"/>
  <c r="S176" i="10"/>
  <c r="M176" i="10"/>
  <c r="F176" i="10"/>
  <c r="E176" i="10"/>
  <c r="N176" i="10"/>
  <c r="Q176" i="10"/>
  <c r="D176" i="10"/>
  <c r="G176" i="10"/>
  <c r="R176" i="10"/>
  <c r="J176" i="10"/>
  <c r="K176" i="10"/>
  <c r="O272" i="10"/>
  <c r="F272" i="10"/>
  <c r="K272" i="10"/>
  <c r="P272" i="10"/>
  <c r="L272" i="10"/>
  <c r="R272" i="10"/>
  <c r="E272" i="10"/>
  <c r="O218" i="14"/>
  <c r="T218" i="14"/>
  <c r="L218" i="14"/>
  <c r="R218" i="14"/>
  <c r="N218" i="14"/>
  <c r="E218" i="14"/>
  <c r="I218" i="14"/>
  <c r="G218" i="14"/>
  <c r="K218" i="14"/>
  <c r="P218" i="14"/>
  <c r="S218" i="14"/>
  <c r="D218" i="14"/>
  <c r="J218" i="14"/>
  <c r="C372" i="10"/>
  <c r="S332" i="10"/>
  <c r="F176" i="14"/>
  <c r="L176" i="14"/>
  <c r="G176" i="14"/>
  <c r="R176" i="14"/>
  <c r="T176" i="14"/>
  <c r="M176" i="14"/>
  <c r="K176" i="14"/>
  <c r="O176" i="14"/>
  <c r="D176" i="14"/>
  <c r="P176" i="14"/>
  <c r="J176" i="14"/>
  <c r="S176" i="14"/>
  <c r="I176" i="14"/>
  <c r="N176" i="14"/>
  <c r="E176" i="14"/>
  <c r="Q176" i="14"/>
  <c r="P28" i="10"/>
  <c r="Q28" i="10"/>
  <c r="T28" i="10"/>
  <c r="S28" i="10"/>
  <c r="N28" i="10"/>
  <c r="H28" i="10"/>
  <c r="O28" i="10"/>
  <c r="L28" i="10"/>
  <c r="K28" i="10"/>
  <c r="M28" i="10"/>
  <c r="R28" i="10"/>
  <c r="I28" i="10"/>
  <c r="G28" i="10"/>
  <c r="J28" i="10"/>
  <c r="P121" i="10"/>
  <c r="H121" i="10"/>
  <c r="I121" i="10"/>
  <c r="J121" i="10"/>
  <c r="M121" i="10"/>
  <c r="F121" i="10"/>
  <c r="S121" i="10"/>
  <c r="Q121" i="10"/>
  <c r="E121" i="10"/>
  <c r="R121" i="10"/>
  <c r="K121" i="10"/>
  <c r="G121" i="10"/>
  <c r="N121" i="10"/>
  <c r="O121" i="10"/>
  <c r="L121" i="10"/>
  <c r="Q190" i="14"/>
  <c r="S199" i="10"/>
  <c r="E199" i="10"/>
  <c r="D199" i="10"/>
  <c r="N199" i="10"/>
  <c r="K199" i="10"/>
  <c r="O199" i="10"/>
  <c r="M296" i="14"/>
  <c r="O296" i="14"/>
  <c r="H296" i="14"/>
  <c r="G296" i="14"/>
  <c r="I296" i="14"/>
  <c r="J296" i="14"/>
  <c r="T296" i="14"/>
  <c r="S296" i="14"/>
  <c r="R296" i="14"/>
  <c r="P296" i="14"/>
  <c r="Q296" i="14"/>
  <c r="E296" i="14"/>
  <c r="I31" i="3"/>
  <c r="K31" i="3"/>
  <c r="O6" i="10"/>
  <c r="M199" i="14"/>
  <c r="R199" i="14"/>
  <c r="P199" i="14"/>
  <c r="T199" i="14"/>
  <c r="Q199" i="14"/>
  <c r="E199" i="14"/>
  <c r="K199" i="14"/>
  <c r="H199" i="14"/>
  <c r="O199" i="14"/>
  <c r="S199" i="14"/>
  <c r="J199" i="14"/>
  <c r="N199" i="14"/>
  <c r="G199" i="14"/>
  <c r="D199" i="14"/>
  <c r="F41" i="10"/>
  <c r="I41" i="10"/>
  <c r="L41" i="10"/>
  <c r="Q41" i="10"/>
  <c r="S41" i="10"/>
  <c r="K41" i="10"/>
  <c r="M41" i="10"/>
  <c r="J41" i="10"/>
  <c r="E41" i="10"/>
  <c r="D41" i="10"/>
  <c r="H41" i="10"/>
  <c r="P6" i="10"/>
  <c r="R103" i="10"/>
  <c r="P103" i="10"/>
  <c r="S103" i="10"/>
  <c r="Q103" i="10"/>
  <c r="J103" i="10"/>
  <c r="F103" i="10"/>
  <c r="H103" i="10"/>
  <c r="E103" i="10"/>
  <c r="M103" i="10"/>
  <c r="L103" i="10"/>
  <c r="K103" i="10"/>
  <c r="N103" i="10"/>
  <c r="D103" i="10"/>
  <c r="T103" i="10"/>
  <c r="I103" i="10"/>
  <c r="T315" i="10"/>
  <c r="H315" i="10"/>
  <c r="G315" i="10"/>
  <c r="J315" i="10"/>
  <c r="N315" i="10"/>
  <c r="L315" i="10"/>
  <c r="K315" i="10"/>
  <c r="M315" i="10"/>
  <c r="D315" i="10"/>
  <c r="O315" i="10"/>
  <c r="I315" i="10"/>
  <c r="Q81" i="10"/>
  <c r="L81" i="10"/>
  <c r="M81" i="10"/>
  <c r="E81" i="10"/>
  <c r="F81" i="10"/>
  <c r="I81" i="10"/>
  <c r="J81" i="10"/>
  <c r="K81" i="10"/>
  <c r="N81" i="10"/>
  <c r="O81" i="10"/>
  <c r="G81" i="10"/>
  <c r="Q41" i="14"/>
  <c r="K41" i="14"/>
  <c r="I41" i="14"/>
  <c r="J41" i="14"/>
  <c r="L41" i="14"/>
  <c r="M41" i="14"/>
  <c r="F41" i="14"/>
  <c r="S41" i="14"/>
  <c r="E41" i="14"/>
  <c r="H41" i="14"/>
  <c r="D41" i="14"/>
  <c r="E246" i="14"/>
  <c r="F246" i="14"/>
  <c r="I246" i="14"/>
  <c r="T246" i="14"/>
  <c r="J246" i="14"/>
  <c r="L246" i="14"/>
  <c r="S246" i="14"/>
  <c r="G246" i="14"/>
  <c r="O246" i="14"/>
  <c r="Q246" i="14"/>
  <c r="P246" i="14"/>
  <c r="N246" i="14"/>
  <c r="M246" i="14"/>
  <c r="H246" i="14"/>
  <c r="R246" i="14"/>
  <c r="K246" i="14"/>
  <c r="BO4" i="2"/>
  <c r="C185" i="14"/>
  <c r="C79" i="14"/>
  <c r="CA1" i="2"/>
  <c r="C132" i="10"/>
  <c r="C257" i="10"/>
  <c r="C363" i="14"/>
  <c r="C170" i="10"/>
  <c r="C355" i="14"/>
  <c r="C206" i="10"/>
  <c r="C378" i="14"/>
  <c r="C356" i="14"/>
  <c r="C367" i="14"/>
  <c r="C359" i="10"/>
  <c r="C362" i="14"/>
  <c r="P278" i="14"/>
  <c r="S278" i="14"/>
  <c r="F314" i="14"/>
  <c r="C314" i="14"/>
  <c r="C374" i="14"/>
  <c r="C379" i="10"/>
  <c r="C154" i="10"/>
  <c r="I154" i="3"/>
  <c r="K154" i="3"/>
  <c r="C381" i="14"/>
  <c r="Q303" i="14"/>
  <c r="F286" i="14"/>
  <c r="C357" i="14"/>
  <c r="C376" i="10"/>
  <c r="C380" i="14"/>
  <c r="F303" i="14"/>
  <c r="R297" i="14"/>
  <c r="H316" i="14"/>
  <c r="Q278" i="14"/>
  <c r="C254" i="14"/>
  <c r="C354" i="10"/>
  <c r="I354" i="3"/>
  <c r="K354" i="3"/>
  <c r="T278" i="14"/>
  <c r="S275" i="14"/>
  <c r="C376" i="14"/>
  <c r="C389" i="14"/>
  <c r="C367" i="10"/>
  <c r="C387" i="14"/>
  <c r="C386" i="10"/>
  <c r="C366" i="14"/>
  <c r="G283" i="14"/>
  <c r="C364" i="14"/>
  <c r="C381" i="10"/>
  <c r="C378" i="10"/>
  <c r="F298" i="14"/>
  <c r="P315" i="14"/>
  <c r="C370" i="14"/>
  <c r="C387" i="10"/>
  <c r="C362" i="10"/>
  <c r="C375" i="10"/>
  <c r="C389" i="10"/>
  <c r="C358" i="14"/>
  <c r="C380" i="10"/>
  <c r="I278" i="14"/>
  <c r="J283" i="14"/>
  <c r="F311" i="14"/>
  <c r="C365" i="10"/>
  <c r="C388" i="14"/>
  <c r="E304" i="14"/>
  <c r="J286" i="14"/>
  <c r="F280" i="14"/>
  <c r="R304" i="14"/>
  <c r="C384" i="14"/>
  <c r="C359" i="14"/>
  <c r="G290" i="14"/>
  <c r="I301" i="14"/>
  <c r="L295" i="14"/>
  <c r="L280" i="14"/>
  <c r="O278" i="14"/>
  <c r="D280" i="14"/>
  <c r="C379" i="14"/>
  <c r="C157" i="10"/>
  <c r="I157" i="3"/>
  <c r="K157" i="3"/>
  <c r="J303" i="14"/>
  <c r="D272" i="14"/>
  <c r="C371" i="10"/>
  <c r="K312" i="14"/>
  <c r="C31" i="14"/>
  <c r="C373" i="10"/>
  <c r="C390" i="10"/>
  <c r="M275" i="14"/>
  <c r="C372" i="14"/>
  <c r="M272" i="14"/>
  <c r="L292" i="14"/>
  <c r="C292" i="14"/>
  <c r="G280" i="14"/>
  <c r="I303" i="14"/>
  <c r="O280" i="14"/>
  <c r="C375" i="14"/>
  <c r="C370" i="10"/>
  <c r="S305" i="14"/>
  <c r="C361" i="14"/>
  <c r="E294" i="14"/>
  <c r="C294" i="14"/>
  <c r="K298" i="14"/>
  <c r="K295" i="14"/>
  <c r="L304" i="14"/>
  <c r="C383" i="14"/>
  <c r="L275" i="14"/>
  <c r="E280" i="14"/>
  <c r="D311" i="14"/>
  <c r="H280" i="14"/>
  <c r="D305" i="14"/>
  <c r="C357" i="10"/>
  <c r="I281" i="14"/>
  <c r="F296" i="14"/>
  <c r="C29" i="10"/>
  <c r="I29" i="3"/>
  <c r="K29" i="3"/>
  <c r="C132" i="14"/>
  <c r="D318" i="14"/>
  <c r="C355" i="10"/>
  <c r="I477" i="3"/>
  <c r="K477" i="3"/>
  <c r="Q298" i="14"/>
  <c r="C383" i="10"/>
  <c r="G271" i="14"/>
  <c r="K275" i="14"/>
  <c r="T304" i="14"/>
  <c r="O308" i="14"/>
  <c r="C358" i="10"/>
  <c r="C374" i="10"/>
  <c r="J297" i="14"/>
  <c r="G311" i="14"/>
  <c r="H271" i="14"/>
  <c r="I305" i="14"/>
  <c r="J271" i="14"/>
  <c r="Q284" i="14"/>
  <c r="P308" i="14"/>
  <c r="C363" i="10"/>
  <c r="F317" i="14"/>
  <c r="K305" i="14"/>
  <c r="H298" i="14"/>
  <c r="E315" i="14"/>
  <c r="G318" i="14"/>
  <c r="Q305" i="14"/>
  <c r="O300" i="14"/>
  <c r="P305" i="14"/>
  <c r="M298" i="14"/>
  <c r="J309" i="14"/>
  <c r="G305" i="14"/>
  <c r="H304" i="14"/>
  <c r="K303" i="14"/>
  <c r="G301" i="14"/>
  <c r="M305" i="14"/>
  <c r="I309" i="14"/>
  <c r="S4" i="2"/>
  <c r="N295" i="14"/>
  <c r="J281" i="14"/>
  <c r="L277" i="14"/>
  <c r="C205" i="10"/>
  <c r="I205" i="3"/>
  <c r="K205" i="3"/>
  <c r="C269" i="10"/>
  <c r="I269" i="3"/>
  <c r="K269" i="3"/>
  <c r="N280" i="14"/>
  <c r="K280" i="14"/>
  <c r="C373" i="14"/>
  <c r="M281" i="14"/>
  <c r="N278" i="14"/>
  <c r="D295" i="14"/>
  <c r="I272" i="14"/>
  <c r="I276" i="14"/>
  <c r="O305" i="14"/>
  <c r="D298" i="14"/>
  <c r="Q272" i="14"/>
  <c r="O303" i="14"/>
  <c r="S298" i="14"/>
  <c r="C29" i="14"/>
  <c r="C106" i="14"/>
  <c r="C115" i="10"/>
  <c r="I115" i="3"/>
  <c r="K115" i="3"/>
  <c r="H241" i="10"/>
  <c r="E241" i="10"/>
  <c r="F241" i="10"/>
  <c r="N241" i="10"/>
  <c r="P241" i="10"/>
  <c r="O241" i="10"/>
  <c r="T241" i="10"/>
  <c r="D241" i="10"/>
  <c r="K241" i="10"/>
  <c r="S241" i="10"/>
  <c r="Q241" i="10"/>
  <c r="R241" i="10"/>
  <c r="L241" i="10"/>
  <c r="M241" i="10"/>
  <c r="G241" i="10"/>
  <c r="J241" i="10"/>
  <c r="S165" i="10"/>
  <c r="R165" i="10"/>
  <c r="P165" i="10"/>
  <c r="O165" i="10"/>
  <c r="D165" i="10"/>
  <c r="K165" i="10"/>
  <c r="L165" i="10"/>
  <c r="F165" i="10"/>
  <c r="I165" i="10"/>
  <c r="Q165" i="10"/>
  <c r="J165" i="10"/>
  <c r="H165" i="10"/>
  <c r="M165" i="10"/>
  <c r="T165" i="10"/>
  <c r="E165" i="10"/>
  <c r="N165" i="10"/>
  <c r="J164" i="14"/>
  <c r="M323" i="14"/>
  <c r="F323" i="14"/>
  <c r="L323" i="14"/>
  <c r="T323" i="14"/>
  <c r="G323" i="14"/>
  <c r="D323" i="14"/>
  <c r="P323" i="14"/>
  <c r="H323" i="14"/>
  <c r="E323" i="14"/>
  <c r="N323" i="14"/>
  <c r="R323" i="14"/>
  <c r="Q323" i="14"/>
  <c r="O323" i="14"/>
  <c r="S323" i="14"/>
  <c r="T99" i="10"/>
  <c r="P99" i="10"/>
  <c r="H99" i="10"/>
  <c r="S99" i="10"/>
  <c r="K99" i="10"/>
  <c r="O99" i="10"/>
  <c r="M99" i="10"/>
  <c r="R99" i="10"/>
  <c r="N99" i="10"/>
  <c r="I99" i="10"/>
  <c r="J99" i="10"/>
  <c r="G99" i="10"/>
  <c r="L99" i="10"/>
  <c r="D99" i="10"/>
  <c r="E99" i="10"/>
  <c r="Q99" i="10"/>
  <c r="I18" i="14"/>
  <c r="S18" i="14"/>
  <c r="H18" i="14"/>
  <c r="F334" i="14"/>
  <c r="H334" i="14"/>
  <c r="G334" i="14"/>
  <c r="D334" i="14"/>
  <c r="J334" i="14"/>
  <c r="E334" i="14"/>
  <c r="I334" i="14"/>
  <c r="S262" i="10"/>
  <c r="R262" i="10"/>
  <c r="E262" i="10"/>
  <c r="N262" i="10"/>
  <c r="K262" i="10"/>
  <c r="F262" i="10"/>
  <c r="G262" i="10"/>
  <c r="D262" i="10"/>
  <c r="L262" i="10"/>
  <c r="J262" i="10"/>
  <c r="I262" i="10"/>
  <c r="M262" i="10"/>
  <c r="H262" i="10"/>
  <c r="T262" i="10"/>
  <c r="R12" i="10"/>
  <c r="N12" i="10"/>
  <c r="T12" i="10"/>
  <c r="F12" i="10"/>
  <c r="S12" i="10"/>
  <c r="Q12" i="10"/>
  <c r="P12" i="10"/>
  <c r="O12" i="10"/>
  <c r="I12" i="10"/>
  <c r="H12" i="10"/>
  <c r="S260" i="10"/>
  <c r="M260" i="10"/>
  <c r="Q260" i="10"/>
  <c r="P260" i="10"/>
  <c r="E260" i="10"/>
  <c r="N260" i="10"/>
  <c r="O260" i="10"/>
  <c r="L260" i="10"/>
  <c r="R260" i="10"/>
  <c r="D260" i="10"/>
  <c r="T260" i="10"/>
  <c r="J263" i="14"/>
  <c r="E331" i="14"/>
  <c r="T331" i="14"/>
  <c r="L331" i="14"/>
  <c r="S331" i="14"/>
  <c r="G331" i="14"/>
  <c r="I331" i="14"/>
  <c r="M331" i="14"/>
  <c r="J331" i="14"/>
  <c r="P331" i="14"/>
  <c r="H331" i="14"/>
  <c r="K331" i="14"/>
  <c r="Q331" i="14"/>
  <c r="R331" i="14"/>
  <c r="O331" i="14"/>
  <c r="D331" i="14"/>
  <c r="N331" i="14"/>
  <c r="T118" i="14"/>
  <c r="S118" i="14"/>
  <c r="Q118" i="14"/>
  <c r="F118" i="14"/>
  <c r="R118" i="14"/>
  <c r="P118" i="14"/>
  <c r="K118" i="14"/>
  <c r="H118" i="14"/>
  <c r="G118" i="14"/>
  <c r="J118" i="14"/>
  <c r="I118" i="14"/>
  <c r="N118" i="14"/>
  <c r="L118" i="14"/>
  <c r="E118" i="14"/>
  <c r="D118" i="14"/>
  <c r="O118" i="14"/>
  <c r="F49" i="14"/>
  <c r="P49" i="14"/>
  <c r="G49" i="14"/>
  <c r="M49" i="14"/>
  <c r="I49" i="14"/>
  <c r="K49" i="14"/>
  <c r="R49" i="14"/>
  <c r="F262" i="14"/>
  <c r="S262" i="14"/>
  <c r="M262" i="14"/>
  <c r="N262" i="14"/>
  <c r="E262" i="14"/>
  <c r="D262" i="14"/>
  <c r="L262" i="14"/>
  <c r="K262" i="14"/>
  <c r="J262" i="14"/>
  <c r="R262" i="14"/>
  <c r="G262" i="14"/>
  <c r="I262" i="14"/>
  <c r="T262" i="14"/>
  <c r="H262" i="14"/>
  <c r="S210" i="10"/>
  <c r="R210" i="10"/>
  <c r="E210" i="10"/>
  <c r="Q210" i="10"/>
  <c r="L210" i="10"/>
  <c r="H210" i="10"/>
  <c r="J210" i="10"/>
  <c r="I210" i="10"/>
  <c r="D210" i="10"/>
  <c r="K210" i="10"/>
  <c r="T210" i="10"/>
  <c r="F210" i="10"/>
  <c r="G210" i="10"/>
  <c r="M210" i="10"/>
  <c r="K286" i="14"/>
  <c r="E286" i="14"/>
  <c r="T286" i="14"/>
  <c r="P286" i="14"/>
  <c r="R286" i="14"/>
  <c r="M286" i="14"/>
  <c r="H286" i="14"/>
  <c r="N286" i="14"/>
  <c r="Q286" i="14"/>
  <c r="L286" i="14"/>
  <c r="D286" i="14"/>
  <c r="G164" i="14"/>
  <c r="I164" i="14"/>
  <c r="D164" i="14"/>
  <c r="E164" i="14"/>
  <c r="L164" i="14"/>
  <c r="I170" i="3"/>
  <c r="K170" i="3"/>
  <c r="I339" i="3"/>
  <c r="K339" i="3"/>
  <c r="Q164" i="14"/>
  <c r="I145" i="14"/>
  <c r="D145" i="14"/>
  <c r="F145" i="14"/>
  <c r="T145" i="14"/>
  <c r="H145" i="14"/>
  <c r="Q145" i="14"/>
  <c r="S145" i="14"/>
  <c r="L145" i="14"/>
  <c r="G145" i="14"/>
  <c r="R145" i="14"/>
  <c r="K145" i="14"/>
  <c r="O117" i="10"/>
  <c r="D117" i="10"/>
  <c r="T117" i="10"/>
  <c r="P117" i="10"/>
  <c r="L117" i="10"/>
  <c r="S117" i="10"/>
  <c r="J117" i="10"/>
  <c r="R117" i="10"/>
  <c r="Q117" i="10"/>
  <c r="I117" i="10"/>
  <c r="K117" i="10"/>
  <c r="H117" i="10"/>
  <c r="M117" i="10"/>
  <c r="G117" i="10"/>
  <c r="F117" i="10"/>
  <c r="E117" i="10"/>
  <c r="N117" i="10"/>
  <c r="T309" i="10"/>
  <c r="S309" i="10"/>
  <c r="R309" i="10"/>
  <c r="Q309" i="10"/>
  <c r="G309" i="10"/>
  <c r="D309" i="10"/>
  <c r="M309" i="10"/>
  <c r="N309" i="10"/>
  <c r="H309" i="10"/>
  <c r="K309" i="10"/>
  <c r="F309" i="10"/>
  <c r="L309" i="10"/>
  <c r="E309" i="10"/>
  <c r="R46" i="14"/>
  <c r="K46" i="14"/>
  <c r="Q46" i="14"/>
  <c r="G46" i="14"/>
  <c r="H46" i="14"/>
  <c r="F46" i="14"/>
  <c r="S46" i="14"/>
  <c r="M46" i="14"/>
  <c r="J46" i="14"/>
  <c r="H340" i="10"/>
  <c r="E340" i="10"/>
  <c r="L340" i="10"/>
  <c r="G340" i="10"/>
  <c r="J340" i="10"/>
  <c r="O340" i="10"/>
  <c r="K340" i="10"/>
  <c r="P340" i="10"/>
  <c r="I340" i="10"/>
  <c r="D340" i="10"/>
  <c r="M340" i="10"/>
  <c r="F340" i="10"/>
  <c r="S340" i="10"/>
  <c r="H210" i="14"/>
  <c r="T210" i="14"/>
  <c r="E210" i="14"/>
  <c r="Q210" i="14"/>
  <c r="K210" i="14"/>
  <c r="D210" i="14"/>
  <c r="G186" i="10"/>
  <c r="T186" i="10"/>
  <c r="S186" i="10"/>
  <c r="P186" i="10"/>
  <c r="O186" i="10"/>
  <c r="I186" i="10"/>
  <c r="E186" i="10"/>
  <c r="N186" i="10"/>
  <c r="F186" i="10"/>
  <c r="R186" i="10"/>
  <c r="K186" i="10"/>
  <c r="D186" i="10"/>
  <c r="L186" i="10"/>
  <c r="J186" i="10"/>
  <c r="H186" i="10"/>
  <c r="M186" i="10"/>
  <c r="Q186" i="10"/>
  <c r="S286" i="10"/>
  <c r="G286" i="10"/>
  <c r="O286" i="10"/>
  <c r="I286" i="10"/>
  <c r="T286" i="10"/>
  <c r="L286" i="10"/>
  <c r="H286" i="10"/>
  <c r="R286" i="10"/>
  <c r="E286" i="10"/>
  <c r="K286" i="10"/>
  <c r="M286" i="10"/>
  <c r="N286" i="10"/>
  <c r="Q286" i="10"/>
  <c r="P286" i="10"/>
  <c r="G352" i="14"/>
  <c r="K352" i="14"/>
  <c r="L352" i="14"/>
  <c r="P352" i="14"/>
  <c r="I352" i="14"/>
  <c r="H352" i="14"/>
  <c r="R352" i="14"/>
  <c r="N352" i="14"/>
  <c r="O352" i="14"/>
  <c r="S352" i="14"/>
  <c r="E352" i="14"/>
  <c r="J352" i="14"/>
  <c r="M352" i="14"/>
  <c r="T352" i="14"/>
  <c r="Q352" i="14"/>
  <c r="E57" i="14"/>
  <c r="H57" i="14"/>
  <c r="S57" i="14"/>
  <c r="N57" i="14"/>
  <c r="T57" i="14"/>
  <c r="M57" i="14"/>
  <c r="R57" i="14"/>
  <c r="F57" i="14"/>
  <c r="H57" i="10"/>
  <c r="N57" i="10"/>
  <c r="T57" i="10"/>
  <c r="E57" i="10"/>
  <c r="R57" i="10"/>
  <c r="S57" i="10"/>
  <c r="M57" i="10"/>
  <c r="F57" i="10"/>
  <c r="S164" i="14"/>
  <c r="R346" i="14"/>
  <c r="L346" i="14"/>
  <c r="F346" i="14"/>
  <c r="T346" i="14"/>
  <c r="G346" i="14"/>
  <c r="K346" i="14"/>
  <c r="M346" i="14"/>
  <c r="E346" i="14"/>
  <c r="S346" i="14"/>
  <c r="J346" i="14"/>
  <c r="D346" i="14"/>
  <c r="H346" i="14"/>
  <c r="N346" i="14"/>
  <c r="O346" i="14"/>
  <c r="P346" i="14"/>
  <c r="Q346" i="14"/>
  <c r="F270" i="14"/>
  <c r="E270" i="14"/>
  <c r="T270" i="14"/>
  <c r="I270" i="14"/>
  <c r="S270" i="14"/>
  <c r="H270" i="14"/>
  <c r="K270" i="14"/>
  <c r="G270" i="14"/>
  <c r="M270" i="14"/>
  <c r="J270" i="14"/>
  <c r="D270" i="14"/>
  <c r="R270" i="14"/>
  <c r="P270" i="14"/>
  <c r="N270" i="14"/>
  <c r="L270" i="14"/>
  <c r="Q270" i="14"/>
  <c r="O270" i="14"/>
  <c r="S331" i="10"/>
  <c r="T331" i="10"/>
  <c r="L331" i="10"/>
  <c r="H331" i="10"/>
  <c r="O331" i="10"/>
  <c r="N331" i="10"/>
  <c r="E331" i="10"/>
  <c r="J331" i="10"/>
  <c r="M331" i="10"/>
  <c r="R331" i="10"/>
  <c r="G331" i="10"/>
  <c r="Q331" i="10"/>
  <c r="I331" i="10"/>
  <c r="F22" i="14"/>
  <c r="S22" i="14"/>
  <c r="Q22" i="14"/>
  <c r="P22" i="14"/>
  <c r="R22" i="14"/>
  <c r="K22" i="14"/>
  <c r="N22" i="14"/>
  <c r="E22" i="14"/>
  <c r="G22" i="14"/>
  <c r="H22" i="14"/>
  <c r="J22" i="14"/>
  <c r="I22" i="14"/>
  <c r="M22" i="14"/>
  <c r="S18" i="10"/>
  <c r="I18" i="10"/>
  <c r="H18" i="10"/>
  <c r="F49" i="10"/>
  <c r="K49" i="10"/>
  <c r="T49" i="10"/>
  <c r="R49" i="10"/>
  <c r="P49" i="10"/>
  <c r="I49" i="10"/>
  <c r="M49" i="10"/>
  <c r="G49" i="10"/>
  <c r="Q49" i="10"/>
  <c r="S46" i="10"/>
  <c r="Q46" i="10"/>
  <c r="K46" i="10"/>
  <c r="F46" i="10"/>
  <c r="J46" i="10"/>
  <c r="G46" i="10"/>
  <c r="R46" i="10"/>
  <c r="M46" i="10"/>
  <c r="H46" i="10"/>
  <c r="F96" i="14"/>
  <c r="T96" i="14"/>
  <c r="Q96" i="14"/>
  <c r="P96" i="14"/>
  <c r="J96" i="14"/>
  <c r="L96" i="14"/>
  <c r="D96" i="14"/>
  <c r="M96" i="14"/>
  <c r="E96" i="14"/>
  <c r="I96" i="14"/>
  <c r="N96" i="14"/>
  <c r="O96" i="14"/>
  <c r="H96" i="14"/>
  <c r="G96" i="14"/>
  <c r="R96" i="14"/>
  <c r="S96" i="14"/>
  <c r="R186" i="14"/>
  <c r="Q186" i="14"/>
  <c r="P186" i="14"/>
  <c r="F186" i="14"/>
  <c r="I186" i="14"/>
  <c r="O186" i="14"/>
  <c r="J186" i="14"/>
  <c r="N186" i="14"/>
  <c r="H186" i="14"/>
  <c r="D186" i="14"/>
  <c r="F263" i="14"/>
  <c r="H263" i="14"/>
  <c r="S263" i="14"/>
  <c r="N263" i="14"/>
  <c r="M263" i="14"/>
  <c r="Q263" i="14"/>
  <c r="L263" i="14"/>
  <c r="G263" i="14"/>
  <c r="I263" i="14"/>
  <c r="T263" i="14"/>
  <c r="O263" i="14"/>
  <c r="P263" i="14"/>
  <c r="S290" i="10"/>
  <c r="O290" i="10"/>
  <c r="Q127" i="10"/>
  <c r="T127" i="10"/>
  <c r="R127" i="10"/>
  <c r="P127" i="10"/>
  <c r="I127" i="10"/>
  <c r="M127" i="10"/>
  <c r="K127" i="10"/>
  <c r="O127" i="10"/>
  <c r="F127" i="10"/>
  <c r="J127" i="10"/>
  <c r="L127" i="10"/>
  <c r="G127" i="10"/>
  <c r="D127" i="10"/>
  <c r="E127" i="10"/>
  <c r="H127" i="10"/>
  <c r="N127" i="10"/>
  <c r="H164" i="14"/>
  <c r="R282" i="14"/>
  <c r="Q282" i="14"/>
  <c r="T282" i="14"/>
  <c r="S282" i="14"/>
  <c r="D139" i="14"/>
  <c r="H139" i="14"/>
  <c r="O139" i="14"/>
  <c r="J139" i="14"/>
  <c r="T139" i="14"/>
  <c r="K139" i="14"/>
  <c r="N139" i="14"/>
  <c r="E139" i="14"/>
  <c r="I139" i="14"/>
  <c r="P139" i="14"/>
  <c r="S139" i="14"/>
  <c r="L139" i="14"/>
  <c r="R139" i="14"/>
  <c r="Q139" i="14"/>
  <c r="G139" i="14"/>
  <c r="M139" i="14"/>
  <c r="O62" i="10"/>
  <c r="E62" i="10"/>
  <c r="H242" i="10"/>
  <c r="I242" i="10"/>
  <c r="M242" i="10"/>
  <c r="D242" i="10"/>
  <c r="E242" i="10"/>
  <c r="L242" i="10"/>
  <c r="K242" i="10"/>
  <c r="G242" i="10"/>
  <c r="F242" i="10"/>
  <c r="J242" i="10"/>
  <c r="T96" i="10"/>
  <c r="S96" i="10"/>
  <c r="N96" i="10"/>
  <c r="Q96" i="10"/>
  <c r="D96" i="10"/>
  <c r="P96" i="10"/>
  <c r="R96" i="10"/>
  <c r="O96" i="10"/>
  <c r="E96" i="10"/>
  <c r="F96" i="10"/>
  <c r="G96" i="10"/>
  <c r="J96" i="10"/>
  <c r="H96" i="10"/>
  <c r="M96" i="10"/>
  <c r="L96" i="10"/>
  <c r="I96" i="10"/>
  <c r="E352" i="10"/>
  <c r="P352" i="10"/>
  <c r="Q352" i="10"/>
  <c r="M352" i="10"/>
  <c r="O352" i="10"/>
  <c r="K352" i="10"/>
  <c r="G352" i="10"/>
  <c r="H352" i="10"/>
  <c r="J352" i="10"/>
  <c r="T352" i="10"/>
  <c r="L352" i="10"/>
  <c r="I352" i="10"/>
  <c r="N352" i="10"/>
  <c r="R352" i="10"/>
  <c r="S352" i="10"/>
  <c r="T117" i="14"/>
  <c r="J117" i="14"/>
  <c r="S117" i="14"/>
  <c r="O117" i="14"/>
  <c r="K117" i="14"/>
  <c r="R117" i="14"/>
  <c r="Q117" i="14"/>
  <c r="P117" i="14"/>
  <c r="H117" i="14"/>
  <c r="F117" i="14"/>
  <c r="I117" i="14"/>
  <c r="M117" i="14"/>
  <c r="D117" i="14"/>
  <c r="L117" i="14"/>
  <c r="E117" i="14"/>
  <c r="G117" i="14"/>
  <c r="N117" i="14"/>
  <c r="J334" i="10"/>
  <c r="H334" i="10"/>
  <c r="G334" i="10"/>
  <c r="F334" i="10"/>
  <c r="E334" i="10"/>
  <c r="D334" i="10"/>
  <c r="I334" i="10"/>
  <c r="O164" i="14"/>
  <c r="K36" i="10"/>
  <c r="T36" i="10"/>
  <c r="O36" i="10"/>
  <c r="P36" i="10"/>
  <c r="F36" i="10"/>
  <c r="S36" i="10"/>
  <c r="H36" i="10"/>
  <c r="G36" i="10"/>
  <c r="E36" i="10"/>
  <c r="M36" i="10"/>
  <c r="J36" i="10"/>
  <c r="L36" i="10"/>
  <c r="I36" i="10"/>
  <c r="I138" i="10"/>
  <c r="S138" i="10"/>
  <c r="F138" i="10"/>
  <c r="N138" i="10"/>
  <c r="M138" i="10"/>
  <c r="Q138" i="10"/>
  <c r="D138" i="10"/>
  <c r="H138" i="10"/>
  <c r="L138" i="10"/>
  <c r="E138" i="10"/>
  <c r="R138" i="10"/>
  <c r="O138" i="10"/>
  <c r="K138" i="10"/>
  <c r="T138" i="10"/>
  <c r="J138" i="10"/>
  <c r="G138" i="10"/>
  <c r="P138" i="10"/>
  <c r="Q22" i="10"/>
  <c r="S22" i="10"/>
  <c r="P22" i="10"/>
  <c r="H22" i="10"/>
  <c r="G22" i="10"/>
  <c r="M22" i="10"/>
  <c r="K22" i="10"/>
  <c r="E22" i="10"/>
  <c r="N22" i="10"/>
  <c r="F22" i="10"/>
  <c r="R22" i="10"/>
  <c r="I22" i="10"/>
  <c r="J22" i="10"/>
  <c r="S139" i="10"/>
  <c r="R139" i="10"/>
  <c r="T139" i="10"/>
  <c r="Q139" i="10"/>
  <c r="P139" i="10"/>
  <c r="O139" i="10"/>
  <c r="G139" i="10"/>
  <c r="I139" i="10"/>
  <c r="L139" i="10"/>
  <c r="E139" i="10"/>
  <c r="K139" i="10"/>
  <c r="M139" i="10"/>
  <c r="J139" i="10"/>
  <c r="H139" i="10"/>
  <c r="D139" i="10"/>
  <c r="N139" i="10"/>
  <c r="H332" i="10"/>
  <c r="D332" i="10"/>
  <c r="J332" i="10"/>
  <c r="E332" i="10"/>
  <c r="G332" i="10"/>
  <c r="I332" i="10"/>
  <c r="O332" i="10"/>
  <c r="L332" i="10"/>
  <c r="F332" i="10"/>
  <c r="E221" i="10"/>
  <c r="F221" i="10"/>
  <c r="R221" i="10"/>
  <c r="K221" i="10"/>
  <c r="I221" i="10"/>
  <c r="S221" i="10"/>
  <c r="H221" i="10"/>
  <c r="N221" i="10"/>
  <c r="J221" i="10"/>
  <c r="G221" i="10"/>
  <c r="M221" i="10"/>
  <c r="P221" i="10"/>
  <c r="L221" i="10"/>
  <c r="O221" i="10"/>
  <c r="Q221" i="10"/>
  <c r="D221" i="10"/>
  <c r="S209" i="10"/>
  <c r="I209" i="10"/>
  <c r="K209" i="10"/>
  <c r="P209" i="10"/>
  <c r="M209" i="10"/>
  <c r="G209" i="10"/>
  <c r="T209" i="10"/>
  <c r="N209" i="10"/>
  <c r="R209" i="10"/>
  <c r="L209" i="10"/>
  <c r="D209" i="10"/>
  <c r="F209" i="10"/>
  <c r="E209" i="10"/>
  <c r="O209" i="10"/>
  <c r="H209" i="10"/>
  <c r="J209" i="10"/>
  <c r="Q209" i="10"/>
  <c r="C252" i="10"/>
  <c r="I252" i="3"/>
  <c r="K252" i="3"/>
  <c r="N164" i="14"/>
  <c r="T264" i="10"/>
  <c r="G264" i="10"/>
  <c r="D264" i="10"/>
  <c r="E264" i="10"/>
  <c r="J264" i="10"/>
  <c r="I264" i="10"/>
  <c r="H264" i="10"/>
  <c r="K264" i="10"/>
  <c r="L264" i="10"/>
  <c r="F264" i="10"/>
  <c r="R264" i="10"/>
  <c r="F268" i="14"/>
  <c r="S268" i="14"/>
  <c r="K268" i="14"/>
  <c r="I268" i="14"/>
  <c r="D268" i="14"/>
  <c r="R268" i="14"/>
  <c r="H268" i="14"/>
  <c r="G268" i="14"/>
  <c r="J268" i="14"/>
  <c r="E268" i="14"/>
  <c r="F209" i="14"/>
  <c r="E209" i="14"/>
  <c r="R209" i="14"/>
  <c r="L209" i="14"/>
  <c r="P209" i="14"/>
  <c r="G209" i="14"/>
  <c r="J209" i="14"/>
  <c r="I209" i="14"/>
  <c r="Q209" i="14"/>
  <c r="K209" i="14"/>
  <c r="M209" i="14"/>
  <c r="H209" i="14"/>
  <c r="T209" i="14"/>
  <c r="D209" i="14"/>
  <c r="N209" i="14"/>
  <c r="O209" i="14"/>
  <c r="C206" i="14"/>
  <c r="K164" i="14"/>
  <c r="Q19" i="14"/>
  <c r="T19" i="14"/>
  <c r="J19" i="14"/>
  <c r="P19" i="14"/>
  <c r="O19" i="14"/>
  <c r="S19" i="14"/>
  <c r="R19" i="14"/>
  <c r="H19" i="14"/>
  <c r="L19" i="14"/>
  <c r="M19" i="14"/>
  <c r="G19" i="14"/>
  <c r="N19" i="14"/>
  <c r="D19" i="14"/>
  <c r="K19" i="14"/>
  <c r="I19" i="14"/>
  <c r="H303" i="10"/>
  <c r="T303" i="10"/>
  <c r="P303" i="10"/>
  <c r="L303" i="10"/>
  <c r="E303" i="10"/>
  <c r="D303" i="10"/>
  <c r="M303" i="10"/>
  <c r="G303" i="10"/>
  <c r="L167" i="14"/>
  <c r="D167" i="14"/>
  <c r="F167" i="14"/>
  <c r="J167" i="14"/>
  <c r="T167" i="14"/>
  <c r="S167" i="14"/>
  <c r="P167" i="14"/>
  <c r="O167" i="14"/>
  <c r="Q167" i="14"/>
  <c r="N167" i="14"/>
  <c r="E167" i="14"/>
  <c r="R167" i="14"/>
  <c r="I167" i="14"/>
  <c r="G167" i="14"/>
  <c r="K167" i="14"/>
  <c r="H167" i="14"/>
  <c r="M167" i="14"/>
  <c r="N169" i="10"/>
  <c r="G169" i="10"/>
  <c r="R169" i="10"/>
  <c r="Q169" i="10"/>
  <c r="P169" i="10"/>
  <c r="F169" i="10"/>
  <c r="S169" i="10"/>
  <c r="J169" i="10"/>
  <c r="H169" i="10"/>
  <c r="T169" i="10"/>
  <c r="I169" i="10"/>
  <c r="L169" i="10"/>
  <c r="D169" i="10"/>
  <c r="K169" i="10"/>
  <c r="O169" i="10"/>
  <c r="E169" i="10"/>
  <c r="M169" i="10"/>
  <c r="O115" i="14"/>
  <c r="G115" i="14"/>
  <c r="E115" i="14"/>
  <c r="H115" i="14"/>
  <c r="Q115" i="14"/>
  <c r="D115" i="14"/>
  <c r="R115" i="14"/>
  <c r="F115" i="14"/>
  <c r="L115" i="14"/>
  <c r="T115" i="14"/>
  <c r="P115" i="14"/>
  <c r="S115" i="14"/>
  <c r="N115" i="14"/>
  <c r="M115" i="14"/>
  <c r="J115" i="14"/>
  <c r="I115" i="14"/>
  <c r="K115" i="14"/>
  <c r="T71" i="10"/>
  <c r="S71" i="10"/>
  <c r="H71" i="10"/>
  <c r="I71" i="10"/>
  <c r="O71" i="10"/>
  <c r="N71" i="10"/>
  <c r="D71" i="10"/>
  <c r="K71" i="10"/>
  <c r="M71" i="10"/>
  <c r="E71" i="10"/>
  <c r="P71" i="10"/>
  <c r="R71" i="10"/>
  <c r="F71" i="10"/>
  <c r="Q71" i="10"/>
  <c r="L71" i="10"/>
  <c r="J71" i="10"/>
  <c r="G71" i="10"/>
  <c r="S118" i="10"/>
  <c r="P118" i="10"/>
  <c r="R118" i="10"/>
  <c r="I118" i="10"/>
  <c r="H118" i="10"/>
  <c r="F118" i="10"/>
  <c r="E118" i="10"/>
  <c r="T118" i="10"/>
  <c r="O118" i="10"/>
  <c r="Q118" i="10"/>
  <c r="G118" i="10"/>
  <c r="D118" i="10"/>
  <c r="K118" i="10"/>
  <c r="L118" i="10"/>
  <c r="N118" i="10"/>
  <c r="J118" i="10"/>
  <c r="M164" i="14"/>
  <c r="I47" i="14"/>
  <c r="M47" i="14"/>
  <c r="F47" i="14"/>
  <c r="S47" i="14"/>
  <c r="T47" i="14"/>
  <c r="Q47" i="14"/>
  <c r="P47" i="14"/>
  <c r="R47" i="14"/>
  <c r="K47" i="14"/>
  <c r="J47" i="14"/>
  <c r="G47" i="14"/>
  <c r="D47" i="14"/>
  <c r="O47" i="14"/>
  <c r="N47" i="14"/>
  <c r="L47" i="14"/>
  <c r="F242" i="14"/>
  <c r="D242" i="14"/>
  <c r="G242" i="14"/>
  <c r="H242" i="14"/>
  <c r="I242" i="14"/>
  <c r="E242" i="14"/>
  <c r="L242" i="14"/>
  <c r="M242" i="14"/>
  <c r="J242" i="14"/>
  <c r="K242" i="14"/>
  <c r="E264" i="14"/>
  <c r="H264" i="14"/>
  <c r="L264" i="14"/>
  <c r="F264" i="14"/>
  <c r="K264" i="14"/>
  <c r="T264" i="14"/>
  <c r="R264" i="14"/>
  <c r="I264" i="14"/>
  <c r="G264" i="14"/>
  <c r="J264" i="14"/>
  <c r="D264" i="14"/>
  <c r="T32" i="10"/>
  <c r="H32" i="10"/>
  <c r="S32" i="10"/>
  <c r="P134" i="10"/>
  <c r="O134" i="10"/>
  <c r="K134" i="10"/>
  <c r="I134" i="10"/>
  <c r="L134" i="10"/>
  <c r="R134" i="10"/>
  <c r="D134" i="10"/>
  <c r="H134" i="10"/>
  <c r="J134" i="10"/>
  <c r="E134" i="10"/>
  <c r="F134" i="10"/>
  <c r="R237" i="10"/>
  <c r="Q237" i="10"/>
  <c r="N237" i="10"/>
  <c r="H237" i="10"/>
  <c r="I237" i="10"/>
  <c r="J237" i="10"/>
  <c r="D237" i="10"/>
  <c r="O237" i="10"/>
  <c r="M237" i="10"/>
  <c r="E237" i="10"/>
  <c r="C157" i="14"/>
  <c r="S214" i="10"/>
  <c r="T214" i="10"/>
  <c r="Q214" i="10"/>
  <c r="L214" i="10"/>
  <c r="J214" i="10"/>
  <c r="E214" i="10"/>
  <c r="I214" i="10"/>
  <c r="F214" i="10"/>
  <c r="N214" i="10"/>
  <c r="P214" i="10"/>
  <c r="R214" i="10"/>
  <c r="M214" i="10"/>
  <c r="K214" i="10"/>
  <c r="H214" i="10"/>
  <c r="G214" i="10"/>
  <c r="D214" i="10"/>
  <c r="O214" i="10"/>
  <c r="S25" i="10"/>
  <c r="L25" i="10"/>
  <c r="T25" i="10"/>
  <c r="O25" i="10"/>
  <c r="F25" i="10"/>
  <c r="H25" i="10"/>
  <c r="J25" i="10"/>
  <c r="R25" i="10"/>
  <c r="N25" i="10"/>
  <c r="D25" i="10"/>
  <c r="I211" i="14"/>
  <c r="R211" i="14"/>
  <c r="S211" i="14"/>
  <c r="H211" i="14"/>
  <c r="E211" i="14"/>
  <c r="P211" i="14"/>
  <c r="D211" i="14"/>
  <c r="T32" i="14"/>
  <c r="S32" i="14"/>
  <c r="H32" i="14"/>
  <c r="Q134" i="14"/>
  <c r="P134" i="14"/>
  <c r="K134" i="14"/>
  <c r="M134" i="14"/>
  <c r="O134" i="14"/>
  <c r="F134" i="14"/>
  <c r="H134" i="14"/>
  <c r="T134" i="14"/>
  <c r="S134" i="14"/>
  <c r="R134" i="14"/>
  <c r="N134" i="14"/>
  <c r="I134" i="14"/>
  <c r="D134" i="14"/>
  <c r="J134" i="14"/>
  <c r="L134" i="14"/>
  <c r="E134" i="14"/>
  <c r="G134" i="14"/>
  <c r="M237" i="14"/>
  <c r="T237" i="14"/>
  <c r="R237" i="14"/>
  <c r="I237" i="14"/>
  <c r="Q237" i="14"/>
  <c r="P237" i="14"/>
  <c r="E237" i="14"/>
  <c r="J237" i="14"/>
  <c r="H237" i="14"/>
  <c r="O237" i="14"/>
  <c r="D237" i="14"/>
  <c r="N237" i="14"/>
  <c r="O220" i="14"/>
  <c r="S220" i="14"/>
  <c r="T220" i="14"/>
  <c r="R220" i="14"/>
  <c r="J220" i="14"/>
  <c r="Q220" i="14"/>
  <c r="C252" i="14"/>
  <c r="F214" i="14"/>
  <c r="K214" i="14"/>
  <c r="T214" i="14"/>
  <c r="S214" i="14"/>
  <c r="Q214" i="14"/>
  <c r="L214" i="14"/>
  <c r="G214" i="14"/>
  <c r="M214" i="14"/>
  <c r="J214" i="14"/>
  <c r="E214" i="14"/>
  <c r="P214" i="14"/>
  <c r="O214" i="14"/>
  <c r="H214" i="14"/>
  <c r="I214" i="14"/>
  <c r="R214" i="14"/>
  <c r="D214" i="14"/>
  <c r="N214" i="14"/>
  <c r="K75" i="10"/>
  <c r="F75" i="10"/>
  <c r="S75" i="10"/>
  <c r="T75" i="10"/>
  <c r="J75" i="10"/>
  <c r="D75" i="10"/>
  <c r="E75" i="10"/>
  <c r="H75" i="10"/>
  <c r="R75" i="10"/>
  <c r="L75" i="10"/>
  <c r="M75" i="10"/>
  <c r="Q75" i="10"/>
  <c r="O75" i="10"/>
  <c r="G75" i="10"/>
  <c r="P75" i="10"/>
  <c r="N75" i="10"/>
  <c r="T273" i="10"/>
  <c r="R273" i="10"/>
  <c r="E273" i="10"/>
  <c r="N273" i="10"/>
  <c r="S273" i="10"/>
  <c r="F273" i="10"/>
  <c r="J273" i="10"/>
  <c r="O273" i="10"/>
  <c r="G273" i="10"/>
  <c r="L273" i="10"/>
  <c r="K273" i="10"/>
  <c r="T245" i="14"/>
  <c r="S245" i="14"/>
  <c r="Q245" i="14"/>
  <c r="P245" i="14"/>
  <c r="F245" i="14"/>
  <c r="L245" i="14"/>
  <c r="G245" i="14"/>
  <c r="I245" i="14"/>
  <c r="M245" i="14"/>
  <c r="E245" i="14"/>
  <c r="N245" i="14"/>
  <c r="K245" i="14"/>
  <c r="O245" i="14"/>
  <c r="D245" i="14"/>
  <c r="J245" i="14"/>
  <c r="H245" i="14"/>
  <c r="P12" i="14"/>
  <c r="R12" i="14"/>
  <c r="S12" i="14"/>
  <c r="H12" i="14"/>
  <c r="F12" i="14"/>
  <c r="T12" i="14"/>
  <c r="N12" i="14"/>
  <c r="I12" i="14"/>
  <c r="O12" i="14"/>
  <c r="Q12" i="14"/>
  <c r="Q205" i="14"/>
  <c r="E205" i="14"/>
  <c r="K205" i="14"/>
  <c r="L205" i="14"/>
  <c r="M205" i="14"/>
  <c r="T205" i="14"/>
  <c r="F205" i="14"/>
  <c r="R205" i="14"/>
  <c r="P205" i="14"/>
  <c r="I205" i="14"/>
  <c r="H205" i="14"/>
  <c r="G205" i="14"/>
  <c r="S205" i="14"/>
  <c r="N205" i="14"/>
  <c r="O205" i="14"/>
  <c r="J205" i="14"/>
  <c r="D205" i="14"/>
  <c r="F75" i="14"/>
  <c r="S75" i="14"/>
  <c r="E75" i="14"/>
  <c r="T75" i="14"/>
  <c r="J75" i="14"/>
  <c r="L75" i="14"/>
  <c r="M75" i="14"/>
  <c r="Q75" i="14"/>
  <c r="R75" i="14"/>
  <c r="P75" i="14"/>
  <c r="N75" i="14"/>
  <c r="O75" i="14"/>
  <c r="D75" i="14"/>
  <c r="G75" i="14"/>
  <c r="K75" i="14"/>
  <c r="H75" i="14"/>
  <c r="F190" i="14"/>
  <c r="R190" i="14"/>
  <c r="L190" i="14"/>
  <c r="T190" i="14"/>
  <c r="P190" i="14"/>
  <c r="H190" i="14"/>
  <c r="G190" i="14"/>
  <c r="E190" i="14"/>
  <c r="O190" i="14"/>
  <c r="D190" i="14"/>
  <c r="N190" i="14"/>
  <c r="K190" i="14"/>
  <c r="J190" i="14"/>
  <c r="M190" i="14"/>
  <c r="I190" i="14"/>
  <c r="S52" i="14"/>
  <c r="F52" i="14"/>
  <c r="P52" i="14"/>
  <c r="J52" i="14"/>
  <c r="O52" i="14"/>
  <c r="E52" i="14"/>
  <c r="G52" i="14"/>
  <c r="R52" i="14"/>
  <c r="Q52" i="14"/>
  <c r="L52" i="14"/>
  <c r="T52" i="14"/>
  <c r="I52" i="14"/>
  <c r="N52" i="14"/>
  <c r="M52" i="14"/>
  <c r="K52" i="14"/>
  <c r="D302" i="14"/>
  <c r="F302" i="14"/>
  <c r="P302" i="14"/>
  <c r="S302" i="14"/>
  <c r="N302" i="14"/>
  <c r="K302" i="14"/>
  <c r="R302" i="14"/>
  <c r="J302" i="14"/>
  <c r="T302" i="14"/>
  <c r="L302" i="14"/>
  <c r="E302" i="14"/>
  <c r="M302" i="14"/>
  <c r="H302" i="14"/>
  <c r="O302" i="14"/>
  <c r="Q302" i="14"/>
  <c r="K273" i="14"/>
  <c r="G273" i="14"/>
  <c r="J273" i="14"/>
  <c r="F273" i="14"/>
  <c r="L273" i="14"/>
  <c r="S273" i="14"/>
  <c r="E273" i="14"/>
  <c r="N273" i="14"/>
  <c r="O273" i="14"/>
  <c r="T273" i="14"/>
  <c r="R273" i="14"/>
  <c r="P273" i="14"/>
  <c r="M83" i="10"/>
  <c r="O83" i="10"/>
  <c r="I83" i="10"/>
  <c r="K83" i="10"/>
  <c r="L83" i="10"/>
  <c r="H83" i="10"/>
  <c r="G83" i="10"/>
  <c r="J83" i="10"/>
  <c r="I254" i="3"/>
  <c r="K254" i="3"/>
  <c r="P164" i="14"/>
  <c r="P73" i="10"/>
  <c r="O73" i="10"/>
  <c r="N73" i="10"/>
  <c r="I73" i="10"/>
  <c r="G73" i="10"/>
  <c r="R73" i="10"/>
  <c r="T73" i="10"/>
  <c r="M73" i="10"/>
  <c r="Q73" i="10"/>
  <c r="K73" i="10"/>
  <c r="S73" i="10"/>
  <c r="P240" i="14"/>
  <c r="Q240" i="14"/>
  <c r="G240" i="14"/>
  <c r="H240" i="14"/>
  <c r="N240" i="14"/>
  <c r="O240" i="14"/>
  <c r="R240" i="14"/>
  <c r="J240" i="14"/>
  <c r="L240" i="14"/>
  <c r="F240" i="14"/>
  <c r="T240" i="14"/>
  <c r="S240" i="14"/>
  <c r="M240" i="14"/>
  <c r="K240" i="14"/>
  <c r="D240" i="14"/>
  <c r="R190" i="10"/>
  <c r="P190" i="10"/>
  <c r="S190" i="10"/>
  <c r="T190" i="10"/>
  <c r="Q190" i="10"/>
  <c r="J190" i="10"/>
  <c r="K190" i="10"/>
  <c r="N190" i="10"/>
  <c r="I190" i="10"/>
  <c r="H190" i="10"/>
  <c r="E190" i="10"/>
  <c r="D190" i="10"/>
  <c r="M190" i="10"/>
  <c r="G190" i="10"/>
  <c r="O190" i="10"/>
  <c r="L190" i="10"/>
  <c r="F190" i="10"/>
  <c r="Q26" i="10"/>
  <c r="T26" i="10"/>
  <c r="S26" i="10"/>
  <c r="R26" i="10"/>
  <c r="E26" i="10"/>
  <c r="P26" i="10"/>
  <c r="K26" i="10"/>
  <c r="F26" i="10"/>
  <c r="G26" i="10"/>
  <c r="L26" i="10"/>
  <c r="I26" i="10"/>
  <c r="O26" i="10"/>
  <c r="D26" i="10"/>
  <c r="H26" i="10"/>
  <c r="M26" i="10"/>
  <c r="N26" i="10"/>
  <c r="H141" i="14"/>
  <c r="M141" i="14"/>
  <c r="K141" i="14"/>
  <c r="L141" i="14"/>
  <c r="O141" i="14"/>
  <c r="T141" i="14"/>
  <c r="S141" i="14"/>
  <c r="P141" i="14"/>
  <c r="T83" i="14"/>
  <c r="R83" i="14"/>
  <c r="G83" i="14"/>
  <c r="M83" i="14"/>
  <c r="J83" i="14"/>
  <c r="L83" i="14"/>
  <c r="Q83" i="14"/>
  <c r="O83" i="14"/>
  <c r="P165" i="14"/>
  <c r="F165" i="14"/>
  <c r="I165" i="14"/>
  <c r="O165" i="14"/>
  <c r="J165" i="14"/>
  <c r="S165" i="14"/>
  <c r="R165" i="14"/>
  <c r="T165" i="14"/>
  <c r="L165" i="14"/>
  <c r="M165" i="14"/>
  <c r="Q165" i="14"/>
  <c r="K165" i="14"/>
  <c r="H165" i="14"/>
  <c r="N165" i="14"/>
  <c r="E165" i="14"/>
  <c r="D165" i="14"/>
  <c r="T270" i="10"/>
  <c r="S270" i="10"/>
  <c r="G270" i="10"/>
  <c r="E270" i="10"/>
  <c r="M270" i="10"/>
  <c r="N270" i="10"/>
  <c r="K270" i="10"/>
  <c r="P270" i="10"/>
  <c r="J270" i="10"/>
  <c r="F270" i="10"/>
  <c r="H270" i="10"/>
  <c r="O270" i="10"/>
  <c r="L270" i="10"/>
  <c r="I270" i="10"/>
  <c r="D270" i="10"/>
  <c r="G323" i="10"/>
  <c r="T323" i="10"/>
  <c r="E323" i="10"/>
  <c r="L323" i="10"/>
  <c r="P323" i="10"/>
  <c r="M323" i="10"/>
  <c r="Q323" i="10"/>
  <c r="F323" i="10"/>
  <c r="R323" i="10"/>
  <c r="D323" i="10"/>
  <c r="N323" i="10"/>
  <c r="O323" i="10"/>
  <c r="H323" i="10"/>
  <c r="S323" i="10"/>
  <c r="Q73" i="14"/>
  <c r="R73" i="14"/>
  <c r="N73" i="14"/>
  <c r="I73" i="14"/>
  <c r="M73" i="14"/>
  <c r="T73" i="14"/>
  <c r="S73" i="14"/>
  <c r="O73" i="14"/>
  <c r="P73" i="14"/>
  <c r="K73" i="14"/>
  <c r="G73" i="14"/>
  <c r="D99" i="14"/>
  <c r="K99" i="14"/>
  <c r="G99" i="14"/>
  <c r="I99" i="14"/>
  <c r="H99" i="14"/>
  <c r="L99" i="14"/>
  <c r="M99" i="14"/>
  <c r="E99" i="14"/>
  <c r="Q99" i="14"/>
  <c r="P99" i="14"/>
  <c r="O99" i="14"/>
  <c r="N99" i="14"/>
  <c r="S99" i="14"/>
  <c r="J99" i="14"/>
  <c r="R99" i="14"/>
  <c r="T99" i="14"/>
  <c r="F241" i="14"/>
  <c r="E241" i="14"/>
  <c r="G241" i="14"/>
  <c r="M241" i="14"/>
  <c r="N241" i="14"/>
  <c r="Q241" i="14"/>
  <c r="T241" i="14"/>
  <c r="H241" i="14"/>
  <c r="K241" i="14"/>
  <c r="J241" i="14"/>
  <c r="S241" i="14"/>
  <c r="D241" i="14"/>
  <c r="R241" i="14"/>
  <c r="O241" i="14"/>
  <c r="L241" i="14"/>
  <c r="P241" i="14"/>
  <c r="M26" i="14"/>
  <c r="F26" i="14"/>
  <c r="T26" i="14"/>
  <c r="E26" i="14"/>
  <c r="S26" i="14"/>
  <c r="O26" i="14"/>
  <c r="Q26" i="14"/>
  <c r="L26" i="14"/>
  <c r="P26" i="14"/>
  <c r="G26" i="14"/>
  <c r="R26" i="14"/>
  <c r="I26" i="14"/>
  <c r="K26" i="14"/>
  <c r="H26" i="14"/>
  <c r="D26" i="14"/>
  <c r="N26" i="14"/>
  <c r="F340" i="14"/>
  <c r="L340" i="14"/>
  <c r="G340" i="14"/>
  <c r="J340" i="14"/>
  <c r="E340" i="14"/>
  <c r="M340" i="14"/>
  <c r="O340" i="14"/>
  <c r="P340" i="14"/>
  <c r="D340" i="14"/>
  <c r="S340" i="14"/>
  <c r="I340" i="14"/>
  <c r="S71" i="14"/>
  <c r="R71" i="14"/>
  <c r="P71" i="14"/>
  <c r="J71" i="14"/>
  <c r="N71" i="14"/>
  <c r="K71" i="14"/>
  <c r="L71" i="14"/>
  <c r="G71" i="14"/>
  <c r="M71" i="14"/>
  <c r="I71" i="14"/>
  <c r="O71" i="14"/>
  <c r="F71" i="14"/>
  <c r="Q71" i="14"/>
  <c r="D71" i="14"/>
  <c r="E71" i="14"/>
  <c r="T71" i="14"/>
  <c r="H71" i="14"/>
  <c r="M260" i="14"/>
  <c r="E260" i="14"/>
  <c r="P260" i="14"/>
  <c r="D260" i="14"/>
  <c r="S260" i="14"/>
  <c r="N260" i="14"/>
  <c r="L260" i="14"/>
  <c r="T260" i="14"/>
  <c r="O260" i="14"/>
  <c r="R260" i="14"/>
  <c r="Q260" i="14"/>
  <c r="S164" i="10"/>
  <c r="R164" i="10"/>
  <c r="Q164" i="10"/>
  <c r="N164" i="10"/>
  <c r="D164" i="10"/>
  <c r="O164" i="10"/>
  <c r="P164" i="10"/>
  <c r="I164" i="10"/>
  <c r="J164" i="10"/>
  <c r="M164" i="10"/>
  <c r="L164" i="10"/>
  <c r="H164" i="10"/>
  <c r="G164" i="10"/>
  <c r="K164" i="10"/>
  <c r="E164" i="10"/>
  <c r="F164" i="10"/>
  <c r="R187" i="10"/>
  <c r="J187" i="10"/>
  <c r="F187" i="10"/>
  <c r="S187" i="10"/>
  <c r="T187" i="10"/>
  <c r="M187" i="10"/>
  <c r="H187" i="10"/>
  <c r="I187" i="10"/>
  <c r="L187" i="10"/>
  <c r="G187" i="10"/>
  <c r="D187" i="10"/>
  <c r="E187" i="10"/>
  <c r="K187" i="10"/>
  <c r="F327" i="14"/>
  <c r="D327" i="14"/>
  <c r="I327" i="14"/>
  <c r="J327" i="14"/>
  <c r="K327" i="14"/>
  <c r="M327" i="14"/>
  <c r="L327" i="14"/>
  <c r="E327" i="14"/>
  <c r="T327" i="14"/>
  <c r="H327" i="14"/>
  <c r="Q327" i="14"/>
  <c r="S327" i="14"/>
  <c r="R327" i="14"/>
  <c r="P327" i="14"/>
  <c r="O327" i="14"/>
  <c r="G327" i="14"/>
  <c r="S332" i="14"/>
  <c r="N332" i="14"/>
  <c r="T332" i="14"/>
  <c r="P332" i="14"/>
  <c r="F332" i="14"/>
  <c r="I332" i="14"/>
  <c r="R332" i="14"/>
  <c r="D332" i="14"/>
  <c r="J332" i="14"/>
  <c r="H332" i="14"/>
  <c r="K332" i="14"/>
  <c r="E332" i="14"/>
  <c r="O332" i="14"/>
  <c r="L332" i="14"/>
  <c r="G332" i="14"/>
  <c r="S187" i="14"/>
  <c r="E187" i="14"/>
  <c r="J187" i="14"/>
  <c r="L187" i="14"/>
  <c r="F187" i="14"/>
  <c r="T187" i="14"/>
  <c r="G187" i="14"/>
  <c r="R187" i="14"/>
  <c r="H187" i="14"/>
  <c r="K187" i="14"/>
  <c r="I187" i="14"/>
  <c r="D187" i="14"/>
  <c r="M187" i="14"/>
  <c r="O289" i="10"/>
  <c r="S289" i="10"/>
  <c r="G289" i="10"/>
  <c r="R81" i="14"/>
  <c r="Q81" i="14"/>
  <c r="P81" i="14"/>
  <c r="J81" i="14"/>
  <c r="N81" i="14"/>
  <c r="L81" i="14"/>
  <c r="F81" i="14"/>
  <c r="M81" i="14"/>
  <c r="K81" i="14"/>
  <c r="I81" i="14"/>
  <c r="O81" i="14"/>
  <c r="T81" i="14"/>
  <c r="S81" i="14"/>
  <c r="G81" i="14"/>
  <c r="E81" i="14"/>
  <c r="I126" i="3"/>
  <c r="K126" i="3"/>
  <c r="I206" i="3"/>
  <c r="K206" i="3"/>
  <c r="I185" i="3"/>
  <c r="K185" i="3"/>
  <c r="M39" i="14"/>
  <c r="H39" i="14"/>
  <c r="T39" i="14"/>
  <c r="N39" i="14"/>
  <c r="P288" i="14"/>
  <c r="H288" i="14"/>
  <c r="J288" i="14"/>
  <c r="E288" i="14"/>
  <c r="N288" i="14"/>
  <c r="G288" i="14"/>
  <c r="K288" i="14"/>
  <c r="M288" i="14"/>
  <c r="D288" i="14"/>
  <c r="L288" i="14"/>
  <c r="R288" i="14"/>
  <c r="T288" i="14"/>
  <c r="I288" i="14"/>
  <c r="S288" i="14"/>
  <c r="Q288" i="14"/>
  <c r="O288" i="14"/>
  <c r="S159" i="10"/>
  <c r="R159" i="10"/>
  <c r="T159" i="10"/>
  <c r="Q159" i="10"/>
  <c r="H159" i="10"/>
  <c r="I132" i="3"/>
  <c r="K132" i="3"/>
  <c r="S94" i="10"/>
  <c r="E94" i="10"/>
  <c r="Q94" i="10"/>
  <c r="D94" i="10"/>
  <c r="R94" i="10"/>
  <c r="G94" i="10"/>
  <c r="I94" i="10"/>
  <c r="H94" i="10"/>
  <c r="J94" i="10"/>
  <c r="F94" i="10"/>
  <c r="Q105" i="14"/>
  <c r="G105" i="14"/>
  <c r="R105" i="14"/>
  <c r="H105" i="14"/>
  <c r="P105" i="14"/>
  <c r="K105" i="14"/>
  <c r="M105" i="14"/>
  <c r="I105" i="14"/>
  <c r="J105" i="14"/>
  <c r="L105" i="14"/>
  <c r="F105" i="14"/>
  <c r="D105" i="14"/>
  <c r="N105" i="14"/>
  <c r="O105" i="14"/>
  <c r="T105" i="14"/>
  <c r="S105" i="14"/>
  <c r="K10" i="14"/>
  <c r="F10" i="14"/>
  <c r="T10" i="14"/>
  <c r="S10" i="14"/>
  <c r="Q10" i="14"/>
  <c r="N10" i="14"/>
  <c r="P10" i="14"/>
  <c r="I10" i="14"/>
  <c r="H10" i="14"/>
  <c r="L10" i="14"/>
  <c r="O10" i="14"/>
  <c r="R10" i="14"/>
  <c r="E10" i="14"/>
  <c r="J10" i="14"/>
  <c r="D341" i="10"/>
  <c r="F341" i="10"/>
  <c r="R341" i="10"/>
  <c r="E341" i="10"/>
  <c r="G341" i="10"/>
  <c r="K341" i="10"/>
  <c r="I341" i="10"/>
  <c r="P341" i="10"/>
  <c r="S341" i="10"/>
  <c r="L341" i="10"/>
  <c r="M341" i="10"/>
  <c r="H341" i="10"/>
  <c r="J341" i="10"/>
  <c r="DK2" i="2"/>
  <c r="F289" i="14"/>
  <c r="Q289" i="14"/>
  <c r="G289" i="14"/>
  <c r="K289" i="14"/>
  <c r="E289" i="14"/>
  <c r="H289" i="14"/>
  <c r="O289" i="14"/>
  <c r="T289" i="14"/>
  <c r="L289" i="14"/>
  <c r="S289" i="14"/>
  <c r="J289" i="14"/>
  <c r="I289" i="14"/>
  <c r="M289" i="14"/>
  <c r="R289" i="14"/>
  <c r="P289" i="14"/>
  <c r="N289" i="14"/>
  <c r="I213" i="3"/>
  <c r="K213" i="3"/>
  <c r="H307" i="14"/>
  <c r="I307" i="14"/>
  <c r="F307" i="14"/>
  <c r="G307" i="14"/>
  <c r="L307" i="14"/>
  <c r="J307" i="14"/>
  <c r="T307" i="14"/>
  <c r="E307" i="14"/>
  <c r="N307" i="14"/>
  <c r="O307" i="14"/>
  <c r="K307" i="14"/>
  <c r="Q307" i="14"/>
  <c r="P307" i="14"/>
  <c r="S307" i="14"/>
  <c r="R307" i="14"/>
  <c r="L59" i="14"/>
  <c r="I59" i="14"/>
  <c r="D59" i="14"/>
  <c r="E59" i="14"/>
  <c r="F59" i="14"/>
  <c r="G59" i="14"/>
  <c r="K59" i="14"/>
  <c r="O59" i="14"/>
  <c r="Q59" i="14"/>
  <c r="N59" i="14"/>
  <c r="P59" i="14"/>
  <c r="R59" i="14"/>
  <c r="T59" i="14"/>
  <c r="S59" i="14"/>
  <c r="J59" i="14"/>
  <c r="M59" i="14"/>
  <c r="I257" i="3"/>
  <c r="K257" i="3"/>
  <c r="DK3" i="2"/>
  <c r="K337" i="14"/>
  <c r="F337" i="14"/>
  <c r="G337" i="14"/>
  <c r="L337" i="14"/>
  <c r="E337" i="14"/>
  <c r="M337" i="14"/>
  <c r="S337" i="14"/>
  <c r="Q337" i="14"/>
  <c r="T337" i="14"/>
  <c r="N337" i="14"/>
  <c r="O337" i="14"/>
  <c r="R337" i="14"/>
  <c r="P337" i="14"/>
  <c r="J337" i="14"/>
  <c r="I337" i="14"/>
  <c r="H337" i="14"/>
  <c r="D337" i="14"/>
  <c r="I261" i="3"/>
  <c r="K261" i="3"/>
  <c r="G59" i="10"/>
  <c r="K59" i="10"/>
  <c r="J59" i="10"/>
  <c r="F59" i="10"/>
  <c r="Q59" i="10"/>
  <c r="R59" i="10"/>
  <c r="I59" i="10"/>
  <c r="T59" i="10"/>
  <c r="N59" i="10"/>
  <c r="P59" i="10"/>
  <c r="D59" i="10"/>
  <c r="L59" i="10"/>
  <c r="S59" i="10"/>
  <c r="M59" i="10"/>
  <c r="E59" i="10"/>
  <c r="O59" i="10"/>
  <c r="K37" i="14"/>
  <c r="T37" i="14"/>
  <c r="S37" i="14"/>
  <c r="Q37" i="14"/>
  <c r="O37" i="14"/>
  <c r="I37" i="14"/>
  <c r="F37" i="14"/>
  <c r="N37" i="14"/>
  <c r="I330" i="14"/>
  <c r="E330" i="14"/>
  <c r="F330" i="14"/>
  <c r="G330" i="14"/>
  <c r="L330" i="14"/>
  <c r="J330" i="14"/>
  <c r="H330" i="14"/>
  <c r="Q330" i="14"/>
  <c r="O330" i="14"/>
  <c r="R330" i="14"/>
  <c r="D330" i="14"/>
  <c r="N330" i="14"/>
  <c r="T330" i="14"/>
  <c r="S330" i="14"/>
  <c r="M330" i="14"/>
  <c r="P330" i="14"/>
  <c r="K330" i="14"/>
  <c r="S310" i="14"/>
  <c r="L310" i="14"/>
  <c r="F310" i="14"/>
  <c r="T310" i="14"/>
  <c r="M310" i="14"/>
  <c r="G310" i="14"/>
  <c r="R310" i="14"/>
  <c r="Q310" i="14"/>
  <c r="H310" i="14"/>
  <c r="D310" i="14"/>
  <c r="O310" i="14"/>
  <c r="E310" i="14"/>
  <c r="N310" i="14"/>
  <c r="P310" i="14"/>
  <c r="K310" i="14"/>
  <c r="T146" i="10"/>
  <c r="S146" i="10"/>
  <c r="R146" i="10"/>
  <c r="Q146" i="10"/>
  <c r="K146" i="10"/>
  <c r="L146" i="10"/>
  <c r="G146" i="10"/>
  <c r="I146" i="10"/>
  <c r="P146" i="10"/>
  <c r="H146" i="10"/>
  <c r="N146" i="10"/>
  <c r="E146" i="10"/>
  <c r="O146" i="10"/>
  <c r="M146" i="10"/>
  <c r="I253" i="3"/>
  <c r="K253" i="3"/>
  <c r="P135" i="10"/>
  <c r="Q135" i="10"/>
  <c r="L135" i="10"/>
  <c r="E135" i="10"/>
  <c r="K135" i="10"/>
  <c r="I135" i="10"/>
  <c r="J135" i="10"/>
  <c r="H135" i="10"/>
  <c r="G135" i="10"/>
  <c r="F135" i="10"/>
  <c r="N135" i="10"/>
  <c r="M135" i="10"/>
  <c r="D135" i="10"/>
  <c r="F86" i="14"/>
  <c r="L86" i="14"/>
  <c r="D86" i="14"/>
  <c r="I86" i="14"/>
  <c r="H86" i="14"/>
  <c r="M86" i="14"/>
  <c r="T86" i="14"/>
  <c r="G86" i="14"/>
  <c r="S86" i="14"/>
  <c r="E86" i="14"/>
  <c r="R86" i="14"/>
  <c r="K86" i="14"/>
  <c r="J86" i="14"/>
  <c r="O86" i="14"/>
  <c r="N86" i="14"/>
  <c r="P86" i="14"/>
  <c r="J330" i="10"/>
  <c r="G330" i="10"/>
  <c r="Q330" i="10"/>
  <c r="E330" i="10"/>
  <c r="M330" i="10"/>
  <c r="D330" i="10"/>
  <c r="T330" i="10"/>
  <c r="N330" i="10"/>
  <c r="R330" i="10"/>
  <c r="F330" i="10"/>
  <c r="P330" i="10"/>
  <c r="I330" i="10"/>
  <c r="L330" i="10"/>
  <c r="O330" i="10"/>
  <c r="S330" i="10"/>
  <c r="K330" i="10"/>
  <c r="H330" i="10"/>
  <c r="T43" i="10"/>
  <c r="P43" i="10"/>
  <c r="O43" i="10"/>
  <c r="G43" i="10"/>
  <c r="D43" i="10"/>
  <c r="S43" i="10"/>
  <c r="R43" i="10"/>
  <c r="Q43" i="10"/>
  <c r="N43" i="10"/>
  <c r="F43" i="10"/>
  <c r="E43" i="10"/>
  <c r="I233" i="3"/>
  <c r="K233" i="3"/>
  <c r="F67" i="14"/>
  <c r="I67" i="14"/>
  <c r="E67" i="14"/>
  <c r="G67" i="14"/>
  <c r="K67" i="14"/>
  <c r="M67" i="14"/>
  <c r="J67" i="14"/>
  <c r="H67" i="14"/>
  <c r="D67" i="14"/>
  <c r="S67" i="14"/>
  <c r="N67" i="14"/>
  <c r="Q67" i="14"/>
  <c r="T67" i="14"/>
  <c r="O67" i="14"/>
  <c r="P67" i="14"/>
  <c r="R265" i="10"/>
  <c r="H265" i="10"/>
  <c r="S265" i="10"/>
  <c r="J265" i="10"/>
  <c r="L265" i="10"/>
  <c r="O265" i="10"/>
  <c r="Q265" i="10"/>
  <c r="N265" i="10"/>
  <c r="P265" i="10"/>
  <c r="M265" i="10"/>
  <c r="S353" i="10"/>
  <c r="J353" i="10"/>
  <c r="L353" i="10"/>
  <c r="E353" i="10"/>
  <c r="M353" i="10"/>
  <c r="G353" i="10"/>
  <c r="H353" i="10"/>
  <c r="K353" i="10"/>
  <c r="F353" i="10"/>
  <c r="I353" i="10"/>
  <c r="T353" i="10"/>
  <c r="D353" i="10"/>
  <c r="R353" i="10"/>
  <c r="R107" i="10"/>
  <c r="P107" i="10"/>
  <c r="N107" i="10"/>
  <c r="I107" i="10"/>
  <c r="T107" i="10"/>
  <c r="G107" i="10"/>
  <c r="E107" i="10"/>
  <c r="J107" i="10"/>
  <c r="K107" i="10"/>
  <c r="H107" i="10"/>
  <c r="D107" i="10"/>
  <c r="M107" i="10"/>
  <c r="O107" i="10"/>
  <c r="L107" i="10"/>
  <c r="S107" i="10"/>
  <c r="Q107" i="10"/>
  <c r="DH1" i="2"/>
  <c r="I181" i="10"/>
  <c r="F181" i="10"/>
  <c r="E181" i="10"/>
  <c r="J181" i="10"/>
  <c r="T181" i="10"/>
  <c r="S181" i="10"/>
  <c r="Q181" i="10"/>
  <c r="M181" i="10"/>
  <c r="P181" i="10"/>
  <c r="L181" i="10"/>
  <c r="K181" i="10"/>
  <c r="G181" i="10"/>
  <c r="H181" i="10"/>
  <c r="R181" i="10"/>
  <c r="N181" i="10"/>
  <c r="O181" i="10"/>
  <c r="D181" i="10"/>
  <c r="T327" i="10"/>
  <c r="L327" i="10"/>
  <c r="G327" i="10"/>
  <c r="K327" i="10"/>
  <c r="Q327" i="10"/>
  <c r="R327" i="10"/>
  <c r="I327" i="10"/>
  <c r="H327" i="10"/>
  <c r="S327" i="10"/>
  <c r="J327" i="10"/>
  <c r="M327" i="10"/>
  <c r="O327" i="10"/>
  <c r="D327" i="10"/>
  <c r="F327" i="10"/>
  <c r="E327" i="10"/>
  <c r="P327" i="10"/>
  <c r="I328" i="3"/>
  <c r="K328" i="3"/>
  <c r="I80" i="3"/>
  <c r="K80" i="3"/>
  <c r="I106" i="3"/>
  <c r="K106" i="3"/>
  <c r="I258" i="3"/>
  <c r="K258" i="3"/>
  <c r="M181" i="14"/>
  <c r="D181" i="14"/>
  <c r="K181" i="14"/>
  <c r="J181" i="14"/>
  <c r="H181" i="14"/>
  <c r="F181" i="14"/>
  <c r="E181" i="14"/>
  <c r="S181" i="14"/>
  <c r="R181" i="14"/>
  <c r="L181" i="14"/>
  <c r="G181" i="14"/>
  <c r="N181" i="14"/>
  <c r="T181" i="14"/>
  <c r="Q181" i="14"/>
  <c r="P181" i="14"/>
  <c r="O181" i="14"/>
  <c r="I181" i="14"/>
  <c r="Q127" i="14"/>
  <c r="L127" i="14"/>
  <c r="K127" i="14"/>
  <c r="R127" i="14"/>
  <c r="G127" i="14"/>
  <c r="F127" i="14"/>
  <c r="E127" i="14"/>
  <c r="P127" i="14"/>
  <c r="I127" i="14"/>
  <c r="T127" i="14"/>
  <c r="H127" i="14"/>
  <c r="J127" i="14"/>
  <c r="O127" i="14"/>
  <c r="N127" i="14"/>
  <c r="D127" i="14"/>
  <c r="M127" i="14"/>
  <c r="J351" i="10"/>
  <c r="Q351" i="10"/>
  <c r="K351" i="10"/>
  <c r="H351" i="10"/>
  <c r="O351" i="10"/>
  <c r="I351" i="10"/>
  <c r="G351" i="10"/>
  <c r="N351" i="10"/>
  <c r="F351" i="10"/>
  <c r="M351" i="10"/>
  <c r="T351" i="10"/>
  <c r="S351" i="10"/>
  <c r="R351" i="10"/>
  <c r="P351" i="10"/>
  <c r="E351" i="10"/>
  <c r="T159" i="14"/>
  <c r="S159" i="14"/>
  <c r="R159" i="14"/>
  <c r="Q159" i="14"/>
  <c r="H159" i="14"/>
  <c r="I337" i="3"/>
  <c r="K337" i="3"/>
  <c r="I167" i="3"/>
  <c r="K167" i="3"/>
  <c r="R90" i="10"/>
  <c r="P90" i="10"/>
  <c r="T90" i="10"/>
  <c r="S90" i="10"/>
  <c r="Q90" i="10"/>
  <c r="J90" i="10"/>
  <c r="G90" i="10"/>
  <c r="E90" i="10"/>
  <c r="N90" i="10"/>
  <c r="L90" i="10"/>
  <c r="F90" i="10"/>
  <c r="O90" i="10"/>
  <c r="H90" i="10"/>
  <c r="I90" i="10"/>
  <c r="M90" i="10"/>
  <c r="D90" i="10"/>
  <c r="S11" i="10"/>
  <c r="Q11" i="10"/>
  <c r="O11" i="10"/>
  <c r="T11" i="10"/>
  <c r="G11" i="10"/>
  <c r="R11" i="10"/>
  <c r="I11" i="10"/>
  <c r="K11" i="10"/>
  <c r="H11" i="10"/>
  <c r="M11" i="10"/>
  <c r="E11" i="10"/>
  <c r="F11" i="10"/>
  <c r="H274" i="14"/>
  <c r="D274" i="14"/>
  <c r="M274" i="14"/>
  <c r="E274" i="14"/>
  <c r="F274" i="14"/>
  <c r="I274" i="14"/>
  <c r="R274" i="14"/>
  <c r="K274" i="14"/>
  <c r="J274" i="14"/>
  <c r="L274" i="14"/>
  <c r="O274" i="14"/>
  <c r="G274" i="14"/>
  <c r="T274" i="14"/>
  <c r="N274" i="14"/>
  <c r="S274" i="14"/>
  <c r="O351" i="14"/>
  <c r="F351" i="14"/>
  <c r="Q351" i="14"/>
  <c r="E351" i="14"/>
  <c r="S351" i="14"/>
  <c r="N351" i="14"/>
  <c r="J351" i="14"/>
  <c r="M351" i="14"/>
  <c r="G351" i="14"/>
  <c r="H351" i="14"/>
  <c r="K351" i="14"/>
  <c r="I351" i="14"/>
  <c r="R351" i="14"/>
  <c r="P351" i="14"/>
  <c r="T351" i="14"/>
  <c r="N60" i="14"/>
  <c r="F60" i="14"/>
  <c r="O60" i="14"/>
  <c r="S60" i="14"/>
  <c r="J60" i="14"/>
  <c r="D60" i="14"/>
  <c r="H60" i="14"/>
  <c r="G60" i="14"/>
  <c r="M60" i="14"/>
  <c r="E60" i="14"/>
  <c r="L60" i="14"/>
  <c r="R60" i="14"/>
  <c r="I60" i="14"/>
  <c r="Q94" i="14"/>
  <c r="S94" i="14"/>
  <c r="J94" i="14"/>
  <c r="F94" i="14"/>
  <c r="G94" i="14"/>
  <c r="R94" i="14"/>
  <c r="E94" i="14"/>
  <c r="D94" i="14"/>
  <c r="H94" i="14"/>
  <c r="I94" i="14"/>
  <c r="I231" i="3"/>
  <c r="K231" i="3"/>
  <c r="I336" i="3"/>
  <c r="K336" i="3"/>
  <c r="S353" i="14"/>
  <c r="H353" i="14"/>
  <c r="L353" i="14"/>
  <c r="J353" i="14"/>
  <c r="I353" i="14"/>
  <c r="D353" i="14"/>
  <c r="M353" i="14"/>
  <c r="G353" i="14"/>
  <c r="K353" i="14"/>
  <c r="F353" i="14"/>
  <c r="E353" i="14"/>
  <c r="T353" i="14"/>
  <c r="R353" i="14"/>
  <c r="R161" i="10"/>
  <c r="Q161" i="10"/>
  <c r="T161" i="10"/>
  <c r="P161" i="10"/>
  <c r="G161" i="10"/>
  <c r="L161" i="10"/>
  <c r="M161" i="10"/>
  <c r="N161" i="10"/>
  <c r="F161" i="10"/>
  <c r="I161" i="10"/>
  <c r="H161" i="10"/>
  <c r="E161" i="10"/>
  <c r="J161" i="10"/>
  <c r="O161" i="10"/>
  <c r="K161" i="10"/>
  <c r="D161" i="10"/>
  <c r="AQ4" i="2"/>
  <c r="CS1" i="2"/>
  <c r="BU1" i="2"/>
  <c r="BC1" i="2"/>
  <c r="AW1" i="2"/>
  <c r="S1" i="2"/>
  <c r="BO1" i="2"/>
  <c r="O329" i="14"/>
  <c r="BU4" i="2"/>
  <c r="CS46" i="2" a="1"/>
  <c r="CS46" i="2"/>
  <c r="S84" i="10"/>
  <c r="S306" i="14"/>
  <c r="S147" i="14"/>
  <c r="C147" i="14"/>
  <c r="AK4" i="2"/>
  <c r="CS4" i="2"/>
  <c r="CS48" i="2" a="1"/>
  <c r="CS48" i="2"/>
  <c r="S329" i="10"/>
  <c r="N208" i="14"/>
  <c r="R271" i="14"/>
  <c r="CM9" i="2" a="1"/>
  <c r="CM9" i="2"/>
  <c r="R135" i="10"/>
  <c r="O140" i="14"/>
  <c r="CG1" i="2"/>
  <c r="CA63" i="2" a="1"/>
  <c r="CA63" i="2"/>
  <c r="P325" i="10"/>
  <c r="N149" i="14"/>
  <c r="CM14" i="2" a="1"/>
  <c r="CM14" i="2"/>
  <c r="BU95" i="2" a="1"/>
  <c r="BU95" i="2"/>
  <c r="O322" i="10"/>
  <c r="CS49" i="2" a="1"/>
  <c r="CS49" i="2"/>
  <c r="AE4" i="2"/>
  <c r="CM4" i="2"/>
  <c r="T242" i="14"/>
  <c r="CY36" i="2" a="1"/>
  <c r="CY36" i="2"/>
  <c r="T217" i="10"/>
  <c r="T140" i="14"/>
  <c r="CY4" i="2"/>
  <c r="T44" i="14"/>
  <c r="CA45" i="2" a="1"/>
  <c r="CA45" i="2"/>
  <c r="CS15" i="2" a="1"/>
  <c r="CS15" i="2"/>
  <c r="S222" i="10"/>
  <c r="O192" i="14"/>
  <c r="L237" i="14"/>
  <c r="BU46" i="2" a="1"/>
  <c r="BU46" i="2"/>
  <c r="O242" i="10"/>
  <c r="R230" i="14"/>
  <c r="S119" i="14"/>
  <c r="CM70" i="2" a="1"/>
  <c r="CM70" i="2"/>
  <c r="R48" i="10"/>
  <c r="N340" i="14"/>
  <c r="S235" i="14"/>
  <c r="CS20" i="2" a="1"/>
  <c r="CS20" i="2"/>
  <c r="S161" i="10"/>
  <c r="CM21" i="2" a="1"/>
  <c r="CM21" i="2"/>
  <c r="R36" i="10"/>
  <c r="N219" i="14"/>
  <c r="C219" i="14"/>
  <c r="CG11" i="2" a="1"/>
  <c r="CG11" i="2"/>
  <c r="Q74" i="10"/>
  <c r="CY1" i="2"/>
  <c r="S127" i="14"/>
  <c r="CM28" i="2" a="1"/>
  <c r="CM28" i="2"/>
  <c r="R171" i="10"/>
  <c r="K333" i="14"/>
  <c r="CS38" i="2" a="1"/>
  <c r="CS38" i="2"/>
  <c r="S264" i="10"/>
  <c r="N182" i="14"/>
  <c r="S72" i="14"/>
  <c r="R193" i="14"/>
  <c r="C193" i="14"/>
  <c r="CM8" i="2" a="1"/>
  <c r="CM8" i="2"/>
  <c r="R230" i="10"/>
  <c r="AW54" i="2" a="1"/>
  <c r="AW54" i="2"/>
  <c r="K322" i="10"/>
  <c r="P69" i="14"/>
  <c r="CM50" i="2" a="1"/>
  <c r="CM50" i="2"/>
  <c r="P74" i="14"/>
  <c r="S101" i="14"/>
  <c r="CG4" i="2"/>
  <c r="DE1" i="2"/>
  <c r="BO45" i="2" a="1"/>
  <c r="BO45" i="2"/>
  <c r="N143" i="10"/>
  <c r="AQ1" i="2"/>
  <c r="CS47" i="2" a="1"/>
  <c r="CS47" i="2"/>
  <c r="S55" i="10"/>
  <c r="O249" i="14"/>
  <c r="C249" i="14"/>
  <c r="CS55" i="2" a="1"/>
  <c r="CS55" i="2"/>
  <c r="S147" i="10"/>
  <c r="C147" i="10"/>
  <c r="I147" i="3"/>
  <c r="K147" i="3"/>
  <c r="R180" i="14"/>
  <c r="CM43" i="2" a="1"/>
  <c r="CM43" i="2"/>
  <c r="CA32" i="2" a="1"/>
  <c r="CA32" i="2"/>
  <c r="P334" i="10"/>
  <c r="CS24" i="2" a="1"/>
  <c r="CS24" i="2"/>
  <c r="S56" i="10"/>
  <c r="CS64" i="2" a="1"/>
  <c r="CS64" i="2"/>
  <c r="CM47" i="2" a="1"/>
  <c r="CM47" i="2"/>
  <c r="O108" i="14"/>
  <c r="C108" i="14"/>
  <c r="CS31" i="2" a="1"/>
  <c r="CS31" i="2"/>
  <c r="S343" i="10"/>
  <c r="P216" i="14"/>
  <c r="CS42" i="2" a="1"/>
  <c r="CS42" i="2"/>
  <c r="S16" i="10"/>
  <c r="P17" i="14"/>
  <c r="S30" i="14"/>
  <c r="DE101" i="2" a="1"/>
  <c r="DE101" i="2"/>
  <c r="DE69" i="2" a="1"/>
  <c r="DE69" i="2"/>
  <c r="DE4" i="2"/>
  <c r="AQ73" i="2" a="1"/>
  <c r="AQ73" i="2"/>
  <c r="J234" i="10"/>
  <c r="BU91" i="2" a="1"/>
  <c r="BU91" i="2"/>
  <c r="O159" i="10"/>
  <c r="T18" i="14"/>
  <c r="T222" i="14"/>
  <c r="T290" i="14"/>
  <c r="T224" i="14"/>
  <c r="T180" i="14"/>
  <c r="T14" i="14"/>
  <c r="CY34" i="2" a="1"/>
  <c r="CY34" i="2"/>
  <c r="T50" i="10"/>
  <c r="CY16" i="2" a="1"/>
  <c r="CY16" i="2"/>
  <c r="T224" i="10"/>
  <c r="T65" i="14"/>
  <c r="CY62" i="2" a="1"/>
  <c r="CY62" i="2"/>
  <c r="T164" i="10"/>
  <c r="CY18" i="2" a="1"/>
  <c r="CY18" i="2"/>
  <c r="T40" i="10"/>
  <c r="CY20" i="2" a="1"/>
  <c r="CY20" i="2"/>
  <c r="T347" i="10"/>
  <c r="T268" i="14"/>
  <c r="CY61" i="2" a="1"/>
  <c r="CY61" i="2"/>
  <c r="T221" i="10"/>
  <c r="CY46" i="2" a="1"/>
  <c r="CY46" i="2"/>
  <c r="T60" i="10"/>
  <c r="CY57" i="2" a="1"/>
  <c r="CY57" i="2"/>
  <c r="T101" i="10"/>
  <c r="T6" i="14"/>
  <c r="T334" i="14"/>
  <c r="CY38" i="2" a="1"/>
  <c r="CY38" i="2"/>
  <c r="T177" i="10"/>
  <c r="T101" i="14"/>
  <c r="CY12" i="2" a="1"/>
  <c r="CY12" i="2"/>
  <c r="T92" i="10"/>
  <c r="T17" i="14"/>
  <c r="CY25" i="2" a="1"/>
  <c r="CY25" i="2"/>
  <c r="T140" i="10"/>
  <c r="CY27" i="2" a="1"/>
  <c r="CY27" i="2"/>
  <c r="T340" i="10"/>
  <c r="T35" i="14"/>
  <c r="CY32" i="2" a="1"/>
  <c r="CY32" i="2"/>
  <c r="T149" i="10"/>
  <c r="T88" i="14"/>
  <c r="T137" i="14"/>
  <c r="T22" i="14"/>
  <c r="T23" i="14"/>
  <c r="CY49" i="2" a="1"/>
  <c r="CY49" i="2"/>
  <c r="T6" i="10"/>
  <c r="CY43" i="2" a="1"/>
  <c r="CY43" i="2"/>
  <c r="T180" i="10"/>
  <c r="L119" i="14"/>
  <c r="P290" i="14"/>
  <c r="CA25" i="2" a="1"/>
  <c r="CA25" i="2"/>
  <c r="P224" i="10"/>
  <c r="CM73" i="2" a="1"/>
  <c r="CM73" i="2"/>
  <c r="R14" i="10"/>
  <c r="CY45" i="2" a="1"/>
  <c r="CY45" i="2"/>
  <c r="T17" i="10"/>
  <c r="N17" i="14"/>
  <c r="F6" i="14"/>
  <c r="G140" i="14"/>
  <c r="H229" i="14"/>
  <c r="E200" i="14"/>
  <c r="T40" i="14"/>
  <c r="BO49" i="2" a="1"/>
  <c r="BO49" i="2"/>
  <c r="N220" i="10"/>
  <c r="R333" i="14"/>
  <c r="CA31" i="2" a="1"/>
  <c r="CA31" i="2"/>
  <c r="P88" i="10"/>
  <c r="P280" i="14"/>
  <c r="BO11" i="2" a="1"/>
  <c r="BO11" i="2"/>
  <c r="N333" i="10"/>
  <c r="BU8" i="2" a="1"/>
  <c r="BU8" i="2"/>
  <c r="O49" i="10"/>
  <c r="P25" i="14"/>
  <c r="CA19" i="2" a="1"/>
  <c r="CA19" i="2"/>
  <c r="P312" i="10"/>
  <c r="CY56" i="2" a="1"/>
  <c r="CY56" i="2"/>
  <c r="T44" i="10"/>
  <c r="CY60" i="2" a="1"/>
  <c r="CY60" i="2"/>
  <c r="T58" i="10"/>
  <c r="T94" i="14"/>
  <c r="CS41" i="2" a="1"/>
  <c r="CS41" i="2"/>
  <c r="S182" i="10"/>
  <c r="R235" i="14"/>
  <c r="CM36" i="2" a="1"/>
  <c r="CM36" i="2"/>
  <c r="R30" i="10"/>
  <c r="Q148" i="14"/>
  <c r="CG67" i="2" a="1"/>
  <c r="CG67" i="2"/>
  <c r="Q329" i="10"/>
  <c r="Q88" i="14"/>
  <c r="BU52" i="2" a="1"/>
  <c r="BU52" i="2"/>
  <c r="O268" i="10"/>
  <c r="BU88" i="2" a="1"/>
  <c r="BU88" i="2"/>
  <c r="O249" i="10"/>
  <c r="C249" i="10"/>
  <c r="I249" i="3"/>
  <c r="K249" i="3"/>
  <c r="BU37" i="2" a="1"/>
  <c r="BU37" i="2"/>
  <c r="O54" i="10"/>
  <c r="BU19" i="2" a="1"/>
  <c r="BU19" i="2"/>
  <c r="O97" i="10"/>
  <c r="C97" i="10"/>
  <c r="I97" i="3"/>
  <c r="K97" i="3"/>
  <c r="CY52" i="2" a="1"/>
  <c r="CY52" i="2"/>
  <c r="T123" i="10"/>
  <c r="BU41" i="2" a="1"/>
  <c r="BU41" i="2"/>
  <c r="O140" i="10"/>
  <c r="CM71" i="2" a="1"/>
  <c r="CM71" i="2"/>
  <c r="R39" i="10"/>
  <c r="Q271" i="14"/>
  <c r="CG70" i="2" a="1"/>
  <c r="CG70" i="2"/>
  <c r="Q256" i="10"/>
  <c r="P100" i="14"/>
  <c r="CG24" i="2" a="1"/>
  <c r="CG24" i="2"/>
  <c r="Q57" i="10"/>
  <c r="CA97" i="2" a="1"/>
  <c r="CA97" i="2"/>
  <c r="CA41" i="2" a="1"/>
  <c r="CA41" i="2"/>
  <c r="P66" i="10"/>
  <c r="O56" i="14"/>
  <c r="BU42" i="2" a="1"/>
  <c r="BU42" i="2"/>
  <c r="O58" i="10"/>
  <c r="O58" i="14"/>
  <c r="N160" i="14"/>
  <c r="C160" i="14"/>
  <c r="CA84" i="2" a="1"/>
  <c r="CA84" i="2"/>
  <c r="P69" i="10"/>
  <c r="CM35" i="2" a="1"/>
  <c r="CM35" i="2"/>
  <c r="R235" i="10"/>
  <c r="CG68" i="2" a="1"/>
  <c r="CG68" i="2"/>
  <c r="Q290" i="10"/>
  <c r="BU76" i="2" a="1"/>
  <c r="BU76" i="2"/>
  <c r="N66" i="14"/>
  <c r="O347" i="14"/>
  <c r="CA43" i="2" a="1"/>
  <c r="CA43" i="2"/>
  <c r="P25" i="10"/>
  <c r="N264" i="14"/>
  <c r="CM65" i="2" a="1"/>
  <c r="CM65" i="2"/>
  <c r="R67" i="10"/>
  <c r="R305" i="14"/>
  <c r="Q332" i="14"/>
  <c r="CG43" i="2" a="1"/>
  <c r="CG43" i="2"/>
  <c r="Q322" i="10"/>
  <c r="Q279" i="14"/>
  <c r="BU71" i="2" a="1"/>
  <c r="BU71" i="2"/>
  <c r="O55" i="10"/>
  <c r="O137" i="14"/>
  <c r="CG57" i="2" a="1"/>
  <c r="CG57" i="2"/>
  <c r="Q266" i="10"/>
  <c r="CY55" i="2" a="1"/>
  <c r="CY55" i="2"/>
  <c r="T211" i="10"/>
  <c r="T211" i="14"/>
  <c r="CM13" i="2" a="1"/>
  <c r="CM13" i="2"/>
  <c r="R334" i="10"/>
  <c r="CM41" i="2" a="1"/>
  <c r="CM41" i="2"/>
  <c r="R340" i="10"/>
  <c r="CG49" i="2" a="1"/>
  <c r="CG49" i="2"/>
  <c r="Q143" i="10"/>
  <c r="O282" i="14"/>
  <c r="P312" i="14"/>
  <c r="CA98" i="2" a="1"/>
  <c r="CA98" i="2"/>
  <c r="P33" i="10"/>
  <c r="CA69" i="2" a="1"/>
  <c r="CA69" i="2"/>
  <c r="P18" i="10"/>
  <c r="CA60" i="2" a="1"/>
  <c r="CA60" i="2"/>
  <c r="P60" i="10"/>
  <c r="BO78" i="2" a="1"/>
  <c r="BO78" i="2"/>
  <c r="N211" i="10"/>
  <c r="CA20" i="2" a="1"/>
  <c r="CA20" i="2"/>
  <c r="P347" i="10"/>
  <c r="CG16" i="2" a="1"/>
  <c r="CG16" i="2"/>
  <c r="Q264" i="10"/>
  <c r="T341" i="14"/>
  <c r="T149" i="14"/>
  <c r="CS32" i="2" a="1"/>
  <c r="CS32" i="2"/>
  <c r="S72" i="10"/>
  <c r="S322" i="14"/>
  <c r="R87" i="14"/>
  <c r="CM45" i="2" a="1"/>
  <c r="CM45" i="2"/>
  <c r="CG60" i="2" a="1"/>
  <c r="CG60" i="2"/>
  <c r="Q24" i="10"/>
  <c r="Q48" i="14"/>
  <c r="Q100" i="14"/>
  <c r="BU59" i="2" a="1"/>
  <c r="BU59" i="2"/>
  <c r="O7" i="10"/>
  <c r="O235" i="14"/>
  <c r="O41" i="14"/>
  <c r="BU50" i="2" a="1"/>
  <c r="BU50" i="2"/>
  <c r="O24" i="10"/>
  <c r="Q32" i="14"/>
  <c r="CM33" i="2" a="1"/>
  <c r="CM33" i="2"/>
  <c r="R299" i="10"/>
  <c r="CA34" i="2" a="1"/>
  <c r="CA34" i="2"/>
  <c r="P37" i="10"/>
  <c r="CS10" i="2" a="1"/>
  <c r="CS10" i="2"/>
  <c r="S230" i="10"/>
  <c r="Q256" i="14"/>
  <c r="T322" i="14"/>
  <c r="CY44" i="2" a="1"/>
  <c r="CY44" i="2"/>
  <c r="T322" i="10"/>
  <c r="CA62" i="2" a="1"/>
  <c r="CA62" i="2"/>
  <c r="P65" i="10"/>
  <c r="O97" i="14"/>
  <c r="C97" i="14"/>
  <c r="BU53" i="2" a="1"/>
  <c r="BU53" i="2"/>
  <c r="O50" i="10"/>
  <c r="Q60" i="14"/>
  <c r="T177" i="14"/>
  <c r="Q324" i="14"/>
  <c r="BU33" i="2" a="1"/>
  <c r="BU33" i="2"/>
  <c r="O264" i="10"/>
  <c r="P11" i="14"/>
  <c r="CY33" i="2" a="1"/>
  <c r="CY33" i="2"/>
  <c r="T48" i="10"/>
  <c r="P274" i="14"/>
  <c r="P235" i="14"/>
  <c r="P268" i="14"/>
  <c r="CG31" i="2" a="1"/>
  <c r="CG31" i="2"/>
  <c r="Q17" i="10"/>
  <c r="CA73" i="2" a="1"/>
  <c r="CA73" i="2"/>
  <c r="P85" i="10"/>
  <c r="P242" i="14"/>
  <c r="T135" i="14"/>
  <c r="CY41" i="2" a="1"/>
  <c r="CY41" i="2"/>
  <c r="T23" i="10"/>
  <c r="O17" i="14"/>
  <c r="O131" i="14"/>
  <c r="AQ40" i="2" a="1"/>
  <c r="AQ40" i="2"/>
  <c r="J65" i="10"/>
  <c r="N140" i="14"/>
  <c r="CY26" i="2" a="1"/>
  <c r="CY26" i="2"/>
  <c r="T66" i="10"/>
  <c r="S344" i="14"/>
  <c r="S226" i="14"/>
  <c r="CA88" i="2" a="1"/>
  <c r="CA88" i="2"/>
  <c r="P275" i="10"/>
  <c r="P334" i="14"/>
  <c r="P60" i="14"/>
  <c r="CM60" i="2" a="1"/>
  <c r="CM60" i="2"/>
  <c r="R76" i="10"/>
  <c r="Q306" i="14"/>
  <c r="CY59" i="2" a="1"/>
  <c r="CY59" i="2"/>
  <c r="T334" i="10"/>
  <c r="CY28" i="2" a="1"/>
  <c r="CY28" i="2"/>
  <c r="T65" i="10"/>
  <c r="S148" i="14"/>
  <c r="CS63" i="2" a="1"/>
  <c r="CS63" i="2"/>
  <c r="S39" i="10"/>
  <c r="R133" i="14"/>
  <c r="R39" i="14"/>
  <c r="Q24" i="14"/>
  <c r="Q63" i="14"/>
  <c r="Q262" i="14"/>
  <c r="BU34" i="2" a="1"/>
  <c r="BU34" i="2"/>
  <c r="O180" i="10"/>
  <c r="O283" i="14"/>
  <c r="BU84" i="2" a="1"/>
  <c r="BU84" i="2"/>
  <c r="O89" i="10"/>
  <c r="C89" i="10"/>
  <c r="I89" i="3"/>
  <c r="K89" i="3"/>
  <c r="CG56" i="2" a="1"/>
  <c r="CG56" i="2"/>
  <c r="R14" i="14"/>
  <c r="Q208" i="14"/>
  <c r="BU44" i="2" a="1"/>
  <c r="BU44" i="2"/>
  <c r="O93" i="10"/>
  <c r="C93" i="10"/>
  <c r="I93" i="3"/>
  <c r="K93" i="3"/>
  <c r="P224" i="14"/>
  <c r="CA66" i="2" a="1"/>
  <c r="CA66" i="2"/>
  <c r="P220" i="10"/>
  <c r="CA92" i="2" a="1"/>
  <c r="CA92" i="2"/>
  <c r="P212" i="10"/>
  <c r="CA16" i="2" a="1"/>
  <c r="CA16" i="2"/>
  <c r="P11" i="10"/>
  <c r="CA64" i="2" a="1"/>
  <c r="CA64" i="2"/>
  <c r="P62" i="10"/>
  <c r="CA80" i="2" a="1"/>
  <c r="CA80" i="2"/>
  <c r="CA46" i="2" a="1"/>
  <c r="CA46" i="2"/>
  <c r="P83" i="10"/>
  <c r="P131" i="14"/>
  <c r="CA67" i="2" a="1"/>
  <c r="CA67" i="2"/>
  <c r="P158" i="10"/>
  <c r="CA54" i="2" a="1"/>
  <c r="CA54" i="2"/>
  <c r="P7" i="10"/>
  <c r="P158" i="14"/>
  <c r="P40" i="14"/>
  <c r="P279" i="14"/>
  <c r="CA22" i="2" a="1"/>
  <c r="CA22" i="2"/>
  <c r="P281" i="14"/>
  <c r="CA95" i="2" a="1"/>
  <c r="CA95" i="2"/>
  <c r="P177" i="10"/>
  <c r="CA24" i="2" a="1"/>
  <c r="CA24" i="2"/>
  <c r="P353" i="10"/>
  <c r="CA17" i="2" a="1"/>
  <c r="CA17" i="2"/>
  <c r="P230" i="10"/>
  <c r="CA15" i="2" a="1"/>
  <c r="CA15" i="2"/>
  <c r="P343" i="10"/>
  <c r="P23" i="14"/>
  <c r="CA77" i="2" a="1"/>
  <c r="CA77" i="2"/>
  <c r="P94" i="14"/>
  <c r="CA8" i="2" a="1"/>
  <c r="CA8" i="2"/>
  <c r="P131" i="10"/>
  <c r="P30" i="14"/>
  <c r="CA96" i="2" a="1"/>
  <c r="CA96" i="2"/>
  <c r="P155" i="10"/>
  <c r="C155" i="10"/>
  <c r="I155" i="3"/>
  <c r="K155" i="3"/>
  <c r="P33" i="14"/>
  <c r="CA87" i="2" a="1"/>
  <c r="CA87" i="2"/>
  <c r="P58" i="10"/>
  <c r="CA18" i="2" a="1"/>
  <c r="CA18" i="2"/>
  <c r="P322" i="10"/>
  <c r="CA28" i="2" a="1"/>
  <c r="CA28" i="2"/>
  <c r="P143" i="10"/>
  <c r="CA75" i="2" a="1"/>
  <c r="CA75" i="2"/>
  <c r="P137" i="14"/>
  <c r="CA47" i="2" a="1"/>
  <c r="CA47" i="2"/>
  <c r="P235" i="10"/>
  <c r="P55" i="14"/>
  <c r="P316" i="14"/>
  <c r="P344" i="14"/>
  <c r="CA93" i="2" a="1"/>
  <c r="CA93" i="2"/>
  <c r="P184" i="10"/>
  <c r="CA55" i="2" a="1"/>
  <c r="CA55" i="2"/>
  <c r="P39" i="10"/>
  <c r="CA81" i="2" a="1"/>
  <c r="CA81" i="2"/>
  <c r="P250" i="10"/>
  <c r="P283" i="14"/>
  <c r="CA51" i="2" a="1"/>
  <c r="CA51" i="2"/>
  <c r="P137" i="10"/>
  <c r="CA10" i="2" a="1"/>
  <c r="CA10" i="2"/>
  <c r="P187" i="10"/>
  <c r="P155" i="14"/>
  <c r="C155" i="14"/>
  <c r="CA83" i="2" a="1"/>
  <c r="CA83" i="2"/>
  <c r="P180" i="10"/>
  <c r="CA33" i="2" a="1"/>
  <c r="CA33" i="2"/>
  <c r="P56" i="10"/>
  <c r="P311" i="14"/>
  <c r="CA44" i="2" a="1"/>
  <c r="CA44" i="2"/>
  <c r="P148" i="10"/>
  <c r="P262" i="14"/>
  <c r="P149" i="14"/>
  <c r="CA74" i="2" a="1"/>
  <c r="CA74" i="2"/>
  <c r="P143" i="14"/>
  <c r="CA35" i="2" a="1"/>
  <c r="CA35" i="2"/>
  <c r="P100" i="10"/>
  <c r="CA56" i="2" a="1"/>
  <c r="CA56" i="2"/>
  <c r="P98" i="10"/>
  <c r="CA99" i="2" a="1"/>
  <c r="CA99" i="2"/>
  <c r="P74" i="10"/>
  <c r="CA68" i="2" a="1"/>
  <c r="CA68" i="2"/>
  <c r="P84" i="10"/>
  <c r="P322" i="14"/>
  <c r="P148" i="14"/>
  <c r="P187" i="14"/>
  <c r="P7" i="14"/>
  <c r="CA12" i="2" a="1"/>
  <c r="CA12" i="2"/>
  <c r="P23" i="10"/>
  <c r="P56" i="14"/>
  <c r="P98" i="14"/>
  <c r="CA26" i="2" a="1"/>
  <c r="CA26" i="2"/>
  <c r="P268" i="10"/>
  <c r="P230" i="14"/>
  <c r="P46" i="14"/>
  <c r="CA61" i="2" a="1"/>
  <c r="CA61" i="2"/>
  <c r="CA27" i="2" a="1"/>
  <c r="CA27" i="2"/>
  <c r="P156" i="10"/>
  <c r="CA72" i="2" a="1"/>
  <c r="CA72" i="2"/>
  <c r="P333" i="10"/>
  <c r="P343" i="14"/>
  <c r="CA90" i="2" a="1"/>
  <c r="CA90" i="2"/>
  <c r="P210" i="14"/>
  <c r="CA21" i="2" a="1"/>
  <c r="CA21" i="2"/>
  <c r="P350" i="10"/>
  <c r="P83" i="14"/>
  <c r="CA39" i="2" a="1"/>
  <c r="CA39" i="2"/>
  <c r="P30" i="10"/>
  <c r="CA38" i="2" a="1"/>
  <c r="CA38" i="2"/>
  <c r="P72" i="10"/>
  <c r="P184" i="14"/>
  <c r="P282" i="14"/>
  <c r="CA23" i="2" a="1"/>
  <c r="CA23" i="2"/>
  <c r="P32" i="10"/>
  <c r="P156" i="14"/>
  <c r="CA52" i="2" a="1"/>
  <c r="CA52" i="2"/>
  <c r="P17" i="10"/>
  <c r="P62" i="14"/>
  <c r="CA49" i="2" a="1"/>
  <c r="CA49" i="2"/>
  <c r="P347" i="14"/>
  <c r="P18" i="14"/>
  <c r="CA71" i="2" a="1"/>
  <c r="CA71" i="2"/>
  <c r="P46" i="10"/>
  <c r="CA42" i="2" a="1"/>
  <c r="CA42" i="2"/>
  <c r="P145" i="10"/>
  <c r="CA9" i="2" a="1"/>
  <c r="CA9" i="2"/>
  <c r="P210" i="10"/>
  <c r="CA58" i="2" a="1"/>
  <c r="CA58" i="2"/>
  <c r="P41" i="10"/>
  <c r="P220" i="14"/>
  <c r="CA30" i="2" a="1"/>
  <c r="CA30" i="2"/>
  <c r="P222" i="10"/>
  <c r="P50" i="14"/>
  <c r="CA37" i="2" a="1"/>
  <c r="CA37" i="2"/>
  <c r="P140" i="14"/>
  <c r="CA57" i="2" a="1"/>
  <c r="CA57" i="2"/>
  <c r="P94" i="10"/>
  <c r="CA94" i="2" a="1"/>
  <c r="CA94" i="2"/>
  <c r="P182" i="10"/>
  <c r="CA70" i="2" a="1"/>
  <c r="CA70" i="2"/>
  <c r="CA86" i="2" a="1"/>
  <c r="CA86" i="2"/>
  <c r="P324" i="10"/>
  <c r="P48" i="14"/>
  <c r="P353" i="14"/>
  <c r="P88" i="14"/>
  <c r="P57" i="14"/>
  <c r="P58" i="14"/>
  <c r="CA59" i="2" a="1"/>
  <c r="CA59" i="2"/>
  <c r="P329" i="10"/>
  <c r="BU49" i="2" a="1"/>
  <c r="BU49" i="2"/>
  <c r="O283" i="10"/>
  <c r="H281" i="14"/>
  <c r="AK50" i="2" a="1"/>
  <c r="AK50" i="2"/>
  <c r="I177" i="10"/>
  <c r="P324" i="14"/>
  <c r="CY30" i="2" a="1"/>
  <c r="CY30" i="2"/>
  <c r="O159" i="14"/>
  <c r="P350" i="14"/>
  <c r="BO28" i="2" a="1"/>
  <c r="BO28" i="2"/>
  <c r="N242" i="10"/>
  <c r="N211" i="14"/>
  <c r="BO17" i="2" a="1"/>
  <c r="BO17" i="2"/>
  <c r="N40" i="10"/>
  <c r="N74" i="14"/>
  <c r="BO83" i="2" a="1"/>
  <c r="BO83" i="2"/>
  <c r="BO58" i="2" a="1"/>
  <c r="BO58" i="2"/>
  <c r="N100" i="10"/>
  <c r="BO30" i="2" a="1"/>
  <c r="BO30" i="2"/>
  <c r="N335" i="10"/>
  <c r="BO52" i="2" a="1"/>
  <c r="BO52" i="2"/>
  <c r="N187" i="10"/>
  <c r="N303" i="14"/>
  <c r="BO80" i="2" a="1"/>
  <c r="BO80" i="2"/>
  <c r="N141" i="10"/>
  <c r="BU99" i="2" a="1"/>
  <c r="BU99" i="2"/>
  <c r="O108" i="10"/>
  <c r="C108" i="10"/>
  <c r="I108" i="3"/>
  <c r="K108" i="3"/>
  <c r="CG47" i="2" a="1"/>
  <c r="CG47" i="2"/>
  <c r="Q187" i="10"/>
  <c r="T182" i="14"/>
  <c r="O262" i="14"/>
  <c r="CG78" i="2" a="1"/>
  <c r="CG78" i="2"/>
  <c r="Q182" i="10"/>
  <c r="CG39" i="2" a="1"/>
  <c r="CG39" i="2"/>
  <c r="Q224" i="10"/>
  <c r="BU81" i="2" a="1"/>
  <c r="BU81" i="2"/>
  <c r="O143" i="10"/>
  <c r="BU38" i="2" a="1"/>
  <c r="BU38" i="2"/>
  <c r="O224" i="10"/>
  <c r="Q36" i="14"/>
  <c r="R40" i="14"/>
  <c r="CM63" i="2" a="1"/>
  <c r="CM63" i="2"/>
  <c r="R40" i="10"/>
  <c r="CS65" i="2" a="1"/>
  <c r="CS65" i="2"/>
  <c r="S237" i="10"/>
  <c r="F114" i="14"/>
  <c r="L282" i="14"/>
  <c r="T123" i="14"/>
  <c r="S17" i="14"/>
  <c r="O22" i="14"/>
  <c r="CA13" i="2" a="1"/>
  <c r="CA13" i="2"/>
  <c r="P283" i="10"/>
  <c r="P180" i="14"/>
  <c r="R334" i="14"/>
  <c r="N281" i="14"/>
  <c r="S334" i="14"/>
  <c r="P65" i="14"/>
  <c r="Q18" i="14"/>
  <c r="T41" i="14"/>
  <c r="CY51" i="2" a="1"/>
  <c r="CY51" i="2"/>
  <c r="T242" i="10"/>
  <c r="CS19" i="2" a="1"/>
  <c r="CS19" i="2"/>
  <c r="S48" i="10"/>
  <c r="S88" i="14"/>
  <c r="CM38" i="2" a="1"/>
  <c r="CM38" i="2"/>
  <c r="R23" i="10"/>
  <c r="R137" i="14"/>
  <c r="CG73" i="2" a="1"/>
  <c r="CG73" i="2"/>
  <c r="Q66" i="10"/>
  <c r="Q56" i="14"/>
  <c r="BU32" i="2" a="1"/>
  <c r="BU32" i="2"/>
  <c r="O182" i="10"/>
  <c r="BU69" i="2" a="1"/>
  <c r="BU69" i="2"/>
  <c r="O72" i="10"/>
  <c r="BU20" i="2" a="1"/>
  <c r="BU20" i="2"/>
  <c r="O88" i="10"/>
  <c r="Q17" i="14"/>
  <c r="BO25" i="2" a="1"/>
  <c r="BO25" i="2"/>
  <c r="N340" i="10"/>
  <c r="BO87" i="2" a="1"/>
  <c r="BO87" i="2"/>
  <c r="N30" i="10"/>
  <c r="CM11" i="2" a="1"/>
  <c r="CM11" i="2"/>
  <c r="R306" i="10"/>
  <c r="R306" i="14"/>
  <c r="R84" i="14"/>
  <c r="R128" i="14"/>
  <c r="R182" i="14"/>
  <c r="R120" i="14"/>
  <c r="CM27" i="2" a="1"/>
  <c r="CM27" i="2"/>
  <c r="R223" i="10"/>
  <c r="C223" i="10"/>
  <c r="I223" i="3"/>
  <c r="K223" i="3"/>
  <c r="CM67" i="2" a="1"/>
  <c r="CM67" i="2"/>
  <c r="R41" i="10"/>
  <c r="R299" i="14"/>
  <c r="CM62" i="2" a="1"/>
  <c r="CM62" i="2"/>
  <c r="R208" i="10"/>
  <c r="R245" i="14"/>
  <c r="R58" i="14"/>
  <c r="CM46" i="2" a="1"/>
  <c r="CM46" i="2"/>
  <c r="R143" i="10"/>
  <c r="R290" i="14"/>
  <c r="R88" i="14"/>
  <c r="CM16" i="2" a="1"/>
  <c r="CM16" i="2"/>
  <c r="R242" i="10"/>
  <c r="CM69" i="2" a="1"/>
  <c r="CM69" i="2"/>
  <c r="R37" i="10"/>
  <c r="R223" i="14"/>
  <c r="C223" i="14"/>
  <c r="R324" i="14"/>
  <c r="CM26" i="2" a="1"/>
  <c r="CM26" i="2"/>
  <c r="R271" i="10"/>
  <c r="CA29" i="2" a="1"/>
  <c r="CA29" i="2"/>
  <c r="P140" i="10"/>
  <c r="O334" i="14"/>
  <c r="O61" i="14"/>
  <c r="BU70" i="2" a="1"/>
  <c r="BU70" i="2"/>
  <c r="O61" i="10"/>
  <c r="S135" i="14"/>
  <c r="Q53" i="14"/>
  <c r="Q344" i="14"/>
  <c r="CG37" i="2" a="1"/>
  <c r="CG37" i="2"/>
  <c r="Q251" i="10"/>
  <c r="Q333" i="14"/>
  <c r="CG38" i="2" a="1"/>
  <c r="CG38" i="2"/>
  <c r="Q242" i="10"/>
  <c r="Q251" i="14"/>
  <c r="CG32" i="2" a="1"/>
  <c r="CG32" i="2"/>
  <c r="CG13" i="2" a="1"/>
  <c r="CG13" i="2"/>
  <c r="Q140" i="10"/>
  <c r="CG21" i="2" a="1"/>
  <c r="CG21" i="2"/>
  <c r="Q137" i="10"/>
  <c r="CG44" i="2" a="1"/>
  <c r="CG44" i="2"/>
  <c r="Q268" i="10"/>
  <c r="CG83" i="2" a="1"/>
  <c r="CG83" i="2"/>
  <c r="Q53" i="10"/>
  <c r="Q311" i="14"/>
  <c r="Q166" i="14"/>
  <c r="CG77" i="2" a="1"/>
  <c r="CG77" i="2"/>
  <c r="Q341" i="10"/>
  <c r="CG34" i="2" a="1"/>
  <c r="CG34" i="2"/>
  <c r="Q63" i="10"/>
  <c r="CG28" i="2" a="1"/>
  <c r="CG28" i="2"/>
  <c r="Q86" i="10"/>
  <c r="C86" i="10"/>
  <c r="I86" i="3"/>
  <c r="K86" i="3"/>
  <c r="Q182" i="14"/>
  <c r="Q141" i="14"/>
  <c r="CG63" i="2" a="1"/>
  <c r="CG63" i="2"/>
  <c r="Q141" i="10"/>
  <c r="Q8" i="14"/>
  <c r="Q85" i="14"/>
  <c r="Q329" i="14"/>
  <c r="CG35" i="2" a="1"/>
  <c r="CG35" i="2"/>
  <c r="CG27" i="2" a="1"/>
  <c r="CG27" i="2"/>
  <c r="Q211" i="10"/>
  <c r="CG51" i="2" a="1"/>
  <c r="CG51" i="2"/>
  <c r="Q87" i="10"/>
  <c r="Q137" i="14"/>
  <c r="CG14" i="2" a="1"/>
  <c r="CG14" i="2"/>
  <c r="Q332" i="10"/>
  <c r="Q340" i="14"/>
  <c r="Q62" i="14"/>
  <c r="CG45" i="2" a="1"/>
  <c r="CG45" i="2"/>
  <c r="Q8" i="10"/>
  <c r="CG10" i="2" a="1"/>
  <c r="CG10" i="2"/>
  <c r="Q274" i="10"/>
  <c r="Q58" i="14"/>
  <c r="CG52" i="2" a="1"/>
  <c r="CG52" i="2"/>
  <c r="Q166" i="10"/>
  <c r="Q273" i="14"/>
  <c r="CG19" i="2" a="1"/>
  <c r="CG19" i="2"/>
  <c r="Q230" i="10"/>
  <c r="CG64" i="2" a="1"/>
  <c r="CG64" i="2"/>
  <c r="Q340" i="10"/>
  <c r="CG72" i="2" a="1"/>
  <c r="CG72" i="2"/>
  <c r="Q60" i="10"/>
  <c r="CG29" i="2" a="1"/>
  <c r="CG29" i="2"/>
  <c r="Q335" i="10"/>
  <c r="CG66" i="2" a="1"/>
  <c r="CG66" i="2"/>
  <c r="Q100" i="10"/>
  <c r="CG26" i="2" a="1"/>
  <c r="CG26" i="2"/>
  <c r="Q348" i="10"/>
  <c r="Q128" i="14"/>
  <c r="Q87" i="14"/>
  <c r="Q140" i="14"/>
  <c r="Q39" i="14"/>
  <c r="CG8" i="2" a="1"/>
  <c r="CG8" i="2"/>
  <c r="Q148" i="10"/>
  <c r="CG25" i="2" a="1"/>
  <c r="CG25" i="2"/>
  <c r="Q25" i="10"/>
  <c r="Q40" i="14"/>
  <c r="Q30" i="14"/>
  <c r="CG80" i="2" a="1"/>
  <c r="CG80" i="2"/>
  <c r="Q85" i="10"/>
  <c r="Q6" i="14"/>
  <c r="CG23" i="2" a="1"/>
  <c r="CG23" i="2"/>
  <c r="Q324" i="10"/>
  <c r="Q334" i="14"/>
  <c r="Q264" i="14"/>
  <c r="Q341" i="14"/>
  <c r="Q57" i="14"/>
  <c r="Q322" i="14"/>
  <c r="CG40" i="2" a="1"/>
  <c r="CG40" i="2"/>
  <c r="Q62" i="10"/>
  <c r="CG12" i="2" a="1"/>
  <c r="CG12" i="2"/>
  <c r="Q333" i="10"/>
  <c r="CG71" i="2" a="1"/>
  <c r="CG71" i="2"/>
  <c r="Q30" i="10"/>
  <c r="Q285" i="14"/>
  <c r="C285" i="14"/>
  <c r="CG81" i="2" a="1"/>
  <c r="CG81" i="2"/>
  <c r="Q6" i="10"/>
  <c r="CG33" i="2" a="1"/>
  <c r="CG33" i="2"/>
  <c r="Q36" i="10"/>
  <c r="Q299" i="14"/>
  <c r="Q74" i="14"/>
  <c r="CG65" i="2" a="1"/>
  <c r="CG65" i="2"/>
  <c r="Q334" i="10"/>
  <c r="CG82" i="2" a="1"/>
  <c r="CG82" i="2"/>
  <c r="CG50" i="2" a="1"/>
  <c r="CG50" i="2"/>
  <c r="CG62" i="2" a="1"/>
  <c r="CG62" i="2"/>
  <c r="CG48" i="2" a="1"/>
  <c r="CG48" i="2"/>
  <c r="Q271" i="10"/>
  <c r="CG79" i="2" a="1"/>
  <c r="CG79" i="2"/>
  <c r="Q344" i="10"/>
  <c r="CG58" i="2" a="1"/>
  <c r="CG58" i="2"/>
  <c r="Q39" i="10"/>
  <c r="Q242" i="14"/>
  <c r="Q274" i="14"/>
  <c r="Q66" i="14"/>
  <c r="CG9" i="2" a="1"/>
  <c r="CG9" i="2"/>
  <c r="Q56" i="10"/>
  <c r="Q268" i="14"/>
  <c r="Q304" i="14"/>
  <c r="Q65" i="14"/>
  <c r="CG30" i="2" a="1"/>
  <c r="CG30" i="2"/>
  <c r="O84" i="14"/>
  <c r="BU12" i="2" a="1"/>
  <c r="BU12" i="2"/>
  <c r="O84" i="10"/>
  <c r="P84" i="14"/>
  <c r="O264" i="14"/>
  <c r="P309" i="14"/>
  <c r="BU80" i="2" a="1"/>
  <c r="BU80" i="2"/>
  <c r="O177" i="10"/>
  <c r="P159" i="14"/>
  <c r="P177" i="14"/>
  <c r="CS53" i="2" a="1"/>
  <c r="CS53" i="2"/>
  <c r="S184" i="10"/>
  <c r="S184" i="14"/>
  <c r="CG53" i="2" a="1"/>
  <c r="CG53" i="2"/>
  <c r="Q177" i="10"/>
  <c r="S137" i="14"/>
  <c r="CY22" i="2" a="1"/>
  <c r="CY22" i="2"/>
  <c r="T343" i="10"/>
  <c r="S347" i="14"/>
  <c r="P85" i="14"/>
  <c r="P325" i="14"/>
  <c r="CA48" i="2" a="1"/>
  <c r="CA48" i="2"/>
  <c r="N94" i="14"/>
  <c r="R175" i="14"/>
  <c r="CA14" i="2" a="1"/>
  <c r="CA14" i="2"/>
  <c r="P48" i="10"/>
  <c r="Q14" i="14"/>
  <c r="CY40" i="2" a="1"/>
  <c r="CY40" i="2"/>
  <c r="T182" i="10"/>
  <c r="S66" i="14"/>
  <c r="CM66" i="2" a="1"/>
  <c r="CM66" i="2"/>
  <c r="R133" i="10"/>
  <c r="R135" i="14"/>
  <c r="Q224" i="14"/>
  <c r="Q143" i="14"/>
  <c r="Q25" i="14"/>
  <c r="BU60" i="2" a="1"/>
  <c r="BU60" i="2"/>
  <c r="O311" i="14"/>
  <c r="CG15" i="2" a="1"/>
  <c r="CG15" i="2"/>
  <c r="Q128" i="10"/>
  <c r="BU27" i="2" a="1"/>
  <c r="BU27" i="2"/>
  <c r="O235" i="10"/>
  <c r="R171" i="14"/>
  <c r="CY13" i="2" a="1"/>
  <c r="CY13" i="2"/>
  <c r="T22" i="10"/>
  <c r="O32" i="14"/>
  <c r="O65" i="14"/>
  <c r="O333" i="14"/>
  <c r="O222" i="14"/>
  <c r="BU39" i="2" a="1"/>
  <c r="BU39" i="2"/>
  <c r="O187" i="10"/>
  <c r="O63" i="14"/>
  <c r="O306" i="14"/>
  <c r="O212" i="14"/>
  <c r="BU58" i="2" a="1"/>
  <c r="BU58" i="2"/>
  <c r="O103" i="10"/>
  <c r="O93" i="14"/>
  <c r="C93" i="14"/>
  <c r="BU61" i="2" a="1"/>
  <c r="BU61" i="2"/>
  <c r="O222" i="10"/>
  <c r="BU55" i="2" a="1"/>
  <c r="BU55" i="2"/>
  <c r="O304" i="10"/>
  <c r="O216" i="14"/>
  <c r="BU65" i="2" a="1"/>
  <c r="BU65" i="2"/>
  <c r="O68" i="10"/>
  <c r="O211" i="14"/>
  <c r="O72" i="14"/>
  <c r="BU89" i="2" a="1"/>
  <c r="BU89" i="2"/>
  <c r="O145" i="10"/>
  <c r="O40" i="14"/>
  <c r="O177" i="14"/>
  <c r="O149" i="14"/>
  <c r="BU73" i="2" a="1"/>
  <c r="BU73" i="2"/>
  <c r="BU94" i="2" a="1"/>
  <c r="BU94" i="2"/>
  <c r="O325" i="10"/>
  <c r="O88" i="14"/>
  <c r="O348" i="14"/>
  <c r="BU31" i="2" a="1"/>
  <c r="BU31" i="2"/>
  <c r="O251" i="10"/>
  <c r="O175" i="14"/>
  <c r="O145" i="14"/>
  <c r="O182" i="14"/>
  <c r="BU87" i="2" a="1"/>
  <c r="BU87" i="2"/>
  <c r="O329" i="10"/>
  <c r="BU18" i="2" a="1"/>
  <c r="BU18" i="2"/>
  <c r="O148" i="10"/>
  <c r="O57" i="14"/>
  <c r="BU82" i="2" a="1"/>
  <c r="BU82" i="2"/>
  <c r="O87" i="10"/>
  <c r="BU21" i="2" a="1"/>
  <c r="BU21" i="2"/>
  <c r="O210" i="10"/>
  <c r="O304" i="14"/>
  <c r="BU47" i="2" a="1"/>
  <c r="BU47" i="2"/>
  <c r="O347" i="10"/>
  <c r="O135" i="14"/>
  <c r="BU51" i="2" a="1"/>
  <c r="BU51" i="2"/>
  <c r="O208" i="14"/>
  <c r="O309" i="14"/>
  <c r="O281" i="14"/>
  <c r="BU68" i="2" a="1"/>
  <c r="BU68" i="2"/>
  <c r="O216" i="10"/>
  <c r="BU14" i="2" a="1"/>
  <c r="BU14" i="2"/>
  <c r="O57" i="10"/>
  <c r="O353" i="14"/>
  <c r="BU26" i="2" a="1"/>
  <c r="BU26" i="2"/>
  <c r="O266" i="10"/>
  <c r="O18" i="14"/>
  <c r="O24" i="14"/>
  <c r="BU11" i="2" a="1"/>
  <c r="BU11" i="2"/>
  <c r="O168" i="10"/>
  <c r="BU74" i="2" a="1"/>
  <c r="BU74" i="2"/>
  <c r="O341" i="10"/>
  <c r="BU24" i="2" a="1"/>
  <c r="BU24" i="2"/>
  <c r="O234" i="10"/>
  <c r="O98" i="14"/>
  <c r="BU78" i="2" a="1"/>
  <c r="BU78" i="2"/>
  <c r="O335" i="10"/>
  <c r="O180" i="14"/>
  <c r="BU72" i="2" a="1"/>
  <c r="BU72" i="2"/>
  <c r="O65" i="10"/>
  <c r="O158" i="14"/>
  <c r="O266" i="14"/>
  <c r="O279" i="14"/>
  <c r="BU10" i="2" a="1"/>
  <c r="BU10" i="2"/>
  <c r="O131" i="10"/>
  <c r="BU29" i="2" a="1"/>
  <c r="BU29" i="2"/>
  <c r="O212" i="10"/>
  <c r="O341" i="14"/>
  <c r="BU93" i="2" a="1"/>
  <c r="BU93" i="2"/>
  <c r="O39" i="10"/>
  <c r="O54" i="14"/>
  <c r="T306" i="14"/>
  <c r="CA78" i="2" a="1"/>
  <c r="CA78" i="2"/>
  <c r="P159" i="10"/>
  <c r="CA50" i="2" a="1"/>
  <c r="CA50" i="2"/>
  <c r="P290" i="10"/>
  <c r="O148" i="14"/>
  <c r="CY39" i="2" a="1"/>
  <c r="CY39" i="2"/>
  <c r="T55" i="10"/>
  <c r="T30" i="14"/>
  <c r="T325" i="14"/>
  <c r="T329" i="14"/>
  <c r="CY23" i="2" a="1"/>
  <c r="CY23" i="2"/>
  <c r="T329" i="10"/>
  <c r="R298" i="14"/>
  <c r="Q54" i="14"/>
  <c r="CY9" i="2" a="1"/>
  <c r="CY9" i="2"/>
  <c r="T290" i="10"/>
  <c r="Q86" i="14"/>
  <c r="CG74" i="2" a="1"/>
  <c r="CG74" i="2"/>
  <c r="Q208" i="10"/>
  <c r="O242" i="14"/>
  <c r="CM23" i="2" a="1"/>
  <c r="CM23" i="2"/>
  <c r="P333" i="14"/>
  <c r="P32" i="14"/>
  <c r="CY10" i="2" a="1"/>
  <c r="CY10" i="2"/>
  <c r="T18" i="10"/>
  <c r="O168" i="14"/>
  <c r="R217" i="14"/>
  <c r="Q120" i="14"/>
  <c r="CG36" i="2" a="1"/>
  <c r="CG36" i="2"/>
  <c r="Q353" i="10"/>
  <c r="BU16" i="2" a="1"/>
  <c r="BU16" i="2"/>
  <c r="O158" i="10"/>
  <c r="BU13" i="2" a="1"/>
  <c r="BU13" i="2"/>
  <c r="O334" i="10"/>
  <c r="S161" i="14"/>
  <c r="C161" i="14"/>
  <c r="CS16" i="2" a="1"/>
  <c r="CS16" i="2"/>
  <c r="S14" i="10"/>
  <c r="CS18" i="2" a="1"/>
  <c r="CS18" i="2"/>
  <c r="S7" i="10"/>
  <c r="S13" i="14"/>
  <c r="S224" i="14"/>
  <c r="S49" i="14"/>
  <c r="S242" i="14"/>
  <c r="S14" i="14"/>
  <c r="CS40" i="2" a="1"/>
  <c r="CS40" i="2"/>
  <c r="S135" i="10"/>
  <c r="CS44" i="2" a="1"/>
  <c r="CS44" i="2"/>
  <c r="S198" i="10"/>
  <c r="C198" i="10"/>
  <c r="I198" i="3"/>
  <c r="K198" i="3"/>
  <c r="CS58" i="2" a="1"/>
  <c r="CS58" i="2"/>
  <c r="S334" i="10"/>
  <c r="S149" i="14"/>
  <c r="S40" i="14"/>
  <c r="CS23" i="2" a="1"/>
  <c r="CS23" i="2"/>
  <c r="S149" i="10"/>
  <c r="CS60" i="2" a="1"/>
  <c r="CS60" i="2"/>
  <c r="S120" i="10"/>
  <c r="CS11" i="2" a="1"/>
  <c r="CS11" i="2"/>
  <c r="S322" i="10"/>
  <c r="S264" i="14"/>
  <c r="S276" i="14"/>
  <c r="S222" i="14"/>
  <c r="S177" i="14"/>
  <c r="S84" i="14"/>
  <c r="CS62" i="2" a="1"/>
  <c r="CS62" i="2"/>
  <c r="S62" i="14"/>
  <c r="S329" i="14"/>
  <c r="CS9" i="2" a="1"/>
  <c r="CS9" i="2"/>
  <c r="S177" i="10"/>
  <c r="CS37" i="2" a="1"/>
  <c r="CS37" i="2"/>
  <c r="S333" i="10"/>
  <c r="CS45" i="2" a="1"/>
  <c r="CS45" i="2"/>
  <c r="S344" i="10"/>
  <c r="CS43" i="2" a="1"/>
  <c r="CS43" i="2"/>
  <c r="S62" i="10"/>
  <c r="S120" i="14"/>
  <c r="CS66" i="2" a="1"/>
  <c r="CS66" i="2"/>
  <c r="S88" i="10"/>
  <c r="CS14" i="2" a="1"/>
  <c r="CS14" i="2"/>
  <c r="S98" i="10"/>
  <c r="S283" i="14"/>
  <c r="S237" i="14"/>
  <c r="S7" i="14"/>
  <c r="S143" i="14"/>
  <c r="CS17" i="2" a="1"/>
  <c r="CS17" i="2"/>
  <c r="S137" i="10"/>
  <c r="CS28" i="2" a="1"/>
  <c r="CS28" i="2"/>
  <c r="CS33" i="2" a="1"/>
  <c r="CS33" i="2"/>
  <c r="S235" i="10"/>
  <c r="S299" i="14"/>
  <c r="S256" i="14"/>
  <c r="T48" i="14"/>
  <c r="CM20" i="2" a="1"/>
  <c r="CM20" i="2"/>
  <c r="R222" i="10"/>
  <c r="R222" i="14"/>
  <c r="R141" i="14"/>
  <c r="CM54" i="2" a="1"/>
  <c r="CM54" i="2"/>
  <c r="R141" i="10"/>
  <c r="BU63" i="2" a="1"/>
  <c r="BU63" i="2"/>
  <c r="O137" i="10"/>
  <c r="CY37" i="2" a="1"/>
  <c r="CY37" i="2"/>
  <c r="T131" i="10"/>
  <c r="S16" i="14"/>
  <c r="P37" i="14"/>
  <c r="P145" i="14"/>
  <c r="O68" i="14"/>
  <c r="CM55" i="2" a="1"/>
  <c r="CM55" i="2"/>
  <c r="R180" i="10"/>
  <c r="CA65" i="2" a="1"/>
  <c r="CA65" i="2"/>
  <c r="P242" i="10"/>
  <c r="Q187" i="14"/>
  <c r="T50" i="14"/>
  <c r="CS36" i="2" a="1"/>
  <c r="CS36" i="2"/>
  <c r="CM22" i="2" a="1"/>
  <c r="CM22" i="2"/>
  <c r="R98" i="10"/>
  <c r="R311" i="14"/>
  <c r="CM64" i="2" a="1"/>
  <c r="CM64" i="2"/>
  <c r="R172" i="10"/>
  <c r="C172" i="10"/>
  <c r="I172" i="3"/>
  <c r="K172" i="3"/>
  <c r="CG59" i="2" a="1"/>
  <c r="CG59" i="2"/>
  <c r="Q120" i="10"/>
  <c r="CG22" i="2" a="1"/>
  <c r="CG22" i="2"/>
  <c r="Q347" i="10"/>
  <c r="Q353" i="14"/>
  <c r="BU97" i="2" a="1"/>
  <c r="BU97" i="2"/>
  <c r="O135" i="10"/>
  <c r="O53" i="14"/>
  <c r="BU85" i="2" a="1"/>
  <c r="BU85" i="2"/>
  <c r="O56" i="10"/>
  <c r="BU83" i="2" a="1"/>
  <c r="BU83" i="2"/>
  <c r="O333" i="10"/>
  <c r="Q335" i="14"/>
  <c r="CS8" i="2" a="1"/>
  <c r="CS8" i="2"/>
  <c r="S17" i="10"/>
  <c r="BU25" i="2" a="1"/>
  <c r="BU25" i="2"/>
  <c r="O41" i="10"/>
  <c r="R17" i="14"/>
  <c r="CM17" i="2" a="1"/>
  <c r="CM17" i="2"/>
  <c r="R17" i="10"/>
  <c r="BU15" i="2" a="1"/>
  <c r="BU15" i="2"/>
  <c r="O17" i="10"/>
  <c r="CM19" i="2" a="1"/>
  <c r="CM19" i="2"/>
  <c r="R74" i="10"/>
  <c r="R74" i="14"/>
  <c r="O39" i="14"/>
  <c r="CG41" i="2" a="1"/>
  <c r="CG41" i="2"/>
  <c r="Q48" i="10"/>
  <c r="CA53" i="2" a="1"/>
  <c r="CA53" i="2"/>
  <c r="P149" i="10"/>
  <c r="P329" i="14"/>
  <c r="CA11" i="2" a="1"/>
  <c r="CA11" i="2"/>
  <c r="P40" i="10"/>
  <c r="CY19" i="2" a="1"/>
  <c r="CY19" i="2"/>
  <c r="T46" i="10"/>
  <c r="CY48" i="2" a="1"/>
  <c r="CY48" i="2"/>
  <c r="T41" i="10"/>
  <c r="O325" i="14"/>
  <c r="BU40" i="2" a="1"/>
  <c r="BU40" i="2"/>
  <c r="O33" i="10"/>
  <c r="O33" i="14"/>
  <c r="O251" i="14"/>
  <c r="Q230" i="14"/>
  <c r="L348" i="14"/>
  <c r="P72" i="14"/>
  <c r="BU35" i="2" a="1"/>
  <c r="BU35" i="2"/>
  <c r="O175" i="10"/>
  <c r="R66" i="14"/>
  <c r="CM61" i="2" a="1"/>
  <c r="CM61" i="2"/>
  <c r="R66" i="10"/>
  <c r="D191" i="14"/>
  <c r="C191" i="14"/>
  <c r="N279" i="14"/>
  <c r="O224" i="14"/>
  <c r="T131" i="14"/>
  <c r="R18" i="14"/>
  <c r="S53" i="14"/>
  <c r="P41" i="14"/>
  <c r="P306" i="14"/>
  <c r="BO40" i="2" a="1"/>
  <c r="BO40" i="2"/>
  <c r="N83" i="10"/>
  <c r="CS25" i="2" a="1"/>
  <c r="CS25" i="2"/>
  <c r="S13" i="10"/>
  <c r="CG18" i="2" a="1"/>
  <c r="CG18" i="2"/>
  <c r="Q14" i="10"/>
  <c r="T46" i="14"/>
  <c r="P182" i="14"/>
  <c r="S55" i="14"/>
  <c r="CS59" i="2" a="1"/>
  <c r="CS59" i="2"/>
  <c r="S53" i="10"/>
  <c r="CM48" i="2" a="1"/>
  <c r="CM48" i="2"/>
  <c r="R245" i="10"/>
  <c r="C245" i="10"/>
  <c r="I245" i="3"/>
  <c r="K245" i="3"/>
  <c r="Q177" i="14"/>
  <c r="BU92" i="2" a="1"/>
  <c r="BU92" i="2"/>
  <c r="O348" i="10"/>
  <c r="CG55" i="2" a="1"/>
  <c r="CG55" i="2"/>
  <c r="Q262" i="10"/>
  <c r="T56" i="14"/>
  <c r="S182" i="14"/>
  <c r="P250" i="14"/>
  <c r="P14" i="14"/>
  <c r="BU22" i="2" a="1"/>
  <c r="BU22" i="2"/>
  <c r="O353" i="10"/>
  <c r="CA91" i="2" a="1"/>
  <c r="CA91" i="2"/>
  <c r="P216" i="10"/>
  <c r="CY21" i="2" a="1"/>
  <c r="CY21" i="2"/>
  <c r="T69" i="10"/>
  <c r="CY63" i="2" a="1"/>
  <c r="CY63" i="2"/>
  <c r="T30" i="10"/>
  <c r="CS35" i="2" a="1"/>
  <c r="CS35" i="2"/>
  <c r="S119" i="10"/>
  <c r="CM31" i="2" a="1"/>
  <c r="CM31" i="2"/>
  <c r="R120" i="10"/>
  <c r="R67" i="14"/>
  <c r="CM32" i="2" a="1"/>
  <c r="CM32" i="2"/>
  <c r="CG75" i="2" a="1"/>
  <c r="CG75" i="2"/>
  <c r="Q32" i="10"/>
  <c r="CG20" i="2" a="1"/>
  <c r="CG20" i="2"/>
  <c r="Q58" i="10"/>
  <c r="Q266" i="14"/>
  <c r="O234" i="14"/>
  <c r="O23" i="14"/>
  <c r="BU54" i="2" a="1"/>
  <c r="BU54" i="2"/>
  <c r="O66" i="10"/>
  <c r="BU30" i="2" a="1"/>
  <c r="BU30" i="2"/>
  <c r="O262" i="10"/>
  <c r="CG61" i="2" a="1"/>
  <c r="CG61" i="2"/>
  <c r="Q65" i="10"/>
  <c r="CY29" i="2" a="1"/>
  <c r="CY29" i="2"/>
  <c r="T56" i="10"/>
  <c r="L92" i="14"/>
  <c r="R23" i="14"/>
  <c r="CA40" i="2" a="1"/>
  <c r="CA40" i="2"/>
  <c r="P55" i="10"/>
  <c r="Q347" i="14"/>
  <c r="Q348" i="14"/>
  <c r="CG76" i="2" a="1"/>
  <c r="CG76" i="2"/>
  <c r="Q98" i="10"/>
  <c r="Q98" i="14"/>
  <c r="T347" i="14"/>
  <c r="BU17" i="2" a="1"/>
  <c r="BU17" i="2"/>
  <c r="O98" i="10"/>
  <c r="P275" i="14"/>
  <c r="CG17" i="2" a="1"/>
  <c r="CG17" i="2"/>
  <c r="Q54" i="10"/>
  <c r="CA85" i="2" a="1"/>
  <c r="CA85" i="2"/>
  <c r="P344" i="10"/>
  <c r="CY17" i="2" a="1"/>
  <c r="CY17" i="2"/>
  <c r="T268" i="10"/>
  <c r="R335" i="14"/>
  <c r="Q211" i="14"/>
  <c r="BU79" i="2" a="1"/>
  <c r="BU79" i="2"/>
  <c r="O192" i="10"/>
  <c r="P66" i="14"/>
  <c r="CG42" i="2" a="1"/>
  <c r="CG42" i="2"/>
  <c r="Q234" i="10"/>
  <c r="CM51" i="2" a="1"/>
  <c r="CM51" i="2"/>
  <c r="R56" i="10"/>
  <c r="R56" i="14"/>
  <c r="CG46" i="2" a="1"/>
  <c r="CG46" i="2"/>
  <c r="Q18" i="10"/>
  <c r="CY53" i="2" a="1"/>
  <c r="CY53" i="2"/>
  <c r="T306" i="10"/>
  <c r="R349" i="14"/>
  <c r="C349" i="14"/>
  <c r="Q234" i="14"/>
  <c r="BU77" i="2" a="1"/>
  <c r="BU77" i="2"/>
  <c r="O40" i="10"/>
  <c r="BU67" i="2" a="1"/>
  <c r="BU67" i="2"/>
  <c r="O149" i="10"/>
  <c r="T66" i="14"/>
  <c r="S303" i="14"/>
  <c r="P222" i="14"/>
  <c r="P39" i="14"/>
  <c r="BO19" i="2" a="1"/>
  <c r="BO19" i="2"/>
  <c r="N66" i="10"/>
  <c r="CA36" i="2" a="1"/>
  <c r="CA36" i="2"/>
  <c r="P14" i="10"/>
  <c r="P212" i="14"/>
  <c r="T55" i="14"/>
  <c r="CY14" i="2" a="1"/>
  <c r="CY14" i="2"/>
  <c r="T135" i="10"/>
  <c r="CY42" i="2" a="1"/>
  <c r="CY42" i="2"/>
  <c r="T94" i="10"/>
  <c r="S77" i="14"/>
  <c r="C77" i="14"/>
  <c r="R36" i="14"/>
  <c r="CM24" i="2" a="1"/>
  <c r="CM24" i="2"/>
  <c r="R324" i="10"/>
  <c r="CG69" i="2" a="1"/>
  <c r="CG69" i="2"/>
  <c r="Q40" i="10"/>
  <c r="Q290" i="14"/>
  <c r="CG54" i="2" a="1"/>
  <c r="CG54" i="2"/>
  <c r="Q88" i="10"/>
  <c r="BU64" i="2" a="1"/>
  <c r="BU64" i="2"/>
  <c r="O50" i="14"/>
  <c r="BU48" i="2" a="1"/>
  <c r="BU48" i="2"/>
  <c r="O63" i="10"/>
  <c r="BU23" i="2" a="1"/>
  <c r="BU23" i="2"/>
  <c r="CY47" i="2" a="1"/>
  <c r="CY47" i="2"/>
  <c r="T279" i="14"/>
  <c r="BU43" i="2" a="1"/>
  <c r="BU43" i="2"/>
  <c r="O46" i="10"/>
  <c r="O46" i="14"/>
  <c r="O187" i="14"/>
  <c r="CM10" i="2" a="1"/>
  <c r="CM10" i="2"/>
  <c r="R335" i="10"/>
  <c r="D234" i="14"/>
  <c r="I333" i="14"/>
  <c r="CM56" i="2" a="1"/>
  <c r="CM56" i="2"/>
  <c r="R18" i="10"/>
  <c r="R143" i="14"/>
  <c r="CM68" i="2" a="1"/>
  <c r="CM68" i="2"/>
  <c r="R325" i="10"/>
  <c r="R208" i="14"/>
  <c r="CA89" i="2" a="1"/>
  <c r="CA89" i="2"/>
  <c r="P262" i="10"/>
  <c r="R98" i="14"/>
  <c r="R242" i="14"/>
  <c r="R32" i="14"/>
  <c r="CM18" i="2" a="1"/>
  <c r="CM18" i="2"/>
  <c r="R32" i="10"/>
  <c r="CM39" i="2" a="1"/>
  <c r="CM39" i="2"/>
  <c r="R217" i="10"/>
  <c r="T62" i="14"/>
  <c r="AK1" i="2"/>
  <c r="N119" i="14"/>
  <c r="T305" i="14"/>
  <c r="BU86" i="2" a="1"/>
  <c r="BU86" i="2"/>
  <c r="O53" i="10"/>
  <c r="CS39" i="2" a="1"/>
  <c r="CS39" i="2"/>
  <c r="S224" i="10"/>
  <c r="CM25" i="2" a="1"/>
  <c r="CM25" i="2"/>
  <c r="R193" i="10"/>
  <c r="C193" i="10"/>
  <c r="I193" i="3"/>
  <c r="K193" i="3"/>
  <c r="R340" i="14"/>
  <c r="O143" i="14"/>
  <c r="CM74" i="2" a="1"/>
  <c r="CM74" i="2"/>
  <c r="R58" i="10"/>
  <c r="S48" i="14"/>
  <c r="M332" i="14"/>
  <c r="S56" i="14"/>
  <c r="T60" i="14"/>
  <c r="CM40" i="2" a="1"/>
  <c r="CM40" i="2"/>
  <c r="R349" i="10"/>
  <c r="C349" i="10"/>
  <c r="I349" i="3"/>
  <c r="K349" i="3"/>
  <c r="CM57" i="2" a="1"/>
  <c r="CM57" i="2"/>
  <c r="R175" i="10"/>
  <c r="R30" i="14"/>
  <c r="R329" i="14"/>
  <c r="R48" i="14"/>
  <c r="CM30" i="2" a="1"/>
  <c r="CM30" i="2"/>
  <c r="CM42" i="2" a="1"/>
  <c r="CM42" i="2"/>
  <c r="R128" i="10"/>
  <c r="CS51" i="2" a="1"/>
  <c r="CS51" i="2"/>
  <c r="CY58" i="2" a="1"/>
  <c r="CY58" i="2"/>
  <c r="T137" i="10"/>
  <c r="CS29" i="2" a="1"/>
  <c r="CS29" i="2"/>
  <c r="S66" i="10"/>
  <c r="T58" i="14"/>
  <c r="CM29" i="2" a="1"/>
  <c r="CM29" i="2"/>
  <c r="R88" i="10"/>
  <c r="BU36" i="2" a="1"/>
  <c r="BU36" i="2"/>
  <c r="O32" i="10"/>
  <c r="BU62" i="2" a="1"/>
  <c r="BU62" i="2"/>
  <c r="O94" i="10"/>
  <c r="O94" i="14"/>
  <c r="CS52" i="2" a="1"/>
  <c r="CS52" i="2"/>
  <c r="S148" i="10"/>
  <c r="CS57" i="2" a="1"/>
  <c r="CS57" i="2"/>
  <c r="S143" i="10"/>
  <c r="CS21" i="2" a="1"/>
  <c r="CS21" i="2"/>
  <c r="S347" i="10"/>
  <c r="T217" i="14"/>
  <c r="S98" i="14"/>
  <c r="CM52" i="2" a="1"/>
  <c r="CM52" i="2"/>
  <c r="R137" i="10"/>
  <c r="R350" i="14"/>
  <c r="T164" i="14"/>
  <c r="CM53" i="2" a="1"/>
  <c r="CM53" i="2"/>
  <c r="O7" i="14"/>
  <c r="O210" i="14"/>
  <c r="O301" i="14"/>
  <c r="O335" i="14"/>
  <c r="BU66" i="2" a="1"/>
  <c r="BU66" i="2"/>
  <c r="O211" i="10"/>
  <c r="O55" i="14"/>
  <c r="O49" i="14"/>
  <c r="O87" i="14"/>
  <c r="BU9" i="2" a="1"/>
  <c r="BU9" i="2"/>
  <c r="O208" i="10"/>
  <c r="O324" i="14"/>
  <c r="BU45" i="2" a="1"/>
  <c r="BU45" i="2"/>
  <c r="O324" i="10"/>
  <c r="BU57" i="2" a="1"/>
  <c r="BU57" i="2"/>
  <c r="O18" i="10"/>
  <c r="BU75" i="2" a="1"/>
  <c r="BU75" i="2"/>
  <c r="O23" i="10"/>
  <c r="R37" i="14"/>
  <c r="S140" i="14"/>
  <c r="CS26" i="2" a="1"/>
  <c r="CS26" i="2"/>
  <c r="S140" i="10"/>
  <c r="S58" i="14"/>
  <c r="CS61" i="2" a="1"/>
  <c r="CS61" i="2"/>
  <c r="S58" i="10"/>
  <c r="CM15" i="2" a="1"/>
  <c r="CM15" i="2"/>
  <c r="R290" i="10"/>
  <c r="CM12" i="2" a="1"/>
  <c r="CM12" i="2"/>
  <c r="R87" i="10"/>
  <c r="BU56" i="2" a="1"/>
  <c r="BU56" i="2"/>
  <c r="O95" i="10"/>
  <c r="O95" i="14"/>
  <c r="Y13" i="2" a="1"/>
  <c r="Y13" i="2"/>
  <c r="G14" i="10"/>
  <c r="CS22" i="2" a="1"/>
  <c r="CS22" i="2"/>
  <c r="S127" i="10"/>
  <c r="CS50" i="2" a="1"/>
  <c r="CS50" i="2"/>
  <c r="S242" i="10"/>
  <c r="CS54" i="2" a="1"/>
  <c r="CS54" i="2"/>
  <c r="S40" i="10"/>
  <c r="CS13" i="2" a="1"/>
  <c r="CS13" i="2"/>
  <c r="S49" i="10"/>
  <c r="S230" i="14"/>
  <c r="CS27" i="2" a="1"/>
  <c r="CS27" i="2"/>
  <c r="S256" i="10"/>
  <c r="P264" i="14"/>
  <c r="CA79" i="2" a="1"/>
  <c r="CA79" i="2"/>
  <c r="P264" i="10"/>
  <c r="S198" i="14"/>
  <c r="C198" i="14"/>
  <c r="S343" i="14"/>
  <c r="O89" i="14"/>
  <c r="C89" i="14"/>
  <c r="O103" i="14"/>
  <c r="R172" i="14"/>
  <c r="C172" i="14"/>
  <c r="S39" i="14"/>
  <c r="BC69" i="2" a="1"/>
  <c r="BC69" i="2"/>
  <c r="L57" i="10"/>
  <c r="K259" i="14"/>
  <c r="CS56" i="2" a="1"/>
  <c r="CS56" i="2"/>
  <c r="S77" i="10"/>
  <c r="C77" i="10"/>
  <c r="I77" i="3"/>
  <c r="K77" i="3"/>
  <c r="T69" i="14"/>
  <c r="CM44" i="2" a="1"/>
  <c r="CM44" i="2"/>
  <c r="R182" i="10"/>
  <c r="CM1" i="2"/>
  <c r="BU28" i="2" a="1"/>
  <c r="BU28" i="2"/>
  <c r="O48" i="10"/>
  <c r="O48" i="14"/>
  <c r="CS34" i="2" a="1"/>
  <c r="CS34" i="2"/>
  <c r="S226" i="10"/>
  <c r="S333" i="14"/>
  <c r="R41" i="14"/>
  <c r="O268" i="14"/>
  <c r="CS12" i="2" a="1"/>
  <c r="CS12" i="2"/>
  <c r="S30" i="10"/>
  <c r="O322" i="14"/>
  <c r="CS30" i="2" a="1"/>
  <c r="CS30" i="2"/>
  <c r="S101" i="10"/>
  <c r="BU90" i="2" a="1"/>
  <c r="BU90" i="2"/>
  <c r="CA76" i="2" a="1"/>
  <c r="CA76" i="2"/>
  <c r="P57" i="10"/>
  <c r="AW4" i="2"/>
  <c r="T340" i="14"/>
  <c r="CY11" i="2" a="1"/>
  <c r="CY11" i="2"/>
  <c r="T14" i="10"/>
  <c r="T92" i="14"/>
  <c r="T265" i="14"/>
  <c r="CY31" i="2" a="1"/>
  <c r="CY31" i="2"/>
  <c r="T222" i="10"/>
  <c r="CY50" i="2" a="1"/>
  <c r="CY50" i="2"/>
  <c r="T325" i="10"/>
  <c r="T343" i="14"/>
  <c r="CY15" i="2" a="1"/>
  <c r="CY15" i="2"/>
  <c r="T341" i="10"/>
  <c r="CY8" i="2" a="1"/>
  <c r="CY8" i="2"/>
  <c r="T265" i="10"/>
  <c r="CY54" i="2" a="1"/>
  <c r="CY54" i="2"/>
  <c r="T62" i="10"/>
  <c r="CM58" i="2" a="1"/>
  <c r="CM58" i="2"/>
  <c r="R62" i="10"/>
  <c r="R62" i="14"/>
  <c r="S279" i="14"/>
  <c r="R325" i="14"/>
  <c r="CY24" i="2" a="1"/>
  <c r="CY24" i="2"/>
  <c r="T88" i="10"/>
  <c r="CM37" i="2" a="1"/>
  <c r="CM37" i="2"/>
  <c r="R329" i="10"/>
  <c r="J239" i="14"/>
  <c r="CM59" i="2" a="1"/>
  <c r="CM59" i="2"/>
  <c r="CM72" i="2" a="1"/>
  <c r="CM72" i="2"/>
  <c r="R350" i="10"/>
  <c r="CM49" i="2" a="1"/>
  <c r="CM49" i="2"/>
  <c r="R84" i="10"/>
  <c r="CA82" i="2" a="1"/>
  <c r="CA82" i="2"/>
  <c r="P50" i="10"/>
  <c r="T221" i="14"/>
  <c r="C221" i="14"/>
  <c r="CY35" i="2" a="1"/>
  <c r="CY35" i="2"/>
  <c r="T35" i="10"/>
  <c r="R76" i="14"/>
  <c r="BU98" i="2" a="1"/>
  <c r="BU98" i="2"/>
  <c r="O22" i="10"/>
  <c r="CM34" i="2" a="1"/>
  <c r="CM34" i="2"/>
  <c r="R333" i="10"/>
  <c r="O66" i="14"/>
  <c r="BU96" i="2" a="1"/>
  <c r="BU96" i="2"/>
  <c r="F61" i="14"/>
  <c r="S75" i="2" a="1"/>
  <c r="S75" i="2"/>
  <c r="F61" i="10"/>
  <c r="F149" i="14"/>
  <c r="S77" i="2" a="1"/>
  <c r="S77" i="2"/>
  <c r="F149" i="10"/>
  <c r="F113" i="14"/>
  <c r="C113" i="14"/>
  <c r="S107" i="2" a="1"/>
  <c r="S107" i="2"/>
  <c r="F113" i="10"/>
  <c r="C113" i="10"/>
  <c r="I113" i="3"/>
  <c r="F335" i="14"/>
  <c r="S25" i="2" a="1"/>
  <c r="S25" i="2"/>
  <c r="F335" i="10"/>
  <c r="F179" i="14"/>
  <c r="S12" i="2" a="1"/>
  <c r="S12" i="2"/>
  <c r="F179" i="10"/>
  <c r="BI68" i="2" a="1"/>
  <c r="BI68" i="2"/>
  <c r="M290" i="10"/>
  <c r="M290" i="14"/>
  <c r="M282" i="14"/>
  <c r="BI36" i="2" a="1"/>
  <c r="BI36" i="2"/>
  <c r="BI28" i="2" a="1"/>
  <c r="BI28" i="2"/>
  <c r="BI73" i="2" a="1"/>
  <c r="BI73" i="2"/>
  <c r="M175" i="10"/>
  <c r="M175" i="14"/>
  <c r="J177" i="14"/>
  <c r="AQ74" i="2" a="1"/>
  <c r="AQ74" i="2"/>
  <c r="J177" i="10"/>
  <c r="J26" i="14"/>
  <c r="AQ75" i="2" a="1"/>
  <c r="AQ75" i="2"/>
  <c r="J26" i="10"/>
  <c r="AQ26" i="2" a="1"/>
  <c r="AQ26" i="2"/>
  <c r="J57" i="10"/>
  <c r="J57" i="14"/>
  <c r="G281" i="14"/>
  <c r="Y70" i="2" a="1"/>
  <c r="Y70" i="2"/>
  <c r="Y10" i="2" a="1"/>
  <c r="Y10" i="2"/>
  <c r="G39" i="10"/>
  <c r="G39" i="14"/>
  <c r="G37" i="14"/>
  <c r="Y74" i="2" a="1"/>
  <c r="Y74" i="2"/>
  <c r="G37" i="10"/>
  <c r="J45" i="14"/>
  <c r="D173" i="14"/>
  <c r="E25" i="14"/>
  <c r="M47" i="2" a="1"/>
  <c r="M47" i="2"/>
  <c r="E25" i="10"/>
  <c r="AE41" i="2" a="1"/>
  <c r="AE41" i="2"/>
  <c r="H182" i="10"/>
  <c r="H182" i="14"/>
  <c r="AE1" i="2"/>
  <c r="H17" i="14"/>
  <c r="AE76" i="2" a="1"/>
  <c r="AE76" i="2"/>
  <c r="H47" i="10"/>
  <c r="H348" i="14"/>
  <c r="H230" i="14"/>
  <c r="H47" i="14"/>
  <c r="AE73" i="2" a="1"/>
  <c r="AE73" i="2"/>
  <c r="H16" i="14"/>
  <c r="AE30" i="2" a="1"/>
  <c r="AE30" i="2"/>
  <c r="AE16" i="2" a="1"/>
  <c r="AE16" i="2"/>
  <c r="H140" i="10"/>
  <c r="AE53" i="2" a="1"/>
  <c r="AE53" i="2"/>
  <c r="H176" i="10"/>
  <c r="AE45" i="2" a="1"/>
  <c r="AE45" i="2"/>
  <c r="H102" i="10"/>
  <c r="AE9" i="2" a="1"/>
  <c r="AE9" i="2"/>
  <c r="H322" i="10"/>
  <c r="H283" i="14"/>
  <c r="H63" i="14"/>
  <c r="AE27" i="2" a="1"/>
  <c r="AE27" i="2"/>
  <c r="H348" i="10"/>
  <c r="AE21" i="2" a="1"/>
  <c r="AE21" i="2"/>
  <c r="H63" i="10"/>
  <c r="H347" i="14"/>
  <c r="AE32" i="2" a="1"/>
  <c r="AE32" i="2"/>
  <c r="H152" i="10"/>
  <c r="AE75" i="2" a="1"/>
  <c r="AE75" i="2"/>
  <c r="H73" i="10"/>
  <c r="AE20" i="2" a="1"/>
  <c r="AE20" i="2"/>
  <c r="H15" i="14"/>
  <c r="AE43" i="2" a="1"/>
  <c r="AE43" i="2"/>
  <c r="AE63" i="2" a="1"/>
  <c r="AE63" i="2"/>
  <c r="H16" i="10"/>
  <c r="AE36" i="2" a="1"/>
  <c r="AE36" i="2"/>
  <c r="H347" i="10"/>
  <c r="H73" i="14"/>
  <c r="AE60" i="2" a="1"/>
  <c r="AE60" i="2"/>
  <c r="H177" i="10"/>
  <c r="AE50" i="2" a="1"/>
  <c r="AE50" i="2"/>
  <c r="H15" i="10"/>
  <c r="H305" i="14"/>
  <c r="H102" i="14"/>
  <c r="AE25" i="2" a="1"/>
  <c r="AE25" i="2"/>
  <c r="H325" i="10"/>
  <c r="AE8" i="2" a="1"/>
  <c r="AE8" i="2"/>
  <c r="H17" i="10"/>
  <c r="AE34" i="2" a="1"/>
  <c r="AE34" i="2"/>
  <c r="H229" i="10"/>
  <c r="H140" i="14"/>
  <c r="E28" i="14"/>
  <c r="M29" i="2" a="1"/>
  <c r="M29" i="2"/>
  <c r="E28" i="10"/>
  <c r="E251" i="14"/>
  <c r="M86" i="2" a="1"/>
  <c r="M86" i="2"/>
  <c r="E251" i="10"/>
  <c r="M35" i="2" a="1"/>
  <c r="M35" i="2"/>
  <c r="E37" i="10"/>
  <c r="E37" i="14"/>
  <c r="E39" i="14"/>
  <c r="M22" i="2" a="1"/>
  <c r="M22" i="2"/>
  <c r="E39" i="10"/>
  <c r="AK83" i="2" a="1"/>
  <c r="AK83" i="2"/>
  <c r="I199" i="10"/>
  <c r="I199" i="14"/>
  <c r="I203" i="14"/>
  <c r="C203" i="14"/>
  <c r="AK82" i="2" a="1"/>
  <c r="AK82" i="2"/>
  <c r="I203" i="10"/>
  <c r="C203" i="10"/>
  <c r="I203" i="3"/>
  <c r="AK15" i="2" a="1"/>
  <c r="AK15" i="2"/>
  <c r="I179" i="10"/>
  <c r="I179" i="14"/>
  <c r="AK34" i="2" a="1"/>
  <c r="AK34" i="2"/>
  <c r="I338" i="10"/>
  <c r="I338" i="14"/>
  <c r="AK16" i="2" a="1"/>
  <c r="AK16" i="2"/>
  <c r="I38" i="10"/>
  <c r="I38" i="14"/>
  <c r="G101" i="14"/>
  <c r="M347" i="14"/>
  <c r="F78" i="14"/>
  <c r="D312" i="14"/>
  <c r="D22" i="14"/>
  <c r="F159" i="14"/>
  <c r="AQ80" i="2" a="1"/>
  <c r="AQ80" i="2"/>
  <c r="J78" i="10"/>
  <c r="J282" i="14"/>
  <c r="BI71" i="2" a="1"/>
  <c r="BI71" i="2"/>
  <c r="M229" i="10"/>
  <c r="F281" i="14"/>
  <c r="BO84" i="2" a="1"/>
  <c r="BO84" i="2"/>
  <c r="N23" i="10"/>
  <c r="N333" i="14"/>
  <c r="BO16" i="2" a="1"/>
  <c r="BO16" i="2"/>
  <c r="N210" i="10"/>
  <c r="BO61" i="2" a="1"/>
  <c r="BO61" i="2"/>
  <c r="N63" i="10"/>
  <c r="N334" i="14"/>
  <c r="N325" i="14"/>
  <c r="BO54" i="2" a="1"/>
  <c r="BO54" i="2"/>
  <c r="N341" i="10"/>
  <c r="D204" i="14"/>
  <c r="G41" i="2" a="1"/>
  <c r="G41" i="2"/>
  <c r="D204" i="10"/>
  <c r="J250" i="14"/>
  <c r="AQ53" i="2" a="1"/>
  <c r="AQ53" i="2"/>
  <c r="J250" i="10"/>
  <c r="AE57" i="2" a="1"/>
  <c r="AE57" i="2"/>
  <c r="H53" i="10"/>
  <c r="H53" i="14"/>
  <c r="I25" i="14"/>
  <c r="AK51" i="2" a="1"/>
  <c r="AK51" i="2"/>
  <c r="I25" i="10"/>
  <c r="D114" i="14"/>
  <c r="J78" i="14"/>
  <c r="G21" i="2" a="1"/>
  <c r="G21" i="2"/>
  <c r="D11" i="10"/>
  <c r="D11" i="14"/>
  <c r="AQ87" i="2" a="1"/>
  <c r="AQ87" i="2"/>
  <c r="J217" i="10"/>
  <c r="J217" i="14"/>
  <c r="AE39" i="2" a="1"/>
  <c r="AE39" i="2"/>
  <c r="H343" i="10"/>
  <c r="H343" i="14"/>
  <c r="E124" i="14"/>
  <c r="C124" i="14"/>
  <c r="M90" i="2" a="1"/>
  <c r="M90" i="2"/>
  <c r="E124" i="10"/>
  <c r="C124" i="10"/>
  <c r="I124" i="3"/>
  <c r="I260" i="14"/>
  <c r="AK18" i="2" a="1"/>
  <c r="AK18" i="2"/>
  <c r="I260" i="10"/>
  <c r="J232" i="14"/>
  <c r="C232" i="14"/>
  <c r="AQ82" i="2" a="1"/>
  <c r="AQ82" i="2"/>
  <c r="J17" i="10"/>
  <c r="J17" i="14"/>
  <c r="BI4" i="2"/>
  <c r="BI1" i="2"/>
  <c r="F352" i="14"/>
  <c r="H62" i="14"/>
  <c r="AE23" i="2" a="1"/>
  <c r="AE23" i="2"/>
  <c r="H62" i="10"/>
  <c r="F137" i="14"/>
  <c r="I180" i="14"/>
  <c r="AK47" i="2" a="1"/>
  <c r="AK47" i="2"/>
  <c r="I14" i="10"/>
  <c r="I62" i="14"/>
  <c r="I220" i="14"/>
  <c r="AK31" i="2" a="1"/>
  <c r="AK31" i="2"/>
  <c r="I62" i="10"/>
  <c r="AK8" i="2" a="1"/>
  <c r="AK8" i="2"/>
  <c r="I180" i="10"/>
  <c r="I68" i="14"/>
  <c r="AK30" i="2" a="1"/>
  <c r="AK30" i="2"/>
  <c r="I220" i="10"/>
  <c r="AK85" i="2" a="1"/>
  <c r="AK85" i="2"/>
  <c r="I6" i="10"/>
  <c r="AK63" i="2" a="1"/>
  <c r="AK63" i="2"/>
  <c r="I333" i="10"/>
  <c r="I6" i="14"/>
  <c r="AK39" i="2" a="1"/>
  <c r="AK39" i="2"/>
  <c r="I68" i="10"/>
  <c r="AK67" i="2" a="1"/>
  <c r="AK67" i="2"/>
  <c r="I159" i="10"/>
  <c r="D32" i="14"/>
  <c r="F99" i="14"/>
  <c r="S78" i="2" a="1"/>
  <c r="S78" i="2"/>
  <c r="F99" i="10"/>
  <c r="F109" i="14"/>
  <c r="AQ97" i="2" a="1"/>
  <c r="AQ97" i="2"/>
  <c r="J146" i="10"/>
  <c r="J146" i="14"/>
  <c r="H21" i="14"/>
  <c r="AE69" i="2" a="1"/>
  <c r="AE69" i="2"/>
  <c r="H21" i="10"/>
  <c r="E306" i="14"/>
  <c r="M28" i="2" a="1"/>
  <c r="M28" i="2"/>
  <c r="E306" i="10"/>
  <c r="AK21" i="2" a="1"/>
  <c r="AK21" i="2"/>
  <c r="I75" i="10"/>
  <c r="I75" i="14"/>
  <c r="H282" i="14"/>
  <c r="D307" i="14"/>
  <c r="J40" i="14"/>
  <c r="F297" i="14"/>
  <c r="K239" i="14"/>
  <c r="AW50" i="2" a="1"/>
  <c r="AW50" i="2"/>
  <c r="K239" i="10"/>
  <c r="G1" i="2"/>
  <c r="BI58" i="2" a="1"/>
  <c r="BI58" i="2"/>
  <c r="M268" i="10"/>
  <c r="M268" i="14"/>
  <c r="M230" i="14"/>
  <c r="F304" i="14"/>
  <c r="L101" i="14"/>
  <c r="M36" i="2" a="1"/>
  <c r="M36" i="2"/>
  <c r="E34" i="10"/>
  <c r="E34" i="14"/>
  <c r="I120" i="14"/>
  <c r="AK86" i="2" a="1"/>
  <c r="AK86" i="2"/>
  <c r="I120" i="10"/>
  <c r="D152" i="14"/>
  <c r="BI87" i="2" a="1"/>
  <c r="BI87" i="2"/>
  <c r="M58" i="10"/>
  <c r="M58" i="14"/>
  <c r="F331" i="14"/>
  <c r="G15" i="14"/>
  <c r="Y33" i="2" a="1"/>
  <c r="Y33" i="2"/>
  <c r="G15" i="10"/>
  <c r="BC21" i="2" a="1"/>
  <c r="BC21" i="2"/>
  <c r="L39" i="10"/>
  <c r="Y27" i="2" a="1"/>
  <c r="Y27" i="2"/>
  <c r="G48" i="10"/>
  <c r="H56" i="14"/>
  <c r="AE58" i="2" a="1"/>
  <c r="AE58" i="2"/>
  <c r="H56" i="10"/>
  <c r="M19" i="2" a="1"/>
  <c r="M19" i="2"/>
  <c r="E230" i="10"/>
  <c r="E230" i="14"/>
  <c r="E48" i="14"/>
  <c r="M85" i="2" a="1"/>
  <c r="M85" i="2"/>
  <c r="E48" i="10"/>
  <c r="H92" i="14"/>
  <c r="G40" i="2" a="1"/>
  <c r="G40" i="2"/>
  <c r="D119" i="10"/>
  <c r="I290" i="14"/>
  <c r="AK27" i="2" a="1"/>
  <c r="AK27" i="2"/>
  <c r="I290" i="10"/>
  <c r="I347" i="14"/>
  <c r="AK48" i="2" a="1"/>
  <c r="AK48" i="2"/>
  <c r="I347" i="10"/>
  <c r="J133" i="14"/>
  <c r="H177" i="14"/>
  <c r="M348" i="14"/>
  <c r="G105" i="2" a="1"/>
  <c r="G105" i="2"/>
  <c r="D55" i="10"/>
  <c r="BI26" i="2" a="1"/>
  <c r="BI26" i="2"/>
  <c r="AQ57" i="2" a="1"/>
  <c r="AQ57" i="2"/>
  <c r="J43" i="10"/>
  <c r="K348" i="14"/>
  <c r="N187" i="14"/>
  <c r="BO79" i="2" a="1"/>
  <c r="BO79" i="2"/>
  <c r="N197" i="10"/>
  <c r="N53" i="14"/>
  <c r="N41" i="14"/>
  <c r="N9" i="14"/>
  <c r="F54" i="14"/>
  <c r="S56" i="2" a="1"/>
  <c r="S56" i="2"/>
  <c r="F54" i="10"/>
  <c r="AW101" i="2" a="1"/>
  <c r="AW101" i="2"/>
  <c r="K94" i="10"/>
  <c r="K94" i="14"/>
  <c r="G16" i="2" a="1"/>
  <c r="G16" i="2"/>
  <c r="D9" i="10"/>
  <c r="D9" i="14"/>
  <c r="D216" i="14"/>
  <c r="G108" i="2" a="1"/>
  <c r="G108" i="2"/>
  <c r="D216" i="10"/>
  <c r="F343" i="14"/>
  <c r="S21" i="2" a="1"/>
  <c r="S21" i="2"/>
  <c r="F343" i="10"/>
  <c r="K334" i="14"/>
  <c r="BI91" i="2" a="1"/>
  <c r="BI91" i="2"/>
  <c r="M211" i="10"/>
  <c r="M211" i="14"/>
  <c r="M277" i="14"/>
  <c r="BI69" i="2" a="1"/>
  <c r="BI69" i="2"/>
  <c r="M277" i="10"/>
  <c r="BI37" i="2" a="1"/>
  <c r="BI37" i="2"/>
  <c r="M220" i="10"/>
  <c r="M220" i="14"/>
  <c r="J306" i="14"/>
  <c r="AQ84" i="2" a="1"/>
  <c r="AQ84" i="2"/>
  <c r="J306" i="10"/>
  <c r="J260" i="14"/>
  <c r="AQ79" i="2" a="1"/>
  <c r="AQ79" i="2"/>
  <c r="J260" i="10"/>
  <c r="J322" i="14"/>
  <c r="AQ43" i="2" a="1"/>
  <c r="AQ43" i="2"/>
  <c r="J322" i="10"/>
  <c r="Y38" i="2" a="1"/>
  <c r="Y38" i="2"/>
  <c r="G291" i="10"/>
  <c r="G291" i="14"/>
  <c r="Y24" i="2" a="1"/>
  <c r="Y24" i="2"/>
  <c r="G306" i="14"/>
  <c r="Y37" i="2" a="1"/>
  <c r="Y37" i="2"/>
  <c r="G53" i="10"/>
  <c r="G53" i="14"/>
  <c r="G222" i="14"/>
  <c r="Y76" i="2" a="1"/>
  <c r="Y76" i="2"/>
  <c r="G222" i="10"/>
  <c r="H49" i="14"/>
  <c r="AE40" i="2" a="1"/>
  <c r="AE40" i="2"/>
  <c r="H49" i="10"/>
  <c r="L228" i="14"/>
  <c r="C228" i="14"/>
  <c r="E92" i="14"/>
  <c r="M87" i="2" a="1"/>
  <c r="M87" i="2"/>
  <c r="E92" i="10"/>
  <c r="AE11" i="2" a="1"/>
  <c r="AE11" i="2"/>
  <c r="H40" i="10"/>
  <c r="H40" i="14"/>
  <c r="H37" i="14"/>
  <c r="AE29" i="2" a="1"/>
  <c r="AE29" i="2"/>
  <c r="H37" i="10"/>
  <c r="AE59" i="2" a="1"/>
  <c r="AE59" i="2"/>
  <c r="H59" i="10"/>
  <c r="H59" i="14"/>
  <c r="E329" i="14"/>
  <c r="M48" i="2" a="1"/>
  <c r="M48" i="2"/>
  <c r="E329" i="10"/>
  <c r="M15" i="2" a="1"/>
  <c r="M15" i="2"/>
  <c r="E290" i="14"/>
  <c r="E335" i="14"/>
  <c r="M95" i="2" a="1"/>
  <c r="M95" i="2"/>
  <c r="E335" i="10"/>
  <c r="M93" i="2" a="1"/>
  <c r="M93" i="2"/>
  <c r="E177" i="10"/>
  <c r="E177" i="14"/>
  <c r="D119" i="14"/>
  <c r="AK19" i="2" a="1"/>
  <c r="AK19" i="2"/>
  <c r="I137" i="10"/>
  <c r="I137" i="14"/>
  <c r="I23" i="14"/>
  <c r="AK61" i="2" a="1"/>
  <c r="AK61" i="2"/>
  <c r="I23" i="10"/>
  <c r="I98" i="14"/>
  <c r="AK38" i="2" a="1"/>
  <c r="AK38" i="2"/>
  <c r="I98" i="10"/>
  <c r="I343" i="14"/>
  <c r="AK79" i="2" a="1"/>
  <c r="AK79" i="2"/>
  <c r="I343" i="10"/>
  <c r="H176" i="14"/>
  <c r="BO20" i="2" a="1"/>
  <c r="BO20" i="2"/>
  <c r="N16" i="10"/>
  <c r="N16" i="14"/>
  <c r="BC4" i="2"/>
  <c r="I14" i="14"/>
  <c r="D259" i="14"/>
  <c r="M299" i="14"/>
  <c r="J129" i="14"/>
  <c r="AQ54" i="2" a="1"/>
  <c r="AQ54" i="2"/>
  <c r="J45" i="10"/>
  <c r="AW98" i="2" a="1"/>
  <c r="AW98" i="2"/>
  <c r="K208" i="10"/>
  <c r="I159" i="14"/>
  <c r="N347" i="14"/>
  <c r="N177" i="14"/>
  <c r="BO66" i="2" a="1"/>
  <c r="BO66" i="2"/>
  <c r="N264" i="10"/>
  <c r="BO67" i="2" a="1"/>
  <c r="BO67" i="2"/>
  <c r="N182" i="10"/>
  <c r="N36" i="14"/>
  <c r="N353" i="14"/>
  <c r="BO93" i="2" a="1"/>
  <c r="BO93" i="2"/>
  <c r="N9" i="10"/>
  <c r="H42" i="14"/>
  <c r="F68" i="14"/>
  <c r="S51" i="2" a="1"/>
  <c r="S51" i="2"/>
  <c r="F68" i="10"/>
  <c r="E180" i="14"/>
  <c r="M78" i="2" a="1"/>
  <c r="M78" i="2"/>
  <c r="E180" i="10"/>
  <c r="F333" i="14"/>
  <c r="I182" i="14"/>
  <c r="AK40" i="2" a="1"/>
  <c r="AK40" i="2"/>
  <c r="I182" i="10"/>
  <c r="BI38" i="2" a="1"/>
  <c r="BI38" i="2"/>
  <c r="M177" i="10"/>
  <c r="M177" i="14"/>
  <c r="F111" i="14"/>
  <c r="I304" i="14"/>
  <c r="AK75" i="2" a="1"/>
  <c r="AK75" i="2"/>
  <c r="I304" i="10"/>
  <c r="D208" i="14"/>
  <c r="S35" i="2" a="1"/>
  <c r="S35" i="2"/>
  <c r="F63" i="10"/>
  <c r="F63" i="14"/>
  <c r="AQ90" i="2" a="1"/>
  <c r="AQ90" i="2"/>
  <c r="J287" i="10"/>
  <c r="J287" i="14"/>
  <c r="E197" i="14"/>
  <c r="M83" i="2" a="1"/>
  <c r="M83" i="2"/>
  <c r="E197" i="10"/>
  <c r="J272" i="14"/>
  <c r="BI14" i="2" a="1"/>
  <c r="BI14" i="2"/>
  <c r="M17" i="10"/>
  <c r="M17" i="14"/>
  <c r="E149" i="14"/>
  <c r="M45" i="2" a="1"/>
  <c r="M45" i="2"/>
  <c r="E149" i="10"/>
  <c r="M59" i="2" a="1"/>
  <c r="M59" i="2"/>
  <c r="E18" i="10"/>
  <c r="E18" i="14"/>
  <c r="K23" i="14"/>
  <c r="D319" i="14"/>
  <c r="D159" i="14"/>
  <c r="G113" i="2" a="1"/>
  <c r="G113" i="2"/>
  <c r="D159" i="10"/>
  <c r="J182" i="14"/>
  <c r="AQ93" i="2" a="1"/>
  <c r="AQ93" i="2"/>
  <c r="J182" i="10"/>
  <c r="E35" i="14"/>
  <c r="M92" i="2" a="1"/>
  <c r="M92" i="2"/>
  <c r="E35" i="10"/>
  <c r="G333" i="14"/>
  <c r="I329" i="14"/>
  <c r="AK9" i="2" a="1"/>
  <c r="AK9" i="2"/>
  <c r="I329" i="10"/>
  <c r="D247" i="14"/>
  <c r="C247" i="14"/>
  <c r="BI27" i="2" a="1"/>
  <c r="BI27" i="2"/>
  <c r="M25" i="10"/>
  <c r="AQ16" i="2" a="1"/>
  <c r="AQ16" i="2"/>
  <c r="J6" i="10"/>
  <c r="AW17" i="2" a="1"/>
  <c r="AW17" i="2"/>
  <c r="K304" i="10"/>
  <c r="K304" i="14"/>
  <c r="M345" i="14"/>
  <c r="BI70" i="2" a="1"/>
  <c r="BI70" i="2"/>
  <c r="M345" i="10"/>
  <c r="Y66" i="2" a="1"/>
  <c r="Y66" i="2"/>
  <c r="G243" i="10"/>
  <c r="G243" i="14"/>
  <c r="G312" i="14"/>
  <c r="Y12" i="2" a="1"/>
  <c r="Y12" i="2"/>
  <c r="H27" i="14"/>
  <c r="AE47" i="2" a="1"/>
  <c r="AE47" i="2"/>
  <c r="H27" i="10"/>
  <c r="AE64" i="2" a="1"/>
  <c r="AE64" i="2"/>
  <c r="H61" i="10"/>
  <c r="H61" i="14"/>
  <c r="E129" i="14"/>
  <c r="M63" i="2" a="1"/>
  <c r="M63" i="2"/>
  <c r="E129" i="10"/>
  <c r="E140" i="14"/>
  <c r="M10" i="2" a="1"/>
  <c r="M10" i="2"/>
  <c r="E140" i="10"/>
  <c r="AK60" i="2" a="1"/>
  <c r="AK60" i="2"/>
  <c r="I282" i="14"/>
  <c r="AK29" i="2" a="1"/>
  <c r="AK29" i="2"/>
  <c r="N145" i="14"/>
  <c r="BO90" i="2" a="1"/>
  <c r="BO90" i="2"/>
  <c r="N145" i="10"/>
  <c r="D55" i="14"/>
  <c r="J159" i="14"/>
  <c r="N220" i="14"/>
  <c r="F62" i="14"/>
  <c r="S20" i="2" a="1"/>
  <c r="S20" i="2"/>
  <c r="F62" i="10"/>
  <c r="AW59" i="2" a="1"/>
  <c r="AW59" i="2"/>
  <c r="K222" i="10"/>
  <c r="K222" i="14"/>
  <c r="D45" i="14"/>
  <c r="G28" i="2" a="1"/>
  <c r="G28" i="2"/>
  <c r="D163" i="14"/>
  <c r="D236" i="14"/>
  <c r="D306" i="14"/>
  <c r="G34" i="2" a="1"/>
  <c r="G34" i="2"/>
  <c r="D208" i="10"/>
  <c r="G77" i="2" a="1"/>
  <c r="G77" i="2"/>
  <c r="D222" i="10"/>
  <c r="G94" i="2" a="1"/>
  <c r="G94" i="2"/>
  <c r="D114" i="10"/>
  <c r="G14" i="2" a="1"/>
  <c r="G14" i="2"/>
  <c r="D52" i="10"/>
  <c r="G9" i="2" a="1"/>
  <c r="G9" i="2"/>
  <c r="D62" i="10"/>
  <c r="G100" i="2" a="1"/>
  <c r="G100" i="2"/>
  <c r="D321" i="10"/>
  <c r="G85" i="2" a="1"/>
  <c r="G85" i="2"/>
  <c r="D236" i="10"/>
  <c r="D44" i="14"/>
  <c r="D246" i="14"/>
  <c r="D121" i="14"/>
  <c r="C121" i="14"/>
  <c r="G23" i="2" a="1"/>
  <c r="G23" i="2"/>
  <c r="D212" i="10"/>
  <c r="G98" i="2" a="1"/>
  <c r="G98" i="2"/>
  <c r="D348" i="10"/>
  <c r="G97" i="2" a="1"/>
  <c r="G97" i="2"/>
  <c r="D352" i="10"/>
  <c r="G45" i="2" a="1"/>
  <c r="G45" i="2"/>
  <c r="D61" i="10"/>
  <c r="D189" i="14"/>
  <c r="D287" i="14"/>
  <c r="D220" i="14"/>
  <c r="D182" i="14"/>
  <c r="G79" i="2" a="1"/>
  <c r="G79" i="2"/>
  <c r="D53" i="10"/>
  <c r="G95" i="2" a="1"/>
  <c r="G95" i="2"/>
  <c r="D91" i="10"/>
  <c r="C91" i="10"/>
  <c r="I91" i="3"/>
  <c r="G68" i="2" a="1"/>
  <c r="G68" i="2"/>
  <c r="D66" i="14"/>
  <c r="D15" i="14"/>
  <c r="D61" i="14"/>
  <c r="G31" i="2" a="1"/>
  <c r="G31" i="2"/>
  <c r="D173" i="10"/>
  <c r="G116" i="2" a="1"/>
  <c r="G116" i="2"/>
  <c r="D81" i="10"/>
  <c r="G115" i="2" a="1"/>
  <c r="G115" i="2"/>
  <c r="D36" i="10"/>
  <c r="D277" i="14"/>
  <c r="G101" i="2" a="1"/>
  <c r="G101" i="2"/>
  <c r="G11" i="2" a="1"/>
  <c r="G11" i="2"/>
  <c r="D140" i="10"/>
  <c r="G22" i="2" a="1"/>
  <c r="G22" i="2"/>
  <c r="D329" i="10"/>
  <c r="G65" i="2" a="1"/>
  <c r="G65" i="2"/>
  <c r="D66" i="10"/>
  <c r="G52" i="2" a="1"/>
  <c r="G52" i="2"/>
  <c r="D44" i="10"/>
  <c r="G83" i="2" a="1"/>
  <c r="G83" i="2"/>
  <c r="G66" i="2" a="1"/>
  <c r="G66" i="2"/>
  <c r="D266" i="10"/>
  <c r="G63" i="2" a="1"/>
  <c r="G63" i="2"/>
  <c r="D163" i="10"/>
  <c r="D338" i="14"/>
  <c r="D49" i="14"/>
  <c r="D34" i="14"/>
  <c r="G17" i="2" a="1"/>
  <c r="G17" i="2"/>
  <c r="D15" i="10"/>
  <c r="G8" i="2" a="1"/>
  <c r="G8" i="2"/>
  <c r="G72" i="2" a="1"/>
  <c r="G72" i="2"/>
  <c r="D65" i="10"/>
  <c r="D7" i="14"/>
  <c r="D16" i="14"/>
  <c r="G109" i="2" a="1"/>
  <c r="G109" i="2"/>
  <c r="D207" i="10"/>
  <c r="C207" i="10"/>
  <c r="I207" i="3"/>
  <c r="G102" i="2" a="1"/>
  <c r="G102" i="2"/>
  <c r="D282" i="10"/>
  <c r="G33" i="2" a="1"/>
  <c r="G33" i="2"/>
  <c r="D7" i="10"/>
  <c r="G24" i="2" a="1"/>
  <c r="G24" i="2"/>
  <c r="D191" i="10"/>
  <c r="C191" i="10"/>
  <c r="I191" i="3"/>
  <c r="G82" i="2" a="1"/>
  <c r="G82" i="2"/>
  <c r="D37" i="10"/>
  <c r="G50" i="2" a="1"/>
  <c r="G50" i="2"/>
  <c r="D178" i="10"/>
  <c r="G104" i="2" a="1"/>
  <c r="G104" i="2"/>
  <c r="D81" i="14"/>
  <c r="G89" i="2" a="1"/>
  <c r="G89" i="2"/>
  <c r="D49" i="10"/>
  <c r="D35" i="14"/>
  <c r="D222" i="14"/>
  <c r="D177" i="14"/>
  <c r="D62" i="14"/>
  <c r="D37" i="14"/>
  <c r="D24" i="14"/>
  <c r="D197" i="14"/>
  <c r="D10" i="14"/>
  <c r="G69" i="2" a="1"/>
  <c r="G69" i="2"/>
  <c r="D12" i="10"/>
  <c r="G59" i="2" a="1"/>
  <c r="G59" i="2"/>
  <c r="D46" i="10"/>
  <c r="G62" i="2" a="1"/>
  <c r="G62" i="2"/>
  <c r="D197" i="10"/>
  <c r="G74" i="2" a="1"/>
  <c r="G74" i="2"/>
  <c r="D291" i="10"/>
  <c r="D12" i="14"/>
  <c r="D13" i="14"/>
  <c r="G19" i="2" a="1"/>
  <c r="G19" i="2"/>
  <c r="D229" i="10"/>
  <c r="G51" i="2" a="1"/>
  <c r="G51" i="2"/>
  <c r="D34" i="10"/>
  <c r="G49" i="2" a="1"/>
  <c r="G49" i="2"/>
  <c r="D13" i="10"/>
  <c r="G84" i="2" a="1"/>
  <c r="G84" i="2"/>
  <c r="D73" i="10"/>
  <c r="G78" i="2" a="1"/>
  <c r="G78" i="2"/>
  <c r="D246" i="10"/>
  <c r="C246" i="10"/>
  <c r="I246" i="3"/>
  <c r="G26" i="2" a="1"/>
  <c r="G26" i="2"/>
  <c r="D56" i="10"/>
  <c r="G56" i="2" a="1"/>
  <c r="G56" i="2"/>
  <c r="D69" i="10"/>
  <c r="G106" i="2" a="1"/>
  <c r="G106" i="2"/>
  <c r="D69" i="14"/>
  <c r="G87" i="2" a="1"/>
  <c r="G87" i="2"/>
  <c r="D58" i="10"/>
  <c r="G10" i="2" a="1"/>
  <c r="G10" i="2"/>
  <c r="D338" i="10"/>
  <c r="G117" i="2" a="1"/>
  <c r="G117" i="2"/>
  <c r="G73" i="2" a="1"/>
  <c r="G73" i="2"/>
  <c r="D10" i="10"/>
  <c r="G55" i="2" a="1"/>
  <c r="G55" i="2"/>
  <c r="D182" i="10"/>
  <c r="D266" i="14"/>
  <c r="G70" i="2" a="1"/>
  <c r="G70" i="2"/>
  <c r="D141" i="10"/>
  <c r="G35" i="2" a="1"/>
  <c r="G35" i="2"/>
  <c r="D277" i="10"/>
  <c r="G32" i="2" a="1"/>
  <c r="G32" i="2"/>
  <c r="D177" i="10"/>
  <c r="G112" i="2" a="1"/>
  <c r="G112" i="2"/>
  <c r="D195" i="10"/>
  <c r="G110" i="2" a="1"/>
  <c r="G110" i="2"/>
  <c r="D24" i="10"/>
  <c r="D276" i="14"/>
  <c r="D281" i="14"/>
  <c r="G30" i="2" a="1"/>
  <c r="G30" i="2"/>
  <c r="D226" i="10"/>
  <c r="G37" i="2" a="1"/>
  <c r="G37" i="2"/>
  <c r="D42" i="10"/>
  <c r="G107" i="2" a="1"/>
  <c r="G107" i="2"/>
  <c r="D259" i="10"/>
  <c r="D58" i="14"/>
  <c r="G67" i="2" a="1"/>
  <c r="G67" i="2"/>
  <c r="D32" i="10"/>
  <c r="D56" i="14"/>
  <c r="G99" i="2" a="1"/>
  <c r="G99" i="2"/>
  <c r="D322" i="10"/>
  <c r="D146" i="14"/>
  <c r="G76" i="2" a="1"/>
  <c r="G76" i="2"/>
  <c r="D287" i="10"/>
  <c r="D36" i="14"/>
  <c r="G86" i="2" a="1"/>
  <c r="G86" i="2"/>
  <c r="D52" i="14"/>
  <c r="D53" i="14"/>
  <c r="G53" i="2" a="1"/>
  <c r="G53" i="2"/>
  <c r="G81" i="2" a="1"/>
  <c r="G81" i="2"/>
  <c r="D220" i="10"/>
  <c r="G60" i="2" a="1"/>
  <c r="G60" i="2"/>
  <c r="D35" i="10"/>
  <c r="D27" i="14"/>
  <c r="D73" i="14"/>
  <c r="G13" i="2" a="1"/>
  <c r="G13" i="2"/>
  <c r="D45" i="10"/>
  <c r="G93" i="2" a="1"/>
  <c r="G93" i="2"/>
  <c r="D255" i="10"/>
  <c r="D65" i="14"/>
  <c r="G111" i="2" a="1"/>
  <c r="G111" i="2"/>
  <c r="D196" i="10"/>
  <c r="C196" i="10"/>
  <c r="I196" i="3"/>
  <c r="G27" i="2" a="1"/>
  <c r="G27" i="2"/>
  <c r="D247" i="10"/>
  <c r="C247" i="10"/>
  <c r="I247" i="3"/>
  <c r="G90" i="2" a="1"/>
  <c r="G90" i="2"/>
  <c r="D189" i="10"/>
  <c r="G42" i="2" a="1"/>
  <c r="G42" i="2"/>
  <c r="D152" i="10"/>
  <c r="G38" i="2" a="1"/>
  <c r="G38" i="2"/>
  <c r="D234" i="10"/>
  <c r="G114" i="2" a="1"/>
  <c r="G114" i="2"/>
  <c r="D146" i="10"/>
  <c r="G47" i="2" a="1"/>
  <c r="G47" i="2"/>
  <c r="D27" i="10"/>
  <c r="G91" i="2" a="1"/>
  <c r="G91" i="2"/>
  <c r="D351" i="10"/>
  <c r="G54" i="2" a="1"/>
  <c r="G54" i="2"/>
  <c r="D16" i="10"/>
  <c r="G64" i="2" a="1"/>
  <c r="G64" i="2"/>
  <c r="D121" i="10"/>
  <c r="D290" i="14"/>
  <c r="G44" i="2" a="1"/>
  <c r="G44" i="2"/>
  <c r="F28" i="14"/>
  <c r="S59" i="2" a="1"/>
  <c r="S59" i="2"/>
  <c r="F28" i="10"/>
  <c r="F312" i="14"/>
  <c r="M311" i="14"/>
  <c r="BI51" i="2" a="1"/>
  <c r="BI51" i="2"/>
  <c r="M321" i="14"/>
  <c r="BI64" i="2" a="1"/>
  <c r="BI64" i="2"/>
  <c r="M321" i="10"/>
  <c r="K229" i="14"/>
  <c r="J100" i="14"/>
  <c r="AQ35" i="2" a="1"/>
  <c r="AQ35" i="2"/>
  <c r="J100" i="10"/>
  <c r="AQ45" i="2" a="1"/>
  <c r="AQ45" i="2"/>
  <c r="J141" i="10"/>
  <c r="J141" i="14"/>
  <c r="J58" i="14"/>
  <c r="AQ52" i="2" a="1"/>
  <c r="AQ52" i="2"/>
  <c r="J58" i="10"/>
  <c r="Y72" i="2" a="1"/>
  <c r="Y72" i="2"/>
  <c r="G212" i="10"/>
  <c r="G212" i="14"/>
  <c r="G302" i="14"/>
  <c r="Y55" i="2" a="1"/>
  <c r="Y55" i="2"/>
  <c r="G265" i="14"/>
  <c r="Y77" i="2" a="1"/>
  <c r="Y77" i="2"/>
  <c r="G265" i="10"/>
  <c r="G180" i="14"/>
  <c r="Y65" i="2" a="1"/>
  <c r="Y65" i="2"/>
  <c r="G180" i="10"/>
  <c r="H24" i="14"/>
  <c r="AE74" i="2" a="1"/>
  <c r="AE74" i="2"/>
  <c r="H24" i="10"/>
  <c r="L199" i="14"/>
  <c r="K344" i="14"/>
  <c r="H120" i="14"/>
  <c r="AE52" i="2" a="1"/>
  <c r="AE52" i="2"/>
  <c r="H120" i="10"/>
  <c r="H320" i="14"/>
  <c r="C320" i="14"/>
  <c r="AE55" i="2" a="1"/>
  <c r="AE55" i="2"/>
  <c r="H320" i="10"/>
  <c r="C320" i="10"/>
  <c r="I320" i="3"/>
  <c r="H342" i="14"/>
  <c r="AE56" i="2" a="1"/>
  <c r="AE56" i="2"/>
  <c r="H342" i="10"/>
  <c r="C342" i="10"/>
  <c r="I342" i="3"/>
  <c r="E305" i="14"/>
  <c r="M71" i="2" a="1"/>
  <c r="M71" i="2"/>
  <c r="M4" i="2"/>
  <c r="M1" i="2"/>
  <c r="M89" i="2" a="1"/>
  <c r="M89" i="2"/>
  <c r="E116" i="10"/>
  <c r="C116" i="10"/>
  <c r="I116" i="3"/>
  <c r="E116" i="14"/>
  <c r="C116" i="14"/>
  <c r="M57" i="2" a="1"/>
  <c r="M57" i="2"/>
  <c r="E163" i="10"/>
  <c r="E163" i="14"/>
  <c r="M234" i="14"/>
  <c r="F287" i="14"/>
  <c r="I197" i="14"/>
  <c r="AK84" i="2" a="1"/>
  <c r="AK84" i="2"/>
  <c r="I197" i="10"/>
  <c r="I188" i="14"/>
  <c r="AK45" i="2" a="1"/>
  <c r="AK45" i="2"/>
  <c r="I188" i="10"/>
  <c r="AK13" i="2" a="1"/>
  <c r="AK13" i="2"/>
  <c r="I306" i="14"/>
  <c r="F110" i="14"/>
  <c r="C110" i="14"/>
  <c r="BO38" i="2" a="1"/>
  <c r="BO38" i="2"/>
  <c r="N268" i="10"/>
  <c r="N268" i="14"/>
  <c r="G4" i="2"/>
  <c r="AE65" i="2" a="1"/>
  <c r="AE65" i="2"/>
  <c r="H230" i="10"/>
  <c r="D299" i="14"/>
  <c r="D178" i="14"/>
  <c r="J284" i="14"/>
  <c r="AQ91" i="2" a="1"/>
  <c r="AQ91" i="2"/>
  <c r="J44" i="10"/>
  <c r="K208" i="14"/>
  <c r="M184" i="14"/>
  <c r="BO69" i="2" a="1"/>
  <c r="BO69" i="2"/>
  <c r="N324" i="10"/>
  <c r="BO48" i="2" a="1"/>
  <c r="BO48" i="2"/>
  <c r="N208" i="10"/>
  <c r="BO62" i="2" a="1"/>
  <c r="BO62" i="2"/>
  <c r="N226" i="10"/>
  <c r="BO22" i="2" a="1"/>
  <c r="BO22" i="2"/>
  <c r="N6" i="10"/>
  <c r="N335" i="14"/>
  <c r="N55" i="14"/>
  <c r="AE71" i="2" a="1"/>
  <c r="AE71" i="2"/>
  <c r="H42" i="10"/>
  <c r="S10" i="2" a="1"/>
  <c r="S10" i="2"/>
  <c r="F17" i="10"/>
  <c r="F17" i="14"/>
  <c r="Y44" i="2" a="1"/>
  <c r="Y44" i="2"/>
  <c r="G55" i="10"/>
  <c r="G55" i="14"/>
  <c r="H284" i="14"/>
  <c r="AE78" i="2" a="1"/>
  <c r="AE78" i="2"/>
  <c r="H284" i="10"/>
  <c r="I240" i="14"/>
  <c r="AK57" i="2" a="1"/>
  <c r="AK57" i="2"/>
  <c r="I240" i="10"/>
  <c r="F177" i="14"/>
  <c r="S23" i="2" a="1"/>
  <c r="S23" i="2"/>
  <c r="F159" i="10"/>
  <c r="S27" i="2" a="1"/>
  <c r="S27" i="2"/>
  <c r="F282" i="14"/>
  <c r="J211" i="14"/>
  <c r="AQ13" i="2" a="1"/>
  <c r="AQ13" i="2"/>
  <c r="J211" i="10"/>
  <c r="F348" i="14"/>
  <c r="M56" i="2" a="1"/>
  <c r="M56" i="2"/>
  <c r="M197" i="14"/>
  <c r="BI20" i="2" a="1"/>
  <c r="BI20" i="2"/>
  <c r="M197" i="10"/>
  <c r="F237" i="14"/>
  <c r="H131" i="14"/>
  <c r="AE42" i="2" a="1"/>
  <c r="AE42" i="2"/>
  <c r="H131" i="10"/>
  <c r="AK33" i="2" a="1"/>
  <c r="AK33" i="2"/>
  <c r="I54" i="10"/>
  <c r="I54" i="14"/>
  <c r="J275" i="14"/>
  <c r="G17" i="14"/>
  <c r="F158" i="14"/>
  <c r="S73" i="2" a="1"/>
  <c r="S73" i="2"/>
  <c r="F158" i="10"/>
  <c r="F58" i="14"/>
  <c r="Y91" i="2" a="1"/>
  <c r="Y91" i="2"/>
  <c r="G338" i="10"/>
  <c r="G338" i="14"/>
  <c r="M69" i="2" a="1"/>
  <c r="M69" i="2"/>
  <c r="E316" i="14"/>
  <c r="K306" i="14"/>
  <c r="D141" i="14"/>
  <c r="AE19" i="2" a="1"/>
  <c r="AE19" i="2"/>
  <c r="H329" i="10"/>
  <c r="BC86" i="2" a="1"/>
  <c r="BC86" i="2"/>
  <c r="L56" i="10"/>
  <c r="L56" i="14"/>
  <c r="M14" i="14"/>
  <c r="BI82" i="2" a="1"/>
  <c r="BI82" i="2"/>
  <c r="M14" i="10"/>
  <c r="G325" i="14"/>
  <c r="Y87" i="2" a="1"/>
  <c r="Y87" i="2"/>
  <c r="G325" i="10"/>
  <c r="E19" i="14"/>
  <c r="M81" i="2" a="1"/>
  <c r="M81" i="2"/>
  <c r="E19" i="10"/>
  <c r="AE44" i="2" a="1"/>
  <c r="AE44" i="2"/>
  <c r="H92" i="10"/>
  <c r="L347" i="14"/>
  <c r="Y18" i="2" a="1"/>
  <c r="Y18" i="2"/>
  <c r="G18" i="10"/>
  <c r="I131" i="14"/>
  <c r="G18" i="2" a="1"/>
  <c r="G18" i="2"/>
  <c r="D251" i="10"/>
  <c r="D251" i="14"/>
  <c r="J325" i="14"/>
  <c r="AQ83" i="2" a="1"/>
  <c r="AQ83" i="2"/>
  <c r="J325" i="10"/>
  <c r="AW28" i="2" a="1"/>
  <c r="AW28" i="2"/>
  <c r="K7" i="10"/>
  <c r="K7" i="14"/>
  <c r="M235" i="14"/>
  <c r="BI67" i="2" a="1"/>
  <c r="BI67" i="2"/>
  <c r="M235" i="10"/>
  <c r="AQ86" i="2" a="1"/>
  <c r="AQ86" i="2"/>
  <c r="J266" i="10"/>
  <c r="J266" i="14"/>
  <c r="G179" i="14"/>
  <c r="Y47" i="2" a="1"/>
  <c r="Y47" i="2"/>
  <c r="G179" i="10"/>
  <c r="AE22" i="2" a="1"/>
  <c r="AE22" i="2"/>
  <c r="H149" i="10"/>
  <c r="H149" i="14"/>
  <c r="M8" i="2" a="1"/>
  <c r="M8" i="2"/>
  <c r="E166" i="10"/>
  <c r="M31" i="2" a="1"/>
  <c r="M31" i="2"/>
  <c r="E159" i="10"/>
  <c r="E166" i="14"/>
  <c r="M27" i="2" a="1"/>
  <c r="M27" i="2"/>
  <c r="E238" i="10"/>
  <c r="E265" i="14"/>
  <c r="M72" i="2" a="1"/>
  <c r="M72" i="2"/>
  <c r="E347" i="10"/>
  <c r="M39" i="2" a="1"/>
  <c r="M39" i="2"/>
  <c r="E225" i="10"/>
  <c r="C225" i="10"/>
  <c r="I225" i="3"/>
  <c r="M82" i="2" a="1"/>
  <c r="M82" i="2"/>
  <c r="E9" i="10"/>
  <c r="M33" i="2" a="1"/>
  <c r="M33" i="2"/>
  <c r="E240" i="10"/>
  <c r="M9" i="2" a="1"/>
  <c r="M9" i="2"/>
  <c r="E17" i="10"/>
  <c r="M21" i="2" a="1"/>
  <c r="M21" i="2"/>
  <c r="E236" i="10"/>
  <c r="M80" i="2" a="1"/>
  <c r="M80" i="2"/>
  <c r="E73" i="10"/>
  <c r="E73" i="14"/>
  <c r="E275" i="14"/>
  <c r="E83" i="14"/>
  <c r="E159" i="14"/>
  <c r="E9" i="14"/>
  <c r="M70" i="2" a="1"/>
  <c r="M70" i="2"/>
  <c r="E158" i="14"/>
  <c r="M79" i="2" a="1"/>
  <c r="M79" i="2"/>
  <c r="E325" i="10"/>
  <c r="M91" i="2" a="1"/>
  <c r="M91" i="2"/>
  <c r="E130" i="10"/>
  <c r="C130" i="10"/>
  <c r="I130" i="3"/>
  <c r="E130" i="14"/>
  <c r="C130" i="14"/>
  <c r="M67" i="2" a="1"/>
  <c r="M67" i="2"/>
  <c r="E200" i="10"/>
  <c r="M76" i="2" a="1"/>
  <c r="M76" i="2"/>
  <c r="E158" i="10"/>
  <c r="E240" i="14"/>
  <c r="M41" i="2" a="1"/>
  <c r="M41" i="2"/>
  <c r="E83" i="10"/>
  <c r="M14" i="2" a="1"/>
  <c r="M14" i="2"/>
  <c r="M66" i="2" a="1"/>
  <c r="M66" i="2"/>
  <c r="E265" i="10"/>
  <c r="I20" i="14"/>
  <c r="C20" i="14"/>
  <c r="AK81" i="2" a="1"/>
  <c r="AK81" i="2"/>
  <c r="I20" i="10"/>
  <c r="C20" i="10"/>
  <c r="I20" i="3"/>
  <c r="BO72" i="2" a="1"/>
  <c r="BO72" i="2"/>
  <c r="N195" i="10"/>
  <c r="N195" i="14"/>
  <c r="D42" i="14"/>
  <c r="F53" i="14"/>
  <c r="S92" i="2" a="1"/>
  <c r="S92" i="2"/>
  <c r="F53" i="10"/>
  <c r="F24" i="14"/>
  <c r="S53" i="2" a="1"/>
  <c r="S53" i="2"/>
  <c r="F24" i="10"/>
  <c r="D230" i="14"/>
  <c r="G20" i="2" a="1"/>
  <c r="G20" i="2"/>
  <c r="D230" i="10"/>
  <c r="D263" i="14"/>
  <c r="G80" i="2" a="1"/>
  <c r="G80" i="2"/>
  <c r="D263" i="10"/>
  <c r="S33" i="2" a="1"/>
  <c r="S33" i="2"/>
  <c r="F65" i="10"/>
  <c r="F65" i="14"/>
  <c r="M119" i="14"/>
  <c r="BI62" i="2" a="1"/>
  <c r="BI62" i="2"/>
  <c r="M119" i="10"/>
  <c r="M10" i="14"/>
  <c r="BI79" i="2" a="1"/>
  <c r="BI79" i="2"/>
  <c r="M10" i="10"/>
  <c r="M104" i="14"/>
  <c r="C104" i="14"/>
  <c r="BI56" i="2" a="1"/>
  <c r="BI56" i="2"/>
  <c r="M104" i="10"/>
  <c r="C104" i="10"/>
  <c r="I104" i="3"/>
  <c r="F338" i="14"/>
  <c r="J56" i="14"/>
  <c r="AQ48" i="2" a="1"/>
  <c r="AQ48" i="2"/>
  <c r="J56" i="10"/>
  <c r="J54" i="14"/>
  <c r="AQ15" i="2" a="1"/>
  <c r="AQ15" i="2"/>
  <c r="J54" i="10"/>
  <c r="J216" i="14"/>
  <c r="AQ44" i="2" a="1"/>
  <c r="AQ44" i="2"/>
  <c r="J216" i="10"/>
  <c r="G66" i="14"/>
  <c r="Y50" i="2" a="1"/>
  <c r="Y50" i="2"/>
  <c r="G66" i="10"/>
  <c r="G125" i="14"/>
  <c r="C125" i="14"/>
  <c r="Y56" i="2" a="1"/>
  <c r="Y56" i="2"/>
  <c r="G125" i="10"/>
  <c r="C125" i="10"/>
  <c r="I125" i="3"/>
  <c r="G12" i="14"/>
  <c r="Y29" i="2" a="1"/>
  <c r="Y29" i="2"/>
  <c r="G12" i="10"/>
  <c r="Y42" i="2" a="1"/>
  <c r="Y42" i="2"/>
  <c r="G220" i="10"/>
  <c r="G220" i="14"/>
  <c r="L351" i="14"/>
  <c r="BC85" i="2" a="1"/>
  <c r="BC85" i="2"/>
  <c r="L43" i="10"/>
  <c r="H272" i="14"/>
  <c r="AE15" i="2" a="1"/>
  <c r="AE15" i="2"/>
  <c r="H290" i="14"/>
  <c r="AE18" i="2" a="1"/>
  <c r="AE18" i="2"/>
  <c r="H290" i="10"/>
  <c r="H260" i="14"/>
  <c r="AE72" i="2" a="1"/>
  <c r="AE72" i="2"/>
  <c r="H260" i="10"/>
  <c r="M88" i="2" a="1"/>
  <c r="M88" i="2"/>
  <c r="E111" i="10"/>
  <c r="E111" i="14"/>
  <c r="E32" i="14"/>
  <c r="M26" i="2" a="1"/>
  <c r="M26" i="2"/>
  <c r="E32" i="10"/>
  <c r="E66" i="14"/>
  <c r="M38" i="2" a="1"/>
  <c r="M38" i="2"/>
  <c r="E66" i="10"/>
  <c r="E141" i="14"/>
  <c r="M51" i="2" a="1"/>
  <c r="M51" i="2"/>
  <c r="E141" i="10"/>
  <c r="L234" i="14"/>
  <c r="E238" i="14"/>
  <c r="AK71" i="2" a="1"/>
  <c r="AK71" i="2"/>
  <c r="I184" i="10"/>
  <c r="I184" i="14"/>
  <c r="I17" i="14"/>
  <c r="AK66" i="2" a="1"/>
  <c r="AK66" i="2"/>
  <c r="I17" i="10"/>
  <c r="I141" i="14"/>
  <c r="AK22" i="2" a="1"/>
  <c r="AK22" i="2"/>
  <c r="I141" i="10"/>
  <c r="I175" i="14"/>
  <c r="AK65" i="2" a="1"/>
  <c r="AK65" i="2"/>
  <c r="I175" i="10"/>
  <c r="D321" i="14"/>
  <c r="BO47" i="2" a="1"/>
  <c r="BO47" i="2"/>
  <c r="N158" i="10"/>
  <c r="N158" i="14"/>
  <c r="H175" i="14"/>
  <c r="AQ28" i="2" a="1"/>
  <c r="AQ28" i="2"/>
  <c r="J333" i="10"/>
  <c r="D273" i="14"/>
  <c r="G75" i="2" a="1"/>
  <c r="G75" i="2"/>
  <c r="J42" i="14"/>
  <c r="J251" i="14"/>
  <c r="L49" i="14"/>
  <c r="K50" i="14"/>
  <c r="N238" i="14"/>
  <c r="BO76" i="2" a="1"/>
  <c r="BO76" i="2"/>
  <c r="N11" i="10"/>
  <c r="BO26" i="2" a="1"/>
  <c r="BO26" i="2"/>
  <c r="N15" i="10"/>
  <c r="BO8" i="2" a="1"/>
  <c r="BO8" i="2"/>
  <c r="N148" i="10"/>
  <c r="BO97" i="2" a="1"/>
  <c r="BO97" i="2"/>
  <c r="N202" i="10"/>
  <c r="BO32" i="2" a="1"/>
  <c r="BO32" i="2"/>
  <c r="N17" i="10"/>
  <c r="N18" i="14"/>
  <c r="Y68" i="2" a="1"/>
  <c r="Y68" i="2"/>
  <c r="G239" i="10"/>
  <c r="F101" i="14"/>
  <c r="S68" i="2" a="1"/>
  <c r="S68" i="2"/>
  <c r="F101" i="10"/>
  <c r="J290" i="14"/>
  <c r="AQ63" i="2" a="1"/>
  <c r="AQ63" i="2"/>
  <c r="J290" i="10"/>
  <c r="H317" i="14"/>
  <c r="AE68" i="2" a="1"/>
  <c r="AE68" i="2"/>
  <c r="M54" i="2" a="1"/>
  <c r="M54" i="2"/>
  <c r="E46" i="10"/>
  <c r="E46" i="14"/>
  <c r="D275" i="14"/>
  <c r="AQ58" i="2" a="1"/>
  <c r="AQ58" i="2"/>
  <c r="BI33" i="2" a="1"/>
  <c r="BI33" i="2"/>
  <c r="M13" i="10"/>
  <c r="M62" i="14"/>
  <c r="BI66" i="2" a="1"/>
  <c r="BI66" i="2"/>
  <c r="M62" i="10"/>
  <c r="G64" i="14"/>
  <c r="Y61" i="2" a="1"/>
  <c r="Y61" i="2"/>
  <c r="G64" i="10"/>
  <c r="M42" i="2" a="1"/>
  <c r="M42" i="2"/>
  <c r="E88" i="10"/>
  <c r="E88" i="14"/>
  <c r="M264" i="14"/>
  <c r="M273" i="14"/>
  <c r="M37" i="14"/>
  <c r="BI72" i="2" a="1"/>
  <c r="BI72" i="2"/>
  <c r="M37" i="10"/>
  <c r="G345" i="14"/>
  <c r="Y92" i="2" a="1"/>
  <c r="Y92" i="2"/>
  <c r="G345" i="10"/>
  <c r="F162" i="14"/>
  <c r="C162" i="14"/>
  <c r="M46" i="2" a="1"/>
  <c r="M46" i="2"/>
  <c r="E182" i="10"/>
  <c r="E182" i="14"/>
  <c r="D212" i="14"/>
  <c r="BI35" i="2" a="1"/>
  <c r="BI35" i="2"/>
  <c r="S94" i="2" a="1"/>
  <c r="S94" i="2"/>
  <c r="F316" i="10"/>
  <c r="F140" i="14"/>
  <c r="S54" i="2" a="1"/>
  <c r="S54" i="2"/>
  <c r="F38" i="10"/>
  <c r="F92" i="14"/>
  <c r="F7" i="14"/>
  <c r="F227" i="14"/>
  <c r="F32" i="14"/>
  <c r="S101" i="2" a="1"/>
  <c r="S101" i="2"/>
  <c r="F146" i="10"/>
  <c r="F325" i="14"/>
  <c r="S19" i="2" a="1"/>
  <c r="S19" i="2"/>
  <c r="F199" i="10"/>
  <c r="S80" i="2" a="1"/>
  <c r="S80" i="2"/>
  <c r="F19" i="10"/>
  <c r="S74" i="2" a="1"/>
  <c r="S74" i="2"/>
  <c r="F227" i="10"/>
  <c r="F326" i="14"/>
  <c r="F146" i="14"/>
  <c r="F141" i="14"/>
  <c r="S106" i="2" a="1"/>
  <c r="S106" i="2"/>
  <c r="F183" i="10"/>
  <c r="C183" i="10"/>
  <c r="I183" i="3"/>
  <c r="S48" i="2" a="1"/>
  <c r="S48" i="2"/>
  <c r="F305" i="10"/>
  <c r="S100" i="2" a="1"/>
  <c r="S100" i="2"/>
  <c r="F173" i="10"/>
  <c r="F19" i="14"/>
  <c r="F152" i="14"/>
  <c r="S42" i="2" a="1"/>
  <c r="S42" i="2"/>
  <c r="F260" i="14"/>
  <c r="S55" i="2" a="1"/>
  <c r="S55" i="2"/>
  <c r="F18" i="10"/>
  <c r="S14" i="2" a="1"/>
  <c r="S14" i="2"/>
  <c r="F234" i="10"/>
  <c r="F329" i="14"/>
  <c r="F98" i="14"/>
  <c r="F182" i="14"/>
  <c r="F211" i="14"/>
  <c r="F197" i="14"/>
  <c r="S49" i="2" a="1"/>
  <c r="S49" i="2"/>
  <c r="F7" i="10"/>
  <c r="F217" i="14"/>
  <c r="F56" i="14"/>
  <c r="S93" i="2" a="1"/>
  <c r="S93" i="2"/>
  <c r="F78" i="10"/>
  <c r="S91" i="2" a="1"/>
  <c r="S91" i="2"/>
  <c r="F352" i="10"/>
  <c r="F316" i="14"/>
  <c r="S16" i="2" a="1"/>
  <c r="S16" i="2"/>
  <c r="F326" i="10"/>
  <c r="S98" i="2" a="1"/>
  <c r="S98" i="2"/>
  <c r="F338" i="10"/>
  <c r="S60" i="2" a="1"/>
  <c r="S60" i="2"/>
  <c r="F260" i="10"/>
  <c r="S66" i="2" a="1"/>
  <c r="S66" i="2"/>
  <c r="F6" i="10"/>
  <c r="S71" i="2" a="1"/>
  <c r="S71" i="2"/>
  <c r="F110" i="10"/>
  <c r="C110" i="10"/>
  <c r="I110" i="3"/>
  <c r="S89" i="2" a="1"/>
  <c r="S89" i="2"/>
  <c r="S83" i="2" a="1"/>
  <c r="S83" i="2"/>
  <c r="F286" i="10"/>
  <c r="S11" i="2" a="1"/>
  <c r="S11" i="2"/>
  <c r="F333" i="10"/>
  <c r="S44" i="2" a="1"/>
  <c r="S44" i="2"/>
  <c r="F162" i="10"/>
  <c r="C162" i="10"/>
  <c r="I162" i="3"/>
  <c r="F283" i="14"/>
  <c r="S99" i="2" a="1"/>
  <c r="S99" i="2"/>
  <c r="F182" i="10"/>
  <c r="S57" i="2" a="1"/>
  <c r="S57" i="2"/>
  <c r="F322" i="10"/>
  <c r="S76" i="2" a="1"/>
  <c r="S76" i="2"/>
  <c r="F238" i="10"/>
  <c r="S52" i="2" a="1"/>
  <c r="S52" i="2"/>
  <c r="F329" i="10"/>
  <c r="S50" i="2" a="1"/>
  <c r="S50" i="2"/>
  <c r="S64" i="2" a="1"/>
  <c r="S64" i="2"/>
  <c r="S81" i="2" a="1"/>
  <c r="S81" i="2"/>
  <c r="F92" i="10"/>
  <c r="S17" i="2" a="1"/>
  <c r="S17" i="2"/>
  <c r="F137" i="10"/>
  <c r="S22" i="2" a="1"/>
  <c r="S22" i="2"/>
  <c r="F197" i="10"/>
  <c r="S31" i="2" a="1"/>
  <c r="S31" i="2"/>
  <c r="F217" i="10"/>
  <c r="S88" i="2" a="1"/>
  <c r="S88" i="2"/>
  <c r="F109" i="10"/>
  <c r="S38" i="2" a="1"/>
  <c r="S38" i="2"/>
  <c r="F325" i="10"/>
  <c r="S24" i="2" a="1"/>
  <c r="S24" i="2"/>
  <c r="S26" i="2" a="1"/>
  <c r="S26" i="2"/>
  <c r="F222" i="10"/>
  <c r="S63" i="2" a="1"/>
  <c r="S63" i="2"/>
  <c r="F56" i="10"/>
  <c r="S84" i="2" a="1"/>
  <c r="S84" i="2"/>
  <c r="S47" i="2" a="1"/>
  <c r="S47" i="2"/>
  <c r="F114" i="10"/>
  <c r="S96" i="2" a="1"/>
  <c r="S96" i="2"/>
  <c r="F32" i="10"/>
  <c r="S40" i="2" a="1"/>
  <c r="S40" i="2"/>
  <c r="F111" i="10"/>
  <c r="S15" i="2" a="1"/>
  <c r="S15" i="2"/>
  <c r="F58" i="10"/>
  <c r="S87" i="2" a="1"/>
  <c r="S87" i="2"/>
  <c r="F51" i="10"/>
  <c r="S95" i="2" a="1"/>
  <c r="S95" i="2"/>
  <c r="F331" i="10"/>
  <c r="S62" i="2" a="1"/>
  <c r="S62" i="2"/>
  <c r="F98" i="10"/>
  <c r="F238" i="14"/>
  <c r="S41" i="2" a="1"/>
  <c r="S41" i="2"/>
  <c r="F211" i="10"/>
  <c r="S70" i="2" a="1"/>
  <c r="S70" i="2"/>
  <c r="S61" i="2" a="1"/>
  <c r="S61" i="2"/>
  <c r="F141" i="10"/>
  <c r="S67" i="2" a="1"/>
  <c r="S67" i="2"/>
  <c r="F140" i="10"/>
  <c r="S13" i="2" a="1"/>
  <c r="S13" i="2"/>
  <c r="F48" i="10"/>
  <c r="S8" i="2" a="1"/>
  <c r="S8" i="2"/>
  <c r="F152" i="10"/>
  <c r="S90" i="2" a="1"/>
  <c r="S90" i="2"/>
  <c r="F177" i="10"/>
  <c r="S72" i="2" a="1"/>
  <c r="S72" i="2"/>
  <c r="F348" i="10"/>
  <c r="S82" i="2" a="1"/>
  <c r="S82" i="2"/>
  <c r="F237" i="10"/>
  <c r="S97" i="2" a="1"/>
  <c r="S97" i="2"/>
  <c r="F39" i="10"/>
  <c r="F18" i="14"/>
  <c r="F222" i="14"/>
  <c r="F305" i="14"/>
  <c r="AQ59" i="2" a="1"/>
  <c r="AQ59" i="2"/>
  <c r="J32" i="10"/>
  <c r="J32" i="14"/>
  <c r="G237" i="14"/>
  <c r="Y17" i="2" a="1"/>
  <c r="Y17" i="2"/>
  <c r="G237" i="10"/>
  <c r="H179" i="14"/>
  <c r="AE48" i="2" a="1"/>
  <c r="AE48" i="2"/>
  <c r="H179" i="10"/>
  <c r="E322" i="14"/>
  <c r="M16" i="2" a="1"/>
  <c r="M16" i="2"/>
  <c r="E322" i="10"/>
  <c r="J180" i="14"/>
  <c r="I63" i="14"/>
  <c r="AK32" i="2" a="1"/>
  <c r="AK32" i="2"/>
  <c r="I63" i="10"/>
  <c r="BO12" i="2" a="1"/>
  <c r="BO12" i="2"/>
  <c r="N235" i="10"/>
  <c r="F290" i="14"/>
  <c r="S39" i="2" a="1"/>
  <c r="S39" i="2"/>
  <c r="F290" i="10"/>
  <c r="M94" i="14"/>
  <c r="BI95" i="2" a="1"/>
  <c r="BI95" i="2"/>
  <c r="M94" i="10"/>
  <c r="BI40" i="2" a="1"/>
  <c r="BI40" i="2"/>
  <c r="M16" i="10"/>
  <c r="M16" i="14"/>
  <c r="M283" i="14"/>
  <c r="BI57" i="2" a="1"/>
  <c r="BI57" i="2"/>
  <c r="M283" i="10"/>
  <c r="J310" i="14"/>
  <c r="AQ14" i="2" a="1"/>
  <c r="AQ14" i="2"/>
  <c r="J310" i="10"/>
  <c r="AQ20" i="2" a="1"/>
  <c r="AQ20" i="2"/>
  <c r="J48" i="10"/>
  <c r="J48" i="14"/>
  <c r="AQ34" i="2" a="1"/>
  <c r="AQ34" i="2"/>
  <c r="J222" i="10"/>
  <c r="J222" i="14"/>
  <c r="AQ72" i="2" a="1"/>
  <c r="AQ72" i="2"/>
  <c r="J304" i="14"/>
  <c r="G32" i="14"/>
  <c r="Y52" i="2" a="1"/>
  <c r="Y52" i="2"/>
  <c r="G32" i="10"/>
  <c r="G16" i="14"/>
  <c r="Y90" i="2" a="1"/>
  <c r="Y90" i="2"/>
  <c r="G16" i="10"/>
  <c r="G103" i="14"/>
  <c r="Y83" i="2" a="1"/>
  <c r="Y83" i="2"/>
  <c r="G103" i="10"/>
  <c r="E23" i="14"/>
  <c r="M50" i="2" a="1"/>
  <c r="M50" i="2"/>
  <c r="E23" i="10"/>
  <c r="L329" i="14"/>
  <c r="M49" i="2" a="1"/>
  <c r="M49" i="2"/>
  <c r="E87" i="10"/>
  <c r="E87" i="14"/>
  <c r="H235" i="14"/>
  <c r="AE28" i="2" a="1"/>
  <c r="AE28" i="2"/>
  <c r="H235" i="10"/>
  <c r="AE62" i="2" a="1"/>
  <c r="AE62" i="2"/>
  <c r="H87" i="10"/>
  <c r="H87" i="14"/>
  <c r="AE35" i="2" a="1"/>
  <c r="AE35" i="2"/>
  <c r="H238" i="10"/>
  <c r="H238" i="14"/>
  <c r="E49" i="14"/>
  <c r="M23" i="2" a="1"/>
  <c r="M23" i="2"/>
  <c r="E49" i="10"/>
  <c r="M24" i="2" a="1"/>
  <c r="M24" i="2"/>
  <c r="E15" i="10"/>
  <c r="E15" i="14"/>
  <c r="E267" i="14"/>
  <c r="C267" i="14"/>
  <c r="M40" i="2" a="1"/>
  <c r="M40" i="2"/>
  <c r="E267" i="10"/>
  <c r="C267" i="10"/>
  <c r="I267" i="3"/>
  <c r="E192" i="14"/>
  <c r="M77" i="2" a="1"/>
  <c r="M77" i="2"/>
  <c r="E192" i="10"/>
  <c r="Y20" i="2" a="1"/>
  <c r="Y20" i="2"/>
  <c r="G235" i="10"/>
  <c r="I136" i="14"/>
  <c r="AK14" i="2" a="1"/>
  <c r="AK14" i="2"/>
  <c r="I136" i="10"/>
  <c r="I310" i="14"/>
  <c r="AK59" i="2" a="1"/>
  <c r="AK59" i="2"/>
  <c r="I310" i="10"/>
  <c r="I53" i="14"/>
  <c r="AK24" i="2" a="1"/>
  <c r="AK24" i="2"/>
  <c r="I53" i="10"/>
  <c r="AK41" i="2" a="1"/>
  <c r="AK41" i="2"/>
  <c r="I57" i="10"/>
  <c r="I57" i="14"/>
  <c r="I322" i="14"/>
  <c r="AK64" i="2" a="1"/>
  <c r="AK64" i="2"/>
  <c r="I322" i="10"/>
  <c r="M95" i="14"/>
  <c r="BO71" i="2" a="1"/>
  <c r="BO71" i="2"/>
  <c r="N137" i="10"/>
  <c r="N137" i="14"/>
  <c r="Y46" i="2" a="1"/>
  <c r="Y46" i="2"/>
  <c r="G282" i="10"/>
  <c r="G71" i="2" a="1"/>
  <c r="G71" i="2"/>
  <c r="D22" i="10"/>
  <c r="D291" i="14"/>
  <c r="D348" i="14"/>
  <c r="AW14" i="2" a="1"/>
  <c r="AW14" i="2"/>
  <c r="K17" i="10"/>
  <c r="AQ89" i="2" a="1"/>
  <c r="AQ89" i="2"/>
  <c r="J42" i="10"/>
  <c r="E295" i="14"/>
  <c r="BO86" i="2" a="1"/>
  <c r="BO86" i="2"/>
  <c r="N238" i="10"/>
  <c r="BO37" i="2" a="1"/>
  <c r="BO37" i="2"/>
  <c r="N326" i="10"/>
  <c r="BO43" i="2" a="1"/>
  <c r="BO43" i="2"/>
  <c r="N149" i="10"/>
  <c r="N327" i="14"/>
  <c r="N45" i="14"/>
  <c r="BO9" i="2" a="1"/>
  <c r="BO9" i="2"/>
  <c r="N41" i="10"/>
  <c r="N88" i="14"/>
  <c r="D325" i="14"/>
  <c r="S65" i="2" a="1"/>
  <c r="S65" i="2"/>
  <c r="G102" i="14"/>
  <c r="M120" i="14"/>
  <c r="BI16" i="2" a="1"/>
  <c r="BI16" i="2"/>
  <c r="M120" i="10"/>
  <c r="G348" i="14"/>
  <c r="Y16" i="2" a="1"/>
  <c r="Y16" i="2"/>
  <c r="G348" i="10"/>
  <c r="M25" i="2" a="1"/>
  <c r="M25" i="2"/>
  <c r="E178" i="10"/>
  <c r="E178" i="14"/>
  <c r="I50" i="14"/>
  <c r="AK35" i="2" a="1"/>
  <c r="AK35" i="2"/>
  <c r="I50" i="10"/>
  <c r="E236" i="14"/>
  <c r="J235" i="14"/>
  <c r="AQ76" i="2" a="1"/>
  <c r="AQ76" i="2"/>
  <c r="J235" i="10"/>
  <c r="G236" i="14"/>
  <c r="Y80" i="2" a="1"/>
  <c r="Y80" i="2"/>
  <c r="G236" i="10"/>
  <c r="E220" i="14"/>
  <c r="M18" i="2" a="1"/>
  <c r="M18" i="2"/>
  <c r="E220" i="10"/>
  <c r="I43" i="14"/>
  <c r="AK44" i="2" a="1"/>
  <c r="AK44" i="2"/>
  <c r="I43" i="10"/>
  <c r="J44" i="14"/>
  <c r="F265" i="14"/>
  <c r="S103" i="2" a="1"/>
  <c r="S103" i="2"/>
  <c r="F265" i="10"/>
  <c r="G347" i="14"/>
  <c r="Y49" i="2" a="1"/>
  <c r="Y49" i="2"/>
  <c r="G347" i="10"/>
  <c r="AE61" i="2" a="1"/>
  <c r="AE61" i="2"/>
  <c r="H52" i="10"/>
  <c r="H52" i="14"/>
  <c r="I235" i="14"/>
  <c r="AK42" i="2" a="1"/>
  <c r="AK42" i="2"/>
  <c r="I235" i="10"/>
  <c r="L276" i="14"/>
  <c r="L202" i="14"/>
  <c r="L33" i="14"/>
  <c r="L152" i="14"/>
  <c r="BC66" i="2" a="1"/>
  <c r="BC66" i="2"/>
  <c r="L65" i="10"/>
  <c r="BC9" i="2" a="1"/>
  <c r="BC9" i="2"/>
  <c r="L220" i="10"/>
  <c r="BC39" i="2" a="1"/>
  <c r="BC39" i="2"/>
  <c r="L350" i="10"/>
  <c r="BC58" i="2" a="1"/>
  <c r="BC58" i="2"/>
  <c r="L347" i="10"/>
  <c r="BC16" i="2" a="1"/>
  <c r="BC16" i="2"/>
  <c r="L351" i="10"/>
  <c r="L279" i="14"/>
  <c r="L343" i="14"/>
  <c r="L40" i="14"/>
  <c r="L43" i="14"/>
  <c r="L100" i="14"/>
  <c r="L168" i="14"/>
  <c r="BC87" i="2" a="1"/>
  <c r="BC87" i="2"/>
  <c r="L63" i="10"/>
  <c r="BC55" i="2" a="1"/>
  <c r="BC55" i="2"/>
  <c r="L16" i="10"/>
  <c r="BC91" i="2" a="1"/>
  <c r="BC91" i="2"/>
  <c r="L11" i="10"/>
  <c r="BC18" i="2" a="1"/>
  <c r="BC18" i="2"/>
  <c r="L168" i="10"/>
  <c r="BC97" i="2" a="1"/>
  <c r="BC97" i="2"/>
  <c r="L152" i="10"/>
  <c r="BC27" i="2" a="1"/>
  <c r="BC27" i="2"/>
  <c r="L348" i="10"/>
  <c r="BC67" i="2" a="1"/>
  <c r="BC67" i="2"/>
  <c r="L67" i="10"/>
  <c r="L16" i="14"/>
  <c r="L140" i="14"/>
  <c r="BC36" i="2" a="1"/>
  <c r="BC36" i="2"/>
  <c r="L201" i="10"/>
  <c r="C201" i="10"/>
  <c r="I201" i="3"/>
  <c r="L39" i="14"/>
  <c r="BC31" i="2" a="1"/>
  <c r="BC31" i="2"/>
  <c r="L177" i="10"/>
  <c r="L325" i="14"/>
  <c r="L192" i="14"/>
  <c r="L18" i="14"/>
  <c r="BC68" i="2" a="1"/>
  <c r="BC68" i="2"/>
  <c r="L45" i="10"/>
  <c r="L45" i="14"/>
  <c r="BC28" i="2" a="1"/>
  <c r="BC28" i="2"/>
  <c r="L14" i="10"/>
  <c r="BC77" i="2" a="1"/>
  <c r="BC77" i="2"/>
  <c r="L46" i="10"/>
  <c r="L350" i="14"/>
  <c r="L220" i="14"/>
  <c r="BC10" i="2" a="1"/>
  <c r="BC10" i="2"/>
  <c r="L87" i="10"/>
  <c r="BC76" i="2" a="1"/>
  <c r="BC76" i="2"/>
  <c r="L159" i="10"/>
  <c r="BC95" i="2" a="1"/>
  <c r="BC95" i="2"/>
  <c r="L192" i="10"/>
  <c r="L244" i="14"/>
  <c r="C244" i="14"/>
  <c r="BC82" i="2" a="1"/>
  <c r="BC82" i="2"/>
  <c r="BC80" i="2" a="1"/>
  <c r="BC80" i="2"/>
  <c r="L35" i="10"/>
  <c r="L268" i="14"/>
  <c r="L188" i="14"/>
  <c r="BC19" i="2" a="1"/>
  <c r="BC19" i="2"/>
  <c r="L329" i="10"/>
  <c r="L63" i="14"/>
  <c r="BC22" i="2" a="1"/>
  <c r="BC22" i="2"/>
  <c r="L343" i="10"/>
  <c r="L283" i="14"/>
  <c r="L11" i="14"/>
  <c r="BC96" i="2" a="1"/>
  <c r="BC96" i="2"/>
  <c r="L94" i="10"/>
  <c r="L290" i="14"/>
  <c r="L137" i="14"/>
  <c r="L35" i="14"/>
  <c r="L153" i="14"/>
  <c r="C153" i="14"/>
  <c r="BC100" i="2" a="1"/>
  <c r="BC100" i="2"/>
  <c r="L202" i="10"/>
  <c r="BC8" i="2" a="1"/>
  <c r="BC8" i="2"/>
  <c r="L40" i="10"/>
  <c r="BC14" i="2" a="1"/>
  <c r="BC14" i="2"/>
  <c r="L199" i="10"/>
  <c r="BC24" i="2" a="1"/>
  <c r="BC24" i="2"/>
  <c r="L22" i="10"/>
  <c r="BC25" i="2" a="1"/>
  <c r="BC25" i="2"/>
  <c r="L244" i="10"/>
  <c r="C244" i="10"/>
  <c r="I244" i="3"/>
  <c r="BC101" i="2" a="1"/>
  <c r="BC101" i="2"/>
  <c r="L321" i="14"/>
  <c r="L87" i="14"/>
  <c r="L197" i="14"/>
  <c r="BC50" i="2" a="1"/>
  <c r="BC50" i="2"/>
  <c r="L166" i="10"/>
  <c r="L58" i="14"/>
  <c r="BC12" i="2" a="1"/>
  <c r="BC12" i="2"/>
  <c r="L50" i="10"/>
  <c r="L69" i="14"/>
  <c r="BC13" i="2" a="1"/>
  <c r="BC13" i="2"/>
  <c r="BC38" i="2" a="1"/>
  <c r="BC38" i="2"/>
  <c r="L279" i="10"/>
  <c r="L211" i="14"/>
  <c r="BC63" i="2" a="1"/>
  <c r="BC63" i="2"/>
  <c r="L8" i="10"/>
  <c r="L22" i="14"/>
  <c r="L94" i="14"/>
  <c r="L66" i="14"/>
  <c r="L32" i="14"/>
  <c r="BC73" i="2" a="1"/>
  <c r="BC73" i="2"/>
  <c r="L188" i="10"/>
  <c r="BC74" i="2" a="1"/>
  <c r="BC74" i="2"/>
  <c r="L211" i="10"/>
  <c r="L296" i="14"/>
  <c r="BC11" i="2" a="1"/>
  <c r="BC11" i="2"/>
  <c r="L325" i="10"/>
  <c r="BC71" i="2" a="1"/>
  <c r="BC71" i="2"/>
  <c r="L100" i="10"/>
  <c r="BC79" i="2" a="1"/>
  <c r="BC79" i="2"/>
  <c r="L119" i="10"/>
  <c r="BC78" i="2" a="1"/>
  <c r="BC78" i="2"/>
  <c r="BC46" i="2" a="1"/>
  <c r="BC46" i="2"/>
  <c r="L54" i="10"/>
  <c r="BC17" i="2" a="1"/>
  <c r="BC17" i="2"/>
  <c r="L33" i="10"/>
  <c r="BC26" i="2" a="1"/>
  <c r="BC26" i="2"/>
  <c r="L306" i="10"/>
  <c r="L8" i="14"/>
  <c r="L50" i="14"/>
  <c r="L184" i="14"/>
  <c r="BC65" i="2" a="1"/>
  <c r="BC65" i="2"/>
  <c r="L92" i="10"/>
  <c r="BC53" i="2" a="1"/>
  <c r="BC53" i="2"/>
  <c r="L37" i="10"/>
  <c r="L266" i="14"/>
  <c r="BC72" i="2" a="1"/>
  <c r="BC72" i="2"/>
  <c r="L153" i="10"/>
  <c r="C153" i="10"/>
  <c r="I153" i="3"/>
  <c r="L201" i="14"/>
  <c r="C201" i="14"/>
  <c r="BC62" i="2" a="1"/>
  <c r="BC62" i="2"/>
  <c r="L32" i="10"/>
  <c r="L54" i="14"/>
  <c r="BC83" i="2" a="1"/>
  <c r="BC83" i="2"/>
  <c r="BC99" i="2" a="1"/>
  <c r="BC99" i="2"/>
  <c r="L189" i="10"/>
  <c r="L334" i="14"/>
  <c r="L293" i="14"/>
  <c r="C293" i="14"/>
  <c r="L131" i="14"/>
  <c r="BC61" i="2" a="1"/>
  <c r="BC61" i="2"/>
  <c r="L17" i="10"/>
  <c r="BC35" i="2" a="1"/>
  <c r="BC35" i="2"/>
  <c r="L66" i="10"/>
  <c r="BC37" i="2" a="1"/>
  <c r="BC37" i="2"/>
  <c r="L62" i="10"/>
  <c r="BC30" i="2" a="1"/>
  <c r="BC30" i="2"/>
  <c r="BC54" i="2" a="1"/>
  <c r="BC54" i="2"/>
  <c r="L131" i="10"/>
  <c r="BC49" i="2" a="1"/>
  <c r="BC49" i="2"/>
  <c r="L74" i="10"/>
  <c r="L57" i="14"/>
  <c r="BC88" i="2" a="1"/>
  <c r="BC88" i="2"/>
  <c r="L61" i="10"/>
  <c r="BC23" i="2" a="1"/>
  <c r="BC23" i="2"/>
  <c r="L234" i="10"/>
  <c r="L65" i="14"/>
  <c r="BC70" i="2" a="1"/>
  <c r="BC70" i="2"/>
  <c r="L58" i="10"/>
  <c r="BC92" i="2" a="1"/>
  <c r="BC92" i="2"/>
  <c r="L53" i="10"/>
  <c r="L73" i="14"/>
  <c r="L305" i="14"/>
  <c r="L67" i="14"/>
  <c r="L74" i="14"/>
  <c r="BC90" i="2" a="1"/>
  <c r="BC90" i="2"/>
  <c r="L182" i="10"/>
  <c r="L189" i="14"/>
  <c r="BC33" i="2" a="1"/>
  <c r="BC33" i="2"/>
  <c r="L290" i="10"/>
  <c r="L235" i="14"/>
  <c r="L222" i="14"/>
  <c r="L17" i="14"/>
  <c r="BC51" i="2" a="1"/>
  <c r="BC51" i="2"/>
  <c r="L321" i="10"/>
  <c r="L61" i="14"/>
  <c r="BC60" i="2" a="1"/>
  <c r="BC60" i="2"/>
  <c r="L140" i="10"/>
  <c r="BC43" i="2" a="1"/>
  <c r="BC43" i="2"/>
  <c r="L283" i="10"/>
  <c r="L53" i="14"/>
  <c r="BC34" i="2" a="1"/>
  <c r="BC34" i="2"/>
  <c r="L137" i="10"/>
  <c r="BC89" i="2" a="1"/>
  <c r="BC89" i="2"/>
  <c r="L266" i="10"/>
  <c r="BC41" i="2" a="1"/>
  <c r="BC41" i="2"/>
  <c r="L237" i="10"/>
  <c r="BC45" i="2" a="1"/>
  <c r="BC45" i="2"/>
  <c r="L235" i="10"/>
  <c r="BC40" i="2" a="1"/>
  <c r="BC40" i="2"/>
  <c r="L268" i="10"/>
  <c r="L182" i="14"/>
  <c r="L177" i="14"/>
  <c r="BC75" i="2" a="1"/>
  <c r="BC75" i="2"/>
  <c r="L12" i="10"/>
  <c r="L281" i="14"/>
  <c r="L12" i="14"/>
  <c r="BC47" i="2" a="1"/>
  <c r="BC47" i="2"/>
  <c r="L228" i="10"/>
  <c r="C228" i="10"/>
  <c r="I228" i="3"/>
  <c r="BC59" i="2" a="1"/>
  <c r="BC59" i="2"/>
  <c r="L69" i="10"/>
  <c r="L166" i="14"/>
  <c r="L306" i="14"/>
  <c r="BC15" i="2" a="1"/>
  <c r="BC15" i="2"/>
  <c r="L243" i="10"/>
  <c r="L62" i="14"/>
  <c r="L226" i="14"/>
  <c r="BC64" i="2" a="1"/>
  <c r="BC64" i="2"/>
  <c r="BC32" i="2" a="1"/>
  <c r="BC32" i="2"/>
  <c r="BC20" i="2" a="1"/>
  <c r="BC20" i="2"/>
  <c r="L73" i="10"/>
  <c r="BC44" i="2" a="1"/>
  <c r="BC44" i="2"/>
  <c r="L18" i="10"/>
  <c r="BC98" i="2" a="1"/>
  <c r="BC98" i="2"/>
  <c r="L184" i="10"/>
  <c r="BC48" i="2" a="1"/>
  <c r="BC48" i="2"/>
  <c r="BC52" i="2" a="1"/>
  <c r="BC52" i="2"/>
  <c r="L101" i="10"/>
  <c r="BC29" i="2" a="1"/>
  <c r="BC29" i="2"/>
  <c r="L222" i="10"/>
  <c r="BC42" i="2" a="1"/>
  <c r="BC42" i="2"/>
  <c r="L95" i="10"/>
  <c r="L95" i="14"/>
  <c r="M65" i="14"/>
  <c r="BI13" i="2" a="1"/>
  <c r="BI13" i="2"/>
  <c r="M65" i="10"/>
  <c r="G217" i="14"/>
  <c r="Y25" i="2" a="1"/>
  <c r="Y25" i="2"/>
  <c r="G217" i="10"/>
  <c r="H81" i="14"/>
  <c r="AE26" i="2" a="1"/>
  <c r="AE26" i="2"/>
  <c r="H81" i="10"/>
  <c r="AK36" i="2" a="1"/>
  <c r="AK36" i="2"/>
  <c r="I48" i="10"/>
  <c r="I48" i="14"/>
  <c r="K322" i="14"/>
  <c r="G18" i="14"/>
  <c r="AK11" i="2" a="1"/>
  <c r="AK11" i="2"/>
  <c r="I131" i="10"/>
  <c r="M18" i="14"/>
  <c r="BI34" i="2" a="1"/>
  <c r="BI34" i="2"/>
  <c r="M18" i="10"/>
  <c r="G70" i="14"/>
  <c r="C70" i="14"/>
  <c r="Y71" i="2" a="1"/>
  <c r="Y71" i="2"/>
  <c r="G70" i="10"/>
  <c r="C70" i="10"/>
  <c r="I70" i="3"/>
  <c r="E212" i="14"/>
  <c r="M17" i="2" a="1"/>
  <c r="M17" i="2"/>
  <c r="E212" i="10"/>
  <c r="AK54" i="2" a="1"/>
  <c r="AK54" i="2"/>
  <c r="I58" i="10"/>
  <c r="I58" i="14"/>
  <c r="D282" i="14"/>
  <c r="H329" i="14"/>
  <c r="F131" i="14"/>
  <c r="S58" i="2" a="1"/>
  <c r="S58" i="2"/>
  <c r="F131" i="10"/>
  <c r="J109" i="14"/>
  <c r="AQ56" i="2" a="1"/>
  <c r="AQ56" i="2"/>
  <c r="J109" i="10"/>
  <c r="F107" i="14"/>
  <c r="C107" i="14"/>
  <c r="S69" i="2" a="1"/>
  <c r="S69" i="2"/>
  <c r="F107" i="10"/>
  <c r="G96" i="2" a="1"/>
  <c r="G96" i="2"/>
  <c r="D28" i="10"/>
  <c r="D28" i="14"/>
  <c r="M8" i="14"/>
  <c r="BI76" i="2" a="1"/>
  <c r="BI76" i="2"/>
  <c r="M8" i="10"/>
  <c r="Y48" i="2" a="1"/>
  <c r="Y48" i="2"/>
  <c r="G57" i="10"/>
  <c r="G57" i="14"/>
  <c r="BC81" i="2" a="1"/>
  <c r="BC81" i="2"/>
  <c r="L197" i="10"/>
  <c r="L243" i="14"/>
  <c r="AE66" i="2" a="1"/>
  <c r="AE66" i="2"/>
  <c r="H58" i="10"/>
  <c r="H58" i="14"/>
  <c r="E338" i="14"/>
  <c r="M74" i="2" a="1"/>
  <c r="M74" i="2"/>
  <c r="E338" i="10"/>
  <c r="F234" i="14"/>
  <c r="I234" i="14"/>
  <c r="AK76" i="2" a="1"/>
  <c r="AK76" i="2"/>
  <c r="I234" i="10"/>
  <c r="Y40" i="2" a="1"/>
  <c r="Y40" i="2"/>
  <c r="G208" i="10"/>
  <c r="AE33" i="2" a="1"/>
  <c r="AE33" i="2"/>
  <c r="H175" i="10"/>
  <c r="J149" i="14"/>
  <c r="BO60" i="2" a="1"/>
  <c r="BO60" i="2"/>
  <c r="N347" i="10"/>
  <c r="BO73" i="2" a="1"/>
  <c r="BO73" i="2"/>
  <c r="N171" i="10"/>
  <c r="BO95" i="2" a="1"/>
  <c r="BO95" i="2"/>
  <c r="N334" i="10"/>
  <c r="M118" i="14"/>
  <c r="BI94" i="2" a="1"/>
  <c r="BI94" i="2"/>
  <c r="M118" i="10"/>
  <c r="AQ61" i="2" a="1"/>
  <c r="AQ61" i="2"/>
  <c r="J53" i="10"/>
  <c r="J53" i="14"/>
  <c r="Y36" i="2" a="1"/>
  <c r="Y36" i="2"/>
  <c r="G284" i="14"/>
  <c r="AE13" i="2" a="1"/>
  <c r="AE13" i="2"/>
  <c r="H137" i="10"/>
  <c r="H137" i="14"/>
  <c r="E58" i="14"/>
  <c r="M73" i="2" a="1"/>
  <c r="M73" i="2"/>
  <c r="E58" i="10"/>
  <c r="J152" i="14"/>
  <c r="BC93" i="2" a="1"/>
  <c r="BC93" i="2"/>
  <c r="L49" i="10"/>
  <c r="N141" i="14"/>
  <c r="N324" i="14"/>
  <c r="G239" i="14"/>
  <c r="Y82" i="2" a="1"/>
  <c r="Y82" i="2"/>
  <c r="G102" i="10"/>
  <c r="D51" i="14"/>
  <c r="G57" i="2" a="1"/>
  <c r="G57" i="2"/>
  <c r="D51" i="10"/>
  <c r="F33" i="14"/>
  <c r="S46" i="2" a="1"/>
  <c r="S46" i="2"/>
  <c r="F33" i="10"/>
  <c r="F255" i="14"/>
  <c r="S104" i="2" a="1"/>
  <c r="S104" i="2"/>
  <c r="F255" i="10"/>
  <c r="G61" i="2" a="1"/>
  <c r="G61" i="2"/>
  <c r="D88" i="10"/>
  <c r="D88" i="14"/>
  <c r="D149" i="14"/>
  <c r="G29" i="2" a="1"/>
  <c r="G29" i="2"/>
  <c r="D149" i="10"/>
  <c r="F212" i="14"/>
  <c r="S102" i="2" a="1"/>
  <c r="S102" i="2"/>
  <c r="F212" i="10"/>
  <c r="M72" i="14"/>
  <c r="BI96" i="2" a="1"/>
  <c r="BI96" i="2"/>
  <c r="M72" i="10"/>
  <c r="M63" i="14"/>
  <c r="BI84" i="2" a="1"/>
  <c r="BI84" i="2"/>
  <c r="M63" i="10"/>
  <c r="M40" i="14"/>
  <c r="BI88" i="2" a="1"/>
  <c r="BI88" i="2"/>
  <c r="M40" i="10"/>
  <c r="J39" i="14"/>
  <c r="AQ50" i="2" a="1"/>
  <c r="AQ50" i="2"/>
  <c r="J39" i="10"/>
  <c r="J18" i="14"/>
  <c r="AQ31" i="2" a="1"/>
  <c r="AQ31" i="2"/>
  <c r="J18" i="10"/>
  <c r="J76" i="14"/>
  <c r="AQ51" i="2" a="1"/>
  <c r="AQ51" i="2"/>
  <c r="J251" i="10"/>
  <c r="AQ18" i="2" a="1"/>
  <c r="AQ18" i="2"/>
  <c r="J12" i="10"/>
  <c r="J131" i="14"/>
  <c r="AQ88" i="2" a="1"/>
  <c r="AQ88" i="2"/>
  <c r="J239" i="10"/>
  <c r="AQ11" i="2" a="1"/>
  <c r="AQ11" i="2"/>
  <c r="J159" i="10"/>
  <c r="J66" i="14"/>
  <c r="J234" i="14"/>
  <c r="AQ21" i="2" a="1"/>
  <c r="AQ21" i="2"/>
  <c r="J152" i="10"/>
  <c r="AQ92" i="2" a="1"/>
  <c r="AQ92" i="2"/>
  <c r="J180" i="10"/>
  <c r="AQ22" i="2" a="1"/>
  <c r="AQ22" i="2"/>
  <c r="J149" i="10"/>
  <c r="J6" i="14"/>
  <c r="AQ46" i="2" a="1"/>
  <c r="AQ46" i="2"/>
  <c r="J129" i="10"/>
  <c r="J69" i="14"/>
  <c r="AQ65" i="2" a="1"/>
  <c r="AQ65" i="2"/>
  <c r="J16" i="10"/>
  <c r="J73" i="14"/>
  <c r="AQ96" i="2" a="1"/>
  <c r="AQ96" i="2"/>
  <c r="J184" i="10"/>
  <c r="AQ49" i="2" a="1"/>
  <c r="AQ49" i="2"/>
  <c r="J69" i="10"/>
  <c r="J49" i="14"/>
  <c r="J16" i="14"/>
  <c r="AQ10" i="2" a="1"/>
  <c r="AQ10" i="2"/>
  <c r="J76" i="10"/>
  <c r="J51" i="14"/>
  <c r="AQ67" i="2" a="1"/>
  <c r="AQ67" i="2"/>
  <c r="J212" i="10"/>
  <c r="J12" i="14"/>
  <c r="AQ62" i="2" a="1"/>
  <c r="AQ62" i="2"/>
  <c r="J131" i="10"/>
  <c r="AQ29" i="2" a="1"/>
  <c r="AQ29" i="2"/>
  <c r="J232" i="10"/>
  <c r="C232" i="10"/>
  <c r="I232" i="3"/>
  <c r="J9" i="14"/>
  <c r="AQ25" i="2" a="1"/>
  <c r="AQ25" i="2"/>
  <c r="AQ78" i="2" a="1"/>
  <c r="AQ78" i="2"/>
  <c r="J9" i="10"/>
  <c r="J65" i="14"/>
  <c r="AQ36" i="2" a="1"/>
  <c r="AQ36" i="2"/>
  <c r="J179" i="10"/>
  <c r="J63" i="14"/>
  <c r="AQ70" i="2" a="1"/>
  <c r="AQ70" i="2"/>
  <c r="AQ41" i="2" a="1"/>
  <c r="AQ41" i="2"/>
  <c r="J33" i="10"/>
  <c r="AQ66" i="2" a="1"/>
  <c r="AQ66" i="2"/>
  <c r="J49" i="10"/>
  <c r="AQ9" i="2" a="1"/>
  <c r="AQ9" i="2"/>
  <c r="J345" i="10"/>
  <c r="AQ55" i="2" a="1"/>
  <c r="AQ55" i="2"/>
  <c r="J66" i="10"/>
  <c r="AQ47" i="2" a="1"/>
  <c r="AQ47" i="2"/>
  <c r="J13" i="10"/>
  <c r="AQ17" i="2" a="1"/>
  <c r="AQ17" i="2"/>
  <c r="AQ32" i="2" a="1"/>
  <c r="AQ32" i="2"/>
  <c r="J40" i="10"/>
  <c r="J298" i="14"/>
  <c r="AQ71" i="2" a="1"/>
  <c r="AQ71" i="2"/>
  <c r="J133" i="10"/>
  <c r="AQ23" i="2" a="1"/>
  <c r="AQ23" i="2"/>
  <c r="J73" i="10"/>
  <c r="J13" i="14"/>
  <c r="AQ39" i="2" a="1"/>
  <c r="AQ39" i="2"/>
  <c r="J87" i="10"/>
  <c r="J14" i="14"/>
  <c r="AQ27" i="2" a="1"/>
  <c r="AQ27" i="2"/>
  <c r="J14" i="10"/>
  <c r="G159" i="14"/>
  <c r="Y51" i="2" a="1"/>
  <c r="Y51" i="2"/>
  <c r="G159" i="10"/>
  <c r="Y84" i="2" a="1"/>
  <c r="Y84" i="2"/>
  <c r="G122" i="10"/>
  <c r="G122" i="14"/>
  <c r="G137" i="14"/>
  <c r="Y19" i="2" a="1"/>
  <c r="Y19" i="2"/>
  <c r="G137" i="10"/>
  <c r="G41" i="14"/>
  <c r="Y54" i="2" a="1"/>
  <c r="Y54" i="2"/>
  <c r="G41" i="10"/>
  <c r="M65" i="2" a="1"/>
  <c r="M65" i="2"/>
  <c r="E38" i="10"/>
  <c r="E38" i="14"/>
  <c r="L14" i="14"/>
  <c r="H34" i="14"/>
  <c r="AE37" i="2" a="1"/>
  <c r="AE37" i="2"/>
  <c r="H34" i="10"/>
  <c r="H299" i="14"/>
  <c r="AE24" i="2" a="1"/>
  <c r="AE24" i="2"/>
  <c r="H100" i="14"/>
  <c r="AE14" i="2" a="1"/>
  <c r="AE14" i="2"/>
  <c r="H100" i="10"/>
  <c r="F199" i="14"/>
  <c r="M58" i="2" a="1"/>
  <c r="M58" i="2"/>
  <c r="E14" i="10"/>
  <c r="E14" i="14"/>
  <c r="E255" i="14"/>
  <c r="M52" i="2" a="1"/>
  <c r="M52" i="2"/>
  <c r="E255" i="10"/>
  <c r="M62" i="2" a="1"/>
  <c r="M62" i="2"/>
  <c r="E189" i="10"/>
  <c r="E189" i="14"/>
  <c r="E55" i="14"/>
  <c r="M75" i="2" a="1"/>
  <c r="M75" i="2"/>
  <c r="E55" i="10"/>
  <c r="G235" i="14"/>
  <c r="AK49" i="2" a="1"/>
  <c r="AK49" i="2"/>
  <c r="I273" i="14"/>
  <c r="I277" i="14"/>
  <c r="AK23" i="2" a="1"/>
  <c r="AK23" i="2"/>
  <c r="AK77" i="2" a="1"/>
  <c r="AK77" i="2"/>
  <c r="I265" i="10"/>
  <c r="I265" i="14"/>
  <c r="I32" i="14"/>
  <c r="AK26" i="2" a="1"/>
  <c r="AK26" i="2"/>
  <c r="I32" i="10"/>
  <c r="I166" i="14"/>
  <c r="AK78" i="2" a="1"/>
  <c r="AK78" i="2"/>
  <c r="I166" i="10"/>
  <c r="F183" i="14"/>
  <c r="C183" i="14"/>
  <c r="BO64" i="2" a="1"/>
  <c r="BO64" i="2"/>
  <c r="N49" i="10"/>
  <c r="N49" i="14"/>
  <c r="E347" i="14"/>
  <c r="D140" i="14"/>
  <c r="D255" i="14"/>
  <c r="D329" i="14"/>
  <c r="E17" i="14"/>
  <c r="AQ33" i="2" a="1"/>
  <c r="AQ33" i="2"/>
  <c r="J50" i="14"/>
  <c r="G14" i="14"/>
  <c r="N32" i="14"/>
  <c r="N112" i="14"/>
  <c r="C112" i="14"/>
  <c r="BO10" i="2" a="1"/>
  <c r="BO10" i="2"/>
  <c r="N36" i="10"/>
  <c r="BO41" i="2" a="1"/>
  <c r="BO41" i="2"/>
  <c r="N327" i="10"/>
  <c r="N54" i="14"/>
  <c r="N50" i="14"/>
  <c r="F315" i="14"/>
  <c r="BC57" i="2" a="1"/>
  <c r="BC57" i="2"/>
  <c r="E61" i="14"/>
  <c r="M333" i="14"/>
  <c r="BI15" i="2" a="1"/>
  <c r="BI15" i="2"/>
  <c r="M333" i="10"/>
  <c r="G10" i="14"/>
  <c r="Y69" i="2" a="1"/>
  <c r="Y69" i="2"/>
  <c r="G10" i="10"/>
  <c r="H322" i="14"/>
  <c r="E56" i="14"/>
  <c r="M60" i="2" a="1"/>
  <c r="M60" i="2"/>
  <c r="E56" i="10"/>
  <c r="AK80" i="2" a="1"/>
  <c r="AK80" i="2"/>
  <c r="I346" i="10"/>
  <c r="C346" i="10"/>
  <c r="I346" i="3"/>
  <c r="I346" i="14"/>
  <c r="J87" i="14"/>
  <c r="M229" i="14"/>
  <c r="F266" i="14"/>
  <c r="S86" i="2" a="1"/>
  <c r="S86" i="2"/>
  <c r="F266" i="10"/>
  <c r="G165" i="14"/>
  <c r="Y79" i="2" a="1"/>
  <c r="Y79" i="2"/>
  <c r="G165" i="10"/>
  <c r="H144" i="14"/>
  <c r="C144" i="14"/>
  <c r="AE31" i="2" a="1"/>
  <c r="AE31" i="2"/>
  <c r="H144" i="10"/>
  <c r="C144" i="10"/>
  <c r="I144" i="3"/>
  <c r="I140" i="14"/>
  <c r="AK62" i="2" a="1"/>
  <c r="AK62" i="2"/>
  <c r="I140" i="10"/>
  <c r="D195" i="14"/>
  <c r="I177" i="14"/>
  <c r="K265" i="14"/>
  <c r="AW91" i="2" a="1"/>
  <c r="AW91" i="2"/>
  <c r="K265" i="10"/>
  <c r="J11" i="14"/>
  <c r="AQ19" i="2" a="1"/>
  <c r="AQ19" i="2"/>
  <c r="J11" i="10"/>
  <c r="E7" i="14"/>
  <c r="M68" i="2" a="1"/>
  <c r="M68" i="2"/>
  <c r="E7" i="10"/>
  <c r="H325" i="14"/>
  <c r="F48" i="14"/>
  <c r="Y41" i="2" a="1"/>
  <c r="Y41" i="2"/>
  <c r="G140" i="10"/>
  <c r="K40" i="14"/>
  <c r="K87" i="14"/>
  <c r="AW69" i="2" a="1"/>
  <c r="AW69" i="2"/>
  <c r="K12" i="10"/>
  <c r="AW96" i="2" a="1"/>
  <c r="AW96" i="2"/>
  <c r="K229" i="10"/>
  <c r="K226" i="14"/>
  <c r="K149" i="14"/>
  <c r="K100" i="14"/>
  <c r="K276" i="14"/>
  <c r="AW99" i="2" a="1"/>
  <c r="AW99" i="2"/>
  <c r="K184" i="10"/>
  <c r="K14" i="14"/>
  <c r="K347" i="14"/>
  <c r="K143" i="14"/>
  <c r="K343" i="14"/>
  <c r="K90" i="14"/>
  <c r="C90" i="14"/>
  <c r="K96" i="14"/>
  <c r="AW72" i="2" a="1"/>
  <c r="AW72" i="2"/>
  <c r="K344" i="10"/>
  <c r="K66" i="14"/>
  <c r="K325" i="14"/>
  <c r="AW92" i="2" a="1"/>
  <c r="AW92" i="2"/>
  <c r="K347" i="10"/>
  <c r="K60" i="14"/>
  <c r="AW58" i="2" a="1"/>
  <c r="AW58" i="2"/>
  <c r="K65" i="10"/>
  <c r="AW19" i="2" a="1"/>
  <c r="AW19" i="2"/>
  <c r="K13" i="10"/>
  <c r="AW87" i="2" a="1"/>
  <c r="AW87" i="2"/>
  <c r="K42" i="10"/>
  <c r="K175" i="14"/>
  <c r="AW83" i="2" a="1"/>
  <c r="AW83" i="2"/>
  <c r="K60" i="10"/>
  <c r="AW37" i="2" a="1"/>
  <c r="AW37" i="2"/>
  <c r="K283" i="10"/>
  <c r="K13" i="14"/>
  <c r="AW8" i="2" a="1"/>
  <c r="AW8" i="2"/>
  <c r="K159" i="10"/>
  <c r="AW29" i="2" a="1"/>
  <c r="AW29" i="2"/>
  <c r="K235" i="10"/>
  <c r="K235" i="14"/>
  <c r="K263" i="14"/>
  <c r="K18" i="14"/>
  <c r="K296" i="14"/>
  <c r="K173" i="14"/>
  <c r="K43" i="14"/>
  <c r="K189" i="14"/>
  <c r="K57" i="14"/>
  <c r="AW78" i="2" a="1"/>
  <c r="AW78" i="2"/>
  <c r="K263" i="10"/>
  <c r="K326" i="14"/>
  <c r="K220" i="14"/>
  <c r="K188" i="14"/>
  <c r="K313" i="14"/>
  <c r="C313" i="14"/>
  <c r="K51" i="14"/>
  <c r="AW49" i="2" a="1"/>
  <c r="AW49" i="2"/>
  <c r="K57" i="10"/>
  <c r="AW15" i="2" a="1"/>
  <c r="AW15" i="2"/>
  <c r="K194" i="10"/>
  <c r="AW42" i="2" a="1"/>
  <c r="AW42" i="2"/>
  <c r="K175" i="10"/>
  <c r="AW64" i="2" a="1"/>
  <c r="AW64" i="2"/>
  <c r="AW77" i="2" a="1"/>
  <c r="AW77" i="2"/>
  <c r="K51" i="10"/>
  <c r="AW56" i="2" a="1"/>
  <c r="AW56" i="2"/>
  <c r="K16" i="10"/>
  <c r="AW93" i="2" a="1"/>
  <c r="AW93" i="2"/>
  <c r="K33" i="14"/>
  <c r="K238" i="14"/>
  <c r="K101" i="14"/>
  <c r="K119" i="14"/>
  <c r="AW51" i="2" a="1"/>
  <c r="AW51" i="2"/>
  <c r="K109" i="10"/>
  <c r="AW76" i="2" a="1"/>
  <c r="AW76" i="2"/>
  <c r="K53" i="10"/>
  <c r="K72" i="14"/>
  <c r="K25" i="14"/>
  <c r="AW13" i="2" a="1"/>
  <c r="AW13" i="2"/>
  <c r="K177" i="10"/>
  <c r="AW81" i="2" a="1"/>
  <c r="AW81" i="2"/>
  <c r="K42" i="14"/>
  <c r="K137" i="14"/>
  <c r="K184" i="14"/>
  <c r="AW95" i="2" a="1"/>
  <c r="AW95" i="2"/>
  <c r="K234" i="14"/>
  <c r="K251" i="14"/>
  <c r="K16" i="14"/>
  <c r="AW67" i="2" a="1"/>
  <c r="AW67" i="2"/>
  <c r="AW79" i="2" a="1"/>
  <c r="AW79" i="2"/>
  <c r="K101" i="10"/>
  <c r="AW27" i="2" a="1"/>
  <c r="AW27" i="2"/>
  <c r="K266" i="10"/>
  <c r="AW60" i="2" a="1"/>
  <c r="AW60" i="2"/>
  <c r="K189" i="10"/>
  <c r="AW35" i="2" a="1"/>
  <c r="AW35" i="2"/>
  <c r="K48" i="10"/>
  <c r="AW33" i="2" a="1"/>
  <c r="AW33" i="2"/>
  <c r="K188" i="10"/>
  <c r="AW21" i="2" a="1"/>
  <c r="AW21" i="2"/>
  <c r="K39" i="10"/>
  <c r="K290" i="14"/>
  <c r="AW25" i="2" a="1"/>
  <c r="AW25" i="2"/>
  <c r="K173" i="10"/>
  <c r="K212" i="14"/>
  <c r="K54" i="14"/>
  <c r="K299" i="14"/>
  <c r="K12" i="14"/>
  <c r="K63" i="14"/>
  <c r="AW22" i="2" a="1"/>
  <c r="AW22" i="2"/>
  <c r="K66" i="10"/>
  <c r="AW57" i="2" a="1"/>
  <c r="AW57" i="2"/>
  <c r="K226" i="10"/>
  <c r="K194" i="14"/>
  <c r="C194" i="14"/>
  <c r="K182" i="14"/>
  <c r="K323" i="14"/>
  <c r="AW11" i="2" a="1"/>
  <c r="AW11" i="2"/>
  <c r="K143" i="10"/>
  <c r="K32" i="14"/>
  <c r="AW10" i="2" a="1"/>
  <c r="AW10" i="2"/>
  <c r="K290" i="10"/>
  <c r="AW32" i="2" a="1"/>
  <c r="AW32" i="2"/>
  <c r="K63" i="10"/>
  <c r="K177" i="14"/>
  <c r="K56" i="14"/>
  <c r="K122" i="14"/>
  <c r="AW74" i="2" a="1"/>
  <c r="AW74" i="2"/>
  <c r="K321" i="10"/>
  <c r="AW88" i="2" a="1"/>
  <c r="AW88" i="2"/>
  <c r="K87" i="10"/>
  <c r="AW43" i="2" a="1"/>
  <c r="AW43" i="2"/>
  <c r="K33" i="10"/>
  <c r="AW62" i="2" a="1"/>
  <c r="AW62" i="2"/>
  <c r="K56" i="10"/>
  <c r="AW18" i="2" a="1"/>
  <c r="AW18" i="2"/>
  <c r="K237" i="10"/>
  <c r="AW75" i="2" a="1"/>
  <c r="AW75" i="2"/>
  <c r="K96" i="10"/>
  <c r="AW12" i="2" a="1"/>
  <c r="AW12" i="2"/>
  <c r="K348" i="10"/>
  <c r="AW71" i="2" a="1"/>
  <c r="AW71" i="2"/>
  <c r="K329" i="14"/>
  <c r="AW97" i="2" a="1"/>
  <c r="AW97" i="2"/>
  <c r="K211" i="10"/>
  <c r="K283" i="14"/>
  <c r="K53" i="14"/>
  <c r="AW94" i="2" a="1"/>
  <c r="AW94" i="2"/>
  <c r="K282" i="10"/>
  <c r="AW41" i="2" a="1"/>
  <c r="AW41" i="2"/>
  <c r="K343" i="10"/>
  <c r="AW45" i="2" a="1"/>
  <c r="AW45" i="2"/>
  <c r="K326" i="10"/>
  <c r="AW86" i="2" a="1"/>
  <c r="AW86" i="2"/>
  <c r="K260" i="10"/>
  <c r="AW66" i="2" a="1"/>
  <c r="AW66" i="2"/>
  <c r="K109" i="14"/>
  <c r="K48" i="14"/>
  <c r="AW61" i="2" a="1"/>
  <c r="AW61" i="2"/>
  <c r="K323" i="10"/>
  <c r="K39" i="14"/>
  <c r="K237" i="14"/>
  <c r="AW38" i="2" a="1"/>
  <c r="AW38" i="2"/>
  <c r="K23" i="10"/>
  <c r="K260" i="14"/>
  <c r="AW102" i="2" a="1"/>
  <c r="AW102" i="2"/>
  <c r="K72" i="10"/>
  <c r="AW23" i="2" a="1"/>
  <c r="AW23" i="2"/>
  <c r="K329" i="10"/>
  <c r="AW63" i="2" a="1"/>
  <c r="AW63" i="2"/>
  <c r="K220" i="10"/>
  <c r="AW39" i="2" a="1"/>
  <c r="AW39" i="2"/>
  <c r="K18" i="10"/>
  <c r="AW70" i="2" a="1"/>
  <c r="AW70" i="2"/>
  <c r="K40" i="10"/>
  <c r="K76" i="14"/>
  <c r="AW100" i="2" a="1"/>
  <c r="AW100" i="2"/>
  <c r="K122" i="10"/>
  <c r="AW55" i="2" a="1"/>
  <c r="AW55" i="2"/>
  <c r="K259" i="10"/>
  <c r="K17" i="14"/>
  <c r="AW36" i="2" a="1"/>
  <c r="AW36" i="2"/>
  <c r="K90" i="10"/>
  <c r="K266" i="14"/>
  <c r="AW65" i="2" a="1"/>
  <c r="AW65" i="2"/>
  <c r="K25" i="10"/>
  <c r="K321" i="14"/>
  <c r="AW48" i="2" a="1"/>
  <c r="AW48" i="2"/>
  <c r="K54" i="10"/>
  <c r="K62" i="14"/>
  <c r="AW85" i="2" a="1"/>
  <c r="AW85" i="2"/>
  <c r="K238" i="10"/>
  <c r="K159" i="14"/>
  <c r="AW40" i="2" a="1"/>
  <c r="AW40" i="2"/>
  <c r="K50" i="10"/>
  <c r="AW84" i="2" a="1"/>
  <c r="AW84" i="2"/>
  <c r="K212" i="10"/>
  <c r="AW44" i="2" a="1"/>
  <c r="AW44" i="2"/>
  <c r="K76" i="10"/>
  <c r="AW16" i="2" a="1"/>
  <c r="AW16" i="2"/>
  <c r="K14" i="10"/>
  <c r="K211" i="14"/>
  <c r="AW30" i="2" a="1"/>
  <c r="AW30" i="2"/>
  <c r="K234" i="10"/>
  <c r="AW34" i="2" a="1"/>
  <c r="AW34" i="2"/>
  <c r="K119" i="10"/>
  <c r="K65" i="14"/>
  <c r="AW80" i="2" a="1"/>
  <c r="AW80" i="2"/>
  <c r="K32" i="10"/>
  <c r="K282" i="14"/>
  <c r="K281" i="14"/>
  <c r="AW82" i="2" a="1"/>
  <c r="AW82" i="2"/>
  <c r="K43" i="10"/>
  <c r="AW26" i="2" a="1"/>
  <c r="AW26" i="2"/>
  <c r="K180" i="10"/>
  <c r="AW68" i="2" a="1"/>
  <c r="AW68" i="2"/>
  <c r="K334" i="10"/>
  <c r="AW46" i="2" a="1"/>
  <c r="AW46" i="2"/>
  <c r="K62" i="10"/>
  <c r="K236" i="14"/>
  <c r="AW89" i="2" a="1"/>
  <c r="AW89" i="2"/>
  <c r="K333" i="10"/>
  <c r="AW9" i="2" a="1"/>
  <c r="AW9" i="2"/>
  <c r="K325" i="10"/>
  <c r="AW90" i="2" a="1"/>
  <c r="AW90" i="2"/>
  <c r="K251" i="10"/>
  <c r="AW24" i="2" a="1"/>
  <c r="AW24" i="2"/>
  <c r="K137" i="10"/>
  <c r="AW73" i="2" a="1"/>
  <c r="AW73" i="2"/>
  <c r="K236" i="10"/>
  <c r="AW53" i="2" a="1"/>
  <c r="AW53" i="2"/>
  <c r="K149" i="10"/>
  <c r="AW47" i="2" a="1"/>
  <c r="AW47" i="2"/>
  <c r="K100" i="10"/>
  <c r="AW20" i="2" a="1"/>
  <c r="AW20" i="2"/>
  <c r="K182" i="10"/>
  <c r="K180" i="14"/>
  <c r="M88" i="14"/>
  <c r="BI54" i="2" a="1"/>
  <c r="BI54" i="2"/>
  <c r="M88" i="10"/>
  <c r="G230" i="14"/>
  <c r="Y57" i="2" a="1"/>
  <c r="Y57" i="2"/>
  <c r="G230" i="10"/>
  <c r="AE79" i="2" a="1"/>
  <c r="AE79" i="2"/>
  <c r="H13" i="10"/>
  <c r="H13" i="14"/>
  <c r="I39" i="14"/>
  <c r="AK56" i="2" a="1"/>
  <c r="AK56" i="2"/>
  <c r="I39" i="10"/>
  <c r="M158" i="14"/>
  <c r="BI52" i="2" a="1"/>
  <c r="BI52" i="2"/>
  <c r="M158" i="10"/>
  <c r="J323" i="14"/>
  <c r="AQ95" i="2" a="1"/>
  <c r="AQ95" i="2"/>
  <c r="J323" i="10"/>
  <c r="H43" i="14"/>
  <c r="AE49" i="2" a="1"/>
  <c r="AE49" i="2"/>
  <c r="H43" i="10"/>
  <c r="E42" i="14"/>
  <c r="M11" i="2" a="1"/>
  <c r="M11" i="2"/>
  <c r="E42" i="10"/>
  <c r="BC94" i="2" a="1"/>
  <c r="BC94" i="2"/>
  <c r="L334" i="10"/>
  <c r="J184" i="14"/>
  <c r="AQ38" i="2" a="1"/>
  <c r="AQ38" i="2"/>
  <c r="J173" i="10"/>
  <c r="D18" i="14"/>
  <c r="G15" i="2" a="1"/>
  <c r="G15" i="2"/>
  <c r="D18" i="10"/>
  <c r="M140" i="14"/>
  <c r="BI55" i="2" a="1"/>
  <c r="BI55" i="2"/>
  <c r="M140" i="10"/>
  <c r="F200" i="14"/>
  <c r="S34" i="2" a="1"/>
  <c r="S34" i="2"/>
  <c r="F200" i="10"/>
  <c r="J192" i="14"/>
  <c r="AQ77" i="2" a="1"/>
  <c r="AQ77" i="2"/>
  <c r="J192" i="10"/>
  <c r="G69" i="14"/>
  <c r="Y63" i="2" a="1"/>
  <c r="Y63" i="2"/>
  <c r="G69" i="10"/>
  <c r="F173" i="14"/>
  <c r="M55" i="2" a="1"/>
  <c r="M55" i="2"/>
  <c r="E47" i="10"/>
  <c r="E47" i="14"/>
  <c r="AK28" i="2" a="1"/>
  <c r="AK28" i="2"/>
  <c r="I51" i="10"/>
  <c r="I51" i="14"/>
  <c r="I13" i="14"/>
  <c r="AK69" i="2" a="1"/>
  <c r="AK69" i="2"/>
  <c r="I13" i="10"/>
  <c r="M350" i="14"/>
  <c r="J43" i="14"/>
  <c r="BO77" i="2" a="1"/>
  <c r="BO77" i="2"/>
  <c r="N87" i="10"/>
  <c r="N46" i="14"/>
  <c r="BI45" i="2" a="1"/>
  <c r="BI45" i="2"/>
  <c r="M56" i="10"/>
  <c r="M56" i="14"/>
  <c r="AQ30" i="2" a="1"/>
  <c r="AQ30" i="2"/>
  <c r="J175" i="10"/>
  <c r="J175" i="14"/>
  <c r="G182" i="14"/>
  <c r="Y26" i="2" a="1"/>
  <c r="Y26" i="2"/>
  <c r="G182" i="10"/>
  <c r="AE67" i="2" a="1"/>
  <c r="AE67" i="2"/>
  <c r="E208" i="14"/>
  <c r="M94" i="2" a="1"/>
  <c r="M94" i="2"/>
  <c r="E208" i="10"/>
  <c r="I348" i="14"/>
  <c r="AK17" i="2" a="1"/>
  <c r="AK17" i="2"/>
  <c r="I348" i="10"/>
  <c r="N159" i="14"/>
  <c r="BO18" i="2" a="1"/>
  <c r="BO18" i="2"/>
  <c r="N159" i="10"/>
  <c r="BO21" i="2" a="1"/>
  <c r="BO21" i="2"/>
  <c r="N55" i="10"/>
  <c r="BO59" i="2" a="1"/>
  <c r="BO59" i="2"/>
  <c r="N282" i="10"/>
  <c r="BO82" i="2" a="1"/>
  <c r="BO82" i="2"/>
  <c r="N112" i="10"/>
  <c r="C112" i="10"/>
  <c r="I112" i="3"/>
  <c r="N202" i="14"/>
  <c r="N11" i="14"/>
  <c r="BO75" i="2" a="1"/>
  <c r="BO75" i="2"/>
  <c r="BO50" i="2" a="1"/>
  <c r="BO50" i="2"/>
  <c r="N219" i="10"/>
  <c r="C219" i="10"/>
  <c r="I219" i="3"/>
  <c r="BO27" i="2" a="1"/>
  <c r="BO27" i="2"/>
  <c r="N18" i="10"/>
  <c r="BO74" i="2" a="1"/>
  <c r="BO74" i="2"/>
  <c r="N44" i="10"/>
  <c r="N143" i="14"/>
  <c r="N63" i="14"/>
  <c r="BO39" i="2" a="1"/>
  <c r="BO39" i="2"/>
  <c r="N290" i="10"/>
  <c r="BO55" i="2" a="1"/>
  <c r="BO55" i="2"/>
  <c r="BO23" i="2" a="1"/>
  <c r="BO23" i="2"/>
  <c r="N222" i="10"/>
  <c r="N171" i="14"/>
  <c r="BO46" i="2" a="1"/>
  <c r="BO46" i="2"/>
  <c r="N56" i="10"/>
  <c r="N83" i="14"/>
  <c r="BO14" i="2" a="1"/>
  <c r="BO14" i="2"/>
  <c r="BO85" i="2" a="1"/>
  <c r="BO85" i="2"/>
  <c r="N53" i="10"/>
  <c r="N226" i="14"/>
  <c r="N14" i="14"/>
  <c r="N224" i="14"/>
  <c r="BO92" i="2" a="1"/>
  <c r="BO92" i="2"/>
  <c r="BO33" i="2" a="1"/>
  <c r="BO33" i="2"/>
  <c r="N160" i="10"/>
  <c r="C160" i="10"/>
  <c r="I160" i="3"/>
  <c r="BO44" i="2" a="1"/>
  <c r="BO44" i="2"/>
  <c r="N65" i="10"/>
  <c r="N44" i="14"/>
  <c r="BO81" i="2" a="1"/>
  <c r="BO81" i="2"/>
  <c r="N94" i="10"/>
  <c r="N212" i="14"/>
  <c r="BO65" i="2" a="1"/>
  <c r="BO65" i="2"/>
  <c r="N45" i="10"/>
  <c r="BO31" i="2" a="1"/>
  <c r="BO31" i="2"/>
  <c r="N74" i="10"/>
  <c r="N197" i="14"/>
  <c r="BO35" i="2" a="1"/>
  <c r="BO35" i="2"/>
  <c r="N7" i="10"/>
  <c r="N341" i="14"/>
  <c r="N326" i="14"/>
  <c r="N48" i="14"/>
  <c r="BO42" i="2" a="1"/>
  <c r="BO42" i="2"/>
  <c r="N48" i="10"/>
  <c r="N210" i="14"/>
  <c r="N168" i="14"/>
  <c r="BO29" i="2" a="1"/>
  <c r="BO29" i="2"/>
  <c r="N230" i="10"/>
  <c r="N6" i="14"/>
  <c r="N7" i="14"/>
  <c r="N40" i="14"/>
  <c r="BO51" i="2" a="1"/>
  <c r="BO51" i="2"/>
  <c r="N46" i="10"/>
  <c r="BO15" i="2" a="1"/>
  <c r="BO15" i="2"/>
  <c r="N177" i="10"/>
  <c r="BO89" i="2" a="1"/>
  <c r="BO89" i="2"/>
  <c r="N322" i="10"/>
  <c r="BO13" i="2" a="1"/>
  <c r="BO13" i="2"/>
  <c r="N119" i="10"/>
  <c r="N100" i="14"/>
  <c r="N235" i="14"/>
  <c r="BO96" i="2" a="1"/>
  <c r="BO96" i="2"/>
  <c r="N224" i="10"/>
  <c r="BO70" i="2" a="1"/>
  <c r="BO70" i="2"/>
  <c r="N54" i="10"/>
  <c r="N65" i="14"/>
  <c r="N296" i="14"/>
  <c r="N322" i="14"/>
  <c r="BO56" i="2" a="1"/>
  <c r="BO56" i="2"/>
  <c r="N88" i="10"/>
  <c r="BO24" i="2" a="1"/>
  <c r="BO24" i="2"/>
  <c r="N242" i="14"/>
  <c r="BO94" i="2" a="1"/>
  <c r="BO94" i="2"/>
  <c r="N62" i="10"/>
  <c r="BO88" i="2" a="1"/>
  <c r="BO88" i="2"/>
  <c r="N325" i="10"/>
  <c r="BO34" i="2" a="1"/>
  <c r="BO34" i="2"/>
  <c r="N212" i="10"/>
  <c r="BO63" i="2" a="1"/>
  <c r="BO63" i="2"/>
  <c r="N353" i="10"/>
  <c r="D196" i="14"/>
  <c r="C196" i="14"/>
  <c r="N15" i="14"/>
  <c r="G88" i="2" a="1"/>
  <c r="G88" i="2"/>
  <c r="D325" i="10"/>
  <c r="F139" i="14"/>
  <c r="S29" i="2" a="1"/>
  <c r="S29" i="2"/>
  <c r="F139" i="10"/>
  <c r="F288" i="14"/>
  <c r="S9" i="2" a="1"/>
  <c r="S9" i="2"/>
  <c r="F288" i="10"/>
  <c r="D343" i="14"/>
  <c r="G92" i="2" a="1"/>
  <c r="G92" i="2"/>
  <c r="D343" i="10"/>
  <c r="K197" i="14"/>
  <c r="AW31" i="2" a="1"/>
  <c r="AW31" i="2"/>
  <c r="K197" i="10"/>
  <c r="BI47" i="2" a="1"/>
  <c r="BI47" i="2"/>
  <c r="M32" i="10"/>
  <c r="M32" i="14"/>
  <c r="M276" i="14"/>
  <c r="BI61" i="2" a="1"/>
  <c r="BI61" i="2"/>
  <c r="BI50" i="2" a="1"/>
  <c r="BI50" i="2"/>
  <c r="M74" i="10"/>
  <c r="M74" i="14"/>
  <c r="BI48" i="2" a="1"/>
  <c r="BI48" i="2"/>
  <c r="M7" i="10"/>
  <c r="M7" i="14"/>
  <c r="J305" i="14"/>
  <c r="AQ64" i="2" a="1"/>
  <c r="AQ64" i="2"/>
  <c r="J305" i="10"/>
  <c r="J329" i="14"/>
  <c r="AQ68" i="2" a="1"/>
  <c r="AQ68" i="2"/>
  <c r="J329" i="10"/>
  <c r="J62" i="14"/>
  <c r="AQ42" i="2" a="1"/>
  <c r="AQ42" i="2"/>
  <c r="J62" i="10"/>
  <c r="Y78" i="2" a="1"/>
  <c r="Y78" i="2"/>
  <c r="G260" i="10"/>
  <c r="G260" i="14"/>
  <c r="Y21" i="2" a="1"/>
  <c r="Y21" i="2"/>
  <c r="G250" i="10"/>
  <c r="G250" i="14"/>
  <c r="G21" i="14"/>
  <c r="Y53" i="2" a="1"/>
  <c r="Y53" i="2"/>
  <c r="G21" i="10"/>
  <c r="M329" i="14"/>
  <c r="L46" i="14"/>
  <c r="L159" i="14"/>
  <c r="H35" i="14"/>
  <c r="AE38" i="2" a="1"/>
  <c r="AE38" i="2"/>
  <c r="H35" i="10"/>
  <c r="H220" i="14"/>
  <c r="AE46" i="2" a="1"/>
  <c r="AE46" i="2"/>
  <c r="H220" i="10"/>
  <c r="H197" i="14"/>
  <c r="AE54" i="2" a="1"/>
  <c r="AE54" i="2"/>
  <c r="H197" i="10"/>
  <c r="E136" i="14"/>
  <c r="M43" i="2" a="1"/>
  <c r="M43" i="2"/>
  <c r="E136" i="10"/>
  <c r="M34" i="2" a="1"/>
  <c r="M34" i="2"/>
  <c r="E291" i="10"/>
  <c r="E291" i="14"/>
  <c r="E263" i="14"/>
  <c r="M12" i="2" a="1"/>
  <c r="M12" i="2"/>
  <c r="E263" i="10"/>
  <c r="I56" i="14"/>
  <c r="AK73" i="2" a="1"/>
  <c r="AK73" i="2"/>
  <c r="I56" i="10"/>
  <c r="AK52" i="2" a="1"/>
  <c r="AK52" i="2"/>
  <c r="I302" i="14"/>
  <c r="AK10" i="2" a="1"/>
  <c r="AK10" i="2"/>
  <c r="I345" i="10"/>
  <c r="I345" i="14"/>
  <c r="I100" i="14"/>
  <c r="AK37" i="2" a="1"/>
  <c r="AK37" i="2"/>
  <c r="I100" i="10"/>
  <c r="AK53" i="2" a="1"/>
  <c r="AK53" i="2"/>
  <c r="I7" i="10"/>
  <c r="I7" i="14"/>
  <c r="E225" i="14"/>
  <c r="C225" i="14"/>
  <c r="N156" i="14"/>
  <c r="C156" i="14"/>
  <c r="BO36" i="2" a="1"/>
  <c r="BO36" i="2"/>
  <c r="N156" i="10"/>
  <c r="F322" i="14"/>
  <c r="G12" i="2" a="1"/>
  <c r="G12" i="2"/>
  <c r="D307" i="10"/>
  <c r="D322" i="14"/>
  <c r="F39" i="14"/>
  <c r="L149" i="14"/>
  <c r="AQ8" i="2" a="1"/>
  <c r="AQ8" i="2"/>
  <c r="J50" i="10"/>
  <c r="J212" i="14"/>
  <c r="BO53" i="2" a="1"/>
  <c r="BO53" i="2"/>
  <c r="N32" i="10"/>
  <c r="N282" i="14"/>
  <c r="N311" i="14"/>
  <c r="BO91" i="2" a="1"/>
  <c r="BO91" i="2"/>
  <c r="N14" i="10"/>
  <c r="N222" i="14"/>
  <c r="N56" i="14"/>
  <c r="N30" i="14"/>
  <c r="BO68" i="2" a="1"/>
  <c r="BO68" i="2"/>
  <c r="N129" i="10"/>
  <c r="L278" i="14"/>
  <c r="M61" i="2" a="1"/>
  <c r="M61" i="2"/>
  <c r="E61" i="10"/>
  <c r="BI80" i="2" a="1"/>
  <c r="BI80" i="2"/>
  <c r="M50" i="10"/>
  <c r="M43" i="14"/>
  <c r="M251" i="14"/>
  <c r="BI31" i="2" a="1"/>
  <c r="BI31" i="2"/>
  <c r="M182" i="10"/>
  <c r="BI9" i="2" a="1"/>
  <c r="BI9" i="2"/>
  <c r="M230" i="10"/>
  <c r="M325" i="14"/>
  <c r="BI59" i="2" a="1"/>
  <c r="BI59" i="2"/>
  <c r="M264" i="10"/>
  <c r="M266" i="14"/>
  <c r="BI41" i="2" a="1"/>
  <c r="BI41" i="2"/>
  <c r="M334" i="10"/>
  <c r="BI77" i="2" a="1"/>
  <c r="BI77" i="2"/>
  <c r="M109" i="10"/>
  <c r="M343" i="14"/>
  <c r="M226" i="14"/>
  <c r="M334" i="14"/>
  <c r="M182" i="14"/>
  <c r="BI83" i="2" a="1"/>
  <c r="BI83" i="2"/>
  <c r="M180" i="10"/>
  <c r="M68" i="14"/>
  <c r="BI11" i="2" a="1"/>
  <c r="BI11" i="2"/>
  <c r="M30" i="10"/>
  <c r="M322" i="14"/>
  <c r="BI19" i="2" a="1"/>
  <c r="BI19" i="2"/>
  <c r="M307" i="10"/>
  <c r="M64" i="14"/>
  <c r="M150" i="14"/>
  <c r="C150" i="14"/>
  <c r="BI25" i="2" a="1"/>
  <c r="BI25" i="2"/>
  <c r="M322" i="10"/>
  <c r="M109" i="14"/>
  <c r="BI22" i="2" a="1"/>
  <c r="BI22" i="2"/>
  <c r="M54" i="10"/>
  <c r="M25" i="14"/>
  <c r="BI8" i="2" a="1"/>
  <c r="BI8" i="2"/>
  <c r="M15" i="10"/>
  <c r="M54" i="14"/>
  <c r="M100" i="14"/>
  <c r="BI85" i="2" a="1"/>
  <c r="BI85" i="2"/>
  <c r="M250" i="10"/>
  <c r="BI81" i="2" a="1"/>
  <c r="BI81" i="2"/>
  <c r="M350" i="10"/>
  <c r="BI78" i="2" a="1"/>
  <c r="BI78" i="2"/>
  <c r="M226" i="10"/>
  <c r="BI65" i="2" a="1"/>
  <c r="BI65" i="2"/>
  <c r="M150" i="10"/>
  <c r="C150" i="10"/>
  <c r="I150" i="3"/>
  <c r="BI43" i="2" a="1"/>
  <c r="BI43" i="2"/>
  <c r="M64" i="10"/>
  <c r="M159" i="14"/>
  <c r="BI32" i="2" a="1"/>
  <c r="BI32" i="2"/>
  <c r="M159" i="10"/>
  <c r="M180" i="14"/>
  <c r="BI92" i="2" a="1"/>
  <c r="BI92" i="2"/>
  <c r="M184" i="10"/>
  <c r="M53" i="14"/>
  <c r="BI21" i="2" a="1"/>
  <c r="BI21" i="2"/>
  <c r="M43" i="10"/>
  <c r="BI90" i="2" a="1"/>
  <c r="BI90" i="2"/>
  <c r="M325" i="10"/>
  <c r="BI29" i="2" a="1"/>
  <c r="BI29" i="2"/>
  <c r="M266" i="10"/>
  <c r="BI39" i="2" a="1"/>
  <c r="BI39" i="2"/>
  <c r="M234" i="10"/>
  <c r="M15" i="14"/>
  <c r="M50" i="14"/>
  <c r="M30" i="14"/>
  <c r="BI86" i="2" a="1"/>
  <c r="BI86" i="2"/>
  <c r="M343" i="10"/>
  <c r="BI89" i="2" a="1"/>
  <c r="BI89" i="2"/>
  <c r="M68" i="10"/>
  <c r="BI18" i="2" a="1"/>
  <c r="BI18" i="2"/>
  <c r="M100" i="10"/>
  <c r="BI24" i="2" a="1"/>
  <c r="BI24" i="2"/>
  <c r="M12" i="10"/>
  <c r="M12" i="14"/>
  <c r="M13" i="14"/>
  <c r="BI49" i="2" a="1"/>
  <c r="BI49" i="2"/>
  <c r="M348" i="10"/>
  <c r="BI17" i="2" a="1"/>
  <c r="BI17" i="2"/>
  <c r="M329" i="10"/>
  <c r="BI42" i="2" a="1"/>
  <c r="BI42" i="2"/>
  <c r="M251" i="10"/>
  <c r="D351" i="14"/>
  <c r="E250" i="14"/>
  <c r="M64" i="2" a="1"/>
  <c r="M64" i="2"/>
  <c r="E250" i="10"/>
  <c r="J345" i="14"/>
  <c r="S45" i="2" a="1"/>
  <c r="S45" i="2"/>
  <c r="F23" i="10"/>
  <c r="F23" i="14"/>
  <c r="BI46" i="2" a="1"/>
  <c r="BI46" i="2"/>
  <c r="M24" i="10"/>
  <c r="M24" i="14"/>
  <c r="D352" i="14"/>
  <c r="AE51" i="2" a="1"/>
  <c r="AE51" i="2"/>
  <c r="H273" i="10"/>
  <c r="H273" i="14"/>
  <c r="I212" i="14"/>
  <c r="AK43" i="2" a="1"/>
  <c r="AK43" i="2"/>
  <c r="I212" i="10"/>
  <c r="M250" i="14"/>
  <c r="AQ94" i="2" a="1"/>
  <c r="AQ94" i="2"/>
  <c r="J51" i="10"/>
  <c r="J33" i="14"/>
  <c r="D265" i="14"/>
  <c r="G48" i="2" a="1"/>
  <c r="G48" i="2"/>
  <c r="D265" i="10"/>
  <c r="Y11" i="2" a="1"/>
  <c r="Y11" i="2"/>
  <c r="G333" i="10"/>
  <c r="G25" i="14"/>
  <c r="G141" i="14"/>
  <c r="G173" i="14"/>
  <c r="G166" i="14"/>
  <c r="G129" i="14"/>
  <c r="Y88" i="2" a="1"/>
  <c r="Y88" i="2"/>
  <c r="Y14" i="2" a="1"/>
  <c r="Y14" i="2"/>
  <c r="G48" i="14"/>
  <c r="Y32" i="2" a="1"/>
  <c r="Y32" i="2"/>
  <c r="G326" i="10"/>
  <c r="Y62" i="2" a="1"/>
  <c r="Y62" i="2"/>
  <c r="G149" i="10"/>
  <c r="G319" i="14"/>
  <c r="Y59" i="2" a="1"/>
  <c r="Y59" i="2"/>
  <c r="G56" i="10"/>
  <c r="Y45" i="2" a="1"/>
  <c r="Y45" i="2"/>
  <c r="G129" i="10"/>
  <c r="G149" i="14"/>
  <c r="Y85" i="2" a="1"/>
  <c r="Y85" i="2"/>
  <c r="G143" i="10"/>
  <c r="G61" i="14"/>
  <c r="Y9" i="2" a="1"/>
  <c r="Y9" i="2"/>
  <c r="G17" i="10"/>
  <c r="Y58" i="2" a="1"/>
  <c r="Y58" i="2"/>
  <c r="G62" i="10"/>
  <c r="G62" i="14"/>
  <c r="G82" i="14"/>
  <c r="C82" i="14"/>
  <c r="G56" i="14"/>
  <c r="G266" i="14"/>
  <c r="Y73" i="2" a="1"/>
  <c r="Y73" i="2"/>
  <c r="G82" i="10"/>
  <c r="C82" i="10"/>
  <c r="I82" i="3"/>
  <c r="Y28" i="2" a="1"/>
  <c r="Y28" i="2"/>
  <c r="G25" i="10"/>
  <c r="Y89" i="2" a="1"/>
  <c r="Y89" i="2"/>
  <c r="G61" i="10"/>
  <c r="G189" i="14"/>
  <c r="G177" i="14"/>
  <c r="Y35" i="2" a="1"/>
  <c r="Y35" i="2"/>
  <c r="G173" i="10"/>
  <c r="G65" i="14"/>
  <c r="G197" i="14"/>
  <c r="Y81" i="2" a="1"/>
  <c r="Y81" i="2"/>
  <c r="Y30" i="2" a="1"/>
  <c r="Y30" i="2"/>
  <c r="G189" i="10"/>
  <c r="Y67" i="2" a="1"/>
  <c r="Y67" i="2"/>
  <c r="G65" i="10"/>
  <c r="Y75" i="2" a="1"/>
  <c r="Y75" i="2"/>
  <c r="G101" i="10"/>
  <c r="Y86" i="2" a="1"/>
  <c r="Y86" i="2"/>
  <c r="G166" i="10"/>
  <c r="Y8" i="2" a="1"/>
  <c r="Y8" i="2"/>
  <c r="G141" i="10"/>
  <c r="G208" i="14"/>
  <c r="V4" i="2" a="1"/>
  <c r="V4" i="2"/>
  <c r="Y2" i="2"/>
  <c r="Y1" i="2"/>
  <c r="Y43" i="2" a="1"/>
  <c r="Y43" i="2"/>
  <c r="G177" i="10"/>
  <c r="G326" i="14"/>
  <c r="E333" i="14"/>
  <c r="M84" i="2" a="1"/>
  <c r="M84" i="2"/>
  <c r="E333" i="10"/>
  <c r="I325" i="14"/>
  <c r="AK74" i="2" a="1"/>
  <c r="AK74" i="2"/>
  <c r="I325" i="10"/>
  <c r="D226" i="14"/>
  <c r="G103" i="2" a="1"/>
  <c r="G103" i="2"/>
  <c r="D57" i="10"/>
  <c r="D57" i="14"/>
  <c r="AQ12" i="2" a="1"/>
  <c r="AQ12" i="2"/>
  <c r="J137" i="10"/>
  <c r="J137" i="14"/>
  <c r="F38" i="14"/>
  <c r="L37" i="14"/>
  <c r="E105" i="14"/>
  <c r="M30" i="2" a="1"/>
  <c r="M30" i="2"/>
  <c r="E105" i="10"/>
  <c r="C105" i="10"/>
  <c r="I105" i="3"/>
  <c r="I16" i="14"/>
  <c r="AK58" i="2" a="1"/>
  <c r="AK58" i="2"/>
  <c r="I16" i="10"/>
  <c r="D39" i="14"/>
  <c r="J173" i="14"/>
  <c r="F66" i="14"/>
  <c r="S36" i="2" a="1"/>
  <c r="S36" i="2"/>
  <c r="F66" i="10"/>
  <c r="G211" i="14"/>
  <c r="Y31" i="2" a="1"/>
  <c r="Y31" i="2"/>
  <c r="G211" i="10"/>
  <c r="H180" i="14"/>
  <c r="AE17" i="2" a="1"/>
  <c r="AE17" i="2"/>
  <c r="H180" i="10"/>
  <c r="AK12" i="2" a="1"/>
  <c r="AK12" i="2"/>
  <c r="I92" i="10"/>
  <c r="I92" i="14"/>
  <c r="AW52" i="2" a="1"/>
  <c r="AW52" i="2"/>
  <c r="K140" i="10"/>
  <c r="K140" i="14"/>
  <c r="M66" i="14"/>
  <c r="BI12" i="2" a="1"/>
  <c r="BI12" i="2"/>
  <c r="M66" i="10"/>
  <c r="G58" i="14"/>
  <c r="Y15" i="2" a="1"/>
  <c r="Y15" i="2"/>
  <c r="G58" i="10"/>
  <c r="D296" i="14"/>
  <c r="G58" i="2" a="1"/>
  <c r="G58" i="2"/>
  <c r="M137" i="14"/>
  <c r="BI53" i="2" a="1"/>
  <c r="BI53" i="2"/>
  <c r="M137" i="10"/>
  <c r="J37" i="14"/>
  <c r="AQ85" i="2" a="1"/>
  <c r="AQ85" i="2"/>
  <c r="J37" i="10"/>
  <c r="H306" i="14"/>
  <c r="AE77" i="2" a="1"/>
  <c r="AE77" i="2"/>
  <c r="H306" i="10"/>
  <c r="E235" i="14"/>
  <c r="M44" i="2" a="1"/>
  <c r="M44" i="2"/>
  <c r="E235" i="10"/>
  <c r="BC56" i="2" a="1"/>
  <c r="BC56" i="2"/>
  <c r="L149" i="10"/>
  <c r="F299" i="14"/>
  <c r="S30" i="2" a="1"/>
  <c r="S30" i="2"/>
  <c r="F250" i="14"/>
  <c r="S37" i="2" a="1"/>
  <c r="S37" i="2"/>
  <c r="F250" i="10"/>
  <c r="D184" i="14"/>
  <c r="G39" i="2" a="1"/>
  <c r="G39" i="2"/>
  <c r="D184" i="10"/>
  <c r="D180" i="14"/>
  <c r="G36" i="2" a="1"/>
  <c r="G36" i="2"/>
  <c r="D180" i="10"/>
  <c r="BI44" i="2" a="1"/>
  <c r="BI44" i="2"/>
  <c r="M6" i="10"/>
  <c r="M6" i="14"/>
  <c r="F51" i="14"/>
  <c r="G251" i="14"/>
  <c r="Y64" i="2" a="1"/>
  <c r="Y64" i="2"/>
  <c r="G251" i="10"/>
  <c r="D207" i="14"/>
  <c r="C207" i="14"/>
  <c r="BC84" i="2" a="1"/>
  <c r="BC84" i="2"/>
  <c r="L226" i="10"/>
  <c r="Y60" i="2" a="1"/>
  <c r="Y60" i="2"/>
  <c r="G266" i="10"/>
  <c r="M13" i="2" a="1"/>
  <c r="M13" i="2"/>
  <c r="E281" i="14"/>
  <c r="I266" i="14"/>
  <c r="AK46" i="2" a="1"/>
  <c r="AK46" i="2"/>
  <c r="I266" i="10"/>
  <c r="I323" i="14"/>
  <c r="AK25" i="2" a="1"/>
  <c r="AK25" i="2"/>
  <c r="I323" i="10"/>
  <c r="BI63" i="2" a="1"/>
  <c r="BI63" i="2"/>
  <c r="M95" i="10"/>
  <c r="G282" i="14"/>
  <c r="J333" i="14"/>
  <c r="D229" i="14"/>
  <c r="AQ60" i="2" a="1"/>
  <c r="AQ60" i="2"/>
  <c r="J63" i="10"/>
  <c r="Y23" i="2" a="1"/>
  <c r="Y23" i="2"/>
  <c r="G197" i="10"/>
  <c r="N62" i="14"/>
  <c r="N148" i="14"/>
  <c r="S32" i="2" a="1"/>
  <c r="S32" i="2"/>
  <c r="F73" i="10"/>
  <c r="F73" i="14"/>
  <c r="D48" i="14"/>
  <c r="G46" i="2" a="1"/>
  <c r="G46" i="2"/>
  <c r="D48" i="10"/>
  <c r="F180" i="14"/>
  <c r="S18" i="2" a="1"/>
  <c r="S18" i="2"/>
  <c r="F180" i="10"/>
  <c r="F275" i="14"/>
  <c r="S43" i="2" a="1"/>
  <c r="S43" i="2"/>
  <c r="F220" i="14"/>
  <c r="S28" i="2" a="1"/>
  <c r="S28" i="2"/>
  <c r="F220" i="10"/>
  <c r="F284" i="14"/>
  <c r="S85" i="2" a="1"/>
  <c r="S85" i="2"/>
  <c r="F284" i="10"/>
  <c r="G43" i="2" a="1"/>
  <c r="G43" i="2"/>
  <c r="D21" i="10"/>
  <c r="D21" i="14"/>
  <c r="F204" i="14"/>
  <c r="S105" i="2" a="1"/>
  <c r="S105" i="2"/>
  <c r="F204" i="10"/>
  <c r="M42" i="14"/>
  <c r="BI60" i="2" a="1"/>
  <c r="BI60" i="2"/>
  <c r="M42" i="10"/>
  <c r="M142" i="14"/>
  <c r="C142" i="14"/>
  <c r="BI23" i="2" a="1"/>
  <c r="BI23" i="2"/>
  <c r="M142" i="10"/>
  <c r="C142" i="10"/>
  <c r="I142" i="3"/>
  <c r="BI93" i="2" a="1"/>
  <c r="BI93" i="2"/>
  <c r="M33" i="10"/>
  <c r="M33" i="14"/>
  <c r="M306" i="14"/>
  <c r="BI10" i="2" a="1"/>
  <c r="BI10" i="2"/>
  <c r="AQ37" i="2" a="1"/>
  <c r="AQ37" i="2"/>
  <c r="J7" i="10"/>
  <c r="J7" i="14"/>
  <c r="J343" i="14"/>
  <c r="AQ69" i="2" a="1"/>
  <c r="AQ69" i="2"/>
  <c r="J343" i="10"/>
  <c r="J347" i="14"/>
  <c r="AQ24" i="2" a="1"/>
  <c r="AQ24" i="2"/>
  <c r="J347" i="10"/>
  <c r="Y22" i="2" a="1"/>
  <c r="Y22" i="2"/>
  <c r="G234" i="10"/>
  <c r="G234" i="14"/>
  <c r="G98" i="14"/>
  <c r="Y39" i="2" a="1"/>
  <c r="Y39" i="2"/>
  <c r="G98" i="10"/>
  <c r="G272" i="14"/>
  <c r="Y34" i="2" a="1"/>
  <c r="Y34" i="2"/>
  <c r="M307" i="14"/>
  <c r="D46" i="14"/>
  <c r="G143" i="14"/>
  <c r="H7" i="14"/>
  <c r="AE12" i="2" a="1"/>
  <c r="AE12" i="2"/>
  <c r="H7" i="10"/>
  <c r="AE70" i="2" a="1"/>
  <c r="AE70" i="2"/>
  <c r="H122" i="10"/>
  <c r="H122" i="14"/>
  <c r="H66" i="14"/>
  <c r="AE10" i="2" a="1"/>
  <c r="AE10" i="2"/>
  <c r="H66" i="10"/>
  <c r="BI75" i="2" a="1"/>
  <c r="BI75" i="2"/>
  <c r="M332" i="10"/>
  <c r="E12" i="14"/>
  <c r="M32" i="2" a="1"/>
  <c r="M32" i="2"/>
  <c r="E12" i="10"/>
  <c r="E215" i="14"/>
  <c r="C215" i="14"/>
  <c r="M53" i="2" a="1"/>
  <c r="M53" i="2"/>
  <c r="E215" i="10"/>
  <c r="C215" i="10"/>
  <c r="I215" i="3"/>
  <c r="E282" i="14"/>
  <c r="M20" i="2" a="1"/>
  <c r="M20" i="2"/>
  <c r="E282" i="10"/>
  <c r="E222" i="14"/>
  <c r="M37" i="2" a="1"/>
  <c r="M37" i="2"/>
  <c r="E222" i="10"/>
  <c r="J179" i="14"/>
  <c r="I40" i="14"/>
  <c r="AK20" i="2" a="1"/>
  <c r="AK20" i="2"/>
  <c r="I40" i="10"/>
  <c r="I279" i="14"/>
  <c r="AK70" i="2" a="1"/>
  <c r="AK70" i="2"/>
  <c r="I46" i="14"/>
  <c r="AK55" i="2" a="1"/>
  <c r="AK55" i="2"/>
  <c r="I46" i="10"/>
  <c r="AK68" i="2" a="1"/>
  <c r="AK68" i="2"/>
  <c r="I241" i="10"/>
  <c r="I241" i="14"/>
  <c r="I66" i="14"/>
  <c r="AK72" i="2" a="1"/>
  <c r="AK72" i="2"/>
  <c r="I66" i="10"/>
  <c r="F318" i="14"/>
  <c r="BI74" i="2" a="1"/>
  <c r="BI74" i="2"/>
  <c r="M347" i="10"/>
  <c r="H152" i="14"/>
  <c r="G25" i="2" a="1"/>
  <c r="G25" i="2"/>
  <c r="D39" i="10"/>
  <c r="D289" i="14"/>
  <c r="D91" i="14"/>
  <c r="C91" i="14"/>
  <c r="BI30" i="2" a="1"/>
  <c r="BI30" i="2"/>
  <c r="M53" i="10"/>
  <c r="AQ81" i="2" a="1"/>
  <c r="AQ81" i="2"/>
  <c r="L311" i="14"/>
  <c r="E325" i="14"/>
  <c r="S79" i="2" a="1"/>
  <c r="S79" i="2"/>
  <c r="N87" i="14"/>
  <c r="N290" i="14"/>
  <c r="BO99" i="2" a="1"/>
  <c r="BO99" i="2"/>
  <c r="N140" i="10"/>
  <c r="BO57" i="2" a="1"/>
  <c r="BO57" i="2"/>
  <c r="N50" i="10"/>
  <c r="N230" i="14"/>
  <c r="N23" i="14"/>
  <c r="N129" i="14"/>
  <c r="Y10" i="18"/>
  <c r="Z5" i="18" a="1"/>
  <c r="Z5" i="18"/>
  <c r="V6" i="18" a="1"/>
  <c r="V6" i="18"/>
  <c r="AA4" i="18" a="1"/>
  <c r="AA4" i="18"/>
  <c r="R11" i="18" a="1"/>
  <c r="R11" i="18"/>
  <c r="V13" i="18" a="1"/>
  <c r="V13" i="18"/>
  <c r="S14" i="18" a="1"/>
  <c r="S14" i="18"/>
  <c r="W6" i="18" a="1"/>
  <c r="W6" i="18"/>
  <c r="U10" i="18"/>
  <c r="V5" i="18" a="1"/>
  <c r="V5" i="18"/>
  <c r="Z6" i="18" a="1"/>
  <c r="Z6" i="18"/>
  <c r="S7" i="18" a="1"/>
  <c r="S7" i="18"/>
  <c r="W12" i="18" a="1"/>
  <c r="W12" i="18"/>
  <c r="Z11" i="18" a="1"/>
  <c r="Z11" i="18"/>
  <c r="AA8" i="18" a="1"/>
  <c r="AA8" i="18"/>
  <c r="W5" i="18" a="1"/>
  <c r="W5" i="18"/>
  <c r="U3" i="18"/>
  <c r="R12" i="18" a="1"/>
  <c r="R12" i="18"/>
  <c r="S5" i="18" a="1"/>
  <c r="S5" i="18"/>
  <c r="S15" i="18" a="1"/>
  <c r="S15" i="18"/>
  <c r="S4" i="18" a="1"/>
  <c r="S4" i="18"/>
  <c r="Z13" i="18" a="1"/>
  <c r="Z13" i="18"/>
  <c r="AA15" i="18" a="1"/>
  <c r="AA15" i="18"/>
  <c r="V12" i="18" a="1"/>
  <c r="V12" i="18"/>
  <c r="AA5" i="18" a="1"/>
  <c r="AA5" i="18"/>
  <c r="S11" i="18" a="1"/>
  <c r="S11" i="18"/>
  <c r="AA14" i="18" a="1"/>
  <c r="AA14" i="18"/>
  <c r="Z14" i="18" a="1"/>
  <c r="Z14" i="18"/>
  <c r="Z4" i="18" a="1"/>
  <c r="Z4" i="18"/>
  <c r="V4" i="18" a="1"/>
  <c r="V4" i="18"/>
  <c r="S13" i="18" a="1"/>
  <c r="S13" i="18"/>
  <c r="R14" i="18" a="1"/>
  <c r="R14" i="18"/>
  <c r="R5" i="18" a="1"/>
  <c r="R5" i="18"/>
  <c r="AA6" i="18" a="1"/>
  <c r="AA6" i="18"/>
  <c r="AA11" i="18" a="1"/>
  <c r="AA11" i="18"/>
  <c r="W7" i="18" a="1"/>
  <c r="W7" i="18"/>
  <c r="V7" i="18" a="1"/>
  <c r="V7" i="18"/>
  <c r="R7" i="18" a="1"/>
  <c r="R7" i="18"/>
  <c r="Y3" i="18"/>
  <c r="Q3" i="18"/>
  <c r="V14" i="18" a="1"/>
  <c r="V14" i="18"/>
  <c r="S6" i="18" a="1"/>
  <c r="S6" i="18"/>
  <c r="W13" i="18" a="1"/>
  <c r="W13" i="18"/>
  <c r="R13" i="18" a="1"/>
  <c r="R13" i="18"/>
  <c r="R4" i="18" a="1"/>
  <c r="R4" i="18"/>
  <c r="W4" i="18" a="1"/>
  <c r="W4" i="18"/>
  <c r="W14" i="18" a="1"/>
  <c r="W14" i="18"/>
  <c r="R6" i="18" a="1"/>
  <c r="R6" i="18"/>
  <c r="AA7" i="18" a="1"/>
  <c r="AA7" i="18"/>
  <c r="Q10" i="18"/>
  <c r="S12" i="18" a="1"/>
  <c r="S12" i="18"/>
  <c r="AA12" i="18" a="1"/>
  <c r="AA12" i="18"/>
  <c r="AA13" i="18" a="1"/>
  <c r="AA13" i="18"/>
  <c r="W11" i="18" a="1"/>
  <c r="W11" i="18"/>
  <c r="Z12" i="18" a="1"/>
  <c r="Z12" i="18"/>
  <c r="W15" i="18" a="1"/>
  <c r="W15" i="18"/>
  <c r="V11" i="18" a="1"/>
  <c r="V11" i="18"/>
  <c r="Z7" i="18" a="1"/>
  <c r="Z7" i="18"/>
  <c r="C218" i="14"/>
  <c r="C218" i="10"/>
  <c r="I218" i="3"/>
  <c r="K218" i="3"/>
  <c r="C151" i="10"/>
  <c r="I151" i="3"/>
  <c r="K151" i="3"/>
  <c r="C248" i="10"/>
  <c r="I248" i="3"/>
  <c r="K248" i="3"/>
  <c r="C174" i="14"/>
  <c r="C227" i="14"/>
  <c r="C121" i="10"/>
  <c r="I121" i="3"/>
  <c r="C123" i="14"/>
  <c r="C123" i="10"/>
  <c r="I123" i="3"/>
  <c r="K123" i="3"/>
  <c r="C194" i="10"/>
  <c r="I194" i="3"/>
  <c r="C176" i="14"/>
  <c r="C174" i="10"/>
  <c r="I174" i="3"/>
  <c r="K174" i="3"/>
  <c r="C269" i="14"/>
  <c r="C300" i="14"/>
  <c r="C227" i="10"/>
  <c r="I227" i="3"/>
  <c r="C248" i="14"/>
  <c r="C79" i="10"/>
  <c r="I79" i="3"/>
  <c r="K79" i="3"/>
  <c r="C342" i="14"/>
  <c r="C246" i="14"/>
  <c r="C176" i="10"/>
  <c r="I176" i="3"/>
  <c r="K176" i="3"/>
  <c r="I596" i="3"/>
  <c r="K596" i="3"/>
  <c r="I505" i="3"/>
  <c r="K505" i="3"/>
  <c r="C317" i="14"/>
  <c r="I484" i="3"/>
  <c r="K484" i="3"/>
  <c r="I488" i="3"/>
  <c r="K488" i="3"/>
  <c r="I540" i="3"/>
  <c r="K540" i="3"/>
  <c r="I495" i="3"/>
  <c r="K495" i="3"/>
  <c r="I577" i="3"/>
  <c r="K577" i="3"/>
  <c r="I518" i="3"/>
  <c r="K518" i="3"/>
  <c r="I576" i="3"/>
  <c r="K576" i="3"/>
  <c r="I403" i="3"/>
  <c r="K403" i="3"/>
  <c r="I549" i="3"/>
  <c r="K549" i="3"/>
  <c r="I593" i="3"/>
  <c r="K593" i="3"/>
  <c r="I501" i="3"/>
  <c r="K501" i="3"/>
  <c r="I447" i="3"/>
  <c r="K447" i="3"/>
  <c r="I491" i="3"/>
  <c r="K491" i="3"/>
  <c r="I537" i="3"/>
  <c r="K537" i="3"/>
  <c r="I585" i="3"/>
  <c r="K585" i="3"/>
  <c r="I457" i="3"/>
  <c r="K457" i="3"/>
  <c r="I406" i="3"/>
  <c r="K406" i="3"/>
  <c r="I384" i="3"/>
  <c r="K384" i="3"/>
  <c r="I584" i="3"/>
  <c r="K584" i="3"/>
  <c r="I415" i="3"/>
  <c r="K415" i="3"/>
  <c r="I561" i="3"/>
  <c r="K561" i="3"/>
  <c r="I418" i="3"/>
  <c r="K418" i="3"/>
  <c r="I463" i="3"/>
  <c r="K463" i="3"/>
  <c r="I413" i="3"/>
  <c r="K413" i="3"/>
  <c r="I421" i="3"/>
  <c r="K421" i="3"/>
  <c r="I474" i="3"/>
  <c r="K474" i="3"/>
  <c r="I390" i="3"/>
  <c r="K390" i="3"/>
  <c r="I356" i="3"/>
  <c r="K356" i="3"/>
  <c r="I452" i="3"/>
  <c r="K452" i="3"/>
  <c r="I404" i="3"/>
  <c r="K404" i="3"/>
  <c r="I509" i="3"/>
  <c r="K509" i="3"/>
  <c r="I465" i="3"/>
  <c r="K465" i="3"/>
  <c r="I588" i="3"/>
  <c r="K588" i="3"/>
  <c r="I430" i="3"/>
  <c r="K430" i="3"/>
  <c r="I568" i="3"/>
  <c r="K568" i="3"/>
  <c r="I539" i="3"/>
  <c r="K539" i="3"/>
  <c r="I440" i="3"/>
  <c r="K440" i="3"/>
  <c r="I552" i="3"/>
  <c r="K552" i="3"/>
  <c r="I464" i="3"/>
  <c r="K464" i="3"/>
  <c r="I425" i="3"/>
  <c r="K425" i="3"/>
  <c r="I434" i="3"/>
  <c r="K434" i="3"/>
  <c r="I526" i="3"/>
  <c r="K526" i="3"/>
  <c r="I572" i="3"/>
  <c r="K572" i="3"/>
  <c r="I383" i="3"/>
  <c r="K383" i="3"/>
  <c r="I575" i="3"/>
  <c r="K575" i="3"/>
  <c r="I398" i="3"/>
  <c r="K398" i="3"/>
  <c r="I530" i="3"/>
  <c r="K530" i="3"/>
  <c r="I546" i="3"/>
  <c r="K546" i="3"/>
  <c r="I559" i="3"/>
  <c r="K559" i="3"/>
  <c r="I470" i="3"/>
  <c r="K470" i="3"/>
  <c r="I357" i="3"/>
  <c r="K357" i="3"/>
  <c r="I525" i="3"/>
  <c r="K525" i="3"/>
  <c r="I494" i="3"/>
  <c r="K494" i="3"/>
  <c r="I515" i="3"/>
  <c r="K515" i="3"/>
  <c r="I523" i="3"/>
  <c r="K523" i="3"/>
  <c r="I517" i="3"/>
  <c r="K517" i="3"/>
  <c r="I416" i="3"/>
  <c r="K416" i="3"/>
  <c r="I500" i="3"/>
  <c r="K500" i="3"/>
  <c r="I551" i="3"/>
  <c r="K551" i="3"/>
  <c r="I574" i="3"/>
  <c r="K574" i="3"/>
  <c r="I422" i="3"/>
  <c r="K422" i="3"/>
  <c r="I471" i="3"/>
  <c r="K471" i="3"/>
  <c r="I459" i="3"/>
  <c r="K459" i="3"/>
  <c r="I469" i="3"/>
  <c r="K469" i="3"/>
  <c r="I424" i="3"/>
  <c r="K424" i="3"/>
  <c r="I557" i="3"/>
  <c r="K557" i="3"/>
  <c r="I578" i="3"/>
  <c r="K578" i="3"/>
  <c r="I510" i="3"/>
  <c r="K510" i="3"/>
  <c r="I580" i="3"/>
  <c r="K580" i="3"/>
  <c r="I504" i="3"/>
  <c r="K504" i="3"/>
  <c r="I486" i="3"/>
  <c r="K486" i="3"/>
  <c r="I435" i="3"/>
  <c r="K435" i="3"/>
  <c r="I600" i="3"/>
  <c r="K600" i="3"/>
  <c r="I376" i="3"/>
  <c r="K376" i="3"/>
  <c r="I536" i="3"/>
  <c r="K536" i="3"/>
  <c r="I592" i="3"/>
  <c r="K592" i="3"/>
  <c r="I407" i="3"/>
  <c r="K407" i="3"/>
  <c r="I401" i="3"/>
  <c r="K401" i="3"/>
  <c r="I586" i="3"/>
  <c r="K586" i="3"/>
  <c r="I420" i="3"/>
  <c r="K420" i="3"/>
  <c r="I456" i="3"/>
  <c r="K456" i="3"/>
  <c r="I544" i="3"/>
  <c r="K544" i="3"/>
  <c r="I554" i="3"/>
  <c r="K554" i="3"/>
  <c r="I599" i="3"/>
  <c r="K599" i="3"/>
  <c r="I498" i="3"/>
  <c r="K498" i="3"/>
  <c r="I560" i="3"/>
  <c r="K560" i="3"/>
  <c r="I428" i="3"/>
  <c r="K428" i="3"/>
  <c r="I529" i="3"/>
  <c r="K529" i="3"/>
  <c r="I360" i="3"/>
  <c r="K360" i="3"/>
  <c r="I468" i="3"/>
  <c r="K468" i="3"/>
  <c r="I476" i="3"/>
  <c r="K476" i="3"/>
  <c r="I553" i="3"/>
  <c r="K553" i="3"/>
  <c r="I446" i="3"/>
  <c r="K446" i="3"/>
  <c r="I594" i="3"/>
  <c r="K594" i="3"/>
  <c r="I391" i="3"/>
  <c r="K391" i="3"/>
  <c r="I511" i="3"/>
  <c r="K511" i="3"/>
  <c r="I479" i="3"/>
  <c r="K479" i="3"/>
  <c r="I375" i="3"/>
  <c r="K375" i="3"/>
  <c r="I433" i="3"/>
  <c r="K433" i="3"/>
  <c r="I512" i="3"/>
  <c r="K512" i="3"/>
  <c r="I439" i="3"/>
  <c r="K439" i="3"/>
  <c r="I499" i="3"/>
  <c r="K499" i="3"/>
  <c r="I389" i="3"/>
  <c r="K389" i="3"/>
  <c r="I386" i="3"/>
  <c r="K386" i="3"/>
  <c r="I453" i="3"/>
  <c r="K453" i="3"/>
  <c r="I448" i="3"/>
  <c r="K448" i="3"/>
  <c r="I566" i="3"/>
  <c r="K566" i="3"/>
  <c r="I385" i="3"/>
  <c r="K385" i="3"/>
  <c r="I394" i="3"/>
  <c r="K394" i="3"/>
  <c r="I597" i="3"/>
  <c r="K597" i="3"/>
  <c r="I522" i="3"/>
  <c r="K522" i="3"/>
  <c r="I369" i="3"/>
  <c r="K369" i="3"/>
  <c r="I545" i="3"/>
  <c r="K545" i="3"/>
  <c r="I417" i="3"/>
  <c r="K417" i="3"/>
  <c r="I519" i="3"/>
  <c r="K519" i="3"/>
  <c r="I520" i="3"/>
  <c r="K520" i="3"/>
  <c r="I503" i="3"/>
  <c r="K503" i="3"/>
  <c r="I363" i="3"/>
  <c r="K363" i="3"/>
  <c r="I583" i="3"/>
  <c r="K583" i="3"/>
  <c r="I400" i="3"/>
  <c r="K400" i="3"/>
  <c r="I548" i="3"/>
  <c r="K548" i="3"/>
  <c r="I595" i="3"/>
  <c r="K595" i="3"/>
  <c r="I489" i="3"/>
  <c r="K489" i="3"/>
  <c r="I490" i="3"/>
  <c r="K490" i="3"/>
  <c r="I487" i="3"/>
  <c r="K487" i="3"/>
  <c r="I370" i="3"/>
  <c r="K370" i="3"/>
  <c r="I482" i="3"/>
  <c r="K482" i="3"/>
  <c r="I409" i="3"/>
  <c r="K409" i="3"/>
  <c r="I441" i="3"/>
  <c r="K441" i="3"/>
  <c r="I388" i="3"/>
  <c r="K388" i="3"/>
  <c r="I558" i="3"/>
  <c r="K558" i="3"/>
  <c r="I513" i="3"/>
  <c r="K513" i="3"/>
  <c r="I508" i="3"/>
  <c r="K508" i="3"/>
  <c r="I533" i="3"/>
  <c r="K533" i="3"/>
  <c r="I412" i="3"/>
  <c r="K412" i="3"/>
  <c r="I564" i="3"/>
  <c r="K564" i="3"/>
  <c r="I472" i="3"/>
  <c r="K472" i="3"/>
  <c r="I579" i="3"/>
  <c r="K579" i="3"/>
  <c r="I581" i="3"/>
  <c r="K581" i="3"/>
  <c r="I591" i="3"/>
  <c r="K591" i="3"/>
  <c r="I573" i="3"/>
  <c r="K573" i="3"/>
  <c r="I402" i="3"/>
  <c r="K402" i="3"/>
  <c r="I395" i="3"/>
  <c r="K395" i="3"/>
  <c r="I542" i="3"/>
  <c r="K542" i="3"/>
  <c r="I365" i="3"/>
  <c r="K365" i="3"/>
  <c r="I497" i="3"/>
  <c r="K497" i="3"/>
  <c r="I563" i="3"/>
  <c r="K563" i="3"/>
  <c r="I387" i="3"/>
  <c r="K387" i="3"/>
  <c r="I534" i="3"/>
  <c r="K534" i="3"/>
  <c r="I358" i="3"/>
  <c r="K358" i="3"/>
  <c r="I590" i="3"/>
  <c r="K590" i="3"/>
  <c r="I460" i="3"/>
  <c r="K460" i="3"/>
  <c r="I538" i="3"/>
  <c r="K538" i="3"/>
  <c r="I528" i="3"/>
  <c r="K528" i="3"/>
  <c r="I444" i="3"/>
  <c r="K444" i="3"/>
  <c r="I411" i="3"/>
  <c r="K411" i="3"/>
  <c r="I587" i="3"/>
  <c r="K587" i="3"/>
  <c r="I361" i="3"/>
  <c r="K361" i="3"/>
  <c r="I372" i="3"/>
  <c r="K372" i="3"/>
  <c r="I475" i="3"/>
  <c r="K475" i="3"/>
  <c r="I516" i="3"/>
  <c r="K516" i="3"/>
  <c r="I543" i="3"/>
  <c r="K543" i="3"/>
  <c r="I426" i="3"/>
  <c r="K426" i="3"/>
  <c r="I562" i="3"/>
  <c r="K562" i="3"/>
  <c r="I570" i="3"/>
  <c r="K570" i="3"/>
  <c r="I507" i="3"/>
  <c r="K507" i="3"/>
  <c r="I408" i="3"/>
  <c r="K408" i="3"/>
  <c r="I589" i="3"/>
  <c r="K589" i="3"/>
  <c r="I437" i="3"/>
  <c r="K437" i="3"/>
  <c r="I419" i="3"/>
  <c r="K419" i="3"/>
  <c r="I567" i="3"/>
  <c r="K567" i="3"/>
  <c r="I550" i="3"/>
  <c r="K550" i="3"/>
  <c r="I454" i="3"/>
  <c r="K454" i="3"/>
  <c r="I442" i="3"/>
  <c r="K442" i="3"/>
  <c r="I569" i="3"/>
  <c r="K569" i="3"/>
  <c r="I397" i="3"/>
  <c r="K397" i="3"/>
  <c r="I393" i="3"/>
  <c r="K393" i="3"/>
  <c r="I438" i="3"/>
  <c r="K438" i="3"/>
  <c r="I527" i="3"/>
  <c r="K527" i="3"/>
  <c r="I431" i="3"/>
  <c r="K431" i="3"/>
  <c r="I467" i="3"/>
  <c r="K467" i="3"/>
  <c r="I547" i="3"/>
  <c r="K547" i="3"/>
  <c r="I449" i="3"/>
  <c r="K449" i="3"/>
  <c r="I473" i="3"/>
  <c r="K473" i="3"/>
  <c r="I506" i="3"/>
  <c r="K506" i="3"/>
  <c r="I485" i="3"/>
  <c r="K485" i="3"/>
  <c r="I450" i="3"/>
  <c r="K450" i="3"/>
  <c r="I524" i="3"/>
  <c r="K524" i="3"/>
  <c r="I521" i="3"/>
  <c r="K521" i="3"/>
  <c r="I458" i="3"/>
  <c r="K458" i="3"/>
  <c r="I531" i="3"/>
  <c r="K531" i="3"/>
  <c r="I371" i="3"/>
  <c r="K371" i="3"/>
  <c r="I374" i="3"/>
  <c r="K374" i="3"/>
  <c r="I432" i="3"/>
  <c r="K432" i="3"/>
  <c r="I377" i="3"/>
  <c r="K377" i="3"/>
  <c r="I355" i="3"/>
  <c r="K355" i="3"/>
  <c r="I423" i="3"/>
  <c r="K423" i="3"/>
  <c r="I436" i="3"/>
  <c r="K436" i="3"/>
  <c r="I379" i="3"/>
  <c r="K379" i="3"/>
  <c r="I380" i="3"/>
  <c r="K380" i="3"/>
  <c r="I445" i="3"/>
  <c r="K445" i="3"/>
  <c r="I399" i="3"/>
  <c r="K399" i="3"/>
  <c r="I565" i="3"/>
  <c r="K565" i="3"/>
  <c r="I405" i="3"/>
  <c r="K405" i="3"/>
  <c r="I571" i="3"/>
  <c r="K571" i="3"/>
  <c r="I466" i="3"/>
  <c r="K466" i="3"/>
  <c r="I555" i="3"/>
  <c r="K555" i="3"/>
  <c r="I455" i="3"/>
  <c r="K455" i="3"/>
  <c r="I461" i="3"/>
  <c r="K461" i="3"/>
  <c r="I382" i="3"/>
  <c r="K382" i="3"/>
  <c r="I414" i="3"/>
  <c r="K414" i="3"/>
  <c r="I364" i="3"/>
  <c r="K364" i="3"/>
  <c r="I427" i="3"/>
  <c r="K427" i="3"/>
  <c r="I541" i="3"/>
  <c r="K541" i="3"/>
  <c r="I496" i="3"/>
  <c r="K496" i="3"/>
  <c r="I480" i="3"/>
  <c r="K480" i="3"/>
  <c r="I410" i="3"/>
  <c r="K410" i="3"/>
  <c r="I378" i="3"/>
  <c r="K378" i="3"/>
  <c r="I462" i="3"/>
  <c r="K462" i="3"/>
  <c r="I582" i="3"/>
  <c r="K582" i="3"/>
  <c r="I535" i="3"/>
  <c r="K535" i="3"/>
  <c r="I514" i="3"/>
  <c r="K514" i="3"/>
  <c r="I502" i="3"/>
  <c r="K502" i="3"/>
  <c r="I381" i="3"/>
  <c r="K381" i="3"/>
  <c r="I443" i="3"/>
  <c r="K443" i="3"/>
  <c r="I396" i="3"/>
  <c r="K396" i="3"/>
  <c r="I373" i="3"/>
  <c r="K373" i="3"/>
  <c r="I392" i="3"/>
  <c r="K392" i="3"/>
  <c r="I359" i="3"/>
  <c r="K359" i="3"/>
  <c r="I481" i="3"/>
  <c r="K481" i="3"/>
  <c r="I368" i="3"/>
  <c r="K368" i="3"/>
  <c r="I478" i="3"/>
  <c r="K478" i="3"/>
  <c r="I451" i="3"/>
  <c r="K451" i="3"/>
  <c r="I598" i="3"/>
  <c r="K598" i="3"/>
  <c r="I493" i="3"/>
  <c r="K493" i="3"/>
  <c r="I366" i="3"/>
  <c r="K366" i="3"/>
  <c r="I483" i="3"/>
  <c r="K483" i="3"/>
  <c r="I532" i="3"/>
  <c r="K532" i="3"/>
  <c r="I429" i="3"/>
  <c r="K429" i="3"/>
  <c r="I362" i="3"/>
  <c r="K362" i="3"/>
  <c r="I492" i="3"/>
  <c r="K492" i="3"/>
  <c r="I556" i="3"/>
  <c r="K556" i="3"/>
  <c r="I367" i="3"/>
  <c r="K367" i="3"/>
  <c r="C308" i="14"/>
  <c r="D290" i="10"/>
  <c r="C171" i="14"/>
  <c r="P280" i="10"/>
  <c r="D276" i="10"/>
  <c r="C295" i="14"/>
  <c r="P282" i="10"/>
  <c r="J286" i="10"/>
  <c r="C278" i="14"/>
  <c r="H282" i="10"/>
  <c r="F304" i="10"/>
  <c r="C297" i="14"/>
  <c r="F289" i="10"/>
  <c r="DK1" i="2"/>
  <c r="E3" i="12" a="1"/>
  <c r="E3" i="12"/>
  <c r="P289" i="10"/>
  <c r="I309" i="10"/>
  <c r="K303" i="10"/>
  <c r="C190" i="14"/>
  <c r="L282" i="10"/>
  <c r="Q270" i="10"/>
  <c r="F282" i="10"/>
  <c r="N289" i="10"/>
  <c r="E290" i="10"/>
  <c r="H283" i="10"/>
  <c r="L289" i="10"/>
  <c r="C286" i="14"/>
  <c r="R289" i="10"/>
  <c r="C139" i="10"/>
  <c r="I139" i="3"/>
  <c r="K139" i="3"/>
  <c r="L276" i="10"/>
  <c r="L275" i="10"/>
  <c r="F281" i="10"/>
  <c r="F280" i="10"/>
  <c r="P274" i="10"/>
  <c r="I303" i="10"/>
  <c r="D296" i="10"/>
  <c r="D295" i="10"/>
  <c r="I277" i="10"/>
  <c r="I276" i="10"/>
  <c r="M273" i="10"/>
  <c r="M272" i="10"/>
  <c r="D299" i="10"/>
  <c r="D298" i="10"/>
  <c r="G312" i="10"/>
  <c r="G311" i="10"/>
  <c r="P279" i="10"/>
  <c r="P278" i="10"/>
  <c r="I289" i="10"/>
  <c r="O311" i="10"/>
  <c r="O310" i="10"/>
  <c r="S279" i="10"/>
  <c r="S278" i="10"/>
  <c r="J298" i="10"/>
  <c r="J297" i="10"/>
  <c r="L281" i="10"/>
  <c r="L280" i="10"/>
  <c r="P316" i="10"/>
  <c r="P315" i="10"/>
  <c r="I279" i="10"/>
  <c r="I278" i="10"/>
  <c r="R298" i="10"/>
  <c r="R297" i="10"/>
  <c r="J275" i="10"/>
  <c r="J274" i="10"/>
  <c r="N281" i="10"/>
  <c r="N280" i="10"/>
  <c r="H299" i="10"/>
  <c r="H298" i="10"/>
  <c r="M306" i="10"/>
  <c r="M305" i="10"/>
  <c r="F275" i="10"/>
  <c r="F274" i="10"/>
  <c r="M276" i="10"/>
  <c r="M275" i="10"/>
  <c r="K313" i="10"/>
  <c r="C313" i="10"/>
  <c r="I313" i="3"/>
  <c r="K313" i="3"/>
  <c r="K312" i="10"/>
  <c r="J272" i="10"/>
  <c r="J271" i="10"/>
  <c r="D312" i="10"/>
  <c r="D311" i="10"/>
  <c r="C301" i="14"/>
  <c r="Q273" i="10"/>
  <c r="Q272" i="10"/>
  <c r="Q279" i="10"/>
  <c r="Q278" i="10"/>
  <c r="Q299" i="10"/>
  <c r="Q298" i="10"/>
  <c r="M289" i="10"/>
  <c r="J309" i="10"/>
  <c r="T279" i="10"/>
  <c r="T278" i="10"/>
  <c r="J282" i="10"/>
  <c r="J281" i="10"/>
  <c r="J284" i="10"/>
  <c r="J283" i="10"/>
  <c r="O279" i="10"/>
  <c r="O278" i="10"/>
  <c r="O303" i="10"/>
  <c r="T305" i="10"/>
  <c r="T304" i="10"/>
  <c r="E289" i="10"/>
  <c r="I282" i="10"/>
  <c r="I281" i="10"/>
  <c r="G306" i="10"/>
  <c r="G305" i="10"/>
  <c r="Q311" i="10"/>
  <c r="Q310" i="10"/>
  <c r="C271" i="14"/>
  <c r="G290" i="10"/>
  <c r="F312" i="10"/>
  <c r="F311" i="10"/>
  <c r="D306" i="10"/>
  <c r="D305" i="10"/>
  <c r="S283" i="10"/>
  <c r="S282" i="10"/>
  <c r="O306" i="10"/>
  <c r="O305" i="10"/>
  <c r="D281" i="10"/>
  <c r="D280" i="10"/>
  <c r="M282" i="10"/>
  <c r="M281" i="10"/>
  <c r="S306" i="10"/>
  <c r="S305" i="10"/>
  <c r="H317" i="10"/>
  <c r="H316" i="10"/>
  <c r="H272" i="10"/>
  <c r="H271" i="10"/>
  <c r="M311" i="10"/>
  <c r="M310" i="10"/>
  <c r="Q304" i="10"/>
  <c r="Q303" i="10"/>
  <c r="Q289" i="10"/>
  <c r="R270" i="10"/>
  <c r="S303" i="10"/>
  <c r="S302" i="10"/>
  <c r="O281" i="10"/>
  <c r="O280" i="10"/>
  <c r="N296" i="10"/>
  <c r="N295" i="10"/>
  <c r="I273" i="10"/>
  <c r="I272" i="10"/>
  <c r="F297" i="10"/>
  <c r="F296" i="10"/>
  <c r="K296" i="10"/>
  <c r="K295" i="10"/>
  <c r="S276" i="10"/>
  <c r="S275" i="10"/>
  <c r="P311" i="10"/>
  <c r="P310" i="10"/>
  <c r="E281" i="10"/>
  <c r="E280" i="10"/>
  <c r="N303" i="10"/>
  <c r="N302" i="10"/>
  <c r="L296" i="10"/>
  <c r="L295" i="10"/>
  <c r="F287" i="10"/>
  <c r="C287" i="10"/>
  <c r="I287" i="3"/>
  <c r="C318" i="14"/>
  <c r="L305" i="10"/>
  <c r="L304" i="10"/>
  <c r="M299" i="10"/>
  <c r="M298" i="10"/>
  <c r="H281" i="10"/>
  <c r="H280" i="10"/>
  <c r="H305" i="10"/>
  <c r="H304" i="10"/>
  <c r="J289" i="10"/>
  <c r="F315" i="10"/>
  <c r="F314" i="10"/>
  <c r="C314" i="10"/>
  <c r="I314" i="3"/>
  <c r="K314" i="3"/>
  <c r="R305" i="10"/>
  <c r="R304" i="10"/>
  <c r="G319" i="10"/>
  <c r="G318" i="10"/>
  <c r="K276" i="10"/>
  <c r="K275" i="10"/>
  <c r="J304" i="10"/>
  <c r="J303" i="10"/>
  <c r="L278" i="10"/>
  <c r="L277" i="10"/>
  <c r="Q285" i="10"/>
  <c r="C285" i="10"/>
  <c r="I285" i="3"/>
  <c r="K285" i="3"/>
  <c r="Q284" i="10"/>
  <c r="H289" i="10"/>
  <c r="G272" i="10"/>
  <c r="G271" i="10"/>
  <c r="F299" i="10"/>
  <c r="F298" i="10"/>
  <c r="K281" i="10"/>
  <c r="K280" i="10"/>
  <c r="N311" i="10"/>
  <c r="N310" i="10"/>
  <c r="C315" i="14"/>
  <c r="E275" i="10"/>
  <c r="E274" i="10"/>
  <c r="E316" i="10"/>
  <c r="E315" i="10"/>
  <c r="D319" i="10"/>
  <c r="D318" i="10"/>
  <c r="D273" i="10"/>
  <c r="D272" i="10"/>
  <c r="G281" i="10"/>
  <c r="G280" i="10"/>
  <c r="P306" i="10"/>
  <c r="P305" i="10"/>
  <c r="O282" i="10"/>
  <c r="K289" i="10"/>
  <c r="F303" i="10"/>
  <c r="N279" i="10"/>
  <c r="N278" i="10"/>
  <c r="D289" i="10"/>
  <c r="D288" i="10"/>
  <c r="C288" i="10"/>
  <c r="I288" i="3"/>
  <c r="K288" i="3"/>
  <c r="E305" i="10"/>
  <c r="E304" i="10"/>
  <c r="G302" i="10"/>
  <c r="G301" i="10"/>
  <c r="S299" i="10"/>
  <c r="S298" i="10"/>
  <c r="Q306" i="10"/>
  <c r="Q305" i="10"/>
  <c r="R311" i="10"/>
  <c r="R310" i="10"/>
  <c r="P273" i="10"/>
  <c r="D275" i="10"/>
  <c r="D274" i="10"/>
  <c r="C280" i="14"/>
  <c r="C134" i="10"/>
  <c r="I134" i="3"/>
  <c r="K134" i="3"/>
  <c r="D286" i="10"/>
  <c r="I306" i="10"/>
  <c r="I305" i="10"/>
  <c r="L311" i="10"/>
  <c r="L310" i="10"/>
  <c r="F318" i="10"/>
  <c r="F317" i="10"/>
  <c r="P309" i="10"/>
  <c r="P308" i="10"/>
  <c r="K306" i="10"/>
  <c r="K305" i="10"/>
  <c r="F283" i="10"/>
  <c r="I302" i="10"/>
  <c r="I301" i="10"/>
  <c r="K299" i="10"/>
  <c r="K298" i="10"/>
  <c r="G284" i="10"/>
  <c r="G283" i="10"/>
  <c r="L293" i="10"/>
  <c r="C293" i="10"/>
  <c r="I293" i="3"/>
  <c r="K293" i="3"/>
  <c r="L292" i="10"/>
  <c r="C292" i="10"/>
  <c r="I292" i="3"/>
  <c r="K292" i="3"/>
  <c r="E295" i="10"/>
  <c r="E294" i="10"/>
  <c r="C294" i="10"/>
  <c r="I294" i="3"/>
  <c r="K294" i="3"/>
  <c r="O301" i="10"/>
  <c r="O300" i="10"/>
  <c r="C300" i="10"/>
  <c r="I300" i="3"/>
  <c r="K300" i="3"/>
  <c r="O309" i="10"/>
  <c r="O308" i="10"/>
  <c r="P281" i="10"/>
  <c r="T289" i="10"/>
  <c r="C167" i="14"/>
  <c r="C241" i="14"/>
  <c r="C241" i="10"/>
  <c r="I241" i="3"/>
  <c r="K241" i="3"/>
  <c r="C346" i="14"/>
  <c r="C164" i="14"/>
  <c r="C117" i="10"/>
  <c r="I117" i="3"/>
  <c r="K117" i="3"/>
  <c r="C214" i="14"/>
  <c r="C209" i="14"/>
  <c r="C331" i="10"/>
  <c r="I331" i="3"/>
  <c r="K331" i="3"/>
  <c r="C99" i="14"/>
  <c r="C96" i="10"/>
  <c r="I96" i="3"/>
  <c r="K96" i="3"/>
  <c r="C331" i="14"/>
  <c r="C169" i="10"/>
  <c r="I169" i="3"/>
  <c r="K169" i="3"/>
  <c r="C26" i="10"/>
  <c r="I26" i="3"/>
  <c r="K26" i="3"/>
  <c r="C127" i="10"/>
  <c r="I127" i="3"/>
  <c r="K127" i="3"/>
  <c r="C221" i="10"/>
  <c r="I221" i="3"/>
  <c r="K221" i="3"/>
  <c r="C118" i="10"/>
  <c r="I118" i="3"/>
  <c r="K118" i="3"/>
  <c r="C26" i="14"/>
  <c r="C139" i="14"/>
  <c r="C165" i="10"/>
  <c r="I165" i="3"/>
  <c r="K165" i="3"/>
  <c r="C118" i="14"/>
  <c r="C332" i="14"/>
  <c r="C270" i="14"/>
  <c r="C190" i="10"/>
  <c r="I190" i="3"/>
  <c r="K190" i="3"/>
  <c r="C99" i="10"/>
  <c r="I99" i="3"/>
  <c r="C90" i="10"/>
  <c r="I90" i="3"/>
  <c r="K90" i="3"/>
  <c r="C96" i="14"/>
  <c r="C165" i="14"/>
  <c r="C71" i="14"/>
  <c r="C71" i="10"/>
  <c r="I71" i="3"/>
  <c r="K71" i="3"/>
  <c r="C186" i="14"/>
  <c r="C186" i="10"/>
  <c r="I186" i="3"/>
  <c r="K186" i="3"/>
  <c r="C75" i="14"/>
  <c r="C164" i="10"/>
  <c r="I164" i="3"/>
  <c r="K164" i="3"/>
  <c r="C205" i="14"/>
  <c r="C75" i="10"/>
  <c r="I75" i="3"/>
  <c r="K75" i="3"/>
  <c r="C134" i="14"/>
  <c r="C115" i="14"/>
  <c r="C245" i="14"/>
  <c r="C209" i="10"/>
  <c r="I209" i="3"/>
  <c r="K209" i="3"/>
  <c r="C337" i="14"/>
  <c r="C138" i="10"/>
  <c r="I138" i="3"/>
  <c r="K138" i="3"/>
  <c r="C117" i="14"/>
  <c r="DK4" i="2"/>
  <c r="C214" i="10"/>
  <c r="I214" i="3"/>
  <c r="K214" i="3"/>
  <c r="C105" i="14"/>
  <c r="C181" i="10"/>
  <c r="I181" i="3"/>
  <c r="K181" i="3"/>
  <c r="C288" i="14"/>
  <c r="C107" i="10"/>
  <c r="I107" i="3"/>
  <c r="K107" i="3"/>
  <c r="C86" i="14"/>
  <c r="C3" i="12"/>
  <c r="C59" i="14"/>
  <c r="C181" i="14"/>
  <c r="C327" i="10"/>
  <c r="I327" i="3"/>
  <c r="K327" i="3"/>
  <c r="C59" i="10"/>
  <c r="I59" i="3"/>
  <c r="K59" i="3"/>
  <c r="C127" i="14"/>
  <c r="C330" i="14"/>
  <c r="C161" i="10"/>
  <c r="I161" i="3"/>
  <c r="K161" i="3"/>
  <c r="C330" i="10"/>
  <c r="I330" i="3"/>
  <c r="K330" i="3"/>
  <c r="C327" i="14"/>
  <c r="C289" i="14"/>
  <c r="C133" i="14"/>
  <c r="C298" i="14"/>
  <c r="C60" i="10"/>
  <c r="I60" i="3"/>
  <c r="K60" i="3"/>
  <c r="C85" i="14"/>
  <c r="C259" i="14"/>
  <c r="C60" i="14"/>
  <c r="C195" i="14"/>
  <c r="C351" i="14"/>
  <c r="C323" i="10"/>
  <c r="I323" i="3"/>
  <c r="K323" i="3"/>
  <c r="C102" i="10"/>
  <c r="I102" i="3"/>
  <c r="K102" i="3"/>
  <c r="C256" i="10"/>
  <c r="I256" i="3"/>
  <c r="K256" i="3"/>
  <c r="C83" i="10"/>
  <c r="I83" i="3"/>
  <c r="K83" i="3"/>
  <c r="C256" i="14"/>
  <c r="C262" i="14"/>
  <c r="C255" i="14"/>
  <c r="C133" i="10"/>
  <c r="I133" i="3"/>
  <c r="K133" i="3"/>
  <c r="C38" i="14"/>
  <c r="C171" i="10"/>
  <c r="I171" i="3"/>
  <c r="K171" i="3"/>
  <c r="C136" i="14"/>
  <c r="C135" i="14"/>
  <c r="C85" i="10"/>
  <c r="I85" i="3"/>
  <c r="K85" i="3"/>
  <c r="C103" i="10"/>
  <c r="I103" i="3"/>
  <c r="K103" i="3"/>
  <c r="C200" i="14"/>
  <c r="C67" i="10"/>
  <c r="I67" i="3"/>
  <c r="K67" i="3"/>
  <c r="C145" i="10"/>
  <c r="I145" i="3"/>
  <c r="K145" i="3"/>
  <c r="C145" i="14"/>
  <c r="C148" i="14"/>
  <c r="C210" i="10"/>
  <c r="I210" i="3"/>
  <c r="K210" i="3"/>
  <c r="C140" i="14"/>
  <c r="C340" i="14"/>
  <c r="C135" i="10"/>
  <c r="I135" i="3"/>
  <c r="K135" i="3"/>
  <c r="C341" i="14"/>
  <c r="C168" i="10"/>
  <c r="I168" i="3"/>
  <c r="K168" i="3"/>
  <c r="C353" i="10"/>
  <c r="I353" i="3"/>
  <c r="K353" i="3"/>
  <c r="C78" i="10"/>
  <c r="I78" i="3"/>
  <c r="K78" i="3"/>
  <c r="C114" i="14"/>
  <c r="C128" i="14"/>
  <c r="C279" i="14"/>
  <c r="C30" i="10"/>
  <c r="I30" i="3"/>
  <c r="K30" i="3"/>
  <c r="C323" i="14"/>
  <c r="C345" i="10"/>
  <c r="I345" i="3"/>
  <c r="K345" i="3"/>
  <c r="C262" i="10"/>
  <c r="I262" i="3"/>
  <c r="K262" i="3"/>
  <c r="C146" i="14"/>
  <c r="C332" i="10"/>
  <c r="I332" i="3"/>
  <c r="K332" i="3"/>
  <c r="C184" i="10"/>
  <c r="I184" i="3"/>
  <c r="K184" i="3"/>
  <c r="C38" i="10"/>
  <c r="I38" i="3"/>
  <c r="K38" i="3"/>
  <c r="C275" i="14"/>
  <c r="C210" i="14"/>
  <c r="C344" i="10"/>
  <c r="I344" i="3"/>
  <c r="K344" i="3"/>
  <c r="C48" i="10"/>
  <c r="I48" i="3"/>
  <c r="K48" i="3"/>
  <c r="C131" i="14"/>
  <c r="C202" i="10"/>
  <c r="I202" i="3"/>
  <c r="K202" i="3"/>
  <c r="C36" i="14"/>
  <c r="C114" i="10"/>
  <c r="I114" i="3"/>
  <c r="K114" i="3"/>
  <c r="C353" i="14"/>
  <c r="C341" i="10"/>
  <c r="I341" i="3"/>
  <c r="K341" i="3"/>
  <c r="C187" i="10"/>
  <c r="I187" i="3"/>
  <c r="K187" i="3"/>
  <c r="C272" i="14"/>
  <c r="C175" i="14"/>
  <c r="C178" i="10"/>
  <c r="I178" i="3"/>
  <c r="K178" i="3"/>
  <c r="C309" i="14"/>
  <c r="C21" i="14"/>
  <c r="C47" i="10"/>
  <c r="I47" i="3"/>
  <c r="K47" i="3"/>
  <c r="C310" i="14"/>
  <c r="C30" i="14"/>
  <c r="C41" i="14"/>
  <c r="C148" i="10"/>
  <c r="I148" i="3"/>
  <c r="K148" i="3"/>
  <c r="C159" i="10"/>
  <c r="I159" i="3"/>
  <c r="K159" i="3"/>
  <c r="C76" i="10"/>
  <c r="I76" i="3"/>
  <c r="K76" i="3"/>
  <c r="C69" i="14"/>
  <c r="C277" i="14"/>
  <c r="C159" i="14"/>
  <c r="C340" i="10"/>
  <c r="I340" i="3"/>
  <c r="K340" i="3"/>
  <c r="C242" i="10"/>
  <c r="I242" i="3"/>
  <c r="K242" i="3"/>
  <c r="C324" i="14"/>
  <c r="C168" i="14"/>
  <c r="C291" i="14"/>
  <c r="C230" i="10"/>
  <c r="I230" i="3"/>
  <c r="K230" i="3"/>
  <c r="C347" i="10"/>
  <c r="I347" i="3"/>
  <c r="K347" i="3"/>
  <c r="C274" i="14"/>
  <c r="C122" i="10"/>
  <c r="I122" i="3"/>
  <c r="K122" i="3"/>
  <c r="C88" i="14"/>
  <c r="C238" i="10"/>
  <c r="I238" i="3"/>
  <c r="K238" i="3"/>
  <c r="C187" i="14"/>
  <c r="C224" i="14"/>
  <c r="C204" i="10"/>
  <c r="I204" i="3"/>
  <c r="K204" i="3"/>
  <c r="C264" i="10"/>
  <c r="I264" i="3"/>
  <c r="K264" i="3"/>
  <c r="C324" i="10"/>
  <c r="I324" i="3"/>
  <c r="K324" i="3"/>
  <c r="C68" i="10"/>
  <c r="I68" i="3"/>
  <c r="K68" i="3"/>
  <c r="C84" i="10"/>
  <c r="I84" i="3"/>
  <c r="K84" i="3"/>
  <c r="C235" i="10"/>
  <c r="I235" i="3"/>
  <c r="K235" i="3"/>
  <c r="C333" i="14"/>
  <c r="C103" i="14"/>
  <c r="C98" i="10"/>
  <c r="I98" i="3"/>
  <c r="K98" i="3"/>
  <c r="C326" i="10"/>
  <c r="I326" i="3"/>
  <c r="K326" i="3"/>
  <c r="C120" i="10"/>
  <c r="I120" i="3"/>
  <c r="K120" i="3"/>
  <c r="C351" i="10"/>
  <c r="I351" i="3"/>
  <c r="K351" i="3"/>
  <c r="C53" i="14"/>
  <c r="C195" i="10"/>
  <c r="I195" i="3"/>
  <c r="K195" i="3"/>
  <c r="C35" i="14"/>
  <c r="C49" i="14"/>
  <c r="C66" i="14"/>
  <c r="C321" i="10"/>
  <c r="I321" i="3"/>
  <c r="K321" i="3"/>
  <c r="C68" i="14"/>
  <c r="C335" i="10"/>
  <c r="I335" i="3"/>
  <c r="K335" i="3"/>
  <c r="C6" i="14"/>
  <c r="C84" i="14"/>
  <c r="C234" i="14"/>
  <c r="C264" i="14"/>
  <c r="C120" i="14"/>
  <c r="C27" i="10"/>
  <c r="I27" i="3"/>
  <c r="K27" i="3"/>
  <c r="C52" i="14"/>
  <c r="C34" i="10"/>
  <c r="I34" i="3"/>
  <c r="K34" i="3"/>
  <c r="C338" i="14"/>
  <c r="C335" i="14"/>
  <c r="C128" i="10"/>
  <c r="I128" i="3"/>
  <c r="K128" i="3"/>
  <c r="C156" i="10"/>
  <c r="I156" i="3"/>
  <c r="K156" i="3"/>
  <c r="C67" i="14"/>
  <c r="C242" i="14"/>
  <c r="C250" i="10"/>
  <c r="I250" i="3"/>
  <c r="K250" i="3"/>
  <c r="C43" i="10"/>
  <c r="I43" i="3"/>
  <c r="K43" i="3"/>
  <c r="C46" i="14"/>
  <c r="C39" i="10"/>
  <c r="I39" i="3"/>
  <c r="K39" i="3"/>
  <c r="C224" i="10"/>
  <c r="I224" i="3"/>
  <c r="K224" i="3"/>
  <c r="C273" i="14"/>
  <c r="C344" i="14"/>
  <c r="C146" i="10"/>
  <c r="I146" i="3"/>
  <c r="K146" i="3"/>
  <c r="C229" i="10"/>
  <c r="I229" i="3"/>
  <c r="K229" i="3"/>
  <c r="C163" i="10"/>
  <c r="I163" i="3"/>
  <c r="K163" i="3"/>
  <c r="C52" i="10"/>
  <c r="I52" i="3"/>
  <c r="K52" i="3"/>
  <c r="C179" i="14"/>
  <c r="C303" i="14"/>
  <c r="K194" i="3"/>
  <c r="C265" i="14"/>
  <c r="C296" i="14"/>
  <c r="C307" i="10"/>
  <c r="I307" i="3"/>
  <c r="C101" i="14"/>
  <c r="C259" i="10"/>
  <c r="I259" i="3"/>
  <c r="C16" i="14"/>
  <c r="C216" i="14"/>
  <c r="C11" i="14"/>
  <c r="C173" i="14"/>
  <c r="C284" i="14"/>
  <c r="C184" i="14"/>
  <c r="C311" i="14"/>
  <c r="C136" i="10"/>
  <c r="I136" i="3"/>
  <c r="C18" i="10"/>
  <c r="I18" i="3"/>
  <c r="C143" i="14"/>
  <c r="K82" i="3"/>
  <c r="C343" i="14"/>
  <c r="C329" i="14"/>
  <c r="C51" i="14"/>
  <c r="C211" i="10"/>
  <c r="I211" i="3"/>
  <c r="C260" i="10"/>
  <c r="I260" i="3"/>
  <c r="C260" i="14"/>
  <c r="C111" i="10"/>
  <c r="I111" i="3"/>
  <c r="C263" i="10"/>
  <c r="I263" i="3"/>
  <c r="C200" i="10"/>
  <c r="I200" i="3"/>
  <c r="K225" i="3"/>
  <c r="C16" i="10"/>
  <c r="I16" i="3"/>
  <c r="C24" i="10"/>
  <c r="I24" i="3"/>
  <c r="C73" i="10"/>
  <c r="I73" i="3"/>
  <c r="C222" i="14"/>
  <c r="C34" i="14"/>
  <c r="C15" i="14"/>
  <c r="C236" i="10"/>
  <c r="I236" i="3"/>
  <c r="C54" i="10"/>
  <c r="I54" i="3"/>
  <c r="C137" i="14"/>
  <c r="C78" i="14"/>
  <c r="C179" i="10"/>
  <c r="I179" i="3"/>
  <c r="C13" i="10"/>
  <c r="I13" i="3"/>
  <c r="C47" i="14"/>
  <c r="C81" i="14"/>
  <c r="C48" i="14"/>
  <c r="C141" i="10"/>
  <c r="I141" i="3"/>
  <c r="C266" i="10"/>
  <c r="I266" i="3"/>
  <c r="K215" i="3"/>
  <c r="C39" i="14"/>
  <c r="C178" i="14"/>
  <c r="C152" i="10"/>
  <c r="I152" i="3"/>
  <c r="C266" i="14"/>
  <c r="C12" i="14"/>
  <c r="C182" i="14"/>
  <c r="C222" i="10"/>
  <c r="I222" i="3"/>
  <c r="K124" i="3"/>
  <c r="K113" i="3"/>
  <c r="K232" i="3"/>
  <c r="C131" i="10"/>
  <c r="I131" i="3"/>
  <c r="K130" i="3"/>
  <c r="C230" i="14"/>
  <c r="C251" i="14"/>
  <c r="B3" i="12"/>
  <c r="C251" i="10"/>
  <c r="I251" i="3"/>
  <c r="C234" i="10"/>
  <c r="I234" i="3"/>
  <c r="C13" i="14"/>
  <c r="C119" i="10"/>
  <c r="I119" i="3"/>
  <c r="K346" i="3"/>
  <c r="K244" i="3"/>
  <c r="C268" i="14"/>
  <c r="K183" i="3"/>
  <c r="C42" i="14"/>
  <c r="C166" i="10"/>
  <c r="I166" i="3"/>
  <c r="C299" i="14"/>
  <c r="C189" i="10"/>
  <c r="I189" i="3"/>
  <c r="C182" i="10"/>
  <c r="I182" i="3"/>
  <c r="C291" i="10"/>
  <c r="I291" i="3"/>
  <c r="C37" i="10"/>
  <c r="I37" i="3"/>
  <c r="C44" i="10"/>
  <c r="I44" i="3"/>
  <c r="C220" i="14"/>
  <c r="C208" i="10"/>
  <c r="I208" i="3"/>
  <c r="C129" i="10"/>
  <c r="I129" i="3"/>
  <c r="C263" i="14"/>
  <c r="C229" i="14"/>
  <c r="K219" i="3"/>
  <c r="C72" i="14"/>
  <c r="C149" i="10"/>
  <c r="I149" i="3"/>
  <c r="C95" i="14"/>
  <c r="K228" i="3"/>
  <c r="C74" i="10"/>
  <c r="I74" i="3"/>
  <c r="C50" i="10"/>
  <c r="I50" i="3"/>
  <c r="C217" i="14"/>
  <c r="C212" i="14"/>
  <c r="C238" i="14"/>
  <c r="K116" i="3"/>
  <c r="K247" i="3"/>
  <c r="C322" i="10"/>
  <c r="I322" i="3"/>
  <c r="C10" i="10"/>
  <c r="I10" i="3"/>
  <c r="C197" i="10"/>
  <c r="I197" i="3"/>
  <c r="K191" i="3"/>
  <c r="C66" i="10"/>
  <c r="I66" i="3"/>
  <c r="C287" i="14"/>
  <c r="C306" i="14"/>
  <c r="C129" i="14"/>
  <c r="C334" i="14"/>
  <c r="C54" i="14"/>
  <c r="C177" i="10"/>
  <c r="I177" i="3"/>
  <c r="C208" i="14"/>
  <c r="K142" i="3"/>
  <c r="C235" i="14"/>
  <c r="K91" i="3"/>
  <c r="C250" i="14"/>
  <c r="C41" i="10"/>
  <c r="I41" i="3"/>
  <c r="C158" i="14"/>
  <c r="C166" i="14"/>
  <c r="C53" i="10"/>
  <c r="I53" i="3"/>
  <c r="K153" i="3"/>
  <c r="Y4" i="2"/>
  <c r="K160" i="3"/>
  <c r="C352" i="14"/>
  <c r="K105" i="3"/>
  <c r="C143" i="10"/>
  <c r="I143" i="3"/>
  <c r="C265" i="10"/>
  <c r="I265" i="3"/>
  <c r="C14" i="14"/>
  <c r="C122" i="14"/>
  <c r="C149" i="14"/>
  <c r="C95" i="10"/>
  <c r="I95" i="3"/>
  <c r="K201" i="3"/>
  <c r="C50" i="14"/>
  <c r="C237" i="10"/>
  <c r="I237" i="3"/>
  <c r="C239" i="10"/>
  <c r="I239" i="3"/>
  <c r="K104" i="3"/>
  <c r="C83" i="14"/>
  <c r="K196" i="3"/>
  <c r="C56" i="14"/>
  <c r="C46" i="10"/>
  <c r="I46" i="3"/>
  <c r="C7" i="10"/>
  <c r="I7" i="3"/>
  <c r="C329" i="10"/>
  <c r="I329" i="3"/>
  <c r="C189" i="14"/>
  <c r="C236" i="14"/>
  <c r="C319" i="14"/>
  <c r="C49" i="10"/>
  <c r="I49" i="3"/>
  <c r="K144" i="3"/>
  <c r="C14" i="10"/>
  <c r="I14" i="3"/>
  <c r="C283" i="14"/>
  <c r="C326" i="14"/>
  <c r="C64" i="10"/>
  <c r="I64" i="3"/>
  <c r="K20" i="3"/>
  <c r="C65" i="14"/>
  <c r="C32" i="10"/>
  <c r="I32" i="3"/>
  <c r="C338" i="10"/>
  <c r="I338" i="3"/>
  <c r="C12" i="10"/>
  <c r="I12" i="3"/>
  <c r="C140" i="10"/>
  <c r="I140" i="3"/>
  <c r="C61" i="10"/>
  <c r="I61" i="3"/>
  <c r="C163" i="14"/>
  <c r="C152" i="14"/>
  <c r="C109" i="14"/>
  <c r="K203" i="3"/>
  <c r="C25" i="10"/>
  <c r="I25" i="3"/>
  <c r="C21" i="10"/>
  <c r="I21" i="3"/>
  <c r="C180" i="14"/>
  <c r="C226" i="14"/>
  <c r="C322" i="14"/>
  <c r="C72" i="10"/>
  <c r="I72" i="3"/>
  <c r="C199" i="14"/>
  <c r="C76" i="14"/>
  <c r="C88" i="10"/>
  <c r="I88" i="3"/>
  <c r="C239" i="14"/>
  <c r="C8" i="10"/>
  <c r="I8" i="3"/>
  <c r="C350" i="10"/>
  <c r="I350" i="3"/>
  <c r="C348" i="14"/>
  <c r="C87" i="14"/>
  <c r="K162" i="3"/>
  <c r="C211" i="14"/>
  <c r="K227" i="3"/>
  <c r="C64" i="14"/>
  <c r="C101" i="10"/>
  <c r="I101" i="3"/>
  <c r="C141" i="14"/>
  <c r="C255" i="10"/>
  <c r="I255" i="3"/>
  <c r="C58" i="14"/>
  <c r="C58" i="10"/>
  <c r="I58" i="3"/>
  <c r="C10" i="14"/>
  <c r="K207" i="3"/>
  <c r="C352" i="10"/>
  <c r="I352" i="3"/>
  <c r="C63" i="14"/>
  <c r="C216" i="10"/>
  <c r="I216" i="3"/>
  <c r="K99" i="3"/>
  <c r="C25" i="14"/>
  <c r="K70" i="3"/>
  <c r="C62" i="10"/>
  <c r="I62" i="3"/>
  <c r="C32" i="14"/>
  <c r="C347" i="14"/>
  <c r="C180" i="10"/>
  <c r="I180" i="3"/>
  <c r="K112" i="3"/>
  <c r="C100" i="10"/>
  <c r="I100" i="3"/>
  <c r="C87" i="10"/>
  <c r="I87" i="3"/>
  <c r="C45" i="10"/>
  <c r="I45" i="3"/>
  <c r="C197" i="14"/>
  <c r="C45" i="14"/>
  <c r="K150" i="3"/>
  <c r="C43" i="14"/>
  <c r="C334" i="10"/>
  <c r="I334" i="3"/>
  <c r="C100" i="14"/>
  <c r="C28" i="14"/>
  <c r="C22" i="10"/>
  <c r="I22" i="3"/>
  <c r="C192" i="10"/>
  <c r="I192" i="3"/>
  <c r="C98" i="14"/>
  <c r="C199" i="10"/>
  <c r="I199" i="3"/>
  <c r="C345" i="14"/>
  <c r="C316" i="14"/>
  <c r="C305" i="14"/>
  <c r="C302" i="14"/>
  <c r="C73" i="14"/>
  <c r="C42" i="10"/>
  <c r="I42" i="3"/>
  <c r="C24" i="14"/>
  <c r="C7" i="14"/>
  <c r="C36" i="10"/>
  <c r="I36" i="3"/>
  <c r="C212" i="10"/>
  <c r="I212" i="3"/>
  <c r="C40" i="14"/>
  <c r="C9" i="14"/>
  <c r="C55" i="10"/>
  <c r="I55" i="3"/>
  <c r="C11" i="10"/>
  <c r="I11" i="3"/>
  <c r="C204" i="14"/>
  <c r="C325" i="10"/>
  <c r="I325" i="3"/>
  <c r="C33" i="10"/>
  <c r="I33" i="3"/>
  <c r="C175" i="10"/>
  <c r="I175" i="3"/>
  <c r="C28" i="10"/>
  <c r="I28" i="3"/>
  <c r="C282" i="14"/>
  <c r="C268" i="10"/>
  <c r="I268" i="3"/>
  <c r="C74" i="14"/>
  <c r="C325" i="14"/>
  <c r="C192" i="14"/>
  <c r="C23" i="10"/>
  <c r="I23" i="3"/>
  <c r="K125" i="3"/>
  <c r="C17" i="10"/>
  <c r="I17" i="3"/>
  <c r="C19" i="10"/>
  <c r="I19" i="3"/>
  <c r="K342" i="3"/>
  <c r="C27" i="14"/>
  <c r="C226" i="10"/>
  <c r="I226" i="3"/>
  <c r="C69" i="10"/>
  <c r="I69" i="3"/>
  <c r="C37" i="14"/>
  <c r="C65" i="10"/>
  <c r="I65" i="3"/>
  <c r="C81" i="10"/>
  <c r="I81" i="3"/>
  <c r="C40" i="10"/>
  <c r="I40" i="3"/>
  <c r="C9" i="10"/>
  <c r="I9" i="3"/>
  <c r="C33" i="14"/>
  <c r="C350" i="14"/>
  <c r="K267" i="3"/>
  <c r="C23" i="14"/>
  <c r="C109" i="10"/>
  <c r="I109" i="3"/>
  <c r="K110" i="3"/>
  <c r="C321" i="14"/>
  <c r="C240" i="14"/>
  <c r="C240" i="10"/>
  <c r="I240" i="3"/>
  <c r="C19" i="14"/>
  <c r="C188" i="10"/>
  <c r="I188" i="3"/>
  <c r="C290" i="14"/>
  <c r="C35" i="10"/>
  <c r="I35" i="3"/>
  <c r="C281" i="14"/>
  <c r="C56" i="10"/>
  <c r="I56" i="3"/>
  <c r="C62" i="14"/>
  <c r="C173" i="10"/>
  <c r="I173" i="3"/>
  <c r="C55" i="14"/>
  <c r="C243" i="14"/>
  <c r="C92" i="10"/>
  <c r="I92" i="3"/>
  <c r="C94" i="14"/>
  <c r="C22" i="14"/>
  <c r="C137" i="10"/>
  <c r="I137" i="3"/>
  <c r="C8" i="14"/>
  <c r="C237" i="14"/>
  <c r="C348" i="10"/>
  <c r="I348" i="3"/>
  <c r="C63" i="10"/>
  <c r="I63" i="3"/>
  <c r="C333" i="10"/>
  <c r="I333" i="3"/>
  <c r="C57" i="14"/>
  <c r="C57" i="10"/>
  <c r="I57" i="3"/>
  <c r="C343" i="10"/>
  <c r="I343" i="3"/>
  <c r="C18" i="14"/>
  <c r="C17" i="14"/>
  <c r="C51" i="10"/>
  <c r="I51" i="3"/>
  <c r="C202" i="14"/>
  <c r="C102" i="14"/>
  <c r="C217" i="10"/>
  <c r="I217" i="3"/>
  <c r="C6" i="10"/>
  <c r="I6" i="3"/>
  <c r="C111" i="14"/>
  <c r="C158" i="10"/>
  <c r="I158" i="3"/>
  <c r="C188" i="14"/>
  <c r="K320" i="3"/>
  <c r="K121" i="3"/>
  <c r="C220" i="10"/>
  <c r="I220" i="3"/>
  <c r="C276" i="14"/>
  <c r="K246" i="3"/>
  <c r="C177" i="14"/>
  <c r="C15" i="10"/>
  <c r="I15" i="3"/>
  <c r="C61" i="14"/>
  <c r="C44" i="14"/>
  <c r="C243" i="10"/>
  <c r="I243" i="3"/>
  <c r="C119" i="14"/>
  <c r="C92" i="14"/>
  <c r="C94" i="10"/>
  <c r="I94" i="3"/>
  <c r="C304" i="14"/>
  <c r="C307" i="14"/>
  <c r="C312" i="14"/>
  <c r="U5" i="18"/>
  <c r="U4" i="18" a="1"/>
  <c r="U4" i="18"/>
  <c r="Y4" i="18" a="1"/>
  <c r="Y4" i="18"/>
  <c r="Y5" i="18"/>
  <c r="U11" i="18" a="1"/>
  <c r="U11" i="18"/>
  <c r="U12" i="18"/>
  <c r="Y12" i="18"/>
  <c r="Y11" i="18" a="1"/>
  <c r="Y11" i="18"/>
  <c r="Q5" i="18"/>
  <c r="Q4" i="18" a="1"/>
  <c r="Q4" i="18"/>
  <c r="Q12" i="18"/>
  <c r="Q11" i="18" a="1"/>
  <c r="Q11" i="18"/>
  <c r="C290" i="10"/>
  <c r="I290" i="3"/>
  <c r="C286" i="10"/>
  <c r="I286" i="3"/>
  <c r="K286" i="3"/>
  <c r="C303" i="10"/>
  <c r="I303" i="3"/>
  <c r="K303" i="3"/>
  <c r="C296" i="10"/>
  <c r="I296" i="3"/>
  <c r="K296" i="3"/>
  <c r="C270" i="10"/>
  <c r="I270" i="3"/>
  <c r="K270" i="3"/>
  <c r="C277" i="10"/>
  <c r="I277" i="3"/>
  <c r="K277" i="3"/>
  <c r="C297" i="10"/>
  <c r="I297" i="3"/>
  <c r="K297" i="3"/>
  <c r="C283" i="10"/>
  <c r="I283" i="3"/>
  <c r="K283" i="3"/>
  <c r="C280" i="10"/>
  <c r="I280" i="3"/>
  <c r="K280" i="3"/>
  <c r="C319" i="10"/>
  <c r="I319" i="3"/>
  <c r="K319" i="3"/>
  <c r="C275" i="10"/>
  <c r="I275" i="3"/>
  <c r="K275" i="3"/>
  <c r="C298" i="10"/>
  <c r="I298" i="3"/>
  <c r="K298" i="3"/>
  <c r="C276" i="10"/>
  <c r="I276" i="3"/>
  <c r="K276" i="3"/>
  <c r="C299" i="10"/>
  <c r="I299" i="3"/>
  <c r="K299" i="3"/>
  <c r="C274" i="10"/>
  <c r="I274" i="3"/>
  <c r="K274" i="3"/>
  <c r="C316" i="10"/>
  <c r="I316" i="3"/>
  <c r="K316" i="3"/>
  <c r="C271" i="10"/>
  <c r="I271" i="3"/>
  <c r="K271" i="3"/>
  <c r="C311" i="10"/>
  <c r="I311" i="3"/>
  <c r="K311" i="3"/>
  <c r="C302" i="10"/>
  <c r="I302" i="3"/>
  <c r="K302" i="3"/>
  <c r="C306" i="10"/>
  <c r="I306" i="3"/>
  <c r="K306" i="3"/>
  <c r="C279" i="10"/>
  <c r="I279" i="3"/>
  <c r="K279" i="3"/>
  <c r="C301" i="10"/>
  <c r="I301" i="3"/>
  <c r="K301" i="3"/>
  <c r="C273" i="10"/>
  <c r="I273" i="3"/>
  <c r="K273" i="3"/>
  <c r="C305" i="10"/>
  <c r="I305" i="3"/>
  <c r="K305" i="3"/>
  <c r="C309" i="10"/>
  <c r="I309" i="3"/>
  <c r="K309" i="3"/>
  <c r="C318" i="10"/>
  <c r="I318" i="3"/>
  <c r="K318" i="3"/>
  <c r="C272" i="10"/>
  <c r="I272" i="3"/>
  <c r="K272" i="3"/>
  <c r="C289" i="10"/>
  <c r="I289" i="3"/>
  <c r="K289" i="3"/>
  <c r="C281" i="10"/>
  <c r="I281" i="3"/>
  <c r="C282" i="10"/>
  <c r="I282" i="3"/>
  <c r="C310" i="10"/>
  <c r="I310" i="3"/>
  <c r="K310" i="3"/>
  <c r="C304" i="10"/>
  <c r="I304" i="3"/>
  <c r="K304" i="3"/>
  <c r="C284" i="10"/>
  <c r="I284" i="3"/>
  <c r="K284" i="3"/>
  <c r="C312" i="10"/>
  <c r="I312" i="3"/>
  <c r="K312" i="3"/>
  <c r="D3" i="12"/>
  <c r="C315" i="10"/>
  <c r="I315" i="3"/>
  <c r="K315" i="3"/>
  <c r="C308" i="10"/>
  <c r="I308" i="3"/>
  <c r="K308" i="3"/>
  <c r="C317" i="10"/>
  <c r="I317" i="3"/>
  <c r="K317" i="3"/>
  <c r="C295" i="10"/>
  <c r="I295" i="3"/>
  <c r="K295" i="3"/>
  <c r="C278" i="10"/>
  <c r="I278" i="3"/>
  <c r="K278" i="3"/>
  <c r="K287" i="3"/>
  <c r="K158" i="3"/>
  <c r="K49" i="3"/>
  <c r="K236" i="3"/>
  <c r="K175" i="3"/>
  <c r="K25" i="3"/>
  <c r="K208" i="3"/>
  <c r="K343" i="3"/>
  <c r="K109" i="3"/>
  <c r="K226" i="3"/>
  <c r="K268" i="3"/>
  <c r="K62" i="3"/>
  <c r="K32" i="3"/>
  <c r="K265" i="3"/>
  <c r="K41" i="3"/>
  <c r="K177" i="3"/>
  <c r="K136" i="3"/>
  <c r="K290" i="3"/>
  <c r="K152" i="3"/>
  <c r="K33" i="3"/>
  <c r="K56" i="3"/>
  <c r="K63" i="3"/>
  <c r="K42" i="3"/>
  <c r="K237" i="3"/>
  <c r="K44" i="3"/>
  <c r="K15" i="3"/>
  <c r="K348" i="3"/>
  <c r="K35" i="3"/>
  <c r="K17" i="3"/>
  <c r="K334" i="3"/>
  <c r="K74" i="3"/>
  <c r="K37" i="3"/>
  <c r="K119" i="3"/>
  <c r="K24" i="3"/>
  <c r="K57" i="3"/>
  <c r="K87" i="3"/>
  <c r="K243" i="3"/>
  <c r="K100" i="3"/>
  <c r="K307" i="3"/>
  <c r="K260" i="3"/>
  <c r="K6" i="3"/>
  <c r="K217" i="3"/>
  <c r="K239" i="3"/>
  <c r="K19" i="3"/>
  <c r="K255" i="3"/>
  <c r="K50" i="3"/>
  <c r="K73" i="3"/>
  <c r="K101" i="3"/>
  <c r="K88" i="3"/>
  <c r="K66" i="3"/>
  <c r="K291" i="3"/>
  <c r="K16" i="3"/>
  <c r="K192" i="3"/>
  <c r="K36" i="3"/>
  <c r="K64" i="3"/>
  <c r="K188" i="3"/>
  <c r="K266" i="3"/>
  <c r="K329" i="3"/>
  <c r="K222" i="3"/>
  <c r="K240" i="3"/>
  <c r="K7" i="3"/>
  <c r="K13" i="3"/>
  <c r="K216" i="3"/>
  <c r="K10" i="3"/>
  <c r="K350" i="3"/>
  <c r="K173" i="3"/>
  <c r="K22" i="3"/>
  <c r="K180" i="3"/>
  <c r="K9" i="3"/>
  <c r="K189" i="3"/>
  <c r="K141" i="3"/>
  <c r="K40" i="3"/>
  <c r="K197" i="3"/>
  <c r="K251" i="3"/>
  <c r="K65" i="3"/>
  <c r="K72" i="3"/>
  <c r="K322" i="3"/>
  <c r="K149" i="3"/>
  <c r="K200" i="3"/>
  <c r="K212" i="3"/>
  <c r="K143" i="3"/>
  <c r="K54" i="3"/>
  <c r="K28" i="3"/>
  <c r="K21" i="3"/>
  <c r="K333" i="3"/>
  <c r="K129" i="3"/>
  <c r="K8" i="3"/>
  <c r="K211" i="3"/>
  <c r="K182" i="3"/>
  <c r="K137" i="3"/>
  <c r="K95" i="3"/>
  <c r="K14" i="3"/>
  <c r="K234" i="3"/>
  <c r="K220" i="3"/>
  <c r="K140" i="3"/>
  <c r="K53" i="3"/>
  <c r="K166" i="3"/>
  <c r="K11" i="3"/>
  <c r="K55" i="3"/>
  <c r="K199" i="3"/>
  <c r="K12" i="3"/>
  <c r="K179" i="3"/>
  <c r="K263" i="3"/>
  <c r="K58" i="3"/>
  <c r="K325" i="3"/>
  <c r="K259" i="3"/>
  <c r="K51" i="3"/>
  <c r="K61" i="3"/>
  <c r="K81" i="3"/>
  <c r="K23" i="3"/>
  <c r="K46" i="3"/>
  <c r="K94" i="3"/>
  <c r="K92" i="3"/>
  <c r="K69" i="3"/>
  <c r="K45" i="3"/>
  <c r="K352" i="3"/>
  <c r="K338" i="3"/>
  <c r="K131" i="3"/>
  <c r="K111" i="3"/>
  <c r="K18" i="3"/>
  <c r="AA18" i="18"/>
  <c r="V22" i="18"/>
  <c r="V21" i="18"/>
  <c r="V18" i="18"/>
  <c r="H253" i="3"/>
  <c r="J253" i="3"/>
  <c r="H111" i="3"/>
  <c r="J111" i="3"/>
  <c r="K281" i="3"/>
  <c r="H222" i="3"/>
  <c r="J222" i="3"/>
  <c r="H100" i="3"/>
  <c r="J100" i="3"/>
  <c r="H149" i="3"/>
  <c r="J149" i="3"/>
  <c r="H327" i="3"/>
  <c r="J327" i="3"/>
  <c r="H350" i="3"/>
  <c r="J350" i="3"/>
  <c r="H445" i="3"/>
  <c r="J445" i="3"/>
  <c r="H196" i="3"/>
  <c r="J196" i="3"/>
  <c r="H156" i="3"/>
  <c r="J156" i="3"/>
  <c r="H322" i="3"/>
  <c r="J322" i="3"/>
  <c r="H490" i="3"/>
  <c r="J490" i="3"/>
  <c r="H578" i="3"/>
  <c r="J578" i="3"/>
  <c r="H126" i="3"/>
  <c r="J126" i="3"/>
  <c r="H318" i="3"/>
  <c r="J318" i="3"/>
  <c r="H199" i="3"/>
  <c r="J199" i="3"/>
  <c r="H28" i="3"/>
  <c r="J28" i="3"/>
  <c r="K282" i="3"/>
  <c r="D436" i="9"/>
  <c r="H437" i="3"/>
  <c r="J437" i="3"/>
  <c r="H172" i="3"/>
  <c r="J172" i="3"/>
  <c r="H439" i="3"/>
  <c r="J439" i="3"/>
  <c r="H531" i="3"/>
  <c r="J531" i="3"/>
  <c r="H489" i="3"/>
  <c r="J489" i="3"/>
  <c r="H420" i="3"/>
  <c r="J420" i="3"/>
  <c r="H469" i="3"/>
  <c r="J469" i="3"/>
  <c r="H423" i="3"/>
  <c r="J423" i="3"/>
  <c r="H354" i="3"/>
  <c r="J354" i="3"/>
  <c r="H237" i="3"/>
  <c r="J237" i="3"/>
  <c r="H287" i="3"/>
  <c r="J287" i="3"/>
  <c r="H228" i="3"/>
  <c r="J228" i="3"/>
  <c r="H151" i="3"/>
  <c r="J151" i="3"/>
  <c r="H66" i="3"/>
  <c r="J66" i="3"/>
  <c r="H286" i="3"/>
  <c r="J286" i="3"/>
  <c r="H189" i="3"/>
  <c r="J189" i="3"/>
  <c r="H597" i="3"/>
  <c r="J597" i="3"/>
  <c r="H159" i="3"/>
  <c r="J159" i="3"/>
  <c r="H466" i="3"/>
  <c r="J466" i="3"/>
  <c r="H508" i="3"/>
  <c r="J508" i="3"/>
  <c r="H573" i="3"/>
  <c r="J573" i="3"/>
  <c r="H186" i="3"/>
  <c r="J186" i="3"/>
  <c r="H57" i="3"/>
  <c r="J57" i="3"/>
  <c r="H229" i="3"/>
  <c r="J229" i="3"/>
  <c r="H298" i="3"/>
  <c r="J298" i="3"/>
  <c r="H204" i="3"/>
  <c r="J204" i="3"/>
  <c r="H72" i="3"/>
  <c r="J72" i="3"/>
  <c r="H191" i="3"/>
  <c r="J191" i="3"/>
  <c r="H216" i="3"/>
  <c r="J216" i="3"/>
  <c r="H188" i="3"/>
  <c r="J188" i="3"/>
  <c r="H73" i="3"/>
  <c r="J73" i="3"/>
  <c r="H284" i="3"/>
  <c r="J284" i="3"/>
  <c r="H558" i="3"/>
  <c r="J558" i="3"/>
  <c r="H535" i="3"/>
  <c r="J535" i="3"/>
  <c r="H415" i="3"/>
  <c r="J415" i="3"/>
  <c r="H472" i="3"/>
  <c r="J472" i="3"/>
  <c r="H518" i="3"/>
  <c r="J518" i="3"/>
  <c r="H503" i="3"/>
  <c r="J503" i="3"/>
  <c r="H577" i="3"/>
  <c r="J577" i="3"/>
  <c r="H292" i="3"/>
  <c r="J292" i="3"/>
  <c r="H213" i="3"/>
  <c r="J213" i="3"/>
  <c r="H148" i="3"/>
  <c r="J148" i="3"/>
  <c r="H268" i="3"/>
  <c r="J268" i="3"/>
  <c r="H479" i="3"/>
  <c r="J479" i="3"/>
  <c r="H296" i="3"/>
  <c r="J296" i="3"/>
  <c r="H509" i="3"/>
  <c r="J509" i="3"/>
  <c r="H372" i="3"/>
  <c r="J372" i="3"/>
  <c r="H316" i="3"/>
  <c r="J316" i="3"/>
  <c r="H38" i="3"/>
  <c r="J38" i="3"/>
  <c r="H561" i="3"/>
  <c r="J561" i="3"/>
  <c r="H87" i="3"/>
  <c r="J87" i="3"/>
  <c r="H93" i="3"/>
  <c r="J93" i="3"/>
  <c r="H65" i="3"/>
  <c r="J65" i="3"/>
  <c r="H180" i="3"/>
  <c r="J180" i="3"/>
  <c r="H331" i="3"/>
  <c r="J331" i="3"/>
  <c r="H533" i="3"/>
  <c r="J533" i="3"/>
  <c r="H221" i="3"/>
  <c r="J221" i="3"/>
  <c r="H568" i="3"/>
  <c r="J568" i="3"/>
  <c r="H464" i="3"/>
  <c r="J464" i="3"/>
  <c r="H271" i="3"/>
  <c r="J271" i="3"/>
  <c r="H361" i="3"/>
  <c r="J361" i="3"/>
  <c r="H198" i="3"/>
  <c r="J198" i="3"/>
  <c r="H86" i="3"/>
  <c r="J86" i="3"/>
  <c r="H80" i="3"/>
  <c r="J80" i="3"/>
  <c r="H6" i="3"/>
  <c r="J6" i="3"/>
  <c r="H119" i="3"/>
  <c r="J119" i="3"/>
  <c r="H277" i="3"/>
  <c r="J277" i="3"/>
  <c r="H128" i="3"/>
  <c r="J128" i="3"/>
  <c r="H591" i="3"/>
  <c r="J591" i="3"/>
  <c r="H526" i="3"/>
  <c r="J526" i="3"/>
  <c r="H398" i="3"/>
  <c r="J398" i="3"/>
  <c r="H195" i="3"/>
  <c r="J195" i="3"/>
  <c r="H92" i="3"/>
  <c r="J92" i="3"/>
  <c r="H515" i="3"/>
  <c r="J515" i="3"/>
  <c r="H425" i="3"/>
  <c r="J425" i="3"/>
  <c r="H110" i="3"/>
  <c r="J110" i="3"/>
  <c r="H146" i="3"/>
  <c r="J146" i="3"/>
  <c r="H283" i="3"/>
  <c r="J283" i="3"/>
  <c r="H264" i="3"/>
  <c r="J264" i="3"/>
  <c r="H416" i="3"/>
  <c r="J416" i="3"/>
  <c r="H147" i="3"/>
  <c r="J147" i="3"/>
  <c r="H451" i="3"/>
  <c r="J451" i="3"/>
  <c r="H391" i="3"/>
  <c r="J391" i="3"/>
  <c r="H365" i="3"/>
  <c r="J365" i="3"/>
  <c r="H209" i="3"/>
  <c r="J209" i="3"/>
  <c r="H314" i="3"/>
  <c r="J314" i="3"/>
  <c r="H187" i="3"/>
  <c r="J187" i="3"/>
  <c r="H308" i="3"/>
  <c r="J308" i="3"/>
  <c r="H185" i="3"/>
  <c r="J185" i="3"/>
  <c r="H335" i="3"/>
  <c r="J335" i="3"/>
  <c r="H452" i="3"/>
  <c r="J452" i="3"/>
  <c r="H493" i="3"/>
  <c r="J493" i="3"/>
  <c r="H338" i="3"/>
  <c r="J338" i="3"/>
  <c r="H483" i="3"/>
  <c r="J483" i="3"/>
  <c r="H217" i="3"/>
  <c r="J217" i="3"/>
  <c r="H54" i="3"/>
  <c r="J54" i="3"/>
  <c r="H587" i="3"/>
  <c r="J587" i="3"/>
  <c r="H241" i="3"/>
  <c r="J241" i="3"/>
  <c r="H94" i="3"/>
  <c r="J94" i="3"/>
  <c r="H235" i="3"/>
  <c r="J235" i="3"/>
  <c r="H192" i="3"/>
  <c r="J192" i="3"/>
  <c r="H50" i="3"/>
  <c r="J50" i="3"/>
  <c r="H381" i="3"/>
  <c r="J381" i="3"/>
  <c r="H245" i="3"/>
  <c r="J245" i="3"/>
  <c r="H563" i="3"/>
  <c r="J563" i="3"/>
  <c r="H337" i="3"/>
  <c r="J337" i="3"/>
  <c r="H500" i="3"/>
  <c r="J500" i="3"/>
  <c r="H564" i="3"/>
  <c r="J564" i="3"/>
  <c r="H444" i="3"/>
  <c r="J444" i="3"/>
  <c r="H572" i="3"/>
  <c r="J572" i="3"/>
  <c r="H400" i="3"/>
  <c r="J400" i="3"/>
  <c r="H154" i="3"/>
  <c r="J154" i="3"/>
  <c r="H78" i="3"/>
  <c r="J78" i="3"/>
  <c r="H177" i="3"/>
  <c r="J177" i="3"/>
  <c r="H343" i="3"/>
  <c r="J343" i="3"/>
  <c r="H97" i="3"/>
  <c r="J97" i="3"/>
  <c r="H341" i="3"/>
  <c r="J341" i="3"/>
  <c r="H461" i="3"/>
  <c r="J461" i="3"/>
  <c r="H259" i="3"/>
  <c r="J259" i="3"/>
  <c r="H524" i="3"/>
  <c r="J524" i="3"/>
  <c r="H421" i="3"/>
  <c r="J421" i="3"/>
  <c r="H393" i="3"/>
  <c r="J393" i="3"/>
  <c r="H480" i="3"/>
  <c r="J480" i="3"/>
  <c r="H122" i="3"/>
  <c r="J122" i="3"/>
  <c r="H349" i="3"/>
  <c r="J349" i="3"/>
  <c r="H320" i="3"/>
  <c r="J320" i="3"/>
  <c r="H345" i="3"/>
  <c r="J345" i="3"/>
  <c r="H278" i="3"/>
  <c r="J278" i="3"/>
  <c r="H124" i="3"/>
  <c r="J124" i="3"/>
  <c r="H34" i="3"/>
  <c r="J34" i="3"/>
  <c r="H202" i="3"/>
  <c r="J202" i="3"/>
  <c r="H153" i="3"/>
  <c r="J153" i="3"/>
  <c r="H560" i="3"/>
  <c r="J560" i="3"/>
  <c r="H575" i="3"/>
  <c r="J575" i="3"/>
  <c r="H375" i="3"/>
  <c r="J375" i="3"/>
  <c r="H369" i="3"/>
  <c r="J369" i="3"/>
  <c r="H395" i="3"/>
  <c r="J395" i="3"/>
  <c r="H507" i="3"/>
  <c r="J507" i="3"/>
  <c r="H501" i="3"/>
  <c r="J501" i="3"/>
  <c r="H582" i="3"/>
  <c r="J582" i="3"/>
  <c r="H406" i="3"/>
  <c r="J406" i="3"/>
  <c r="H41" i="3"/>
  <c r="J41" i="3"/>
  <c r="H430" i="3"/>
  <c r="J430" i="3"/>
  <c r="H117" i="3"/>
  <c r="J117" i="3"/>
  <c r="H405" i="3"/>
  <c r="J405" i="3"/>
  <c r="H55" i="3"/>
  <c r="J55" i="3"/>
  <c r="H492" i="3"/>
  <c r="J492" i="3"/>
  <c r="H309" i="3"/>
  <c r="J309" i="3"/>
  <c r="H121" i="3"/>
  <c r="J121" i="3"/>
  <c r="H197" i="3"/>
  <c r="J197" i="3"/>
  <c r="H194" i="3"/>
  <c r="J194" i="3"/>
  <c r="H475" i="3"/>
  <c r="J475" i="3"/>
  <c r="H520" i="3"/>
  <c r="J520" i="3"/>
  <c r="H435" i="3"/>
  <c r="J435" i="3"/>
  <c r="H77" i="3"/>
  <c r="J77" i="3"/>
  <c r="H511" i="3"/>
  <c r="J511" i="3"/>
  <c r="H536" i="3"/>
  <c r="J536" i="3"/>
  <c r="H108" i="3"/>
  <c r="J108" i="3"/>
  <c r="H214" i="3"/>
  <c r="J214" i="3"/>
  <c r="H351" i="3"/>
  <c r="J351" i="3"/>
  <c r="H112" i="3"/>
  <c r="J112" i="3"/>
  <c r="H208" i="3"/>
  <c r="J208" i="3"/>
  <c r="H367" i="3"/>
  <c r="J367" i="3"/>
  <c r="H133" i="3"/>
  <c r="J133" i="3"/>
  <c r="H378" i="3"/>
  <c r="J378" i="3"/>
  <c r="H220" i="3"/>
  <c r="J220" i="3"/>
  <c r="H570" i="3"/>
  <c r="J570" i="3"/>
  <c r="H465" i="3"/>
  <c r="J465" i="3"/>
  <c r="H158" i="3"/>
  <c r="J158" i="3"/>
  <c r="H325" i="3"/>
  <c r="J325" i="3"/>
  <c r="H390" i="3"/>
  <c r="J390" i="3"/>
  <c r="H218" i="3"/>
  <c r="J218" i="3"/>
  <c r="H113" i="3"/>
  <c r="J113" i="3"/>
  <c r="H182" i="3"/>
  <c r="J182" i="3"/>
  <c r="H22" i="3"/>
  <c r="J22" i="3"/>
  <c r="H428" i="3"/>
  <c r="J428" i="3"/>
  <c r="H200" i="3"/>
  <c r="J200" i="3"/>
  <c r="H385" i="3"/>
  <c r="J385" i="3"/>
  <c r="H548" i="3"/>
  <c r="J548" i="3"/>
  <c r="H457" i="3"/>
  <c r="J457" i="3"/>
  <c r="H571" i="3"/>
  <c r="J571" i="3"/>
  <c r="H505" i="3"/>
  <c r="J505" i="3"/>
  <c r="H404" i="3"/>
  <c r="J404" i="3"/>
  <c r="H357" i="3"/>
  <c r="J357" i="3"/>
  <c r="H559" i="3"/>
  <c r="J559" i="3"/>
  <c r="H71" i="3"/>
  <c r="J71" i="3"/>
  <c r="H334" i="3"/>
  <c r="J334" i="3"/>
  <c r="H275" i="3"/>
  <c r="J275" i="3"/>
  <c r="H431" i="3"/>
  <c r="J431" i="3"/>
  <c r="H129" i="3"/>
  <c r="J129" i="3"/>
  <c r="H477" i="3"/>
  <c r="J477" i="3"/>
  <c r="H332" i="3"/>
  <c r="J332" i="3"/>
  <c r="H478" i="3"/>
  <c r="J478" i="3"/>
  <c r="H347" i="3"/>
  <c r="J347" i="3"/>
  <c r="H463" i="3"/>
  <c r="J463" i="3"/>
  <c r="H266" i="3"/>
  <c r="J266" i="3"/>
  <c r="H95" i="3"/>
  <c r="J95" i="3"/>
  <c r="H529" i="3"/>
  <c r="J529" i="3"/>
  <c r="H232" i="3"/>
  <c r="J232" i="3"/>
  <c r="H263" i="3"/>
  <c r="J263" i="3"/>
  <c r="H313" i="3"/>
  <c r="J313" i="3"/>
  <c r="H7" i="3"/>
  <c r="J7" i="3"/>
  <c r="H18" i="3"/>
  <c r="J18" i="3"/>
  <c r="H81" i="3"/>
  <c r="J81" i="3"/>
  <c r="H179" i="3"/>
  <c r="J179" i="3"/>
  <c r="H211" i="3"/>
  <c r="J211" i="3"/>
  <c r="H40" i="3"/>
  <c r="J40" i="3"/>
  <c r="H103" i="3"/>
  <c r="J103" i="3"/>
  <c r="H530" i="3"/>
  <c r="J530" i="3"/>
  <c r="H193" i="3"/>
  <c r="J193" i="3"/>
  <c r="H419" i="3"/>
  <c r="J419" i="3"/>
  <c r="H383" i="3"/>
  <c r="J383" i="3"/>
  <c r="H426" i="3"/>
  <c r="J426" i="3"/>
  <c r="H379" i="3"/>
  <c r="J379" i="3"/>
  <c r="H551" i="3"/>
  <c r="J551" i="3"/>
  <c r="H566" i="3"/>
  <c r="J566" i="3"/>
  <c r="H248" i="3"/>
  <c r="J248" i="3"/>
  <c r="H20" i="3"/>
  <c r="J20" i="3"/>
  <c r="H356" i="3"/>
  <c r="J356" i="3"/>
  <c r="H429" i="3"/>
  <c r="J429" i="3"/>
  <c r="H319" i="3"/>
  <c r="J319" i="3"/>
  <c r="H299" i="3"/>
  <c r="J299" i="3"/>
  <c r="H409" i="3"/>
  <c r="J409" i="3"/>
  <c r="H88" i="3"/>
  <c r="J88" i="3"/>
  <c r="H537" i="3"/>
  <c r="J537" i="3"/>
  <c r="H359" i="3"/>
  <c r="J359" i="3"/>
  <c r="H64" i="3"/>
  <c r="J64" i="3"/>
  <c r="H321" i="3"/>
  <c r="J321" i="3"/>
  <c r="H140" i="3"/>
  <c r="J140" i="3"/>
  <c r="H102" i="3"/>
  <c r="J102" i="3"/>
  <c r="H48" i="3"/>
  <c r="J48" i="3"/>
  <c r="H240" i="3"/>
  <c r="J240" i="3"/>
  <c r="H353" i="3"/>
  <c r="J353" i="3"/>
  <c r="H76" i="3"/>
  <c r="J76" i="3"/>
  <c r="H468" i="3"/>
  <c r="J468" i="3"/>
  <c r="H495" i="3"/>
  <c r="J495" i="3"/>
  <c r="H371" i="3"/>
  <c r="J371" i="3"/>
  <c r="H358" i="3"/>
  <c r="J358" i="3"/>
  <c r="H368" i="3"/>
  <c r="J368" i="3"/>
  <c r="H599" i="3"/>
  <c r="J599" i="3"/>
  <c r="H89" i="3"/>
  <c r="J89" i="3"/>
  <c r="H556" i="3"/>
  <c r="J556" i="3"/>
  <c r="H233" i="3"/>
  <c r="J233" i="3"/>
  <c r="H175" i="3"/>
  <c r="J175" i="3"/>
  <c r="H525" i="3"/>
  <c r="J525" i="3"/>
  <c r="H412" i="3"/>
  <c r="J412" i="3"/>
  <c r="H364" i="3"/>
  <c r="J364" i="3"/>
  <c r="H576" i="3"/>
  <c r="J576" i="3"/>
  <c r="H584" i="3"/>
  <c r="J584" i="3"/>
  <c r="H553" i="3"/>
  <c r="J553" i="3"/>
  <c r="H456" i="3"/>
  <c r="J456" i="3"/>
  <c r="H424" i="3"/>
  <c r="J424" i="3"/>
  <c r="H394" i="3"/>
  <c r="J394" i="3"/>
  <c r="H407" i="3"/>
  <c r="J407" i="3"/>
  <c r="H474" i="3"/>
  <c r="J474" i="3"/>
  <c r="H170" i="3"/>
  <c r="J170" i="3"/>
  <c r="H123" i="3"/>
  <c r="J123" i="3"/>
  <c r="H106" i="3"/>
  <c r="J106" i="3"/>
  <c r="H297" i="3"/>
  <c r="J297" i="3"/>
  <c r="H44" i="3"/>
  <c r="J44" i="3"/>
  <c r="H70" i="3"/>
  <c r="J70" i="3"/>
  <c r="H136" i="3"/>
  <c r="J136" i="3"/>
  <c r="H135" i="3"/>
  <c r="J135" i="3"/>
  <c r="H250" i="3"/>
  <c r="J250" i="3"/>
  <c r="H471" i="3"/>
  <c r="J471" i="3"/>
  <c r="H132" i="3"/>
  <c r="J132" i="3"/>
  <c r="H344" i="3"/>
  <c r="J344" i="3"/>
  <c r="H224" i="3"/>
  <c r="J224" i="3"/>
  <c r="H323" i="3"/>
  <c r="J323" i="3"/>
  <c r="H276" i="3"/>
  <c r="J276" i="3"/>
  <c r="H281" i="3"/>
  <c r="J281" i="3"/>
  <c r="H165" i="3"/>
  <c r="J165" i="3"/>
  <c r="H581" i="3"/>
  <c r="J581" i="3"/>
  <c r="H521" i="3"/>
  <c r="J521" i="3"/>
  <c r="H366" i="3"/>
  <c r="J366" i="3"/>
  <c r="H532" i="3"/>
  <c r="J532" i="3"/>
  <c r="H436" i="3"/>
  <c r="J436" i="3"/>
  <c r="H31" i="3"/>
  <c r="J31" i="3"/>
  <c r="H24" i="3"/>
  <c r="J24" i="3"/>
  <c r="H56" i="3"/>
  <c r="J56" i="3"/>
  <c r="H244" i="3"/>
  <c r="J244" i="3"/>
  <c r="H207" i="3"/>
  <c r="J207" i="3"/>
  <c r="H131" i="3"/>
  <c r="J131" i="3"/>
  <c r="H46" i="3"/>
  <c r="J46" i="3"/>
  <c r="H176" i="3"/>
  <c r="J176" i="3"/>
  <c r="H317" i="3"/>
  <c r="J317" i="3"/>
  <c r="H162" i="3"/>
  <c r="J162" i="3"/>
  <c r="H8" i="3"/>
  <c r="J8" i="3"/>
  <c r="H143" i="3"/>
  <c r="J143" i="3"/>
  <c r="H82" i="3"/>
  <c r="J82" i="3"/>
  <c r="H306" i="3"/>
  <c r="J306" i="3"/>
  <c r="H227" i="3"/>
  <c r="J227" i="3"/>
  <c r="H342" i="3"/>
  <c r="J342" i="3"/>
  <c r="H160" i="3"/>
  <c r="J160" i="3"/>
  <c r="H203" i="3"/>
  <c r="J203" i="3"/>
  <c r="H549" i="3"/>
  <c r="J549" i="3"/>
  <c r="H590" i="3"/>
  <c r="J590" i="3"/>
  <c r="H29" i="3"/>
  <c r="J29" i="3"/>
  <c r="H384" i="3"/>
  <c r="J384" i="3"/>
  <c r="H453" i="3"/>
  <c r="J453" i="3"/>
  <c r="H487" i="3"/>
  <c r="J487" i="3"/>
  <c r="H539" i="3"/>
  <c r="J539" i="3"/>
  <c r="H546" i="3"/>
  <c r="J546" i="3"/>
  <c r="H410" i="3"/>
  <c r="J410" i="3"/>
  <c r="H513" i="3"/>
  <c r="J513" i="3"/>
  <c r="H262" i="3"/>
  <c r="J262" i="3"/>
  <c r="H514" i="3"/>
  <c r="J514" i="3"/>
  <c r="H85" i="3"/>
  <c r="J85" i="3"/>
  <c r="H413" i="3"/>
  <c r="J413" i="3"/>
  <c r="H408" i="3"/>
  <c r="J408" i="3"/>
  <c r="H377" i="3"/>
  <c r="J377" i="3"/>
  <c r="H252" i="3"/>
  <c r="J252" i="3"/>
  <c r="H174" i="3"/>
  <c r="J174" i="3"/>
  <c r="H155" i="3"/>
  <c r="J155" i="3"/>
  <c r="H254" i="3"/>
  <c r="J254" i="3"/>
  <c r="H98" i="3"/>
  <c r="J98" i="3"/>
  <c r="H326" i="3"/>
  <c r="J326" i="3"/>
  <c r="H183" i="3"/>
  <c r="J183" i="3"/>
  <c r="H305" i="3"/>
  <c r="J305" i="3"/>
  <c r="H293" i="3"/>
  <c r="J293" i="3"/>
  <c r="H267" i="3"/>
  <c r="J267" i="3"/>
  <c r="H403" i="3"/>
  <c r="J403" i="3"/>
  <c r="H387" i="3"/>
  <c r="J387" i="3"/>
  <c r="H167" i="3"/>
  <c r="J167" i="3"/>
  <c r="H42" i="3"/>
  <c r="J42" i="3"/>
  <c r="H163" i="3"/>
  <c r="J163" i="3"/>
  <c r="H219" i="3"/>
  <c r="J219" i="3"/>
  <c r="H75" i="3"/>
  <c r="J75" i="3"/>
  <c r="H238" i="3"/>
  <c r="J238" i="3"/>
  <c r="H574" i="3"/>
  <c r="J574" i="3"/>
  <c r="H517" i="3"/>
  <c r="J517" i="3"/>
  <c r="H401" i="3"/>
  <c r="J401" i="3"/>
  <c r="H580" i="3"/>
  <c r="J580" i="3"/>
  <c r="H328" i="3"/>
  <c r="J328" i="3"/>
  <c r="H449" i="3"/>
  <c r="J449" i="3"/>
  <c r="H79" i="3"/>
  <c r="J79" i="3"/>
  <c r="H17" i="3"/>
  <c r="J17" i="3"/>
  <c r="H90" i="3"/>
  <c r="J90" i="3"/>
  <c r="H67" i="3"/>
  <c r="J67" i="3"/>
  <c r="H247" i="3"/>
  <c r="J247" i="3"/>
  <c r="H272" i="3"/>
  <c r="J272" i="3"/>
  <c r="H14" i="3"/>
  <c r="J14" i="3"/>
  <c r="H282" i="3"/>
  <c r="J282" i="3"/>
  <c r="H141" i="3"/>
  <c r="J141" i="3"/>
  <c r="H118" i="3"/>
  <c r="J118" i="3"/>
  <c r="H139" i="3"/>
  <c r="J139" i="3"/>
  <c r="H36" i="3"/>
  <c r="J36" i="3"/>
  <c r="H201" i="3"/>
  <c r="J201" i="3"/>
  <c r="H255" i="3"/>
  <c r="J255" i="3"/>
  <c r="H168" i="3"/>
  <c r="J168" i="3"/>
  <c r="H285" i="3"/>
  <c r="J285" i="3"/>
  <c r="H496" i="3"/>
  <c r="J496" i="3"/>
  <c r="H448" i="3"/>
  <c r="J448" i="3"/>
  <c r="H396" i="3"/>
  <c r="J396" i="3"/>
  <c r="H596" i="3"/>
  <c r="J596" i="3"/>
  <c r="H362" i="3"/>
  <c r="J362" i="3"/>
  <c r="H586" i="3"/>
  <c r="J586" i="3"/>
  <c r="H205" i="3"/>
  <c r="J205" i="3"/>
  <c r="H494" i="3"/>
  <c r="J494" i="3"/>
  <c r="H523" i="3"/>
  <c r="J523" i="3"/>
  <c r="H519" i="3"/>
  <c r="J519" i="3"/>
  <c r="H388" i="3"/>
  <c r="J388" i="3"/>
  <c r="H488" i="3"/>
  <c r="J488" i="3"/>
  <c r="H593" i="3"/>
  <c r="J593" i="3"/>
  <c r="H422" i="3"/>
  <c r="J422" i="3"/>
  <c r="H434" i="3"/>
  <c r="J434" i="3"/>
  <c r="H397" i="3"/>
  <c r="J397" i="3"/>
  <c r="H257" i="3"/>
  <c r="J257" i="3"/>
  <c r="H269" i="3"/>
  <c r="J269" i="3"/>
  <c r="H157" i="3"/>
  <c r="J157" i="3"/>
  <c r="H260" i="3"/>
  <c r="J260" i="3"/>
  <c r="H230" i="3"/>
  <c r="J230" i="3"/>
  <c r="H107" i="3"/>
  <c r="J107" i="3"/>
  <c r="H33" i="3"/>
  <c r="J33" i="3"/>
  <c r="H116" i="3"/>
  <c r="J116" i="3"/>
  <c r="H39" i="3"/>
  <c r="J39" i="3"/>
  <c r="H104" i="3"/>
  <c r="J104" i="3"/>
  <c r="H534" i="3"/>
  <c r="J534" i="3"/>
  <c r="H115" i="3"/>
  <c r="J115" i="3"/>
  <c r="H62" i="3"/>
  <c r="J62" i="3"/>
  <c r="H99" i="3"/>
  <c r="J99" i="3"/>
  <c r="H234" i="3"/>
  <c r="J234" i="3"/>
  <c r="H315" i="3"/>
  <c r="J315" i="3"/>
  <c r="H540" i="3"/>
  <c r="J540" i="3"/>
  <c r="H502" i="3"/>
  <c r="J502" i="3"/>
  <c r="H459" i="3"/>
  <c r="J459" i="3"/>
  <c r="H485" i="3"/>
  <c r="J485" i="3"/>
  <c r="H473" i="3"/>
  <c r="J473" i="3"/>
  <c r="H481" i="3"/>
  <c r="J481" i="3"/>
  <c r="H579" i="3"/>
  <c r="J579" i="3"/>
  <c r="H312" i="3"/>
  <c r="J312" i="3"/>
  <c r="H60" i="3"/>
  <c r="J60" i="3"/>
  <c r="H23" i="3"/>
  <c r="J23" i="3"/>
  <c r="H246" i="3"/>
  <c r="J246" i="3"/>
  <c r="H142" i="3"/>
  <c r="J142" i="3"/>
  <c r="H11" i="3"/>
  <c r="J11" i="3"/>
  <c r="H145" i="3"/>
  <c r="J145" i="3"/>
  <c r="H212" i="3"/>
  <c r="J212" i="3"/>
  <c r="H288" i="3"/>
  <c r="J288" i="3"/>
  <c r="H10" i="3"/>
  <c r="J10" i="3"/>
  <c r="H295" i="3"/>
  <c r="J295" i="3"/>
  <c r="H59" i="3"/>
  <c r="J59" i="3"/>
  <c r="H19" i="3"/>
  <c r="J19" i="3"/>
  <c r="H279" i="3"/>
  <c r="J279" i="3"/>
  <c r="H249" i="3"/>
  <c r="J249" i="3"/>
  <c r="H374" i="3"/>
  <c r="J374" i="3"/>
  <c r="H450" i="3"/>
  <c r="J450" i="3"/>
  <c r="H274" i="3"/>
  <c r="J274" i="3"/>
  <c r="H386" i="3"/>
  <c r="J386" i="3"/>
  <c r="H256" i="3"/>
  <c r="J256" i="3"/>
  <c r="H84" i="3"/>
  <c r="J84" i="3"/>
  <c r="H417" i="3"/>
  <c r="J417" i="3"/>
  <c r="H340" i="3"/>
  <c r="J340" i="3"/>
  <c r="H565" i="3"/>
  <c r="J565" i="3"/>
  <c r="H583" i="3"/>
  <c r="J583" i="3"/>
  <c r="H433" i="3"/>
  <c r="J433" i="3"/>
  <c r="H598" i="3"/>
  <c r="J598" i="3"/>
  <c r="H528" i="3"/>
  <c r="J528" i="3"/>
  <c r="H482" i="3"/>
  <c r="J482" i="3"/>
  <c r="H370" i="3"/>
  <c r="J370" i="3"/>
  <c r="H588" i="3"/>
  <c r="J588" i="3"/>
  <c r="H300" i="3"/>
  <c r="J300" i="3"/>
  <c r="H270" i="3"/>
  <c r="J270" i="3"/>
  <c r="H181" i="3"/>
  <c r="J181" i="3"/>
  <c r="H307" i="3"/>
  <c r="J307" i="3"/>
  <c r="H215" i="3"/>
  <c r="J215" i="3"/>
  <c r="H35" i="3"/>
  <c r="J35" i="3"/>
  <c r="H63" i="3"/>
  <c r="J63" i="3"/>
  <c r="H304" i="3"/>
  <c r="J304" i="3"/>
  <c r="H25" i="3"/>
  <c r="J25" i="3"/>
  <c r="H289" i="3"/>
  <c r="J289" i="3"/>
  <c r="H348" i="3"/>
  <c r="J348" i="3"/>
  <c r="H152" i="3"/>
  <c r="J152" i="3"/>
  <c r="H352" i="3"/>
  <c r="J352" i="3"/>
  <c r="H12" i="3"/>
  <c r="J12" i="3"/>
  <c r="H333" i="3"/>
  <c r="J333" i="3"/>
  <c r="H150" i="3"/>
  <c r="J150" i="3"/>
  <c r="H16" i="3"/>
  <c r="J16" i="3"/>
  <c r="H223" i="3"/>
  <c r="J223" i="3"/>
  <c r="H373" i="3"/>
  <c r="J373" i="3"/>
  <c r="H569" i="3"/>
  <c r="J569" i="3"/>
  <c r="H552" i="3"/>
  <c r="J552" i="3"/>
  <c r="H376" i="3"/>
  <c r="J376" i="3"/>
  <c r="H418" i="3"/>
  <c r="J418" i="3"/>
  <c r="H330" i="3"/>
  <c r="J330" i="3"/>
  <c r="H134" i="3"/>
  <c r="J134" i="3"/>
  <c r="H37" i="3"/>
  <c r="J37" i="3"/>
  <c r="H226" i="3"/>
  <c r="J226" i="3"/>
  <c r="H91" i="3"/>
  <c r="J91" i="3"/>
  <c r="H137" i="3"/>
  <c r="J137" i="3"/>
  <c r="H105" i="3"/>
  <c r="J105" i="3"/>
  <c r="H52" i="3"/>
  <c r="J52" i="3"/>
  <c r="H251" i="3"/>
  <c r="J251" i="3"/>
  <c r="H9" i="3"/>
  <c r="J9" i="3"/>
  <c r="H302" i="3"/>
  <c r="J302" i="3"/>
  <c r="H329" i="3"/>
  <c r="J329" i="3"/>
  <c r="H184" i="3"/>
  <c r="J184" i="3"/>
  <c r="H239" i="3"/>
  <c r="J239" i="3"/>
  <c r="H557" i="3"/>
  <c r="J557" i="3"/>
  <c r="H542" i="3"/>
  <c r="J542" i="3"/>
  <c r="H547" i="3"/>
  <c r="J547" i="3"/>
  <c r="H486" i="3"/>
  <c r="J486" i="3"/>
  <c r="H545" i="3"/>
  <c r="J545" i="3"/>
  <c r="H458" i="3"/>
  <c r="J458" i="3"/>
  <c r="H527" i="3"/>
  <c r="J527" i="3"/>
  <c r="H447" i="3"/>
  <c r="J447" i="3"/>
  <c r="H600" i="3"/>
  <c r="J600" i="3"/>
  <c r="H554" i="3"/>
  <c r="J554" i="3"/>
  <c r="H594" i="3"/>
  <c r="J594" i="3"/>
  <c r="H161" i="3"/>
  <c r="J161" i="3"/>
  <c r="H455" i="3"/>
  <c r="J455" i="3"/>
  <c r="H242" i="3"/>
  <c r="J242" i="3"/>
  <c r="H506" i="3"/>
  <c r="J506" i="3"/>
  <c r="H442" i="3"/>
  <c r="J442" i="3"/>
  <c r="H497" i="3"/>
  <c r="J497" i="3"/>
  <c r="H470" i="3"/>
  <c r="J470" i="3"/>
  <c r="H339" i="3"/>
  <c r="J339" i="3"/>
  <c r="H301" i="3"/>
  <c r="J301" i="3"/>
  <c r="H190" i="3"/>
  <c r="J190" i="3"/>
  <c r="H243" i="3"/>
  <c r="J243" i="3"/>
  <c r="H310" i="3"/>
  <c r="J310" i="3"/>
  <c r="H290" i="3"/>
  <c r="J290" i="3"/>
  <c r="H303" i="3"/>
  <c r="J303" i="3"/>
  <c r="H166" i="3"/>
  <c r="J166" i="3"/>
  <c r="H173" i="3"/>
  <c r="J173" i="3"/>
  <c r="H101" i="3"/>
  <c r="J101" i="3"/>
  <c r="H476" i="3"/>
  <c r="J476" i="3"/>
  <c r="H440" i="3"/>
  <c r="J440" i="3"/>
  <c r="H411" i="3"/>
  <c r="J411" i="3"/>
  <c r="H446" i="3"/>
  <c r="J446" i="3"/>
  <c r="H399" i="3"/>
  <c r="J399" i="3"/>
  <c r="H460" i="3"/>
  <c r="J460" i="3"/>
  <c r="H363" i="3"/>
  <c r="J363" i="3"/>
  <c r="H441" i="3"/>
  <c r="J441" i="3"/>
  <c r="H15" i="3"/>
  <c r="J15" i="3"/>
  <c r="H265" i="3"/>
  <c r="J265" i="3"/>
  <c r="H236" i="3"/>
  <c r="J236" i="3"/>
  <c r="H45" i="3"/>
  <c r="J45" i="3"/>
  <c r="H51" i="3"/>
  <c r="J51" i="3"/>
  <c r="H58" i="3"/>
  <c r="J58" i="3"/>
  <c r="H273" i="3"/>
  <c r="J273" i="3"/>
  <c r="H178" i="3"/>
  <c r="J178" i="3"/>
  <c r="H210" i="3"/>
  <c r="J210" i="3"/>
  <c r="H225" i="3"/>
  <c r="J225" i="3"/>
  <c r="H114" i="3"/>
  <c r="J114" i="3"/>
  <c r="H83" i="3"/>
  <c r="J83" i="3"/>
  <c r="H96" i="3"/>
  <c r="J96" i="3"/>
  <c r="H498" i="3"/>
  <c r="J498" i="3"/>
  <c r="H512" i="3"/>
  <c r="J512" i="3"/>
  <c r="H438" i="3"/>
  <c r="J438" i="3"/>
  <c r="H562" i="3"/>
  <c r="J562" i="3"/>
  <c r="H454" i="3"/>
  <c r="J454" i="3"/>
  <c r="H550" i="3"/>
  <c r="J550" i="3"/>
  <c r="H592" i="3"/>
  <c r="J592" i="3"/>
  <c r="H432" i="3"/>
  <c r="J432" i="3"/>
  <c r="H355" i="3"/>
  <c r="J355" i="3"/>
  <c r="H499" i="3"/>
  <c r="J499" i="3"/>
  <c r="H280" i="3"/>
  <c r="J280" i="3"/>
  <c r="H443" i="3"/>
  <c r="J443" i="3"/>
  <c r="H538" i="3"/>
  <c r="J538" i="3"/>
  <c r="H541" i="3"/>
  <c r="J541" i="3"/>
  <c r="H138" i="3"/>
  <c r="J138" i="3"/>
  <c r="H484" i="3"/>
  <c r="J484" i="3"/>
  <c r="H414" i="3"/>
  <c r="J414" i="3"/>
  <c r="H258" i="3"/>
  <c r="J258" i="3"/>
  <c r="H261" i="3"/>
  <c r="J261" i="3"/>
  <c r="H231" i="3"/>
  <c r="J231" i="3"/>
  <c r="H127" i="3"/>
  <c r="J127" i="3"/>
  <c r="H26" i="3"/>
  <c r="J26" i="3"/>
  <c r="H68" i="3"/>
  <c r="J68" i="3"/>
  <c r="H32" i="3"/>
  <c r="J32" i="3"/>
  <c r="H109" i="3"/>
  <c r="J109" i="3"/>
  <c r="H49" i="3"/>
  <c r="J49" i="3"/>
  <c r="H346" i="3"/>
  <c r="J346" i="3"/>
  <c r="H61" i="3"/>
  <c r="J61" i="3"/>
  <c r="H125" i="3"/>
  <c r="J125" i="3"/>
  <c r="H30" i="3"/>
  <c r="J30" i="3"/>
  <c r="H544" i="3"/>
  <c r="J544" i="3"/>
  <c r="H380" i="3"/>
  <c r="J380" i="3"/>
  <c r="H382" i="3"/>
  <c r="J382" i="3"/>
  <c r="H567" i="3"/>
  <c r="J567" i="3"/>
  <c r="H462" i="3"/>
  <c r="J462" i="3"/>
  <c r="H69" i="3"/>
  <c r="J69" i="3"/>
  <c r="H53" i="3"/>
  <c r="J53" i="3"/>
  <c r="H324" i="3"/>
  <c r="J324" i="3"/>
  <c r="H21" i="3"/>
  <c r="J21" i="3"/>
  <c r="H130" i="3"/>
  <c r="J130" i="3"/>
  <c r="H144" i="3"/>
  <c r="J144" i="3"/>
  <c r="H311" i="3"/>
  <c r="J311" i="3"/>
  <c r="H47" i="3"/>
  <c r="J47" i="3"/>
  <c r="H13" i="3"/>
  <c r="J13" i="3"/>
  <c r="H291" i="3"/>
  <c r="J291" i="3"/>
  <c r="H120" i="3"/>
  <c r="J120" i="3"/>
  <c r="H389" i="3"/>
  <c r="J389" i="3"/>
  <c r="H585" i="3"/>
  <c r="J585" i="3"/>
  <c r="H595" i="3"/>
  <c r="J595" i="3"/>
  <c r="H392" i="3"/>
  <c r="J392" i="3"/>
  <c r="H516" i="3"/>
  <c r="J516" i="3"/>
  <c r="H360" i="3"/>
  <c r="J360" i="3"/>
  <c r="H555" i="3"/>
  <c r="J555" i="3"/>
  <c r="H504" i="3"/>
  <c r="J504" i="3"/>
  <c r="H510" i="3"/>
  <c r="J510" i="3"/>
  <c r="H589" i="3"/>
  <c r="J589" i="3"/>
  <c r="H467" i="3"/>
  <c r="J467" i="3"/>
  <c r="H543" i="3"/>
  <c r="J543" i="3"/>
  <c r="H164" i="3"/>
  <c r="J164" i="3"/>
  <c r="H427" i="3"/>
  <c r="J427" i="3"/>
  <c r="H402" i="3"/>
  <c r="J402" i="3"/>
  <c r="H522" i="3"/>
  <c r="J522" i="3"/>
  <c r="H491" i="3"/>
  <c r="J491" i="3"/>
  <c r="H169" i="3"/>
  <c r="J169" i="3"/>
  <c r="H206" i="3"/>
  <c r="J206" i="3"/>
  <c r="H336" i="3"/>
  <c r="J336" i="3"/>
  <c r="H294" i="3"/>
  <c r="J294" i="3"/>
  <c r="H27" i="3"/>
  <c r="J27" i="3"/>
  <c r="H74" i="3"/>
  <c r="J74" i="3"/>
  <c r="H171" i="3"/>
  <c r="J171" i="3"/>
  <c r="H43" i="3"/>
  <c r="J43" i="3"/>
  <c r="D437" i="9"/>
  <c r="D408" i="9"/>
  <c r="D132" i="9"/>
  <c r="D518" i="9"/>
  <c r="D416" i="9"/>
  <c r="D273" i="9"/>
  <c r="D553" i="9"/>
  <c r="D237" i="9"/>
  <c r="D20" i="9"/>
  <c r="D431" i="9"/>
  <c r="D288" i="9"/>
  <c r="D117" i="9"/>
  <c r="D135" i="9"/>
  <c r="D474" i="9"/>
  <c r="D253" i="9"/>
  <c r="D588" i="9"/>
  <c r="D120" i="9"/>
  <c r="D278" i="9"/>
  <c r="D137" i="9"/>
  <c r="D516" i="9"/>
  <c r="D167" i="9"/>
  <c r="D525" i="9"/>
  <c r="D158" i="9"/>
  <c r="D159" i="9"/>
  <c r="D33" i="9"/>
  <c r="D36" i="9"/>
  <c r="D548" i="9"/>
  <c r="D570" i="9"/>
  <c r="D241" i="9"/>
  <c r="D550" i="9"/>
  <c r="D467" i="9"/>
  <c r="D544" i="9"/>
  <c r="D447" i="9"/>
  <c r="D223" i="9"/>
  <c r="D265" i="9"/>
  <c r="D12" i="9"/>
  <c r="D184" i="9"/>
  <c r="D324" i="9"/>
  <c r="D105" i="9"/>
  <c r="D260" i="9"/>
  <c r="D66" i="9"/>
  <c r="D182" i="9"/>
  <c r="D361" i="9"/>
  <c r="D534" i="9"/>
  <c r="D54" i="9"/>
  <c r="D45" i="9"/>
  <c r="D369" i="9"/>
  <c r="D154" i="9"/>
  <c r="D546" i="9"/>
  <c r="D358" i="9"/>
  <c r="D480" i="9"/>
  <c r="D486" i="9"/>
  <c r="D556" i="9"/>
  <c r="D134" i="9"/>
  <c r="D214" i="9"/>
  <c r="D401" i="9"/>
  <c r="D26" i="9"/>
  <c r="D116" i="9"/>
  <c r="D206" i="9"/>
  <c r="D55" i="9"/>
  <c r="D42" i="9"/>
  <c r="D22" i="9"/>
  <c r="D62" i="9"/>
  <c r="D359" i="9"/>
  <c r="D201" i="9"/>
  <c r="D254" i="9"/>
  <c r="D58" i="9"/>
  <c r="D336" i="9"/>
  <c r="D207" i="9"/>
  <c r="D414" i="9"/>
  <c r="D572" i="9"/>
  <c r="D448" i="9"/>
  <c r="D496" i="9"/>
  <c r="D415" i="9"/>
  <c r="D56" i="9"/>
  <c r="D520" i="9"/>
  <c r="D560" i="9"/>
  <c r="D138" i="9"/>
  <c r="D144" i="9"/>
  <c r="D305" i="9"/>
  <c r="D89" i="9"/>
  <c r="D321" i="9"/>
  <c r="D465" i="9"/>
  <c r="D11" i="9"/>
  <c r="D250" i="9"/>
  <c r="D348" i="9"/>
  <c r="D76" i="9"/>
  <c r="D196" i="9"/>
  <c r="D319" i="9"/>
  <c r="D118" i="9"/>
  <c r="D542" i="9"/>
  <c r="D16" i="9"/>
  <c r="D291" i="9"/>
  <c r="D377" i="9"/>
  <c r="D61" i="9"/>
  <c r="D466" i="9"/>
  <c r="D246" i="9"/>
  <c r="D320" i="9"/>
  <c r="D362" i="9"/>
  <c r="D156" i="9"/>
  <c r="D494" i="9"/>
  <c r="D400" i="9"/>
  <c r="D351" i="9"/>
  <c r="D463" i="9"/>
  <c r="D287" i="9"/>
  <c r="D505" i="9"/>
  <c r="D274" i="9"/>
  <c r="D112" i="9"/>
  <c r="D445" i="9"/>
  <c r="D339" i="9"/>
  <c r="D597" i="9"/>
  <c r="D391" i="9"/>
  <c r="D419" i="9"/>
  <c r="D547" i="9"/>
  <c r="D300" i="9"/>
  <c r="D30" i="9"/>
  <c r="D561" i="9"/>
  <c r="D168" i="9"/>
  <c r="D493" i="9"/>
  <c r="D119" i="9"/>
  <c r="D128" i="9"/>
  <c r="D541" i="9"/>
  <c r="D94" i="9"/>
  <c r="D34" i="9"/>
  <c r="D261" i="9"/>
  <c r="D535" i="9"/>
  <c r="D427" i="9"/>
  <c r="D221" i="9"/>
  <c r="D15" i="9"/>
  <c r="D294" i="9"/>
  <c r="D575" i="9"/>
  <c r="D552" i="9"/>
  <c r="D63" i="9"/>
  <c r="D155" i="9"/>
  <c r="D286" i="9"/>
  <c r="D514" i="9"/>
  <c r="D301" i="9"/>
  <c r="D303" i="9"/>
  <c r="D375" i="9"/>
  <c r="D297" i="9"/>
  <c r="D68" i="9"/>
  <c r="D332" i="9"/>
  <c r="D536" i="9"/>
  <c r="D29" i="9"/>
  <c r="D551" i="9"/>
  <c r="D527" i="9"/>
  <c r="D195" i="9"/>
  <c r="D157" i="9"/>
  <c r="D315" i="9"/>
  <c r="D592" i="9"/>
  <c r="D450" i="9"/>
  <c r="D60" i="9"/>
  <c r="D464" i="9"/>
  <c r="D584" i="9"/>
  <c r="D452" i="9"/>
  <c r="D180" i="9"/>
  <c r="D186" i="9"/>
  <c r="D392" i="9"/>
  <c r="D343" i="9"/>
  <c r="D111" i="9"/>
  <c r="D143" i="9"/>
  <c r="D398" i="9"/>
  <c r="D215" i="9"/>
  <c r="D252" i="9"/>
  <c r="D557" i="9"/>
  <c r="D262" i="9"/>
  <c r="D311" i="9"/>
  <c r="D175" i="9"/>
  <c r="D554" i="9"/>
  <c r="D234" i="9"/>
  <c r="D418" i="9"/>
  <c r="D92" i="9"/>
  <c r="D421" i="9"/>
  <c r="D477" i="9"/>
  <c r="D279" i="9"/>
  <c r="D562" i="9"/>
  <c r="D281" i="9"/>
  <c r="D183" i="9"/>
  <c r="D590" i="9"/>
  <c r="D290" i="9"/>
  <c r="D230" i="9"/>
  <c r="D57" i="9"/>
  <c r="D446" i="9"/>
  <c r="D435" i="9"/>
  <c r="D95" i="9"/>
  <c r="D150" i="9"/>
  <c r="D101" i="9"/>
  <c r="D483" i="9"/>
  <c r="D216" i="9"/>
  <c r="D59" i="9"/>
  <c r="D429" i="9"/>
  <c r="D84" i="9"/>
  <c r="D199" i="9"/>
  <c r="D24" i="9"/>
  <c r="D212" i="9"/>
  <c r="D48" i="9"/>
  <c r="D460" i="9"/>
  <c r="D244" i="9"/>
  <c r="D335" i="9"/>
  <c r="D213" i="9"/>
  <c r="D267" i="9"/>
  <c r="D504" i="9"/>
  <c r="D271" i="9"/>
  <c r="D49" i="9"/>
  <c r="D69" i="9"/>
  <c r="D406" i="9"/>
  <c r="D578" i="9"/>
  <c r="D412" i="9"/>
  <c r="D565" i="9"/>
  <c r="D482" i="9"/>
  <c r="D457" i="9"/>
  <c r="D497" i="9"/>
  <c r="D122" i="9"/>
  <c r="D110" i="9"/>
  <c r="D470" i="9"/>
  <c r="D139" i="9"/>
  <c r="D430" i="9"/>
  <c r="D367" i="9"/>
  <c r="D598" i="9"/>
  <c r="D316" i="9"/>
  <c r="D345" i="9"/>
  <c r="D379" i="9"/>
  <c r="D269" i="9"/>
  <c r="D173" i="9"/>
  <c r="D218" i="9"/>
  <c r="D248" i="9"/>
  <c r="D236" i="9"/>
  <c r="D370" i="9"/>
  <c r="D533" i="9"/>
  <c r="D330" i="9"/>
  <c r="D123" i="9"/>
  <c r="D65" i="9"/>
  <c r="D104" i="9"/>
  <c r="D488" i="9"/>
  <c r="D333" i="9"/>
  <c r="D529" i="9"/>
  <c r="D178" i="9"/>
  <c r="D13" i="9"/>
  <c r="D121" i="9"/>
  <c r="D478" i="9"/>
  <c r="D342" i="9"/>
  <c r="D566" i="9"/>
  <c r="D238" i="9"/>
  <c r="D489" i="9"/>
  <c r="D549" i="9"/>
  <c r="D113" i="9"/>
  <c r="D219" i="9"/>
  <c r="D114" i="9"/>
  <c r="D40" i="9"/>
  <c r="D255" i="9"/>
  <c r="D537" i="9"/>
  <c r="D100" i="9"/>
  <c r="D146" i="9"/>
  <c r="D476" i="9"/>
  <c r="D461" i="9"/>
  <c r="D225" i="9"/>
  <c r="D411" i="9"/>
  <c r="D75" i="9"/>
  <c r="D495" i="9"/>
  <c r="D413" i="9"/>
  <c r="D440" i="9"/>
  <c r="D582" i="9"/>
  <c r="C68" i="9"/>
  <c r="B406" i="9"/>
  <c r="C474" i="9"/>
  <c r="C436" i="9"/>
  <c r="C371" i="9"/>
  <c r="D312" i="9"/>
  <c r="D405" i="9"/>
  <c r="D152" i="9"/>
  <c r="D357" i="9"/>
  <c r="D417" i="9"/>
  <c r="D170" i="9"/>
  <c r="D126" i="9"/>
  <c r="D528" i="9"/>
  <c r="D594" i="9"/>
  <c r="D444" i="9"/>
  <c r="D454" i="9"/>
  <c r="D564" i="9"/>
  <c r="D580" i="9"/>
  <c r="D222" i="9"/>
  <c r="D331" i="9"/>
  <c r="D371" i="9"/>
  <c r="D259" i="9"/>
  <c r="D228" i="9"/>
  <c r="D203" i="9"/>
  <c r="D530" i="9"/>
  <c r="D179" i="9"/>
  <c r="D70" i="9"/>
  <c r="D129" i="9"/>
  <c r="D145" i="9"/>
  <c r="D162" i="9"/>
  <c r="D318" i="9"/>
  <c r="D47" i="9"/>
  <c r="D424" i="9"/>
  <c r="D107" i="9"/>
  <c r="D285" i="9"/>
  <c r="D449" i="9"/>
  <c r="D396" i="9"/>
  <c r="D515" i="9"/>
  <c r="D209" i="9"/>
  <c r="D468" i="9"/>
  <c r="D485" i="9"/>
  <c r="D539" i="9"/>
  <c r="C569" i="9"/>
  <c r="B243" i="9"/>
  <c r="D109" i="9"/>
  <c r="D193" i="9"/>
  <c r="D323" i="9"/>
  <c r="D451" i="9"/>
  <c r="D399" i="9"/>
  <c r="D14" i="9"/>
  <c r="D106" i="9"/>
  <c r="D140" i="9"/>
  <c r="D163" i="9"/>
  <c r="D72" i="9"/>
  <c r="D243" i="9"/>
  <c r="D389" i="9"/>
  <c r="D498" i="9"/>
  <c r="D458" i="9"/>
  <c r="D425" i="9"/>
  <c r="D487" i="9"/>
  <c r="D240" i="9"/>
  <c r="D441" i="9"/>
  <c r="D510" i="9"/>
  <c r="D151" i="9"/>
  <c r="D591" i="9"/>
  <c r="D340" i="9"/>
  <c r="D302" i="9"/>
  <c r="D217" i="9"/>
  <c r="D308" i="9"/>
  <c r="D589" i="9"/>
  <c r="D205" i="9"/>
  <c r="D568" i="9"/>
  <c r="D585" i="9"/>
  <c r="D532" i="9"/>
  <c r="D32" i="9"/>
  <c r="D204" i="9"/>
  <c r="D506" i="9"/>
  <c r="D7" i="9"/>
  <c r="D306" i="9"/>
  <c r="D540" i="9"/>
  <c r="D247" i="9"/>
  <c r="B393" i="9"/>
  <c r="C585" i="9"/>
  <c r="I585" i="9"/>
  <c r="B479" i="9"/>
  <c r="D393" i="9"/>
  <c r="D456" i="9"/>
  <c r="D511" i="9"/>
  <c r="D169" i="9"/>
  <c r="D426" i="9"/>
  <c r="D422" i="9"/>
  <c r="D313" i="9"/>
  <c r="D268" i="9"/>
  <c r="D189" i="9"/>
  <c r="D96" i="9"/>
  <c r="D403" i="9"/>
  <c r="D390" i="9"/>
  <c r="D459" i="9"/>
  <c r="D275" i="9"/>
  <c r="D538" i="9"/>
  <c r="D347" i="9"/>
  <c r="D80" i="9"/>
  <c r="D472" i="9"/>
  <c r="D373" i="9"/>
  <c r="D563" i="9"/>
  <c r="D46" i="9"/>
  <c r="D73" i="9"/>
  <c r="D235" i="9"/>
  <c r="D245" i="9"/>
  <c r="D394" i="9"/>
  <c r="D148" i="9"/>
  <c r="D317" i="9"/>
  <c r="D523" i="9"/>
  <c r="D329" i="9"/>
  <c r="D264" i="9"/>
  <c r="D257" i="9"/>
  <c r="D82" i="9"/>
  <c r="D6" i="9"/>
  <c r="D433" i="9"/>
  <c r="D211" i="9"/>
  <c r="D19" i="9"/>
  <c r="D27" i="9"/>
  <c r="B312" i="9"/>
  <c r="B370" i="9"/>
  <c r="D577" i="9"/>
  <c r="D270" i="9"/>
  <c r="D360" i="9"/>
  <c r="D31" i="9"/>
  <c r="D350" i="9"/>
  <c r="D79" i="9"/>
  <c r="D402" i="9"/>
  <c r="D545" i="9"/>
  <c r="D231" i="9"/>
  <c r="D174" i="9"/>
  <c r="D197" i="9"/>
  <c r="D475" i="9"/>
  <c r="D295" i="9"/>
  <c r="D108" i="9"/>
  <c r="D365" i="9"/>
  <c r="D283" i="9"/>
  <c r="D386" i="9"/>
  <c r="D526" i="9"/>
  <c r="D52" i="9"/>
  <c r="D74" i="9"/>
  <c r="D284" i="9"/>
  <c r="D67" i="9"/>
  <c r="D501" i="9"/>
  <c r="D341" i="9"/>
  <c r="D581" i="9"/>
  <c r="D304" i="9"/>
  <c r="D133" i="9"/>
  <c r="D455" i="9"/>
  <c r="D85" i="9"/>
  <c r="D296" i="9"/>
  <c r="D98" i="9"/>
  <c r="D499" i="9"/>
  <c r="D593" i="9"/>
  <c r="D420" i="9"/>
  <c r="D507" i="9"/>
  <c r="D282" i="9"/>
  <c r="D337" i="9"/>
  <c r="C33" i="9"/>
  <c r="E33" i="9"/>
  <c r="G33" i="9"/>
  <c r="B318" i="9"/>
  <c r="C39" i="9"/>
  <c r="K39" i="9"/>
  <c r="C9" i="9"/>
  <c r="K9" i="9"/>
  <c r="D190" i="9"/>
  <c r="D37" i="9"/>
  <c r="D229" i="9"/>
  <c r="D242" i="9"/>
  <c r="D500" i="9"/>
  <c r="D479" i="9"/>
  <c r="D263" i="9"/>
  <c r="D251" i="9"/>
  <c r="D177" i="9"/>
  <c r="D136" i="9"/>
  <c r="D25" i="9"/>
  <c r="D226" i="9"/>
  <c r="D99" i="9"/>
  <c r="D508" i="9"/>
  <c r="D81" i="9"/>
  <c r="D363" i="9"/>
  <c r="D378" i="9"/>
  <c r="D198" i="9"/>
  <c r="D53" i="9"/>
  <c r="C482" i="9"/>
  <c r="B428" i="9"/>
  <c r="D310" i="9"/>
  <c r="D165" i="9"/>
  <c r="D276" i="9"/>
  <c r="D83" i="9"/>
  <c r="D289" i="9"/>
  <c r="D355" i="9"/>
  <c r="D344" i="9"/>
  <c r="D93" i="9"/>
  <c r="D404" i="9"/>
  <c r="D307" i="9"/>
  <c r="D77" i="9"/>
  <c r="D366" i="9"/>
  <c r="D9" i="9"/>
  <c r="D102" i="9"/>
  <c r="D44" i="9"/>
  <c r="D354" i="9"/>
  <c r="D71" i="9"/>
  <c r="D124" i="9"/>
  <c r="D583" i="9"/>
  <c r="D579" i="9"/>
  <c r="D491" i="9"/>
  <c r="D147" i="9"/>
  <c r="D381" i="9"/>
  <c r="D18" i="9"/>
  <c r="D490" i="9"/>
  <c r="D164" i="9"/>
  <c r="D153" i="9"/>
  <c r="D161" i="9"/>
  <c r="D356" i="9"/>
  <c r="D210" i="9"/>
  <c r="D395" i="9"/>
  <c r="D471" i="9"/>
  <c r="D166" i="9"/>
  <c r="D21" i="9"/>
  <c r="D473" i="9"/>
  <c r="D172" i="9"/>
  <c r="D397" i="9"/>
  <c r="B78" i="9"/>
  <c r="B328" i="9"/>
  <c r="D384" i="9"/>
  <c r="D17" i="9"/>
  <c r="D87" i="9"/>
  <c r="D314" i="9"/>
  <c r="D309" i="9"/>
  <c r="D503" i="9"/>
  <c r="C315" i="9"/>
  <c r="C138" i="9"/>
  <c r="D439" i="9"/>
  <c r="D567" i="9"/>
  <c r="D410" i="9"/>
  <c r="D571" i="9"/>
  <c r="D328" i="9"/>
  <c r="D484" i="9"/>
  <c r="D492" i="9"/>
  <c r="D387" i="9"/>
  <c r="D453" i="9"/>
  <c r="D517" i="9"/>
  <c r="D559" i="9"/>
  <c r="D327" i="9"/>
  <c r="D576" i="9"/>
  <c r="D224" i="9"/>
  <c r="D338" i="9"/>
  <c r="D364" i="9"/>
  <c r="D130" i="9"/>
  <c r="D8" i="9"/>
  <c r="D125" i="9"/>
  <c r="D353" i="9"/>
  <c r="D509" i="9"/>
  <c r="D531" i="9"/>
  <c r="D298" i="9"/>
  <c r="D382" i="9"/>
  <c r="D596" i="9"/>
  <c r="D280" i="9"/>
  <c r="D524" i="9"/>
  <c r="D160" i="9"/>
  <c r="D220" i="9"/>
  <c r="D149" i="9"/>
  <c r="D127" i="9"/>
  <c r="D239" i="9"/>
  <c r="D599" i="9"/>
  <c r="D277" i="9"/>
  <c r="D64" i="9"/>
  <c r="D543" i="9"/>
  <c r="D272" i="9"/>
  <c r="C53" i="9"/>
  <c r="K53" i="9"/>
  <c r="D233" i="9"/>
  <c r="D38" i="9"/>
  <c r="D50" i="9"/>
  <c r="D258" i="9"/>
  <c r="D372" i="9"/>
  <c r="D185" i="9"/>
  <c r="C382" i="9"/>
  <c r="C548" i="9"/>
  <c r="D380" i="9"/>
  <c r="D502" i="9"/>
  <c r="D292" i="9"/>
  <c r="D293" i="9"/>
  <c r="D43" i="9"/>
  <c r="D10" i="9"/>
  <c r="D383" i="9"/>
  <c r="D171" i="9"/>
  <c r="D78" i="9"/>
  <c r="D103" i="9"/>
  <c r="D512" i="9"/>
  <c r="D555" i="9"/>
  <c r="D266" i="9"/>
  <c r="D142" i="9"/>
  <c r="D409" i="9"/>
  <c r="D192" i="9"/>
  <c r="D442" i="9"/>
  <c r="D176" i="9"/>
  <c r="D91" i="9"/>
  <c r="D434" i="9"/>
  <c r="D322" i="9"/>
  <c r="D558" i="9"/>
  <c r="D41" i="9"/>
  <c r="D481" i="9"/>
  <c r="D194" i="9"/>
  <c r="D249" i="9"/>
  <c r="D232" i="9"/>
  <c r="D35" i="9"/>
  <c r="D208" i="9"/>
  <c r="D39" i="9"/>
  <c r="D423" i="9"/>
  <c r="D438" i="9"/>
  <c r="D428" i="9"/>
  <c r="D376" i="9"/>
  <c r="D202" i="9"/>
  <c r="D462" i="9"/>
  <c r="D28" i="9"/>
  <c r="C433" i="9"/>
  <c r="E433" i="9"/>
  <c r="G433" i="9"/>
  <c r="D181" i="9"/>
  <c r="D519" i="9"/>
  <c r="D334" i="9"/>
  <c r="D187" i="9"/>
  <c r="D513" i="9"/>
  <c r="D600" i="9"/>
  <c r="B180" i="9"/>
  <c r="D569" i="9"/>
  <c r="D299" i="9"/>
  <c r="D23" i="9"/>
  <c r="D51" i="9"/>
  <c r="D346" i="9"/>
  <c r="D191" i="9"/>
  <c r="D97" i="9"/>
  <c r="D115" i="9"/>
  <c r="D522" i="9"/>
  <c r="D90" i="9"/>
  <c r="D374" i="9"/>
  <c r="D385" i="9"/>
  <c r="D443" i="9"/>
  <c r="D88" i="9"/>
  <c r="D573" i="9"/>
  <c r="D368" i="9"/>
  <c r="D388" i="9"/>
  <c r="D407" i="9"/>
  <c r="D469" i="9"/>
  <c r="D432" i="9"/>
  <c r="D595" i="9"/>
  <c r="D587" i="9"/>
  <c r="D227" i="9"/>
  <c r="D521" i="9"/>
  <c r="D352" i="9"/>
  <c r="D131" i="9"/>
  <c r="D586" i="9"/>
  <c r="D86" i="9"/>
  <c r="D326" i="9"/>
  <c r="D349" i="9"/>
  <c r="D574" i="9"/>
  <c r="D200" i="9"/>
  <c r="D188" i="9"/>
  <c r="D141" i="9"/>
  <c r="D256" i="9"/>
  <c r="D325" i="9"/>
  <c r="B405" i="9"/>
  <c r="B303" i="9"/>
  <c r="B185" i="9"/>
  <c r="B317" i="9"/>
  <c r="C26" i="9"/>
  <c r="K26" i="9"/>
  <c r="B147" i="9"/>
  <c r="B43" i="9"/>
  <c r="B115" i="9"/>
  <c r="B219" i="9"/>
  <c r="C6" i="9"/>
  <c r="F6" i="9"/>
  <c r="B442" i="9"/>
  <c r="C125" i="9"/>
  <c r="C272" i="9"/>
  <c r="I272" i="9"/>
  <c r="C545" i="9"/>
  <c r="B277" i="9"/>
  <c r="C471" i="9"/>
  <c r="C146" i="9"/>
  <c r="C416" i="9"/>
  <c r="I416" i="9"/>
  <c r="B142" i="9"/>
  <c r="C313" i="9"/>
  <c r="I313" i="9"/>
  <c r="B584" i="9"/>
  <c r="C228" i="9"/>
  <c r="F228" i="9"/>
  <c r="B287" i="9"/>
  <c r="C435" i="9"/>
  <c r="H435" i="9"/>
  <c r="C88" i="9"/>
  <c r="F88" i="9"/>
  <c r="C127" i="9"/>
  <c r="I127" i="9"/>
  <c r="C431" i="9"/>
  <c r="E431" i="9"/>
  <c r="G431" i="9"/>
  <c r="C99" i="9"/>
  <c r="B174" i="9"/>
  <c r="B158" i="9"/>
  <c r="C524" i="9"/>
  <c r="C464" i="9"/>
  <c r="B504" i="9"/>
  <c r="C249" i="9"/>
  <c r="I249" i="9"/>
  <c r="B543" i="9"/>
  <c r="C176" i="9"/>
  <c r="H176" i="9"/>
  <c r="B439" i="9"/>
  <c r="B592" i="9"/>
  <c r="B49" i="9"/>
  <c r="B187" i="9"/>
  <c r="B89" i="9"/>
  <c r="B469" i="9"/>
  <c r="B443" i="9"/>
  <c r="C527" i="9"/>
  <c r="B481" i="9"/>
  <c r="C550" i="9"/>
  <c r="I550" i="9"/>
  <c r="C376" i="9"/>
  <c r="B325" i="9"/>
  <c r="C113" i="9"/>
  <c r="C229" i="9"/>
  <c r="H229" i="9"/>
  <c r="C154" i="9"/>
  <c r="B138" i="9"/>
  <c r="C214" i="9"/>
  <c r="H214" i="9"/>
  <c r="C50" i="9"/>
  <c r="F50" i="9"/>
  <c r="C277" i="9"/>
  <c r="B117" i="9"/>
  <c r="C87" i="9"/>
  <c r="E87" i="9"/>
  <c r="G87" i="9"/>
  <c r="C260" i="9"/>
  <c r="I260" i="9"/>
  <c r="B86" i="9"/>
  <c r="B570" i="9"/>
  <c r="B324" i="9"/>
  <c r="B372" i="9"/>
  <c r="C470" i="9"/>
  <c r="H470" i="9"/>
  <c r="C500" i="9"/>
  <c r="B252" i="9"/>
  <c r="C266" i="9"/>
  <c r="F266" i="9"/>
  <c r="B381" i="9"/>
  <c r="C122" i="9"/>
  <c r="F122" i="9"/>
  <c r="C511" i="9"/>
  <c r="H511" i="9"/>
  <c r="C359" i="9"/>
  <c r="I359" i="9"/>
  <c r="B492" i="9"/>
  <c r="C189" i="9"/>
  <c r="H189" i="9"/>
  <c r="C182" i="9"/>
  <c r="H182" i="9"/>
  <c r="B94" i="9"/>
  <c r="C208" i="9"/>
  <c r="I208" i="9"/>
  <c r="B350" i="9"/>
  <c r="C457" i="9"/>
  <c r="E457" i="9"/>
  <c r="G457" i="9"/>
  <c r="C505" i="9"/>
  <c r="B286" i="9"/>
  <c r="B23" i="9"/>
  <c r="C152" i="9"/>
  <c r="B244" i="9"/>
  <c r="B458" i="9"/>
  <c r="C319" i="9"/>
  <c r="K319" i="9"/>
  <c r="B315" i="9"/>
  <c r="C430" i="9"/>
  <c r="I430" i="9"/>
  <c r="C17" i="9"/>
  <c r="H17" i="9"/>
  <c r="C428" i="9"/>
  <c r="F428" i="9"/>
  <c r="B200" i="9"/>
  <c r="C304" i="9"/>
  <c r="I304" i="9"/>
  <c r="B31" i="9"/>
  <c r="C551" i="9"/>
  <c r="B408" i="9"/>
  <c r="B473" i="9"/>
  <c r="C238" i="9"/>
  <c r="C440" i="9"/>
  <c r="C221" i="9"/>
  <c r="B323" i="9"/>
  <c r="C155" i="9"/>
  <c r="B128" i="9"/>
  <c r="C201" i="9"/>
  <c r="I201" i="9"/>
  <c r="B559" i="9"/>
  <c r="B525" i="9"/>
  <c r="C514" i="9"/>
  <c r="E514" i="9"/>
  <c r="G514" i="9"/>
  <c r="B516" i="9"/>
  <c r="B351" i="9"/>
  <c r="C75" i="9"/>
  <c r="F75" i="9"/>
  <c r="C83" i="9"/>
  <c r="I83" i="9"/>
  <c r="B331" i="9"/>
  <c r="C419" i="9"/>
  <c r="F419" i="9"/>
  <c r="B336" i="9"/>
  <c r="C299" i="9"/>
  <c r="H299" i="9"/>
  <c r="B485" i="9"/>
  <c r="B245" i="9"/>
  <c r="B526" i="9"/>
  <c r="B112" i="9"/>
  <c r="B491" i="9"/>
  <c r="B506" i="9"/>
  <c r="C85" i="9"/>
  <c r="E85" i="9"/>
  <c r="G85" i="9"/>
  <c r="B205" i="9"/>
  <c r="B482" i="9"/>
  <c r="B278" i="9"/>
  <c r="C67" i="9"/>
  <c r="K67" i="9"/>
  <c r="B276" i="9"/>
  <c r="B37" i="9"/>
  <c r="C563" i="9"/>
  <c r="I563" i="9"/>
  <c r="C365" i="9"/>
  <c r="I365" i="9"/>
  <c r="C495" i="9"/>
  <c r="B478" i="9"/>
  <c r="C196" i="9"/>
  <c r="H196" i="9"/>
  <c r="C573" i="9"/>
  <c r="B122" i="9"/>
  <c r="B221" i="9"/>
  <c r="C273" i="9"/>
  <c r="E273" i="9"/>
  <c r="G273" i="9"/>
  <c r="C502" i="9"/>
  <c r="F502" i="9"/>
  <c r="C21" i="9"/>
  <c r="F21" i="9"/>
  <c r="C363" i="9"/>
  <c r="I363" i="9"/>
  <c r="C445" i="9"/>
  <c r="I445" i="9"/>
  <c r="B416" i="9"/>
  <c r="B409" i="9"/>
  <c r="B356" i="9"/>
  <c r="B321" i="9"/>
  <c r="B597" i="9"/>
  <c r="C147" i="9"/>
  <c r="C517" i="9"/>
  <c r="B307" i="9"/>
  <c r="B449" i="9"/>
  <c r="B490" i="9"/>
  <c r="C203" i="9"/>
  <c r="K203" i="9"/>
  <c r="C91" i="9"/>
  <c r="H91" i="9"/>
  <c r="C15" i="9"/>
  <c r="H15" i="9"/>
  <c r="B81" i="9"/>
  <c r="B199" i="9"/>
  <c r="C366" i="9"/>
  <c r="H366" i="9"/>
  <c r="B190" i="9"/>
  <c r="C335" i="9"/>
  <c r="C348" i="9"/>
  <c r="I348" i="9"/>
  <c r="C293" i="9"/>
  <c r="C575" i="9"/>
  <c r="C374" i="9"/>
  <c r="H374" i="9"/>
  <c r="C62" i="9"/>
  <c r="C166" i="9"/>
  <c r="K166" i="9"/>
  <c r="C336" i="9"/>
  <c r="C177" i="9"/>
  <c r="I177" i="9"/>
  <c r="B390" i="9"/>
  <c r="C205" i="9"/>
  <c r="H205" i="9"/>
  <c r="B224" i="9"/>
  <c r="C320" i="9"/>
  <c r="I320" i="9"/>
  <c r="B438" i="9"/>
  <c r="B320" i="9"/>
  <c r="C347" i="9"/>
  <c r="H347" i="9"/>
  <c r="B103" i="9"/>
  <c r="C133" i="9"/>
  <c r="E133" i="9"/>
  <c r="G133" i="9"/>
  <c r="B330" i="9"/>
  <c r="C281" i="9"/>
  <c r="F281" i="9"/>
  <c r="C69" i="9"/>
  <c r="C588" i="9"/>
  <c r="B80" i="9"/>
  <c r="B530" i="9"/>
  <c r="B212" i="9"/>
  <c r="C222" i="9"/>
  <c r="F222" i="9"/>
  <c r="C225" i="9"/>
  <c r="E225" i="9"/>
  <c r="G225" i="9"/>
  <c r="C173" i="9"/>
  <c r="H173" i="9"/>
  <c r="B53" i="9"/>
  <c r="B472" i="9"/>
  <c r="B412" i="9"/>
  <c r="C169" i="9"/>
  <c r="K169" i="9"/>
  <c r="C402" i="9"/>
  <c r="K402" i="9"/>
  <c r="B292" i="9"/>
  <c r="C399" i="9"/>
  <c r="E399" i="9"/>
  <c r="B415" i="9"/>
  <c r="C323" i="9"/>
  <c r="C533" i="9"/>
  <c r="B524" i="9"/>
  <c r="C160" i="9"/>
  <c r="C488" i="9"/>
  <c r="H488" i="9"/>
  <c r="B26" i="9"/>
  <c r="B600" i="9"/>
  <c r="C520" i="9"/>
  <c r="I520" i="9"/>
  <c r="B110" i="9"/>
  <c r="B45" i="9"/>
  <c r="B99" i="9"/>
  <c r="C600" i="9"/>
  <c r="F600" i="9"/>
  <c r="C596" i="9"/>
  <c r="F596" i="9"/>
  <c r="C98" i="9"/>
  <c r="E98" i="9"/>
  <c r="G98" i="9"/>
  <c r="B64" i="9"/>
  <c r="B195" i="9"/>
  <c r="C295" i="9"/>
  <c r="C487" i="9"/>
  <c r="B38" i="9"/>
  <c r="C32" i="9"/>
  <c r="C542" i="9"/>
  <c r="I542" i="9"/>
  <c r="B545" i="9"/>
  <c r="B145" i="9"/>
  <c r="B170" i="9"/>
  <c r="C567" i="9"/>
  <c r="F567" i="9"/>
  <c r="C579" i="9"/>
  <c r="K579" i="9"/>
  <c r="B353" i="9"/>
  <c r="C529" i="9"/>
  <c r="E529" i="9"/>
  <c r="G529" i="9"/>
  <c r="C510" i="9"/>
  <c r="F510" i="9"/>
  <c r="B82" i="9"/>
  <c r="C120" i="9"/>
  <c r="H120" i="9"/>
  <c r="B433" i="9"/>
  <c r="C403" i="9"/>
  <c r="C35" i="9"/>
  <c r="C423" i="9"/>
  <c r="K423" i="9"/>
  <c r="B236" i="9"/>
  <c r="B355" i="9"/>
  <c r="B453" i="9"/>
  <c r="B231" i="9"/>
  <c r="C252" i="9"/>
  <c r="B41" i="9"/>
  <c r="C43" i="9"/>
  <c r="I43" i="9"/>
  <c r="C219" i="9"/>
  <c r="K219" i="9"/>
  <c r="C47" i="9"/>
  <c r="E47" i="9"/>
  <c r="C96" i="9"/>
  <c r="B132" i="9"/>
  <c r="C302" i="9"/>
  <c r="I302" i="9"/>
  <c r="B85" i="9"/>
  <c r="C561" i="9"/>
  <c r="B151" i="9"/>
  <c r="B380" i="9"/>
  <c r="B498" i="9"/>
  <c r="B421" i="9"/>
  <c r="C555" i="9"/>
  <c r="H555" i="9"/>
  <c r="C292" i="9"/>
  <c r="K292" i="9"/>
  <c r="B95" i="9"/>
  <c r="C300" i="9"/>
  <c r="I300" i="9"/>
  <c r="B402" i="9"/>
  <c r="B104" i="9"/>
  <c r="C547" i="9"/>
  <c r="I547" i="9"/>
  <c r="B368" i="9"/>
  <c r="B314" i="9"/>
  <c r="B75" i="9"/>
  <c r="B176" i="9"/>
  <c r="B474" i="9"/>
  <c r="B66" i="9"/>
  <c r="B520" i="9"/>
  <c r="C270" i="9"/>
  <c r="B414" i="9"/>
  <c r="C508" i="9"/>
  <c r="E508" i="9"/>
  <c r="G508" i="9"/>
  <c r="C597" i="9"/>
  <c r="H597" i="9"/>
  <c r="C101" i="9"/>
  <c r="F101" i="9"/>
  <c r="C408" i="9"/>
  <c r="E408" i="9"/>
  <c r="G408" i="9"/>
  <c r="B279" i="9"/>
  <c r="B477" i="9"/>
  <c r="B211" i="9"/>
  <c r="C30" i="9"/>
  <c r="C411" i="9"/>
  <c r="K411" i="9"/>
  <c r="C255" i="9"/>
  <c r="H255" i="9"/>
  <c r="B237" i="9"/>
  <c r="C157" i="9"/>
  <c r="C224" i="9"/>
  <c r="C180" i="9"/>
  <c r="I180" i="9"/>
  <c r="C593" i="9"/>
  <c r="B558" i="9"/>
  <c r="C268" i="9"/>
  <c r="I268" i="9"/>
  <c r="B84" i="9"/>
  <c r="B248" i="9"/>
  <c r="B589" i="9"/>
  <c r="B462" i="9"/>
  <c r="C531" i="9"/>
  <c r="H531" i="9"/>
  <c r="B419" i="9"/>
  <c r="B377" i="9"/>
  <c r="B357" i="9"/>
  <c r="C467" i="9"/>
  <c r="I467" i="9"/>
  <c r="C29" i="9"/>
  <c r="B188" i="9"/>
  <c r="C385" i="9"/>
  <c r="C191" i="9"/>
  <c r="H191" i="9"/>
  <c r="C398" i="9"/>
  <c r="B242" i="9"/>
  <c r="B464" i="9"/>
  <c r="B436" i="9"/>
  <c r="C92" i="9"/>
  <c r="I92" i="9"/>
  <c r="B9" i="9"/>
  <c r="C144" i="9"/>
  <c r="H144" i="9"/>
  <c r="C301" i="9"/>
  <c r="I301" i="9"/>
  <c r="B144" i="9"/>
  <c r="B260" i="9"/>
  <c r="C443" i="9"/>
  <c r="F443" i="9"/>
  <c r="B62" i="9"/>
  <c r="C232" i="9"/>
  <c r="B388" i="9"/>
  <c r="B83" i="9"/>
  <c r="C172" i="9"/>
  <c r="E172" i="9"/>
  <c r="B18" i="9"/>
  <c r="B484" i="9"/>
  <c r="B233" i="9"/>
  <c r="C237" i="9"/>
  <c r="E237" i="9"/>
  <c r="G237" i="9"/>
  <c r="B239" i="9"/>
  <c r="B542" i="9"/>
  <c r="B152" i="9"/>
  <c r="C483" i="9"/>
  <c r="I483" i="9"/>
  <c r="B253" i="9"/>
  <c r="B382" i="9"/>
  <c r="B583" i="9"/>
  <c r="B311" i="9"/>
  <c r="B503" i="9"/>
  <c r="C139" i="9"/>
  <c r="C574" i="9"/>
  <c r="C167" i="9"/>
  <c r="E167" i="9"/>
  <c r="G167" i="9"/>
  <c r="B56" i="9"/>
  <c r="B507" i="9"/>
  <c r="C73" i="9"/>
  <c r="H73" i="9"/>
  <c r="B399" i="9"/>
  <c r="B379" i="9"/>
  <c r="C490" i="9"/>
  <c r="F490" i="9"/>
  <c r="B92" i="9"/>
  <c r="B573" i="9"/>
  <c r="B446" i="9"/>
  <c r="B309" i="9"/>
  <c r="C31" i="9"/>
  <c r="F31" i="9"/>
  <c r="C352" i="9"/>
  <c r="E352" i="9"/>
  <c r="C477" i="9"/>
  <c r="K477" i="9"/>
  <c r="B536" i="9"/>
  <c r="C306" i="9"/>
  <c r="C10" i="9"/>
  <c r="E10" i="9"/>
  <c r="B475" i="9"/>
  <c r="B538" i="9"/>
  <c r="B340" i="9"/>
  <c r="C161" i="9"/>
  <c r="H161" i="9"/>
  <c r="B11" i="9"/>
  <c r="C230" i="9"/>
  <c r="E230" i="9"/>
  <c r="G230" i="9"/>
  <c r="B579" i="9"/>
  <c r="B171" i="9"/>
  <c r="B348" i="9"/>
  <c r="C538" i="9"/>
  <c r="F538" i="9"/>
  <c r="B385" i="9"/>
  <c r="B488" i="9"/>
  <c r="C285" i="9"/>
  <c r="B389" i="9"/>
  <c r="B422" i="9"/>
  <c r="B384" i="9"/>
  <c r="C217" i="9"/>
  <c r="C280" i="9"/>
  <c r="K280" i="9"/>
  <c r="B517" i="9"/>
  <c r="C329" i="9"/>
  <c r="E329" i="9"/>
  <c r="C396" i="9"/>
  <c r="K396" i="9"/>
  <c r="C296" i="9"/>
  <c r="K296" i="9"/>
  <c r="B343" i="9"/>
  <c r="B512" i="9"/>
  <c r="C215" i="9"/>
  <c r="E215" i="9"/>
  <c r="G215" i="9"/>
  <c r="B267" i="9"/>
  <c r="B470" i="9"/>
  <c r="B533" i="9"/>
  <c r="B230" i="9"/>
  <c r="C103" i="9"/>
  <c r="B548" i="9"/>
  <c r="C439" i="9"/>
  <c r="F439" i="9"/>
  <c r="B420" i="9"/>
  <c r="B305" i="9"/>
  <c r="C353" i="9"/>
  <c r="H353" i="9"/>
  <c r="C506" i="9"/>
  <c r="H506" i="9"/>
  <c r="C218" i="9"/>
  <c r="F218" i="9"/>
  <c r="C473" i="9"/>
  <c r="H473" i="9"/>
  <c r="B197" i="9"/>
  <c r="C454" i="9"/>
  <c r="K454" i="9"/>
  <c r="C494" i="9"/>
  <c r="E494" i="9"/>
  <c r="G494" i="9"/>
  <c r="C449" i="9"/>
  <c r="H449" i="9"/>
  <c r="B34" i="9"/>
  <c r="C535" i="9"/>
  <c r="I535" i="9"/>
  <c r="B191" i="9"/>
  <c r="C519" i="9"/>
  <c r="B181" i="9"/>
  <c r="B571" i="9"/>
  <c r="B96" i="9"/>
  <c r="B111" i="9"/>
  <c r="C480" i="9"/>
  <c r="I480" i="9"/>
  <c r="B360" i="9"/>
  <c r="C185" i="9"/>
  <c r="C338" i="9"/>
  <c r="F338" i="9"/>
  <c r="C291" i="9"/>
  <c r="H291" i="9"/>
  <c r="C264" i="9"/>
  <c r="I264" i="9"/>
  <c r="B499" i="9"/>
  <c r="B150" i="9"/>
  <c r="B226" i="9"/>
  <c r="C141" i="9"/>
  <c r="C269" i="9"/>
  <c r="C242" i="9"/>
  <c r="B76" i="9"/>
  <c r="B407" i="9"/>
  <c r="C44" i="9"/>
  <c r="B496" i="9"/>
  <c r="C142" i="9"/>
  <c r="H142" i="9"/>
  <c r="B148" i="9"/>
  <c r="C565" i="9"/>
  <c r="B97" i="9"/>
  <c r="B511" i="9"/>
  <c r="B27" i="9"/>
  <c r="B119" i="9"/>
  <c r="B137" i="9"/>
  <c r="C210" i="9"/>
  <c r="I210" i="9"/>
  <c r="B168" i="9"/>
  <c r="C321" i="9"/>
  <c r="I321" i="9"/>
  <c r="B461" i="9"/>
  <c r="C151" i="9"/>
  <c r="C584" i="9"/>
  <c r="E584" i="9"/>
  <c r="G584" i="9"/>
  <c r="C159" i="9"/>
  <c r="C153" i="9"/>
  <c r="I153" i="9"/>
  <c r="B557" i="9"/>
  <c r="B50" i="9"/>
  <c r="C523" i="9"/>
  <c r="F523" i="9"/>
  <c r="B263" i="9"/>
  <c r="B551" i="9"/>
  <c r="C421" i="9"/>
  <c r="I421" i="9"/>
  <c r="C174" i="9"/>
  <c r="F174" i="9"/>
  <c r="C27" i="9"/>
  <c r="B140" i="9"/>
  <c r="C188" i="9"/>
  <c r="B296" i="9"/>
  <c r="B535" i="9"/>
  <c r="C274" i="9"/>
  <c r="F274" i="9"/>
  <c r="B425" i="9"/>
  <c r="B184" i="9"/>
  <c r="B541" i="9"/>
  <c r="B500" i="9"/>
  <c r="C118" i="9"/>
  <c r="F118" i="9"/>
  <c r="B564" i="9"/>
  <c r="C318" i="9"/>
  <c r="K318" i="9"/>
  <c r="C552" i="9"/>
  <c r="B367" i="9"/>
  <c r="B129" i="9"/>
  <c r="C117" i="9"/>
  <c r="C460" i="9"/>
  <c r="B101" i="9"/>
  <c r="B241" i="9"/>
  <c r="C362" i="9"/>
  <c r="C184" i="9"/>
  <c r="B206" i="9"/>
  <c r="B398" i="9"/>
  <c r="C290" i="9"/>
  <c r="H290" i="9"/>
  <c r="C136" i="9"/>
  <c r="E136" i="9"/>
  <c r="C572" i="9"/>
  <c r="I572" i="9"/>
  <c r="B118" i="9"/>
  <c r="B13" i="9"/>
  <c r="C415" i="9"/>
  <c r="B284" i="9"/>
  <c r="C181" i="9"/>
  <c r="I181" i="9"/>
  <c r="C554" i="9"/>
  <c r="I554" i="9"/>
  <c r="C413" i="9"/>
  <c r="B55" i="9"/>
  <c r="C393" i="9"/>
  <c r="C442" i="9"/>
  <c r="B52" i="9"/>
  <c r="C130" i="9"/>
  <c r="K130" i="9"/>
  <c r="C422" i="9"/>
  <c r="B59" i="9"/>
  <c r="C358" i="9"/>
  <c r="K358" i="9"/>
  <c r="B7" i="9"/>
  <c r="B65" i="9"/>
  <c r="C389" i="9"/>
  <c r="F389" i="9"/>
  <c r="B514" i="9"/>
  <c r="B22" i="9"/>
  <c r="B165" i="9"/>
  <c r="B339" i="9"/>
  <c r="B39" i="9"/>
  <c r="C97" i="9"/>
  <c r="F97" i="9"/>
  <c r="C107" i="9"/>
  <c r="B87" i="9"/>
  <c r="C580" i="9"/>
  <c r="B167" i="9"/>
  <c r="C432" i="9"/>
  <c r="B404" i="9"/>
  <c r="B157" i="9"/>
  <c r="B556" i="9"/>
  <c r="B508" i="9"/>
  <c r="B319" i="9"/>
  <c r="B273" i="9"/>
  <c r="B333" i="9"/>
  <c r="B387" i="9"/>
  <c r="B301" i="9"/>
  <c r="B100" i="9"/>
  <c r="C48" i="9"/>
  <c r="C74" i="9"/>
  <c r="F74" i="9"/>
  <c r="C66" i="9"/>
  <c r="C458" i="9"/>
  <c r="I458" i="9"/>
  <c r="C450" i="9"/>
  <c r="E450" i="9"/>
  <c r="G450" i="9"/>
  <c r="B274" i="9"/>
  <c r="C400" i="9"/>
  <c r="E400" i="9"/>
  <c r="G400" i="9"/>
  <c r="B74" i="9"/>
  <c r="C14" i="9"/>
  <c r="K14" i="9"/>
  <c r="B562" i="9"/>
  <c r="B413" i="9"/>
  <c r="B72" i="9"/>
  <c r="C463" i="9"/>
  <c r="E463" i="9"/>
  <c r="G463" i="9"/>
  <c r="C11" i="9"/>
  <c r="I11" i="9"/>
  <c r="C263" i="9"/>
  <c r="K263" i="9"/>
  <c r="C539" i="9"/>
  <c r="E539" i="9"/>
  <c r="G539" i="9"/>
  <c r="B383" i="9"/>
  <c r="C448" i="9"/>
  <c r="F448" i="9"/>
  <c r="C424" i="9"/>
  <c r="B154" i="9"/>
  <c r="B264" i="9"/>
  <c r="B17" i="9"/>
  <c r="B550" i="9"/>
  <c r="C37" i="9"/>
  <c r="F37" i="9"/>
  <c r="C28" i="9"/>
  <c r="F28" i="9"/>
  <c r="C119" i="9"/>
  <c r="I119" i="9"/>
  <c r="C197" i="9"/>
  <c r="E197" i="9"/>
  <c r="G197" i="9"/>
  <c r="B222" i="9"/>
  <c r="C497" i="9"/>
  <c r="K497" i="9"/>
  <c r="B528" i="9"/>
  <c r="B270" i="9"/>
  <c r="B293" i="9"/>
  <c r="C328" i="9"/>
  <c r="F328" i="9"/>
  <c r="B198" i="9"/>
  <c r="C462" i="9"/>
  <c r="C254" i="9"/>
  <c r="C546" i="9"/>
  <c r="E546" i="9"/>
  <c r="G546" i="9"/>
  <c r="B240" i="9"/>
  <c r="C259" i="9"/>
  <c r="E259" i="9"/>
  <c r="G259" i="9"/>
  <c r="B457" i="9"/>
  <c r="C286" i="9"/>
  <c r="K286" i="9"/>
  <c r="B487" i="9"/>
  <c r="C324" i="9"/>
  <c r="I324" i="9"/>
  <c r="B540" i="9"/>
  <c r="B466" i="9"/>
  <c r="B437" i="9"/>
  <c r="B153" i="9"/>
  <c r="C401" i="9"/>
  <c r="C16" i="9"/>
  <c r="C253" i="9"/>
  <c r="K253" i="9"/>
  <c r="C330" i="9"/>
  <c r="C388" i="9"/>
  <c r="B71" i="9"/>
  <c r="B257" i="9"/>
  <c r="B423" i="9"/>
  <c r="B256" i="9"/>
  <c r="B495" i="9"/>
  <c r="C437" i="9"/>
  <c r="F437" i="9"/>
  <c r="C553" i="9"/>
  <c r="I553" i="9"/>
  <c r="B107" i="9"/>
  <c r="B28" i="9"/>
  <c r="C392" i="9"/>
  <c r="H392" i="9"/>
  <c r="C469" i="9"/>
  <c r="B178" i="9"/>
  <c r="C187" i="9"/>
  <c r="K187" i="9"/>
  <c r="B411" i="9"/>
  <c r="C310" i="9"/>
  <c r="B532" i="9"/>
  <c r="C491" i="9"/>
  <c r="E491" i="9"/>
  <c r="C316" i="9"/>
  <c r="B32" i="9"/>
  <c r="C51" i="9"/>
  <c r="H51" i="9"/>
  <c r="C297" i="9"/>
  <c r="I297" i="9"/>
  <c r="B262" i="9"/>
  <c r="C82" i="9"/>
  <c r="H82" i="9"/>
  <c r="C370" i="9"/>
  <c r="E370" i="9"/>
  <c r="G370" i="9"/>
  <c r="C577" i="9"/>
  <c r="I577" i="9"/>
  <c r="B554" i="9"/>
  <c r="C49" i="9"/>
  <c r="C509" i="9"/>
  <c r="B587" i="9"/>
  <c r="B164" i="9"/>
  <c r="C438" i="9"/>
  <c r="B403" i="9"/>
  <c r="C165" i="9"/>
  <c r="I165" i="9"/>
  <c r="C404" i="9"/>
  <c r="C453" i="9"/>
  <c r="F453" i="9"/>
  <c r="B308" i="9"/>
  <c r="C79" i="9"/>
  <c r="K79" i="9"/>
  <c r="C327" i="9"/>
  <c r="K327" i="9"/>
  <c r="C558" i="9"/>
  <c r="H558" i="9"/>
  <c r="B108" i="9"/>
  <c r="B567" i="9"/>
  <c r="B169" i="9"/>
  <c r="C71" i="9"/>
  <c r="C466" i="9"/>
  <c r="B338" i="9"/>
  <c r="B354" i="9"/>
  <c r="C566" i="9"/>
  <c r="C486" i="9"/>
  <c r="K486" i="9"/>
  <c r="B67" i="9"/>
  <c r="C223" i="9"/>
  <c r="B568" i="9"/>
  <c r="C72" i="9"/>
  <c r="E72" i="9"/>
  <c r="G72" i="9"/>
  <c r="B364" i="9"/>
  <c r="C63" i="9"/>
  <c r="C346" i="9"/>
  <c r="E346" i="9"/>
  <c r="G346" i="9"/>
  <c r="C241" i="9"/>
  <c r="E241" i="9"/>
  <c r="G241" i="9"/>
  <c r="C132" i="9"/>
  <c r="E132" i="9"/>
  <c r="G132" i="9"/>
  <c r="B255" i="9"/>
  <c r="C586" i="9"/>
  <c r="E586" i="9"/>
  <c r="C451" i="9"/>
  <c r="H451" i="9"/>
  <c r="C102" i="9"/>
  <c r="B102" i="9"/>
  <c r="B16" i="9"/>
  <c r="C278" i="9"/>
  <c r="F278" i="9"/>
  <c r="B125" i="9"/>
  <c r="B431" i="9"/>
  <c r="C248" i="9"/>
  <c r="E248" i="9"/>
  <c r="G248" i="9"/>
  <c r="B297" i="9"/>
  <c r="C240" i="9"/>
  <c r="E240" i="9"/>
  <c r="G240" i="9"/>
  <c r="C287" i="9"/>
  <c r="C364" i="9"/>
  <c r="I364" i="9"/>
  <c r="C391" i="9"/>
  <c r="E391" i="9"/>
  <c r="G391" i="9"/>
  <c r="B161" i="9"/>
  <c r="C121" i="9"/>
  <c r="F121" i="9"/>
  <c r="B304" i="9"/>
  <c r="B594" i="9"/>
  <c r="B426" i="9"/>
  <c r="C261" i="9"/>
  <c r="F261" i="9"/>
  <c r="B344" i="9"/>
  <c r="B378" i="9"/>
  <c r="C305" i="9"/>
  <c r="E305" i="9"/>
  <c r="G305" i="9"/>
  <c r="B79" i="9"/>
  <c r="C61" i="9"/>
  <c r="I61" i="9"/>
  <c r="C317" i="9"/>
  <c r="E317" i="9"/>
  <c r="B179" i="9"/>
  <c r="C526" i="9"/>
  <c r="K526" i="9"/>
  <c r="C536" i="9"/>
  <c r="F536" i="9"/>
  <c r="C89" i="9"/>
  <c r="H89" i="9"/>
  <c r="B109" i="9"/>
  <c r="C414" i="9"/>
  <c r="E414" i="9"/>
  <c r="G414" i="9"/>
  <c r="B555" i="9"/>
  <c r="B47" i="9"/>
  <c r="C446" i="9"/>
  <c r="B160" i="9"/>
  <c r="C308" i="9"/>
  <c r="B217" i="9"/>
  <c r="C369" i="9"/>
  <c r="E369" i="9"/>
  <c r="G369" i="9"/>
  <c r="C589" i="9"/>
  <c r="C137" i="9"/>
  <c r="E137" i="9"/>
  <c r="G137" i="9"/>
  <c r="B105" i="9"/>
  <c r="C22" i="9"/>
  <c r="K22" i="9"/>
  <c r="B375" i="9"/>
  <c r="B430" i="9"/>
  <c r="C503" i="9"/>
  <c r="H503" i="9"/>
  <c r="B322" i="9"/>
  <c r="B223" i="9"/>
  <c r="B228" i="9"/>
  <c r="C36" i="9"/>
  <c r="K36" i="9"/>
  <c r="B306" i="9"/>
  <c r="C368" i="9"/>
  <c r="H368" i="9"/>
  <c r="B29" i="9"/>
  <c r="C150" i="9"/>
  <c r="C116" i="9"/>
  <c r="F116" i="9"/>
  <c r="C145" i="9"/>
  <c r="C334" i="9"/>
  <c r="K334" i="9"/>
  <c r="C265" i="9"/>
  <c r="H265" i="9"/>
  <c r="C282" i="9"/>
  <c r="C312" i="9"/>
  <c r="H312" i="9"/>
  <c r="C110" i="9"/>
  <c r="E110" i="9"/>
  <c r="G110" i="9"/>
  <c r="C383" i="9"/>
  <c r="K383" i="9"/>
  <c r="B519" i="9"/>
  <c r="B342" i="9"/>
  <c r="C156" i="9"/>
  <c r="K156" i="9"/>
  <c r="B586" i="9"/>
  <c r="B77" i="9"/>
  <c r="C532" i="9"/>
  <c r="K532" i="9"/>
  <c r="B335" i="9"/>
  <c r="C341" i="9"/>
  <c r="B280" i="9"/>
  <c r="B444" i="9"/>
  <c r="C13" i="9"/>
  <c r="H13" i="9"/>
  <c r="B569" i="9"/>
  <c r="C18" i="9"/>
  <c r="F18" i="9"/>
  <c r="B352" i="9"/>
  <c r="C349" i="9"/>
  <c r="E349" i="9"/>
  <c r="G349" i="9"/>
  <c r="B202" i="9"/>
  <c r="C289" i="9"/>
  <c r="K289" i="9"/>
  <c r="C444" i="9"/>
  <c r="H444" i="9"/>
  <c r="B480" i="9"/>
  <c r="C339" i="9"/>
  <c r="B345" i="9"/>
  <c r="C481" i="9"/>
  <c r="B189" i="9"/>
  <c r="C564" i="9"/>
  <c r="C342" i="9"/>
  <c r="K342" i="9"/>
  <c r="B334" i="9"/>
  <c r="C452" i="9"/>
  <c r="F452" i="9"/>
  <c r="C592" i="9"/>
  <c r="H592" i="9"/>
  <c r="B531" i="9"/>
  <c r="B347" i="9"/>
  <c r="C337" i="9"/>
  <c r="F337" i="9"/>
  <c r="C357" i="9"/>
  <c r="E357" i="9"/>
  <c r="G357" i="9"/>
  <c r="C496" i="9"/>
  <c r="I496" i="9"/>
  <c r="B456" i="9"/>
  <c r="B471" i="9"/>
  <c r="B401" i="9"/>
  <c r="C344" i="9"/>
  <c r="B46" i="9"/>
  <c r="B448" i="9"/>
  <c r="C425" i="9"/>
  <c r="C356" i="9"/>
  <c r="I356" i="9"/>
  <c r="B510" i="9"/>
  <c r="C541" i="9"/>
  <c r="H541" i="9"/>
  <c r="B30" i="9"/>
  <c r="B90" i="9"/>
  <c r="C578" i="9"/>
  <c r="H578" i="9"/>
  <c r="C190" i="9"/>
  <c r="E190" i="9"/>
  <c r="G190" i="9"/>
  <c r="C46" i="9"/>
  <c r="E46" i="9"/>
  <c r="G46" i="9"/>
  <c r="B563" i="9"/>
  <c r="B172" i="9"/>
  <c r="C171" i="9"/>
  <c r="B15" i="9"/>
  <c r="C397" i="9"/>
  <c r="C343" i="9"/>
  <c r="C331" i="9"/>
  <c r="H331" i="9"/>
  <c r="C465" i="9"/>
  <c r="C245" i="9"/>
  <c r="E245" i="9"/>
  <c r="G245" i="9"/>
  <c r="B91" i="9"/>
  <c r="C271" i="9"/>
  <c r="E271" i="9"/>
  <c r="G271" i="9"/>
  <c r="C279" i="9"/>
  <c r="K279" i="9"/>
  <c r="B359" i="9"/>
  <c r="B546" i="9"/>
  <c r="C594" i="9"/>
  <c r="I594" i="9"/>
  <c r="C571" i="9"/>
  <c r="C447" i="9"/>
  <c r="H447" i="9"/>
  <c r="B126" i="9"/>
  <c r="C307" i="9"/>
  <c r="F307" i="9"/>
  <c r="C129" i="9"/>
  <c r="B10" i="9"/>
  <c r="C479" i="9"/>
  <c r="B596" i="9"/>
  <c r="B120" i="9"/>
  <c r="C104" i="9"/>
  <c r="E104" i="9"/>
  <c r="G104" i="9"/>
  <c r="B12" i="9"/>
  <c r="B455" i="9"/>
  <c r="B467" i="9"/>
  <c r="B229" i="9"/>
  <c r="C115" i="9"/>
  <c r="C193" i="9"/>
  <c r="K193" i="9"/>
  <c r="B341" i="9"/>
  <c r="B552" i="9"/>
  <c r="C394" i="9"/>
  <c r="K394" i="9"/>
  <c r="C568" i="9"/>
  <c r="C325" i="9"/>
  <c r="E325" i="9"/>
  <c r="G325" i="9"/>
  <c r="B349" i="9"/>
  <c r="C227" i="9"/>
  <c r="E227" i="9"/>
  <c r="G227" i="9"/>
  <c r="B392" i="9"/>
  <c r="B529" i="9"/>
  <c r="B285" i="9"/>
  <c r="B266" i="9"/>
  <c r="C379" i="9"/>
  <c r="K379" i="9"/>
  <c r="B73" i="9"/>
  <c r="B175" i="9"/>
  <c r="C262" i="9"/>
  <c r="E262" i="9"/>
  <c r="G262" i="9"/>
  <c r="C24" i="9"/>
  <c r="I24" i="9"/>
  <c r="B123" i="9"/>
  <c r="B294" i="9"/>
  <c r="C162" i="9"/>
  <c r="K162" i="9"/>
  <c r="B486" i="9"/>
  <c r="C560" i="9"/>
  <c r="K560" i="9"/>
  <c r="B547" i="9"/>
  <c r="C410" i="9"/>
  <c r="H410" i="9"/>
  <c r="C381" i="9"/>
  <c r="C164" i="9"/>
  <c r="C409" i="9"/>
  <c r="H409" i="9"/>
  <c r="B225" i="9"/>
  <c r="C246" i="9"/>
  <c r="F246" i="9"/>
  <c r="C386" i="9"/>
  <c r="K386" i="9"/>
  <c r="C178" i="9"/>
  <c r="K178" i="9"/>
  <c r="C377" i="9"/>
  <c r="I377" i="9"/>
  <c r="C54" i="9"/>
  <c r="F54" i="9"/>
  <c r="C93" i="9"/>
  <c r="E93" i="9"/>
  <c r="G93" i="9"/>
  <c r="B417" i="9"/>
  <c r="B451" i="9"/>
  <c r="B534" i="9"/>
  <c r="C267" i="9"/>
  <c r="F267" i="9"/>
  <c r="B363" i="9"/>
  <c r="C84" i="9"/>
  <c r="C233" i="9"/>
  <c r="B527" i="9"/>
  <c r="B593" i="9"/>
  <c r="B595" i="9"/>
  <c r="B272" i="9"/>
  <c r="C149" i="9"/>
  <c r="H149" i="9"/>
  <c r="B575" i="9"/>
  <c r="C204" i="9"/>
  <c r="C168" i="9"/>
  <c r="F168" i="9"/>
  <c r="C23" i="9"/>
  <c r="H23" i="9"/>
  <c r="B329" i="9"/>
  <c r="C106" i="9"/>
  <c r="K106" i="9"/>
  <c r="B146" i="9"/>
  <c r="B590" i="9"/>
  <c r="C582" i="9"/>
  <c r="K582" i="9"/>
  <c r="C148" i="9"/>
  <c r="E148" i="9"/>
  <c r="B497" i="9"/>
  <c r="B8" i="9"/>
  <c r="B460" i="9"/>
  <c r="C583" i="9"/>
  <c r="B216" i="9"/>
  <c r="C126" i="9"/>
  <c r="K126" i="9"/>
  <c r="C58" i="9"/>
  <c r="I58" i="9"/>
  <c r="B576" i="9"/>
  <c r="B501" i="9"/>
  <c r="C322" i="9"/>
  <c r="I322" i="9"/>
  <c r="B591" i="9"/>
  <c r="C518" i="9"/>
  <c r="F518" i="9"/>
  <c r="B106" i="9"/>
  <c r="B21" i="9"/>
  <c r="B574" i="9"/>
  <c r="C350" i="9"/>
  <c r="B445" i="9"/>
  <c r="C70" i="9"/>
  <c r="E70" i="9"/>
  <c r="B192" i="9"/>
  <c r="C140" i="9"/>
  <c r="C112" i="9"/>
  <c r="H112" i="9"/>
  <c r="C426" i="9"/>
  <c r="K426" i="9"/>
  <c r="C591" i="9"/>
  <c r="H591" i="9"/>
  <c r="C406" i="9"/>
  <c r="K406" i="9"/>
  <c r="B235" i="9"/>
  <c r="B282" i="9"/>
  <c r="B298" i="9"/>
  <c r="B440" i="9"/>
  <c r="B227" i="9"/>
  <c r="C25" i="9"/>
  <c r="H25" i="9"/>
  <c r="B544" i="9"/>
  <c r="C372" i="9"/>
  <c r="C492" i="9"/>
  <c r="E492" i="9"/>
  <c r="B373" i="9"/>
  <c r="B523" i="9"/>
  <c r="B127" i="9"/>
  <c r="B429" i="9"/>
  <c r="C239" i="9"/>
  <c r="E239" i="9"/>
  <c r="G239" i="9"/>
  <c r="B121" i="9"/>
  <c r="B155" i="9"/>
  <c r="B149" i="9"/>
  <c r="B183" i="9"/>
  <c r="C250" i="9"/>
  <c r="E250" i="9"/>
  <c r="G250" i="9"/>
  <c r="C81" i="9"/>
  <c r="I81" i="9"/>
  <c r="B434" i="9"/>
  <c r="B213" i="9"/>
  <c r="B302" i="9"/>
  <c r="C275" i="9"/>
  <c r="F275" i="9"/>
  <c r="C544" i="9"/>
  <c r="B204" i="9"/>
  <c r="B36" i="9"/>
  <c r="B88" i="9"/>
  <c r="B44" i="9"/>
  <c r="B61" i="9"/>
  <c r="B452" i="9"/>
  <c r="C234" i="9"/>
  <c r="C284" i="9"/>
  <c r="K284" i="9"/>
  <c r="C100" i="9"/>
  <c r="I100" i="9"/>
  <c r="B463" i="9"/>
  <c r="C478" i="9"/>
  <c r="I478" i="9"/>
  <c r="B70" i="9"/>
  <c r="C513" i="9"/>
  <c r="K513" i="9"/>
  <c r="B208" i="9"/>
  <c r="C380" i="9"/>
  <c r="C441" i="9"/>
  <c r="C40" i="9"/>
  <c r="F40" i="9"/>
  <c r="C192" i="9"/>
  <c r="I192" i="9"/>
  <c r="B136" i="9"/>
  <c r="B173" i="9"/>
  <c r="B509" i="9"/>
  <c r="C186" i="9"/>
  <c r="I186" i="9"/>
  <c r="C65" i="9"/>
  <c r="H65" i="9"/>
  <c r="B580" i="9"/>
  <c r="C114" i="9"/>
  <c r="E114" i="9"/>
  <c r="G114" i="9"/>
  <c r="C42" i="9"/>
  <c r="E42" i="9"/>
  <c r="G42" i="9"/>
  <c r="B250" i="9"/>
  <c r="C41" i="9"/>
  <c r="B424" i="9"/>
  <c r="C417" i="9"/>
  <c r="C77" i="9"/>
  <c r="F77" i="9"/>
  <c r="C418" i="9"/>
  <c r="C476" i="9"/>
  <c r="C194" i="9"/>
  <c r="E194" i="9"/>
  <c r="B203" i="9"/>
  <c r="B561" i="9"/>
  <c r="B395" i="9"/>
  <c r="C86" i="9"/>
  <c r="F86" i="9"/>
  <c r="C52" i="9"/>
  <c r="I52" i="9"/>
  <c r="C459" i="9"/>
  <c r="E459" i="9"/>
  <c r="B193" i="9"/>
  <c r="C38" i="9"/>
  <c r="E38" i="9"/>
  <c r="C515" i="9"/>
  <c r="I515" i="9"/>
  <c r="C472" i="9"/>
  <c r="K472" i="9"/>
  <c r="B48" i="9"/>
  <c r="C332" i="9"/>
  <c r="B6" i="9"/>
  <c r="B238" i="9"/>
  <c r="B522" i="9"/>
  <c r="B483" i="9"/>
  <c r="C543" i="9"/>
  <c r="B268" i="9"/>
  <c r="C598" i="9"/>
  <c r="F598" i="9"/>
  <c r="C345" i="9"/>
  <c r="I345" i="9"/>
  <c r="C405" i="9"/>
  <c r="K405" i="9"/>
  <c r="C200" i="9"/>
  <c r="I200" i="9"/>
  <c r="C231" i="9"/>
  <c r="I231" i="9"/>
  <c r="C501" i="9"/>
  <c r="H501" i="9"/>
  <c r="B249" i="9"/>
  <c r="B251" i="9"/>
  <c r="B400" i="9"/>
  <c r="B130" i="9"/>
  <c r="C199" i="9"/>
  <c r="C276" i="9"/>
  <c r="F276" i="9"/>
  <c r="B295" i="9"/>
  <c r="C143" i="9"/>
  <c r="E143" i="9"/>
  <c r="G143" i="9"/>
  <c r="B585" i="9"/>
  <c r="B518" i="9"/>
  <c r="C570" i="9"/>
  <c r="F570" i="9"/>
  <c r="B326" i="9"/>
  <c r="C556" i="9"/>
  <c r="E556" i="9"/>
  <c r="G556" i="9"/>
  <c r="C484" i="9"/>
  <c r="K484" i="9"/>
  <c r="C12" i="9"/>
  <c r="E12" i="9"/>
  <c r="G12" i="9"/>
  <c r="C455" i="9"/>
  <c r="K455" i="9"/>
  <c r="B57" i="9"/>
  <c r="B376" i="9"/>
  <c r="C309" i="9"/>
  <c r="I309" i="9"/>
  <c r="B346" i="9"/>
  <c r="B362" i="9"/>
  <c r="B565" i="9"/>
  <c r="C135" i="9"/>
  <c r="H135" i="9"/>
  <c r="B386" i="9"/>
  <c r="B63" i="9"/>
  <c r="C354" i="9"/>
  <c r="I354" i="9"/>
  <c r="B214" i="9"/>
  <c r="B588" i="9"/>
  <c r="C20" i="9"/>
  <c r="K20" i="9"/>
  <c r="B194" i="9"/>
  <c r="C55" i="9"/>
  <c r="E55" i="9"/>
  <c r="G55" i="9"/>
  <c r="C283" i="9"/>
  <c r="E283" i="9"/>
  <c r="C206" i="9"/>
  <c r="I206" i="9"/>
  <c r="B14" i="9"/>
  <c r="C559" i="9"/>
  <c r="H559" i="9"/>
  <c r="B290" i="9"/>
  <c r="B114" i="9"/>
  <c r="C420" i="9"/>
  <c r="I420" i="9"/>
  <c r="B215" i="9"/>
  <c r="C251" i="9"/>
  <c r="K251" i="9"/>
  <c r="B418" i="9"/>
  <c r="B24" i="9"/>
  <c r="C56" i="9"/>
  <c r="F56" i="9"/>
  <c r="B196" i="9"/>
  <c r="C19" i="9"/>
  <c r="C247" i="9"/>
  <c r="K247" i="9"/>
  <c r="C540" i="9"/>
  <c r="B327" i="9"/>
  <c r="B494" i="9"/>
  <c r="B371" i="9"/>
  <c r="B396" i="9"/>
  <c r="C456" i="9"/>
  <c r="I456" i="9"/>
  <c r="B489" i="9"/>
  <c r="B131" i="9"/>
  <c r="B40" i="9"/>
  <c r="C395" i="9"/>
  <c r="K395" i="9"/>
  <c r="C258" i="9"/>
  <c r="B220" i="9"/>
  <c r="B394" i="9"/>
  <c r="C78" i="9"/>
  <c r="B254" i="9"/>
  <c r="B435" i="9"/>
  <c r="C134" i="9"/>
  <c r="E134" i="9"/>
  <c r="G134" i="9"/>
  <c r="B283" i="9"/>
  <c r="C64" i="9"/>
  <c r="F64" i="9"/>
  <c r="B299" i="9"/>
  <c r="B281" i="9"/>
  <c r="B261" i="9"/>
  <c r="B113" i="9"/>
  <c r="C109" i="9"/>
  <c r="B410" i="9"/>
  <c r="C373" i="9"/>
  <c r="I373" i="9"/>
  <c r="B141" i="9"/>
  <c r="B521" i="9"/>
  <c r="B468" i="9"/>
  <c r="C59" i="9"/>
  <c r="H59" i="9"/>
  <c r="B162" i="9"/>
  <c r="C375" i="9"/>
  <c r="I375" i="9"/>
  <c r="B19" i="9"/>
  <c r="B337" i="9"/>
  <c r="C111" i="9"/>
  <c r="C7" i="9"/>
  <c r="C57" i="9"/>
  <c r="H57" i="9"/>
  <c r="C475" i="9"/>
  <c r="K475" i="9"/>
  <c r="C76" i="9"/>
  <c r="H76" i="9"/>
  <c r="B365" i="9"/>
  <c r="C581" i="9"/>
  <c r="I581" i="9"/>
  <c r="B232" i="9"/>
  <c r="C123" i="9"/>
  <c r="C124" i="9"/>
  <c r="K124" i="9"/>
  <c r="C128" i="9"/>
  <c r="K128" i="9"/>
  <c r="B159" i="9"/>
  <c r="C311" i="9"/>
  <c r="I311" i="9"/>
  <c r="C489" i="9"/>
  <c r="H489" i="9"/>
  <c r="B134" i="9"/>
  <c r="C355" i="9"/>
  <c r="H355" i="9"/>
  <c r="B441" i="9"/>
  <c r="C378" i="9"/>
  <c r="B366" i="9"/>
  <c r="C493" i="9"/>
  <c r="E493" i="9"/>
  <c r="G493" i="9"/>
  <c r="B33" i="9"/>
  <c r="C314" i="9"/>
  <c r="C198" i="9"/>
  <c r="I198" i="9"/>
  <c r="C326" i="9"/>
  <c r="H326" i="9"/>
  <c r="B98" i="9"/>
  <c r="C220" i="9"/>
  <c r="E220" i="9"/>
  <c r="G220" i="9"/>
  <c r="C557" i="9"/>
  <c r="K557" i="9"/>
  <c r="C498" i="9"/>
  <c r="E498" i="9"/>
  <c r="G498" i="9"/>
  <c r="B300" i="9"/>
  <c r="C333" i="9"/>
  <c r="H333" i="9"/>
  <c r="B265" i="9"/>
  <c r="B139" i="9"/>
  <c r="C216" i="9"/>
  <c r="C45" i="9"/>
  <c r="K45" i="9"/>
  <c r="C95" i="9"/>
  <c r="F95" i="9"/>
  <c r="C507" i="9"/>
  <c r="H507" i="9"/>
  <c r="B271" i="9"/>
  <c r="B207" i="9"/>
  <c r="C537" i="9"/>
  <c r="F537" i="9"/>
  <c r="B493" i="9"/>
  <c r="C427" i="9"/>
  <c r="B581" i="9"/>
  <c r="B275" i="9"/>
  <c r="B450" i="9"/>
  <c r="C243" i="9"/>
  <c r="H243" i="9"/>
  <c r="C361" i="9"/>
  <c r="H361" i="9"/>
  <c r="C512" i="9"/>
  <c r="H512" i="9"/>
  <c r="B58" i="9"/>
  <c r="B124" i="9"/>
  <c r="C590" i="9"/>
  <c r="F590" i="9"/>
  <c r="B210" i="9"/>
  <c r="C522" i="9"/>
  <c r="B166" i="9"/>
  <c r="B577" i="9"/>
  <c r="B599" i="9"/>
  <c r="C236" i="9"/>
  <c r="I236" i="9"/>
  <c r="C595" i="9"/>
  <c r="B332" i="9"/>
  <c r="B60" i="9"/>
  <c r="C257" i="9"/>
  <c r="B572" i="9"/>
  <c r="C158" i="9"/>
  <c r="I158" i="9"/>
  <c r="B369" i="9"/>
  <c r="C294" i="9"/>
  <c r="H294" i="9"/>
  <c r="C340" i="9"/>
  <c r="C587" i="9"/>
  <c r="I587" i="9"/>
  <c r="B549" i="9"/>
  <c r="C528" i="9"/>
  <c r="C468" i="9"/>
  <c r="F468" i="9"/>
  <c r="B566" i="9"/>
  <c r="C60" i="9"/>
  <c r="F60" i="9"/>
  <c r="B156" i="9"/>
  <c r="B25" i="9"/>
  <c r="B397" i="9"/>
  <c r="B513" i="9"/>
  <c r="C485" i="9"/>
  <c r="H485" i="9"/>
  <c r="C412" i="9"/>
  <c r="C94" i="9"/>
  <c r="H94" i="9"/>
  <c r="B68" i="9"/>
  <c r="B358" i="9"/>
  <c r="B582" i="9"/>
  <c r="B143" i="9"/>
  <c r="B259" i="9"/>
  <c r="C212" i="9"/>
  <c r="F212" i="9"/>
  <c r="B465" i="9"/>
  <c r="C384" i="9"/>
  <c r="C34" i="9"/>
  <c r="E34" i="9"/>
  <c r="G34" i="9"/>
  <c r="B177" i="9"/>
  <c r="B316" i="9"/>
  <c r="C390" i="9"/>
  <c r="F390" i="9"/>
  <c r="C530" i="9"/>
  <c r="E530" i="9"/>
  <c r="C175" i="9"/>
  <c r="H175" i="9"/>
  <c r="B539" i="9"/>
  <c r="B116" i="9"/>
  <c r="B201" i="9"/>
  <c r="B560" i="9"/>
  <c r="B247" i="9"/>
  <c r="B246" i="9"/>
  <c r="C183" i="9"/>
  <c r="B313" i="9"/>
  <c r="C303" i="9"/>
  <c r="B515" i="9"/>
  <c r="B93" i="9"/>
  <c r="C170" i="9"/>
  <c r="E170" i="9"/>
  <c r="G170" i="9"/>
  <c r="B454" i="9"/>
  <c r="B133" i="9"/>
  <c r="C244" i="9"/>
  <c r="K244" i="9"/>
  <c r="B505" i="9"/>
  <c r="C504" i="9"/>
  <c r="B69" i="9"/>
  <c r="C195" i="9"/>
  <c r="C434" i="9"/>
  <c r="I434" i="9"/>
  <c r="C209" i="9"/>
  <c r="B537" i="9"/>
  <c r="C525" i="9"/>
  <c r="H525" i="9"/>
  <c r="C534" i="9"/>
  <c r="B291" i="9"/>
  <c r="C360" i="9"/>
  <c r="C576" i="9"/>
  <c r="F576" i="9"/>
  <c r="B269" i="9"/>
  <c r="B310" i="9"/>
  <c r="B289" i="9"/>
  <c r="B374" i="9"/>
  <c r="C351" i="9"/>
  <c r="E351" i="9"/>
  <c r="G351" i="9"/>
  <c r="C256" i="9"/>
  <c r="C213" i="9"/>
  <c r="H213" i="9"/>
  <c r="B502" i="9"/>
  <c r="C516" i="9"/>
  <c r="K516" i="9"/>
  <c r="B54" i="9"/>
  <c r="B209" i="9"/>
  <c r="B258" i="9"/>
  <c r="C387" i="9"/>
  <c r="H387" i="9"/>
  <c r="C521" i="9"/>
  <c r="K521" i="9"/>
  <c r="C407" i="9"/>
  <c r="E407" i="9"/>
  <c r="G407" i="9"/>
  <c r="C429" i="9"/>
  <c r="B391" i="9"/>
  <c r="B20" i="9"/>
  <c r="B234" i="9"/>
  <c r="C367" i="9"/>
  <c r="F367" i="9"/>
  <c r="B186" i="9"/>
  <c r="B427" i="9"/>
  <c r="C8" i="9"/>
  <c r="K8" i="9"/>
  <c r="C211" i="9"/>
  <c r="E211" i="9"/>
  <c r="G211" i="9"/>
  <c r="C202" i="9"/>
  <c r="E202" i="9"/>
  <c r="B51" i="9"/>
  <c r="B361" i="9"/>
  <c r="B553" i="9"/>
  <c r="C179" i="9"/>
  <c r="C80" i="9"/>
  <c r="I80" i="9"/>
  <c r="C131" i="9"/>
  <c r="F131" i="9"/>
  <c r="C90" i="9"/>
  <c r="C105" i="9"/>
  <c r="K105" i="9"/>
  <c r="C288" i="9"/>
  <c r="I288" i="9"/>
  <c r="B447" i="9"/>
  <c r="B218" i="9"/>
  <c r="B182" i="9"/>
  <c r="C549" i="9"/>
  <c r="E549" i="9"/>
  <c r="G549" i="9"/>
  <c r="C226" i="9"/>
  <c r="K226" i="9"/>
  <c r="B476" i="9"/>
  <c r="C235" i="9"/>
  <c r="H235" i="9"/>
  <c r="C562" i="9"/>
  <c r="B598" i="9"/>
  <c r="B35" i="9"/>
  <c r="C499" i="9"/>
  <c r="B163" i="9"/>
  <c r="B432" i="9"/>
  <c r="B42" i="9"/>
  <c r="B288" i="9"/>
  <c r="B459" i="9"/>
  <c r="C298" i="9"/>
  <c r="E298" i="9"/>
  <c r="C461" i="9"/>
  <c r="E461" i="9"/>
  <c r="G461" i="9"/>
  <c r="C163" i="9"/>
  <c r="F163" i="9"/>
  <c r="C599" i="9"/>
  <c r="C207" i="9"/>
  <c r="K207" i="9"/>
  <c r="B578" i="9"/>
  <c r="C108" i="9"/>
  <c r="I108" i="9"/>
  <c r="B135" i="9"/>
  <c r="E25" i="9"/>
  <c r="H371" i="9"/>
  <c r="E371" i="9"/>
  <c r="G371" i="9"/>
  <c r="K371" i="9"/>
  <c r="F371" i="9"/>
  <c r="I371" i="9"/>
  <c r="I26" i="9"/>
  <c r="F26" i="9"/>
  <c r="H341" i="9"/>
  <c r="I341" i="9"/>
  <c r="K341" i="9"/>
  <c r="K373" i="9"/>
  <c r="K84" i="9"/>
  <c r="I229" i="9"/>
  <c r="H274" i="9"/>
  <c r="I280" i="9"/>
  <c r="F280" i="9"/>
  <c r="I414" i="9"/>
  <c r="K414" i="9"/>
  <c r="K184" i="9"/>
  <c r="I184" i="9"/>
  <c r="E184" i="9"/>
  <c r="G184" i="9"/>
  <c r="H174" i="9"/>
  <c r="K174" i="9"/>
  <c r="F191" i="9"/>
  <c r="I44" i="9"/>
  <c r="E44" i="9"/>
  <c r="G44" i="9"/>
  <c r="K44" i="9"/>
  <c r="H44" i="9"/>
  <c r="F44" i="9"/>
  <c r="H258" i="9"/>
  <c r="I258" i="9"/>
  <c r="K258" i="9"/>
  <c r="F258" i="9"/>
  <c r="E258" i="9"/>
  <c r="E266" i="9"/>
  <c r="H198" i="9"/>
  <c r="K198" i="9"/>
  <c r="E198" i="9"/>
  <c r="G198" i="9"/>
  <c r="K347" i="9"/>
  <c r="H271" i="9"/>
  <c r="K271" i="9"/>
  <c r="F271" i="9"/>
  <c r="E150" i="9"/>
  <c r="G150" i="9"/>
  <c r="I150" i="9"/>
  <c r="H150" i="9"/>
  <c r="E164" i="9"/>
  <c r="I164" i="9"/>
  <c r="F164" i="9"/>
  <c r="H181" i="9"/>
  <c r="F181" i="9"/>
  <c r="I299" i="9"/>
  <c r="H137" i="9"/>
  <c r="E121" i="9"/>
  <c r="G121" i="9"/>
  <c r="I121" i="9"/>
  <c r="I72" i="9"/>
  <c r="F72" i="9"/>
  <c r="K72" i="9"/>
  <c r="K223" i="9"/>
  <c r="F223" i="9"/>
  <c r="I223" i="9"/>
  <c r="E223" i="9"/>
  <c r="G223" i="9"/>
  <c r="H223" i="9"/>
  <c r="E486" i="9"/>
  <c r="G486" i="9"/>
  <c r="F486" i="9"/>
  <c r="I486" i="9"/>
  <c r="H486" i="9"/>
  <c r="F404" i="9"/>
  <c r="I404" i="9"/>
  <c r="E404" i="9"/>
  <c r="K404" i="9"/>
  <c r="H404" i="9"/>
  <c r="F316" i="9"/>
  <c r="I316" i="9"/>
  <c r="K316" i="9"/>
  <c r="E316" i="9"/>
  <c r="G316" i="9"/>
  <c r="H316" i="9"/>
  <c r="K62" i="9"/>
  <c r="I62" i="9"/>
  <c r="F62" i="9"/>
  <c r="H62" i="9"/>
  <c r="E62" i="9"/>
  <c r="G62" i="9"/>
  <c r="I385" i="9"/>
  <c r="H385" i="9"/>
  <c r="E385" i="9"/>
  <c r="F385" i="9"/>
  <c r="K385" i="9"/>
  <c r="I452" i="9"/>
  <c r="E394" i="9"/>
  <c r="I394" i="9"/>
  <c r="F288" i="9"/>
  <c r="E106" i="9"/>
  <c r="H106" i="9"/>
  <c r="I106" i="9"/>
  <c r="E358" i="9"/>
  <c r="G358" i="9"/>
  <c r="K541" i="9"/>
  <c r="E541" i="9"/>
  <c r="G541" i="9"/>
  <c r="F541" i="9"/>
  <c r="I584" i="9"/>
  <c r="K439" i="9"/>
  <c r="E439" i="9"/>
  <c r="G439" i="9"/>
  <c r="E270" i="9"/>
  <c r="H270" i="9"/>
  <c r="K270" i="9"/>
  <c r="I270" i="9"/>
  <c r="F270" i="9"/>
  <c r="I278" i="9"/>
  <c r="E278" i="9"/>
  <c r="G278" i="9"/>
  <c r="K278" i="9"/>
  <c r="H278" i="9"/>
  <c r="I71" i="9"/>
  <c r="H453" i="9"/>
  <c r="K453" i="9"/>
  <c r="F491" i="9"/>
  <c r="H113" i="9"/>
  <c r="I113" i="9"/>
  <c r="F113" i="9"/>
  <c r="K113" i="9"/>
  <c r="E113" i="9"/>
  <c r="G113" i="9"/>
  <c r="H517" i="9"/>
  <c r="E517" i="9"/>
  <c r="K517" i="9"/>
  <c r="I517" i="9"/>
  <c r="F517" i="9"/>
  <c r="I140" i="9"/>
  <c r="F140" i="9"/>
  <c r="H140" i="9"/>
  <c r="K140" i="9"/>
  <c r="E140" i="9"/>
  <c r="F176" i="9"/>
  <c r="F126" i="9"/>
  <c r="I126" i="9"/>
  <c r="E126" i="9"/>
  <c r="G126" i="9"/>
  <c r="I573" i="9"/>
  <c r="E573" i="9"/>
  <c r="K573" i="9"/>
  <c r="H573" i="9"/>
  <c r="F573" i="9"/>
  <c r="E130" i="9"/>
  <c r="G130" i="9"/>
  <c r="H130" i="9"/>
  <c r="H245" i="9"/>
  <c r="K403" i="9"/>
  <c r="H433" i="9"/>
  <c r="H588" i="9"/>
  <c r="I588" i="9"/>
  <c r="E588" i="9"/>
  <c r="G588" i="9"/>
  <c r="F588" i="9"/>
  <c r="K588" i="9"/>
  <c r="K217" i="9"/>
  <c r="E217" i="9"/>
  <c r="G217" i="9"/>
  <c r="I217" i="9"/>
  <c r="H217" i="9"/>
  <c r="F217" i="9"/>
  <c r="F313" i="9"/>
  <c r="E313" i="9"/>
  <c r="G313" i="9"/>
  <c r="H313" i="9"/>
  <c r="H201" i="9"/>
  <c r="E201" i="9"/>
  <c r="G201" i="9"/>
  <c r="K201" i="9"/>
  <c r="H47" i="9"/>
  <c r="I47" i="9"/>
  <c r="F47" i="9"/>
  <c r="K480" i="9"/>
  <c r="I334" i="9"/>
  <c r="F334" i="9"/>
  <c r="F323" i="9"/>
  <c r="F254" i="9"/>
  <c r="E254" i="9"/>
  <c r="G254" i="9"/>
  <c r="I254" i="9"/>
  <c r="H254" i="9"/>
  <c r="K254" i="9"/>
  <c r="K463" i="9"/>
  <c r="K400" i="9"/>
  <c r="I400" i="9"/>
  <c r="F400" i="9"/>
  <c r="H450" i="9"/>
  <c r="H458" i="9"/>
  <c r="K458" i="9"/>
  <c r="E458" i="9"/>
  <c r="G458" i="9"/>
  <c r="F458" i="9"/>
  <c r="I432" i="9"/>
  <c r="E432" i="9"/>
  <c r="G432" i="9"/>
  <c r="H432" i="9"/>
  <c r="K432" i="9"/>
  <c r="F432" i="9"/>
  <c r="I580" i="9"/>
  <c r="K580" i="9"/>
  <c r="F580" i="9"/>
  <c r="H580" i="9"/>
  <c r="E580" i="9"/>
  <c r="I574" i="9"/>
  <c r="K574" i="9"/>
  <c r="E574" i="9"/>
  <c r="H574" i="9"/>
  <c r="F574" i="9"/>
  <c r="E75" i="9"/>
  <c r="G75" i="9"/>
  <c r="H75" i="9"/>
  <c r="F474" i="9"/>
  <c r="E474" i="9"/>
  <c r="G474" i="9"/>
  <c r="I474" i="9"/>
  <c r="H474" i="9"/>
  <c r="K474" i="9"/>
  <c r="K32" i="9"/>
  <c r="E32" i="9"/>
  <c r="G32" i="9"/>
  <c r="F32" i="9"/>
  <c r="I32" i="9"/>
  <c r="H32" i="9"/>
  <c r="E379" i="9"/>
  <c r="G379" i="9"/>
  <c r="H379" i="9"/>
  <c r="H593" i="9"/>
  <c r="E593" i="9"/>
  <c r="K593" i="9"/>
  <c r="F593" i="9"/>
  <c r="I593" i="9"/>
  <c r="F138" i="9"/>
  <c r="K138" i="9"/>
  <c r="I138" i="9"/>
  <c r="H138" i="9"/>
  <c r="E138" i="9"/>
  <c r="G138" i="9"/>
  <c r="H10" i="9"/>
  <c r="F10" i="9"/>
  <c r="I112" i="9"/>
  <c r="F112" i="9"/>
  <c r="E112" i="9"/>
  <c r="G112" i="9"/>
  <c r="I369" i="9"/>
  <c r="I429" i="9"/>
  <c r="H563" i="9"/>
  <c r="E487" i="9"/>
  <c r="H487" i="9"/>
  <c r="K487" i="9"/>
  <c r="F487" i="9"/>
  <c r="I487" i="9"/>
  <c r="F124" i="9"/>
  <c r="I124" i="9"/>
  <c r="F395" i="9"/>
  <c r="I518" i="9"/>
  <c r="H518" i="9"/>
  <c r="E471" i="9"/>
  <c r="G471" i="9"/>
  <c r="E416" i="9"/>
  <c r="G416" i="9"/>
  <c r="F416" i="9"/>
  <c r="I159" i="9"/>
  <c r="H159" i="9"/>
  <c r="K159" i="9"/>
  <c r="F159" i="9"/>
  <c r="E159" i="9"/>
  <c r="G159" i="9"/>
  <c r="K548" i="9"/>
  <c r="I548" i="9"/>
  <c r="F548" i="9"/>
  <c r="E548" i="9"/>
  <c r="G548" i="9"/>
  <c r="H548" i="9"/>
  <c r="K440" i="9"/>
  <c r="K422" i="9"/>
  <c r="E422" i="9"/>
  <c r="G422" i="9"/>
  <c r="F422" i="9"/>
  <c r="H422" i="9"/>
  <c r="I422" i="9"/>
  <c r="E275" i="9"/>
  <c r="E162" i="9"/>
  <c r="H162" i="9"/>
  <c r="F162" i="9"/>
  <c r="H442" i="9"/>
  <c r="E442" i="9"/>
  <c r="G442" i="9"/>
  <c r="E343" i="9"/>
  <c r="G343" i="9"/>
  <c r="F426" i="9"/>
  <c r="E426" i="9"/>
  <c r="G426" i="9"/>
  <c r="K374" i="9"/>
  <c r="E374" i="9"/>
  <c r="F589" i="9"/>
  <c r="H589" i="9"/>
  <c r="I589" i="9"/>
  <c r="E589" i="9"/>
  <c r="G589" i="9"/>
  <c r="K589" i="9"/>
  <c r="K425" i="9"/>
  <c r="I425" i="9"/>
  <c r="E425" i="9"/>
  <c r="H398" i="9"/>
  <c r="F398" i="9"/>
  <c r="E398" i="9"/>
  <c r="G398" i="9"/>
  <c r="K398" i="9"/>
  <c r="I398" i="9"/>
  <c r="K546" i="9"/>
  <c r="I386" i="9"/>
  <c r="I104" i="9"/>
  <c r="F396" i="9"/>
  <c r="K153" i="9"/>
  <c r="H153" i="9"/>
  <c r="F153" i="9"/>
  <c r="E153" i="9"/>
  <c r="F585" i="9"/>
  <c r="H585" i="9"/>
  <c r="E537" i="9"/>
  <c r="G537" i="9"/>
  <c r="E160" i="9"/>
  <c r="K160" i="9"/>
  <c r="H160" i="9"/>
  <c r="F160" i="9"/>
  <c r="I160" i="9"/>
  <c r="I85" i="9"/>
  <c r="F85" i="9"/>
  <c r="K538" i="9"/>
  <c r="I147" i="9"/>
  <c r="F70" i="9"/>
  <c r="H203" i="9"/>
  <c r="I543" i="9"/>
  <c r="F543" i="9"/>
  <c r="H543" i="9"/>
  <c r="E543" i="9"/>
  <c r="K543" i="9"/>
  <c r="F146" i="9"/>
  <c r="E146" i="9"/>
  <c r="G146" i="9"/>
  <c r="K146" i="9"/>
  <c r="I146" i="9"/>
  <c r="H146" i="9"/>
  <c r="H583" i="9"/>
  <c r="K583" i="9"/>
  <c r="E583" i="9"/>
  <c r="I583" i="9"/>
  <c r="F583" i="9"/>
  <c r="H279" i="9"/>
  <c r="I279" i="9"/>
  <c r="E9" i="9"/>
  <c r="G9" i="9"/>
  <c r="H9" i="9"/>
  <c r="F9" i="9"/>
  <c r="I9" i="9"/>
  <c r="E116" i="9"/>
  <c r="G116" i="9"/>
  <c r="K116" i="9"/>
  <c r="I149" i="9"/>
  <c r="K149" i="9"/>
  <c r="E149" i="9"/>
  <c r="G149" i="9"/>
  <c r="I143" i="9"/>
  <c r="F251" i="9"/>
  <c r="E265" i="9"/>
  <c r="G265" i="9"/>
  <c r="I265" i="9"/>
  <c r="F34" i="9"/>
  <c r="H34" i="9"/>
  <c r="F315" i="9"/>
  <c r="E315" i="9"/>
  <c r="G315" i="9"/>
  <c r="H315" i="9"/>
  <c r="K315" i="9"/>
  <c r="I315" i="9"/>
  <c r="H305" i="9"/>
  <c r="K305" i="9"/>
  <c r="H145" i="9"/>
  <c r="E145" i="9"/>
  <c r="I145" i="9"/>
  <c r="F145" i="9"/>
  <c r="K145" i="9"/>
  <c r="E154" i="9"/>
  <c r="G154" i="9"/>
  <c r="H154" i="9"/>
  <c r="K154" i="9"/>
  <c r="F154" i="9"/>
  <c r="I154" i="9"/>
  <c r="H427" i="9"/>
  <c r="I427" i="9"/>
  <c r="E427" i="9"/>
  <c r="G427" i="9"/>
  <c r="F427" i="9"/>
  <c r="K427" i="9"/>
  <c r="I555" i="9"/>
  <c r="F13" i="9"/>
  <c r="I13" i="9"/>
  <c r="K224" i="9"/>
  <c r="E224" i="9"/>
  <c r="G224" i="9"/>
  <c r="H224" i="9"/>
  <c r="F224" i="9"/>
  <c r="I224" i="9"/>
  <c r="H465" i="9"/>
  <c r="E465" i="9"/>
  <c r="G465" i="9"/>
  <c r="H581" i="9"/>
  <c r="H246" i="9"/>
  <c r="E246" i="9"/>
  <c r="G246" i="9"/>
  <c r="I139" i="9"/>
  <c r="I382" i="9"/>
  <c r="F382" i="9"/>
  <c r="E382" i="9"/>
  <c r="H382" i="9"/>
  <c r="K382" i="9"/>
  <c r="H564" i="9"/>
  <c r="E564" i="9"/>
  <c r="K564" i="9"/>
  <c r="I564" i="9"/>
  <c r="F564" i="9"/>
  <c r="K249" i="9"/>
  <c r="F249" i="9"/>
  <c r="I600" i="9"/>
  <c r="E600" i="9"/>
  <c r="G600" i="9"/>
  <c r="I290" i="9"/>
  <c r="I221" i="9"/>
  <c r="H221" i="9"/>
  <c r="K221" i="9"/>
  <c r="E221" i="9"/>
  <c r="G221" i="9"/>
  <c r="F221" i="9"/>
  <c r="E192" i="9"/>
  <c r="G192" i="9"/>
  <c r="H156" i="9"/>
  <c r="I152" i="9"/>
  <c r="K152" i="9"/>
  <c r="F152" i="9"/>
  <c r="H152" i="9"/>
  <c r="E152" i="9"/>
  <c r="G152" i="9"/>
  <c r="H169" i="9"/>
  <c r="K120" i="9"/>
  <c r="I120" i="9"/>
  <c r="E120" i="9"/>
  <c r="G120" i="9"/>
  <c r="F544" i="9"/>
  <c r="E544" i="9"/>
  <c r="G544" i="9"/>
  <c r="E306" i="9"/>
  <c r="H306" i="9"/>
  <c r="K306" i="9"/>
  <c r="I306" i="9"/>
  <c r="F306" i="9"/>
  <c r="E476" i="9"/>
  <c r="G476" i="9"/>
  <c r="K476" i="9"/>
  <c r="H476" i="9"/>
  <c r="H595" i="9"/>
  <c r="F595" i="9"/>
  <c r="E595" i="9"/>
  <c r="G595" i="9"/>
  <c r="K595" i="9"/>
  <c r="I595" i="9"/>
  <c r="H122" i="9"/>
  <c r="I122" i="9"/>
  <c r="K122" i="9"/>
  <c r="E122" i="9"/>
  <c r="G122" i="9"/>
  <c r="I511" i="9"/>
  <c r="K511" i="9"/>
  <c r="E511" i="9"/>
  <c r="G511" i="9"/>
  <c r="E569" i="9"/>
  <c r="I569" i="9"/>
  <c r="K569" i="9"/>
  <c r="H569" i="9"/>
  <c r="F569" i="9"/>
  <c r="H388" i="9"/>
  <c r="E388" i="9"/>
  <c r="F388" i="9"/>
  <c r="K388" i="9"/>
  <c r="I388" i="9"/>
  <c r="F444" i="9"/>
  <c r="I444" i="9"/>
  <c r="K236" i="9"/>
  <c r="I582" i="9"/>
  <c r="F582" i="9"/>
  <c r="H582" i="9"/>
  <c r="E319" i="9"/>
  <c r="G319" i="9"/>
  <c r="I570" i="9"/>
  <c r="H570" i="9"/>
  <c r="E570" i="9"/>
  <c r="G570" i="9"/>
  <c r="F166" i="9"/>
  <c r="F533" i="9"/>
  <c r="H533" i="9"/>
  <c r="K533" i="9"/>
  <c r="I533" i="9"/>
  <c r="E533" i="9"/>
  <c r="G533" i="9"/>
  <c r="I123" i="9"/>
  <c r="H123" i="9"/>
  <c r="E123" i="9"/>
  <c r="G123" i="9"/>
  <c r="K123" i="9"/>
  <c r="F123" i="9"/>
  <c r="E336" i="9"/>
  <c r="G336" i="9"/>
  <c r="I336" i="9"/>
  <c r="K336" i="9"/>
  <c r="H336" i="9"/>
  <c r="F336" i="9"/>
  <c r="H239" i="9"/>
  <c r="H177" i="9"/>
  <c r="E482" i="9"/>
  <c r="G482" i="9"/>
  <c r="H482" i="9"/>
  <c r="F482" i="9"/>
  <c r="K482" i="9"/>
  <c r="I482" i="9"/>
  <c r="F68" i="9"/>
  <c r="I68" i="9"/>
  <c r="K68" i="9"/>
  <c r="H68" i="9"/>
  <c r="E68" i="9"/>
  <c r="G68" i="9"/>
  <c r="E598" i="9"/>
  <c r="G598" i="9"/>
  <c r="E554" i="9"/>
  <c r="G554" i="9"/>
  <c r="E151" i="9"/>
  <c r="F151" i="9"/>
  <c r="I151" i="9"/>
  <c r="H151" i="9"/>
  <c r="K151" i="9"/>
  <c r="H155" i="9"/>
  <c r="F155" i="9"/>
  <c r="I155" i="9"/>
  <c r="E155" i="9"/>
  <c r="G155" i="9"/>
  <c r="K155" i="9"/>
  <c r="E180" i="9"/>
  <c r="G180" i="9"/>
  <c r="K35" i="9"/>
  <c r="E35" i="9"/>
  <c r="G35" i="9"/>
  <c r="I35" i="9"/>
  <c r="H35" i="9"/>
  <c r="F35" i="9"/>
  <c r="H215" i="9"/>
  <c r="K215" i="9"/>
  <c r="I215" i="9"/>
  <c r="I436" i="9"/>
  <c r="F436" i="9"/>
  <c r="H436" i="9"/>
  <c r="K436" i="9"/>
  <c r="E436" i="9"/>
  <c r="G436" i="9"/>
  <c r="H598" i="9"/>
  <c r="H288" i="9"/>
  <c r="E515" i="9"/>
  <c r="G515" i="9"/>
  <c r="K64" i="9"/>
  <c r="F515" i="9"/>
  <c r="E288" i="9"/>
  <c r="G288" i="9"/>
  <c r="K288" i="9"/>
  <c r="I475" i="9"/>
  <c r="E475" i="9"/>
  <c r="G475" i="9"/>
  <c r="K326" i="9"/>
  <c r="E244" i="9"/>
  <c r="G244" i="9"/>
  <c r="H576" i="9"/>
  <c r="F82" i="9"/>
  <c r="F65" i="9"/>
  <c r="H327" i="9"/>
  <c r="E65" i="9"/>
  <c r="G65" i="9"/>
  <c r="F244" i="9"/>
  <c r="H119" i="9"/>
  <c r="F53" i="9"/>
  <c r="E92" i="9"/>
  <c r="G92" i="9"/>
  <c r="I53" i="9"/>
  <c r="K85" i="9"/>
  <c r="K173" i="9"/>
  <c r="F405" i="9"/>
  <c r="I116" i="9"/>
  <c r="K104" i="9"/>
  <c r="K245" i="9"/>
  <c r="G385" i="9"/>
  <c r="F450" i="9"/>
  <c r="H236" i="9"/>
  <c r="H249" i="9"/>
  <c r="E251" i="9"/>
  <c r="G251" i="9"/>
  <c r="H116" i="9"/>
  <c r="J116" i="9"/>
  <c r="H104" i="9"/>
  <c r="K416" i="9"/>
  <c r="F245" i="9"/>
  <c r="K584" i="9"/>
  <c r="F236" i="9"/>
  <c r="G530" i="9"/>
  <c r="H180" i="9"/>
  <c r="J180" i="9"/>
  <c r="K192" i="9"/>
  <c r="E249" i="9"/>
  <c r="G249" i="9"/>
  <c r="F104" i="9"/>
  <c r="H584" i="9"/>
  <c r="K266" i="9"/>
  <c r="I191" i="9"/>
  <c r="K549" i="9"/>
  <c r="H251" i="9"/>
  <c r="F369" i="9"/>
  <c r="F584" i="9"/>
  <c r="E326" i="9"/>
  <c r="H266" i="9"/>
  <c r="J266" i="9"/>
  <c r="K191" i="9"/>
  <c r="I166" i="9"/>
  <c r="I251" i="9"/>
  <c r="F130" i="9"/>
  <c r="K180" i="9"/>
  <c r="H166" i="9"/>
  <c r="E236" i="9"/>
  <c r="G236" i="9"/>
  <c r="H192" i="9"/>
  <c r="I130" i="9"/>
  <c r="H491" i="9"/>
  <c r="F180" i="9"/>
  <c r="E166" i="9"/>
  <c r="G166" i="9"/>
  <c r="F192" i="9"/>
  <c r="H395" i="9"/>
  <c r="H369" i="9"/>
  <c r="I491" i="9"/>
  <c r="I326" i="9"/>
  <c r="I266" i="9"/>
  <c r="E191" i="9"/>
  <c r="G191" i="9"/>
  <c r="K229" i="9"/>
  <c r="H143" i="9"/>
  <c r="J143" i="9"/>
  <c r="H546" i="9"/>
  <c r="J546" i="9"/>
  <c r="E395" i="9"/>
  <c r="G395" i="9"/>
  <c r="K369" i="9"/>
  <c r="K491" i="9"/>
  <c r="F326" i="9"/>
  <c r="F229" i="9"/>
  <c r="H342" i="9"/>
  <c r="K170" i="9"/>
  <c r="K143" i="9"/>
  <c r="F546" i="9"/>
  <c r="F423" i="9"/>
  <c r="K172" i="9"/>
  <c r="I395" i="9"/>
  <c r="F105" i="9"/>
  <c r="E229" i="9"/>
  <c r="G229" i="9"/>
  <c r="I546" i="9"/>
  <c r="I423" i="9"/>
  <c r="H165" i="9"/>
  <c r="E196" i="9"/>
  <c r="G196" i="9"/>
  <c r="F170" i="9"/>
  <c r="F143" i="9"/>
  <c r="H172" i="9"/>
  <c r="J172" i="9"/>
  <c r="F342" i="9"/>
  <c r="F196" i="9"/>
  <c r="K409" i="9"/>
  <c r="I170" i="9"/>
  <c r="H423" i="9"/>
  <c r="F172" i="9"/>
  <c r="I167" i="9"/>
  <c r="F194" i="9"/>
  <c r="K165" i="9"/>
  <c r="E356" i="9"/>
  <c r="G356" i="9"/>
  <c r="E423" i="9"/>
  <c r="G423" i="9"/>
  <c r="K167" i="9"/>
  <c r="H356" i="9"/>
  <c r="I196" i="9"/>
  <c r="H170" i="9"/>
  <c r="I172" i="9"/>
  <c r="F165" i="9"/>
  <c r="H373" i="9"/>
  <c r="E342" i="9"/>
  <c r="G342" i="9"/>
  <c r="K196" i="9"/>
  <c r="F409" i="9"/>
  <c r="I305" i="9"/>
  <c r="K10" i="9"/>
  <c r="K450" i="9"/>
  <c r="F167" i="9"/>
  <c r="I194" i="9"/>
  <c r="E165" i="9"/>
  <c r="G165" i="9"/>
  <c r="H439" i="9"/>
  <c r="K356" i="9"/>
  <c r="E373" i="9"/>
  <c r="G373" i="9"/>
  <c r="I342" i="9"/>
  <c r="E409" i="9"/>
  <c r="G409" i="9"/>
  <c r="K194" i="9"/>
  <c r="I409" i="9"/>
  <c r="F305" i="9"/>
  <c r="H416" i="9"/>
  <c r="I10" i="9"/>
  <c r="I450" i="9"/>
  <c r="F461" i="9"/>
  <c r="H167" i="9"/>
  <c r="J167" i="9"/>
  <c r="I245" i="9"/>
  <c r="H194" i="9"/>
  <c r="J194" i="9"/>
  <c r="I439" i="9"/>
  <c r="F356" i="9"/>
  <c r="F373" i="9"/>
  <c r="G202" i="9"/>
  <c r="I598" i="9"/>
  <c r="K570" i="9"/>
  <c r="F265" i="9"/>
  <c r="F149" i="9"/>
  <c r="H386" i="9"/>
  <c r="K136" i="9"/>
  <c r="H126" i="9"/>
  <c r="J126" i="9"/>
  <c r="I358" i="9"/>
  <c r="H72" i="9"/>
  <c r="J72" i="9"/>
  <c r="I530" i="9"/>
  <c r="K598" i="9"/>
  <c r="K58" i="9"/>
  <c r="K265" i="9"/>
  <c r="F386" i="9"/>
  <c r="G10" i="9"/>
  <c r="F201" i="9"/>
  <c r="I244" i="9"/>
  <c r="H426" i="9"/>
  <c r="J426" i="9"/>
  <c r="E142" i="9"/>
  <c r="E228" i="9"/>
  <c r="G228" i="9"/>
  <c r="F480" i="9"/>
  <c r="E337" i="9"/>
  <c r="K555" i="9"/>
  <c r="G487" i="9"/>
  <c r="I239" i="9"/>
  <c r="H337" i="9"/>
  <c r="E555" i="9"/>
  <c r="G555" i="9"/>
  <c r="K268" i="9"/>
  <c r="E279" i="9"/>
  <c r="G279" i="9"/>
  <c r="G543" i="9"/>
  <c r="E222" i="9"/>
  <c r="I426" i="9"/>
  <c r="F142" i="9"/>
  <c r="I228" i="9"/>
  <c r="H480" i="9"/>
  <c r="I128" i="9"/>
  <c r="H26" i="9"/>
  <c r="H228" i="9"/>
  <c r="K239" i="9"/>
  <c r="F268" i="9"/>
  <c r="F279" i="9"/>
  <c r="E128" i="9"/>
  <c r="G128" i="9"/>
  <c r="E26" i="9"/>
  <c r="G26" i="9"/>
  <c r="F239" i="9"/>
  <c r="E37" i="9"/>
  <c r="G37" i="9"/>
  <c r="F555" i="9"/>
  <c r="H268" i="9"/>
  <c r="H222" i="9"/>
  <c r="K142" i="9"/>
  <c r="E480" i="9"/>
  <c r="G480" i="9"/>
  <c r="H128" i="9"/>
  <c r="F317" i="9"/>
  <c r="H296" i="9"/>
  <c r="I37" i="9"/>
  <c r="K73" i="9"/>
  <c r="E268" i="9"/>
  <c r="G268" i="9"/>
  <c r="F158" i="9"/>
  <c r="K222" i="9"/>
  <c r="I142" i="9"/>
  <c r="F128" i="9"/>
  <c r="I51" i="9"/>
  <c r="K317" i="9"/>
  <c r="I222" i="9"/>
  <c r="E161" i="9"/>
  <c r="G161" i="9"/>
  <c r="F214" i="9"/>
  <c r="E51" i="9"/>
  <c r="G51" i="9"/>
  <c r="I317" i="9"/>
  <c r="I353" i="9"/>
  <c r="H37" i="9"/>
  <c r="E73" i="9"/>
  <c r="G73" i="9"/>
  <c r="I508" i="9"/>
  <c r="K353" i="9"/>
  <c r="K37" i="9"/>
  <c r="F73" i="9"/>
  <c r="E203" i="9"/>
  <c r="G203" i="9"/>
  <c r="F508" i="9"/>
  <c r="I557" i="9"/>
  <c r="I214" i="9"/>
  <c r="F51" i="9"/>
  <c r="H317" i="9"/>
  <c r="K592" i="9"/>
  <c r="I367" i="9"/>
  <c r="F557" i="9"/>
  <c r="F433" i="9"/>
  <c r="E214" i="9"/>
  <c r="G214" i="9"/>
  <c r="K51" i="9"/>
  <c r="G394" i="9"/>
  <c r="E56" i="9"/>
  <c r="G56" i="9"/>
  <c r="E592" i="9"/>
  <c r="G592" i="9"/>
  <c r="G352" i="9"/>
  <c r="K508" i="9"/>
  <c r="K506" i="9"/>
  <c r="E353" i="9"/>
  <c r="G353" i="9"/>
  <c r="E367" i="9"/>
  <c r="G367" i="9"/>
  <c r="I73" i="9"/>
  <c r="I203" i="9"/>
  <c r="H508" i="9"/>
  <c r="H557" i="9"/>
  <c r="F136" i="9"/>
  <c r="K433" i="9"/>
  <c r="K214" i="9"/>
  <c r="I56" i="9"/>
  <c r="I592" i="9"/>
  <c r="F296" i="9"/>
  <c r="F353" i="9"/>
  <c r="F203" i="9"/>
  <c r="F511" i="9"/>
  <c r="H367" i="9"/>
  <c r="G583" i="9"/>
  <c r="E557" i="9"/>
  <c r="G557" i="9"/>
  <c r="G593" i="9"/>
  <c r="I136" i="9"/>
  <c r="I433" i="9"/>
  <c r="H358" i="9"/>
  <c r="J358" i="9"/>
  <c r="H56" i="9"/>
  <c r="F592" i="9"/>
  <c r="K367" i="9"/>
  <c r="E386" i="9"/>
  <c r="G386" i="9"/>
  <c r="K56" i="9"/>
  <c r="H136" i="9"/>
  <c r="F358" i="9"/>
  <c r="F572" i="9"/>
  <c r="H530" i="9"/>
  <c r="F351" i="9"/>
  <c r="E13" i="9"/>
  <c r="G13" i="9"/>
  <c r="K228" i="9"/>
  <c r="K112" i="9"/>
  <c r="I379" i="9"/>
  <c r="E334" i="9"/>
  <c r="G334" i="9"/>
  <c r="K313" i="9"/>
  <c r="G270" i="9"/>
  <c r="I541" i="9"/>
  <c r="I271" i="9"/>
  <c r="E318" i="9"/>
  <c r="G318" i="9"/>
  <c r="F459" i="9"/>
  <c r="K246" i="9"/>
  <c r="K13" i="9"/>
  <c r="I50" i="9"/>
  <c r="E506" i="9"/>
  <c r="G506" i="9"/>
  <c r="F226" i="9"/>
  <c r="F379" i="9"/>
  <c r="H334" i="9"/>
  <c r="I176" i="9"/>
  <c r="K452" i="9"/>
  <c r="I137" i="9"/>
  <c r="H226" i="9"/>
  <c r="H319" i="9"/>
  <c r="K290" i="9"/>
  <c r="I246" i="9"/>
  <c r="I197" i="9"/>
  <c r="E91" i="9"/>
  <c r="G91" i="9"/>
  <c r="G425" i="9"/>
  <c r="K176" i="9"/>
  <c r="F484" i="9"/>
  <c r="E452" i="9"/>
  <c r="G452" i="9"/>
  <c r="I79" i="9"/>
  <c r="F137" i="9"/>
  <c r="F530" i="9"/>
  <c r="I506" i="9"/>
  <c r="I319" i="9"/>
  <c r="E59" i="9"/>
  <c r="G59" i="9"/>
  <c r="E290" i="9"/>
  <c r="G290" i="9"/>
  <c r="F197" i="9"/>
  <c r="H329" i="9"/>
  <c r="J329" i="9"/>
  <c r="H354" i="9"/>
  <c r="K200" i="9"/>
  <c r="E176" i="9"/>
  <c r="G176" i="9"/>
  <c r="G194" i="9"/>
  <c r="I484" i="9"/>
  <c r="H452" i="9"/>
  <c r="E79" i="9"/>
  <c r="F248" i="9"/>
  <c r="K137" i="9"/>
  <c r="K530" i="9"/>
  <c r="I318" i="9"/>
  <c r="F319" i="9"/>
  <c r="F290" i="9"/>
  <c r="I259" i="9"/>
  <c r="K338" i="9"/>
  <c r="F22" i="9"/>
  <c r="K354" i="9"/>
  <c r="F200" i="9"/>
  <c r="I488" i="9"/>
  <c r="E364" i="9"/>
  <c r="G364" i="9"/>
  <c r="E553" i="9"/>
  <c r="G553" i="9"/>
  <c r="I248" i="9"/>
  <c r="F230" i="9"/>
  <c r="G70" i="9"/>
  <c r="F408" i="9"/>
  <c r="I567" i="9"/>
  <c r="F259" i="9"/>
  <c r="H338" i="9"/>
  <c r="F354" i="9"/>
  <c r="E200" i="9"/>
  <c r="G200" i="9"/>
  <c r="K488" i="9"/>
  <c r="E61" i="9"/>
  <c r="G61" i="9"/>
  <c r="F553" i="9"/>
  <c r="H248" i="9"/>
  <c r="J248" i="9"/>
  <c r="H230" i="9"/>
  <c r="J230" i="9"/>
  <c r="F318" i="9"/>
  <c r="F359" i="9"/>
  <c r="H542" i="9"/>
  <c r="F434" i="9"/>
  <c r="I193" i="9"/>
  <c r="E567" i="9"/>
  <c r="G567" i="9"/>
  <c r="H259" i="9"/>
  <c r="J259" i="9"/>
  <c r="F190" i="9"/>
  <c r="H178" i="9"/>
  <c r="E354" i="9"/>
  <c r="G354" i="9"/>
  <c r="F435" i="9"/>
  <c r="E488" i="9"/>
  <c r="G488" i="9"/>
  <c r="F61" i="9"/>
  <c r="K248" i="9"/>
  <c r="E390" i="9"/>
  <c r="G390" i="9"/>
  <c r="K430" i="9"/>
  <c r="F298" i="9"/>
  <c r="H61" i="9"/>
  <c r="K54" i="9"/>
  <c r="E177" i="9"/>
  <c r="J177" i="9"/>
  <c r="E542" i="9"/>
  <c r="G542" i="9"/>
  <c r="K190" i="9"/>
  <c r="H536" i="9"/>
  <c r="K177" i="9"/>
  <c r="I498" i="9"/>
  <c r="K359" i="9"/>
  <c r="F542" i="9"/>
  <c r="F193" i="9"/>
  <c r="K259" i="9"/>
  <c r="E89" i="9"/>
  <c r="G89" i="9"/>
  <c r="K298" i="9"/>
  <c r="E536" i="9"/>
  <c r="G536" i="9"/>
  <c r="F488" i="9"/>
  <c r="E453" i="9"/>
  <c r="G453" i="9"/>
  <c r="K61" i="9"/>
  <c r="K18" i="9"/>
  <c r="K391" i="9"/>
  <c r="F220" i="9"/>
  <c r="F225" i="9"/>
  <c r="E280" i="9"/>
  <c r="E359" i="9"/>
  <c r="G359" i="9"/>
  <c r="K435" i="9"/>
  <c r="I220" i="9"/>
  <c r="F498" i="9"/>
  <c r="H359" i="9"/>
  <c r="J359" i="9"/>
  <c r="K542" i="9"/>
  <c r="F89" i="9"/>
  <c r="I298" i="9"/>
  <c r="E124" i="9"/>
  <c r="G124" i="9"/>
  <c r="H400" i="9"/>
  <c r="J400" i="9"/>
  <c r="K536" i="9"/>
  <c r="I453" i="9"/>
  <c r="K594" i="9"/>
  <c r="H220" i="9"/>
  <c r="J220" i="9"/>
  <c r="K225" i="9"/>
  <c r="H280" i="9"/>
  <c r="H193" i="9"/>
  <c r="F430" i="9"/>
  <c r="F177" i="9"/>
  <c r="F485" i="9"/>
  <c r="E485" i="9"/>
  <c r="G485" i="9"/>
  <c r="E58" i="9"/>
  <c r="G58" i="9"/>
  <c r="K158" i="9"/>
  <c r="H124" i="9"/>
  <c r="I225" i="9"/>
  <c r="K337" i="9"/>
  <c r="E158" i="9"/>
  <c r="G158" i="9"/>
  <c r="E296" i="9"/>
  <c r="G296" i="9"/>
  <c r="G283" i="9"/>
  <c r="G38" i="9"/>
  <c r="F260" i="9"/>
  <c r="K512" i="9"/>
  <c r="H197" i="9"/>
  <c r="E54" i="9"/>
  <c r="G54" i="9"/>
  <c r="F213" i="9"/>
  <c r="G329" i="9"/>
  <c r="H567" i="9"/>
  <c r="J567" i="9"/>
  <c r="E193" i="9"/>
  <c r="G193" i="9"/>
  <c r="K197" i="9"/>
  <c r="I489" i="9"/>
  <c r="H408" i="9"/>
  <c r="J408" i="9"/>
  <c r="K375" i="9"/>
  <c r="F512" i="9"/>
  <c r="F324" i="9"/>
  <c r="I42" i="9"/>
  <c r="H21" i="9"/>
  <c r="E338" i="9"/>
  <c r="G338" i="9"/>
  <c r="E243" i="9"/>
  <c r="G243" i="9"/>
  <c r="H53" i="9"/>
  <c r="K346" i="9"/>
  <c r="I54" i="9"/>
  <c r="K6" i="9"/>
  <c r="H553" i="9"/>
  <c r="I213" i="9"/>
  <c r="F463" i="9"/>
  <c r="H42" i="9"/>
  <c r="J42" i="9"/>
  <c r="K21" i="9"/>
  <c r="K553" i="9"/>
  <c r="K428" i="9"/>
  <c r="K567" i="9"/>
  <c r="F489" i="9"/>
  <c r="K408" i="9"/>
  <c r="H375" i="9"/>
  <c r="E428" i="9"/>
  <c r="G428" i="9"/>
  <c r="F24" i="9"/>
  <c r="F189" i="9"/>
  <c r="E512" i="9"/>
  <c r="G512" i="9"/>
  <c r="E324" i="9"/>
  <c r="G324" i="9"/>
  <c r="E21" i="9"/>
  <c r="G21" i="9"/>
  <c r="K349" i="9"/>
  <c r="H264" i="9"/>
  <c r="E53" i="9"/>
  <c r="G53" i="9"/>
  <c r="H346" i="9"/>
  <c r="J346" i="9"/>
  <c r="E526" i="9"/>
  <c r="G526" i="9"/>
  <c r="F33" i="9"/>
  <c r="H54" i="9"/>
  <c r="E6" i="9"/>
  <c r="G6" i="9"/>
  <c r="E213" i="9"/>
  <c r="G213" i="9"/>
  <c r="G298" i="9"/>
  <c r="I463" i="9"/>
  <c r="H200" i="9"/>
  <c r="H218" i="9"/>
  <c r="F375" i="9"/>
  <c r="I428" i="9"/>
  <c r="K24" i="9"/>
  <c r="E189" i="9"/>
  <c r="G189" i="9"/>
  <c r="H324" i="9"/>
  <c r="I21" i="9"/>
  <c r="I312" i="9"/>
  <c r="H349" i="9"/>
  <c r="J349" i="9"/>
  <c r="I168" i="9"/>
  <c r="I346" i="9"/>
  <c r="F320" i="9"/>
  <c r="K445" i="9"/>
  <c r="F110" i="9"/>
  <c r="K300" i="9"/>
  <c r="H250" i="9"/>
  <c r="E17" i="9"/>
  <c r="G17" i="9"/>
  <c r="I512" i="9"/>
  <c r="E375" i="9"/>
  <c r="G375" i="9"/>
  <c r="I337" i="9"/>
  <c r="H428" i="9"/>
  <c r="E24" i="9"/>
  <c r="G24" i="9"/>
  <c r="F361" i="9"/>
  <c r="F312" i="9"/>
  <c r="H168" i="9"/>
  <c r="F52" i="9"/>
  <c r="E320" i="9"/>
  <c r="G320" i="9"/>
  <c r="F445" i="9"/>
  <c r="H110" i="9"/>
  <c r="J110" i="9"/>
  <c r="E300" i="9"/>
  <c r="G300" i="9"/>
  <c r="G317" i="9"/>
  <c r="I250" i="9"/>
  <c r="I514" i="9"/>
  <c r="E496" i="9"/>
  <c r="G496" i="9"/>
  <c r="K189" i="9"/>
  <c r="E301" i="9"/>
  <c r="G301" i="9"/>
  <c r="I349" i="9"/>
  <c r="E489" i="9"/>
  <c r="G489" i="9"/>
  <c r="G306" i="9"/>
  <c r="H24" i="9"/>
  <c r="I189" i="9"/>
  <c r="H301" i="9"/>
  <c r="K361" i="9"/>
  <c r="K311" i="9"/>
  <c r="E312" i="9"/>
  <c r="G312" i="9"/>
  <c r="I531" i="9"/>
  <c r="F349" i="9"/>
  <c r="K168" i="9"/>
  <c r="K320" i="9"/>
  <c r="E445" i="9"/>
  <c r="G445" i="9"/>
  <c r="K110" i="9"/>
  <c r="F300" i="9"/>
  <c r="F558" i="9"/>
  <c r="I490" i="9"/>
  <c r="E94" i="9"/>
  <c r="G94" i="9"/>
  <c r="I105" i="9"/>
  <c r="H514" i="9"/>
  <c r="J514" i="9"/>
  <c r="F207" i="9"/>
  <c r="E516" i="9"/>
  <c r="G516" i="9"/>
  <c r="I338" i="9"/>
  <c r="E484" i="9"/>
  <c r="G484" i="9"/>
  <c r="F346" i="9"/>
  <c r="K489" i="9"/>
  <c r="F483" i="9"/>
  <c r="E361" i="9"/>
  <c r="G361" i="9"/>
  <c r="H556" i="9"/>
  <c r="J556" i="9"/>
  <c r="E531" i="9"/>
  <c r="G531" i="9"/>
  <c r="H46" i="9"/>
  <c r="J46" i="9"/>
  <c r="E168" i="9"/>
  <c r="G168" i="9"/>
  <c r="E437" i="9"/>
  <c r="G437" i="9"/>
  <c r="H320" i="9"/>
  <c r="I110" i="9"/>
  <c r="H300" i="9"/>
  <c r="E558" i="9"/>
  <c r="G558" i="9"/>
  <c r="K490" i="9"/>
  <c r="H284" i="9"/>
  <c r="H231" i="9"/>
  <c r="H105" i="9"/>
  <c r="K514" i="9"/>
  <c r="H207" i="9"/>
  <c r="G492" i="9"/>
  <c r="K324" i="9"/>
  <c r="E483" i="9"/>
  <c r="G483" i="9"/>
  <c r="E247" i="9"/>
  <c r="G247" i="9"/>
  <c r="K182" i="9"/>
  <c r="E8" i="9"/>
  <c r="G8" i="9"/>
  <c r="I389" i="9"/>
  <c r="H202" i="9"/>
  <c r="J202" i="9"/>
  <c r="I361" i="9"/>
  <c r="I556" i="9"/>
  <c r="E501" i="9"/>
  <c r="G501" i="9"/>
  <c r="F531" i="9"/>
  <c r="K46" i="9"/>
  <c r="K43" i="9"/>
  <c r="I558" i="9"/>
  <c r="H490" i="9"/>
  <c r="E284" i="9"/>
  <c r="G284" i="9"/>
  <c r="K473" i="9"/>
  <c r="F514" i="9"/>
  <c r="G148" i="9"/>
  <c r="H260" i="9"/>
  <c r="H38" i="9"/>
  <c r="J38" i="9"/>
  <c r="I408" i="9"/>
  <c r="H484" i="9"/>
  <c r="H459" i="9"/>
  <c r="J459" i="9"/>
  <c r="F8" i="9"/>
  <c r="K389" i="9"/>
  <c r="K520" i="9"/>
  <c r="H497" i="9"/>
  <c r="F501" i="9"/>
  <c r="G162" i="9"/>
  <c r="I46" i="9"/>
  <c r="F364" i="9"/>
  <c r="F594" i="9"/>
  <c r="F20" i="9"/>
  <c r="E82" i="9"/>
  <c r="G82" i="9"/>
  <c r="K558" i="9"/>
  <c r="E490" i="9"/>
  <c r="G490" i="9"/>
  <c r="F284" i="9"/>
  <c r="F473" i="9"/>
  <c r="E333" i="9"/>
  <c r="G333" i="9"/>
  <c r="I182" i="9"/>
  <c r="K483" i="9"/>
  <c r="H247" i="9"/>
  <c r="E182" i="9"/>
  <c r="G182" i="9"/>
  <c r="H483" i="9"/>
  <c r="F247" i="9"/>
  <c r="F182" i="9"/>
  <c r="I459" i="9"/>
  <c r="I8" i="9"/>
  <c r="E389" i="9"/>
  <c r="G389" i="9"/>
  <c r="I190" i="9"/>
  <c r="E520" i="9"/>
  <c r="G520" i="9"/>
  <c r="K262" i="9"/>
  <c r="I497" i="9"/>
  <c r="I501" i="9"/>
  <c r="G374" i="9"/>
  <c r="E435" i="9"/>
  <c r="G435" i="9"/>
  <c r="F283" i="9"/>
  <c r="K364" i="9"/>
  <c r="E594" i="9"/>
  <c r="G594" i="9"/>
  <c r="I82" i="9"/>
  <c r="I284" i="9"/>
  <c r="I473" i="9"/>
  <c r="K230" i="9"/>
  <c r="K333" i="9"/>
  <c r="G151" i="9"/>
  <c r="H318" i="9"/>
  <c r="J318" i="9"/>
  <c r="I247" i="9"/>
  <c r="I447" i="9"/>
  <c r="K459" i="9"/>
  <c r="H8" i="9"/>
  <c r="H389" i="9"/>
  <c r="H190" i="9"/>
  <c r="J190" i="9"/>
  <c r="H158" i="9"/>
  <c r="K88" i="9"/>
  <c r="I536" i="9"/>
  <c r="F383" i="9"/>
  <c r="I435" i="9"/>
  <c r="K283" i="9"/>
  <c r="H364" i="9"/>
  <c r="H594" i="9"/>
  <c r="K82" i="9"/>
  <c r="I296" i="9"/>
  <c r="E473" i="9"/>
  <c r="G473" i="9"/>
  <c r="I230" i="9"/>
  <c r="I333" i="9"/>
  <c r="G25" i="9"/>
  <c r="G586" i="9"/>
  <c r="H516" i="9"/>
  <c r="H163" i="9"/>
  <c r="H85" i="9"/>
  <c r="J85" i="9"/>
  <c r="E119" i="9"/>
  <c r="G119" i="9"/>
  <c r="H463" i="9"/>
  <c r="G136" i="9"/>
  <c r="G491" i="9"/>
  <c r="F333" i="9"/>
  <c r="G47" i="9"/>
  <c r="K25" i="9"/>
  <c r="K600" i="9"/>
  <c r="I529" i="9"/>
  <c r="E444" i="9"/>
  <c r="G444" i="9"/>
  <c r="F59" i="9"/>
  <c r="F478" i="9"/>
  <c r="H600" i="9"/>
  <c r="J600" i="9"/>
  <c r="E144" i="9"/>
  <c r="G144" i="9"/>
  <c r="H494" i="9"/>
  <c r="J494" i="9"/>
  <c r="I202" i="9"/>
  <c r="G153" i="9"/>
  <c r="K501" i="9"/>
  <c r="F506" i="9"/>
  <c r="K42" i="9"/>
  <c r="G275" i="9"/>
  <c r="K518" i="9"/>
  <c r="K75" i="9"/>
  <c r="E11" i="9"/>
  <c r="G11" i="9"/>
  <c r="F46" i="9"/>
  <c r="F264" i="9"/>
  <c r="E260" i="9"/>
  <c r="G260" i="9"/>
  <c r="H283" i="9"/>
  <c r="J283" i="9"/>
  <c r="H445" i="9"/>
  <c r="E39" i="9"/>
  <c r="G39" i="9"/>
  <c r="I18" i="9"/>
  <c r="I6" i="9"/>
  <c r="K121" i="9"/>
  <c r="E181" i="9"/>
  <c r="G181" i="9"/>
  <c r="F81" i="9"/>
  <c r="K220" i="9"/>
  <c r="I347" i="9"/>
  <c r="I38" i="9"/>
  <c r="I174" i="9"/>
  <c r="F414" i="9"/>
  <c r="F366" i="9"/>
  <c r="I560" i="9"/>
  <c r="E434" i="9"/>
  <c r="G434" i="9"/>
  <c r="I494" i="9"/>
  <c r="I162" i="9"/>
  <c r="E264" i="9"/>
  <c r="G264" i="9"/>
  <c r="E163" i="9"/>
  <c r="G163" i="9"/>
  <c r="G569" i="9"/>
  <c r="H351" i="9"/>
  <c r="J351" i="9"/>
  <c r="E169" i="9"/>
  <c r="G169" i="9"/>
  <c r="H434" i="9"/>
  <c r="H579" i="9"/>
  <c r="E50" i="9"/>
  <c r="G50" i="9"/>
  <c r="K529" i="9"/>
  <c r="K163" i="9"/>
  <c r="K59" i="9"/>
  <c r="K478" i="9"/>
  <c r="I169" i="9"/>
  <c r="K434" i="9"/>
  <c r="H289" i="9"/>
  <c r="K144" i="9"/>
  <c r="K494" i="9"/>
  <c r="I329" i="9"/>
  <c r="E579" i="9"/>
  <c r="G579" i="9"/>
  <c r="H50" i="9"/>
  <c r="F529" i="9"/>
  <c r="K202" i="9"/>
  <c r="F42" i="9"/>
  <c r="H454" i="9"/>
  <c r="H11" i="9"/>
  <c r="I178" i="9"/>
  <c r="K264" i="9"/>
  <c r="K12" i="9"/>
  <c r="F161" i="9"/>
  <c r="K260" i="9"/>
  <c r="I283" i="9"/>
  <c r="G517" i="9"/>
  <c r="K108" i="9"/>
  <c r="F39" i="9"/>
  <c r="H6" i="9"/>
  <c r="K392" i="9"/>
  <c r="H577" i="9"/>
  <c r="H241" i="9"/>
  <c r="J241" i="9"/>
  <c r="K81" i="9"/>
  <c r="E347" i="9"/>
  <c r="G347" i="9"/>
  <c r="E105" i="9"/>
  <c r="G105" i="9"/>
  <c r="K38" i="9"/>
  <c r="H244" i="9"/>
  <c r="J244" i="9"/>
  <c r="E127" i="9"/>
  <c r="G127" i="9"/>
  <c r="E366" i="9"/>
  <c r="G366" i="9"/>
  <c r="H560" i="9"/>
  <c r="F106" i="9"/>
  <c r="F169" i="9"/>
  <c r="K47" i="9"/>
  <c r="K181" i="9"/>
  <c r="F156" i="9"/>
  <c r="F215" i="9"/>
  <c r="I75" i="9"/>
  <c r="F202" i="9"/>
  <c r="K585" i="9"/>
  <c r="H529" i="9"/>
  <c r="K291" i="9"/>
  <c r="H81" i="9"/>
  <c r="F127" i="9"/>
  <c r="I366" i="9"/>
  <c r="I23" i="9"/>
  <c r="K294" i="9"/>
  <c r="I454" i="9"/>
  <c r="H88" i="9"/>
  <c r="H547" i="9"/>
  <c r="G574" i="9"/>
  <c r="F11" i="9"/>
  <c r="H12" i="9"/>
  <c r="J12" i="9"/>
  <c r="E67" i="9"/>
  <c r="G67" i="9"/>
  <c r="F205" i="9"/>
  <c r="F132" i="9"/>
  <c r="I118" i="9"/>
  <c r="I55" i="9"/>
  <c r="H108" i="9"/>
  <c r="I39" i="9"/>
  <c r="E392" i="9"/>
  <c r="G392" i="9"/>
  <c r="K577" i="9"/>
  <c r="I241" i="9"/>
  <c r="G164" i="9"/>
  <c r="H363" i="9"/>
  <c r="K421" i="9"/>
  <c r="H127" i="9"/>
  <c r="K366" i="9"/>
  <c r="G106" i="9"/>
  <c r="K444" i="9"/>
  <c r="H219" i="9"/>
  <c r="E454" i="9"/>
  <c r="G454" i="9"/>
  <c r="E322" i="9"/>
  <c r="G322" i="9"/>
  <c r="E478" i="9"/>
  <c r="G478" i="9"/>
  <c r="F100" i="9"/>
  <c r="E235" i="9"/>
  <c r="G235" i="9"/>
  <c r="I294" i="9"/>
  <c r="F454" i="9"/>
  <c r="E88" i="9"/>
  <c r="G88" i="9"/>
  <c r="E547" i="9"/>
  <c r="G547" i="9"/>
  <c r="I12" i="9"/>
  <c r="I67" i="9"/>
  <c r="F392" i="9"/>
  <c r="F577" i="9"/>
  <c r="E363" i="9"/>
  <c r="G363" i="9"/>
  <c r="K127" i="9"/>
  <c r="G459" i="9"/>
  <c r="E585" i="9"/>
  <c r="G585" i="9"/>
  <c r="E518" i="9"/>
  <c r="G518" i="9"/>
  <c r="E81" i="9"/>
  <c r="G81" i="9"/>
  <c r="F347" i="9"/>
  <c r="E289" i="9"/>
  <c r="G289" i="9"/>
  <c r="F108" i="9"/>
  <c r="H39" i="9"/>
  <c r="H478" i="9"/>
  <c r="F304" i="9"/>
  <c r="E267" i="9"/>
  <c r="G267" i="9"/>
  <c r="F494" i="9"/>
  <c r="F579" i="9"/>
  <c r="K50" i="9"/>
  <c r="I59" i="9"/>
  <c r="K23" i="9"/>
  <c r="I132" i="9"/>
  <c r="I431" i="9"/>
  <c r="H55" i="9"/>
  <c r="J55" i="9"/>
  <c r="E108" i="9"/>
  <c r="G108" i="9"/>
  <c r="K241" i="9"/>
  <c r="E421" i="9"/>
  <c r="G421" i="9"/>
  <c r="G280" i="9"/>
  <c r="I559" i="9"/>
  <c r="F322" i="9"/>
  <c r="F219" i="9"/>
  <c r="E86" i="9"/>
  <c r="G86" i="9"/>
  <c r="E503" i="9"/>
  <c r="G503" i="9"/>
  <c r="E23" i="9"/>
  <c r="G23" i="9"/>
  <c r="E304" i="9"/>
  <c r="G304" i="9"/>
  <c r="F289" i="9"/>
  <c r="I267" i="9"/>
  <c r="F329" i="9"/>
  <c r="E206" i="9"/>
  <c r="G206" i="9"/>
  <c r="F235" i="9"/>
  <c r="F272" i="9"/>
  <c r="K87" i="9"/>
  <c r="F208" i="9"/>
  <c r="E294" i="9"/>
  <c r="G294" i="9"/>
  <c r="I88" i="9"/>
  <c r="F547" i="9"/>
  <c r="F12" i="9"/>
  <c r="F67" i="9"/>
  <c r="E205" i="9"/>
  <c r="G205" i="9"/>
  <c r="K132" i="9"/>
  <c r="K431" i="9"/>
  <c r="F273" i="9"/>
  <c r="K55" i="9"/>
  <c r="I392" i="9"/>
  <c r="E577" i="9"/>
  <c r="G577" i="9"/>
  <c r="K213" i="9"/>
  <c r="F363" i="9"/>
  <c r="I455" i="9"/>
  <c r="H421" i="9"/>
  <c r="K554" i="9"/>
  <c r="G580" i="9"/>
  <c r="K11" i="9"/>
  <c r="H121" i="9"/>
  <c r="J121" i="9"/>
  <c r="I144" i="9"/>
  <c r="H132" i="9"/>
  <c r="J132" i="9"/>
  <c r="G337" i="9"/>
  <c r="G160" i="9"/>
  <c r="H322" i="9"/>
  <c r="K503" i="9"/>
  <c r="F23" i="9"/>
  <c r="K304" i="9"/>
  <c r="G564" i="9"/>
  <c r="I235" i="9"/>
  <c r="H272" i="9"/>
  <c r="F87" i="9"/>
  <c r="H114" i="9"/>
  <c r="H28" i="9"/>
  <c r="E355" i="9"/>
  <c r="G355" i="9"/>
  <c r="H208" i="9"/>
  <c r="F294" i="9"/>
  <c r="K547" i="9"/>
  <c r="I14" i="9"/>
  <c r="H67" i="9"/>
  <c r="K205" i="9"/>
  <c r="F431" i="9"/>
  <c r="I273" i="9"/>
  <c r="F55" i="9"/>
  <c r="K363" i="9"/>
  <c r="H455" i="9"/>
  <c r="F421" i="9"/>
  <c r="F38" i="9"/>
  <c r="I163" i="9"/>
  <c r="E219" i="9"/>
  <c r="G219" i="9"/>
  <c r="I289" i="9"/>
  <c r="K329" i="9"/>
  <c r="I219" i="9"/>
  <c r="H304" i="9"/>
  <c r="K267" i="9"/>
  <c r="K186" i="9"/>
  <c r="F411" i="9"/>
  <c r="I205" i="9"/>
  <c r="K357" i="9"/>
  <c r="K86" i="9"/>
  <c r="K210" i="9"/>
  <c r="F357" i="9"/>
  <c r="F496" i="9"/>
  <c r="H86" i="9"/>
  <c r="I503" i="9"/>
  <c r="E447" i="9"/>
  <c r="G447" i="9"/>
  <c r="H87" i="9"/>
  <c r="J87" i="9"/>
  <c r="F114" i="9"/>
  <c r="F91" i="9"/>
  <c r="E28" i="9"/>
  <c r="G28" i="9"/>
  <c r="H298" i="9"/>
  <c r="J298" i="9"/>
  <c r="K355" i="9"/>
  <c r="E208" i="9"/>
  <c r="G208" i="9"/>
  <c r="G142" i="9"/>
  <c r="F14" i="9"/>
  <c r="E451" i="9"/>
  <c r="G451" i="9"/>
  <c r="H431" i="9"/>
  <c r="J431" i="9"/>
  <c r="H273" i="9"/>
  <c r="J273" i="9"/>
  <c r="I33" i="9"/>
  <c r="G258" i="9"/>
  <c r="E455" i="9"/>
  <c r="G455" i="9"/>
  <c r="E174" i="9"/>
  <c r="G174" i="9"/>
  <c r="H414" i="9"/>
  <c r="J414" i="9"/>
  <c r="H267" i="9"/>
  <c r="K322" i="9"/>
  <c r="G388" i="9"/>
  <c r="K496" i="9"/>
  <c r="K447" i="9"/>
  <c r="E497" i="9"/>
  <c r="G497" i="9"/>
  <c r="I355" i="9"/>
  <c r="K208" i="9"/>
  <c r="F516" i="9"/>
  <c r="E14" i="9"/>
  <c r="G14" i="9"/>
  <c r="H345" i="9"/>
  <c r="G140" i="9"/>
  <c r="K273" i="9"/>
  <c r="K33" i="9"/>
  <c r="F394" i="9"/>
  <c r="G404" i="9"/>
  <c r="K250" i="9"/>
  <c r="G266" i="9"/>
  <c r="F455" i="9"/>
  <c r="I390" i="9"/>
  <c r="K235" i="9"/>
  <c r="H210" i="9"/>
  <c r="H357" i="9"/>
  <c r="J357" i="9"/>
  <c r="H457" i="9"/>
  <c r="J457" i="9"/>
  <c r="I86" i="9"/>
  <c r="F503" i="9"/>
  <c r="G145" i="9"/>
  <c r="F301" i="9"/>
  <c r="I87" i="9"/>
  <c r="I114" i="9"/>
  <c r="K91" i="9"/>
  <c r="I357" i="9"/>
  <c r="H496" i="9"/>
  <c r="K485" i="9"/>
  <c r="F447" i="9"/>
  <c r="K301" i="9"/>
  <c r="K114" i="9"/>
  <c r="I91" i="9"/>
  <c r="F497" i="9"/>
  <c r="F355" i="9"/>
  <c r="I516" i="9"/>
  <c r="K531" i="9"/>
  <c r="H14" i="9"/>
  <c r="H286" i="9"/>
  <c r="E345" i="9"/>
  <c r="G345" i="9"/>
  <c r="H33" i="9"/>
  <c r="J33" i="9"/>
  <c r="H394" i="9"/>
  <c r="J394" i="9"/>
  <c r="F250" i="9"/>
  <c r="G326" i="9"/>
  <c r="K390" i="9"/>
  <c r="H515" i="9"/>
  <c r="J515" i="9"/>
  <c r="F25" i="9"/>
  <c r="I579" i="9"/>
  <c r="F241" i="9"/>
  <c r="H498" i="9"/>
  <c r="J498" i="9"/>
  <c r="I485" i="9"/>
  <c r="G382" i="9"/>
  <c r="G172" i="9"/>
  <c r="E383" i="9"/>
  <c r="G383" i="9"/>
  <c r="G573" i="9"/>
  <c r="H225" i="9"/>
  <c r="J225" i="9"/>
  <c r="H390" i="9"/>
  <c r="K515" i="9"/>
  <c r="I25" i="9"/>
  <c r="G399" i="9"/>
  <c r="I418" i="9"/>
  <c r="E418" i="9"/>
  <c r="G418" i="9"/>
  <c r="H418" i="9"/>
  <c r="K418" i="9"/>
  <c r="F418" i="9"/>
  <c r="K441" i="9"/>
  <c r="F441" i="9"/>
  <c r="I441" i="9"/>
  <c r="H441" i="9"/>
  <c r="H544" i="9"/>
  <c r="J544" i="9"/>
  <c r="K544" i="9"/>
  <c r="H233" i="9"/>
  <c r="K233" i="9"/>
  <c r="E233" i="9"/>
  <c r="G233" i="9"/>
  <c r="I233" i="9"/>
  <c r="E381" i="9"/>
  <c r="G381" i="9"/>
  <c r="K381" i="9"/>
  <c r="I381" i="9"/>
  <c r="F381" i="9"/>
  <c r="H381" i="9"/>
  <c r="I308" i="9"/>
  <c r="H308" i="9"/>
  <c r="E308" i="9"/>
  <c r="G308" i="9"/>
  <c r="K308" i="9"/>
  <c r="F308" i="9"/>
  <c r="E566" i="9"/>
  <c r="G566" i="9"/>
  <c r="I566" i="9"/>
  <c r="K438" i="9"/>
  <c r="F438" i="9"/>
  <c r="E438" i="9"/>
  <c r="G438" i="9"/>
  <c r="I438" i="9"/>
  <c r="H438" i="9"/>
  <c r="F310" i="9"/>
  <c r="H310" i="9"/>
  <c r="K310" i="9"/>
  <c r="I310" i="9"/>
  <c r="E310" i="9"/>
  <c r="G310" i="9"/>
  <c r="H330" i="9"/>
  <c r="F330" i="9"/>
  <c r="E330" i="9"/>
  <c r="G330" i="9"/>
  <c r="K330" i="9"/>
  <c r="I330" i="9"/>
  <c r="F462" i="9"/>
  <c r="E462" i="9"/>
  <c r="G462" i="9"/>
  <c r="H462" i="9"/>
  <c r="K462" i="9"/>
  <c r="K424" i="9"/>
  <c r="E424" i="9"/>
  <c r="G424" i="9"/>
  <c r="I66" i="9"/>
  <c r="F66" i="9"/>
  <c r="K442" i="9"/>
  <c r="I442" i="9"/>
  <c r="F442" i="9"/>
  <c r="I362" i="9"/>
  <c r="K362" i="9"/>
  <c r="F362" i="9"/>
  <c r="H362" i="9"/>
  <c r="I242" i="9"/>
  <c r="K242" i="9"/>
  <c r="E242" i="9"/>
  <c r="G242" i="9"/>
  <c r="H242" i="9"/>
  <c r="F242" i="9"/>
  <c r="H519" i="9"/>
  <c r="E519" i="9"/>
  <c r="G519" i="9"/>
  <c r="I519" i="9"/>
  <c r="K519" i="9"/>
  <c r="E103" i="9"/>
  <c r="G103" i="9"/>
  <c r="F103" i="9"/>
  <c r="K139" i="9"/>
  <c r="E139" i="9"/>
  <c r="G139" i="9"/>
  <c r="H139" i="9"/>
  <c r="F139" i="9"/>
  <c r="I157" i="9"/>
  <c r="F157" i="9"/>
  <c r="E157" i="9"/>
  <c r="G157" i="9"/>
  <c r="K561" i="9"/>
  <c r="H561" i="9"/>
  <c r="F561" i="9"/>
  <c r="E403" i="9"/>
  <c r="G403" i="9"/>
  <c r="F403" i="9"/>
  <c r="F295" i="9"/>
  <c r="H295" i="9"/>
  <c r="K295" i="9"/>
  <c r="I295" i="9"/>
  <c r="H323" i="9"/>
  <c r="K323" i="9"/>
  <c r="I323" i="9"/>
  <c r="H69" i="9"/>
  <c r="E69" i="9"/>
  <c r="G69" i="9"/>
  <c r="F69" i="9"/>
  <c r="K69" i="9"/>
  <c r="I69" i="9"/>
  <c r="F147" i="9"/>
  <c r="H147" i="9"/>
  <c r="K147" i="9"/>
  <c r="E147" i="9"/>
  <c r="G147" i="9"/>
  <c r="H495" i="9"/>
  <c r="F495" i="9"/>
  <c r="I495" i="9"/>
  <c r="E440" i="9"/>
  <c r="G440" i="9"/>
  <c r="F440" i="9"/>
  <c r="I440" i="9"/>
  <c r="H500" i="9"/>
  <c r="F500" i="9"/>
  <c r="E500" i="9"/>
  <c r="G500" i="9"/>
  <c r="I500" i="9"/>
  <c r="K500" i="9"/>
  <c r="H464" i="9"/>
  <c r="K464" i="9"/>
  <c r="F464" i="9"/>
  <c r="I464" i="9"/>
  <c r="E464" i="9"/>
  <c r="G464" i="9"/>
  <c r="I471" i="9"/>
  <c r="H471" i="9"/>
  <c r="J471" i="9"/>
  <c r="E360" i="9"/>
  <c r="G360" i="9"/>
  <c r="F360" i="9"/>
  <c r="K360" i="9"/>
  <c r="I360" i="9"/>
  <c r="H360" i="9"/>
  <c r="K303" i="9"/>
  <c r="F303" i="9"/>
  <c r="E380" i="9"/>
  <c r="G380" i="9"/>
  <c r="H380" i="9"/>
  <c r="F380" i="9"/>
  <c r="I380" i="9"/>
  <c r="K380" i="9"/>
  <c r="K343" i="9"/>
  <c r="I343" i="9"/>
  <c r="H343" i="9"/>
  <c r="K393" i="9"/>
  <c r="E393" i="9"/>
  <c r="G393" i="9"/>
  <c r="I393" i="9"/>
  <c r="F393" i="9"/>
  <c r="H393" i="9"/>
  <c r="K575" i="9"/>
  <c r="H575" i="9"/>
  <c r="E575" i="9"/>
  <c r="G575" i="9"/>
  <c r="F575" i="9"/>
  <c r="I575" i="9"/>
  <c r="K534" i="9"/>
  <c r="F534" i="9"/>
  <c r="I534" i="9"/>
  <c r="H528" i="9"/>
  <c r="K528" i="9"/>
  <c r="I528" i="9"/>
  <c r="F528" i="9"/>
  <c r="H344" i="9"/>
  <c r="F344" i="9"/>
  <c r="I344" i="9"/>
  <c r="F141" i="9"/>
  <c r="I141" i="9"/>
  <c r="K141" i="9"/>
  <c r="E141" i="9"/>
  <c r="G141" i="9"/>
  <c r="H141" i="9"/>
  <c r="J141" i="9"/>
  <c r="K545" i="9"/>
  <c r="E545" i="9"/>
  <c r="G545" i="9"/>
  <c r="H227" i="9"/>
  <c r="J227" i="9"/>
  <c r="I509" i="9"/>
  <c r="K509" i="9"/>
  <c r="F509" i="9"/>
  <c r="H509" i="9"/>
  <c r="E509" i="9"/>
  <c r="G509" i="9"/>
  <c r="I413" i="9"/>
  <c r="H413" i="9"/>
  <c r="F413" i="9"/>
  <c r="E413" i="9"/>
  <c r="G413" i="9"/>
  <c r="K331" i="9"/>
  <c r="H378" i="9"/>
  <c r="F378" i="9"/>
  <c r="K378" i="9"/>
  <c r="E378" i="9"/>
  <c r="G378" i="9"/>
  <c r="I7" i="9"/>
  <c r="E7" i="9"/>
  <c r="G7" i="9"/>
  <c r="K7" i="9"/>
  <c r="F7" i="9"/>
  <c r="H7" i="9"/>
  <c r="K171" i="9"/>
  <c r="I171" i="9"/>
  <c r="H402" i="9"/>
  <c r="F402" i="9"/>
  <c r="I402" i="9"/>
  <c r="E402" i="9"/>
  <c r="G402" i="9"/>
  <c r="H551" i="9"/>
  <c r="I551" i="9"/>
  <c r="H527" i="9"/>
  <c r="E527" i="9"/>
  <c r="G527" i="9"/>
  <c r="K527" i="9"/>
  <c r="I527" i="9"/>
  <c r="F527" i="9"/>
  <c r="I156" i="9"/>
  <c r="E560" i="9"/>
  <c r="G560" i="9"/>
  <c r="I399" i="9"/>
  <c r="H133" i="9"/>
  <c r="I403" i="9"/>
  <c r="F566" i="9"/>
  <c r="F209" i="9"/>
  <c r="I209" i="9"/>
  <c r="K209" i="9"/>
  <c r="H209" i="9"/>
  <c r="F340" i="9"/>
  <c r="H340" i="9"/>
  <c r="E340" i="9"/>
  <c r="G340" i="9"/>
  <c r="K340" i="9"/>
  <c r="I340" i="9"/>
  <c r="H384" i="9"/>
  <c r="K384" i="9"/>
  <c r="F384" i="9"/>
  <c r="E384" i="9"/>
  <c r="G384" i="9"/>
  <c r="F109" i="9"/>
  <c r="K109" i="9"/>
  <c r="E350" i="9"/>
  <c r="G350" i="9"/>
  <c r="F350" i="9"/>
  <c r="H350" i="9"/>
  <c r="K350" i="9"/>
  <c r="I481" i="9"/>
  <c r="E481" i="9"/>
  <c r="G481" i="9"/>
  <c r="H481" i="9"/>
  <c r="K481" i="9"/>
  <c r="F481" i="9"/>
  <c r="H74" i="9"/>
  <c r="E74" i="9"/>
  <c r="G74" i="9"/>
  <c r="K74" i="9"/>
  <c r="E269" i="9"/>
  <c r="G269" i="9"/>
  <c r="F269" i="9"/>
  <c r="F29" i="9"/>
  <c r="E29" i="9"/>
  <c r="G29" i="9"/>
  <c r="H29" i="9"/>
  <c r="I29" i="9"/>
  <c r="K29" i="9"/>
  <c r="I468" i="9"/>
  <c r="H179" i="9"/>
  <c r="F179" i="9"/>
  <c r="E179" i="9"/>
  <c r="G179" i="9"/>
  <c r="I179" i="9"/>
  <c r="E417" i="9"/>
  <c r="G417" i="9"/>
  <c r="F417" i="9"/>
  <c r="E397" i="9"/>
  <c r="G397" i="9"/>
  <c r="F397" i="9"/>
  <c r="H475" i="9"/>
  <c r="J475" i="9"/>
  <c r="E339" i="9"/>
  <c r="G339" i="9"/>
  <c r="F339" i="9"/>
  <c r="H339" i="9"/>
  <c r="E401" i="9"/>
  <c r="G401" i="9"/>
  <c r="F401" i="9"/>
  <c r="H401" i="9"/>
  <c r="K401" i="9"/>
  <c r="I460" i="9"/>
  <c r="H460" i="9"/>
  <c r="F460" i="9"/>
  <c r="E460" i="9"/>
  <c r="G460" i="9"/>
  <c r="K460" i="9"/>
  <c r="F475" i="9"/>
  <c r="E528" i="9"/>
  <c r="G528" i="9"/>
  <c r="F560" i="9"/>
  <c r="I462" i="9"/>
  <c r="F45" i="9"/>
  <c r="I45" i="9"/>
  <c r="E45" i="9"/>
  <c r="G45" i="9"/>
  <c r="I568" i="9"/>
  <c r="F568" i="9"/>
  <c r="E568" i="9"/>
  <c r="G568" i="9"/>
  <c r="K568" i="9"/>
  <c r="H568" i="9"/>
  <c r="F27" i="9"/>
  <c r="K27" i="9"/>
  <c r="H27" i="9"/>
  <c r="I27" i="9"/>
  <c r="E27" i="9"/>
  <c r="G27" i="9"/>
  <c r="K96" i="9"/>
  <c r="H96" i="9"/>
  <c r="I96" i="9"/>
  <c r="E96" i="9"/>
  <c r="G96" i="9"/>
  <c r="K510" i="9"/>
  <c r="H510" i="9"/>
  <c r="E510" i="9"/>
  <c r="G510" i="9"/>
  <c r="I335" i="9"/>
  <c r="E335" i="9"/>
  <c r="G335" i="9"/>
  <c r="F335" i="9"/>
  <c r="K335" i="9"/>
  <c r="F83" i="9"/>
  <c r="H83" i="9"/>
  <c r="K83" i="9"/>
  <c r="E83" i="9"/>
  <c r="G83" i="9"/>
  <c r="H99" i="9"/>
  <c r="I99" i="9"/>
  <c r="E99" i="9"/>
  <c r="G99" i="9"/>
  <c r="E535" i="9"/>
  <c r="G535" i="9"/>
  <c r="E20" i="9"/>
  <c r="G20" i="9"/>
  <c r="I470" i="9"/>
  <c r="I255" i="9"/>
  <c r="F216" i="9"/>
  <c r="K216" i="9"/>
  <c r="H216" i="9"/>
  <c r="H64" i="9"/>
  <c r="E64" i="9"/>
  <c r="G64" i="9"/>
  <c r="E331" i="9"/>
  <c r="G331" i="9"/>
  <c r="E420" i="9"/>
  <c r="G420" i="9"/>
  <c r="I269" i="9"/>
  <c r="E443" i="9"/>
  <c r="G443" i="9"/>
  <c r="F399" i="9"/>
  <c r="K99" i="9"/>
  <c r="H424" i="9"/>
  <c r="I64" i="9"/>
  <c r="K299" i="9"/>
  <c r="F255" i="9"/>
  <c r="I331" i="9"/>
  <c r="E156" i="9"/>
  <c r="G156" i="9"/>
  <c r="K269" i="9"/>
  <c r="K399" i="9"/>
  <c r="H157" i="9"/>
  <c r="H520" i="9"/>
  <c r="I424" i="9"/>
  <c r="I103" i="9"/>
  <c r="I397" i="9"/>
  <c r="H303" i="9"/>
  <c r="E255" i="9"/>
  <c r="G255" i="9"/>
  <c r="K211" i="9"/>
  <c r="F211" i="9"/>
  <c r="H211" i="9"/>
  <c r="J211" i="9"/>
  <c r="I211" i="9"/>
  <c r="H195" i="9"/>
  <c r="K195" i="9"/>
  <c r="I195" i="9"/>
  <c r="E195" i="9"/>
  <c r="G195" i="9"/>
  <c r="F195" i="9"/>
  <c r="H314" i="9"/>
  <c r="F314" i="9"/>
  <c r="E314" i="9"/>
  <c r="G314" i="9"/>
  <c r="K314" i="9"/>
  <c r="I276" i="9"/>
  <c r="H276" i="9"/>
  <c r="E276" i="9"/>
  <c r="G276" i="9"/>
  <c r="K276" i="9"/>
  <c r="E372" i="9"/>
  <c r="G372" i="9"/>
  <c r="H372" i="9"/>
  <c r="I372" i="9"/>
  <c r="F372" i="9"/>
  <c r="K227" i="9"/>
  <c r="I227" i="9"/>
  <c r="F227" i="9"/>
  <c r="K321" i="9"/>
  <c r="F321" i="9"/>
  <c r="E321" i="9"/>
  <c r="G321" i="9"/>
  <c r="K232" i="9"/>
  <c r="E232" i="9"/>
  <c r="G232" i="9"/>
  <c r="H232" i="9"/>
  <c r="F232" i="9"/>
  <c r="I232" i="9"/>
  <c r="I376" i="9"/>
  <c r="K376" i="9"/>
  <c r="F376" i="9"/>
  <c r="E376" i="9"/>
  <c r="G376" i="9"/>
  <c r="H376" i="9"/>
  <c r="H499" i="9"/>
  <c r="E499" i="9"/>
  <c r="G499" i="9"/>
  <c r="I522" i="9"/>
  <c r="E522" i="9"/>
  <c r="G522" i="9"/>
  <c r="H522" i="9"/>
  <c r="F522" i="9"/>
  <c r="H446" i="9"/>
  <c r="K446" i="9"/>
  <c r="F446" i="9"/>
  <c r="E16" i="9"/>
  <c r="G16" i="9"/>
  <c r="H16" i="9"/>
  <c r="I16" i="9"/>
  <c r="K16" i="9"/>
  <c r="F16" i="9"/>
  <c r="H467" i="9"/>
  <c r="K467" i="9"/>
  <c r="F467" i="9"/>
  <c r="H293" i="9"/>
  <c r="I293" i="9"/>
  <c r="F293" i="9"/>
  <c r="K293" i="9"/>
  <c r="E293" i="9"/>
  <c r="G293" i="9"/>
  <c r="H550" i="9"/>
  <c r="E550" i="9"/>
  <c r="G550" i="9"/>
  <c r="F550" i="9"/>
  <c r="F535" i="9"/>
  <c r="K413" i="9"/>
  <c r="F559" i="9"/>
  <c r="K559" i="9"/>
  <c r="E559" i="9"/>
  <c r="G559" i="9"/>
  <c r="H348" i="9"/>
  <c r="E348" i="9"/>
  <c r="G348" i="9"/>
  <c r="K41" i="9"/>
  <c r="F41" i="9"/>
  <c r="H30" i="9"/>
  <c r="I30" i="9"/>
  <c r="K30" i="9"/>
  <c r="F30" i="9"/>
  <c r="E30" i="9"/>
  <c r="G30" i="9"/>
  <c r="K596" i="9"/>
  <c r="H596" i="9"/>
  <c r="E596" i="9"/>
  <c r="G596" i="9"/>
  <c r="I596" i="9"/>
  <c r="K125" i="9"/>
  <c r="I125" i="9"/>
  <c r="F125" i="9"/>
  <c r="H125" i="9"/>
  <c r="E125" i="9"/>
  <c r="G125" i="9"/>
  <c r="F331" i="9"/>
  <c r="K272" i="9"/>
  <c r="F99" i="9"/>
  <c r="I74" i="9"/>
  <c r="H263" i="9"/>
  <c r="I562" i="9"/>
  <c r="E562" i="9"/>
  <c r="G562" i="9"/>
  <c r="H562" i="9"/>
  <c r="F562" i="9"/>
  <c r="K562" i="9"/>
  <c r="E111" i="9"/>
  <c r="G111" i="9"/>
  <c r="K111" i="9"/>
  <c r="F111" i="9"/>
  <c r="F410" i="9"/>
  <c r="E97" i="9"/>
  <c r="G97" i="9"/>
  <c r="K66" i="9"/>
  <c r="F263" i="9"/>
  <c r="H403" i="9"/>
  <c r="F148" i="9"/>
  <c r="K535" i="9"/>
  <c r="K566" i="9"/>
  <c r="K103" i="9"/>
  <c r="F470" i="9"/>
  <c r="I303" i="9"/>
  <c r="E77" i="9"/>
  <c r="G77" i="9"/>
  <c r="F348" i="9"/>
  <c r="H41" i="9"/>
  <c r="K410" i="9"/>
  <c r="H443" i="9"/>
  <c r="I97" i="9"/>
  <c r="H66" i="9"/>
  <c r="K179" i="9"/>
  <c r="K148" i="9"/>
  <c r="H566" i="9"/>
  <c r="E299" i="9"/>
  <c r="G299" i="9"/>
  <c r="E467" i="9"/>
  <c r="G467" i="9"/>
  <c r="K470" i="9"/>
  <c r="K77" i="9"/>
  <c r="E109" i="9"/>
  <c r="G109" i="9"/>
  <c r="F36" i="9"/>
  <c r="H321" i="9"/>
  <c r="I41" i="9"/>
  <c r="H171" i="9"/>
  <c r="H269" i="9"/>
  <c r="K550" i="9"/>
  <c r="K443" i="9"/>
  <c r="H399" i="9"/>
  <c r="J399" i="9"/>
  <c r="K157" i="9"/>
  <c r="F520" i="9"/>
  <c r="F424" i="9"/>
  <c r="E446" i="9"/>
  <c r="G446" i="9"/>
  <c r="F311" i="9"/>
  <c r="H440" i="9"/>
  <c r="E295" i="9"/>
  <c r="G295" i="9"/>
  <c r="I31" i="9"/>
  <c r="K97" i="9"/>
  <c r="E66" i="9"/>
  <c r="G66" i="9"/>
  <c r="I539" i="9"/>
  <c r="H103" i="9"/>
  <c r="H397" i="9"/>
  <c r="J397" i="9"/>
  <c r="E441" i="9"/>
  <c r="G441" i="9"/>
  <c r="F299" i="9"/>
  <c r="I378" i="9"/>
  <c r="E303" i="9"/>
  <c r="G303" i="9"/>
  <c r="K255" i="9"/>
  <c r="H77" i="9"/>
  <c r="I109" i="9"/>
  <c r="H420" i="9"/>
  <c r="F420" i="9"/>
  <c r="K420" i="9"/>
  <c r="I76" i="9"/>
  <c r="E76" i="9"/>
  <c r="G76" i="9"/>
  <c r="K76" i="9"/>
  <c r="F76" i="9"/>
  <c r="E199" i="9"/>
  <c r="G199" i="9"/>
  <c r="F199" i="9"/>
  <c r="K199" i="9"/>
  <c r="I199" i="9"/>
  <c r="H84" i="9"/>
  <c r="E84" i="9"/>
  <c r="G84" i="9"/>
  <c r="I84" i="9"/>
  <c r="F84" i="9"/>
  <c r="E524" i="9"/>
  <c r="G524" i="9"/>
  <c r="H524" i="9"/>
  <c r="F524" i="9"/>
  <c r="F368" i="9"/>
  <c r="I350" i="9"/>
  <c r="K328" i="9"/>
  <c r="I328" i="9"/>
  <c r="H328" i="9"/>
  <c r="E328" i="9"/>
  <c r="G328" i="9"/>
  <c r="I188" i="9"/>
  <c r="E188" i="9"/>
  <c r="G188" i="9"/>
  <c r="K188" i="9"/>
  <c r="E563" i="9"/>
  <c r="G563" i="9"/>
  <c r="K563" i="9"/>
  <c r="F563" i="9"/>
  <c r="H199" i="9"/>
  <c r="I525" i="9"/>
  <c r="E525" i="9"/>
  <c r="G525" i="9"/>
  <c r="K525" i="9"/>
  <c r="F525" i="9"/>
  <c r="F57" i="9"/>
  <c r="K57" i="9"/>
  <c r="E57" i="9"/>
  <c r="G57" i="9"/>
  <c r="I57" i="9"/>
  <c r="H129" i="9"/>
  <c r="I129" i="9"/>
  <c r="I411" i="9"/>
  <c r="E411" i="9"/>
  <c r="G411" i="9"/>
  <c r="I457" i="9"/>
  <c r="F457" i="9"/>
  <c r="K457" i="9"/>
  <c r="I384" i="9"/>
  <c r="K469" i="9"/>
  <c r="F469" i="9"/>
  <c r="I469" i="9"/>
  <c r="I117" i="9"/>
  <c r="F117" i="9"/>
  <c r="E117" i="9"/>
  <c r="G117" i="9"/>
  <c r="K307" i="9"/>
  <c r="H365" i="9"/>
  <c r="I417" i="9"/>
  <c r="F302" i="9"/>
  <c r="E31" i="9"/>
  <c r="G31" i="9"/>
  <c r="K539" i="9"/>
  <c r="I77" i="9"/>
  <c r="H109" i="9"/>
  <c r="H256" i="9"/>
  <c r="K256" i="9"/>
  <c r="E256" i="9"/>
  <c r="G256" i="9"/>
  <c r="F256" i="9"/>
  <c r="I256" i="9"/>
  <c r="F556" i="9"/>
  <c r="K556" i="9"/>
  <c r="K65" i="9"/>
  <c r="I65" i="9"/>
  <c r="I262" i="9"/>
  <c r="F262" i="9"/>
  <c r="H262" i="9"/>
  <c r="J262" i="9"/>
  <c r="F63" i="9"/>
  <c r="K63" i="9"/>
  <c r="H63" i="9"/>
  <c r="E63" i="9"/>
  <c r="G63" i="9"/>
  <c r="I63" i="9"/>
  <c r="H101" i="9"/>
  <c r="I101" i="9"/>
  <c r="E101" i="9"/>
  <c r="G101" i="9"/>
  <c r="K101" i="9"/>
  <c r="I36" i="9"/>
  <c r="E419" i="9"/>
  <c r="G419" i="9"/>
  <c r="H335" i="9"/>
  <c r="E307" i="9"/>
  <c r="G307" i="9"/>
  <c r="K365" i="9"/>
  <c r="K407" i="9"/>
  <c r="F171" i="9"/>
  <c r="H493" i="9"/>
  <c r="J493" i="9"/>
  <c r="H417" i="9"/>
  <c r="F545" i="9"/>
  <c r="I253" i="9"/>
  <c r="E212" i="9"/>
  <c r="G212" i="9"/>
  <c r="F206" i="9"/>
  <c r="I401" i="9"/>
  <c r="H311" i="9"/>
  <c r="K524" i="9"/>
  <c r="H539" i="9"/>
  <c r="J539" i="9"/>
  <c r="E469" i="9"/>
  <c r="G469" i="9"/>
  <c r="K129" i="9"/>
  <c r="I339" i="9"/>
  <c r="I216" i="9"/>
  <c r="E261" i="9"/>
  <c r="G261" i="9"/>
  <c r="E495" i="9"/>
  <c r="G495" i="9"/>
  <c r="I410" i="9"/>
  <c r="E410" i="9"/>
  <c r="G410" i="9"/>
  <c r="I368" i="9"/>
  <c r="E368" i="9"/>
  <c r="G368" i="9"/>
  <c r="K368" i="9"/>
  <c r="K107" i="9"/>
  <c r="H107" i="9"/>
  <c r="E107" i="9"/>
  <c r="G107" i="9"/>
  <c r="I107" i="9"/>
  <c r="F107" i="9"/>
  <c r="I477" i="9"/>
  <c r="H477" i="9"/>
  <c r="F477" i="9"/>
  <c r="K281" i="9"/>
  <c r="I281" i="9"/>
  <c r="H281" i="9"/>
  <c r="K332" i="9"/>
  <c r="E332" i="9"/>
  <c r="G332" i="9"/>
  <c r="I332" i="9"/>
  <c r="F332" i="9"/>
  <c r="H332" i="9"/>
  <c r="F48" i="9"/>
  <c r="E48" i="9"/>
  <c r="G48" i="9"/>
  <c r="I48" i="9"/>
  <c r="K48" i="9"/>
  <c r="H48" i="9"/>
  <c r="E281" i="9"/>
  <c r="G281" i="9"/>
  <c r="I131" i="9"/>
  <c r="H325" i="9"/>
  <c r="J325" i="9"/>
  <c r="I325" i="9"/>
  <c r="F325" i="9"/>
  <c r="K325" i="9"/>
  <c r="I451" i="9"/>
  <c r="K451" i="9"/>
  <c r="H31" i="9"/>
  <c r="K31" i="9"/>
  <c r="H98" i="9"/>
  <c r="J98" i="9"/>
  <c r="F98" i="9"/>
  <c r="K98" i="9"/>
  <c r="E272" i="9"/>
  <c r="G272" i="9"/>
  <c r="E470" i="9"/>
  <c r="G470" i="9"/>
  <c r="K348" i="9"/>
  <c r="E587" i="9"/>
  <c r="G587" i="9"/>
  <c r="H587" i="9"/>
  <c r="K587" i="9"/>
  <c r="F587" i="9"/>
  <c r="K71" i="9"/>
  <c r="H71" i="9"/>
  <c r="E71" i="9"/>
  <c r="G71" i="9"/>
  <c r="F71" i="9"/>
  <c r="E538" i="9"/>
  <c r="G538" i="9"/>
  <c r="H538" i="9"/>
  <c r="I538" i="9"/>
  <c r="K397" i="9"/>
  <c r="F129" i="9"/>
  <c r="E477" i="9"/>
  <c r="G477" i="9"/>
  <c r="F412" i="9"/>
  <c r="H412" i="9"/>
  <c r="K412" i="9"/>
  <c r="E412" i="9"/>
  <c r="G412" i="9"/>
  <c r="I412" i="9"/>
  <c r="K19" i="9"/>
  <c r="E19" i="9"/>
  <c r="G19" i="9"/>
  <c r="I406" i="9"/>
  <c r="F406" i="9"/>
  <c r="E406" i="9"/>
  <c r="G406" i="9"/>
  <c r="H406" i="9"/>
  <c r="E115" i="9"/>
  <c r="G115" i="9"/>
  <c r="F115" i="9"/>
  <c r="H115" i="9"/>
  <c r="K115" i="9"/>
  <c r="I115" i="9"/>
  <c r="E287" i="9"/>
  <c r="G287" i="9"/>
  <c r="F287" i="9"/>
  <c r="K287" i="9"/>
  <c r="I287" i="9"/>
  <c r="H287" i="9"/>
  <c r="K437" i="9"/>
  <c r="H437" i="9"/>
  <c r="I437" i="9"/>
  <c r="H185" i="9"/>
  <c r="E185" i="9"/>
  <c r="G185" i="9"/>
  <c r="K185" i="9"/>
  <c r="F185" i="9"/>
  <c r="I185" i="9"/>
  <c r="E173" i="9"/>
  <c r="G173" i="9"/>
  <c r="F173" i="9"/>
  <c r="I173" i="9"/>
  <c r="K15" i="9"/>
  <c r="F15" i="9"/>
  <c r="I15" i="9"/>
  <c r="E15" i="9"/>
  <c r="G15" i="9"/>
  <c r="I17" i="9"/>
  <c r="F17" i="9"/>
  <c r="K17" i="9"/>
  <c r="H36" i="9"/>
  <c r="H212" i="9"/>
  <c r="H206" i="9"/>
  <c r="J206" i="9"/>
  <c r="E311" i="9"/>
  <c r="G311" i="9"/>
  <c r="F586" i="9"/>
  <c r="I307" i="9"/>
  <c r="F365" i="9"/>
  <c r="I407" i="9"/>
  <c r="E377" i="9"/>
  <c r="G377" i="9"/>
  <c r="I493" i="9"/>
  <c r="I492" i="9"/>
  <c r="H253" i="9"/>
  <c r="H117" i="9"/>
  <c r="J117" i="9"/>
  <c r="K212" i="9"/>
  <c r="K206" i="9"/>
  <c r="K80" i="9"/>
  <c r="I561" i="9"/>
  <c r="I19" i="9"/>
  <c r="E209" i="9"/>
  <c r="G209" i="9"/>
  <c r="E551" i="9"/>
  <c r="G551" i="9"/>
  <c r="I523" i="9"/>
  <c r="E523" i="9"/>
  <c r="G523" i="9"/>
  <c r="H523" i="9"/>
  <c r="I396" i="9"/>
  <c r="H396" i="9"/>
  <c r="I502" i="9"/>
  <c r="H502" i="9"/>
  <c r="E502" i="9"/>
  <c r="G502" i="9"/>
  <c r="K502" i="9"/>
  <c r="H277" i="9"/>
  <c r="F277" i="9"/>
  <c r="I277" i="9"/>
  <c r="E277" i="9"/>
  <c r="G277" i="9"/>
  <c r="K277" i="9"/>
  <c r="F407" i="9"/>
  <c r="F377" i="9"/>
  <c r="K417" i="9"/>
  <c r="I545" i="9"/>
  <c r="H492" i="9"/>
  <c r="J492" i="9"/>
  <c r="F253" i="9"/>
  <c r="H469" i="9"/>
  <c r="E129" i="9"/>
  <c r="G129" i="9"/>
  <c r="F551" i="9"/>
  <c r="E216" i="9"/>
  <c r="G216" i="9"/>
  <c r="K495" i="9"/>
  <c r="F233" i="9"/>
  <c r="F96" i="9"/>
  <c r="E365" i="9"/>
  <c r="G365" i="9"/>
  <c r="H407" i="9"/>
  <c r="J407" i="9"/>
  <c r="K492" i="9"/>
  <c r="E253" i="9"/>
  <c r="G253" i="9"/>
  <c r="K117" i="9"/>
  <c r="I212" i="9"/>
  <c r="I111" i="9"/>
  <c r="K499" i="9"/>
  <c r="H80" i="9"/>
  <c r="E561" i="9"/>
  <c r="G561" i="9"/>
  <c r="I374" i="9"/>
  <c r="F19" i="9"/>
  <c r="K52" i="9"/>
  <c r="K551" i="9"/>
  <c r="K344" i="9"/>
  <c r="H468" i="9"/>
  <c r="K468" i="9"/>
  <c r="I148" i="9"/>
  <c r="H148" i="9"/>
  <c r="J148" i="9"/>
  <c r="F532" i="9"/>
  <c r="H532" i="9"/>
  <c r="E532" i="9"/>
  <c r="G532" i="9"/>
  <c r="I532" i="9"/>
  <c r="K238" i="9"/>
  <c r="E238" i="9"/>
  <c r="G238" i="9"/>
  <c r="H238" i="9"/>
  <c r="F238" i="9"/>
  <c r="I238" i="9"/>
  <c r="K372" i="9"/>
  <c r="E387" i="9"/>
  <c r="G387" i="9"/>
  <c r="F387" i="9"/>
  <c r="I387" i="9"/>
  <c r="F507" i="9"/>
  <c r="I507" i="9"/>
  <c r="K507" i="9"/>
  <c r="H187" i="9"/>
  <c r="I187" i="9"/>
  <c r="E187" i="9"/>
  <c r="G187" i="9"/>
  <c r="F187" i="9"/>
  <c r="K352" i="9"/>
  <c r="H352" i="9"/>
  <c r="J352" i="9"/>
  <c r="F352" i="9"/>
  <c r="I352" i="9"/>
  <c r="K302" i="9"/>
  <c r="H302" i="9"/>
  <c r="E505" i="9"/>
  <c r="G505" i="9"/>
  <c r="H505" i="9"/>
  <c r="I505" i="9"/>
  <c r="K505" i="9"/>
  <c r="E582" i="9"/>
  <c r="G582" i="9"/>
  <c r="E183" i="9"/>
  <c r="G183" i="9"/>
  <c r="I183" i="9"/>
  <c r="F183" i="9"/>
  <c r="I513" i="9"/>
  <c r="E513" i="9"/>
  <c r="G513" i="9"/>
  <c r="H513" i="9"/>
  <c r="F210" i="9"/>
  <c r="E210" i="9"/>
  <c r="G210" i="9"/>
  <c r="I133" i="9"/>
  <c r="K133" i="9"/>
  <c r="F513" i="9"/>
  <c r="F133" i="9"/>
  <c r="E590" i="9"/>
  <c r="G590" i="9"/>
  <c r="H590" i="9"/>
  <c r="K590" i="9"/>
  <c r="I590" i="9"/>
  <c r="F472" i="9"/>
  <c r="I472" i="9"/>
  <c r="E472" i="9"/>
  <c r="G472" i="9"/>
  <c r="H472" i="9"/>
  <c r="I586" i="9"/>
  <c r="H586" i="9"/>
  <c r="J586" i="9"/>
  <c r="K586" i="9"/>
  <c r="I263" i="9"/>
  <c r="E263" i="9"/>
  <c r="G263" i="9"/>
  <c r="E449" i="9"/>
  <c r="G449" i="9"/>
  <c r="F449" i="9"/>
  <c r="I449" i="9"/>
  <c r="E171" i="9"/>
  <c r="G171" i="9"/>
  <c r="I314" i="9"/>
  <c r="K493" i="9"/>
  <c r="H545" i="9"/>
  <c r="I443" i="9"/>
  <c r="I446" i="9"/>
  <c r="H549" i="9"/>
  <c r="J549" i="9"/>
  <c r="I549" i="9"/>
  <c r="F549" i="9"/>
  <c r="I243" i="9"/>
  <c r="K243" i="9"/>
  <c r="F243" i="9"/>
  <c r="H405" i="9"/>
  <c r="I405" i="9"/>
  <c r="E405" i="9"/>
  <c r="G405" i="9"/>
  <c r="K377" i="9"/>
  <c r="H377" i="9"/>
  <c r="F526" i="9"/>
  <c r="I526" i="9"/>
  <c r="H526" i="9"/>
  <c r="K119" i="9"/>
  <c r="F119" i="9"/>
  <c r="E565" i="9"/>
  <c r="G565" i="9"/>
  <c r="K565" i="9"/>
  <c r="H565" i="9"/>
  <c r="F565" i="9"/>
  <c r="I565" i="9"/>
  <c r="I218" i="9"/>
  <c r="E218" i="9"/>
  <c r="G218" i="9"/>
  <c r="K218" i="9"/>
  <c r="H92" i="9"/>
  <c r="K92" i="9"/>
  <c r="F252" i="9"/>
  <c r="H252" i="9"/>
  <c r="E252" i="9"/>
  <c r="G252" i="9"/>
  <c r="I252" i="9"/>
  <c r="K252" i="9"/>
  <c r="H307" i="9"/>
  <c r="F493" i="9"/>
  <c r="E302" i="9"/>
  <c r="G302" i="9"/>
  <c r="I524" i="9"/>
  <c r="F539" i="9"/>
  <c r="K339" i="9"/>
  <c r="F519" i="9"/>
  <c r="H554" i="9"/>
  <c r="J554" i="9"/>
  <c r="H188" i="9"/>
  <c r="F92" i="9"/>
  <c r="H534" i="9"/>
  <c r="F492" i="9"/>
  <c r="H111" i="9"/>
  <c r="I499" i="9"/>
  <c r="F80" i="9"/>
  <c r="F374" i="9"/>
  <c r="K471" i="9"/>
  <c r="H19" i="9"/>
  <c r="H183" i="9"/>
  <c r="K449" i="9"/>
  <c r="E52" i="9"/>
  <c r="G52" i="9"/>
  <c r="F505" i="9"/>
  <c r="E344" i="9"/>
  <c r="G344" i="9"/>
  <c r="E507" i="9"/>
  <c r="G507" i="9"/>
  <c r="K131" i="9"/>
  <c r="H131" i="9"/>
  <c r="E131" i="9"/>
  <c r="G131" i="9"/>
  <c r="K523" i="9"/>
  <c r="F521" i="9"/>
  <c r="E521" i="9"/>
  <c r="G521" i="9"/>
  <c r="I521" i="9"/>
  <c r="H521" i="9"/>
  <c r="I275" i="9"/>
  <c r="H275" i="9"/>
  <c r="J275" i="9"/>
  <c r="K275" i="9"/>
  <c r="H479" i="9"/>
  <c r="E479" i="9"/>
  <c r="G479" i="9"/>
  <c r="I479" i="9"/>
  <c r="K479" i="9"/>
  <c r="F479" i="9"/>
  <c r="K261" i="9"/>
  <c r="I261" i="9"/>
  <c r="H261" i="9"/>
  <c r="I448" i="9"/>
  <c r="H448" i="9"/>
  <c r="K448" i="9"/>
  <c r="E448" i="9"/>
  <c r="G448" i="9"/>
  <c r="K285" i="9"/>
  <c r="I285" i="9"/>
  <c r="E285" i="9"/>
  <c r="G285" i="9"/>
  <c r="H285" i="9"/>
  <c r="F285" i="9"/>
  <c r="H456" i="9"/>
  <c r="K456" i="9"/>
  <c r="F456" i="9"/>
  <c r="E456" i="9"/>
  <c r="G456" i="9"/>
  <c r="E102" i="9"/>
  <c r="G102" i="9"/>
  <c r="F102" i="9"/>
  <c r="H102" i="9"/>
  <c r="K102" i="9"/>
  <c r="I102" i="9"/>
  <c r="K419" i="9"/>
  <c r="I419" i="9"/>
  <c r="E95" i="9"/>
  <c r="G95" i="9"/>
  <c r="H95" i="9"/>
  <c r="I95" i="9"/>
  <c r="K95" i="9"/>
  <c r="H309" i="9"/>
  <c r="K309" i="9"/>
  <c r="F309" i="9"/>
  <c r="E309" i="9"/>
  <c r="G309" i="9"/>
  <c r="I466" i="9"/>
  <c r="F466" i="9"/>
  <c r="E466" i="9"/>
  <c r="G466" i="9"/>
  <c r="K466" i="9"/>
  <c r="H466" i="9"/>
  <c r="E468" i="9"/>
  <c r="G468" i="9"/>
  <c r="E362" i="9"/>
  <c r="G362" i="9"/>
  <c r="H535" i="9"/>
  <c r="F451" i="9"/>
  <c r="F49" i="9"/>
  <c r="I49" i="9"/>
  <c r="H49" i="9"/>
  <c r="E49" i="9"/>
  <c r="G49" i="9"/>
  <c r="K49" i="9"/>
  <c r="E36" i="9"/>
  <c r="G36" i="9"/>
  <c r="H419" i="9"/>
  <c r="E41" i="9"/>
  <c r="G41" i="9"/>
  <c r="H97" i="9"/>
  <c r="I599" i="9"/>
  <c r="K599" i="9"/>
  <c r="F599" i="9"/>
  <c r="E599" i="9"/>
  <c r="G599" i="9"/>
  <c r="H599" i="9"/>
  <c r="K504" i="9"/>
  <c r="H504" i="9"/>
  <c r="I504" i="9"/>
  <c r="F504" i="9"/>
  <c r="E504" i="9"/>
  <c r="G504" i="9"/>
  <c r="I20" i="9"/>
  <c r="H20" i="9"/>
  <c r="F234" i="9"/>
  <c r="H234" i="9"/>
  <c r="E234" i="9"/>
  <c r="G234" i="9"/>
  <c r="K234" i="9"/>
  <c r="I234" i="9"/>
  <c r="H204" i="9"/>
  <c r="E204" i="9"/>
  <c r="G204" i="9"/>
  <c r="F204" i="9"/>
  <c r="I204" i="9"/>
  <c r="K204" i="9"/>
  <c r="I578" i="9"/>
  <c r="E578" i="9"/>
  <c r="G578" i="9"/>
  <c r="K578" i="9"/>
  <c r="F578" i="9"/>
  <c r="I327" i="9"/>
  <c r="F327" i="9"/>
  <c r="E327" i="9"/>
  <c r="G327" i="9"/>
  <c r="F554" i="9"/>
  <c r="F188" i="9"/>
  <c r="I510" i="9"/>
  <c r="E534" i="9"/>
  <c r="G534" i="9"/>
  <c r="I544" i="9"/>
  <c r="F120" i="9"/>
  <c r="H45" i="9"/>
  <c r="F499" i="9"/>
  <c r="H411" i="9"/>
  <c r="E80" i="9"/>
  <c r="G80" i="9"/>
  <c r="E396" i="9"/>
  <c r="G396" i="9"/>
  <c r="F343" i="9"/>
  <c r="K387" i="9"/>
  <c r="K312" i="9"/>
  <c r="F471" i="9"/>
  <c r="E323" i="9"/>
  <c r="G323" i="9"/>
  <c r="K183" i="9"/>
  <c r="I98" i="9"/>
  <c r="H52" i="9"/>
  <c r="K522" i="9"/>
  <c r="F90" i="9"/>
  <c r="E90" i="9"/>
  <c r="G90" i="9"/>
  <c r="H90" i="9"/>
  <c r="K90" i="9"/>
  <c r="I90" i="9"/>
  <c r="E429" i="9"/>
  <c r="G429" i="9"/>
  <c r="K429" i="9"/>
  <c r="F429" i="9"/>
  <c r="H429" i="9"/>
  <c r="F134" i="9"/>
  <c r="H134" i="9"/>
  <c r="J134" i="9"/>
  <c r="K134" i="9"/>
  <c r="I134" i="9"/>
  <c r="F231" i="9"/>
  <c r="E231" i="9"/>
  <c r="G231" i="9"/>
  <c r="E100" i="9"/>
  <c r="G100" i="9"/>
  <c r="H100" i="9"/>
  <c r="K100" i="9"/>
  <c r="I89" i="9"/>
  <c r="K89" i="9"/>
  <c r="H370" i="9"/>
  <c r="J370" i="9"/>
  <c r="F370" i="9"/>
  <c r="I370" i="9"/>
  <c r="H415" i="9"/>
  <c r="E415" i="9"/>
  <c r="G415" i="9"/>
  <c r="K415" i="9"/>
  <c r="I415" i="9"/>
  <c r="F415" i="9"/>
  <c r="K552" i="9"/>
  <c r="E552" i="9"/>
  <c r="G552" i="9"/>
  <c r="I291" i="9"/>
  <c r="E291" i="9"/>
  <c r="G291" i="9"/>
  <c r="I540" i="9"/>
  <c r="E540" i="9"/>
  <c r="G540" i="9"/>
  <c r="K540" i="9"/>
  <c r="I93" i="9"/>
  <c r="H93" i="9"/>
  <c r="J93" i="9"/>
  <c r="K93" i="9"/>
  <c r="E571" i="9"/>
  <c r="G571" i="9"/>
  <c r="H571" i="9"/>
  <c r="I571" i="9"/>
  <c r="F571" i="9"/>
  <c r="K571" i="9"/>
  <c r="I391" i="9"/>
  <c r="H391" i="9"/>
  <c r="J391" i="9"/>
  <c r="K498" i="9"/>
  <c r="H58" i="9"/>
  <c r="K34" i="9"/>
  <c r="H383" i="9"/>
  <c r="K370" i="9"/>
  <c r="F291" i="9"/>
  <c r="K231" i="9"/>
  <c r="F198" i="9"/>
  <c r="K591" i="9"/>
  <c r="F591" i="9"/>
  <c r="E591" i="9"/>
  <c r="G591" i="9"/>
  <c r="I591" i="9"/>
  <c r="E282" i="9"/>
  <c r="G282" i="9"/>
  <c r="H282" i="9"/>
  <c r="K282" i="9"/>
  <c r="I22" i="9"/>
  <c r="H22" i="9"/>
  <c r="E22" i="9"/>
  <c r="G22" i="9"/>
  <c r="H297" i="9"/>
  <c r="F297" i="9"/>
  <c r="K297" i="9"/>
  <c r="E297" i="9"/>
  <c r="G297" i="9"/>
  <c r="K118" i="9"/>
  <c r="H118" i="9"/>
  <c r="E118" i="9"/>
  <c r="G118" i="9"/>
  <c r="F581" i="9"/>
  <c r="E186" i="9"/>
  <c r="G186" i="9"/>
  <c r="F58" i="9"/>
  <c r="I34" i="9"/>
  <c r="E576" i="9"/>
  <c r="G576" i="9"/>
  <c r="I70" i="9"/>
  <c r="H537" i="9"/>
  <c r="J537" i="9"/>
  <c r="K237" i="9"/>
  <c r="I383" i="9"/>
  <c r="H552" i="9"/>
  <c r="F540" i="9"/>
  <c r="E292" i="9"/>
  <c r="G292" i="9"/>
  <c r="I175" i="9"/>
  <c r="F175" i="9"/>
  <c r="E175" i="9"/>
  <c r="G175" i="9"/>
  <c r="K175" i="9"/>
  <c r="K257" i="9"/>
  <c r="I257" i="9"/>
  <c r="E257" i="9"/>
  <c r="G257" i="9"/>
  <c r="H257" i="9"/>
  <c r="H18" i="9"/>
  <c r="E18" i="9"/>
  <c r="G18" i="9"/>
  <c r="K240" i="9"/>
  <c r="H240" i="9"/>
  <c r="J240" i="9"/>
  <c r="I240" i="9"/>
  <c r="F79" i="9"/>
  <c r="H79" i="9"/>
  <c r="K28" i="9"/>
  <c r="I28" i="9"/>
  <c r="I161" i="9"/>
  <c r="K161" i="9"/>
  <c r="F282" i="9"/>
  <c r="K581" i="9"/>
  <c r="F186" i="9"/>
  <c r="K40" i="9"/>
  <c r="K576" i="9"/>
  <c r="I537" i="9"/>
  <c r="I237" i="9"/>
  <c r="F240" i="9"/>
  <c r="F552" i="9"/>
  <c r="J486" i="9"/>
  <c r="H540" i="9"/>
  <c r="I292" i="9"/>
  <c r="F178" i="9"/>
  <c r="E178" i="9"/>
  <c r="G178" i="9"/>
  <c r="E572" i="9"/>
  <c r="G572" i="9"/>
  <c r="K572" i="9"/>
  <c r="H572" i="9"/>
  <c r="E597" i="9"/>
  <c r="G597" i="9"/>
  <c r="K597" i="9"/>
  <c r="I282" i="9"/>
  <c r="E581" i="9"/>
  <c r="G581" i="9"/>
  <c r="H186" i="9"/>
  <c r="I576" i="9"/>
  <c r="F135" i="9"/>
  <c r="K537" i="9"/>
  <c r="F597" i="9"/>
  <c r="F237" i="9"/>
  <c r="I552" i="9"/>
  <c r="H292" i="9"/>
  <c r="I351" i="9"/>
  <c r="K351" i="9"/>
  <c r="F78" i="9"/>
  <c r="H78" i="9"/>
  <c r="K78" i="9"/>
  <c r="I78" i="9"/>
  <c r="F345" i="9"/>
  <c r="K345" i="9"/>
  <c r="F286" i="9"/>
  <c r="I286" i="9"/>
  <c r="I597" i="9"/>
  <c r="H237" i="9"/>
  <c r="J237" i="9"/>
  <c r="E286" i="9"/>
  <c r="G286" i="9"/>
  <c r="F257" i="9"/>
  <c r="F391" i="9"/>
  <c r="E78" i="9"/>
  <c r="G78" i="9"/>
  <c r="F93" i="9"/>
  <c r="F292" i="9"/>
  <c r="K60" i="9"/>
  <c r="H60" i="9"/>
  <c r="I60" i="9"/>
  <c r="E60" i="9"/>
  <c r="G60" i="9"/>
  <c r="I135" i="9"/>
  <c r="K135" i="9"/>
  <c r="E135" i="9"/>
  <c r="G135" i="9"/>
  <c r="F476" i="9"/>
  <c r="I476" i="9"/>
  <c r="H40" i="9"/>
  <c r="E40" i="9"/>
  <c r="G40" i="9"/>
  <c r="I40" i="9"/>
  <c r="K70" i="9"/>
  <c r="H70" i="9"/>
  <c r="J70" i="9"/>
  <c r="H164" i="9"/>
  <c r="J164" i="9"/>
  <c r="K164" i="9"/>
  <c r="F465" i="9"/>
  <c r="I465" i="9"/>
  <c r="K465" i="9"/>
  <c r="E43" i="9"/>
  <c r="G43" i="9"/>
  <c r="H43" i="9"/>
  <c r="F43" i="9"/>
  <c r="I226" i="9"/>
  <c r="E226" i="9"/>
  <c r="G226" i="9"/>
  <c r="K461" i="9"/>
  <c r="E207" i="9"/>
  <c r="G207" i="9"/>
  <c r="F144" i="9"/>
  <c r="H461" i="9"/>
  <c r="J461" i="9"/>
  <c r="I207" i="9"/>
  <c r="I461" i="9"/>
  <c r="F425" i="9"/>
  <c r="H425" i="9"/>
  <c r="J425" i="9"/>
  <c r="F341" i="9"/>
  <c r="E341" i="9"/>
  <c r="G341" i="9"/>
  <c r="F150" i="9"/>
  <c r="K150" i="9"/>
  <c r="F94" i="9"/>
  <c r="E430" i="9"/>
  <c r="G430" i="9"/>
  <c r="I274" i="9"/>
  <c r="I94" i="9"/>
  <c r="H430" i="9"/>
  <c r="E274" i="9"/>
  <c r="G274" i="9"/>
  <c r="K94" i="9"/>
  <c r="K274" i="9"/>
  <c r="H184" i="9"/>
  <c r="J184" i="9"/>
  <c r="F184" i="9"/>
  <c r="J130" i="9"/>
  <c r="J106" i="9"/>
  <c r="J315" i="9"/>
  <c r="J432" i="9"/>
  <c r="J482" i="9"/>
  <c r="J192" i="9"/>
  <c r="J224" i="9"/>
  <c r="J433" i="9"/>
  <c r="J569" i="9"/>
  <c r="J382" i="9"/>
  <c r="J589" i="9"/>
  <c r="J166" i="9"/>
  <c r="J476" i="9"/>
  <c r="J154" i="9"/>
  <c r="J530" i="9"/>
  <c r="J128" i="9"/>
  <c r="J364" i="9"/>
  <c r="J584" i="9"/>
  <c r="J548" i="9"/>
  <c r="J454" i="9"/>
  <c r="J32" i="9"/>
  <c r="J278" i="9"/>
  <c r="J47" i="9"/>
  <c r="J342" i="9"/>
  <c r="J149" i="9"/>
  <c r="J543" i="9"/>
  <c r="J313" i="9"/>
  <c r="J347" i="9"/>
  <c r="J119" i="9"/>
  <c r="J585" i="9"/>
  <c r="J254" i="9"/>
  <c r="J250" i="9"/>
  <c r="J239" i="9"/>
  <c r="J9" i="9"/>
  <c r="J243" i="9"/>
  <c r="J316" i="9"/>
  <c r="J398" i="9"/>
  <c r="J361" i="9"/>
  <c r="J497" i="9"/>
  <c r="J336" i="9"/>
  <c r="J517" i="9"/>
  <c r="J268" i="9"/>
  <c r="J104" i="9"/>
  <c r="J142" i="9"/>
  <c r="J137" i="9"/>
  <c r="J68" i="9"/>
  <c r="J489" i="9"/>
  <c r="J427" i="9"/>
  <c r="J162" i="9"/>
  <c r="J573" i="9"/>
  <c r="J138" i="9"/>
  <c r="J271" i="9"/>
  <c r="J251" i="9"/>
  <c r="J114" i="9"/>
  <c r="J343" i="9"/>
  <c r="J379" i="9"/>
  <c r="J140" i="9"/>
  <c r="J483" i="9"/>
  <c r="J35" i="9"/>
  <c r="J182" i="9"/>
  <c r="J265" i="9"/>
  <c r="J369" i="9"/>
  <c r="J463" i="9"/>
  <c r="J245" i="9"/>
  <c r="J214" i="9"/>
  <c r="J223" i="9"/>
  <c r="J44" i="9"/>
  <c r="J152" i="9"/>
  <c r="J151" i="9"/>
  <c r="J306" i="9"/>
  <c r="J145" i="9"/>
  <c r="J270" i="9"/>
  <c r="J258" i="9"/>
  <c r="J56" i="9"/>
  <c r="J595" i="9"/>
  <c r="J198" i="9"/>
  <c r="J122" i="9"/>
  <c r="J374" i="9"/>
  <c r="J442" i="9"/>
  <c r="J491" i="9"/>
  <c r="J564" i="9"/>
  <c r="J160" i="9"/>
  <c r="J541" i="9"/>
  <c r="J404" i="9"/>
  <c r="J598" i="9"/>
  <c r="J319" i="9"/>
  <c r="J215" i="9"/>
  <c r="J65" i="9"/>
  <c r="J529" i="9"/>
  <c r="J112" i="9"/>
  <c r="J531" i="9"/>
  <c r="J165" i="9"/>
  <c r="J439" i="9"/>
  <c r="J150" i="9"/>
  <c r="J326" i="9"/>
  <c r="J593" i="9"/>
  <c r="J488" i="9"/>
  <c r="J451" i="9"/>
  <c r="J533" i="9"/>
  <c r="J59" i="9"/>
  <c r="J133" i="9"/>
  <c r="J583" i="9"/>
  <c r="J508" i="9"/>
  <c r="J487" i="9"/>
  <c r="J388" i="9"/>
  <c r="J221" i="9"/>
  <c r="J34" i="9"/>
  <c r="J75" i="9"/>
  <c r="J458" i="9"/>
  <c r="J317" i="9"/>
  <c r="J280" i="9"/>
  <c r="J113" i="9"/>
  <c r="J373" i="9"/>
  <c r="J371" i="9"/>
  <c r="J436" i="9"/>
  <c r="J580" i="9"/>
  <c r="J450" i="9"/>
  <c r="J155" i="9"/>
  <c r="J570" i="9"/>
  <c r="J588" i="9"/>
  <c r="J120" i="9"/>
  <c r="J305" i="9"/>
  <c r="J146" i="9"/>
  <c r="J161" i="9"/>
  <c r="J288" i="9"/>
  <c r="J385" i="9"/>
  <c r="J465" i="9"/>
  <c r="J511" i="9"/>
  <c r="J196" i="9"/>
  <c r="J197" i="9"/>
  <c r="J153" i="9"/>
  <c r="J159" i="9"/>
  <c r="J10" i="9"/>
  <c r="J574" i="9"/>
  <c r="J354" i="9"/>
  <c r="J136" i="9"/>
  <c r="J201" i="9"/>
  <c r="J217" i="9"/>
  <c r="J181" i="9"/>
  <c r="J123" i="9"/>
  <c r="J62" i="9"/>
  <c r="J246" i="9"/>
  <c r="J170" i="9"/>
  <c r="J579" i="9"/>
  <c r="J422" i="9"/>
  <c r="J416" i="9"/>
  <c r="J474" i="9"/>
  <c r="J25" i="9"/>
  <c r="J76" i="9"/>
  <c r="J200" i="9"/>
  <c r="J57" i="9"/>
  <c r="J81" i="9"/>
  <c r="J409" i="9"/>
  <c r="J290" i="9"/>
  <c r="J512" i="9"/>
  <c r="J383" i="9"/>
  <c r="J105" i="9"/>
  <c r="J340" i="9"/>
  <c r="J51" i="9"/>
  <c r="J480" i="9"/>
  <c r="J232" i="9"/>
  <c r="J485" i="9"/>
  <c r="J301" i="9"/>
  <c r="J496" i="9"/>
  <c r="J307" i="9"/>
  <c r="J82" i="9"/>
  <c r="J428" i="9"/>
  <c r="J355" i="9"/>
  <c r="J387" i="9"/>
  <c r="J363" i="9"/>
  <c r="J434" i="9"/>
  <c r="J267" i="9"/>
  <c r="J447" i="9"/>
  <c r="J490" i="9"/>
  <c r="J445" i="9"/>
  <c r="J219" i="9"/>
  <c r="J437" i="9"/>
  <c r="J53" i="9"/>
  <c r="J92" i="9"/>
  <c r="J174" i="9"/>
  <c r="J453" i="9"/>
  <c r="J368" i="9"/>
  <c r="J187" i="9"/>
  <c r="J292" i="9"/>
  <c r="J29" i="9"/>
  <c r="J15" i="9"/>
  <c r="J158" i="9"/>
  <c r="J505" i="9"/>
  <c r="J228" i="9"/>
  <c r="J79" i="9"/>
  <c r="J63" i="9"/>
  <c r="J125" i="9"/>
  <c r="J430" i="9"/>
  <c r="G177" i="9"/>
  <c r="J376" i="9"/>
  <c r="J229" i="9"/>
  <c r="J380" i="9"/>
  <c r="G79" i="9"/>
  <c r="J324" i="9"/>
  <c r="J435" i="9"/>
  <c r="J296" i="9"/>
  <c r="J26" i="9"/>
  <c r="J555" i="9"/>
  <c r="J538" i="9"/>
  <c r="J506" i="9"/>
  <c r="J203" i="9"/>
  <c r="J356" i="9"/>
  <c r="J563" i="9"/>
  <c r="J334" i="9"/>
  <c r="J535" i="9"/>
  <c r="J269" i="9"/>
  <c r="J131" i="9"/>
  <c r="J412" i="9"/>
  <c r="J420" i="9"/>
  <c r="J423" i="9"/>
  <c r="J395" i="9"/>
  <c r="J516" i="9"/>
  <c r="J236" i="9"/>
  <c r="J550" i="9"/>
  <c r="J353" i="9"/>
  <c r="J455" i="9"/>
  <c r="J28" i="9"/>
  <c r="J37" i="9"/>
  <c r="J381" i="9"/>
  <c r="J249" i="9"/>
  <c r="J337" i="9"/>
  <c r="J540" i="9"/>
  <c r="J302" i="9"/>
  <c r="J460" i="9"/>
  <c r="J575" i="9"/>
  <c r="J69" i="9"/>
  <c r="J108" i="9"/>
  <c r="J311" i="9"/>
  <c r="J282" i="9"/>
  <c r="J513" i="9"/>
  <c r="J523" i="9"/>
  <c r="J472" i="9"/>
  <c r="J222" i="9"/>
  <c r="J304" i="9"/>
  <c r="J90" i="9"/>
  <c r="J590" i="9"/>
  <c r="J331" i="9"/>
  <c r="J11" i="9"/>
  <c r="J176" i="9"/>
  <c r="J61" i="9"/>
  <c r="J452" i="9"/>
  <c r="J502" i="9"/>
  <c r="J314" i="9"/>
  <c r="J330" i="9"/>
  <c r="J419" i="9"/>
  <c r="J469" i="9"/>
  <c r="J216" i="9"/>
  <c r="J587" i="9"/>
  <c r="J234" i="9"/>
  <c r="J30" i="9"/>
  <c r="J14" i="9"/>
  <c r="J562" i="9"/>
  <c r="J115" i="9"/>
  <c r="J109" i="9"/>
  <c r="J191" i="9"/>
  <c r="J257" i="9"/>
  <c r="J499" i="9"/>
  <c r="J100" i="9"/>
  <c r="J291" i="9"/>
  <c r="J415" i="9"/>
  <c r="J532" i="9"/>
  <c r="J84" i="9"/>
  <c r="J66" i="9"/>
  <c r="J348" i="9"/>
  <c r="J50" i="9"/>
  <c r="J466" i="9"/>
  <c r="J91" i="9"/>
  <c r="J375" i="9"/>
  <c r="J481" i="9"/>
  <c r="J411" i="9"/>
  <c r="J281" i="9"/>
  <c r="J390" i="9"/>
  <c r="J547" i="9"/>
  <c r="J163" i="9"/>
  <c r="J247" i="9"/>
  <c r="J284" i="9"/>
  <c r="J21" i="9"/>
  <c r="J78" i="9"/>
  <c r="J94" i="9"/>
  <c r="J464" i="9"/>
  <c r="J468" i="9"/>
  <c r="J592" i="9"/>
  <c r="J89" i="9"/>
  <c r="J338" i="9"/>
  <c r="J312" i="9"/>
  <c r="J300" i="9"/>
  <c r="J213" i="9"/>
  <c r="J13" i="9"/>
  <c r="J484" i="9"/>
  <c r="J168" i="9"/>
  <c r="J542" i="9"/>
  <c r="J367" i="9"/>
  <c r="J518" i="9"/>
  <c r="J189" i="9"/>
  <c r="J58" i="9"/>
  <c r="J97" i="9"/>
  <c r="J520" i="9"/>
  <c r="J86" i="9"/>
  <c r="J24" i="9"/>
  <c r="J386" i="9"/>
  <c r="J264" i="9"/>
  <c r="J405" i="9"/>
  <c r="J124" i="9"/>
  <c r="J594" i="9"/>
  <c r="J20" i="9"/>
  <c r="J418" i="9"/>
  <c r="G222" i="9"/>
  <c r="J565" i="9"/>
  <c r="J510" i="9"/>
  <c r="J339" i="9"/>
  <c r="J503" i="9"/>
  <c r="J557" i="9"/>
  <c r="J73" i="9"/>
  <c r="J279" i="9"/>
  <c r="J193" i="9"/>
  <c r="J322" i="9"/>
  <c r="J443" i="9"/>
  <c r="J424" i="9"/>
  <c r="J238" i="9"/>
  <c r="J524" i="9"/>
  <c r="J401" i="9"/>
  <c r="J350" i="9"/>
  <c r="J323" i="9"/>
  <c r="J8" i="9"/>
  <c r="J195" i="9"/>
  <c r="J576" i="9"/>
  <c r="J135" i="9"/>
  <c r="J156" i="9"/>
  <c r="J17" i="9"/>
  <c r="J260" i="9"/>
  <c r="J173" i="9"/>
  <c r="J536" i="9"/>
  <c r="J60" i="9"/>
  <c r="J572" i="9"/>
  <c r="J504" i="9"/>
  <c r="J521" i="9"/>
  <c r="J185" i="9"/>
  <c r="J96" i="9"/>
  <c r="J147" i="9"/>
  <c r="J235" i="9"/>
  <c r="J509" i="9"/>
  <c r="J545" i="9"/>
  <c r="J327" i="9"/>
  <c r="J45" i="9"/>
  <c r="J111" i="9"/>
  <c r="J473" i="9"/>
  <c r="J23" i="9"/>
  <c r="J591" i="9"/>
  <c r="J272" i="9"/>
  <c r="J103" i="9"/>
  <c r="J444" i="9"/>
  <c r="J479" i="9"/>
  <c r="J52" i="9"/>
  <c r="J48" i="9"/>
  <c r="J568" i="9"/>
  <c r="J179" i="9"/>
  <c r="J551" i="9"/>
  <c r="J360" i="9"/>
  <c r="J500" i="9"/>
  <c r="J289" i="9"/>
  <c r="J553" i="9"/>
  <c r="J478" i="9"/>
  <c r="J440" i="9"/>
  <c r="J522" i="9"/>
  <c r="J393" i="9"/>
  <c r="J389" i="9"/>
  <c r="J54" i="9"/>
  <c r="J392" i="9"/>
  <c r="J295" i="9"/>
  <c r="J525" i="9"/>
  <c r="J144" i="9"/>
  <c r="J320" i="9"/>
  <c r="J571" i="9"/>
  <c r="J88" i="9"/>
  <c r="J263" i="9"/>
  <c r="J39" i="9"/>
  <c r="J212" i="9"/>
  <c r="J40" i="9"/>
  <c r="J6" i="9"/>
  <c r="J581" i="9"/>
  <c r="J446" i="9"/>
  <c r="J299" i="9"/>
  <c r="J526" i="9"/>
  <c r="J36" i="9"/>
  <c r="J384" i="9"/>
  <c r="J561" i="9"/>
  <c r="J242" i="9"/>
  <c r="J462" i="9"/>
  <c r="J577" i="9"/>
  <c r="J558" i="9"/>
  <c r="J599" i="9"/>
  <c r="J171" i="9"/>
  <c r="J16" i="9"/>
  <c r="J501" i="9"/>
  <c r="J303" i="9"/>
  <c r="J208" i="9"/>
  <c r="J333" i="9"/>
  <c r="J256" i="9"/>
  <c r="J129" i="9"/>
  <c r="J467" i="9"/>
  <c r="J127" i="9"/>
  <c r="J49" i="9"/>
  <c r="J366" i="9"/>
  <c r="J210" i="9"/>
  <c r="J310" i="9"/>
  <c r="J421" i="9"/>
  <c r="J413" i="9"/>
  <c r="J95" i="9"/>
  <c r="J417" i="9"/>
  <c r="J372" i="9"/>
  <c r="J528" i="9"/>
  <c r="J519" i="9"/>
  <c r="J71" i="9"/>
  <c r="J41" i="9"/>
  <c r="J74" i="9"/>
  <c r="J233" i="9"/>
  <c r="J252" i="9"/>
  <c r="J328" i="9"/>
  <c r="J309" i="9"/>
  <c r="J231" i="9"/>
  <c r="J101" i="9"/>
  <c r="J377" i="9"/>
  <c r="J277" i="9"/>
  <c r="J321" i="9"/>
  <c r="J596" i="9"/>
  <c r="J169" i="9"/>
  <c r="J335" i="9"/>
  <c r="J294" i="9"/>
  <c r="J287" i="9"/>
  <c r="J226" i="9"/>
  <c r="J362" i="9"/>
  <c r="J178" i="9"/>
  <c r="J448" i="9"/>
  <c r="J276" i="9"/>
  <c r="J456" i="9"/>
  <c r="J7" i="9"/>
  <c r="J552" i="9"/>
  <c r="J99" i="9"/>
  <c r="J188" i="9"/>
  <c r="J139" i="9"/>
  <c r="J67" i="9"/>
  <c r="J297" i="9"/>
  <c r="J402" i="9"/>
  <c r="J205" i="9"/>
  <c r="J345" i="9"/>
  <c r="J118" i="9"/>
  <c r="J470" i="9"/>
  <c r="J218" i="9"/>
  <c r="J365" i="9"/>
  <c r="J209" i="9"/>
  <c r="J19" i="9"/>
  <c r="J253" i="9"/>
  <c r="J438" i="9"/>
  <c r="J378" i="9"/>
  <c r="J344" i="9"/>
  <c r="J255" i="9"/>
  <c r="J566" i="9"/>
  <c r="J186" i="9"/>
  <c r="J83" i="9"/>
  <c r="J22" i="9"/>
  <c r="J31" i="9"/>
  <c r="J396" i="9"/>
  <c r="J410" i="9"/>
  <c r="J559" i="9"/>
  <c r="J429" i="9"/>
  <c r="J43" i="9"/>
  <c r="J449" i="9"/>
  <c r="J285" i="9"/>
  <c r="J183" i="9"/>
  <c r="J341" i="9"/>
  <c r="J441" i="9"/>
  <c r="J477" i="9"/>
  <c r="J77" i="9"/>
  <c r="J199" i="9"/>
  <c r="J597" i="9"/>
  <c r="J560" i="9"/>
  <c r="J406" i="9"/>
  <c r="J495" i="9"/>
  <c r="J102" i="9"/>
  <c r="J582" i="9"/>
  <c r="J578" i="9"/>
  <c r="J64" i="9"/>
  <c r="J286" i="9"/>
  <c r="J332" i="9"/>
  <c r="J293" i="9"/>
  <c r="J18" i="9"/>
  <c r="J204" i="9"/>
  <c r="J534" i="9"/>
  <c r="J207" i="9"/>
  <c r="J27" i="9"/>
  <c r="J403" i="9"/>
  <c r="J157" i="9"/>
  <c r="J175" i="9"/>
  <c r="J80" i="9"/>
  <c r="J507" i="9"/>
  <c r="J308" i="9"/>
  <c r="J527" i="9"/>
  <c r="J261" i="9"/>
  <c r="J107" i="9"/>
  <c r="J27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<sst xmlns="http://schemas.openxmlformats.org/spreadsheetml/2006/main" count="13449" uniqueCount="1213">
  <si>
    <t>Tournament Structure</t>
  </si>
  <si>
    <t># Players</t>
  </si>
  <si>
    <t># Rebuys</t>
  </si>
  <si>
    <t># Total</t>
  </si>
  <si>
    <t>Colour</t>
  </si>
  <si>
    <t>Denomination</t>
  </si>
  <si>
    <t>Count</t>
  </si>
  <si>
    <t>Value</t>
  </si>
  <si>
    <t>Total Chips rq'd</t>
  </si>
  <si>
    <t>Shortage</t>
  </si>
  <si>
    <t>White</t>
  </si>
  <si>
    <t>Red</t>
  </si>
  <si>
    <t>Green</t>
  </si>
  <si>
    <t>Blue</t>
  </si>
  <si>
    <t>Black</t>
  </si>
  <si>
    <t>Total</t>
  </si>
  <si>
    <t>Email</t>
  </si>
  <si>
    <t>Name</t>
  </si>
  <si>
    <t>Role</t>
  </si>
  <si>
    <t>dribkof@uwo.ca</t>
  </si>
  <si>
    <t>David Ribkoff</t>
  </si>
  <si>
    <t>President</t>
  </si>
  <si>
    <t>rchen496@uwo.ca</t>
  </si>
  <si>
    <t>Ryan Chen</t>
  </si>
  <si>
    <t>VP Comms</t>
  </si>
  <si>
    <t>mmacph52@uwo.ca</t>
  </si>
  <si>
    <t>Myles MacPherson</t>
  </si>
  <si>
    <t>VP Events</t>
  </si>
  <si>
    <t>tmah7@uwo.ca</t>
  </si>
  <si>
    <t>Tyler Mah</t>
  </si>
  <si>
    <t>VP External</t>
  </si>
  <si>
    <t>nfenske@uwo.ca</t>
  </si>
  <si>
    <t>Nathan Fenske</t>
  </si>
  <si>
    <t>VP Finance</t>
  </si>
  <si>
    <t>ycai388@uwo.ca</t>
  </si>
  <si>
    <t>Jackie Cai</t>
  </si>
  <si>
    <t>VP Projects</t>
  </si>
  <si>
    <t>edong23@uwo.ca</t>
  </si>
  <si>
    <t>Edward Dong</t>
  </si>
  <si>
    <t>Director of Events</t>
  </si>
  <si>
    <t>kali83@uwo.ca</t>
  </si>
  <si>
    <t>Kaden Ali</t>
  </si>
  <si>
    <t>pzykmund@uwo.ca</t>
  </si>
  <si>
    <t>Pavel Zykmund</t>
  </si>
  <si>
    <t>rshweiha@uwo.ca</t>
  </si>
  <si>
    <t>Rita Shweihat</t>
  </si>
  <si>
    <t>sahn87@uwo.ca</t>
  </si>
  <si>
    <t>Sam Ahn</t>
  </si>
  <si>
    <t>Matthew Barclay</t>
  </si>
  <si>
    <t>lpanare@uwo.ca</t>
  </si>
  <si>
    <t>Leo Panarello</t>
  </si>
  <si>
    <t>Director of External</t>
  </si>
  <si>
    <t>akwong45@uwo.ca</t>
  </si>
  <si>
    <t>Aidan Kwong</t>
  </si>
  <si>
    <t>Director of Finance</t>
  </si>
  <si>
    <t>ezavedei@uwo.ca</t>
  </si>
  <si>
    <t>Eduard Zavedei</t>
  </si>
  <si>
    <t>Director of Graphics</t>
  </si>
  <si>
    <t>oacheamp@uwo.ca</t>
  </si>
  <si>
    <t>Ohemaa Acheampong</t>
  </si>
  <si>
    <t>bbulyovs@uwo.ca</t>
  </si>
  <si>
    <t>Ben Bulyovsky</t>
  </si>
  <si>
    <t>Director of Productions</t>
  </si>
  <si>
    <t>ckernag@uwo.ca</t>
  </si>
  <si>
    <t xml:space="preserve">Charlie Kernaghan </t>
  </si>
  <si>
    <t>bsuidgee@uwo.ca</t>
  </si>
  <si>
    <t>Brock Suidgeest</t>
  </si>
  <si>
    <t>Director of Projects</t>
  </si>
  <si>
    <t>cbechtol@uwo.ca</t>
  </si>
  <si>
    <t>Cyrus Bechtold</t>
  </si>
  <si>
    <t>jouyan26@uwo.ca</t>
  </si>
  <si>
    <t>Jillian Ouyang</t>
  </si>
  <si>
    <t>rmandi@uwo.ca</t>
  </si>
  <si>
    <t>Rohan Mandi</t>
  </si>
  <si>
    <t>ekim455@uwo.ca</t>
  </si>
  <si>
    <t>Ethan Kim</t>
  </si>
  <si>
    <t>Director of Sponsorships</t>
  </si>
  <si>
    <t>ksee3@uwo.ca</t>
  </si>
  <si>
    <t>Kyler See</t>
  </si>
  <si>
    <t>akara26@uwo.ca</t>
  </si>
  <si>
    <t>Aaron Kara</t>
  </si>
  <si>
    <t>Executive</t>
  </si>
  <si>
    <t>ako54@uwo.ca</t>
  </si>
  <si>
    <t>Aiden Ko</t>
  </si>
  <si>
    <t>akowal23@uwo.ca</t>
  </si>
  <si>
    <t>Alex Kowalski</t>
  </si>
  <si>
    <t>aliu565@uwo.ca</t>
  </si>
  <si>
    <t>Allen Liu</t>
  </si>
  <si>
    <t>abains68@uwo.ca</t>
  </si>
  <si>
    <t>Aman Bains</t>
  </si>
  <si>
    <t>zhuan727@uwo.ca</t>
  </si>
  <si>
    <t>Andy Huang</t>
  </si>
  <si>
    <t>ayu333@uwo.ca</t>
  </si>
  <si>
    <t>Anna Yu</t>
  </si>
  <si>
    <t>ccull4@uwo.ca</t>
  </si>
  <si>
    <t>Carson Cull</t>
  </si>
  <si>
    <t>ceisen@uwo.ca</t>
  </si>
  <si>
    <t>Cole Eisen</t>
  </si>
  <si>
    <t>ckorchin@uwo.ca</t>
  </si>
  <si>
    <t>Cole Korchinski</t>
  </si>
  <si>
    <t>ddeng33@uwo.ca</t>
  </si>
  <si>
    <t>Damon Deng</t>
  </si>
  <si>
    <t>ddillabo@uwo.ca</t>
  </si>
  <si>
    <t>Daniel Dillabough</t>
  </si>
  <si>
    <t>dagyapon@uwo.ca</t>
  </si>
  <si>
    <t>Darren Poku</t>
  </si>
  <si>
    <t>dfu53@uwo.ca</t>
  </si>
  <si>
    <t>Dikang Fu</t>
  </si>
  <si>
    <t>wbeames@uwo.ca</t>
  </si>
  <si>
    <t>Elliott Beames</t>
  </si>
  <si>
    <t>esproxto@uwo.ca</t>
  </si>
  <si>
    <t>Emma Sproxton</t>
  </si>
  <si>
    <t>ysong533@uwo.ca</t>
  </si>
  <si>
    <t>Eric  Song</t>
  </si>
  <si>
    <t>fhermary@uwo.ca</t>
  </si>
  <si>
    <t>Forrest Hermary</t>
  </si>
  <si>
    <t>fni8@uwo.ca</t>
  </si>
  <si>
    <t>Frank Ni</t>
  </si>
  <si>
    <t>cbai26@uwo.ca</t>
  </si>
  <si>
    <t>Hao Bai</t>
  </si>
  <si>
    <t>htalreja@uwo.ca</t>
  </si>
  <si>
    <t>Himaksh Talreja</t>
  </si>
  <si>
    <t>jkilfoil@uwo.ca</t>
  </si>
  <si>
    <t>James Kilfoil</t>
  </si>
  <si>
    <t>jlipski@uwo.ca</t>
  </si>
  <si>
    <t>Jared Lipski</t>
  </si>
  <si>
    <t>jagarwa4@uwo.ca</t>
  </si>
  <si>
    <t>Jayden Agarwal</t>
  </si>
  <si>
    <t>mathwal4@uwo.ca</t>
  </si>
  <si>
    <t>Marcus Athwal</t>
  </si>
  <si>
    <t>mbarcla8@uwo.ca</t>
  </si>
  <si>
    <t>mfern22@uwo.ca</t>
  </si>
  <si>
    <t>Matthew Fernandes</t>
  </si>
  <si>
    <t>mpape2@uwo.ca</t>
  </si>
  <si>
    <t>Matthew Pape</t>
  </si>
  <si>
    <t>mkazbek@uwo.ca</t>
  </si>
  <si>
    <t>Medet Kazbek</t>
  </si>
  <si>
    <t>nmak7@uwo.ca</t>
  </si>
  <si>
    <t>Natalee Mak</t>
  </si>
  <si>
    <t>nvisent@uwo.ca</t>
  </si>
  <si>
    <t>Nathan Visentin</t>
  </si>
  <si>
    <t>ngeorg33@uwo.ca</t>
  </si>
  <si>
    <t>Noah George</t>
  </si>
  <si>
    <t>nor@uwo.ca</t>
  </si>
  <si>
    <t>Noella Or</t>
  </si>
  <si>
    <t>ochen24@uwo.ca</t>
  </si>
  <si>
    <t>Oscar Chen</t>
  </si>
  <si>
    <t>pshah285@uwo.ca</t>
  </si>
  <si>
    <t>Pari Shah</t>
  </si>
  <si>
    <t>ptsymbal@uwo.ca</t>
  </si>
  <si>
    <t>Pavel Tsymbalyuk</t>
  </si>
  <si>
    <t>pshar253@uwo.ca</t>
  </si>
  <si>
    <t>Priyansh Sharma</t>
  </si>
  <si>
    <t>hlung3@uwo.ca</t>
  </si>
  <si>
    <t>Quenifer Lung</t>
  </si>
  <si>
    <t>zxu863@uwo.ca</t>
  </si>
  <si>
    <t>Rachel Xu</t>
  </si>
  <si>
    <t>rmacaul2@uwo.ca</t>
  </si>
  <si>
    <t>Ray Macaulay</t>
  </si>
  <si>
    <t>ypan457@uwo.ca</t>
  </si>
  <si>
    <t>Richard Pan</t>
  </si>
  <si>
    <t>svong8@uwo.ca</t>
  </si>
  <si>
    <t>Sabrina Vong</t>
  </si>
  <si>
    <t>ssnaider@uwo.ca</t>
  </si>
  <si>
    <t>Sanjay Snaidero</t>
  </si>
  <si>
    <t>ssande28@uwo.ca</t>
  </si>
  <si>
    <t>Sawyer Sanderson</t>
  </si>
  <si>
    <t>vliu62@uwo.ca</t>
  </si>
  <si>
    <t>Verissa Liu</t>
  </si>
  <si>
    <t>vanandk@uwo.ca</t>
  </si>
  <si>
    <t>Vik Anandkumar</t>
  </si>
  <si>
    <t>wmah2@uwo.ca</t>
  </si>
  <si>
    <t>William Mah</t>
  </si>
  <si>
    <t>zbrotman@uwo.ca</t>
  </si>
  <si>
    <t>Zach Brotman</t>
  </si>
  <si>
    <t>zhao49@uwo.ca</t>
  </si>
  <si>
    <t>Zack Hao</t>
  </si>
  <si>
    <t>Rank</t>
  </si>
  <si>
    <t>Ref</t>
  </si>
  <si>
    <t>Points</t>
  </si>
  <si>
    <t>Points w/ Rebuy</t>
  </si>
  <si>
    <t>Boolean</t>
  </si>
  <si>
    <t>Tournament Dates</t>
  </si>
  <si>
    <t>Year of study</t>
  </si>
  <si>
    <t>Program</t>
  </si>
  <si>
    <t>Membership</t>
  </si>
  <si>
    <t>Yes</t>
  </si>
  <si>
    <t>Don Wright Faculty of Music</t>
  </si>
  <si>
    <t>Verified</t>
  </si>
  <si>
    <t>Gold</t>
  </si>
  <si>
    <t>No</t>
  </si>
  <si>
    <t>Faculty of Arts and Humanities</t>
  </si>
  <si>
    <t>Unverified</t>
  </si>
  <si>
    <t>Silver</t>
  </si>
  <si>
    <t>VP</t>
  </si>
  <si>
    <t>All-time rank</t>
  </si>
  <si>
    <t>All-time score</t>
  </si>
  <si>
    <t>Helper</t>
  </si>
  <si>
    <t>Helper2</t>
  </si>
  <si>
    <t>DNP</t>
  </si>
  <si>
    <t>Faculty of Education</t>
  </si>
  <si>
    <t>Bronze</t>
  </si>
  <si>
    <t>Director</t>
  </si>
  <si>
    <t>Final Table</t>
  </si>
  <si>
    <t>Faculty of Engineering</t>
  </si>
  <si>
    <t>4th</t>
  </si>
  <si>
    <t>Top Quartile</t>
  </si>
  <si>
    <t>5+</t>
  </si>
  <si>
    <t>Faculty of Health Sciences</t>
  </si>
  <si>
    <t>5th</t>
  </si>
  <si>
    <t>Top Half</t>
  </si>
  <si>
    <t>Master's or PhD</t>
  </si>
  <si>
    <t>Faculty of Information and Media Studies</t>
  </si>
  <si>
    <t>6th</t>
  </si>
  <si>
    <t>Participation</t>
  </si>
  <si>
    <t>Faculty of Law</t>
  </si>
  <si>
    <t>7th</t>
  </si>
  <si>
    <t>Faculty of Science</t>
  </si>
  <si>
    <t>8th</t>
  </si>
  <si>
    <t>Faculty of Social Science</t>
  </si>
  <si>
    <t>9th</t>
  </si>
  <si>
    <t>Huron Arts &amp; Social Science</t>
  </si>
  <si>
    <t>10th</t>
  </si>
  <si>
    <t>Huron MOS</t>
  </si>
  <si>
    <t>Huron Theology</t>
  </si>
  <si>
    <t>King's Social Sciences</t>
  </si>
  <si>
    <t>King's Arts &amp;  Humanities</t>
  </si>
  <si>
    <t>King's MOS</t>
  </si>
  <si>
    <t>King's Economics and Finance</t>
  </si>
  <si>
    <t>King's Mathematics and Statistics</t>
  </si>
  <si>
    <t>Richard Ivey School Of Business</t>
  </si>
  <si>
    <t>Schulich School of Medicine &amp; Dentistry</t>
  </si>
  <si>
    <t>Western, Brescia Modules/Programs</t>
  </si>
  <si>
    <t>Western, Scholars Programs</t>
  </si>
  <si>
    <t>Do not sort this table</t>
  </si>
  <si>
    <t>Tournament #</t>
  </si>
  <si>
    <t>Tournament 1</t>
  </si>
  <si>
    <t>Tournament 2</t>
  </si>
  <si>
    <t>Tournament 3</t>
  </si>
  <si>
    <t>Tournament 4</t>
  </si>
  <si>
    <t>Tournament 5</t>
  </si>
  <si>
    <t>Tournament 6</t>
  </si>
  <si>
    <t>Tournament 7</t>
  </si>
  <si>
    <t>Tournament 8</t>
  </si>
  <si>
    <t>Tournament 9</t>
  </si>
  <si>
    <t>Tournament 10</t>
  </si>
  <si>
    <t>Tournament 11</t>
  </si>
  <si>
    <t>Tournament 12</t>
  </si>
  <si>
    <t>Tournament 13</t>
  </si>
  <si>
    <t>Tournament 14</t>
  </si>
  <si>
    <t>Tournament 15</t>
  </si>
  <si>
    <t>Tournament 16</t>
  </si>
  <si>
    <t>Tournament 17</t>
  </si>
  <si>
    <t>Tournament 18</t>
  </si>
  <si>
    <t>Tournament 19</t>
  </si>
  <si>
    <t>Tournament 20</t>
  </si>
  <si>
    <t>Tournament 21</t>
  </si>
  <si>
    <t>Tournament 22</t>
  </si>
  <si>
    <t>Tournament 23</t>
  </si>
  <si>
    <t>Tournament 24</t>
  </si>
  <si>
    <t>Tournament 25</t>
  </si>
  <si>
    <t>Tournament 26</t>
  </si>
  <si>
    <t>Tournament 27</t>
  </si>
  <si>
    <t>Tournament 28</t>
  </si>
  <si>
    <t>Tournament 29</t>
  </si>
  <si>
    <t>DO NOT SORT</t>
  </si>
  <si>
    <t>List size at start:</t>
  </si>
  <si>
    <t>First name</t>
  </si>
  <si>
    <t>Last name</t>
  </si>
  <si>
    <t>Full name</t>
  </si>
  <si>
    <t>Player Type</t>
  </si>
  <si>
    <t>Attendance Rate</t>
  </si>
  <si>
    <t>September 30, 2025</t>
  </si>
  <si>
    <t>October 2, 2025</t>
  </si>
  <si>
    <t>October 9, 2025</t>
  </si>
  <si>
    <t>October 14, 2025</t>
  </si>
  <si>
    <t>October 23, 2025</t>
  </si>
  <si>
    <t>October 28, 2025</t>
  </si>
  <si>
    <t>November 13, 2025</t>
  </si>
  <si>
    <t>November 18, 2025</t>
  </si>
  <si>
    <t>November 27, 2025</t>
  </si>
  <si>
    <t>December 2, 2025</t>
  </si>
  <si>
    <t>January 27, 2026</t>
  </si>
  <si>
    <t>February 3, 2026</t>
  </si>
  <si>
    <t>February 5, 2026</t>
  </si>
  <si>
    <t>February 10, 2026</t>
  </si>
  <si>
    <t>February 12, 2026</t>
  </si>
  <si>
    <t>February 24, 2026</t>
  </si>
  <si>
    <t>February 26, 2026</t>
  </si>
  <si>
    <t>March 3, 2026</t>
  </si>
  <si>
    <t>March 5, 2026</t>
  </si>
  <si>
    <t>March 10, 2026</t>
  </si>
  <si>
    <t>March 12, 2026</t>
  </si>
  <si>
    <t>March 17, 2026</t>
  </si>
  <si>
    <t>March 19, 2026</t>
  </si>
  <si>
    <t>March 24, 2026</t>
  </si>
  <si>
    <t>March 26, 2026</t>
  </si>
  <si>
    <t>March 31, 2026</t>
  </si>
  <si>
    <t>April 2, 2026</t>
  </si>
  <si>
    <t>April 7, 2026</t>
  </si>
  <si>
    <t>April 9, 2026</t>
  </si>
  <si>
    <t>David</t>
  </si>
  <si>
    <t>Ribkoff</t>
  </si>
  <si>
    <t>Ryan</t>
  </si>
  <si>
    <t>Chen</t>
  </si>
  <si>
    <t>Myles</t>
  </si>
  <si>
    <t>MacPherson</t>
  </si>
  <si>
    <t>Tyler</t>
  </si>
  <si>
    <t>Mah</t>
  </si>
  <si>
    <t>Nathan</t>
  </si>
  <si>
    <t>Fenske</t>
  </si>
  <si>
    <t>Jackie</t>
  </si>
  <si>
    <t>Cai</t>
  </si>
  <si>
    <t>Edward</t>
  </si>
  <si>
    <t>Dong</t>
  </si>
  <si>
    <t>Kaden</t>
  </si>
  <si>
    <t>Ali</t>
  </si>
  <si>
    <t>Matthew</t>
  </si>
  <si>
    <t>Barclay</t>
  </si>
  <si>
    <t>Pavel</t>
  </si>
  <si>
    <t>Zykmund</t>
  </si>
  <si>
    <t>Rita</t>
  </si>
  <si>
    <t>Shweihat</t>
  </si>
  <si>
    <t>Sam</t>
  </si>
  <si>
    <t>Ahn</t>
  </si>
  <si>
    <t>Aidan</t>
  </si>
  <si>
    <t>Kwong</t>
  </si>
  <si>
    <t>Eduard</t>
  </si>
  <si>
    <t>Zavedei</t>
  </si>
  <si>
    <t>Ohemaa</t>
  </si>
  <si>
    <t>Acheampong</t>
  </si>
  <si>
    <t>Ben</t>
  </si>
  <si>
    <t>Bulyovsky</t>
  </si>
  <si>
    <t>Brock</t>
  </si>
  <si>
    <t>Suidgeest</t>
  </si>
  <si>
    <t>Cyrus</t>
  </si>
  <si>
    <t>Bechtold</t>
  </si>
  <si>
    <t>Jillian</t>
  </si>
  <si>
    <t>Ouyang</t>
  </si>
  <si>
    <t>Rohan</t>
  </si>
  <si>
    <t>Mandi</t>
  </si>
  <si>
    <t>Ethan</t>
  </si>
  <si>
    <t>Kim</t>
  </si>
  <si>
    <t>Kyler</t>
  </si>
  <si>
    <t>See</t>
  </si>
  <si>
    <t>Aaron</t>
  </si>
  <si>
    <t>Kara</t>
  </si>
  <si>
    <t>Aiden</t>
  </si>
  <si>
    <t>Ko</t>
  </si>
  <si>
    <t>Allen</t>
  </si>
  <si>
    <t>Liu</t>
  </si>
  <si>
    <t>Aman</t>
  </si>
  <si>
    <t>Bains</t>
  </si>
  <si>
    <t>Anna</t>
  </si>
  <si>
    <t>Yu</t>
  </si>
  <si>
    <t>Carson</t>
  </si>
  <si>
    <t>Cull</t>
  </si>
  <si>
    <t>Cole</t>
  </si>
  <si>
    <t>Eisen</t>
  </si>
  <si>
    <t>Korchinski</t>
  </si>
  <si>
    <t>Damon</t>
  </si>
  <si>
    <t>Deng</t>
  </si>
  <si>
    <t>Daniel</t>
  </si>
  <si>
    <t>Dillabough</t>
  </si>
  <si>
    <t>Darren</t>
  </si>
  <si>
    <t>Poku</t>
  </si>
  <si>
    <t>Dikang</t>
  </si>
  <si>
    <t>Fu</t>
  </si>
  <si>
    <t>Elliott</t>
  </si>
  <si>
    <t>Beames</t>
  </si>
  <si>
    <t>Emma</t>
  </si>
  <si>
    <t>Sproxton</t>
  </si>
  <si>
    <t>Forrest</t>
  </si>
  <si>
    <t>Hermary</t>
  </si>
  <si>
    <t>Hao</t>
  </si>
  <si>
    <t>Bai</t>
  </si>
  <si>
    <t>Himaksh</t>
  </si>
  <si>
    <t>Talreja</t>
  </si>
  <si>
    <t>James</t>
  </si>
  <si>
    <t>Kilfoil</t>
  </si>
  <si>
    <t>Jared</t>
  </si>
  <si>
    <t>Lipski</t>
  </si>
  <si>
    <t>Jayden</t>
  </si>
  <si>
    <t>Agarwal</t>
  </si>
  <si>
    <t>Marcus</t>
  </si>
  <si>
    <t>Athwal</t>
  </si>
  <si>
    <t>Pape</t>
  </si>
  <si>
    <t>Fernandes</t>
  </si>
  <si>
    <t>Medet</t>
  </si>
  <si>
    <t>Kazbek</t>
  </si>
  <si>
    <t>Visentin</t>
  </si>
  <si>
    <t>Noah</t>
  </si>
  <si>
    <t>George</t>
  </si>
  <si>
    <t>Noella</t>
  </si>
  <si>
    <t>Or</t>
  </si>
  <si>
    <t>Oscar</t>
  </si>
  <si>
    <t>Pari</t>
  </si>
  <si>
    <t>Shah</t>
  </si>
  <si>
    <t>Tsymbalyuk</t>
  </si>
  <si>
    <t>Priyansh</t>
  </si>
  <si>
    <t>Sharma</t>
  </si>
  <si>
    <t>Quenifer</t>
  </si>
  <si>
    <t>Lung</t>
  </si>
  <si>
    <t>Rachel</t>
  </si>
  <si>
    <t>Xu</t>
  </si>
  <si>
    <t>Ray</t>
  </si>
  <si>
    <t>Macaulay</t>
  </si>
  <si>
    <t>Richard</t>
  </si>
  <si>
    <t>Pan</t>
  </si>
  <si>
    <t>Sabrina</t>
  </si>
  <si>
    <t>Vong</t>
  </si>
  <si>
    <t>Sanjay</t>
  </si>
  <si>
    <t>Snaidero</t>
  </si>
  <si>
    <t>Sawyer</t>
  </si>
  <si>
    <t>Sanderson</t>
  </si>
  <si>
    <t>Verissa</t>
  </si>
  <si>
    <t>William</t>
  </si>
  <si>
    <t>Zach</t>
  </si>
  <si>
    <t>Brotman</t>
  </si>
  <si>
    <t>Zack</t>
  </si>
  <si>
    <t>yes</t>
  </si>
  <si>
    <t>Aadam</t>
  </si>
  <si>
    <t>Lakhani</t>
  </si>
  <si>
    <t>Aakaash</t>
  </si>
  <si>
    <t>Shankar</t>
  </si>
  <si>
    <t>Hamilton</t>
  </si>
  <si>
    <t>Ye</t>
  </si>
  <si>
    <t>Abdullah</t>
  </si>
  <si>
    <t>Imran</t>
  </si>
  <si>
    <t>Adam</t>
  </si>
  <si>
    <t>Dasilva</t>
  </si>
  <si>
    <t>Adrian</t>
  </si>
  <si>
    <t>Adrien</t>
  </si>
  <si>
    <t>Soupa</t>
  </si>
  <si>
    <t>Ahmed</t>
  </si>
  <si>
    <t>Mohammed</t>
  </si>
  <si>
    <t>Gertler</t>
  </si>
  <si>
    <t>Ajai</t>
  </si>
  <si>
    <t>Lingenfelter</t>
  </si>
  <si>
    <t>Alan</t>
  </si>
  <si>
    <t>Long</t>
  </si>
  <si>
    <t>Alex</t>
  </si>
  <si>
    <t>Fan-Lun</t>
  </si>
  <si>
    <t>Xiao</t>
  </si>
  <si>
    <t>f</t>
  </si>
  <si>
    <t>Nguyen</t>
  </si>
  <si>
    <t xml:space="preserve">Verified </t>
  </si>
  <si>
    <t>Alexander</t>
  </si>
  <si>
    <t>Kowalski</t>
  </si>
  <si>
    <t>Musarai</t>
  </si>
  <si>
    <t>Li</t>
  </si>
  <si>
    <t>Akinci</t>
  </si>
  <si>
    <t>Issa</t>
  </si>
  <si>
    <t>Aliran</t>
  </si>
  <si>
    <t>Kadashev</t>
  </si>
  <si>
    <t>Amal</t>
  </si>
  <si>
    <t>Sathees</t>
  </si>
  <si>
    <t>Amar</t>
  </si>
  <si>
    <t>Aggarwal</t>
  </si>
  <si>
    <t>Anas</t>
  </si>
  <si>
    <t>Ahmet</t>
  </si>
  <si>
    <t>Andres</t>
  </si>
  <si>
    <t>Pedreros</t>
  </si>
  <si>
    <t>Andrew</t>
  </si>
  <si>
    <t>Anil</t>
  </si>
  <si>
    <t>Maharaj</t>
  </si>
  <si>
    <t>Anthony</t>
  </si>
  <si>
    <t>Braccio</t>
  </si>
  <si>
    <t>Di Pasquale</t>
  </si>
  <si>
    <t>Anush</t>
  </si>
  <si>
    <t>Subasan</t>
  </si>
  <si>
    <t>Arad</t>
  </si>
  <si>
    <t>Farrahi</t>
  </si>
  <si>
    <t>Sahebjamei</t>
  </si>
  <si>
    <t>Ari</t>
  </si>
  <si>
    <t>Citak</t>
  </si>
  <si>
    <t>Arianna</t>
  </si>
  <si>
    <t>Tan</t>
  </si>
  <si>
    <t>Arion</t>
  </si>
  <si>
    <t>Mestanovski</t>
  </si>
  <si>
    <t>Arthur</t>
  </si>
  <si>
    <t>Schneider</t>
  </si>
  <si>
    <t>Ashley</t>
  </si>
  <si>
    <t>Shanthikumar</t>
  </si>
  <si>
    <t>Athan</t>
  </si>
  <si>
    <t>Kang</t>
  </si>
  <si>
    <t>Ayham</t>
  </si>
  <si>
    <t>Noor</t>
  </si>
  <si>
    <t>Balthazar</t>
  </si>
  <si>
    <t>Plat</t>
  </si>
  <si>
    <t>Barron</t>
  </si>
  <si>
    <t>Diao</t>
  </si>
  <si>
    <t>Goldstein</t>
  </si>
  <si>
    <t>Murphy</t>
  </si>
  <si>
    <t>Benjamin</t>
  </si>
  <si>
    <t>Gorospe</t>
  </si>
  <si>
    <t>Le Brun</t>
  </si>
  <si>
    <t>Namayandeh</t>
  </si>
  <si>
    <t>Zheng</t>
  </si>
  <si>
    <t>Bhargav</t>
  </si>
  <si>
    <t>Kandlakuti</t>
  </si>
  <si>
    <t>Bilal</t>
  </si>
  <si>
    <t>Hachem</t>
  </si>
  <si>
    <t>Brandon</t>
  </si>
  <si>
    <t>Roy</t>
  </si>
  <si>
    <t>Brayden</t>
  </si>
  <si>
    <t>Nykamp</t>
  </si>
  <si>
    <t>Bryce</t>
  </si>
  <si>
    <t>Ector</t>
  </si>
  <si>
    <t>Bupa</t>
  </si>
  <si>
    <t>Zhang</t>
  </si>
  <si>
    <t>Cameron</t>
  </si>
  <si>
    <t>Tran</t>
  </si>
  <si>
    <t>Minol</t>
  </si>
  <si>
    <t>Carter</t>
  </si>
  <si>
    <t>Hollingsworth</t>
  </si>
  <si>
    <t>Charlie</t>
  </si>
  <si>
    <t>Kernaghan</t>
  </si>
  <si>
    <t>Fry</t>
  </si>
  <si>
    <t>Chris</t>
  </si>
  <si>
    <t>Christopher</t>
  </si>
  <si>
    <t>Grieve</t>
  </si>
  <si>
    <t>Clara</t>
  </si>
  <si>
    <t>Connor</t>
  </si>
  <si>
    <t>Hung</t>
  </si>
  <si>
    <t>Curtis</t>
  </si>
  <si>
    <t>Elve</t>
  </si>
  <si>
    <t>Dami</t>
  </si>
  <si>
    <t>Oyefeso</t>
  </si>
  <si>
    <t>Dan</t>
  </si>
  <si>
    <t xml:space="preserve">De Leary </t>
  </si>
  <si>
    <t>Qiai</t>
  </si>
  <si>
    <t>Qiao</t>
  </si>
  <si>
    <t>Musoni</t>
  </si>
  <si>
    <t>Solesa</t>
  </si>
  <si>
    <t>Dara</t>
  </si>
  <si>
    <t>Shokouhian</t>
  </si>
  <si>
    <t>Fuentes</t>
  </si>
  <si>
    <t>Dehou</t>
  </si>
  <si>
    <t>Kong</t>
  </si>
  <si>
    <t>Deniz</t>
  </si>
  <si>
    <t>Shelica</t>
  </si>
  <si>
    <t>Dipraman</t>
  </si>
  <si>
    <t>Ghosh</t>
  </si>
  <si>
    <t>Dominic</t>
  </si>
  <si>
    <t>Chiera</t>
  </si>
  <si>
    <t>Dominik</t>
  </si>
  <si>
    <t>Nowakowski</t>
  </si>
  <si>
    <t>Echo</t>
  </si>
  <si>
    <t>Bao</t>
  </si>
  <si>
    <t>Edison</t>
  </si>
  <si>
    <t>Yang</t>
  </si>
  <si>
    <t>Eesa</t>
  </si>
  <si>
    <t>Huq</t>
  </si>
  <si>
    <t>Elbrus</t>
  </si>
  <si>
    <t>Gadmaliyev</t>
  </si>
  <si>
    <t>Scott</t>
  </si>
  <si>
    <t>Emre</t>
  </si>
  <si>
    <t>Gulyurt</t>
  </si>
  <si>
    <t>Erfan</t>
  </si>
  <si>
    <t>Zarenia</t>
  </si>
  <si>
    <t>Eric</t>
  </si>
  <si>
    <t>Song</t>
  </si>
  <si>
    <t>Zhao</t>
  </si>
  <si>
    <t>Schmidt</t>
  </si>
  <si>
    <t>Evan</t>
  </si>
  <si>
    <t>Sahadeo</t>
  </si>
  <si>
    <t>Evelyn</t>
  </si>
  <si>
    <t>Everett</t>
  </si>
  <si>
    <t>McEwen</t>
  </si>
  <si>
    <t>Ewan</t>
  </si>
  <si>
    <t>Reid</t>
  </si>
  <si>
    <t>Gabe</t>
  </si>
  <si>
    <t>Mclellan</t>
  </si>
  <si>
    <t>Gabriel</t>
  </si>
  <si>
    <t>Casiero</t>
  </si>
  <si>
    <t>Gary</t>
  </si>
  <si>
    <t>Chung</t>
  </si>
  <si>
    <t>Gavin</t>
  </si>
  <si>
    <t>Nichols</t>
  </si>
  <si>
    <t>Florea</t>
  </si>
  <si>
    <t>Grayson</t>
  </si>
  <si>
    <t>Adams</t>
  </si>
  <si>
    <t>Hafsah</t>
  </si>
  <si>
    <t>Sikandar</t>
  </si>
  <si>
    <t>Hamza</t>
  </si>
  <si>
    <t>Khamissa</t>
  </si>
  <si>
    <t>Haoyi</t>
  </si>
  <si>
    <t>Wang</t>
  </si>
  <si>
    <t>Harold</t>
  </si>
  <si>
    <t>Haroun</t>
  </si>
  <si>
    <t>Elamin</t>
  </si>
  <si>
    <t>Hatim</t>
  </si>
  <si>
    <t>Adamjee</t>
  </si>
  <si>
    <t>Hiram</t>
  </si>
  <si>
    <t>Lee</t>
  </si>
  <si>
    <t>Hooman</t>
  </si>
  <si>
    <t>Nozari</t>
  </si>
  <si>
    <t>Ian</t>
  </si>
  <si>
    <t>Imrie</t>
  </si>
  <si>
    <t>Johnson</t>
  </si>
  <si>
    <t>Ilya</t>
  </si>
  <si>
    <t>Beuermann</t>
  </si>
  <si>
    <t>Ivan</t>
  </si>
  <si>
    <t>Zhou</t>
  </si>
  <si>
    <t>Jack</t>
  </si>
  <si>
    <t>Watson</t>
  </si>
  <si>
    <t>Jacob</t>
  </si>
  <si>
    <t>Bailey</t>
  </si>
  <si>
    <t>Crowley</t>
  </si>
  <si>
    <t>Dusza</t>
  </si>
  <si>
    <t>Jaebin</t>
  </si>
  <si>
    <t>Shin</t>
  </si>
  <si>
    <t>Jahangir</t>
  </si>
  <si>
    <t>Abdullayev</t>
  </si>
  <si>
    <t>Jakob</t>
  </si>
  <si>
    <t>Smintich</t>
  </si>
  <si>
    <t>Kendel</t>
  </si>
  <si>
    <t>Juo</t>
  </si>
  <si>
    <t>Jasmin</t>
  </si>
  <si>
    <t>Gu</t>
  </si>
  <si>
    <t>Jasmine</t>
  </si>
  <si>
    <t>Jason</t>
  </si>
  <si>
    <t>Jiawei</t>
  </si>
  <si>
    <t>Jincheng</t>
  </si>
  <si>
    <t>Jiang</t>
  </si>
  <si>
    <t>Jinglang</t>
  </si>
  <si>
    <t>Sun</t>
  </si>
  <si>
    <t>Johnny</t>
  </si>
  <si>
    <t>Jonas</t>
  </si>
  <si>
    <t>Neumann</t>
  </si>
  <si>
    <t>Jordan</t>
  </si>
  <si>
    <t>Joseph</t>
  </si>
  <si>
    <t>Liao</t>
  </si>
  <si>
    <t>Josh</t>
  </si>
  <si>
    <t>Sandler</t>
  </si>
  <si>
    <t>Joshua</t>
  </si>
  <si>
    <t>Pascazi</t>
  </si>
  <si>
    <t>Julian</t>
  </si>
  <si>
    <t>Pawchuk</t>
  </si>
  <si>
    <t>Justin</t>
  </si>
  <si>
    <t>Chow</t>
  </si>
  <si>
    <t>Kadin</t>
  </si>
  <si>
    <t>Broomhead</t>
  </si>
  <si>
    <t>Kalundi</t>
  </si>
  <si>
    <t>Serumaga</t>
  </si>
  <si>
    <t>Kalyan</t>
  </si>
  <si>
    <t>Jande</t>
  </si>
  <si>
    <t>Kenneth</t>
  </si>
  <si>
    <t>Kenodh</t>
  </si>
  <si>
    <t>Ekanayake</t>
  </si>
  <si>
    <t>Kevin</t>
  </si>
  <si>
    <t>Mehrzad</t>
  </si>
  <si>
    <t>Khoi</t>
  </si>
  <si>
    <t>Luu</t>
  </si>
  <si>
    <t>Kieran</t>
  </si>
  <si>
    <t>Kimia</t>
  </si>
  <si>
    <t>Azizi Mehr</t>
  </si>
  <si>
    <t>Kiran</t>
  </si>
  <si>
    <t>Shu</t>
  </si>
  <si>
    <t>Kongduo</t>
  </si>
  <si>
    <t>Konrad</t>
  </si>
  <si>
    <t>Zawadzki</t>
  </si>
  <si>
    <t>Krish</t>
  </si>
  <si>
    <t>Chandola</t>
  </si>
  <si>
    <t xml:space="preserve">Krish </t>
  </si>
  <si>
    <t>Mehta</t>
  </si>
  <si>
    <t xml:space="preserve">Kyle </t>
  </si>
  <si>
    <t>Lawrence</t>
  </si>
  <si>
    <t>Alvarez-Smith</t>
  </si>
  <si>
    <t>Leo</t>
  </si>
  <si>
    <t>Leonardo</t>
  </si>
  <si>
    <t>Panarello</t>
  </si>
  <si>
    <t>Liam</t>
  </si>
  <si>
    <t>Surka</t>
  </si>
  <si>
    <t>Lidia</t>
  </si>
  <si>
    <t>Permia</t>
  </si>
  <si>
    <t>Louis</t>
  </si>
  <si>
    <t>Vaupotic</t>
  </si>
  <si>
    <t>Luckshane</t>
  </si>
  <si>
    <t>Imparaza</t>
  </si>
  <si>
    <t>Lucy</t>
  </si>
  <si>
    <t>Luke</t>
  </si>
  <si>
    <t>Bannan</t>
  </si>
  <si>
    <t>Mahbod</t>
  </si>
  <si>
    <t>Miraly</t>
  </si>
  <si>
    <t>Marcel</t>
  </si>
  <si>
    <t>Cannan La France</t>
  </si>
  <si>
    <t>Marco</t>
  </si>
  <si>
    <t>Marissa</t>
  </si>
  <si>
    <t>Vu</t>
  </si>
  <si>
    <t>Mark</t>
  </si>
  <si>
    <t>Ejakpomewhe</t>
  </si>
  <si>
    <t>Marko</t>
  </si>
  <si>
    <t>Mladenovic</t>
  </si>
  <si>
    <t xml:space="preserve">Marko </t>
  </si>
  <si>
    <t>Damjanovic</t>
  </si>
  <si>
    <t>Didn't Pay Yet</t>
  </si>
  <si>
    <t>Martin</t>
  </si>
  <si>
    <t>Gomez</t>
  </si>
  <si>
    <t>Marzouq</t>
  </si>
  <si>
    <t>Mohsin</t>
  </si>
  <si>
    <t>Mason</t>
  </si>
  <si>
    <t>Doshi</t>
  </si>
  <si>
    <t>Mateen</t>
  </si>
  <si>
    <t>Mahdavian</t>
  </si>
  <si>
    <t>Ji</t>
  </si>
  <si>
    <t>Nazaruk</t>
  </si>
  <si>
    <t>Pealow</t>
  </si>
  <si>
    <t>Tubrett</t>
  </si>
  <si>
    <t>Choi</t>
  </si>
  <si>
    <t>Max</t>
  </si>
  <si>
    <t>Gavric</t>
  </si>
  <si>
    <t>Maxim</t>
  </si>
  <si>
    <t>Skubitsky</t>
  </si>
  <si>
    <t>Mekayel</t>
  </si>
  <si>
    <t>Qureshi</t>
  </si>
  <si>
    <t>Mia</t>
  </si>
  <si>
    <t>Szavo</t>
  </si>
  <si>
    <t>Michael</t>
  </si>
  <si>
    <t>Ng</t>
  </si>
  <si>
    <t>Salazar</t>
  </si>
  <si>
    <t>Mirkomil</t>
  </si>
  <si>
    <t>Oblokulov</t>
  </si>
  <si>
    <t>Moksh</t>
  </si>
  <si>
    <t>Muhammad</t>
  </si>
  <si>
    <t>Mukund</t>
  </si>
  <si>
    <t>Gupta</t>
  </si>
  <si>
    <t>Nasir</t>
  </si>
  <si>
    <t>Ghaibi</t>
  </si>
  <si>
    <t>Byers</t>
  </si>
  <si>
    <t>Konotopsky</t>
  </si>
  <si>
    <t>Nickon</t>
  </si>
  <si>
    <t>Askari</t>
  </si>
  <si>
    <t>Nihal</t>
  </si>
  <si>
    <t>Gill</t>
  </si>
  <si>
    <t>Nikola</t>
  </si>
  <si>
    <t>Dora</t>
  </si>
  <si>
    <t>Oliver</t>
  </si>
  <si>
    <t>Good</t>
  </si>
  <si>
    <t>Olly</t>
  </si>
  <si>
    <t>West</t>
  </si>
  <si>
    <t>Owen</t>
  </si>
  <si>
    <t>Hu</t>
  </si>
  <si>
    <t>Param</t>
  </si>
  <si>
    <t>Parum</t>
  </si>
  <si>
    <t>Patel</t>
  </si>
  <si>
    <t>Patrick</t>
  </si>
  <si>
    <t xml:space="preserve">Tendon </t>
  </si>
  <si>
    <t>Pratyush</t>
  </si>
  <si>
    <t>Singh</t>
  </si>
  <si>
    <t>Punit</t>
  </si>
  <si>
    <t>Guddeti</t>
  </si>
  <si>
    <t>Qingtong</t>
  </si>
  <si>
    <t>Rahil</t>
  </si>
  <si>
    <t>Kochhar</t>
  </si>
  <si>
    <t>Rami</t>
  </si>
  <si>
    <t>Shafikov</t>
  </si>
  <si>
    <t xml:space="preserve">Ravekpal </t>
  </si>
  <si>
    <t>Chahal</t>
  </si>
  <si>
    <t>Giasson</t>
  </si>
  <si>
    <t>Ge</t>
  </si>
  <si>
    <t>Sonibare</t>
  </si>
  <si>
    <t>Rishi</t>
  </si>
  <si>
    <t>Bhaskara</t>
  </si>
  <si>
    <t>River</t>
  </si>
  <si>
    <t>Robert</t>
  </si>
  <si>
    <t>Tomicic II</t>
  </si>
  <si>
    <t>Rocco</t>
  </si>
  <si>
    <t>Le Donne</t>
  </si>
  <si>
    <t>Rohum</t>
  </si>
  <si>
    <t>Zaman</t>
  </si>
  <si>
    <t>Romina</t>
  </si>
  <si>
    <t>Tabesh</t>
  </si>
  <si>
    <t>Rui Xi</t>
  </si>
  <si>
    <t>Qiu</t>
  </si>
  <si>
    <t>Morrison</t>
  </si>
  <si>
    <t>Qian</t>
  </si>
  <si>
    <t>Sale</t>
  </si>
  <si>
    <t>Jouhere</t>
  </si>
  <si>
    <t>Salaar</t>
  </si>
  <si>
    <t>Das</t>
  </si>
  <si>
    <t>Sameer</t>
  </si>
  <si>
    <t>Aziz</t>
  </si>
  <si>
    <t>Samuel</t>
  </si>
  <si>
    <t>Lu</t>
  </si>
  <si>
    <t>Sax-Marton</t>
  </si>
  <si>
    <t>Sarmad</t>
  </si>
  <si>
    <t>Siddiqui</t>
  </si>
  <si>
    <t>Sebastian</t>
  </si>
  <si>
    <t>Seren</t>
  </si>
  <si>
    <t>Kalfa</t>
  </si>
  <si>
    <t>Shanbir</t>
  </si>
  <si>
    <t>Hira</t>
  </si>
  <si>
    <t>Shayaan</t>
  </si>
  <si>
    <t>Tanvir</t>
  </si>
  <si>
    <t>Shayan</t>
  </si>
  <si>
    <t>Shiyu</t>
  </si>
  <si>
    <t>Sierra</t>
  </si>
  <si>
    <t>Spencer</t>
  </si>
  <si>
    <t>Bulley</t>
  </si>
  <si>
    <t>Steven</t>
  </si>
  <si>
    <t>Kom</t>
  </si>
  <si>
    <t>Luo</t>
  </si>
  <si>
    <t>Sulang</t>
  </si>
  <si>
    <t>Hou</t>
  </si>
  <si>
    <t>Sunny</t>
  </si>
  <si>
    <t>Sydney</t>
  </si>
  <si>
    <t>Xie</t>
  </si>
  <si>
    <t>Syed</t>
  </si>
  <si>
    <t>Taha</t>
  </si>
  <si>
    <t>Taidhg</t>
  </si>
  <si>
    <t>Tajalli</t>
  </si>
  <si>
    <t>Taige</t>
  </si>
  <si>
    <t>Taowei</t>
  </si>
  <si>
    <t>Thomas</t>
  </si>
  <si>
    <t xml:space="preserve">Timothy </t>
  </si>
  <si>
    <t>Yeung</t>
  </si>
  <si>
    <t>Toma</t>
  </si>
  <si>
    <t>Pituscan</t>
  </si>
  <si>
    <t>Tomas</t>
  </si>
  <si>
    <t>Cuni</t>
  </si>
  <si>
    <t>Tommy</t>
  </si>
  <si>
    <t>Truong</t>
  </si>
  <si>
    <t>Griffiths</t>
  </si>
  <si>
    <t>Maddox</t>
  </si>
  <si>
    <t>Vanessa</t>
  </si>
  <si>
    <t>Olutayo</t>
  </si>
  <si>
    <t>Victor</t>
  </si>
  <si>
    <t>Pivtoran</t>
  </si>
  <si>
    <t>Vik</t>
  </si>
  <si>
    <t>Anandkmar</t>
  </si>
  <si>
    <t>Vishall Balaji</t>
  </si>
  <si>
    <t>Balakrishnan</t>
  </si>
  <si>
    <t>Vivaan</t>
  </si>
  <si>
    <t>Master</t>
  </si>
  <si>
    <t>Meldrum</t>
  </si>
  <si>
    <t>Yahvi</t>
  </si>
  <si>
    <t>Yan Xiang</t>
  </si>
  <si>
    <t>Zou</t>
  </si>
  <si>
    <t>Yassin</t>
  </si>
  <si>
    <t>Mohamed</t>
  </si>
  <si>
    <t>Yoni</t>
  </si>
  <si>
    <t>Silbershatz</t>
  </si>
  <si>
    <t>Youngjun</t>
  </si>
  <si>
    <t>Cho</t>
  </si>
  <si>
    <t>Yue</t>
  </si>
  <si>
    <t>Yusuf</t>
  </si>
  <si>
    <t>Mohmand</t>
  </si>
  <si>
    <t>Zachary</t>
  </si>
  <si>
    <t>Hersi</t>
  </si>
  <si>
    <t>Zain</t>
  </si>
  <si>
    <t>Husain</t>
  </si>
  <si>
    <t>Zeeshan</t>
  </si>
  <si>
    <t>Khan</t>
  </si>
  <si>
    <t>Zhen Hao</t>
  </si>
  <si>
    <t>Huang</t>
  </si>
  <si>
    <t>Zhiye</t>
  </si>
  <si>
    <t>Ziad</t>
  </si>
  <si>
    <t>Elnagar</t>
  </si>
  <si>
    <t>Zoe</t>
  </si>
  <si>
    <t>Rosenfeld</t>
  </si>
  <si>
    <t>Rayane</t>
  </si>
  <si>
    <t>Row Labels</t>
  </si>
  <si>
    <t>Sum of Attendance Rate</t>
  </si>
  <si>
    <t>N</t>
  </si>
  <si>
    <t>Alan Long</t>
  </si>
  <si>
    <t>Y</t>
  </si>
  <si>
    <t>Evelyn Zhang</t>
  </si>
  <si>
    <t>Yug</t>
  </si>
  <si>
    <t>Kadin Broomhead</t>
  </si>
  <si>
    <t>Gregory</t>
  </si>
  <si>
    <t>Aiden Gertler</t>
  </si>
  <si>
    <t>Grand Total</t>
  </si>
  <si>
    <t>Divya</t>
  </si>
  <si>
    <t># Players left</t>
  </si>
  <si>
    <t>IF('Weekly Attendance'!x6="Yes",'Weekly Attendance'!$D6,"")</t>
  </si>
  <si>
    <t>Total chips:</t>
  </si>
  <si>
    <t>#Bust-outs</t>
  </si>
  <si>
    <t>Average Stack</t>
  </si>
  <si>
    <t>ctrl + shift + ;</t>
  </si>
  <si>
    <t>Sort this column Z-A</t>
  </si>
  <si>
    <t>BOUNTY HUNTER TOURNAMENT</t>
  </si>
  <si>
    <t>Rebuy</t>
  </si>
  <si>
    <t>Time</t>
  </si>
  <si>
    <t>True Rank</t>
  </si>
  <si>
    <t>Samuel Sax-Marton</t>
  </si>
  <si>
    <t>Gabe Mclellan</t>
  </si>
  <si>
    <t>Edison Li</t>
  </si>
  <si>
    <t>Daniel Musoni</t>
  </si>
  <si>
    <t>Ian Imrie</t>
  </si>
  <si>
    <t>Eric Song</t>
  </si>
  <si>
    <t>Dipraman Ghosh</t>
  </si>
  <si>
    <t>Chris Kim</t>
  </si>
  <si>
    <t>Liam Carter</t>
  </si>
  <si>
    <t>Mukund Gupta</t>
  </si>
  <si>
    <t>Vik Anandkmar</t>
  </si>
  <si>
    <t>Maxim Skubitsky</t>
  </si>
  <si>
    <t>Richard Sonibare</t>
  </si>
  <si>
    <t>Taidhg Tajalli</t>
  </si>
  <si>
    <t>Tommy Truong</t>
  </si>
  <si>
    <t>Yue Wang</t>
  </si>
  <si>
    <t>Thomas Liu</t>
  </si>
  <si>
    <t>Kongduo Li</t>
  </si>
  <si>
    <t>Justin Chow</t>
  </si>
  <si>
    <t>Kalundi Serumaga</t>
  </si>
  <si>
    <t>Curtis Elve</t>
  </si>
  <si>
    <t>Hatim Adamjee</t>
  </si>
  <si>
    <t>River Jiang</t>
  </si>
  <si>
    <t>Konrad Zawadzki</t>
  </si>
  <si>
    <t>William Vu</t>
  </si>
  <si>
    <t>Daniel Li</t>
  </si>
  <si>
    <t>Adrian Liu</t>
  </si>
  <si>
    <t>Alexander Kowalski</t>
  </si>
  <si>
    <t>Jacob Dusza</t>
  </si>
  <si>
    <t>Oliver Good</t>
  </si>
  <si>
    <t>Vishall Balaji Balakrishnan</t>
  </si>
  <si>
    <t>Matthew Choi</t>
  </si>
  <si>
    <t>Aaron Hamilton</t>
  </si>
  <si>
    <t>Victor Pivtoran</t>
  </si>
  <si>
    <t>Daniel Zheng</t>
  </si>
  <si>
    <t>Gary Chung</t>
  </si>
  <si>
    <t>Abdullah Imran</t>
  </si>
  <si>
    <t>Shayaan Tanvir</t>
  </si>
  <si>
    <t>Sarmad Siddiqui</t>
  </si>
  <si>
    <t>Moksh Shah</t>
  </si>
  <si>
    <t>Hooman Nozari</t>
  </si>
  <si>
    <t>Shayan Ahmed</t>
  </si>
  <si>
    <t>Aliran Kadashev</t>
  </si>
  <si>
    <t xml:space="preserve">Dan De Leary </t>
  </si>
  <si>
    <t>Zain Husain</t>
  </si>
  <si>
    <t>Lucy Kim</t>
  </si>
  <si>
    <t>Alex Nguyen</t>
  </si>
  <si>
    <t>Everett McEwen</t>
  </si>
  <si>
    <t>Punit Guddeti</t>
  </si>
  <si>
    <t>Kalyan Jande</t>
  </si>
  <si>
    <t>Owen Hu</t>
  </si>
  <si>
    <t>Benjamin Zheng</t>
  </si>
  <si>
    <t>Rahil Kochhar</t>
  </si>
  <si>
    <t>Andrew Liu</t>
  </si>
  <si>
    <t>Romina Tabesh</t>
  </si>
  <si>
    <t>Luckshane Imparaza</t>
  </si>
  <si>
    <t>Sunny Zhao</t>
  </si>
  <si>
    <t>Anthony Braccio</t>
  </si>
  <si>
    <t>Dami Oyefeso</t>
  </si>
  <si>
    <t>Shanbir Hira</t>
  </si>
  <si>
    <t>Jinglang Sun</t>
  </si>
  <si>
    <t xml:space="preserve">Patrick Tendon </t>
  </si>
  <si>
    <t>Vanessa Olutayo</t>
  </si>
  <si>
    <t>Ryan Qian</t>
  </si>
  <si>
    <t>Kyle  Chen</t>
  </si>
  <si>
    <t>Nikola Dora</t>
  </si>
  <si>
    <t>Jasmin Gu</t>
  </si>
  <si>
    <t>Marko Mladenovic</t>
  </si>
  <si>
    <t>Yoni Silbershatz</t>
  </si>
  <si>
    <t>Carter Hollingsworth</t>
  </si>
  <si>
    <t>Krish Chandola</t>
  </si>
  <si>
    <t>Yan Xiang Zou</t>
  </si>
  <si>
    <t>Timothy  Yeung</t>
  </si>
  <si>
    <t>Zhen Hao Huang</t>
  </si>
  <si>
    <t>Bhargav Kandlakuti</t>
  </si>
  <si>
    <t>Erfan Zarenia</t>
  </si>
  <si>
    <t>Muhammad Abdullah</t>
  </si>
  <si>
    <t>Mark Ejakpomewhe</t>
  </si>
  <si>
    <t>Dominic Chiera</t>
  </si>
  <si>
    <t>Kenneth Liu</t>
  </si>
  <si>
    <t>Mahbod Miraly</t>
  </si>
  <si>
    <t>Vikrant Anandkmar</t>
  </si>
  <si>
    <t>Sameer Aziz</t>
  </si>
  <si>
    <t>Nathan Konotopsky</t>
  </si>
  <si>
    <t>Samuel Lu</t>
  </si>
  <si>
    <t>Matthew Nazaruk</t>
  </si>
  <si>
    <t>Michael Salazar</t>
  </si>
  <si>
    <t>Ilya Beuermann</t>
  </si>
  <si>
    <t>Leonardo Panarello</t>
  </si>
  <si>
    <t>Andres Pedreros</t>
  </si>
  <si>
    <t>Qingtong Hu</t>
  </si>
  <si>
    <t>Aaron Ye</t>
  </si>
  <si>
    <t>Jiawei Bai</t>
  </si>
  <si>
    <t>Alexander Musarai</t>
  </si>
  <si>
    <t>Zachary Hersi</t>
  </si>
  <si>
    <t>Ethan Schmidt</t>
  </si>
  <si>
    <t>Sydney Xie</t>
  </si>
  <si>
    <t>Luke Bannan</t>
  </si>
  <si>
    <t>Matthew Ji</t>
  </si>
  <si>
    <t>Adam Dasilva</t>
  </si>
  <si>
    <t>Zeeshan Khan</t>
  </si>
  <si>
    <t>Ziad Elnagar</t>
  </si>
  <si>
    <t>Cameron Minol</t>
  </si>
  <si>
    <t>Param Agarwal</t>
  </si>
  <si>
    <t>Daniel Solesa</t>
  </si>
  <si>
    <t>Taowei Liu</t>
  </si>
  <si>
    <t>James Forrest</t>
  </si>
  <si>
    <t>Ryan Sale</t>
  </si>
  <si>
    <t>Hiram Lee</t>
  </si>
  <si>
    <t>Kieran Kwong</t>
  </si>
  <si>
    <t>Taige Zhang</t>
  </si>
  <si>
    <t>Hamza Khamissa</t>
  </si>
  <si>
    <t>Marko Nguyen</t>
  </si>
  <si>
    <t>Yahvi Patel</t>
  </si>
  <si>
    <t>James Juo</t>
  </si>
  <si>
    <t>Nasir Ghaibi</t>
  </si>
  <si>
    <t>Nihil Gill</t>
  </si>
  <si>
    <t>Marzouq Mohsin</t>
  </si>
  <si>
    <t>Marcel Cannan La France</t>
  </si>
  <si>
    <t>Emma Scott</t>
  </si>
  <si>
    <t>Krish  Mehta</t>
  </si>
  <si>
    <t>Noah Lee</t>
  </si>
  <si>
    <t>Ziad Elnagagar</t>
  </si>
  <si>
    <t>Alex Yu</t>
  </si>
  <si>
    <t>Grayson Adams</t>
  </si>
  <si>
    <t>Dan Qiao</t>
  </si>
  <si>
    <t>Lidia Permia</t>
  </si>
  <si>
    <t>Lawrence Xu</t>
  </si>
  <si>
    <t>Ari Citak</t>
  </si>
  <si>
    <t>Jahangir Abdullayev</t>
  </si>
  <si>
    <t>Harold Zhang</t>
  </si>
  <si>
    <t>Mirkomil Oblokulov</t>
  </si>
  <si>
    <t>Anthony Di Pasquale</t>
  </si>
  <si>
    <t>Dara Shokouhian</t>
  </si>
  <si>
    <t>Marcus Cameron</t>
  </si>
  <si>
    <t>Jaebin Shin</t>
  </si>
  <si>
    <t>Ethan Zhao</t>
  </si>
  <si>
    <t>Robert Tomicic II</t>
  </si>
  <si>
    <t>Johnny Yang</t>
  </si>
  <si>
    <t>Rami Shafikov</t>
  </si>
  <si>
    <t>Ali Akinci</t>
  </si>
  <si>
    <t>Jonas Neumann</t>
  </si>
  <si>
    <t>Clara Chen</t>
  </si>
  <si>
    <t>Jack Watson</t>
  </si>
  <si>
    <t>Lawrence Alvarez-Smith</t>
  </si>
  <si>
    <t>Alex Fan-Lun</t>
  </si>
  <si>
    <t>Nathan Byers</t>
  </si>
  <si>
    <t>Ayham Noor</t>
  </si>
  <si>
    <t>Alex Xiao</t>
  </si>
  <si>
    <t>Zain Ahmed</t>
  </si>
  <si>
    <t>Josh Sandler</t>
  </si>
  <si>
    <t>Toma Pituscan</t>
  </si>
  <si>
    <t>Amar Aggarwal</t>
  </si>
  <si>
    <t>David Fuentes</t>
  </si>
  <si>
    <t>Amal Sathees</t>
  </si>
  <si>
    <t>Olly West</t>
  </si>
  <si>
    <t>Evan Sahadeo</t>
  </si>
  <si>
    <t>Khoi Luu</t>
  </si>
  <si>
    <t>Allen Li</t>
  </si>
  <si>
    <t>Jincheng Jiang</t>
  </si>
  <si>
    <t>Charlie Kernaghan</t>
  </si>
  <si>
    <t>Anush Subasan</t>
  </si>
  <si>
    <t>Youngjun Cho</t>
  </si>
  <si>
    <t>Ben Goldstein</t>
  </si>
  <si>
    <t>Leo Yang</t>
  </si>
  <si>
    <t>Marko  Damjanovic</t>
  </si>
  <si>
    <t>Steven Kom</t>
  </si>
  <si>
    <t>Marco Jiang</t>
  </si>
  <si>
    <t>Kiran Shu</t>
  </si>
  <si>
    <t>Ashley Shanthikumar</t>
  </si>
  <si>
    <t>Taha Siddiqui</t>
  </si>
  <si>
    <t>Max Gavric</t>
  </si>
  <si>
    <t>Salaar Ali</t>
  </si>
  <si>
    <t>Brayden Nykamp</t>
  </si>
  <si>
    <t>Kevin Mehrzad</t>
  </si>
  <si>
    <t>Haroun Elamin</t>
  </si>
  <si>
    <t>Syed Bilal</t>
  </si>
  <si>
    <t>Michael Ng</t>
  </si>
  <si>
    <t>Deniz Shelica</t>
  </si>
  <si>
    <t>Bupa Zhang</t>
  </si>
  <si>
    <t>Yassin Mohamed</t>
  </si>
  <si>
    <t>Arad Sahebjamei</t>
  </si>
  <si>
    <t>Adrien Soupa</t>
  </si>
  <si>
    <t>Parum Patel</t>
  </si>
  <si>
    <t>Rui Xi Qiu</t>
  </si>
  <si>
    <t>Arad Farrahi</t>
  </si>
  <si>
    <t>Seren Kalfa</t>
  </si>
  <si>
    <t>Ravekpal  Chahal</t>
  </si>
  <si>
    <t>Sam Das</t>
  </si>
  <si>
    <t>Bilal Hachem</t>
  </si>
  <si>
    <t>Sulang Hou</t>
  </si>
  <si>
    <t>Hafsah Sikandar</t>
  </si>
  <si>
    <t>Spencer Bulley</t>
  </si>
  <si>
    <t>Dominik Nowakowski</t>
  </si>
  <si>
    <t>Steven Luo</t>
  </si>
  <si>
    <t>Marissa Vu</t>
  </si>
  <si>
    <t>Arion Mestanovski</t>
  </si>
  <si>
    <t>Amer Aggarwal</t>
  </si>
  <si>
    <t>Brandon Roy</t>
  </si>
  <si>
    <t>Athan Kang</t>
  </si>
  <si>
    <t>Aadam Lakhani</t>
  </si>
  <si>
    <t>Edward Yang</t>
  </si>
  <si>
    <t>Jasmine Xu</t>
  </si>
  <si>
    <t>Alex Xu</t>
  </si>
  <si>
    <t>Lee Li</t>
  </si>
  <si>
    <t>Rishi Bhaskara</t>
  </si>
  <si>
    <t>Anas Ahmet</t>
  </si>
  <si>
    <t>Nianxi Xie</t>
  </si>
  <si>
    <t>Nicholas Corcoran</t>
  </si>
  <si>
    <t>Richard Ge</t>
  </si>
  <si>
    <t>James Kendel</t>
  </si>
  <si>
    <t>Pratyush Singh</t>
  </si>
  <si>
    <t>Martin Gomez</t>
  </si>
  <si>
    <t>Anil Maharaj</t>
  </si>
  <si>
    <t>Ewan Reid</t>
  </si>
  <si>
    <t>Yusuf Mohmand</t>
  </si>
  <si>
    <t>Ahmed Mohammed</t>
  </si>
  <si>
    <t>Hafsah Sikandr</t>
  </si>
  <si>
    <t>Joseph Liao</t>
  </si>
  <si>
    <t>Balthazar Plat</t>
  </si>
  <si>
    <t>Rohan Mehta</t>
  </si>
  <si>
    <t>Ryan Morrison</t>
  </si>
  <si>
    <t>Alexander Li</t>
  </si>
  <si>
    <t>Gabe McLellan</t>
  </si>
  <si>
    <t>Mateen Mahdavian</t>
  </si>
  <si>
    <t>Benjamin Gorospe</t>
  </si>
  <si>
    <t>Bryce Ector</t>
  </si>
  <si>
    <t>Ryan Jouhere</t>
  </si>
  <si>
    <t>Matthew  Choi</t>
  </si>
  <si>
    <t>Charlie Fry</t>
  </si>
  <si>
    <t>Zhiye Liu</t>
  </si>
  <si>
    <t>Shiyu Sun</t>
  </si>
  <si>
    <t>Benjamin Namayandeh</t>
  </si>
  <si>
    <t>Ali Issa</t>
  </si>
  <si>
    <t>Tyler Maddox</t>
  </si>
  <si>
    <t>Elbrus Gadmaliyev</t>
  </si>
  <si>
    <t>Dehou Kong</t>
  </si>
  <si>
    <t>Jordan Nguyen</t>
  </si>
  <si>
    <t>Dilan Behruz</t>
  </si>
  <si>
    <t xml:space="preserve">                                                                                                                                                                                                 </t>
  </si>
  <si>
    <t>Arthur Schneider</t>
  </si>
  <si>
    <t>Mehammad Abdullah</t>
  </si>
  <si>
    <t>Matthew Tubrett</t>
  </si>
  <si>
    <t>Ivan Zhou</t>
  </si>
  <si>
    <t>Barron Diao</t>
  </si>
  <si>
    <t xml:space="preserve">Julian </t>
  </si>
  <si>
    <t>Jason Kang</t>
  </si>
  <si>
    <t>Stack Size</t>
  </si>
  <si>
    <t>Table #</t>
  </si>
  <si>
    <t>Random</t>
  </si>
  <si>
    <t>Table 1</t>
  </si>
  <si>
    <t>Table 2</t>
  </si>
  <si>
    <t>Table 3</t>
  </si>
  <si>
    <t>Table1</t>
  </si>
  <si>
    <t>Button - UTG</t>
  </si>
  <si>
    <t>UTG + 1 - CO</t>
  </si>
  <si>
    <t>Table2</t>
  </si>
  <si>
    <t>(End of Sem 1)</t>
  </si>
  <si>
    <t>Table3</t>
  </si>
  <si>
    <t>Table4</t>
  </si>
  <si>
    <t>Buy-In</t>
  </si>
  <si>
    <t>Table5</t>
  </si>
  <si>
    <t>9500</t>
  </si>
  <si>
    <t>Table6</t>
  </si>
  <si>
    <t>10,000</t>
  </si>
  <si>
    <t>Table 4</t>
  </si>
  <si>
    <t>Table 5</t>
  </si>
  <si>
    <t>Table 6</t>
  </si>
  <si>
    <t>8000</t>
  </si>
  <si>
    <t>8500</t>
  </si>
  <si>
    <t>9000</t>
  </si>
  <si>
    <t>Dealer</t>
  </si>
  <si>
    <t>????</t>
  </si>
  <si>
    <t>Orange</t>
  </si>
  <si>
    <t>SB</t>
  </si>
  <si>
    <t>Yellow</t>
  </si>
  <si>
    <t>BB</t>
  </si>
  <si>
    <t>Table Fairness Checker</t>
  </si>
  <si>
    <t>UTG</t>
  </si>
  <si>
    <t>Strong table lower bound</t>
  </si>
  <si>
    <t>UTG + 1</t>
  </si>
  <si>
    <t>Weak table upper bound</t>
  </si>
  <si>
    <t>Indigo</t>
  </si>
  <si>
    <t>UTG + 2 (LJ 8)</t>
  </si>
  <si>
    <t>Purple</t>
  </si>
  <si>
    <t>UTG +3 (LJ 9, HJ 8)</t>
  </si>
  <si>
    <t>Gray</t>
  </si>
  <si>
    <t>UTG + 4 (HJ 9)</t>
  </si>
  <si>
    <t>Pink</t>
  </si>
  <si>
    <t>CO</t>
  </si>
  <si>
    <t>Event</t>
  </si>
  <si>
    <t>=XLOOKUP([@Name],Table21112164202122[Name],Table21112164202122[Points],"DNP",0,1)</t>
  </si>
  <si>
    <t>Totals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</si>
  <si>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</si>
  <si>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</si>
  <si>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</si>
  <si>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</si>
  <si>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</si>
  <si>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</si>
  <si>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</si>
  <si>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</si>
  <si>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</si>
  <si>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</si>
  <si>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IFERROR(PERCENTRANK.INC(Table21112164202122[True Rank],XLOOKUP([@Name],Table21112164202122[Name],Table21112164202122[True Rank],"DNP",0,1)),"DNP")</t>
  </si>
  <si>
    <t>Column6</t>
  </si>
  <si>
    <t>Column7</t>
  </si>
  <si>
    <t>Column8</t>
  </si>
  <si>
    <t>Stats</t>
  </si>
  <si>
    <t>Games played</t>
  </si>
  <si>
    <t>Avg. Rank (percentile)</t>
  </si>
  <si>
    <t>Points per game average</t>
  </si>
  <si>
    <t>Final table appearances</t>
  </si>
  <si>
    <t>Points per final table</t>
  </si>
  <si>
    <t>Final table appearance rate</t>
  </si>
  <si>
    <t>Chips won</t>
  </si>
  <si>
    <t>GP</t>
  </si>
  <si>
    <t>Performance Rating</t>
  </si>
  <si>
    <t>PPG (avg.)</t>
  </si>
  <si>
    <t>FTA</t>
  </si>
  <si>
    <t>PPFT</t>
  </si>
  <si>
    <t>FTAR</t>
  </si>
  <si>
    <t>CW</t>
  </si>
  <si>
    <t>Avg. Total Players</t>
  </si>
  <si>
    <t>Avg. Rebuys</t>
  </si>
  <si>
    <t>Avg. Total Stacks</t>
  </si>
  <si>
    <t>Max Total Stacks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</si>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</sst>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F800]dddd\,\ mmmm\ dd\,\ yyyy"/>
    <numFmt numFmtId="165" formatCode="0.0"/>
    <numFmt numFmtId="166" formatCode="0.00000000"/>
    <numFmt numFmtId="167" formatCode="0.0%"/>
    <numFmt numFmtId="168" formatCode="yy/mm/dd;@"/>
    <numFmt numFmtId="169" formatCode="0.00000000000"/>
    <numFmt numFmtId="170" formatCode="[$-F400]h:mm:ss\ AM/PM"/>
  </numFmts>
  <fonts count="27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Calibri Light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8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i/>
      <sz val="16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6AF36"/>
        <bgColor indexed="64"/>
      </patternFill>
    </fill>
    <fill>
      <patternFill patternType="solid">
        <fgColor rgb="FFA7A7AD"/>
        <bgColor indexed="64"/>
      </patternFill>
    </fill>
    <fill>
      <patternFill patternType="solid">
        <fgColor rgb="FFA770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DEF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F268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848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8BF6C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20" fillId="0" borderId="38" applyNumberFormat="0" applyFill="0" applyAlignment="0" applyProtection="0"/>
  </cellStyleXfs>
  <cellXfs count="171">
    <xf numFmtId="0" fontId="0" fillId="0" borderId="0" xfId="0"/>
    <xf numFmtId="0" fontId="1" fillId="0" borderId="1" xfId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5" fontId="1" fillId="0" borderId="0" xfId="1" applyNumberFormat="1" applyFill="1" applyBorder="1"/>
    <xf numFmtId="164" fontId="5" fillId="0" borderId="0" xfId="0" applyNumberFormat="1" applyFont="1" applyAlignment="1">
      <alignment horizontal="center"/>
    </xf>
    <xf numFmtId="18" fontId="0" fillId="0" borderId="0" xfId="0" applyNumberFormat="1"/>
    <xf numFmtId="0" fontId="3" fillId="0" borderId="0" xfId="0" applyFont="1" applyAlignment="1">
      <alignment vertical="center"/>
    </xf>
    <xf numFmtId="0" fontId="6" fillId="0" borderId="0" xfId="0" applyFont="1"/>
    <xf numFmtId="0" fontId="0" fillId="0" borderId="3" xfId="0" applyBorder="1"/>
    <xf numFmtId="0" fontId="8" fillId="3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2" xfId="1" applyBorder="1"/>
    <xf numFmtId="0" fontId="2" fillId="6" borderId="4" xfId="0" applyFont="1" applyFill="1" applyBorder="1"/>
    <xf numFmtId="1" fontId="2" fillId="6" borderId="5" xfId="0" applyNumberFormat="1" applyFont="1" applyFill="1" applyBorder="1"/>
    <xf numFmtId="0" fontId="2" fillId="6" borderId="6" xfId="0" applyFont="1" applyFill="1" applyBorder="1"/>
    <xf numFmtId="1" fontId="2" fillId="6" borderId="7" xfId="0" applyNumberFormat="1" applyFont="1" applyFill="1" applyBorder="1"/>
    <xf numFmtId="0" fontId="2" fillId="6" borderId="8" xfId="0" applyFont="1" applyFill="1" applyBorder="1"/>
    <xf numFmtId="1" fontId="2" fillId="6" borderId="9" xfId="0" applyNumberFormat="1" applyFont="1" applyFill="1" applyBorder="1"/>
    <xf numFmtId="0" fontId="10" fillId="0" borderId="0" xfId="2" applyFont="1"/>
    <xf numFmtId="9" fontId="0" fillId="0" borderId="0" xfId="3" applyFont="1"/>
    <xf numFmtId="0" fontId="7" fillId="2" borderId="0" xfId="0" applyFont="1" applyFill="1"/>
    <xf numFmtId="0" fontId="7" fillId="0" borderId="0" xfId="0" applyFont="1"/>
    <xf numFmtId="164" fontId="7" fillId="0" borderId="0" xfId="0" applyNumberFormat="1" applyFont="1"/>
    <xf numFmtId="0" fontId="0" fillId="0" borderId="4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0" fillId="7" borderId="0" xfId="2" applyFont="1" applyFill="1" applyBorder="1" applyAlignment="1">
      <alignment wrapText="1"/>
    </xf>
    <xf numFmtId="16" fontId="7" fillId="0" borderId="0" xfId="1" applyNumberFormat="1" applyFont="1" applyFill="1" applyBorder="1"/>
    <xf numFmtId="1" fontId="0" fillId="0" borderId="0" xfId="0" applyNumberFormat="1"/>
    <xf numFmtId="0" fontId="12" fillId="0" borderId="0" xfId="0" applyFont="1"/>
    <xf numFmtId="164" fontId="12" fillId="0" borderId="0" xfId="0" applyNumberFormat="1" applyFont="1"/>
    <xf numFmtId="0" fontId="5" fillId="0" borderId="0" xfId="0" applyFont="1"/>
    <xf numFmtId="0" fontId="14" fillId="0" borderId="0" xfId="0" applyFont="1"/>
    <xf numFmtId="164" fontId="5" fillId="0" borderId="0" xfId="0" applyNumberFormat="1" applyFont="1"/>
    <xf numFmtId="0" fontId="0" fillId="10" borderId="17" xfId="0" applyFill="1" applyBorder="1"/>
    <xf numFmtId="49" fontId="0" fillId="10" borderId="18" xfId="0" applyNumberFormat="1" applyFill="1" applyBorder="1"/>
    <xf numFmtId="0" fontId="0" fillId="6" borderId="17" xfId="0" applyFill="1" applyBorder="1"/>
    <xf numFmtId="49" fontId="0" fillId="6" borderId="18" xfId="0" applyNumberFormat="1" applyFill="1" applyBorder="1"/>
    <xf numFmtId="49" fontId="0" fillId="6" borderId="17" xfId="0" applyNumberFormat="1" applyFill="1" applyBorder="1"/>
    <xf numFmtId="49" fontId="0" fillId="6" borderId="16" xfId="0" applyNumberFormat="1" applyFill="1" applyBorder="1"/>
    <xf numFmtId="0" fontId="0" fillId="6" borderId="16" xfId="0" applyFill="1" applyBorder="1"/>
    <xf numFmtId="49" fontId="0" fillId="0" borderId="17" xfId="0" applyNumberFormat="1" applyBorder="1"/>
    <xf numFmtId="0" fontId="0" fillId="0" borderId="17" xfId="0" applyBorder="1"/>
    <xf numFmtId="0" fontId="0" fillId="0" borderId="19" xfId="0" applyBorder="1"/>
    <xf numFmtId="0" fontId="15" fillId="0" borderId="0" xfId="0" applyFont="1"/>
    <xf numFmtId="1" fontId="15" fillId="0" borderId="0" xfId="0" applyNumberFormat="1" applyFont="1"/>
    <xf numFmtId="18" fontId="16" fillId="0" borderId="0" xfId="1" applyNumberFormat="1" applyFont="1" applyFill="1" applyBorder="1"/>
    <xf numFmtId="16" fontId="17" fillId="0" borderId="0" xfId="1" applyNumberFormat="1" applyFont="1" applyFill="1" applyBorder="1"/>
    <xf numFmtId="0" fontId="18" fillId="11" borderId="4" xfId="0" applyFont="1" applyFill="1" applyBorder="1"/>
    <xf numFmtId="0" fontId="18" fillId="11" borderId="10" xfId="0" applyFont="1" applyFill="1" applyBorder="1"/>
    <xf numFmtId="0" fontId="18" fillId="11" borderId="5" xfId="0" applyFont="1" applyFill="1" applyBorder="1"/>
    <xf numFmtId="0" fontId="17" fillId="0" borderId="0" xfId="1" applyFont="1" applyFill="1" applyBorder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9" fontId="15" fillId="0" borderId="0" xfId="3" applyFont="1" applyAlignment="1">
      <alignment horizontal="center"/>
    </xf>
    <xf numFmtId="1" fontId="15" fillId="0" borderId="0" xfId="3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0" xfId="0" quotePrefix="1" applyFont="1"/>
    <xf numFmtId="166" fontId="15" fillId="0" borderId="0" xfId="0" applyNumberFormat="1" applyFont="1"/>
    <xf numFmtId="1" fontId="13" fillId="8" borderId="6" xfId="0" applyNumberFormat="1" applyFont="1" applyFill="1" applyBorder="1" applyAlignment="1">
      <alignment horizontal="center"/>
    </xf>
    <xf numFmtId="1" fontId="13" fillId="8" borderId="0" xfId="0" applyNumberFormat="1" applyFont="1" applyFill="1" applyAlignment="1">
      <alignment horizontal="center"/>
    </xf>
    <xf numFmtId="1" fontId="13" fillId="8" borderId="7" xfId="0" applyNumberFormat="1" applyFont="1" applyFill="1" applyBorder="1" applyAlignment="1">
      <alignment horizontal="center"/>
    </xf>
    <xf numFmtId="1" fontId="13" fillId="8" borderId="8" xfId="0" applyNumberFormat="1" applyFont="1" applyFill="1" applyBorder="1" applyAlignment="1">
      <alignment horizontal="center"/>
    </xf>
    <xf numFmtId="1" fontId="13" fillId="8" borderId="11" xfId="0" applyNumberFormat="1" applyFont="1" applyFill="1" applyBorder="1" applyAlignment="1">
      <alignment horizontal="center"/>
    </xf>
    <xf numFmtId="1" fontId="13" fillId="8" borderId="9" xfId="0" applyNumberFormat="1" applyFont="1" applyFill="1" applyBorder="1" applyAlignment="1">
      <alignment horizontal="center"/>
    </xf>
    <xf numFmtId="0" fontId="17" fillId="0" borderId="4" xfId="1" applyFont="1" applyFill="1" applyBorder="1"/>
    <xf numFmtId="0" fontId="17" fillId="0" borderId="10" xfId="1" applyFont="1" applyFill="1" applyBorder="1"/>
    <xf numFmtId="0" fontId="17" fillId="0" borderId="5" xfId="1" applyFont="1" applyFill="1" applyBorder="1"/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20" fontId="16" fillId="0" borderId="0" xfId="1" applyNumberFormat="1" applyFont="1" applyFill="1" applyBorder="1"/>
    <xf numFmtId="0" fontId="8" fillId="0" borderId="0" xfId="0" applyFont="1" applyAlignment="1">
      <alignment horizontal="center"/>
    </xf>
    <xf numFmtId="1" fontId="2" fillId="6" borderId="9" xfId="0" applyNumberFormat="1" applyFont="1" applyFill="1" applyBorder="1" applyAlignment="1">
      <alignment horizontal="right"/>
    </xf>
    <xf numFmtId="0" fontId="0" fillId="0" borderId="28" xfId="0" applyBorder="1"/>
    <xf numFmtId="16" fontId="17" fillId="12" borderId="23" xfId="1" applyNumberFormat="1" applyFont="1" applyFill="1" applyBorder="1"/>
    <xf numFmtId="16" fontId="17" fillId="12" borderId="22" xfId="1" applyNumberFormat="1" applyFont="1" applyFill="1" applyBorder="1"/>
    <xf numFmtId="16" fontId="7" fillId="12" borderId="24" xfId="1" applyNumberFormat="1" applyFont="1" applyFill="1" applyBorder="1"/>
    <xf numFmtId="16" fontId="17" fillId="12" borderId="29" xfId="1" applyNumberFormat="1" applyFont="1" applyFill="1" applyBorder="1"/>
    <xf numFmtId="16" fontId="17" fillId="12" borderId="30" xfId="1" applyNumberFormat="1" applyFont="1" applyFill="1" applyBorder="1"/>
    <xf numFmtId="16" fontId="7" fillId="12" borderId="31" xfId="1" applyNumberFormat="1" applyFont="1" applyFill="1" applyBorder="1"/>
    <xf numFmtId="16" fontId="7" fillId="12" borderId="20" xfId="1" applyNumberFormat="1" applyFont="1" applyFill="1" applyBorder="1"/>
    <xf numFmtId="0" fontId="15" fillId="0" borderId="26" xfId="0" applyFont="1" applyBorder="1"/>
    <xf numFmtId="0" fontId="15" fillId="0" borderId="25" xfId="0" applyFont="1" applyBorder="1"/>
    <xf numFmtId="0" fontId="15" fillId="0" borderId="27" xfId="0" applyFont="1" applyBorder="1"/>
    <xf numFmtId="0" fontId="15" fillId="0" borderId="32" xfId="0" applyFont="1" applyBorder="1"/>
    <xf numFmtId="0" fontId="15" fillId="0" borderId="33" xfId="0" applyFont="1" applyBorder="1"/>
    <xf numFmtId="0" fontId="15" fillId="0" borderId="31" xfId="0" applyFont="1" applyBorder="1"/>
    <xf numFmtId="0" fontId="15" fillId="0" borderId="34" xfId="0" applyFont="1" applyBorder="1"/>
    <xf numFmtId="0" fontId="15" fillId="0" borderId="35" xfId="0" applyFont="1" applyBorder="1"/>
    <xf numFmtId="0" fontId="15" fillId="0" borderId="36" xfId="0" applyFont="1" applyBorder="1"/>
    <xf numFmtId="0" fontId="15" fillId="9" borderId="0" xfId="0" applyFont="1" applyFill="1"/>
    <xf numFmtId="0" fontId="15" fillId="13" borderId="0" xfId="0" applyFont="1" applyFill="1"/>
    <xf numFmtId="0" fontId="0" fillId="6" borderId="0" xfId="0" applyFill="1"/>
    <xf numFmtId="9" fontId="0" fillId="0" borderId="0" xfId="3" applyFont="1" applyAlignment="1">
      <alignment horizontal="center" vertical="center"/>
    </xf>
    <xf numFmtId="167" fontId="15" fillId="0" borderId="0" xfId="3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0" fillId="0" borderId="0" xfId="0" pivotButton="1"/>
    <xf numFmtId="9" fontId="0" fillId="0" borderId="0" xfId="0" applyNumberFormat="1"/>
    <xf numFmtId="164" fontId="0" fillId="0" borderId="16" xfId="0" applyNumberFormat="1" applyBorder="1"/>
    <xf numFmtId="164" fontId="0" fillId="0" borderId="0" xfId="0" applyNumberFormat="1"/>
    <xf numFmtId="0" fontId="0" fillId="0" borderId="15" xfId="0" applyBorder="1"/>
    <xf numFmtId="49" fontId="0" fillId="0" borderId="18" xfId="0" applyNumberFormat="1" applyBorder="1"/>
    <xf numFmtId="49" fontId="0" fillId="0" borderId="37" xfId="0" applyNumberForma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4" fontId="15" fillId="0" borderId="0" xfId="0" applyNumberFormat="1" applyFont="1"/>
    <xf numFmtId="168" fontId="0" fillId="0" borderId="0" xfId="0" applyNumberFormat="1"/>
    <xf numFmtId="0" fontId="0" fillId="0" borderId="0" xfId="0" applyAlignment="1">
      <alignment horizontal="center"/>
    </xf>
    <xf numFmtId="0" fontId="20" fillId="0" borderId="0" xfId="4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2" fillId="14" borderId="0" xfId="0" applyFont="1" applyFill="1"/>
    <xf numFmtId="0" fontId="22" fillId="15" borderId="0" xfId="0" applyFont="1" applyFill="1"/>
    <xf numFmtId="1" fontId="5" fillId="0" borderId="0" xfId="0" applyNumberFormat="1" applyFont="1" applyAlignment="1">
      <alignment horizontal="center" vertical="center"/>
    </xf>
    <xf numFmtId="0" fontId="22" fillId="9" borderId="0" xfId="0" applyFont="1" applyFill="1"/>
    <xf numFmtId="0" fontId="22" fillId="16" borderId="0" xfId="0" applyFont="1" applyFill="1"/>
    <xf numFmtId="0" fontId="22" fillId="17" borderId="0" xfId="0" applyFont="1" applyFill="1"/>
    <xf numFmtId="0" fontId="22" fillId="18" borderId="0" xfId="0" applyFont="1" applyFill="1"/>
    <xf numFmtId="0" fontId="22" fillId="19" borderId="0" xfId="0" applyFont="1" applyFill="1"/>
    <xf numFmtId="0" fontId="22" fillId="20" borderId="0" xfId="0" applyFont="1" applyFill="1"/>
    <xf numFmtId="0" fontId="22" fillId="21" borderId="0" xfId="0" applyFont="1" applyFill="1"/>
    <xf numFmtId="0" fontId="22" fillId="0" borderId="0" xfId="0" applyFont="1"/>
    <xf numFmtId="169" fontId="13" fillId="0" borderId="0" xfId="0" applyNumberFormat="1" applyFont="1"/>
    <xf numFmtId="0" fontId="24" fillId="0" borderId="1" xfId="1" applyFont="1"/>
    <xf numFmtId="0" fontId="23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2" fillId="6" borderId="10" xfId="0" applyFont="1" applyFill="1" applyBorder="1"/>
    <xf numFmtId="0" fontId="2" fillId="6" borderId="0" xfId="0" applyFont="1" applyFill="1"/>
    <xf numFmtId="0" fontId="2" fillId="6" borderId="11" xfId="0" applyFont="1" applyFill="1" applyBorder="1"/>
    <xf numFmtId="0" fontId="15" fillId="0" borderId="0" xfId="0" applyFont="1" applyAlignment="1">
      <alignment horizontal="left"/>
    </xf>
    <xf numFmtId="18" fontId="16" fillId="0" borderId="1" xfId="1" applyNumberFormat="1" applyFont="1" applyFill="1"/>
    <xf numFmtId="170" fontId="15" fillId="0" borderId="0" xfId="0" applyNumberFormat="1" applyFont="1"/>
    <xf numFmtId="0" fontId="18" fillId="0" borderId="0" xfId="0" applyFont="1"/>
    <xf numFmtId="1" fontId="13" fillId="0" borderId="0" xfId="0" applyNumberFormat="1" applyFont="1" applyAlignment="1">
      <alignment horizontal="center"/>
    </xf>
    <xf numFmtId="0" fontId="0" fillId="0" borderId="27" xfId="0" applyBorder="1"/>
    <xf numFmtId="9" fontId="0" fillId="0" borderId="0" xfId="3" applyFont="1" applyBorder="1"/>
    <xf numFmtId="0" fontId="0" fillId="0" borderId="39" xfId="0" applyBorder="1"/>
    <xf numFmtId="164" fontId="7" fillId="12" borderId="40" xfId="0" applyNumberFormat="1" applyFont="1" applyFill="1" applyBorder="1"/>
    <xf numFmtId="18" fontId="16" fillId="0" borderId="0" xfId="1" applyNumberFormat="1" applyFont="1" applyBorder="1"/>
    <xf numFmtId="0" fontId="25" fillId="0" borderId="0" xfId="0" applyFont="1" applyAlignment="1">
      <alignment horizontal="center"/>
    </xf>
    <xf numFmtId="16" fontId="17" fillId="0" borderId="0" xfId="1" applyNumberFormat="1" applyFont="1" applyBorder="1"/>
    <xf numFmtId="0" fontId="26" fillId="0" borderId="0" xfId="0" applyFont="1"/>
    <xf numFmtId="0" fontId="0" fillId="0" borderId="0" xfId="0" applyAlignment="1">
      <alignment horizontal="center"/>
    </xf>
    <xf numFmtId="0" fontId="25" fillId="0" borderId="0" xfId="0" applyFont="1" applyAlignment="1">
      <alignment horizont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5" fillId="8" borderId="12" xfId="0" applyNumberFormat="1" applyFont="1" applyFill="1" applyBorder="1" applyAlignment="1">
      <alignment horizontal="center"/>
    </xf>
    <xf numFmtId="164" fontId="5" fillId="8" borderId="13" xfId="0" applyNumberFormat="1" applyFont="1" applyFill="1" applyBorder="1" applyAlignment="1">
      <alignment horizontal="center"/>
    </xf>
    <xf numFmtId="164" fontId="5" fillId="8" borderId="14" xfId="0" applyNumberFormat="1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/>
    </xf>
    <xf numFmtId="0" fontId="20" fillId="0" borderId="0" xfId="4" applyBorder="1" applyAlignment="1">
      <alignment horizontal="center"/>
    </xf>
    <xf numFmtId="0" fontId="21" fillId="0" borderId="0" xfId="4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5">
    <cellStyle name="Heading 1" xfId="4" builtinId="16"/>
    <cellStyle name="Heading 3" xfId="1" builtinId="18"/>
    <cellStyle name="Hyperlink" xfId="2" builtinId="8"/>
    <cellStyle name="Normal" xfId="0" builtinId="0"/>
    <cellStyle name="Percent" xfId="3" builtinId="5"/>
  </cellStyles>
  <dxfs count="391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theme="2"/>
        </top>
      </border>
    </dxf>
    <dxf>
      <border outline="0">
        <left style="thin">
          <color auto="1"/>
        </left>
        <right style="thin">
          <color auto="1"/>
        </right>
        <top style="thin">
          <color theme="2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color theme="0"/>
      </font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</dxf>
    <dxf>
      <font>
        <sz val="12"/>
      </font>
      <numFmt numFmtId="1" formatCode="0"/>
    </dxf>
    <dxf>
      <font>
        <sz val="12"/>
      </font>
      <numFmt numFmtId="170" formatCode="[$-F400]h:mm:ss\ AM/PM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top style="thick">
          <color theme="4"/>
        </top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0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FF9999"/>
        </patternFill>
      </fill>
    </dxf>
    <dxf>
      <fill>
        <patternFill>
          <bgColor theme="7" tint="0.5999633777886288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medium">
          <color theme="4" tint="0.39997558519241921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</border>
    </dxf>
    <dxf>
      <font>
        <b val="0"/>
        <sz val="12"/>
        <color theme="3"/>
      </font>
      <numFmt numFmtId="23" formatCode="h:mm\ AM/PM"/>
      <fill>
        <patternFill patternType="none">
          <fgColor indexed="64"/>
          <bgColor indexed="65"/>
        </patternFill>
      </fill>
    </dxf>
    <dxf>
      <font>
        <sz val="12"/>
      </font>
      <numFmt numFmtId="0" formatCode="General"/>
    </dxf>
    <dxf>
      <font>
        <sz val="12"/>
      </font>
      <numFmt numFmtId="0" formatCode="General"/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sz val="12"/>
      </font>
      <numFmt numFmtId="1" formatCode="0"/>
    </dxf>
    <dxf>
      <font>
        <sz val="12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numFmt numFmtId="23" formatCode="h:mm\ AM/PM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171" formatCode="dd/mmm"/>
      <fill>
        <patternFill patternType="none">
          <fgColor indexed="64"/>
          <bgColor indexed="65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border diagonalUp="0" diagonalDown="0">
        <left style="thin">
          <color theme="2"/>
        </left>
        <right style="medium">
          <color indexed="64"/>
        </right>
        <top style="thin">
          <color theme="2"/>
        </top>
        <bottom style="thin">
          <color theme="2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rgb="FFA7A7AD"/>
        </patternFill>
      </fill>
    </dxf>
    <dxf>
      <font>
        <color theme="0"/>
      </font>
      <fill>
        <patternFill>
          <bgColor rgb="FFA77044"/>
        </patternFill>
      </fill>
    </dxf>
    <dxf>
      <fill>
        <patternFill>
          <bgColor rgb="FFD6AF36"/>
        </patternFill>
      </fill>
    </dxf>
    <dxf>
      <fill>
        <patternFill patternType="solid">
          <fgColor auto="1"/>
          <bgColor rgb="FFFFABAB"/>
        </patternFill>
      </fill>
    </dxf>
    <dxf>
      <fill>
        <patternFill patternType="solid">
          <fgColor auto="1"/>
          <bgColor rgb="FFCBF4C8"/>
        </patternFill>
      </fill>
    </dxf>
    <dxf>
      <fill>
        <patternFill patternType="solid">
          <fgColor auto="1"/>
          <bgColor rgb="FFCBF4C8"/>
        </patternFill>
      </fill>
    </dxf>
    <dxf>
      <fill>
        <patternFill patternType="solid">
          <fgColor auto="1"/>
          <bgColor rgb="FFFFABAB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2"/>
        </top>
        <bottom style="thin">
          <color theme="2"/>
        </bottom>
        <vertical/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00000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64" formatCode="[$-F800]dddd\,\ mmmm\ dd\,\ 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rgb="FFDDDDDD"/>
        </bottom>
      </border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rgb="FF156082"/>
        </left>
        <top style="thin">
          <color rgb="FF156082"/>
        </top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border diagonalUp="0" diagonalDown="0" outline="0">
        <left/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/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theme="2"/>
        </right>
        <top style="thin">
          <color theme="2"/>
        </top>
        <bottom/>
      </border>
    </dxf>
    <dxf>
      <border outline="0">
        <top style="thin">
          <color theme="2"/>
        </top>
      </border>
    </dxf>
    <dxf>
      <border outline="0">
        <bottom style="thin">
          <color theme="2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theme="2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2"/>
        </vertical>
        <horizontal style="thin">
          <color theme="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theme="2"/>
        </vertical>
        <horizontal style="thin">
          <color theme="2"/>
        </horizontal>
      </border>
    </dxf>
    <dxf>
      <font>
        <b/>
        <i val="0"/>
      </font>
      <fill>
        <patternFill>
          <bgColor rgb="FF4F2683"/>
        </patternFill>
      </fill>
    </dxf>
    <dxf>
      <font>
        <b val="0"/>
        <i val="0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theme="2"/>
        </vertical>
        <horizontal style="thin">
          <color theme="2"/>
        </horizontal>
      </border>
    </dxf>
  </dxfs>
  <tableStyles count="3" defaultTableStyle="TableStyleMedium2" defaultPivotStyle="PivotStyleLight16">
    <tableStyle name="Basic Plain" pivot="0" count="2" xr9:uid="{1D5FCB42-9020-4BB1-B971-E08FA1FFA059}">
      <tableStyleElement type="wholeTable" dxfId="390"/>
      <tableStyleElement type="headerRow" dxfId="389"/>
    </tableStyle>
    <tableStyle name="Basic Plain 2" pivot="0" count="1" xr9:uid="{55ABE75C-565A-456E-8306-1FB805EF5458}">
      <tableStyleElement type="wholeTable" dxfId="388"/>
    </tableStyle>
    <tableStyle name="Basic Plain 3" pivot="0" count="1" xr9:uid="{BC8728B4-928B-42C5-9506-08F8E18B2F43}">
      <tableStyleElement type="wholeTable" dxfId="387"/>
    </tableStyle>
  </tableStyles>
  <colors>
    <mruColors>
      <color rgb="FF8DBAE7"/>
      <color rgb="FF2A77C4"/>
      <color rgb="FF5296DA"/>
      <color rgb="FF65AF75"/>
      <color rgb="FF19753C"/>
      <color rgb="FF98C9A3"/>
      <color rgb="FFE5E5E5"/>
      <color rgb="FF1E8F4A"/>
      <color rgb="FFFFAFAF"/>
      <color rgb="FFE9D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s MacPherson" refreshedDate="46028.806546643522" createdVersion="8" refreshedVersion="8" minRefreshableVersion="3" recordCount="303" xr:uid="{C75A5508-F84D-482D-9AC3-590B2A4AC8A3}">
  <cacheSource type="worksheet">
    <worksheetSource name="Table5"/>
  </cacheSource>
  <cacheFields count="36">
    <cacheField name="First name" numFmtId="0">
      <sharedItems/>
    </cacheField>
    <cacheField name="Last name" numFmtId="0">
      <sharedItems containsBlank="1"/>
    </cacheField>
    <cacheField name="Full name" numFmtId="0">
      <sharedItems count="303">
        <s v="David Ribkoff"/>
        <s v="Ryan Chen"/>
        <s v="Myles MacPherson"/>
        <s v="Tyler Mah"/>
        <s v="Nathan Fenske"/>
        <s v="Jackie Cai"/>
        <s v="Edward Dong"/>
        <s v="Kaden Ali"/>
        <s v="Pavel Zykmund"/>
        <s v="Rita Shweihat"/>
        <s v="Sam Ahn"/>
        <s v="Aidan Kwong"/>
        <s v="Ohemaa Acheampong"/>
        <s v="Brock Suidgeest"/>
        <s v="Cyrus Bechtold"/>
        <s v="Rohan Mandi"/>
        <s v="Ethan Kim"/>
        <s v="Kyler See"/>
        <s v="Aaron Kara"/>
        <s v="Aiden Ko"/>
        <s v="Alan Long"/>
        <s v="Aman Bains"/>
        <s v="Anna Yu"/>
        <s v="Cole Eisen"/>
        <s v="Cole Korchinski"/>
        <s v="Daniel Dillabough"/>
        <s v="Evelyn Zhang"/>
        <s v="Forrest Hermary"/>
        <s v="Hao Bai"/>
        <s v="Himaksh Talreja"/>
        <s v="James Kilfoil"/>
        <s v="Jared Lipski"/>
        <s v="Jayden Agarwal"/>
        <s v="Matthew Barclay"/>
        <s v="Matthew Pape"/>
        <s v="Medet Kazbek"/>
        <s v="Nathan Visentin"/>
        <s v="Noah George"/>
        <s v="Noella Or"/>
        <s v="Priyansh Sharma"/>
        <s v="Quenifer Lung"/>
        <s v="Sanjay Snaidero"/>
        <s v="Sawyer Sanderson"/>
        <s v="Zach Brotman"/>
        <s v="Zack Hao"/>
        <s v="Aadam Lakhani"/>
        <s v="Aakaash Shankar"/>
        <s v="Aaron Hamilton"/>
        <s v="Aaron Ye"/>
        <s v="Abdullah Imran"/>
        <s v="Adam Dasilva"/>
        <s v="Adrian  Liu"/>
        <s v="Ahmed Mohammed"/>
        <s v="Aiden Gertler"/>
        <s v="Ajai Lingenfelter"/>
        <s v="Alex Fan-Lun"/>
        <s v="Alex Xiao"/>
        <s v="Alexander Kowalski"/>
        <s v="Alexander Musarai"/>
        <s v="Ali Akinci"/>
        <s v="Ali Issa"/>
        <s v="Aliran Kadashev"/>
        <s v="Allen Li"/>
        <s v="Allen Liu"/>
        <s v="Amal Sathees"/>
        <s v="Amar Aggarwal"/>
        <s v="Anas Ahmet"/>
        <s v="Andrew Liu"/>
        <s v="Anil Maharaj"/>
        <s v="Anthony Braccio"/>
        <s v="Anthony Di Pasquale"/>
        <s v="Anush Subasan"/>
        <s v="Arad Farrahi"/>
        <s v="Arad Sahebjamei"/>
        <s v="Ari Citak"/>
        <s v="Arianna Tan"/>
        <s v="Arion Mestanovski"/>
        <s v="Ashley Shanthikumar"/>
        <s v="Athan Kang"/>
        <s v="Ayham Noor"/>
        <s v="Barron Diao"/>
        <s v="Ben Goldstein"/>
        <s v="Ben Murphy"/>
        <s v="Benjamin Bulyovsky"/>
        <s v="Benjamin Gorospe"/>
        <s v="Benjamin Le Brun"/>
        <s v="Benjamin Namayandeh"/>
        <s v="Benjamin Zheng"/>
        <s v="Bhargav Kandlakuti"/>
        <s v="Bilal Hachem"/>
        <s v="Brandon Roy"/>
        <s v="Brayden Nykamp"/>
        <s v="Bryce Ector"/>
        <s v="Bupa Zhang"/>
        <s v="Cameron Tran"/>
        <s v="Carson Cull"/>
        <s v="Charles Kernaghan"/>
        <s v="Charlie Fry"/>
        <s v="Chris Kim"/>
        <s v="Christopher Grieve"/>
        <s v="Clara Chen"/>
        <s v="Connor Hung"/>
        <s v="Dami Oyefeso"/>
        <s v="Damon Deng"/>
        <s v="Dan De Leary "/>
        <s v="Dan Qiai"/>
        <s v="Dan Qiao"/>
        <s v="Daniel Li"/>
        <s v="Daniel Musoni"/>
        <s v="Daniel Solesa"/>
        <s v="Daniel Zheng"/>
        <s v="Dara Shokouhian"/>
        <s v="Darren Poku"/>
        <s v="Dehou Kong"/>
        <s v="Dikang Fu"/>
        <s v="Dominic Chiera"/>
        <s v="Dominik Nowakowski"/>
        <s v="Echo Bao"/>
        <s v="Edison Li"/>
        <s v="Edward Yang"/>
        <s v="Edward Zavedei"/>
        <s v="Eesa Huq"/>
        <s v="Elbrus Gadmaliyev"/>
        <s v="Emma Sproxton"/>
        <s v="Emre Gulyurt"/>
        <s v="Erfan Zarenia"/>
        <s v="Eric Song"/>
        <s v="Evan Sahadeo"/>
        <s v="Ewan Reid"/>
        <s v="Gabe Mclellan"/>
        <s v="Gabriel Casiero"/>
        <s v="Gary Chung"/>
        <s v="Gavin Nichols"/>
        <s v="George Florea"/>
        <s v="Grayson Adams"/>
        <s v="Hamza Khamissa"/>
        <s v="Haoyi Wang"/>
        <s v="Harold Zhang"/>
        <s v="Haroun Elamin"/>
        <s v="Hatim Adamjee"/>
        <s v="Hiram Lee"/>
        <s v="Hooman Nozari"/>
        <s v="Ian Imrie"/>
        <s v="Ian Johnson"/>
        <s v="Ilya Beuermann"/>
        <s v="Ivan Zhou"/>
        <s v="Jack Scott"/>
        <s v="Jack Watson"/>
        <s v="Jacob Bailey"/>
        <s v="Jacob Crowley"/>
        <s v="Jaebin Shin"/>
        <s v="Jahangir Abdullayev"/>
        <s v="Jakob Smintich"/>
        <s v="James Forrest"/>
        <s v="James Kendel"/>
        <s v="Jasmin Gu"/>
        <s v="Jasmine Xu"/>
        <s v="Jason Kang"/>
        <s v="Jiawei Bai"/>
        <s v="Jillian Ouyang"/>
        <s v="Jinglang Sun"/>
        <s v="Johnny Yang"/>
        <s v="Jonas Neumann"/>
        <s v="Jordan Nguyen"/>
        <s v="Joseph Liao"/>
        <s v="Josh Sandler"/>
        <s v="Joshua Pascazi"/>
        <s v="Julian Pawchuk"/>
        <s v="Julian "/>
        <s v="Justin Chow"/>
        <s v="Kadin Broomhead"/>
        <s v="Kalyan Jande"/>
        <s v="Kenneth Liu"/>
        <s v="Kenodh Ekanayake"/>
        <s v="Kevin Chen"/>
        <s v="Kevin Mehrzad"/>
        <s v="Khoi Luu"/>
        <s v="Kieran Kwong"/>
        <s v="Kimia Azizi Mehr"/>
        <s v="Kongduo Li"/>
        <s v="Krish Chandola"/>
        <s v="Lawrence Alvarez-Smith"/>
        <s v="Lawrence Xu"/>
        <s v="Lee Li"/>
        <s v="Leo Yang"/>
        <s v="Leonardo Panarello"/>
        <s v="Liam Carter"/>
        <s v="Liam Surka"/>
        <s v="Lidia Permia"/>
        <s v="Louis Vaupotic"/>
        <s v="Luckshane Imparaza"/>
        <s v="Lucy Kim"/>
        <s v="Luke Bannan"/>
        <s v="Mahbod Miraly"/>
        <s v="Marcel Cannan La France"/>
        <s v="Marco Jiang"/>
        <s v="Marcus Athwal"/>
        <s v="Marcus Cameron"/>
        <s v="Marissa  Vu"/>
        <s v="Marko Mladenovic"/>
        <s v="Marko Nguyen"/>
        <s v="Martin Gomez"/>
        <s v="Marzouq Mohsin"/>
        <s v="Mason Doshi"/>
        <s v="Matthew Ji"/>
        <s v="Matthew Nazaruk"/>
        <s v="Matthew Pealow"/>
        <s v="Matthew  Fernandez"/>
        <s v="Max Gavric"/>
        <s v="Mekayel Qureshi"/>
        <s v="Mia Szavo"/>
        <s v="Michael Ng"/>
        <s v="Michael Salazar"/>
        <s v="Michael Xu"/>
        <s v="Moksh Shah"/>
        <s v="Muhammad Abdullah"/>
        <s v="Mukund Gupta"/>
        <s v="Nasir Ghaibi"/>
        <s v="Nathan Byers"/>
        <s v="Nathan Konotopsky"/>
        <s v="Nickon Askari"/>
        <s v="Nikola Dora"/>
        <s v="Noah Lee"/>
        <s v="Olly West"/>
        <s v="Oscar Chen"/>
        <s v="Owen Hu"/>
        <s v="Param Agarwal"/>
        <s v="Pari Shah"/>
        <s v="Parum Patel"/>
        <s v="Patrick Tendon "/>
        <s v="Pavel Tsymbalyuk"/>
        <s v="Punit Guddeti"/>
        <s v="Qingtong Hu"/>
        <s v="Rachel Xu"/>
        <s v="Rahil Kochhar"/>
        <s v="Rami Shafikov"/>
        <s v="Raymond Macaulay"/>
        <s v="Reid Giasson"/>
        <s v="Richard Ge"/>
        <s v="Richard Pan"/>
        <s v="Richard Sonibare"/>
        <s v="Rishi Bhaskara"/>
        <s v="River Jiang"/>
        <s v="Robert Tomicic II"/>
        <s v="Rocco Le Donne"/>
        <s v="Rohan Mehta"/>
        <s v="Rohum Zaman"/>
        <s v="Romina Tabesh"/>
        <s v="Rui Xi Qiu"/>
        <s v="Ryan Morrison"/>
        <s v="Ryan Qian"/>
        <s v="Ryan Sale"/>
        <s v="Ryan Song"/>
        <s v="Sabrina  Vong"/>
        <s v="Salaar Ali"/>
        <s v="Sameer Aziz"/>
        <s v="Samuel Lu"/>
        <s v="Samuel Sax-Marton"/>
        <s v="Sarmad Siddiqui"/>
        <s v="Sebastian Hamilton"/>
        <s v="Shanbir Hira"/>
        <s v="Shayaan Tanvir"/>
        <s v="Shayan Ahmed"/>
        <s v="Shiyu Sun"/>
        <s v="Sierra Hermary"/>
        <s v="Spencer Bulley"/>
        <s v="Steven Kom"/>
        <s v="Steven Luo"/>
        <s v="Sulang Hou"/>
        <s v="Sunny Zhao"/>
        <s v="Syed Bilal"/>
        <s v="Taha Siddiqui"/>
        <s v="Taidhg Tajalli"/>
        <s v="Taige Zhang"/>
        <s v="Thomas Liu"/>
        <s v="Timothy  Yeung"/>
        <s v="Tomas Cuni"/>
        <s v="Tommy Truong"/>
        <s v="Tyler Griffiths"/>
        <s v="Tyler Maddox"/>
        <s v="Vanessa Olutayo"/>
        <s v="Verissa Liu"/>
        <s v="Victor Pivtoran"/>
        <s v="Vik Anandkmar"/>
        <s v="Vishall Balaji Balakrishnan"/>
        <s v="Vivaan Master"/>
        <s v="Elliott Beames"/>
        <s v="William Meldrum"/>
        <s v="William Vu"/>
        <s v="William Wang"/>
        <s v="William  Mah"/>
        <s v="Yassin Mohamed"/>
        <s v="Yonatan Silbershatz"/>
        <s v="Youngjun Cho"/>
        <s v="Yue Wang"/>
        <s v="Yusuf Mohmand"/>
        <s v="Zachary Hersi"/>
        <s v="Zain Husain"/>
        <s v="Zeeshan Khan"/>
        <s v="Zhen Hao Huang"/>
        <s v="Zhiye Liu"/>
        <s v="Ziad Elnagagar"/>
        <s v="Zoe Rosenfeld"/>
      </sharedItems>
    </cacheField>
    <cacheField name="Player Type" numFmtId="0">
      <sharedItems count="13">
        <s v="President"/>
        <s v="VP Comms"/>
        <s v="VP Events"/>
        <s v="VP External"/>
        <s v="VP Finance"/>
        <s v="VP Projects"/>
        <s v="Director of Events"/>
        <s v="Director of Finance"/>
        <s v="Director of Graphics"/>
        <s v="Director of Projects"/>
        <s v="Director of Sponsorships"/>
        <s v="Executive"/>
        <s v="Member"/>
      </sharedItems>
    </cacheField>
    <cacheField name="Membership" numFmtId="0">
      <sharedItems containsBlank="1"/>
    </cacheField>
    <cacheField name="Attendance Rate" numFmtId="9">
      <sharedItems containsSemiMixedTypes="0" containsString="0" containsNumber="1" minValue="0" maxValue="1"/>
    </cacheField>
    <cacheField name="September 30, 2025" numFmtId="0">
      <sharedItems containsBlank="1"/>
    </cacheField>
    <cacheField name="October 2, 2025" numFmtId="0">
      <sharedItems containsBlank="1" count="3">
        <s v="No"/>
        <s v="Yes"/>
        <m/>
      </sharedItems>
    </cacheField>
    <cacheField name="October 9, 2025" numFmtId="0">
      <sharedItems containsBlank="1" count="3">
        <s v="Yes"/>
        <s v="No"/>
        <m/>
      </sharedItems>
    </cacheField>
    <cacheField name="October 14, 2025" numFmtId="0">
      <sharedItems containsBlank="1" count="3">
        <s v="No"/>
        <s v="Yes"/>
        <m/>
      </sharedItems>
    </cacheField>
    <cacheField name="October 23, 2025" numFmtId="0">
      <sharedItems containsBlank="1"/>
    </cacheField>
    <cacheField name="October 28, 2025" numFmtId="0">
      <sharedItems containsBlank="1"/>
    </cacheField>
    <cacheField name="November 13, 2025" numFmtId="0">
      <sharedItems containsBlank="1"/>
    </cacheField>
    <cacheField name="November 18, 2025" numFmtId="0">
      <sharedItems containsBlank="1"/>
    </cacheField>
    <cacheField name="November 27, 20252" numFmtId="0">
      <sharedItems containsBlank="1"/>
    </cacheField>
    <cacheField name="Tuesday, December 2, 2025" numFmtId="0">
      <sharedItems containsBlank="1"/>
    </cacheField>
    <cacheField name="December 2, 2025" numFmtId="0">
      <sharedItems containsBlank="1"/>
    </cacheField>
    <cacheField name="December 11, 2025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0">
      <sharedItems containsBlank="1"/>
    </cacheField>
    <cacheField name="Column4" numFmtId="0">
      <sharedItems containsBlank="1"/>
    </cacheField>
    <cacheField name="Column5" numFmtId="0">
      <sharedItems containsBlank="1"/>
    </cacheField>
    <cacheField name="Column6" numFmtId="0">
      <sharedItems containsBlank="1"/>
    </cacheField>
    <cacheField name="Column7" numFmtId="0">
      <sharedItems containsBlank="1"/>
    </cacheField>
    <cacheField name="Column8" numFmtId="0">
      <sharedItems containsBlank="1"/>
    </cacheField>
    <cacheField name="Column9" numFmtId="0">
      <sharedItems containsBlank="1"/>
    </cacheField>
    <cacheField name="Column10" numFmtId="0">
      <sharedItems containsBlank="1"/>
    </cacheField>
    <cacheField name="Column11" numFmtId="0">
      <sharedItems containsBlank="1"/>
    </cacheField>
    <cacheField name="Column12" numFmtId="0">
      <sharedItems containsBlank="1"/>
    </cacheField>
    <cacheField name="Column13" numFmtId="0">
      <sharedItems containsBlank="1"/>
    </cacheField>
    <cacheField name="Column14" numFmtId="0">
      <sharedItems containsBlank="1"/>
    </cacheField>
    <cacheField name="Column15" numFmtId="0">
      <sharedItems containsBlank="1"/>
    </cacheField>
    <cacheField name="Column16" numFmtId="0">
      <sharedItems containsBlank="1"/>
    </cacheField>
    <cacheField name="Column17" numFmtId="0">
      <sharedItems containsBlank="1"/>
    </cacheField>
    <cacheField name="Column18" numFmtId="0">
      <sharedItems containsBlank="1" count="2">
        <s v="N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David"/>
    <s v="Ribkoff"/>
    <x v="0"/>
    <x v="0"/>
    <s v="Verified"/>
    <n v="0.5"/>
    <s v="No"/>
    <x v="0"/>
    <x v="0"/>
    <x v="0"/>
    <s v="Yes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Chen"/>
    <x v="1"/>
    <x v="1"/>
    <s v="Verified"/>
    <n v="0.8"/>
    <s v="Yes"/>
    <x v="1"/>
    <x v="0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yles"/>
    <s v="MacPherson"/>
    <x v="2"/>
    <x v="2"/>
    <s v="Verified"/>
    <n v="0.2"/>
    <s v="No"/>
    <x v="0"/>
    <x v="1"/>
    <x v="0"/>
    <s v="No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Mah"/>
    <x v="3"/>
    <x v="3"/>
    <s v="Verified"/>
    <n v="0.3"/>
    <s v="Yes"/>
    <x v="1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Fenske"/>
    <x v="4"/>
    <x v="4"/>
    <s v="Verified"/>
    <n v="0.2"/>
    <s v="No"/>
    <x v="0"/>
    <x v="1"/>
    <x v="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ie"/>
    <s v="Cai"/>
    <x v="5"/>
    <x v="5"/>
    <s v="Verified"/>
    <n v="0.3"/>
    <s v="Yes"/>
    <x v="0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ward"/>
    <s v="Dong"/>
    <x v="6"/>
    <x v="6"/>
    <s v="Verified"/>
    <n v="0.7"/>
    <s v="Yes"/>
    <x v="1"/>
    <x v="1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den"/>
    <s v="Ali"/>
    <x v="7"/>
    <x v="6"/>
    <s v="Verified"/>
    <n v="0.6"/>
    <s v="Yes"/>
    <x v="0"/>
    <x v="1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vel"/>
    <s v="Zykmund"/>
    <x v="8"/>
    <x v="6"/>
    <s v="Verified"/>
    <n v="0.5"/>
    <s v="Yes"/>
    <x v="1"/>
    <x v="1"/>
    <x v="1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ta"/>
    <s v="Shweihat"/>
    <x v="9"/>
    <x v="6"/>
    <s v="Verified"/>
    <n v="0.8"/>
    <s v="Yes"/>
    <x v="0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"/>
    <s v="Ahn"/>
    <x v="10"/>
    <x v="6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an"/>
    <s v="Kwong"/>
    <x v="11"/>
    <x v="7"/>
    <s v="Verified"/>
    <n v="0.8"/>
    <s v="Yes"/>
    <x v="1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hemaa"/>
    <s v="Acheampong"/>
    <x v="12"/>
    <x v="8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ock"/>
    <s v="Suidgeest"/>
    <x v="13"/>
    <x v="9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yrus"/>
    <s v="Bechtold"/>
    <x v="14"/>
    <x v="9"/>
    <s v="Verified"/>
    <n v="0.4"/>
    <s v="No"/>
    <x v="1"/>
    <x v="0"/>
    <x v="0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an"/>
    <s v="Mandi"/>
    <x v="15"/>
    <x v="9"/>
    <s v="Verified"/>
    <n v="0.5"/>
    <s v="No"/>
    <x v="1"/>
    <x v="1"/>
    <x v="1"/>
    <s v="No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than"/>
    <s v="Kim"/>
    <x v="16"/>
    <x v="10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yler"/>
    <s v="See"/>
    <x v="17"/>
    <x v="10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Kara"/>
    <x v="18"/>
    <x v="11"/>
    <s v="Verified"/>
    <n v="0.3"/>
    <s v="Yes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en"/>
    <s v="Ko"/>
    <x v="19"/>
    <x v="11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an"/>
    <s v="Long"/>
    <x v="20"/>
    <x v="11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man"/>
    <s v="Bains"/>
    <x v="21"/>
    <x v="11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na"/>
    <s v="Yu"/>
    <x v="22"/>
    <x v="11"/>
    <s v="Verified"/>
    <n v="0.9"/>
    <s v="Yes"/>
    <x v="1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le"/>
    <s v="Eisen"/>
    <x v="23"/>
    <x v="11"/>
    <s v="Verified"/>
    <n v="0.3"/>
    <s v="Yes"/>
    <x v="1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le"/>
    <s v="Korchinski"/>
    <x v="24"/>
    <x v="11"/>
    <s v="Verified"/>
    <n v="0.4"/>
    <s v="Yes"/>
    <x v="1"/>
    <x v="1"/>
    <x v="0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Dillabough"/>
    <x v="25"/>
    <x v="11"/>
    <s v="Verified"/>
    <n v="0.7"/>
    <s v="Yes"/>
    <x v="1"/>
    <x v="1"/>
    <x v="1"/>
    <s v="Yes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velyn"/>
    <s v="Zhang"/>
    <x v="26"/>
    <x v="11"/>
    <s v="Verified"/>
    <n v="0.2"/>
    <s v="Yes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Forrest"/>
    <s v="Hermary"/>
    <x v="27"/>
    <x v="11"/>
    <s v="Verified"/>
    <n v="0.6"/>
    <s v="Yes"/>
    <x v="1"/>
    <x v="1"/>
    <x v="0"/>
    <s v="Yes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o"/>
    <s v="Bai"/>
    <x v="28"/>
    <x v="11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imaksh"/>
    <s v="Talreja"/>
    <x v="29"/>
    <x v="11"/>
    <s v="Verified"/>
    <n v="0.2"/>
    <s v="Yes"/>
    <x v="0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Kilfoil"/>
    <x v="30"/>
    <x v="11"/>
    <s v="Verified"/>
    <n v="0.3"/>
    <s v="Yes"/>
    <x v="0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red"/>
    <s v="Lipski"/>
    <x v="31"/>
    <x v="11"/>
    <s v="Verified"/>
    <n v="0.4"/>
    <s v="Yes"/>
    <x v="1"/>
    <x v="1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yden"/>
    <s v="Agarwal"/>
    <x v="32"/>
    <x v="11"/>
    <s v="Verified"/>
    <n v="0.2"/>
    <s v="No"/>
    <x v="1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Barclay"/>
    <x v="33"/>
    <x v="11"/>
    <s v="Verified"/>
    <n v="0.7"/>
    <s v="No"/>
    <x v="1"/>
    <x v="1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Pape"/>
    <x v="34"/>
    <x v="11"/>
    <s v="Verified"/>
    <n v="0.5"/>
    <s v="Yes"/>
    <x v="1"/>
    <x v="1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edet"/>
    <s v="Kazbek"/>
    <x v="35"/>
    <x v="11"/>
    <s v="Verified"/>
    <n v="0.5"/>
    <s v="Yes"/>
    <x v="0"/>
    <x v="0"/>
    <x v="0"/>
    <s v="No"/>
    <s v="Yes"/>
    <s v="Yes"/>
    <s v="Yes"/>
    <s v="No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Visentin"/>
    <x v="36"/>
    <x v="11"/>
    <s v="Verified"/>
    <n v="0.2"/>
    <s v="Yes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ah"/>
    <s v="George"/>
    <x v="37"/>
    <x v="11"/>
    <s v="Verified"/>
    <n v="0.9"/>
    <s v="Yes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ella"/>
    <s v="Or"/>
    <x v="38"/>
    <x v="11"/>
    <s v="Verified"/>
    <n v="0.6"/>
    <s v="No"/>
    <x v="0"/>
    <x v="0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riyansh"/>
    <s v="Sharma"/>
    <x v="39"/>
    <x v="11"/>
    <s v="Verified"/>
    <n v="0.9"/>
    <s v="Yes"/>
    <x v="1"/>
    <x v="0"/>
    <x v="1"/>
    <s v="Yes"/>
    <s v="Yes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Quenifer"/>
    <s v="Lung"/>
    <x v="40"/>
    <x v="11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njay"/>
    <s v="Snaidero"/>
    <x v="41"/>
    <x v="11"/>
    <s v="Verified"/>
    <n v="0.2"/>
    <s v="No"/>
    <x v="0"/>
    <x v="1"/>
    <x v="1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wyer"/>
    <s v="Sanderson"/>
    <x v="42"/>
    <x v="11"/>
    <s v="Verified"/>
    <n v="0.7"/>
    <s v="Yes"/>
    <x v="0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h"/>
    <s v="Brotman"/>
    <x v="43"/>
    <x v="11"/>
    <s v="Verified"/>
    <n v="0.3"/>
    <s v="No"/>
    <x v="0"/>
    <x v="0"/>
    <x v="0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k"/>
    <s v="Hao"/>
    <x v="44"/>
    <x v="11"/>
    <s v="Verified"/>
    <n v="0.4"/>
    <s v="Yes"/>
    <x v="0"/>
    <x v="1"/>
    <x v="1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dam"/>
    <s v="Lakhani"/>
    <x v="45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kaash"/>
    <s v="Shankar"/>
    <x v="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Hamilton"/>
    <x v="47"/>
    <x v="12"/>
    <m/>
    <n v="0.2"/>
    <m/>
    <x v="2"/>
    <x v="2"/>
    <x v="2"/>
    <m/>
    <m/>
    <m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aron"/>
    <s v="Ye"/>
    <x v="48"/>
    <x v="12"/>
    <s v="Verified"/>
    <n v="0.6"/>
    <s v="Yes"/>
    <x v="1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bdullah"/>
    <s v="Imran"/>
    <x v="49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Adam"/>
    <s v="Dasilva"/>
    <x v="50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drian "/>
    <s v="Liu"/>
    <x v="51"/>
    <x v="12"/>
    <s v="Verified"/>
    <n v="0.2"/>
    <m/>
    <x v="2"/>
    <x v="2"/>
    <x v="2"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hmed"/>
    <s v="Mohammed"/>
    <x v="52"/>
    <x v="12"/>
    <s v="Verified"/>
    <n v="0.2"/>
    <s v="No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iden"/>
    <s v="Gertler"/>
    <x v="5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jai"/>
    <s v="Lingenfelter"/>
    <x v="5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"/>
    <s v="Fan-Lun"/>
    <x v="55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"/>
    <s v="Xiao"/>
    <x v="56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ander"/>
    <s v="Kowalski"/>
    <x v="57"/>
    <x v="12"/>
    <s v="Verified"/>
    <n v="0.5"/>
    <s v="No"/>
    <x v="1"/>
    <x v="1"/>
    <x v="0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exander"/>
    <s v="Musarai"/>
    <x v="58"/>
    <x v="12"/>
    <s v="Verified"/>
    <n v="0.3"/>
    <s v="Yes"/>
    <x v="1"/>
    <x v="1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"/>
    <s v="Akinci"/>
    <x v="59"/>
    <x v="12"/>
    <s v="Verified"/>
    <n v="0.2"/>
    <m/>
    <x v="2"/>
    <x v="2"/>
    <x v="2"/>
    <m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"/>
    <s v="Issa"/>
    <x v="60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iran"/>
    <s v="Kadashev"/>
    <x v="61"/>
    <x v="12"/>
    <s v="Verified"/>
    <n v="0.5"/>
    <s v="No"/>
    <x v="1"/>
    <x v="0"/>
    <x v="0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len"/>
    <s v="Li"/>
    <x v="6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llen"/>
    <s v="Liu"/>
    <x v="63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Amal"/>
    <s v="Sathees"/>
    <x v="64"/>
    <x v="12"/>
    <m/>
    <n v="0.3"/>
    <m/>
    <x v="2"/>
    <x v="2"/>
    <x v="2"/>
    <m/>
    <m/>
    <m/>
    <s v="Yes"/>
    <s v="Yes"/>
    <s v="Yes"/>
    <m/>
    <m/>
    <m/>
    <m/>
    <m/>
    <m/>
    <m/>
    <m/>
    <m/>
    <m/>
    <m/>
    <m/>
    <m/>
    <m/>
    <m/>
    <m/>
    <m/>
    <m/>
    <m/>
    <x v="1"/>
  </r>
  <r>
    <s v="Amar"/>
    <s v="Aggarwal"/>
    <x v="65"/>
    <x v="12"/>
    <s v="Verified"/>
    <n v="0.4"/>
    <s v="No"/>
    <x v="0"/>
    <x v="0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as"/>
    <s v="Ahmet"/>
    <x v="66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drew"/>
    <s v="Liu"/>
    <x v="67"/>
    <x v="12"/>
    <s v="Verified"/>
    <n v="0.3"/>
    <s v="No"/>
    <x v="0"/>
    <x v="0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il"/>
    <s v="Maharaj"/>
    <x v="6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thony"/>
    <s v="Braccio"/>
    <x v="69"/>
    <x v="12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thony"/>
    <s v="Di Pasquale"/>
    <x v="70"/>
    <x v="12"/>
    <s v="Verified"/>
    <n v="0.4"/>
    <s v="No"/>
    <x v="0"/>
    <x v="0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nush"/>
    <s v="Subasan"/>
    <x v="71"/>
    <x v="12"/>
    <s v="Verified"/>
    <n v="0.2"/>
    <s v="No"/>
    <x v="0"/>
    <x v="1"/>
    <x v="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ad"/>
    <s v="Farrahi"/>
    <x v="72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ad"/>
    <s v="Sahebjamei"/>
    <x v="73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Ari"/>
    <s v="Citak"/>
    <x v="74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ianna"/>
    <s v="Tan"/>
    <x v="7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rion"/>
    <s v="Mestanovski"/>
    <x v="76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shley"/>
    <s v="Shanthikumar"/>
    <x v="77"/>
    <x v="12"/>
    <s v="Verified"/>
    <n v="0.4"/>
    <s v="No"/>
    <x v="0"/>
    <x v="0"/>
    <x v="0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than"/>
    <s v="Kang"/>
    <x v="7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Ayham"/>
    <s v="Noor"/>
    <x v="79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arron"/>
    <s v="Diao"/>
    <x v="80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"/>
    <s v="Goldstein"/>
    <x v="81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"/>
    <s v="Murphy"/>
    <x v="8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Bulyovsky"/>
    <x v="83"/>
    <x v="12"/>
    <s v="Verified"/>
    <n v="0.3"/>
    <s v="Yes"/>
    <x v="0"/>
    <x v="1"/>
    <x v="1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Gorospe"/>
    <x v="84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Le Brun"/>
    <x v="8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enjamin"/>
    <s v="Namayandeh"/>
    <x v="86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Benjamin"/>
    <s v="Zheng"/>
    <x v="87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hargav"/>
    <s v="Kandlakuti"/>
    <x v="88"/>
    <x v="12"/>
    <s v="Verified"/>
    <n v="0.3"/>
    <s v="No"/>
    <x v="0"/>
    <x v="1"/>
    <x v="0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ilal"/>
    <s v="Hachem"/>
    <x v="89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andon"/>
    <s v="Roy"/>
    <x v="90"/>
    <x v="12"/>
    <s v="Verified"/>
    <n v="0.3"/>
    <s v="No"/>
    <x v="0"/>
    <x v="1"/>
    <x v="1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ayden"/>
    <s v="Nykamp"/>
    <x v="91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ryce"/>
    <s v="Ector"/>
    <x v="92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Bupa"/>
    <s v="Zhang"/>
    <x v="93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ameron"/>
    <s v="Tran"/>
    <x v="9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arson"/>
    <s v="Cull"/>
    <x v="95"/>
    <x v="12"/>
    <s v="Verified"/>
    <n v="0.5"/>
    <s v="No"/>
    <x v="0"/>
    <x v="0"/>
    <x v="0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arles"/>
    <s v="Kernaghan"/>
    <x v="96"/>
    <x v="12"/>
    <s v="Verified"/>
    <n v="0.3"/>
    <s v="No"/>
    <x v="1"/>
    <x v="1"/>
    <x v="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arlie"/>
    <s v="Fry"/>
    <x v="97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ris"/>
    <s v="Kim"/>
    <x v="98"/>
    <x v="12"/>
    <s v="Verified"/>
    <n v="0.5"/>
    <s v="No"/>
    <x v="0"/>
    <x v="0"/>
    <x v="0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hristopher"/>
    <s v="Grieve"/>
    <x v="9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lara"/>
    <s v="Chen"/>
    <x v="100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Connor"/>
    <s v="Hung"/>
    <x v="101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mi"/>
    <s v="Oyefeso"/>
    <x v="102"/>
    <x v="12"/>
    <s v="Verified"/>
    <n v="0.2"/>
    <s v="No"/>
    <x v="1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mon"/>
    <s v="Deng"/>
    <x v="103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De Leary "/>
    <x v="104"/>
    <x v="12"/>
    <s v="Verified"/>
    <n v="0.8"/>
    <s v="No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Qiai"/>
    <x v="10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"/>
    <s v="Qiao"/>
    <x v="106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Li"/>
    <x v="107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Musoni"/>
    <x v="108"/>
    <x v="12"/>
    <s v="Verified"/>
    <n v="0.6"/>
    <s v="Yes"/>
    <x v="1"/>
    <x v="0"/>
    <x v="1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niel"/>
    <s v="Solesa"/>
    <x v="109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Daniel"/>
    <s v="Zheng"/>
    <x v="110"/>
    <x v="12"/>
    <s v="Verified"/>
    <n v="0.2"/>
    <s v="No"/>
    <x v="0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ra"/>
    <s v="Shokouhian"/>
    <x v="11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arren"/>
    <s v="Poku"/>
    <x v="112"/>
    <x v="12"/>
    <s v="Verified"/>
    <n v="0.3"/>
    <s v="No"/>
    <x v="1"/>
    <x v="0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ehou"/>
    <s v="Kong"/>
    <x v="113"/>
    <x v="12"/>
    <s v="Verified"/>
    <n v="0.3"/>
    <s v="Yes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ikang"/>
    <s v="Fu"/>
    <x v="114"/>
    <x v="12"/>
    <s v="Verified"/>
    <n v="0.8"/>
    <s v="Yes"/>
    <x v="1"/>
    <x v="0"/>
    <x v="1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ominic"/>
    <s v="Chiera"/>
    <x v="115"/>
    <x v="12"/>
    <s v="Verified"/>
    <n v="0.8"/>
    <s v="Yes"/>
    <x v="1"/>
    <x v="0"/>
    <x v="1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Dominik"/>
    <s v="Nowakowski"/>
    <x v="116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Echo"/>
    <s v="Bao"/>
    <x v="11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ison"/>
    <s v="Li"/>
    <x v="118"/>
    <x v="12"/>
    <s v="Verified"/>
    <n v="0.5"/>
    <s v="Yes"/>
    <x v="0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dward"/>
    <s v="Yang"/>
    <x v="119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Edward"/>
    <s v="Zavedei"/>
    <x v="120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esa"/>
    <s v="Huq"/>
    <x v="12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lbrus"/>
    <s v="Gadmaliyev"/>
    <x v="12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mma"/>
    <s v="Sproxton"/>
    <x v="123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mre"/>
    <s v="Gulyurt"/>
    <x v="12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rfan"/>
    <s v="Zarenia"/>
    <x v="125"/>
    <x v="12"/>
    <s v="Verified"/>
    <n v="0.3"/>
    <s v="No"/>
    <x v="1"/>
    <x v="0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ric"/>
    <s v="Song"/>
    <x v="126"/>
    <x v="12"/>
    <s v="Verified"/>
    <n v="0.9"/>
    <s v="Yes"/>
    <x v="1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van"/>
    <s v="Sahadeo"/>
    <x v="127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wan"/>
    <s v="Reid"/>
    <x v="128"/>
    <x v="12"/>
    <s v="Verified"/>
    <n v="0.1"/>
    <s v="No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be"/>
    <s v="Mclellan"/>
    <x v="129"/>
    <x v="12"/>
    <s v="Verified"/>
    <n v="0.4"/>
    <s v="No"/>
    <x v="1"/>
    <x v="1"/>
    <x v="1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briel"/>
    <s v="Casiero"/>
    <x v="13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ary"/>
    <s v="Chung"/>
    <x v="131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Gavin"/>
    <s v="Nichols"/>
    <x v="13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eorge"/>
    <s v="Florea"/>
    <x v="13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Grayson"/>
    <s v="Adams"/>
    <x v="13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mza"/>
    <s v="Khamissa"/>
    <x v="135"/>
    <x v="12"/>
    <s v="Verified"/>
    <n v="0.5"/>
    <s v="Yes"/>
    <x v="0"/>
    <x v="0"/>
    <x v="1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oyi"/>
    <s v="Wang"/>
    <x v="13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rold"/>
    <s v="Zhang"/>
    <x v="137"/>
    <x v="12"/>
    <s v="Verified"/>
    <n v="0.5"/>
    <s v="No"/>
    <x v="0"/>
    <x v="1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roun"/>
    <s v="Elamin"/>
    <x v="138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atim"/>
    <s v="Adamjee"/>
    <x v="139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iram"/>
    <s v="Lee"/>
    <x v="140"/>
    <x v="12"/>
    <s v="Verified"/>
    <n v="0.2"/>
    <s v="Yes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Hooman"/>
    <s v="Nozari"/>
    <x v="141"/>
    <x v="12"/>
    <s v="Verified"/>
    <n v="0.5"/>
    <s v="No"/>
    <x v="0"/>
    <x v="0"/>
    <x v="1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an"/>
    <s v="Imrie"/>
    <x v="142"/>
    <x v="12"/>
    <s v="Verified"/>
    <n v="0.9"/>
    <s v="Yes"/>
    <x v="1"/>
    <x v="0"/>
    <x v="1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an"/>
    <s v="Johnson"/>
    <x v="14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lya"/>
    <s v="Beuermann"/>
    <x v="144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Ivan"/>
    <s v="Zhou"/>
    <x v="145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"/>
    <s v="Scott"/>
    <x v="1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k"/>
    <s v="Watson"/>
    <x v="147"/>
    <x v="12"/>
    <s v="Verified"/>
    <n v="0.6"/>
    <s v="Yes"/>
    <x v="0"/>
    <x v="1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ob"/>
    <s v="Bailey"/>
    <x v="148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cob"/>
    <s v="Crowley"/>
    <x v="14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ebin"/>
    <s v="Shin"/>
    <x v="150"/>
    <x v="12"/>
    <s v="Verified"/>
    <n v="0.3"/>
    <s v="No"/>
    <x v="0"/>
    <x v="1"/>
    <x v="0"/>
    <s v="No"/>
    <s v="Yes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hangir"/>
    <s v="Abdullayev"/>
    <x v="151"/>
    <x v="12"/>
    <s v="Verified"/>
    <n v="0.5"/>
    <s v="Yes"/>
    <x v="1"/>
    <x v="1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kob"/>
    <s v="Smintich"/>
    <x v="15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Forrest"/>
    <x v="153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mes"/>
    <s v="Kendel"/>
    <x v="154"/>
    <x v="12"/>
    <s v="Verified"/>
    <n v="0.3"/>
    <s v="No"/>
    <x v="1"/>
    <x v="1"/>
    <x v="0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min"/>
    <s v="Gu"/>
    <x v="155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mine"/>
    <s v="Xu"/>
    <x v="156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ason"/>
    <s v="Kang"/>
    <x v="157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awei"/>
    <s v="Bai"/>
    <x v="158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llian"/>
    <s v="Ouyang"/>
    <x v="159"/>
    <x v="12"/>
    <s v="Verified"/>
    <n v="0.4"/>
    <s v="Yes"/>
    <x v="0"/>
    <x v="0"/>
    <x v="0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inglang"/>
    <s v="Sun"/>
    <x v="160"/>
    <x v="12"/>
    <s v="Verified"/>
    <n v="0.3"/>
    <s v="No"/>
    <x v="0"/>
    <x v="0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hnny"/>
    <s v="Yang"/>
    <x v="161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nas"/>
    <s v="Neumann"/>
    <x v="162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Jordan"/>
    <s v="Nguyen"/>
    <x v="163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Joseph"/>
    <s v="Liao"/>
    <x v="164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sh"/>
    <s v="Sandler"/>
    <x v="165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oshua"/>
    <s v="Pascazi"/>
    <x v="16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lian"/>
    <s v="Pawchuk"/>
    <x v="167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lian"/>
    <m/>
    <x v="168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Justin"/>
    <s v="Chow"/>
    <x v="169"/>
    <x v="12"/>
    <s v="Verified"/>
    <n v="0.4"/>
    <s v="Yes"/>
    <x v="1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din"/>
    <s v="Broomhead"/>
    <x v="17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alyan"/>
    <s v="Jande"/>
    <x v="171"/>
    <x v="12"/>
    <s v="Verified"/>
    <n v="0.6"/>
    <s v="No"/>
    <x v="0"/>
    <x v="0"/>
    <x v="1"/>
    <s v="No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nneth"/>
    <s v="Liu"/>
    <x v="172"/>
    <x v="12"/>
    <s v="Verified"/>
    <n v="0.7"/>
    <s v="Yes"/>
    <x v="1"/>
    <x v="0"/>
    <x v="1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nodh"/>
    <s v="Ekanayake"/>
    <x v="17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vin"/>
    <s v="Chen"/>
    <x v="17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evin"/>
    <s v="Mehrzad"/>
    <x v="175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hoi"/>
    <s v="Luu"/>
    <x v="176"/>
    <x v="12"/>
    <s v="Verified"/>
    <n v="0.2"/>
    <s v="Yes"/>
    <x v="0"/>
    <x v="1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ieran"/>
    <s v="Kwong"/>
    <x v="177"/>
    <x v="12"/>
    <s v="Verified"/>
    <n v="0.3"/>
    <s v="No"/>
    <x v="0"/>
    <x v="0"/>
    <x v="1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imia"/>
    <s v="Azizi Mehr"/>
    <x v="178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ongduo"/>
    <s v="Li"/>
    <x v="179"/>
    <x v="12"/>
    <s v="Verified"/>
    <n v="0.9"/>
    <s v="Yes"/>
    <x v="1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Krish"/>
    <s v="Chandola"/>
    <x v="180"/>
    <x v="12"/>
    <s v="Verified"/>
    <n v="0.7"/>
    <s v="Yes"/>
    <x v="1"/>
    <x v="0"/>
    <x v="1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awrence"/>
    <s v="Alvarez-Smith"/>
    <x v="181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awrence"/>
    <s v="Xu"/>
    <x v="182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ee"/>
    <s v="Li"/>
    <x v="183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eo"/>
    <s v="Yang"/>
    <x v="184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Leonardo"/>
    <s v="Panarello"/>
    <x v="185"/>
    <x v="12"/>
    <s v="Verified"/>
    <n v="0.4"/>
    <s v="Yes"/>
    <x v="0"/>
    <x v="1"/>
    <x v="0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am"/>
    <s v="Carter"/>
    <x v="186"/>
    <x v="12"/>
    <s v="Verified"/>
    <n v="0.5"/>
    <s v="Yes"/>
    <x v="1"/>
    <x v="1"/>
    <x v="1"/>
    <s v="Yes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am"/>
    <s v="Surka"/>
    <x v="18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idia"/>
    <s v="Permia"/>
    <x v="188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ouis"/>
    <s v="Vaupotic"/>
    <x v="18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ckshane"/>
    <s v="Imparaza"/>
    <x v="190"/>
    <x v="12"/>
    <s v="Verified"/>
    <n v="0.8"/>
    <s v="Yes"/>
    <x v="0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cy"/>
    <s v="Kim"/>
    <x v="191"/>
    <x v="12"/>
    <s v="Verified"/>
    <n v="0.8"/>
    <s v="No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Luke"/>
    <s v="Bannan"/>
    <x v="192"/>
    <x v="12"/>
    <s v="Verified"/>
    <n v="0.4"/>
    <s v="Yes"/>
    <x v="1"/>
    <x v="1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hbod"/>
    <s v="Miraly"/>
    <x v="193"/>
    <x v="12"/>
    <s v="Verified"/>
    <n v="0.4"/>
    <s v="No"/>
    <x v="0"/>
    <x v="0"/>
    <x v="1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el"/>
    <s v="Cannan La France"/>
    <x v="194"/>
    <x v="12"/>
    <s v="Verified"/>
    <n v="0.4"/>
    <s v="No"/>
    <x v="1"/>
    <x v="0"/>
    <x v="0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o"/>
    <s v="Jiang"/>
    <x v="195"/>
    <x v="12"/>
    <s v="Verified"/>
    <n v="0.3"/>
    <s v="No"/>
    <x v="0"/>
    <x v="1"/>
    <x v="1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us"/>
    <s v="Athwal"/>
    <x v="196"/>
    <x v="12"/>
    <s v="Verified"/>
    <n v="0.7"/>
    <s v="Yes"/>
    <x v="1"/>
    <x v="0"/>
    <x v="1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cus"/>
    <s v="Cameron"/>
    <x v="197"/>
    <x v="12"/>
    <s v="Verified"/>
    <n v="0.2"/>
    <s v="No"/>
    <x v="1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issa "/>
    <s v="Vu"/>
    <x v="198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ko"/>
    <s v="Mladenovic"/>
    <x v="199"/>
    <x v="12"/>
    <s v="Verified"/>
    <n v="0.2"/>
    <s v="No"/>
    <x v="0"/>
    <x v="1"/>
    <x v="1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ko"/>
    <s v="Nguyen"/>
    <x v="200"/>
    <x v="12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tin"/>
    <s v="Gomez"/>
    <x v="201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rzouq"/>
    <s v="Mohsin"/>
    <x v="202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son"/>
    <s v="Doshi"/>
    <x v="20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Ji"/>
    <x v="204"/>
    <x v="12"/>
    <s v="Verified"/>
    <n v="0.6"/>
    <s v="No"/>
    <x v="1"/>
    <x v="0"/>
    <x v="1"/>
    <s v="Yes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Nazaruk"/>
    <x v="205"/>
    <x v="12"/>
    <s v="Verified"/>
    <n v="0.6"/>
    <s v="Yes"/>
    <x v="1"/>
    <x v="1"/>
    <x v="1"/>
    <s v="No"/>
    <s v="No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"/>
    <s v="Pealow"/>
    <x v="20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tthew "/>
    <s v="Fernandez"/>
    <x v="207"/>
    <x v="12"/>
    <s v="Verified"/>
    <n v="0.5"/>
    <s v="No"/>
    <x v="0"/>
    <x v="1"/>
    <x v="0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ax"/>
    <s v="Gavric"/>
    <x v="208"/>
    <x v="12"/>
    <s v="Verified"/>
    <n v="0.3"/>
    <s v="Yes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ekayel"/>
    <s v="Qureshi"/>
    <x v="20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a"/>
    <s v="Szavo"/>
    <x v="21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Ng"/>
    <x v="211"/>
    <x v="12"/>
    <s v="Verified"/>
    <n v="0.2"/>
    <s v="Yes"/>
    <x v="0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Salazar"/>
    <x v="212"/>
    <x v="12"/>
    <s v="Verified"/>
    <n v="0.6"/>
    <s v="No"/>
    <x v="0"/>
    <x v="0"/>
    <x v="1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ichael"/>
    <s v="Xu"/>
    <x v="213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oksh"/>
    <s v="Shah"/>
    <x v="214"/>
    <x v="12"/>
    <s v="Verified"/>
    <n v="0.3"/>
    <s v="Yes"/>
    <x v="1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Muhammad"/>
    <s v="Abdullah"/>
    <x v="215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Mukund"/>
    <s v="Gupta"/>
    <x v="216"/>
    <x v="12"/>
    <s v="Verified"/>
    <n v="0.6"/>
    <s v="Yes"/>
    <x v="1"/>
    <x v="0"/>
    <x v="1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sir"/>
    <s v="Ghaibi"/>
    <x v="217"/>
    <x v="12"/>
    <s v="Verified"/>
    <n v="0.8"/>
    <s v="Yes"/>
    <x v="0"/>
    <x v="0"/>
    <x v="1"/>
    <s v="No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Byers"/>
    <x v="218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athan"/>
    <s v="Konotopsky"/>
    <x v="219"/>
    <x v="12"/>
    <s v="Verified"/>
    <n v="0.3"/>
    <m/>
    <x v="2"/>
    <x v="2"/>
    <x v="2"/>
    <m/>
    <m/>
    <s v="Yes"/>
    <m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ickon"/>
    <s v="Askari"/>
    <x v="220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ikola"/>
    <s v="Dora"/>
    <x v="221"/>
    <x v="12"/>
    <s v="Verified"/>
    <n v="0.3"/>
    <s v="No"/>
    <x v="0"/>
    <x v="1"/>
    <x v="1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Noah"/>
    <s v="Lee"/>
    <x v="222"/>
    <x v="12"/>
    <s v="Verified"/>
    <n v="0.4"/>
    <s v="Yes"/>
    <x v="0"/>
    <x v="1"/>
    <x v="0"/>
    <s v="Yes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lly"/>
    <s v="West"/>
    <x v="223"/>
    <x v="12"/>
    <s v="Verified"/>
    <n v="0.4"/>
    <s v="Yes"/>
    <x v="1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scar"/>
    <s v="Chen"/>
    <x v="224"/>
    <x v="12"/>
    <s v="Verified"/>
    <n v="0.3"/>
    <s v="Yes"/>
    <x v="1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Owen"/>
    <s v="Hu"/>
    <x v="225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am"/>
    <s v="Agarwal"/>
    <x v="226"/>
    <x v="12"/>
    <s v="Verified"/>
    <n v="0.3"/>
    <s v="Yes"/>
    <x v="0"/>
    <x v="1"/>
    <x v="0"/>
    <s v="No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i"/>
    <s v="Shah"/>
    <x v="227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rum"/>
    <s v="Patel"/>
    <x v="228"/>
    <x v="12"/>
    <m/>
    <n v="0.1"/>
    <m/>
    <x v="2"/>
    <x v="2"/>
    <x v="2"/>
    <m/>
    <m/>
    <m/>
    <m/>
    <s v="Yes"/>
    <s v="No"/>
    <m/>
    <m/>
    <m/>
    <m/>
    <m/>
    <m/>
    <m/>
    <m/>
    <m/>
    <m/>
    <m/>
    <m/>
    <m/>
    <m/>
    <m/>
    <m/>
    <m/>
    <m/>
    <m/>
    <x v="1"/>
  </r>
  <r>
    <s v="Patrick"/>
    <s v="Tendon "/>
    <x v="229"/>
    <x v="12"/>
    <s v="Verified"/>
    <n v="0.2"/>
    <s v="No"/>
    <x v="0"/>
    <x v="1"/>
    <x v="0"/>
    <s v="No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avel"/>
    <s v="Tsymbalyuk"/>
    <x v="230"/>
    <x v="12"/>
    <s v="Verified"/>
    <n v="0.6"/>
    <s v="Yes"/>
    <x v="0"/>
    <x v="1"/>
    <x v="1"/>
    <s v="No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Punit"/>
    <s v="Guddeti"/>
    <x v="231"/>
    <x v="12"/>
    <s v="Verified"/>
    <n v="0.7"/>
    <s v="Yes"/>
    <x v="1"/>
    <x v="0"/>
    <x v="1"/>
    <s v="Yes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Qingtong"/>
    <s v="Hu"/>
    <x v="232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chel"/>
    <s v="Xu"/>
    <x v="233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hil"/>
    <s v="Kochhar"/>
    <x v="234"/>
    <x v="12"/>
    <s v="Verified"/>
    <n v="0.5"/>
    <s v="No"/>
    <x v="0"/>
    <x v="0"/>
    <x v="0"/>
    <s v="Yes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mi"/>
    <s v="Shafikov"/>
    <x v="235"/>
    <x v="12"/>
    <s v="Verified"/>
    <n v="0.4"/>
    <s v="No"/>
    <x v="0"/>
    <x v="0"/>
    <x v="1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aymond"/>
    <s v="Macaulay"/>
    <x v="236"/>
    <x v="12"/>
    <s v="Verified"/>
    <n v="0.6"/>
    <s v="Yes"/>
    <x v="1"/>
    <x v="0"/>
    <x v="1"/>
    <s v="Yes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eid"/>
    <s v="Giasson"/>
    <x v="23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Ge"/>
    <x v="238"/>
    <x v="12"/>
    <s v="Verified"/>
    <n v="0.3"/>
    <s v="Yes"/>
    <x v="0"/>
    <x v="0"/>
    <x v="0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Pan"/>
    <x v="239"/>
    <x v="12"/>
    <s v="Verified"/>
    <n v="0.9"/>
    <s v="Yes"/>
    <x v="0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chard"/>
    <s v="Sonibare"/>
    <x v="240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shi"/>
    <s v="Bhaskara"/>
    <x v="241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iver"/>
    <s v="Jiang"/>
    <x v="242"/>
    <x v="12"/>
    <s v="Verified"/>
    <n v="0.9"/>
    <s v="Yes"/>
    <x v="1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bert"/>
    <s v="Tomicic II"/>
    <x v="243"/>
    <x v="12"/>
    <s v="Verified"/>
    <n v="0.3"/>
    <s v="Yes"/>
    <x v="1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cco"/>
    <s v="Le Donne"/>
    <x v="244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an"/>
    <s v="Mehta"/>
    <x v="245"/>
    <x v="12"/>
    <s v="Verified"/>
    <n v="0.1"/>
    <s v="No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hum"/>
    <s v="Zaman"/>
    <x v="24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omina"/>
    <s v="Tabesh"/>
    <x v="247"/>
    <x v="12"/>
    <s v="Verified"/>
    <n v="0.1"/>
    <s v="No"/>
    <x v="1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ui Xi"/>
    <s v="Qiu"/>
    <x v="248"/>
    <x v="12"/>
    <s v="Verified"/>
    <n v="0.3"/>
    <s v="Yes"/>
    <x v="0"/>
    <x v="1"/>
    <x v="0"/>
    <s v="No"/>
    <s v="No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Morrison"/>
    <x v="249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Qian"/>
    <x v="250"/>
    <x v="12"/>
    <s v="Verified"/>
    <n v="0.1"/>
    <m/>
    <x v="2"/>
    <x v="2"/>
    <x v="2"/>
    <m/>
    <m/>
    <s v="Yes"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Sale"/>
    <x v="251"/>
    <x v="12"/>
    <s v="Verified"/>
    <n v="0.5"/>
    <s v="Yes"/>
    <x v="0"/>
    <x v="0"/>
    <x v="0"/>
    <s v="Yes"/>
    <s v="No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Ryan"/>
    <s v="Song"/>
    <x v="25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brina "/>
    <s v="Vong"/>
    <x v="253"/>
    <x v="12"/>
    <s v="Verified"/>
    <n v="0.7"/>
    <s v="No"/>
    <x v="0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laar"/>
    <s v="Ali"/>
    <x v="254"/>
    <x v="12"/>
    <s v="Verified*"/>
    <n v="0.2"/>
    <s v="No"/>
    <x v="0"/>
    <x v="1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eer"/>
    <s v="Aziz"/>
    <x v="255"/>
    <x v="12"/>
    <s v="Verified"/>
    <n v="0.4"/>
    <s v="No"/>
    <x v="0"/>
    <x v="0"/>
    <x v="0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uel"/>
    <s v="Lu"/>
    <x v="256"/>
    <x v="12"/>
    <s v="Verified"/>
    <n v="0.5"/>
    <s v="No"/>
    <x v="1"/>
    <x v="0"/>
    <x v="0"/>
    <s v="Yes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muel"/>
    <s v="Sax-Marton"/>
    <x v="257"/>
    <x v="12"/>
    <s v="Verified"/>
    <n v="0.9"/>
    <s v="Yes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armad"/>
    <s v="Siddiqui"/>
    <x v="258"/>
    <x v="12"/>
    <s v="Verified"/>
    <n v="0.2"/>
    <s v="Yes"/>
    <x v="0"/>
    <x v="1"/>
    <x v="0"/>
    <s v="No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ebastian"/>
    <s v="Hamilton"/>
    <x v="25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anbir"/>
    <s v="Hira"/>
    <x v="260"/>
    <x v="12"/>
    <s v="Verified"/>
    <n v="0.2"/>
    <s v="No"/>
    <x v="0"/>
    <x v="1"/>
    <x v="0"/>
    <s v="No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ayaan"/>
    <s v="Tanvir"/>
    <x v="261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Shayan"/>
    <s v="Ahmed"/>
    <x v="262"/>
    <x v="12"/>
    <s v="Verified"/>
    <n v="0.3"/>
    <s v="Yes"/>
    <x v="0"/>
    <x v="0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hiyu"/>
    <s v="Sun"/>
    <x v="263"/>
    <x v="12"/>
    <s v="Verified"/>
    <n v="0.1"/>
    <s v="No"/>
    <x v="0"/>
    <x v="1"/>
    <x v="0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ierra"/>
    <s v="Hermary"/>
    <x v="264"/>
    <x v="12"/>
    <m/>
    <n v="0"/>
    <m/>
    <x v="2"/>
    <x v="2"/>
    <x v="2"/>
    <m/>
    <m/>
    <m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pencer"/>
    <s v="Bulley"/>
    <x v="265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teven"/>
    <s v="Kom"/>
    <x v="266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teven"/>
    <s v="Luo"/>
    <x v="267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ulang"/>
    <s v="Hou"/>
    <x v="268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unny"/>
    <s v="Zhao"/>
    <x v="269"/>
    <x v="12"/>
    <s v="Verified"/>
    <n v="0.2"/>
    <s v="Yes"/>
    <x v="0"/>
    <x v="1"/>
    <x v="1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Syed"/>
    <s v="Bilal"/>
    <x v="270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ha"/>
    <s v="Siddiqui"/>
    <x v="271"/>
    <x v="12"/>
    <s v="Verified"/>
    <n v="0.4"/>
    <s v="Yes"/>
    <x v="0"/>
    <x v="1"/>
    <x v="0"/>
    <s v="No"/>
    <s v="No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idhg"/>
    <s v="Tajalli"/>
    <x v="272"/>
    <x v="12"/>
    <s v="Verified"/>
    <n v="0.8"/>
    <s v="Yes"/>
    <x v="1"/>
    <x v="0"/>
    <x v="0"/>
    <s v="Yes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aige"/>
    <s v="Zhang"/>
    <x v="273"/>
    <x v="12"/>
    <s v="Verified"/>
    <n v="0.2"/>
    <s v="No"/>
    <x v="0"/>
    <x v="1"/>
    <x v="0"/>
    <s v="No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homas"/>
    <s v="Liu"/>
    <x v="274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imothy "/>
    <s v="Yeung"/>
    <x v="275"/>
    <x v="12"/>
    <s v="Verified"/>
    <n v="0.3"/>
    <s v="No"/>
    <x v="0"/>
    <x v="0"/>
    <x v="1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omas"/>
    <s v="Cuni"/>
    <x v="276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ommy"/>
    <s v="Truong"/>
    <x v="277"/>
    <x v="12"/>
    <s v="Verified"/>
    <n v="0.9"/>
    <s v="Yes"/>
    <x v="1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Griffiths"/>
    <x v="278"/>
    <x v="12"/>
    <s v="Verified"/>
    <n v="0.1"/>
    <s v="Yes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Tyler"/>
    <s v="Maddox"/>
    <x v="279"/>
    <x v="12"/>
    <s v="Verified"/>
    <n v="0.1"/>
    <s v="No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anessa"/>
    <s v="Olutayo"/>
    <x v="280"/>
    <x v="12"/>
    <m/>
    <n v="0.1"/>
    <m/>
    <x v="2"/>
    <x v="2"/>
    <x v="2"/>
    <m/>
    <m/>
    <m/>
    <m/>
    <m/>
    <s v="Yes"/>
    <m/>
    <m/>
    <m/>
    <m/>
    <m/>
    <m/>
    <m/>
    <m/>
    <m/>
    <m/>
    <m/>
    <m/>
    <m/>
    <m/>
    <m/>
    <m/>
    <m/>
    <m/>
    <m/>
    <x v="1"/>
  </r>
  <r>
    <s v="Verissa"/>
    <s v="Liu"/>
    <x v="281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ctor"/>
    <s v="Pivtoran"/>
    <x v="282"/>
    <x v="12"/>
    <s v="Verified"/>
    <n v="0.7"/>
    <s v="No"/>
    <x v="1"/>
    <x v="0"/>
    <x v="1"/>
    <s v="No"/>
    <s v="Yes"/>
    <s v="Yes"/>
    <s v="Yes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k"/>
    <s v="Anandkmar"/>
    <x v="283"/>
    <x v="12"/>
    <s v="Verified"/>
    <n v="1"/>
    <s v="Yes"/>
    <x v="1"/>
    <x v="0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shall Balaji"/>
    <s v="Balakrishnan"/>
    <x v="284"/>
    <x v="12"/>
    <s v="Verified"/>
    <n v="0.2"/>
    <s v="No"/>
    <x v="1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Vivaan"/>
    <s v="Master"/>
    <x v="285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Elliott"/>
    <s v="Beames"/>
    <x v="286"/>
    <x v="12"/>
    <s v="Verified"/>
    <n v="0.6"/>
    <s v="No"/>
    <x v="0"/>
    <x v="1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Meldrum"/>
    <x v="287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Vu"/>
    <x v="288"/>
    <x v="12"/>
    <s v="Verified"/>
    <n v="0.5"/>
    <s v="Yes"/>
    <x v="1"/>
    <x v="0"/>
    <x v="1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"/>
    <s v="Wang"/>
    <x v="289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William "/>
    <s v="Mah"/>
    <x v="290"/>
    <x v="12"/>
    <s v="Verified"/>
    <n v="0.2"/>
    <m/>
    <x v="2"/>
    <x v="2"/>
    <x v="2"/>
    <m/>
    <m/>
    <s v="Yes"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assin"/>
    <s v="Mohamed"/>
    <x v="291"/>
    <x v="12"/>
    <s v="Verified"/>
    <n v="0.1"/>
    <s v="No"/>
    <x v="0"/>
    <x v="1"/>
    <x v="0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onatan"/>
    <s v="Silbershatz"/>
    <x v="292"/>
    <x v="12"/>
    <s v="Verified"/>
    <n v="0.8"/>
    <s v="Yes"/>
    <x v="0"/>
    <x v="0"/>
    <x v="0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oungjun"/>
    <s v="Cho"/>
    <x v="293"/>
    <x v="12"/>
    <m/>
    <n v="0.1"/>
    <m/>
    <x v="2"/>
    <x v="2"/>
    <x v="2"/>
    <m/>
    <m/>
    <m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ue"/>
    <s v="Wang"/>
    <x v="294"/>
    <x v="12"/>
    <s v="Verified"/>
    <n v="0.4"/>
    <s v="No"/>
    <x v="0"/>
    <x v="1"/>
    <x v="1"/>
    <s v="No"/>
    <s v="Yes"/>
    <s v="Yes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Yusuf"/>
    <s v="Mohmand"/>
    <x v="295"/>
    <x v="12"/>
    <s v="Verified"/>
    <n v="0.1"/>
    <s v="No"/>
    <x v="0"/>
    <x v="1"/>
    <x v="0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chary"/>
    <s v="Hersi"/>
    <x v="296"/>
    <x v="12"/>
    <s v="Verified"/>
    <n v="0.8"/>
    <s v="No"/>
    <x v="1"/>
    <x v="1"/>
    <x v="1"/>
    <s v="Yes"/>
    <s v="Yes"/>
    <s v="Yes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ain"/>
    <s v="Husain"/>
    <x v="297"/>
    <x v="12"/>
    <s v="Verified"/>
    <n v="0.8"/>
    <s v="Yes"/>
    <x v="0"/>
    <x v="0"/>
    <x v="1"/>
    <s v="Yes"/>
    <s v="Yes"/>
    <s v="No"/>
    <s v="Yes"/>
    <s v="Yes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eeshan"/>
    <s v="Khan"/>
    <x v="298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Zhen Hao"/>
    <s v="Huang"/>
    <x v="299"/>
    <x v="12"/>
    <s v="Verified"/>
    <n v="0.2"/>
    <s v="Yes"/>
    <x v="0"/>
    <x v="1"/>
    <x v="0"/>
    <s v="No"/>
    <s v="No"/>
    <s v="No"/>
    <s v="No"/>
    <s v="Yes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hiye"/>
    <s v="Liu"/>
    <x v="300"/>
    <x v="12"/>
    <s v="Verified"/>
    <n v="0.2"/>
    <s v="Yes"/>
    <x v="0"/>
    <x v="0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  <r>
    <s v="Ziad"/>
    <s v="Elnagagar"/>
    <x v="301"/>
    <x v="12"/>
    <m/>
    <n v="0.2"/>
    <m/>
    <x v="2"/>
    <x v="2"/>
    <x v="2"/>
    <m/>
    <m/>
    <m/>
    <m/>
    <s v="Yes"/>
    <s v="Yes"/>
    <m/>
    <m/>
    <m/>
    <m/>
    <m/>
    <m/>
    <m/>
    <m/>
    <m/>
    <m/>
    <m/>
    <m/>
    <m/>
    <m/>
    <m/>
    <m/>
    <m/>
    <m/>
    <m/>
    <x v="1"/>
  </r>
  <r>
    <s v="Zoe"/>
    <s v="Rosenfeld"/>
    <x v="302"/>
    <x v="12"/>
    <s v="Verified"/>
    <n v="0"/>
    <s v="No"/>
    <x v="0"/>
    <x v="1"/>
    <x v="0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s v="No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8F4AA-9140-4CDE-A284-3120EB33858F}" name="PivotTable1" cacheId="3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36">
    <pivotField showAll="0"/>
    <pivotField showAll="0"/>
    <pivotField axis="axisRow" showAll="0" sortType="ascending">
      <items count="304">
        <item x="45"/>
        <item x="46"/>
        <item x="47"/>
        <item x="18"/>
        <item x="48"/>
        <item x="49"/>
        <item x="50"/>
        <item x="51"/>
        <item x="52"/>
        <item x="11"/>
        <item x="53"/>
        <item x="19"/>
        <item x="54"/>
        <item x="20"/>
        <item x="55"/>
        <item x="56"/>
        <item x="57"/>
        <item x="58"/>
        <item x="59"/>
        <item x="60"/>
        <item x="61"/>
        <item x="62"/>
        <item x="63"/>
        <item x="64"/>
        <item x="21"/>
        <item x="65"/>
        <item x="66"/>
        <item x="67"/>
        <item x="68"/>
        <item x="22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3"/>
        <item x="92"/>
        <item x="93"/>
        <item x="94"/>
        <item x="95"/>
        <item x="96"/>
        <item x="97"/>
        <item x="98"/>
        <item x="99"/>
        <item x="100"/>
        <item x="23"/>
        <item x="24"/>
        <item x="101"/>
        <item x="14"/>
        <item x="102"/>
        <item x="103"/>
        <item x="104"/>
        <item x="105"/>
        <item x="106"/>
        <item x="25"/>
        <item x="107"/>
        <item x="108"/>
        <item x="109"/>
        <item x="110"/>
        <item x="111"/>
        <item x="112"/>
        <item x="0"/>
        <item x="113"/>
        <item x="114"/>
        <item x="115"/>
        <item x="116"/>
        <item x="117"/>
        <item x="118"/>
        <item x="6"/>
        <item x="119"/>
        <item x="120"/>
        <item x="121"/>
        <item x="122"/>
        <item x="286"/>
        <item x="123"/>
        <item x="124"/>
        <item x="125"/>
        <item x="126"/>
        <item x="16"/>
        <item x="127"/>
        <item x="26"/>
        <item x="128"/>
        <item x="27"/>
        <item x="129"/>
        <item x="130"/>
        <item x="131"/>
        <item x="132"/>
        <item x="133"/>
        <item x="134"/>
        <item x="135"/>
        <item x="28"/>
        <item x="136"/>
        <item x="137"/>
        <item x="138"/>
        <item x="139"/>
        <item x="29"/>
        <item x="140"/>
        <item x="141"/>
        <item x="142"/>
        <item x="143"/>
        <item x="144"/>
        <item x="145"/>
        <item x="146"/>
        <item x="147"/>
        <item x="5"/>
        <item x="148"/>
        <item x="149"/>
        <item x="150"/>
        <item x="151"/>
        <item x="152"/>
        <item x="153"/>
        <item x="154"/>
        <item x="30"/>
        <item x="31"/>
        <item x="155"/>
        <item x="156"/>
        <item x="157"/>
        <item x="32"/>
        <item x="158"/>
        <item x="159"/>
        <item x="160"/>
        <item x="161"/>
        <item x="162"/>
        <item x="163"/>
        <item x="164"/>
        <item x="165"/>
        <item x="166"/>
        <item x="168"/>
        <item x="167"/>
        <item x="169"/>
        <item x="7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7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7"/>
        <item x="33"/>
        <item x="204"/>
        <item x="205"/>
        <item x="34"/>
        <item x="206"/>
        <item x="208"/>
        <item x="35"/>
        <item x="209"/>
        <item x="210"/>
        <item x="211"/>
        <item x="212"/>
        <item x="213"/>
        <item x="214"/>
        <item x="215"/>
        <item x="216"/>
        <item x="2"/>
        <item x="217"/>
        <item x="218"/>
        <item x="4"/>
        <item x="219"/>
        <item x="36"/>
        <item x="220"/>
        <item x="221"/>
        <item x="37"/>
        <item x="222"/>
        <item x="38"/>
        <item x="12"/>
        <item x="223"/>
        <item x="224"/>
        <item x="225"/>
        <item x="226"/>
        <item x="227"/>
        <item x="228"/>
        <item x="229"/>
        <item x="230"/>
        <item x="8"/>
        <item x="39"/>
        <item x="231"/>
        <item x="232"/>
        <item x="40"/>
        <item x="233"/>
        <item x="234"/>
        <item x="235"/>
        <item x="236"/>
        <item x="237"/>
        <item x="238"/>
        <item x="239"/>
        <item x="240"/>
        <item x="241"/>
        <item x="9"/>
        <item x="242"/>
        <item x="243"/>
        <item x="244"/>
        <item x="15"/>
        <item x="245"/>
        <item x="246"/>
        <item x="247"/>
        <item x="248"/>
        <item x="1"/>
        <item x="249"/>
        <item x="250"/>
        <item x="251"/>
        <item x="252"/>
        <item x="253"/>
        <item x="254"/>
        <item x="10"/>
        <item x="255"/>
        <item x="256"/>
        <item x="257"/>
        <item x="41"/>
        <item x="258"/>
        <item x="42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3"/>
        <item x="280"/>
        <item x="281"/>
        <item x="282"/>
        <item x="283"/>
        <item x="284"/>
        <item x="285"/>
        <item x="290"/>
        <item x="287"/>
        <item x="288"/>
        <item x="289"/>
        <item x="291"/>
        <item x="292"/>
        <item x="293"/>
        <item x="294"/>
        <item x="295"/>
        <item x="43"/>
        <item x="296"/>
        <item x="44"/>
        <item x="297"/>
        <item x="298"/>
        <item x="299"/>
        <item x="300"/>
        <item x="301"/>
        <item x="302"/>
        <item t="default"/>
      </items>
    </pivotField>
    <pivotField axis="axisPage" multipleItemSelectionAllowed="1" showAll="0">
      <items count="14">
        <item h="1" x="6"/>
        <item h="1" x="7"/>
        <item h="1" x="8"/>
        <item h="1" x="9"/>
        <item h="1" x="10"/>
        <item x="11"/>
        <item h="1" x="12"/>
        <item h="1" x="0"/>
        <item h="1" x="1"/>
        <item h="1" x="2"/>
        <item h="1" x="3"/>
        <item h="1" x="4"/>
        <item h="1" x="5"/>
        <item t="default"/>
      </items>
    </pivotField>
    <pivotField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8">
    <i>
      <x v="3"/>
    </i>
    <i>
      <x v="11"/>
    </i>
    <i>
      <x v="13"/>
    </i>
    <i>
      <x v="24"/>
    </i>
    <i>
      <x v="29"/>
    </i>
    <i>
      <x v="63"/>
    </i>
    <i>
      <x v="64"/>
    </i>
    <i>
      <x v="72"/>
    </i>
    <i>
      <x v="98"/>
    </i>
    <i>
      <x v="100"/>
    </i>
    <i>
      <x v="108"/>
    </i>
    <i>
      <x v="113"/>
    </i>
    <i>
      <x v="130"/>
    </i>
    <i>
      <x v="131"/>
    </i>
    <i>
      <x v="135"/>
    </i>
    <i>
      <x v="185"/>
    </i>
    <i>
      <x v="188"/>
    </i>
    <i>
      <x v="191"/>
    </i>
    <i>
      <x v="205"/>
    </i>
    <i>
      <x v="208"/>
    </i>
    <i>
      <x v="210"/>
    </i>
    <i>
      <x v="221"/>
    </i>
    <i>
      <x v="224"/>
    </i>
    <i>
      <x v="254"/>
    </i>
    <i>
      <x v="256"/>
    </i>
    <i>
      <x v="294"/>
    </i>
    <i>
      <x v="296"/>
    </i>
    <i t="grand">
      <x/>
    </i>
  </rowItems>
  <colItems count="1">
    <i/>
  </colItems>
  <pageFields count="1">
    <pageField fld="3" hier="-1"/>
  </pageFields>
  <dataFields count="1">
    <dataField name="Sum of Attendance Rate" fld="5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935E0-C6A7-4014-9827-9062D32E4D07}" name="PivotTable1" cacheId="36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26" firstHeaderRow="1" firstDataRow="1" firstDataCol="1"/>
  <pivotFields count="36"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4">
    <field x="7"/>
    <field x="35"/>
    <field x="8"/>
    <field x="9"/>
  </rowFields>
  <rowItems count="24">
    <i>
      <x/>
    </i>
    <i r="1">
      <x/>
    </i>
    <i r="2">
      <x/>
    </i>
    <i r="3">
      <x/>
    </i>
    <i r="3">
      <x v="1"/>
    </i>
    <i r="2">
      <x v="1"/>
    </i>
    <i r="3">
      <x/>
    </i>
    <i r="3">
      <x v="1"/>
    </i>
    <i>
      <x v="1"/>
    </i>
    <i r="1">
      <x/>
    </i>
    <i r="2">
      <x/>
    </i>
    <i r="3">
      <x/>
    </i>
    <i r="3">
      <x v="1"/>
    </i>
    <i r="2">
      <x v="1"/>
    </i>
    <i r="3">
      <x/>
    </i>
    <i r="3">
      <x v="1"/>
    </i>
    <i>
      <x v="2"/>
    </i>
    <i r="1">
      <x/>
    </i>
    <i r="2">
      <x v="2"/>
    </i>
    <i r="3">
      <x v="2"/>
    </i>
    <i r="1">
      <x v="1"/>
    </i>
    <i r="2">
      <x v="2"/>
    </i>
    <i r="3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DF37704-EEA7-4B57-BE4F-DE1AD617741A}" name="Table116" displayName="Table116" ref="F3:K9" totalsRowCount="1" headerRowBorderDxfId="385" tableBorderDxfId="386" totalsRowBorderDxfId="384">
  <autoFilter ref="F3:K8" xr:uid="{4F071702-6152-4FBB-AB60-8AEDF203554B}"/>
  <tableColumns count="6">
    <tableColumn id="1" xr3:uid="{DF0AF302-8505-4A49-91BA-A632EDCF0324}" name="Colour" totalsRowLabel="Total" dataDxfId="382" totalsRowDxfId="383"/>
    <tableColumn id="2" xr3:uid="{18DEC144-B6FE-42EA-9CA6-46E41FA527B1}" name="Denomination" dataDxfId="380" totalsRowDxfId="381"/>
    <tableColumn id="3" xr3:uid="{C352DDBF-8B8A-4873-897F-BE65499F3277}" name="Count" totalsRowFunction="sum" dataDxfId="378" totalsRowDxfId="379"/>
    <tableColumn id="4" xr3:uid="{D01B18B8-3F9E-47F9-87AF-AF45BD1BB251}" name="Value" totalsRowFunction="sum" dataDxfId="376" totalsRowDxfId="377">
      <calculatedColumnFormula>Table116[[#This Row],[Denomination]]*Table116[[#This Row],[Count]]</calculatedColumnFormula>
    </tableColumn>
    <tableColumn id="5" xr3:uid="{742D0CDF-23FB-4FD4-B392-001DF9344B23}" name="Total Chips rq'd" dataDxfId="374" totalsRowDxfId="375">
      <calculatedColumnFormula>Table116[[#This Row],[Count]]*$K$2</calculatedColumnFormula>
    </tableColumn>
    <tableColumn id="6" xr3:uid="{DA031A20-DF58-4398-B684-E3A6AF0D7B05}" name="Shortage" dataDxfId="372" totalsRowDxfId="373">
      <calculatedColumnFormula>MIN(D4-Table116[[#This Row],[Total Chips rq''d]],0)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9D0813B-6265-4262-A12F-700F1247CE01}" name="Table26" displayName="Table26" ref="B2:D76" totalsRowCount="1" headerRowDxfId="361" tableBorderDxfId="360">
  <autoFilter ref="B2:D75" xr:uid="{0FA0BA15-E31C-4CE6-AAB8-C382DD8FE709}"/>
  <sortState xmlns:xlrd2="http://schemas.microsoft.com/office/spreadsheetml/2017/richdata2" ref="B3:D63">
    <sortCondition ref="D2:D63"/>
  </sortState>
  <tableColumns count="3">
    <tableColumn id="1" xr3:uid="{A22EB608-CDC1-4C12-8A68-EF5445CBDC04}" name="Email" totalsRowLabel="Total" dataDxfId="359"/>
    <tableColumn id="2" xr3:uid="{F653A0D6-6C45-47F6-BA99-663E7346DB24}" name="Name" dataDxfId="358"/>
    <tableColumn id="3" xr3:uid="{EBA1F3B1-1339-45CB-9176-DF92227E88F5}" name="Role" totalsRowFunction="count" dataDxfId="356" totalsRowDxfId="35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6C30E-36EA-4814-B64E-A120E6D9F936}" name="Table1" displayName="Table1" ref="M2:M5" totalsRowShown="0">
  <autoFilter ref="M2:M5" xr:uid="{C616C30E-36EA-4814-B64E-A120E6D9F936}"/>
  <tableColumns count="1">
    <tableColumn id="1" xr3:uid="{B4FC9D0B-4575-4D00-8F75-5FA41FB726DD}" name="Boole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93EE36-105A-4171-8E6E-8DD27627795D}" name="Table39" displayName="Table39" ref="Q2:Q8" totalsRowShown="0" headerRowCellStyle="Heading 3">
  <autoFilter ref="Q2:Q8" xr:uid="{3293EE36-105A-4171-8E6E-8DD27627795D}"/>
  <tableColumns count="1">
    <tableColumn id="1" xr3:uid="{E9ECA387-8663-45B9-A92F-0C637E68864A}" name="Year of study"/>
  </tableColumns>
  <tableStyleInfo name="Basic Plain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3ECCEF-861C-4216-A2C3-2B873E9564C7}" name="Table41" displayName="Table41" ref="S2:S23" totalsRowShown="0" tableBorderDxfId="354" headerRowCellStyle="Heading 3" dataCellStyle="Normal">
  <autoFilter ref="S2:S23" xr:uid="{E33ECCEF-861C-4216-A2C3-2B873E9564C7}"/>
  <tableColumns count="1">
    <tableColumn id="1" xr3:uid="{364BD5B6-D315-489D-B195-463ACCC60533}" name="Program" dataCellStyle="Normal"/>
  </tableColumns>
  <tableStyleInfo name="Basic Plain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845718-019F-4385-9B95-4960C9D6C163}" name="Table8" displayName="Table8" ref="U2:U4" totalsRowShown="0">
  <autoFilter ref="U2:U4" xr:uid="{13845718-019F-4385-9B95-4960C9D6C163}"/>
  <tableColumns count="1">
    <tableColumn id="1" xr3:uid="{EF79E8AD-0633-431F-A2D8-760D888184D3}" name="Membershi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434923-46EB-4728-B0CA-B964A58CD0A1}" name="Table12" displayName="Table12" ref="O2:O33" totalsRowShown="0" headerRowDxfId="353" dataDxfId="352" tableBorderDxfId="351">
  <autoFilter ref="O2:O33" xr:uid="{60434923-46EB-4728-B0CA-B964A58CD0A1}"/>
  <tableColumns count="1">
    <tableColumn id="1" xr3:uid="{AA349608-F541-4445-BCD8-F45584295145}" name="Tournament Dates" dataDxfId="350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911B60-38BD-4F10-8839-303A793EFF14}" name="AllTime1" displayName="AllTime1" ref="G5:K600" totalsRowShown="0" headerRowDxfId="349" dataDxfId="348" tableBorderDxfId="347" headerRowCellStyle="Heading 3">
  <autoFilter ref="G5:K600" xr:uid="{EFF2CBD1-0956-42D1-A069-7E5FEC1A3A9F}"/>
  <sortState xmlns:xlrd2="http://schemas.microsoft.com/office/spreadsheetml/2017/richdata2" ref="G6:J247">
    <sortCondition ref="I5:I247"/>
  </sortState>
  <tableColumns count="5">
    <tableColumn id="1" xr3:uid="{3B302904-09BB-400D-AABA-48503239DF57}" name="Name" dataDxfId="346">
      <calculatedColumnFormula>IFERROR(Table5[[#This Row],[Full name]],"")</calculatedColumnFormula>
    </tableColumn>
    <tableColumn id="2" xr3:uid="{C28FBBE4-C567-45C5-90BC-7D8DEE943DDF}" name="All-time rank" dataDxfId="345">
      <calculatedColumnFormula>_xlfn.RANK.EQ(AllTime1[[#This Row],[All-time score]],AllTime1[All-time score],0)</calculatedColumnFormula>
    </tableColumn>
    <tableColumn id="3" xr3:uid="{CDDD6B22-3713-4067-BE73-DECD01189206}" name="All-time score" dataDxfId="344">
      <calculatedColumnFormula>_xlfn.XLOOKUP(AllTime1[[#This Row],[Name]],Table16[Name],Table16[Totals],"Error",0,1)</calculatedColumnFormula>
    </tableColumn>
    <tableColumn id="4" xr3:uid="{66C52197-2893-437E-98B8-F75173D9D34E}" name="Helper" dataDxfId="343">
      <calculatedColumnFormula>IF(ISNUMBER(AllTime1[[#This Row],[All-time rank]]), AllTime1[[#This Row],[All-time rank]] + ROW(AllTime1[[#This Row],[All-time rank]])/100000, 99999 + ROW(AllTime1[[#This Row],[All-time rank]])/100000)</calculatedColumnFormula>
    </tableColumn>
    <tableColumn id="5" xr3:uid="{312A4599-D55B-4346-8D78-11293B5279EA}" name="Helper2" dataDxfId="342">
      <calculatedColumnFormula>IF(ISNUMBER(AllTime1[[#This Row],[All-time score]]), AllTime1[[#This Row],[All-time score]] + ROW(AllTime1[[#This Row],[All-time score]])/100000000, 0 + ROW(AllTime1[[#This Row],[All-time score]])/1000000000)</calculatedColumnFormula>
    </tableColumn>
  </tableColumns>
  <tableStyleInfo name="Basic Plai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A24863-23D4-419F-9D41-4B21DDB14D28}" name="Table5" displayName="Table5" ref="B5:AJ355" totalsRowShown="0" headerRowDxfId="321">
  <autoFilter ref="B5:AJ355" xr:uid="{61A24863-23D4-419F-9D41-4B21DDB14D28}"/>
  <sortState xmlns:xlrd2="http://schemas.microsoft.com/office/spreadsheetml/2017/richdata2" ref="B6:AJ354">
    <sortCondition ref="E5:E354" customList="President,VP Comms,VP Events,VP External,VP Finance,VP Projects,Director of Events,Director of External,Director of Finance,Director of Graphics,Director of Productions,Director of Projects,Director of Sponsorships,Executive,Member"/>
    <sortCondition ref="B5:B354"/>
  </sortState>
  <tableColumns count="35">
    <tableColumn id="1" xr3:uid="{165A8EF0-AB69-4ED9-B8C1-21343757E191}" name="First name" dataDxfId="320"/>
    <tableColumn id="2" xr3:uid="{2B6FB726-01B9-4F9A-8F62-B3117D07B1F9}" name="Last name" dataDxfId="319"/>
    <tableColumn id="3" xr3:uid="{DF89A1E2-4DE7-4506-A026-87DF26A1E5A0}" name="Full name" dataDxfId="318">
      <calculatedColumnFormula>Table5[[#This Row],[First name]]&amp;" "&amp;Table5[[#This Row],[Last name]]</calculatedColumnFormula>
    </tableColumn>
    <tableColumn id="11" xr3:uid="{93E06E6B-7135-4A6E-B745-0D0059D143E9}" name="Player Type" dataDxfId="317">
      <calculatedColumnFormula>_xlfn.XLOOKUP(Table5[[#This Row],[Full name]],Table26[Name],Table26[Role],"Member",0,1)</calculatedColumnFormula>
    </tableColumn>
    <tableColumn id="4" xr3:uid="{D410E841-B4DF-475E-B15E-730753C4B874}" name="Membership" dataDxfId="316"/>
    <tableColumn id="7" xr3:uid="{6EC57B33-9F6B-445E-9FA4-A3216056A4A9}" name="Attendance Rate" dataDxfId="315" dataCellStyle="Percent">
      <calculatedColumnFormula array="1">COUNTIF(Table5[[#This Row],[September 30, 2025]:[April 7, 2026]],"Yes")/SUMPRODUCT(--(DATEVALUE(Table5[[#Headers],[September 30, 2025]:[April 9, 2026]])&lt;=TODAY()))</calculatedColumnFormula>
    </tableColumn>
    <tableColumn id="8" xr3:uid="{A24005B9-7F1F-4391-AAC7-E0F5129AC659}" name="September 30, 2025"/>
    <tableColumn id="9" xr3:uid="{F5B2B84F-D62D-4F7B-A899-8CDF61EC2EEF}" name="October 2, 2025"/>
    <tableColumn id="12" xr3:uid="{43996402-1268-418F-822C-DB377F28B12F}" name="October 9, 2025"/>
    <tableColumn id="13" xr3:uid="{2C30755D-61C1-4DC0-998F-654D995684F3}" name="October 14, 2025"/>
    <tableColumn id="14" xr3:uid="{7550B76B-74ED-4FD5-9E2F-A494CD42581C}" name="October 23, 2025"/>
    <tableColumn id="15" xr3:uid="{10DFA107-260E-4421-939C-03184D1E706D}" name="October 28, 2025"/>
    <tableColumn id="16" xr3:uid="{6822773A-1E21-43F9-923B-F1723CCA1767}" name="November 13, 2025"/>
    <tableColumn id="17" xr3:uid="{51310641-C71F-400A-874F-B91128E4623F}" name="November 18, 2025"/>
    <tableColumn id="19" xr3:uid="{C093F63E-B889-4459-82D2-7EEA3CD14CB3}" name="November 27, 2025"/>
    <tableColumn id="20" xr3:uid="{EA397217-FFF7-40C5-A7B5-DDCDEEA0154D}" name="December 2, 2025"/>
    <tableColumn id="21" xr3:uid="{73125F5E-AED4-48B1-81D2-BC2FFFC45C8D}" name="January 27, 2026"/>
    <tableColumn id="23" xr3:uid="{53D7011B-3B62-402A-98A0-DEDE0122C44D}" name="February 3, 2026"/>
    <tableColumn id="24" xr3:uid="{08314DDD-5CC0-470A-B491-54C03B22CDE3}" name="February 5, 2026" dataDxfId="314"/>
    <tableColumn id="25" xr3:uid="{485C3E95-A8A7-4174-89A2-1C126CB900BD}" name="February 10, 2026"/>
    <tableColumn id="26" xr3:uid="{3F6F28AD-1B40-45F3-BC60-9D372ABDC07D}" name="February 12, 2026"/>
    <tableColumn id="29" xr3:uid="{A46F66FC-636C-49C0-9043-5DCBE1B0EA6D}" name="February 24, 2026"/>
    <tableColumn id="30" xr3:uid="{70B999FA-E6C5-4C14-B125-0DA9EE70FAF7}" name="February 26, 2026"/>
    <tableColumn id="31" xr3:uid="{DDA61844-84E1-4A34-9D1B-0162934F3595}" name="March 3, 2026"/>
    <tableColumn id="32" xr3:uid="{6E7A80DC-959A-43CD-B9C1-D16587B499BD}" name="March 5, 2026"/>
    <tableColumn id="33" xr3:uid="{854938B9-D065-4749-B9A7-664A7349EB3C}" name="March 10, 2026"/>
    <tableColumn id="34" xr3:uid="{82E372D9-5BAD-44AD-9097-8F42F1CF1239}" name="March 12, 2026"/>
    <tableColumn id="35" xr3:uid="{2A027CF1-BF81-4575-AA90-2AFD9A93DB1C}" name="March 17, 2026"/>
    <tableColumn id="36" xr3:uid="{112DB22C-BFB7-4F6B-8759-981EA40BCE2A}" name="March 19, 2026"/>
    <tableColumn id="37" xr3:uid="{2D177071-3E1B-426E-BA60-97E6204EC472}" name="March 24, 2026"/>
    <tableColumn id="18" xr3:uid="{4AA018B6-4F1C-4084-BD3E-1EC22CE0335D}" name="March 26, 2026"/>
    <tableColumn id="40" xr3:uid="{D187B5E3-7F37-4431-9B3B-B4BC76F00B51}" name="March 31, 2026"/>
    <tableColumn id="38" xr3:uid="{EA1B42E1-BAC8-4AC8-B4C0-74EB181B18E0}" name="April 2, 2026"/>
    <tableColumn id="39" xr3:uid="{276E104F-4DB1-4EAD-8D4C-FE2DAFBE7E3C}" name="April 7, 2026"/>
    <tableColumn id="10" xr3:uid="{5E78FB4A-A010-445C-A2FD-850B819FA18F}" name="April 9, 2026"/>
  </tableColumns>
  <tableStyleInfo name="Basic Plai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92DD06-7884-443D-B4C9-73411F96B688}" name="Table4" displayName="Table4" ref="C7:G117" totalsRowShown="0" headerRowDxfId="295" headerRowBorderDxfId="294" headerRowCellStyle="Heading 3">
  <autoFilter ref="C7:G117" xr:uid="{C592DD06-7884-443D-B4C9-73411F96B688}"/>
  <sortState xmlns:xlrd2="http://schemas.microsoft.com/office/spreadsheetml/2017/richdata2" ref="C8:G117">
    <sortCondition descending="1" ref="E7:E117"/>
  </sortState>
  <tableColumns count="5">
    <tableColumn id="2" xr3:uid="{6A3760F5-7033-4373-82FA-1DDF5F466CC8}" name="Name" dataDxfId="293"/>
    <tableColumn id="3" xr3:uid="{4A11BCF9-9FE5-4936-BE1B-208DD845231F}" name="Rebuy" dataDxfId="292"/>
    <tableColumn id="4" xr3:uid="{1A8BBEEF-3F53-4330-A1D5-96AC8A459CB2}" name="Time" dataDxfId="291" dataCellStyle="Heading 3"/>
    <tableColumn id="1" xr3:uid="{FD638256-7463-4023-B403-23A2B3FEDD84}" name="True Rank" dataDxfId="290">
      <calculatedColumnFormula>IFERROR(IF(Table4[[#This Row],[Name]]="","",IFERROR(IF(Table4[[#This Row],[Time]]="","TBD",D$2-COUNTIF(Table4[Time],"&lt;"&amp;Table4[[#This Row],[Time]])),""))-(COUNTIF(Table4[Time],Table4[[#This Row],[Time]])-1),"")</calculatedColumnFormula>
    </tableColumn>
    <tableColumn id="5" xr3:uid="{D2989831-0866-4FFC-8200-F849DD4BD749}" name="Points" dataDxfId="289">
      <calculatedColumnFormula array="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calculatedColumnFormula>
    </tableColumn>
  </tableColumns>
  <tableStyleInfo name="Basic Plai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893C73-3C1D-4C88-8233-B90D224BCC92}" name="Table9" displayName="Table9" ref="I7:M95" totalsRowShown="0" headerRowDxfId="288" dataDxfId="287" headerRowBorderDxfId="286" headerRowCellStyle="Heading 3">
  <autoFilter ref="I7:M95" xr:uid="{47893C73-3C1D-4C88-8233-B90D224BCC92}"/>
  <sortState xmlns:xlrd2="http://schemas.microsoft.com/office/spreadsheetml/2017/richdata2" ref="I8:M95">
    <sortCondition descending="1" ref="K7:K95"/>
  </sortState>
  <tableColumns count="5">
    <tableColumn id="2" xr3:uid="{8C19530C-056C-4B11-98D3-8CA65585CD5D}" name="Name" dataDxfId="285"/>
    <tableColumn id="3" xr3:uid="{EEAF6FE1-03F5-47A5-B5AA-BF77FB57C237}" name="Rebuy" dataDxfId="284"/>
    <tableColumn id="4" xr3:uid="{64F6F573-423A-4069-87B2-BAA53A761AF4}" name="Time" dataDxfId="283" dataCellStyle="Heading 3"/>
    <tableColumn id="1" xr3:uid="{85E8FBAE-2CA1-47AA-9309-07AD88604E91}" name="True Rank" dataDxfId="282">
      <calculatedColumnFormula>IFERROR(IF(Table9[[#This Row],[Name]]="","",IFERROR(IF(Table9[[#This Row],[Time]]="","TBD",J$2-COUNTIF(Table9[Time],"&lt;"&amp;Table9[[#This Row],[Time]])),""))-(COUNTIF(Table9[Time],Table9[[#This Row],[Time]])-1),"")</calculatedColumnFormula>
    </tableColumn>
    <tableColumn id="5" xr3:uid="{AD9B48E3-F700-4726-9856-5B33262E0DF0}" name="Points" dataDxfId="281">
      <calculatedColumnFormula array="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calculatedColumnFormula>
    </tableColumn>
  </tableColumns>
  <tableStyleInfo name="Basic Plain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E6686-B13D-4FEC-A233-F08152EF8A28}" name="Table2" displayName="Table2" ref="U7:Y92" totalsRowShown="0" headerRowDxfId="280" dataDxfId="279" headerRowCellStyle="Heading 3">
  <autoFilter ref="U7:Y92" xr:uid="{69EE6686-B13D-4FEC-A233-F08152EF8A28}"/>
  <sortState xmlns:xlrd2="http://schemas.microsoft.com/office/spreadsheetml/2017/richdata2" ref="U8:Y92">
    <sortCondition descending="1" ref="W7:W92"/>
  </sortState>
  <tableColumns count="5">
    <tableColumn id="1" xr3:uid="{F0444193-77B6-42E4-8CE5-BA57D9BDAD7E}" name="Name" dataDxfId="278"/>
    <tableColumn id="4" xr3:uid="{68923157-7C1B-4263-8808-014B3E10170B}" name="Rebuy" dataDxfId="277"/>
    <tableColumn id="2" xr3:uid="{62F06D74-658E-4951-856C-3CC7AEC7F5A0}" name="Time" dataDxfId="276" dataCellStyle="Heading 3"/>
    <tableColumn id="3" xr3:uid="{66453493-200F-47EE-8CAB-93CCCA83EE14}" name="True Rank" dataDxfId="275">
      <calculatedColumnFormula>IFERROR(IF(Table2[[#This Row],[Name]]="","",IFERROR(IF(Table2[[#This Row],[Time]]="","TBD",V$2-COUNTIF(Table2[Time],"&lt;"&amp;Table2[[#This Row],[Time]])),""))-(COUNTIF(Table2[Time],Table2[[#This Row],[Time]])-1),"")</calculatedColumnFormula>
    </tableColumn>
    <tableColumn id="7" xr3:uid="{FA7E68C8-FFD6-4F80-8C18-069435F4A6C5}" name="Points" dataDxfId="274">
      <calculatedColumnFormula array="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calculatedColumnFormula>
    </tableColumn>
  </tableColumns>
  <tableStyleInfo name="Basic Plain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B739C1-AD82-4F5A-905A-3B866BDE5F62}" name="Table211" displayName="Table211" ref="AA7:AE79" totalsRowShown="0" headerRowDxfId="273" dataDxfId="272" headerRowBorderDxfId="271" headerRowCellStyle="Heading 3">
  <autoFilter ref="AA7:AE79" xr:uid="{66B739C1-AD82-4F5A-905A-3B866BDE5F62}"/>
  <sortState xmlns:xlrd2="http://schemas.microsoft.com/office/spreadsheetml/2017/richdata2" ref="AA8:AE79">
    <sortCondition descending="1" ref="AC7:AC79"/>
  </sortState>
  <tableColumns count="5">
    <tableColumn id="1" xr3:uid="{AB08FBBE-212F-4E5E-99F2-F0D7AFA243E4}" name="Name" dataDxfId="270"/>
    <tableColumn id="2" xr3:uid="{1FCDBF19-4021-405C-8F36-F5BEA9676260}" name="Rebuy" dataDxfId="269"/>
    <tableColumn id="3" xr3:uid="{2DD5FB56-3844-4781-B3D9-A59595A14530}" name="Time" dataDxfId="268" dataCellStyle="Heading 3"/>
    <tableColumn id="7" xr3:uid="{E01C2DE9-280A-4DD9-B521-930CDF0EFD29}" name="True Rank" dataDxfId="267">
      <calculatedColumnFormula>IFERROR(IF(Table211[[#This Row],[Name]]="","",IFERROR(IF(Table211[[#This Row],[Time]]="","TBD",AB$2-COUNTIF(Table211[Time],"&lt;"&amp;Table211[[#This Row],[Time]])),""))-(COUNTIF(Table211[Time],Table211[[#This Row],[Time]])-1),"")</calculatedColumnFormula>
    </tableColumn>
    <tableColumn id="6" xr3:uid="{DB9986CB-576C-42BE-9367-BDE50C4DC80A}" name="Points" dataDxfId="266">
      <calculatedColumnFormula array="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calculatedColumnFormula>
    </tableColumn>
  </tableColumns>
  <tableStyleInfo name="Basic Plain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32381F-C38B-48C7-9329-E5DFFC260B70}" name="Table21112" displayName="Table21112" ref="AG7:AK86" totalsRowShown="0" headerRowDxfId="265" dataDxfId="264" tableBorderDxfId="263" headerRowCellStyle="Heading 3">
  <autoFilter ref="AG7:AK86" xr:uid="{BE32381F-C38B-48C7-9329-E5DFFC260B70}"/>
  <sortState xmlns:xlrd2="http://schemas.microsoft.com/office/spreadsheetml/2017/richdata2" ref="AG8:AK86">
    <sortCondition descending="1" ref="AI7:AI86"/>
  </sortState>
  <tableColumns count="5">
    <tableColumn id="1" xr3:uid="{AA2FE527-82BE-44EE-8B49-F0C9922B31C0}" name="Name" dataDxfId="262"/>
    <tableColumn id="2" xr3:uid="{6F71981F-45C9-4A57-9036-C504EBEF4FBB}" name="Rebuy" dataDxfId="261"/>
    <tableColumn id="3" xr3:uid="{CE924F63-0964-47ED-9FF1-D2060162F5BE}" name="Time" dataDxfId="260" dataCellStyle="Heading 3"/>
    <tableColumn id="7" xr3:uid="{16099D2C-CDEE-402D-8701-97FD1274C924}" name="True Rank" dataDxfId="259">
      <calculatedColumnFormula>IFERROR(IF(Table21112[[#This Row],[Name]]="","",IFERROR(IF(Table21112[[#This Row],[Time]]="","TBD",AH$2-COUNTIF(Table21112[Time],"&lt;"&amp;Table21112[[#This Row],[Time]])),""))-(COUNTIF(Table21112[Time],Table21112[[#This Row],[Time]])-1),"")</calculatedColumnFormula>
    </tableColumn>
    <tableColumn id="6" xr3:uid="{899598A8-F8F6-4632-86CD-AA9E8E6656B1}" name="Points" dataDxfId="258">
      <calculatedColumnFormula array="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calculatedColumnFormula>
    </tableColumn>
  </tableColumns>
  <tableStyleInfo name="Basic Plain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BEFE0B-B902-411F-8957-F7F304420E0D}" name="Table18" displayName="Table18" ref="O7:S107" totalsRowShown="0" headerRowDxfId="257" headerRowBorderDxfId="255" tableBorderDxfId="256" headerRowCellStyle="Heading 3">
  <autoFilter ref="O7:S107" xr:uid="{3484D488-C6B8-40D6-8AB1-D694807DFFF4}"/>
  <sortState xmlns:xlrd2="http://schemas.microsoft.com/office/spreadsheetml/2017/richdata2" ref="O8:S107">
    <sortCondition descending="1" ref="Q7:Q107"/>
  </sortState>
  <tableColumns count="5">
    <tableColumn id="1" xr3:uid="{6F5E69EE-5799-4201-B244-AB9881045CCA}" name="Name" dataDxfId="254"/>
    <tableColumn id="2" xr3:uid="{4E350AF7-C13F-4ECD-A96A-05E85F5D2D84}" name="Rebuy" dataDxfId="253"/>
    <tableColumn id="3" xr3:uid="{A4D795F8-23B9-4524-85D4-D99A303CAA39}" name="Time" dataDxfId="252" dataCellStyle="Heading 3"/>
    <tableColumn id="4" xr3:uid="{0D45427B-79D1-49AE-AB1E-F2661104C415}" name="True Rank" dataDxfId="251">
      <calculatedColumnFormula>IFERROR(IF(Table18[[#This Row],[Name]]="","",IFERROR(IF(Table18[[#This Row],[Time]]="","TBD",P$2-COUNTIF(Table18[Time],"&lt;"&amp;Table18[[#This Row],[Time]])),""))-(COUNTIF(Table18[Time],Table18[[#This Row],[Time]])-1),"")</calculatedColumnFormula>
    </tableColumn>
    <tableColumn id="5" xr3:uid="{635499D5-2BA6-4DA2-A45A-4E5303ABE9E6}" name="Points" dataDxfId="250">
      <calculatedColumnFormula array="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calculatedColumnFormula>
    </tableColumn>
  </tableColumns>
  <tableStyleInfo name="Basic Plain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F407A-E964-4F6D-8EA9-A0091E171102}" name="Table21112164" displayName="Table21112164" ref="AM7:AQ97" totalsRowShown="0" headerRowDxfId="249" dataDxfId="248" tableBorderDxfId="247" headerRowCellStyle="Heading 3">
  <autoFilter ref="AM7:AQ97" xr:uid="{A62F407A-E964-4F6D-8EA9-A0091E171102}"/>
  <sortState xmlns:xlrd2="http://schemas.microsoft.com/office/spreadsheetml/2017/richdata2" ref="AM8:AQ97">
    <sortCondition descending="1" ref="AO7:AO97"/>
  </sortState>
  <tableColumns count="5">
    <tableColumn id="1" xr3:uid="{20FAB76D-5FA8-4E5A-AA32-E5DB0A162A85}" name="Name" dataDxfId="246"/>
    <tableColumn id="2" xr3:uid="{D068D0A0-20D1-489E-9036-31AE5FD8FD4F}" name="Rebuy" dataDxfId="245"/>
    <tableColumn id="3" xr3:uid="{AA8CFA45-C366-4B10-8BD9-3EA130EBCFB9}" name="Time" dataDxfId="244" dataCellStyle="Heading 3"/>
    <tableColumn id="7" xr3:uid="{A28D7CB5-D7F4-4D14-B002-535164F2CA3F}" name="True Rank" dataDxfId="243">
      <calculatedColumnFormula>IFERROR(IF(Table21112164[[#This Row],[Name]]="","",IFERROR(IF(Table21112164[[#This Row],[Time]]="","TBD",AN$2-COUNTIF(Table21112164[Time],"&lt;"&amp;Table21112164[[#This Row],[Time]])),""))-(COUNTIF(Table21112164[Time],Table21112164[[#This Row],[Time]])-1),"")</calculatedColumnFormula>
    </tableColumn>
    <tableColumn id="6" xr3:uid="{562CB125-4015-4E5D-9C75-A5C7A52BA03A}" name="Points" dataDxfId="242">
      <calculatedColumnFormula array="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calculatedColumnFormula>
    </tableColumn>
  </tableColumns>
  <tableStyleInfo name="Basic Plain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474D4B-099D-4F60-94D9-E465581B47D8}" name="Table2111216420" displayName="Table2111216420" ref="AS7:AW102" totalsRowShown="0" headerRowDxfId="241" dataDxfId="240" tableBorderDxfId="239" headerRowCellStyle="Heading 3">
  <autoFilter ref="AS7:AW102" xr:uid="{1A474D4B-099D-4F60-94D9-E465581B47D8}"/>
  <sortState xmlns:xlrd2="http://schemas.microsoft.com/office/spreadsheetml/2017/richdata2" ref="AS8:AW102">
    <sortCondition descending="1" ref="AU7:AU102"/>
  </sortState>
  <tableColumns count="5">
    <tableColumn id="1" xr3:uid="{CD7DAB4D-D1C9-4ABB-903C-DE9B441E212C}" name="Name" dataDxfId="238"/>
    <tableColumn id="2" xr3:uid="{EF45E399-B73B-42C1-BA99-6B4EBECDECA9}" name="Rebuy" dataDxfId="237"/>
    <tableColumn id="3" xr3:uid="{5CE8291B-60C2-4316-A554-F676B121F07B}" name="Time" dataDxfId="236" dataCellStyle="Heading 3"/>
    <tableColumn id="7" xr3:uid="{86AE2DC4-AFDE-478F-BA7E-108A153CFD3F}" name="True Rank" dataDxfId="235">
      <calculatedColumnFormula>IFERROR(IF(Table2111216420[[#This Row],[Name]]="","",IFERROR(IF(Table2111216420[[#This Row],[Time]]="","TBD",AT$2-COUNTIF(Table2111216420[Time],"&lt;"&amp;Table2111216420[[#This Row],[Time]])),""))-(COUNTIF(Table2111216420[Time],Table2111216420[[#This Row],[Time]])-1),"")</calculatedColumnFormula>
    </tableColumn>
    <tableColumn id="6" xr3:uid="{235395D0-F49A-4CAF-A1F4-CF340E29EEB6}" name="Points" dataDxfId="234">
      <calculatedColumnFormula array="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calculatedColumnFormula>
    </tableColumn>
  </tableColumns>
  <tableStyleInfo name="Basic Plain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6072F9-6F8E-41A6-8DE2-AA21DA9A05E8}" name="Table211121642021" displayName="Table211121642021" ref="AY7:BC101" totalsRowShown="0" headerRowDxfId="233" dataDxfId="232" tableBorderDxfId="231" headerRowCellStyle="Heading 3">
  <autoFilter ref="AY7:BC101" xr:uid="{436072F9-6F8E-41A6-8DE2-AA21DA9A05E8}"/>
  <sortState xmlns:xlrd2="http://schemas.microsoft.com/office/spreadsheetml/2017/richdata2" ref="AY8:BC101">
    <sortCondition descending="1" ref="BA7:BA101"/>
  </sortState>
  <tableColumns count="5">
    <tableColumn id="1" xr3:uid="{F6995E08-12A3-419C-9619-E7C3FC2AD297}" name="Name" dataDxfId="230"/>
    <tableColumn id="2" xr3:uid="{3BFB7D01-AD66-46C0-AEDA-38470B74908D}" name="Rebuy" dataDxfId="229"/>
    <tableColumn id="3" xr3:uid="{D072E175-3CEE-4990-98DD-92CA601DD032}" name="Time" dataDxfId="228" dataCellStyle="Heading 3"/>
    <tableColumn id="7" xr3:uid="{A8688C22-F37A-4515-8EDD-DE8B6557593A}" name="True Rank" dataDxfId="227">
      <calculatedColumnFormula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calculatedColumnFormula>
    </tableColumn>
    <tableColumn id="6" xr3:uid="{EBAFDC5F-9E65-406C-BE93-DF576C6FFF27}" name="Points" dataDxfId="226">
      <calculatedColumnFormula array="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calculatedColumnFormula>
    </tableColumn>
  </tableColumns>
  <tableStyleInfo name="Basic Plain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D9AEE40-C5D8-4BD7-9BBC-CA2F1A1D1BF4}" name="Table21112164202122" displayName="Table21112164202122" ref="BE7:BI96" totalsRowShown="0" headerRowDxfId="225" dataDxfId="224" tableBorderDxfId="223" headerRowCellStyle="Heading 3">
  <autoFilter ref="BE7:BI96" xr:uid="{3D9AEE40-C5D8-4BD7-9BBC-CA2F1A1D1BF4}"/>
  <sortState xmlns:xlrd2="http://schemas.microsoft.com/office/spreadsheetml/2017/richdata2" ref="BE8:BI96">
    <sortCondition ref="BH7:BH96"/>
  </sortState>
  <tableColumns count="5">
    <tableColumn id="1" xr3:uid="{0FE7D9DE-E07E-4496-85F6-7B54DA49FB87}" name="Name" dataDxfId="222"/>
    <tableColumn id="2" xr3:uid="{8AECE982-59C7-4107-B680-2038DFBD2671}" name="Rebuy" dataDxfId="221"/>
    <tableColumn id="3" xr3:uid="{FD469401-E282-419F-9F30-4404A6F40B8A}" name="Time" dataDxfId="220" dataCellStyle="Heading 3"/>
    <tableColumn id="7" xr3:uid="{05CA1ED6-CECC-44A2-AD32-94A12C2260C0}" name="True Rank" dataDxfId="219">
      <calculatedColumnFormula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calculatedColumnFormula>
    </tableColumn>
    <tableColumn id="6" xr3:uid="{64D7536F-6851-480F-B2C8-954EAFF76FF3}" name="Points" dataDxfId="218">
      <calculatedColumnFormula array="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calculatedColumnFormula>
    </tableColumn>
  </tableColumns>
  <tableStyleInfo name="Basic Plain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71C5630-D60B-4FDD-BACB-A37FB10C70C9}" name="Table2111216420212223" displayName="Table2111216420212223" ref="BK7:BO99" totalsRowShown="0" headerRowDxfId="217" dataDxfId="216" tableBorderDxfId="215" headerRowCellStyle="Heading 3">
  <autoFilter ref="BK7:BO99" xr:uid="{671C5630-D60B-4FDD-BACB-A37FB10C70C9}"/>
  <sortState xmlns:xlrd2="http://schemas.microsoft.com/office/spreadsheetml/2017/richdata2" ref="BK8:BO99">
    <sortCondition descending="1" ref="BM7:BM99"/>
  </sortState>
  <tableColumns count="5">
    <tableColumn id="1" xr3:uid="{1A16129F-98E2-499A-A12A-FA7B430793CE}" name="Name" dataDxfId="214"/>
    <tableColumn id="2" xr3:uid="{0364C25D-07D9-4D96-B293-E924C46D001F}" name="Rebuy" dataDxfId="213"/>
    <tableColumn id="3" xr3:uid="{EE5FBA7B-F8C1-4DD6-B9AF-72AA320E1A64}" name="Time" dataDxfId="212" dataCellStyle="Heading 3"/>
    <tableColumn id="7" xr3:uid="{D36CDE67-5126-4400-995D-5FCE117679B1}" name="True Rank" dataDxfId="211">
      <calculatedColumnFormula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calculatedColumnFormula>
    </tableColumn>
    <tableColumn id="6" xr3:uid="{14794A4C-07D0-498F-A7D9-6AE92806957C}" name="Points" dataDxfId="210">
      <calculatedColumnFormula array="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calculatedColumnFormula>
    </tableColumn>
  </tableColumns>
  <tableStyleInfo name="Basic Plain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F68C0EB-13E5-4341-B768-656CC83A30E2}" name="Table211121642021222325" displayName="Table211121642021222325" ref="BQ7:BU99" totalsRowShown="0" headerRowDxfId="209" dataDxfId="208" tableBorderDxfId="207" headerRowCellStyle="Heading 3">
  <autoFilter ref="BQ7:BU99" xr:uid="{3F68C0EB-13E5-4341-B768-656CC83A30E2}"/>
  <sortState xmlns:xlrd2="http://schemas.microsoft.com/office/spreadsheetml/2017/richdata2" ref="BQ8:BU99">
    <sortCondition descending="1" ref="BS7:BS99"/>
  </sortState>
  <tableColumns count="5">
    <tableColumn id="1" xr3:uid="{FAAC9675-2377-4118-A104-9E7A548196D8}" name="Name" dataDxfId="206"/>
    <tableColumn id="2" xr3:uid="{7FE39A6B-A316-4EBA-8552-DB1022DFC6FC}" name="Rebuy" dataDxfId="205"/>
    <tableColumn id="3" xr3:uid="{40D5F4A9-8E37-483B-913A-5336C986BA7B}" name="Time" dataDxfId="204" dataCellStyle="Heading 3"/>
    <tableColumn id="7" xr3:uid="{852D4E0B-C3FA-4368-944C-AE2B1707C6D8}" name="True Rank" dataDxfId="203">
      <calculatedColumnFormula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calculatedColumnFormula>
    </tableColumn>
    <tableColumn id="6" xr3:uid="{0E0EE206-BDD3-44F3-9DB9-3E4FA08B2EA8}" name="Points" dataDxfId="202">
      <calculatedColumnFormula array="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calculatedColumnFormula>
    </tableColumn>
  </tableColumns>
  <tableStyleInfo name="Basic Plain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573111A-60A2-4F15-AE96-4FC17FDEB1DE}" name="Table21112164202122232534" displayName="Table21112164202122232534" ref="BW7:CA99" totalsRowShown="0" headerRowDxfId="201" dataDxfId="200" tableBorderDxfId="199" headerRowCellStyle="Heading 3">
  <autoFilter ref="BW7:CA99" xr:uid="{C573111A-60A2-4F15-AE96-4FC17FDEB1DE}"/>
  <sortState xmlns:xlrd2="http://schemas.microsoft.com/office/spreadsheetml/2017/richdata2" ref="BW8:CA99">
    <sortCondition descending="1" ref="BY7:BY99"/>
  </sortState>
  <tableColumns count="5">
    <tableColumn id="1" xr3:uid="{64097FCB-8A84-46BD-9DB7-02D1C85CF6F4}" name="Name" dataDxfId="198"/>
    <tableColumn id="2" xr3:uid="{B5AA4D4E-CB3F-4AB2-B867-F7684361E4B9}" name="Rebuy" dataDxfId="197"/>
    <tableColumn id="3" xr3:uid="{41C66F51-93A6-434B-95A1-B1B71E5EBA5A}" name="Time" dataDxfId="196" dataCellStyle="Heading 3"/>
    <tableColumn id="7" xr3:uid="{20A1BAFE-9362-4083-A73A-6837CEB999F2}" name="True Rank" dataDxfId="195">
      <calculatedColumnFormula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calculatedColumnFormula>
    </tableColumn>
    <tableColumn id="6" xr3:uid="{906D26BE-A96D-4770-905D-903B1C14002E}" name="Points" dataDxfId="194">
      <calculatedColumnFormula array="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calculatedColumnFormula>
    </tableColumn>
  </tableColumns>
  <tableStyleInfo name="Basic Plain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A1BE698-539F-4E86-96A4-7DB59F101C9C}" name="Table2111216420212223253435" displayName="Table2111216420212223253435" ref="CC7:CG83" totalsRowShown="0" headerRowDxfId="193" dataDxfId="192" tableBorderDxfId="191" headerRowCellStyle="Heading 3">
  <autoFilter ref="CC7:CG83" xr:uid="{BA1BE698-539F-4E86-96A4-7DB59F101C9C}"/>
  <sortState xmlns:xlrd2="http://schemas.microsoft.com/office/spreadsheetml/2017/richdata2" ref="CC8:CG83">
    <sortCondition descending="1" ref="CE7:CE83"/>
  </sortState>
  <tableColumns count="5">
    <tableColumn id="1" xr3:uid="{330EAF51-97AE-480F-A59B-E2B2403777B1}" name="Name" dataDxfId="190">
      <calculatedColumnFormula>IF('Weekly Attendance'!U6="Yes",'Weekly Attendance'!D6,"")</calculatedColumnFormula>
    </tableColumn>
    <tableColumn id="2" xr3:uid="{14449209-3E87-4873-9EA2-A5C7426F73B2}" name="Rebuy" dataDxfId="189"/>
    <tableColumn id="3" xr3:uid="{76CE2FDB-60CC-449C-AFF7-36BC8E367499}" name="Time" dataDxfId="188" dataCellStyle="Heading 3"/>
    <tableColumn id="7" xr3:uid="{F369760A-9C23-4840-A127-71327BD616AB}" name="True Rank" dataDxfId="187">
      <calculatedColumnFormula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calculatedColumnFormula>
    </tableColumn>
    <tableColumn id="6" xr3:uid="{BB6D7D9B-BCB6-42B3-9E38-81F29E97001F}" name="Points" dataDxfId="186">
      <calculatedColumnFormula array="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calculatedColumnFormula>
    </tableColumn>
  </tableColumns>
  <tableStyleInfo name="Basic Plain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3FEA6F7-785B-4F4C-B741-F64B8D0C3E22}" name="Table211121642021222325343536" displayName="Table211121642021222325343536" ref="CI7:CM74" totalsRowShown="0" headerRowDxfId="185" dataDxfId="184" tableBorderDxfId="183" headerRowCellStyle="Heading 3">
  <autoFilter ref="CI7:CM74" xr:uid="{F3FEA6F7-785B-4F4C-B741-F64B8D0C3E22}"/>
  <sortState xmlns:xlrd2="http://schemas.microsoft.com/office/spreadsheetml/2017/richdata2" ref="CI8:CM74">
    <sortCondition descending="1" ref="CK7:CK74"/>
  </sortState>
  <tableColumns count="5">
    <tableColumn id="1" xr3:uid="{C5E8A887-3752-41AB-8859-3E780EF4D8A0}" name="Name" dataDxfId="182"/>
    <tableColumn id="2" xr3:uid="{B520D4F7-7E4D-4EA7-9417-6A48866EAFCC}" name="Rebuy" dataDxfId="181"/>
    <tableColumn id="3" xr3:uid="{496BD5E8-786B-4847-9054-245775734E3A}" name="Time" dataDxfId="180" dataCellStyle="Heading 3"/>
    <tableColumn id="7" xr3:uid="{3FC0BDBB-9A99-49E0-ADF4-9FB6F90E53D5}" name="True Rank" dataDxfId="179">
      <calculatedColumnFormula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calculatedColumnFormula>
    </tableColumn>
    <tableColumn id="6" xr3:uid="{47DC1889-77C2-4825-A277-A199E0A032C9}" name="Points" dataDxfId="178">
      <calculatedColumnFormula array="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calculatedColumnFormula>
    </tableColumn>
  </tableColumns>
  <tableStyleInfo name="Basic Plain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893625F-DE81-4C04-A914-F897D1DF4C22}" name="Table21112164202122232534353637" displayName="Table21112164202122232534353637" ref="CO7:CS66" totalsRowShown="0" headerRowDxfId="177" dataDxfId="176" tableBorderDxfId="175" headerRowCellStyle="Heading 3">
  <autoFilter ref="CO7:CS66" xr:uid="{7893625F-DE81-4C04-A914-F897D1DF4C22}"/>
  <sortState xmlns:xlrd2="http://schemas.microsoft.com/office/spreadsheetml/2017/richdata2" ref="CO8:CS66">
    <sortCondition descending="1" ref="CQ7:CQ66"/>
  </sortState>
  <tableColumns count="5">
    <tableColumn id="1" xr3:uid="{4D5CE0F8-80B6-4DAC-9D2F-950D97520F9D}" name="Name" dataDxfId="174"/>
    <tableColumn id="2" xr3:uid="{C8C4633A-796A-4B9F-8BA9-BC0629B7D99D}" name="Rebuy" dataDxfId="173"/>
    <tableColumn id="3" xr3:uid="{2488728B-6482-47D4-ABC8-8A1E7951C530}" name="Time" dataDxfId="172" dataCellStyle="Heading 3"/>
    <tableColumn id="7" xr3:uid="{DD86DE5C-F818-4A07-A118-06482E4181A5}" name="True Rank" dataDxfId="171">
      <calculatedColumnFormula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calculatedColumnFormula>
    </tableColumn>
    <tableColumn id="6" xr3:uid="{53491DC0-47D4-4DA4-AB8E-AE66717AA4E2}" name="Points" dataDxfId="170">
      <calculatedColumnFormula array="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calculatedColumnFormula>
    </tableColumn>
  </tableColumns>
  <tableStyleInfo name="Basic Plain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733D7D3-BF57-4AF3-AD19-8B0A537B2800}" name="Table2111216420212223253435363738" displayName="Table2111216420212223253435363738" ref="CU7:CY63" totalsRowShown="0" headerRowDxfId="169" dataDxfId="168" tableBorderDxfId="167" headerRowCellStyle="Heading 3">
  <autoFilter ref="CU7:CY63" xr:uid="{1733D7D3-BF57-4AF3-AD19-8B0A537B2800}"/>
  <sortState xmlns:xlrd2="http://schemas.microsoft.com/office/spreadsheetml/2017/richdata2" ref="CU8:CY63">
    <sortCondition descending="1" ref="CW7:CW63"/>
  </sortState>
  <tableColumns count="5">
    <tableColumn id="1" xr3:uid="{CDAEE166-C975-4C11-888A-1A2F9CB6B896}" name="Name" dataDxfId="166"/>
    <tableColumn id="2" xr3:uid="{A65D9A8A-68E3-41E0-8A97-D23058ABC355}" name="Rebuy" dataDxfId="165"/>
    <tableColumn id="3" xr3:uid="{C0F94FBA-0569-457D-A552-A88C6ED73920}" name="Time" dataDxfId="164" dataCellStyle="Heading 3"/>
    <tableColumn id="7" xr3:uid="{A0A7EB66-DD09-4DD5-882D-2EB32C86DF77}" name="True Rank" dataDxfId="163">
      <calculatedColumnFormula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calculatedColumnFormula>
    </tableColumn>
    <tableColumn id="6" xr3:uid="{402E0469-22B7-45A1-BDC4-8B3D59955C74}" name="Points" dataDxfId="162">
      <calculatedColumnFormula array="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calculatedColumnFormula>
    </tableColumn>
  </tableColumns>
  <tableStyleInfo name="Basic Plain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BF0847-F2DC-40FF-9C20-3EB8284E779D}" name="Table2111216420212223253435363739" displayName="Table2111216420212223253435363739" ref="DA7:DE107" totalsRowShown="0" headerRowDxfId="161" dataDxfId="160" tableBorderDxfId="159" headerRowCellStyle="Heading 3">
  <autoFilter ref="DA7:DE107" xr:uid="{45BF0847-F2DC-40FF-9C20-3EB8284E779D}"/>
  <sortState xmlns:xlrd2="http://schemas.microsoft.com/office/spreadsheetml/2017/richdata2" ref="DA8:DE107">
    <sortCondition descending="1" ref="DC7:DC107"/>
  </sortState>
  <tableColumns count="5">
    <tableColumn id="1" xr3:uid="{485B425D-F386-40CD-B6C3-71ED80C5C805}" name="Name" dataDxfId="158"/>
    <tableColumn id="2" xr3:uid="{E4B05423-B855-470F-B171-3B8E0A6264CB}" name="Rebuy" dataDxfId="157"/>
    <tableColumn id="3" xr3:uid="{EFA8FCC7-9A1B-4DB7-B17C-ED3A5194B652}" name="Time" dataDxfId="156" dataCellStyle="Heading 3"/>
    <tableColumn id="7" xr3:uid="{30B2DFF8-BDB6-4FA7-AF48-F807F6B53A1A}" name="True Rank" dataDxfId="155">
      <calculatedColumnFormula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calculatedColumnFormula>
    </tableColumn>
    <tableColumn id="6" xr3:uid="{3687A69B-B553-44D5-BD8B-76F021038322}" name="Points" dataDxfId="154">
      <calculatedColumnFormula array="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calculatedColumnFormula>
    </tableColumn>
  </tableColumns>
  <tableStyleInfo name="Basic Plain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2DF778-34DD-4322-B830-CA115200CC6B}" name="Table211121642021222325343536373841" displayName="Table211121642021222325343536373841" ref="DG7:DK67" totalsRowShown="0" headerRowDxfId="153" dataDxfId="152" tableBorderDxfId="151" headerRowCellStyle="Heading 3">
  <autoFilter ref="DG7:DK67" xr:uid="{512DF778-34DD-4322-B830-CA115200CC6B}"/>
  <tableColumns count="5">
    <tableColumn id="1" xr3:uid="{00EDE428-56B7-4320-A33F-025A2AB0E68A}" name="Name" dataDxfId="150"/>
    <tableColumn id="2" xr3:uid="{8004BB4C-58DB-48F2-B611-9E9ED73FA1AD}" name="Rebuy" dataDxfId="149"/>
    <tableColumn id="3" xr3:uid="{59A7721B-8DDD-4DE8-A205-0402EEAD21E7}" name="Time" dataDxfId="148" dataCellStyle="Heading 3"/>
    <tableColumn id="7" xr3:uid="{D479EF1E-4016-4936-8FD7-91BF22878507}" name="True Rank" dataDxfId="147">
      <calculatedColumnFormula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calculatedColumnFormula>
    </tableColumn>
    <tableColumn id="6" xr3:uid="{4EF27C0A-F4AB-45FC-A8AE-D72A9EDEB333}" name="Points" dataDxfId="146">
      <calculatedColumnFormula array="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calculatedColumnFormula>
    </tableColumn>
  </tableColumns>
  <tableStyleInfo name="Basic Plain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DDA1032-7371-4861-ABC2-E6C089BC38DB}" name="Table21112164202122232534353637384140" displayName="Table21112164202122232534353637384140" ref="DM7:DQ500" totalsRowShown="0" headerRowDxfId="145" dataDxfId="144" tableBorderDxfId="143" headerRowCellStyle="Heading 3">
  <autoFilter ref="DM7:DQ500" xr:uid="{3DDA1032-7371-4861-ABC2-E6C089BC38DB}"/>
  <sortState xmlns:xlrd2="http://schemas.microsoft.com/office/spreadsheetml/2017/richdata2" ref="DM8:DQ500">
    <sortCondition descending="1" ref="DO7:DO500"/>
  </sortState>
  <tableColumns count="5">
    <tableColumn id="1" xr3:uid="{07A520BF-D667-419A-B21F-FEBADD911FF8}" name="Name" dataDxfId="142">
      <calculatedColumnFormula>IF('Weekly Attendance'!AA6="Yes",'Weekly Attendance'!$D6,"")</calculatedColumnFormula>
    </tableColumn>
    <tableColumn id="2" xr3:uid="{FB825CF9-4523-443D-BCAC-96D2B8DA95A0}" name="Rebuy" dataDxfId="141"/>
    <tableColumn id="3" xr3:uid="{582C582E-FA68-42FD-80C5-D98022EA61A5}" name="Time" dataDxfId="140" dataCellStyle="Heading 3"/>
    <tableColumn id="7" xr3:uid="{4B7F9A50-091D-4B0F-BCF3-B97FB2812BAF}" name="True Rank" dataDxfId="139">
      <calculatedColumnFormula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calculatedColumnFormula>
    </tableColumn>
    <tableColumn id="6" xr3:uid="{DB1EE9BF-2649-4C94-AA74-86FE4CFE88CE}" name="Points" dataDxfId="138">
      <calculatedColumnFormula array="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calculatedColumnFormula>
    </tableColumn>
  </tableColumns>
  <tableStyleInfo name="Basic Plain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88AB5ED-79C5-4371-B91C-59B3A4F75B95}" name="Table11" displayName="Table11" ref="I2:N54" totalsRowShown="0">
  <autoFilter ref="I2:N54" xr:uid="{7C937002-1C74-4298-983D-AE69543D25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4" xr3:uid="{E84B36C5-E046-43E5-A850-163558C40772}" name="Rank" dataDxfId="132"/>
    <tableColumn id="8" xr3:uid="{7380A070-E55C-449B-A088-3383992D440F}" name="Stack Size" dataDxfId="131">
      <calculatedColumnFormula>IF(Table11[[#This Row],[Rank]]&lt;11,"10,000",(IF(Table11[[#This Row],[Rank]]&lt;21,"9500",(IF(Table11[[#This Row],[Rank]]&lt;31,"9000",(IF(Table11[[#This Row],[Rank]]&lt;41,"8500",(IF(Table11[[#This Row],[Rank]]&lt;51,"8000","Out of Top 50")))))))))</calculatedColumnFormula>
    </tableColumn>
    <tableColumn id="1" xr3:uid="{7CB98939-6405-4389-80EC-2C02BC69E500}" name="Name"/>
    <tableColumn id="5" xr3:uid="{7FBE87A4-AE49-4C42-AC89-F03B483AB2A9}" name="Table #" dataDxfId="130">
      <calculatedColumnFormula>INDEX(Table11[Helper],MATCH(LARGE(Table11[Random],ROW()-2),Table11[Random],0))</calculatedColumnFormula>
    </tableColumn>
    <tableColumn id="2" xr3:uid="{D67E39C5-3F88-4B58-9198-B7038C68445F}" name="Helper" dataDxfId="129">
      <calculatedColumnFormula>"Table" &amp; ROUNDUP((ROW()-2)/8,0)</calculatedColumnFormula>
    </tableColumn>
    <tableColumn id="3" xr3:uid="{17DBC1A0-7745-472F-9735-56AD35AFDAEA}" name="Random" dataDxfId="128">
      <calculatedColumnFormula>RAND()</calculatedColumnFormula>
    </tableColumn>
  </tableColumns>
  <tableStyleInfo name="Basic Plain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084BCE9-8202-430F-96A9-CEE7D8E364AD}" name="Table14" displayName="Table14" ref="R3:S7" totalsRowShown="0" headerRowDxfId="127" dataDxfId="126" headerRowBorderDxfId="124" tableBorderDxfId="125" headerRowCellStyle="Heading 3">
  <autoFilter ref="R3:S7" xr:uid="{58585340-72A5-4B5B-B2FC-4B3D8338BC01}">
    <filterColumn colId="0" hiddenButton="1"/>
    <filterColumn colId="1" hiddenButton="1"/>
  </autoFilter>
  <tableColumns count="2">
    <tableColumn id="1" xr3:uid="{C569234B-DB03-41A5-AF14-DE7B3F38BC1A}" name="Button - UTG" dataDxfId="123">
      <calculatedColumnFormula array="1">IFERROR(INDEX(_xlfn._xlws.FILTER(Table11[Name], Table11[Table '#] = "Table1"), ROW(I1)), "")</calculatedColumnFormula>
    </tableColumn>
    <tableColumn id="2" xr3:uid="{8467D6EB-6634-4506-A80B-614E4A7A856A}" name="UTG + 1 - CO" dataDxfId="122">
      <calculatedColumnFormula array="1">IFERROR(INDEX(_xlfn._xlws.FILTER(Table11[Name], Table11[Table '#] = "Table1"), ROW(I5)), "")</calculatedColumnFormula>
    </tableColumn>
  </tableColumns>
  <tableStyleInfo name="Basic Plain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A15B5A0-89C0-40A3-8714-889A1369E084}" name="Table20" displayName="Table20" ref="V3:W7" totalsRowShown="0" headerRowDxfId="121" dataDxfId="120" headerRowBorderDxfId="118" tableBorderDxfId="119" headerRowCellStyle="Heading 3">
  <autoFilter ref="V3:W7" xr:uid="{3D26A153-6C77-4FD2-9340-E65DA50D2C49}">
    <filterColumn colId="0" hiddenButton="1"/>
    <filterColumn colId="1" hiddenButton="1"/>
  </autoFilter>
  <tableColumns count="2">
    <tableColumn id="1" xr3:uid="{E1AF83D8-8B53-4FEB-ADFA-2CC7162A541E}" name="Button - UTG" dataDxfId="117">
      <calculatedColumnFormula array="1">IFERROR(INDEX(_xlfn._xlws.FILTER(Table11[Name], Table11[Table '#] = "Table2"), ROW(I1)), "")</calculatedColumnFormula>
    </tableColumn>
    <tableColumn id="2" xr3:uid="{385D68FE-A142-402D-A969-065D9492CD0E}" name="UTG + 1 - CO" dataDxfId="116">
      <calculatedColumnFormula array="1">IFERROR(INDEX(_xlfn._xlws.FILTER(Table11[Name], Table11[Table '#] = "Table2"), ROW(I5)), "")</calculatedColumnFormula>
    </tableColumn>
  </tableColumns>
  <tableStyleInfo name="Basic Plain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D35E311-6261-4881-A8E2-6B41F9AE913D}" name="Table21" displayName="Table21" ref="Z3:AA8" totalsRowShown="0" headerRowDxfId="115" dataDxfId="114" headerRowBorderDxfId="112" tableBorderDxfId="113" headerRowCellStyle="Heading 3">
  <autoFilter ref="Z3:AA8" xr:uid="{945CB840-A61E-4480-8C47-4648F3915728}">
    <filterColumn colId="0" hiddenButton="1"/>
    <filterColumn colId="1" hiddenButton="1"/>
  </autoFilter>
  <tableColumns count="2">
    <tableColumn id="1" xr3:uid="{E879AA45-035A-4CB3-9E9B-9BB696A18937}" name="Button - UTG" dataDxfId="111">
      <calculatedColumnFormula array="1">IFERROR(INDEX(_xlfn._xlws.FILTER(Table11[Name],Table11[Table '#]="Table3"),ROW(I1)),"")</calculatedColumnFormula>
    </tableColumn>
    <tableColumn id="2" xr3:uid="{F086AE98-141B-461C-A6B1-F1F120B3A470}" name="UTG + 1 - CO" dataDxfId="110">
      <calculatedColumnFormula array="1">IFERROR(INDEX(_xlfn._xlws.FILTER(Table11[Name], Table11[Table '#] = "Table3"), ROW(I5)), "")</calculatedColumnFormula>
    </tableColumn>
  </tableColumns>
  <tableStyleInfo name="Basic Plain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1E01FC6-689C-4734-AB86-79EAE8A7FDF3}" name="Table22" displayName="Table22" ref="R10:S15" totalsRowShown="0" headerRowDxfId="109" headerRowBorderDxfId="107" tableBorderDxfId="108" headerRowCellStyle="Heading 3">
  <autoFilter ref="R10:S15" xr:uid="{FC334416-9447-46EB-B76A-254FC0EE47C0}">
    <filterColumn colId="0" hiddenButton="1"/>
    <filterColumn colId="1" hiddenButton="1"/>
  </autoFilter>
  <tableColumns count="2">
    <tableColumn id="1" xr3:uid="{5B126DB6-5AA5-4CE1-92DF-7FDCEDEB5F88}" name="Button - UTG" dataDxfId="106">
      <calculatedColumnFormula array="1">IFERROR(INDEX(_xlfn._xlws.FILTER(Table11[Name], Table11[Table '#] = "Table4"), ROW(I1)), "")</calculatedColumnFormula>
    </tableColumn>
    <tableColumn id="2" xr3:uid="{A1A8226A-3F11-4637-B9D4-0EBEA648F244}" name="UTG + 1 - CO" dataDxfId="105">
      <calculatedColumnFormula array="1">IFERROR(INDEX(_xlfn._xlws.FILTER(Table11[Name], Table11[Table '#] = "Table4"), ROW(I5)), "")</calculatedColumnFormula>
    </tableColumn>
  </tableColumns>
  <tableStyleInfo name="Basic Plain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87D61C1-2B27-41A2-8092-AFBCCEDCE1F5}" name="Table38" displayName="Table38" ref="V10:W15" totalsRowShown="0" headerRowDxfId="104" headerRowBorderDxfId="102" tableBorderDxfId="103" headerRowCellStyle="Heading 3">
  <autoFilter ref="V10:W15" xr:uid="{D18BAE03-64DF-4517-B711-AA1FB64780B6}">
    <filterColumn colId="0" hiddenButton="1"/>
    <filterColumn colId="1" hiddenButton="1"/>
  </autoFilter>
  <tableColumns count="2">
    <tableColumn id="1" xr3:uid="{57292B36-EE12-41FF-B0F2-0D3E46443B9C}" name="Button - UTG" dataDxfId="101">
      <calculatedColumnFormula array="1">IFERROR(INDEX(_xlfn._xlws.FILTER(Table11[Name], Table11[Table '#] = "Table5"), ROW(I1)), "")</calculatedColumnFormula>
    </tableColumn>
    <tableColumn id="2" xr3:uid="{DFEF7779-F79E-41CA-9E9B-189899F591F3}" name="UTG + 1 - CO" dataDxfId="100">
      <calculatedColumnFormula array="1">IFERROR(INDEX(_xlfn._xlws.FILTER(Table11[Name], Table11[Table '#] = "Table5"), ROW(I5)), "")</calculatedColumnFormula>
    </tableColumn>
  </tableColumns>
  <tableStyleInfo name="Basic Plain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BB0A8D3-6EBC-42F9-9CFF-6781139D53D6}" name="Table42" displayName="Table42" ref="Z10:AA15" totalsRowShown="0" headerRowDxfId="99" dataDxfId="98" headerRowBorderDxfId="96" tableBorderDxfId="97" headerRowCellStyle="Heading 3">
  <autoFilter ref="Z10:AA15" xr:uid="{89E61C92-4297-451D-AE77-731E1AED9CD0}">
    <filterColumn colId="0" hiddenButton="1"/>
    <filterColumn colId="1" hiddenButton="1"/>
  </autoFilter>
  <tableColumns count="2">
    <tableColumn id="1" xr3:uid="{7192301A-39B9-4F40-B1E1-305F9A8ED66E}" name="Button - UTG" dataDxfId="95">
      <calculatedColumnFormula array="1">IFERROR(INDEX(_xlfn._xlws.FILTER(Table11[Name], Table11[Table '#] = "Table6"), ROW(I1)), "")</calculatedColumnFormula>
    </tableColumn>
    <tableColumn id="2" xr3:uid="{7E899F41-0A7F-41CF-9922-42358FFEB5B5}" name="UTG + 1 - CO" dataDxfId="94">
      <calculatedColumnFormula array="1">IFERROR(INDEX(_xlfn._xlws.FILTER(Table11[Name], Table11[Table '#] = "Table6"), ROW(I5)), "")</calculatedColumnFormula>
    </tableColumn>
  </tableColumns>
  <tableStyleInfo name="Basic Plain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8F1D4-C2F8-433A-B8BF-2B6168B1AD76}" name="Table21112164202122232533" displayName="Table21112164202122232533" ref="B7:G59" totalsRowShown="0" headerRowDxfId="93" dataDxfId="92" tableBorderDxfId="91" headerRowCellStyle="Heading 3">
  <autoFilter ref="B7:G59" xr:uid="{AC38F1D4-C2F8-433A-B8BF-2B6168B1AD76}"/>
  <sortState xmlns:xlrd2="http://schemas.microsoft.com/office/spreadsheetml/2017/richdata2" ref="B8:G59">
    <sortCondition descending="1" ref="F7:F59"/>
  </sortState>
  <tableColumns count="6">
    <tableColumn id="1" xr3:uid="{C755DFBE-3F67-4148-8BD4-DB523F5D0F01}" name="Stack Size" dataDxfId="90"/>
    <tableColumn id="4" xr3:uid="{29DE6FBF-0ACB-4BEC-A2B4-F4B3FCF1B6E9}" name="Name" dataDxfId="89"/>
    <tableColumn id="2" xr3:uid="{E538C27E-2D65-4875-85F6-6C6214D03BEC}" name="Buy-In" dataDxfId="88"/>
    <tableColumn id="3" xr3:uid="{3E8680CE-3BFE-4C6A-BA1D-A3B1B896EA21}" name="Rebuy" dataDxfId="87" dataCellStyle="Heading 3"/>
    <tableColumn id="7" xr3:uid="{BAB5EA14-554C-4D22-9638-52A84186C086}" name="Time" dataDxfId="86"/>
    <tableColumn id="6" xr3:uid="{AB8589F2-1C4F-4A21-980A-A7D681D6081D}" name="Rank" dataDxfId="85">
      <calculatedColumnFormula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calculatedColumnFormula>
    </tableColumn>
  </tableColumns>
  <tableStyleInfo name="Basic Plain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7C57E1-7FE0-4351-9F14-D6E53059D8E8}" name="Table16" displayName="Table16" ref="B5:AG390" totalsRowShown="0" headerRowDxfId="84">
  <autoFilter ref="B5:AG390" xr:uid="{EB7C57E1-7FE0-4351-9F14-D6E53059D8E8}"/>
  <tableColumns count="32">
    <tableColumn id="1" xr3:uid="{105F6ECB-B4F0-448A-9E7D-2FBE5B776C54}" name="Name" dataDxfId="83">
      <calculatedColumnFormula>IFERROR(Table5[[#This Row],[Full name]],"")</calculatedColumnFormula>
    </tableColumn>
    <tableColumn id="35" xr3:uid="{15687D8F-FFE9-4840-97AD-DE32F12F2638}" name="Totals" dataDxfId="82">
      <calculatedColumnFormula>SUM(Table16[[#This Row],[September 30, 2025]:[Column18]])</calculatedColumnFormula>
    </tableColumn>
    <tableColumn id="2" xr3:uid="{3BB349CF-3C34-4C15-813A-ED9E0B12A242}" name="September 30, 2025" dataDxfId="81">
      <calculatedColumnFormula>_xlfn.XLOOKUP(Table16[[#This Row],[Name]],Table4[Name],Table4[Points],"DNP",0,1)</calculatedColumnFormula>
    </tableColumn>
    <tableColumn id="3" xr3:uid="{42BE99BB-B563-43C7-992A-CC64120280B2}" name="October 2, 2025" dataDxfId="80">
      <calculatedColumnFormula>_xlfn.XLOOKUP(Table16[[#This Row],[Name]],Table9[Name],Table9[Points],"DNP",0,1)</calculatedColumnFormula>
    </tableColumn>
    <tableColumn id="4" xr3:uid="{8E918F5F-A470-48BA-9A04-0123AC576A23}" name="October 9, 2025" dataDxfId="79">
      <calculatedColumnFormula>_xlfn.XLOOKUP(Table16[[#This Row],[Name]],Table18[Name],Table18[Points],"DNP",0,1)</calculatedColumnFormula>
    </tableColumn>
    <tableColumn id="5" xr3:uid="{F42EB7F0-2E0A-4508-9134-881FA2827DA8}" name="October 14, 2025" dataDxfId="78">
      <calculatedColumnFormula>_xlfn.XLOOKUP(Table16[[#This Row],[Name]],Table2[Name],Table2[Points],"DNP",0,1)</calculatedColumnFormula>
    </tableColumn>
    <tableColumn id="6" xr3:uid="{7F1D62B0-9C2A-49EA-AB7D-F2AAC7C9531A}" name="October 23, 2025" dataDxfId="77">
      <calculatedColumnFormula>_xlfn.XLOOKUP(Table16[[#This Row],[Name]],Table211[Name],Table211[Points],"DNP",0,1)</calculatedColumnFormula>
    </tableColumn>
    <tableColumn id="7" xr3:uid="{7297D5A6-1719-4311-99B2-24621FA7E74E}" name="October 28, 2025" dataDxfId="76">
      <calculatedColumnFormula>_xlfn.XLOOKUP(Table16[[#This Row],[Name]],Table21112[Name],Table21112[Points],"DNP",0,1)</calculatedColumnFormula>
    </tableColumn>
    <tableColumn id="8" xr3:uid="{5F12FD9E-02E5-49EF-85FF-56B025A141C9}" name="November 13, 2025" dataDxfId="75">
      <calculatedColumnFormula>_xlfn.XLOOKUP(Table16[[#This Row],[Name]],Table21112164[Name],Table21112164[Points],"DNP",0,1)</calculatedColumnFormula>
    </tableColumn>
    <tableColumn id="9" xr3:uid="{2B943955-E23C-4BCB-B305-D7294941B1C0}" name="November 18, 2025" dataDxfId="74">
      <calculatedColumnFormula>_xlfn.XLOOKUP(Table16[[#This Row],[Name]],Table2111216420[Name],Table2111216420[Points],"DNP",0,1)</calculatedColumnFormula>
    </tableColumn>
    <tableColumn id="10" xr3:uid="{4A4A0D71-C4A2-4F0D-A1C5-3012DD481316}" name="November 27, 2025" dataDxfId="73">
      <calculatedColumnFormula>_xlfn.XLOOKUP(Table16[[#This Row],[Name]],Table211121642021[Name],Table211121642021[Points],"DNP",0,1)</calculatedColumnFormula>
    </tableColumn>
    <tableColumn id="11" xr3:uid="{8797AD6E-DA77-45C7-9D74-C6A56384A5A6}" name="December 2, 2025" dataDxfId="72">
      <calculatedColumnFormula>_xlfn.XLOOKUP(Table16[[#This Row],[Name]],Table21112164202122[Name],Table21112164202122[Points],"DNP",0,1)</calculatedColumnFormula>
    </tableColumn>
    <tableColumn id="12" xr3:uid="{BD645764-A0CA-4C43-A328-1424C8B974E9}" name="January 27, 2026" dataDxfId="71">
      <calculatedColumnFormula>_xlfn.XLOOKUP(Table16[[#This Row],[Name]],Table2111216420212223[Name],Table2111216420212223[Points],"DNP",0,1)</calculatedColumnFormula>
    </tableColumn>
    <tableColumn id="13" xr3:uid="{D666D38E-A61A-4B35-9855-16B67822D02C}" name="February 3, 2026" dataDxfId="70">
      <calculatedColumnFormula>_xlfn.XLOOKUP(Table16[[#This Row],[Name]],Table211121642021222325[Name],Table211121642021222325[Points],"DNP",0,1)</calculatedColumnFormula>
    </tableColumn>
    <tableColumn id="14" xr3:uid="{9AB176AB-4C91-41D7-BBFE-9A6C12BD952F}" name="February 5, 2026" dataDxfId="69">
      <calculatedColumnFormula>_xlfn.XLOOKUP(Table16[[#This Row],[Name]],Table21112164202122232534[Name],Table21112164202122232534[Points],"DNP",0,1)</calculatedColumnFormula>
    </tableColumn>
    <tableColumn id="15" xr3:uid="{AF6AA7B2-A955-454B-8360-7778D1D7ABD7}" name="February 10, 2026" dataDxfId="68">
      <calculatedColumnFormula>_xlfn.XLOOKUP(Table16[[#This Row],[Name]],Table2111216420212223253435[Name],Table2111216420212223253435[Points],"DNP",0,1)</calculatedColumnFormula>
    </tableColumn>
    <tableColumn id="16" xr3:uid="{4A5CB1C9-65F5-49A1-B898-E833676C1E98}" name="February 12, 2026" dataDxfId="67">
      <calculatedColumnFormula>_xlfn.XLOOKUP(Table16[[#This Row],[Name]],Table211121642021222325343536[Name],Table211121642021222325343536[Points],"DNP",0,1)</calculatedColumnFormula>
    </tableColumn>
    <tableColumn id="17" xr3:uid="{F2FFBAC0-700A-4851-8791-05994A6598FC}" name="February 24, 2026" dataDxfId="66">
      <calculatedColumnFormula>_xlfn.XLOOKUP(Table16[[#This Row],[Name]],Table21112164202122232534353637[Name],Table21112164202122232534353637[Points],"DNP",0,1)</calculatedColumnFormula>
    </tableColumn>
    <tableColumn id="18" xr3:uid="{1485CEB7-741C-4218-80AB-760FBB073F4A}" name="February 26, 2026" dataDxfId="65">
      <calculatedColumnFormula>_xlfn.XLOOKUP(Table16[[#This Row],[Name]],Table2111216420212223253435363738[Name],Table2111216420212223253435363738[Points],"DNP",0,1)</calculatedColumnFormula>
    </tableColumn>
    <tableColumn id="19" xr3:uid="{747F062F-E4FB-4F90-8399-45939447ACAF}" name="March 3, 2026" dataDxfId="64">
      <calculatedColumnFormula>_xlfn.XLOOKUP(Table16[[#This Row],[Name]],Table2111216420212223253435363739[Name],Table2111216420212223253435363739[Points],"DNP",0,1)</calculatedColumnFormula>
    </tableColumn>
    <tableColumn id="20" xr3:uid="{961DB8B8-3F55-4253-ACB2-D99C2FD75C84}" name="March 5, 2026" dataDxfId="63">
      <calculatedColumnFormula>_xlfn.XLOOKUP(Table16[[#This Row],[Name]],Table211121642021222325343536373841[Name],Table211121642021222325343536373841[Points],"DNP",0,1)</calculatedColumnFormula>
    </tableColumn>
    <tableColumn id="21" xr3:uid="{ABC1AF03-CAB7-42EB-8DE2-30386A223DAC}" name="March 10, 2026" dataDxfId="62"/>
    <tableColumn id="22" xr3:uid="{DC4E652D-6FA4-42C2-9541-0B97EED98D4F}" name="Column9" dataDxfId="61"/>
    <tableColumn id="23" xr3:uid="{F60BD5F5-9F73-4066-9E04-8BFB838CDFCA}" name="Column10" dataDxfId="60"/>
    <tableColumn id="24" xr3:uid="{C8CCE9CA-D744-498F-8174-E26C14C0FD7C}" name="Column11" dataDxfId="59"/>
    <tableColumn id="25" xr3:uid="{623D2614-3B72-489D-A448-71D32A8188B6}" name="Column12" dataDxfId="58"/>
    <tableColumn id="26" xr3:uid="{BA827141-C001-4487-BB38-D358BC0425F7}" name="Column13" dataDxfId="57"/>
    <tableColumn id="27" xr3:uid="{4E39D408-B123-434A-AB4F-AEC72040FC80}" name="Column14" dataDxfId="56"/>
    <tableColumn id="28" xr3:uid="{C89D5B35-8D9A-46EF-ABF7-F2C29203E7B2}" name="Column15" dataDxfId="55"/>
    <tableColumn id="29" xr3:uid="{D5DE4A28-A19B-482B-9E97-8D5CB8785A4E}" name="Column16" dataDxfId="54"/>
    <tableColumn id="30" xr3:uid="{DDEE08F3-ECEA-4073-B735-59300F01D5CF}" name="Column17" dataDxfId="53"/>
    <tableColumn id="31" xr3:uid="{BDD2D1B9-440A-48B3-90F6-74BD34251B92}" name="Column18" dataDxfId="52"/>
  </tableColumns>
  <tableStyleInfo name="Basic Plain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3D379F9-CD5D-488F-AD1A-E5D4161E4716}" name="Table1624" displayName="Table1624" ref="B5:AG390" totalsRowShown="0" headerRowDxfId="50">
  <autoFilter ref="B5:AG390" xr:uid="{EB7C57E1-7FE0-4351-9F14-D6E53059D8E8}"/>
  <tableColumns count="32">
    <tableColumn id="1" xr3:uid="{CCAAE8C8-29D4-43FB-8771-9FACB6744453}" name="Name" dataDxfId="49">
      <calculatedColumnFormula>IFERROR(Table5[[#This Row],[Full name]],"")</calculatedColumnFormula>
    </tableColumn>
    <tableColumn id="35" xr3:uid="{BEFAECB4-3A36-44C6-B983-7495A63D9363}" name="Totals" dataDxfId="48" dataCellStyle="Percent">
      <calculatedColumnFormula>IFERROR(AVERAGE(Table1624[[#This Row],[September 30, 2025]:[Column18]]),"N/A")</calculatedColumnFormula>
    </tableColumn>
    <tableColumn id="2" xr3:uid="{73813061-6791-4426-91E6-3175C609F099}" name="September 30, 2025" dataDxfId="47" dataCellStyle="Percent">
      <calculatedColumnFormula>IFERROR(_xlfn.PERCENTRANK.INC(Table4[True Rank],_xlfn.XLOOKUP(Table1624[[#This Row],[Name]],Table4[Name],Table4[True Rank],"DNP",0,1)),"DNP")</calculatedColumnFormula>
    </tableColumn>
    <tableColumn id="3" xr3:uid="{7109FDB2-EBC6-4433-B381-4EC58328CDA5}" name="October 2, 2025" dataDxfId="46" dataCellStyle="Percent">
      <calculatedColumnFormula>IFERROR(_xlfn.PERCENTRANK.INC(Table9[True Rank],_xlfn.XLOOKUP(Table1624[[#This Row],[Name]],Table9[Name],Table9[True Rank],"DNP",0,1)),"DNP")</calculatedColumnFormula>
    </tableColumn>
    <tableColumn id="4" xr3:uid="{1A741DCE-27DF-4261-AA9E-DE8D52190B8D}" name="October 9, 2025" dataDxfId="45" dataCellStyle="Percent">
      <calculatedColumnFormula>IFERROR(_xlfn.PERCENTRANK.INC(Table18[True Rank],_xlfn.XLOOKUP(Table1624[[#This Row],[Name]],Table18[Name],Table18[True Rank],"DNP",0,1)),"DNP")</calculatedColumnFormula>
    </tableColumn>
    <tableColumn id="5" xr3:uid="{04C99F53-6C47-447F-85CF-B3C87E1A3E64}" name="October 14, 2025" dataDxfId="44" dataCellStyle="Percent">
      <calculatedColumnFormula>IFERROR(_xlfn.PERCENTRANK.INC(Table2[True Rank],_xlfn.XLOOKUP(Table1624[[#This Row],[Name]],Table2[Name],Table2[True Rank],"DNP",0,1)),"DNP")</calculatedColumnFormula>
    </tableColumn>
    <tableColumn id="6" xr3:uid="{AFD48348-0E1C-492A-A40B-530524979144}" name="October 23, 2025" dataDxfId="43" dataCellStyle="Percent">
      <calculatedColumnFormula>IFERROR(_xlfn.PERCENTRANK.INC(Table211[True Rank],_xlfn.XLOOKUP(Table1624[[#This Row],[Name]],Table211[Name],Table211[True Rank],"DNP",0,1)),"DNP")</calculatedColumnFormula>
    </tableColumn>
    <tableColumn id="7" xr3:uid="{C4384449-71F5-45D8-A21C-714ACFE90F6D}" name="October 28, 2025" dataDxfId="42" dataCellStyle="Percent">
      <calculatedColumnFormula>IFERROR(_xlfn.PERCENTRANK.INC(Table21112[True Rank],_xlfn.XLOOKUP(Table1624[[#This Row],[Name]],Table21112[Name],Table21112[True Rank],"DNP",0,1)),"DNP")</calculatedColumnFormula>
    </tableColumn>
    <tableColumn id="8" xr3:uid="{71E9DB54-65B6-48B2-85EF-28E6180A6DA0}" name="November 13, 2025" dataDxfId="41" dataCellStyle="Percent">
      <calculatedColumnFormula>IFERROR(_xlfn.PERCENTRANK.INC(Table21112164[True Rank],_xlfn.XLOOKUP(Table1624[[#This Row],[Name]],Table21112164[Name],Table21112164[True Rank],"DNP",0,1)),"DNP")</calculatedColumnFormula>
    </tableColumn>
    <tableColumn id="9" xr3:uid="{6AD7DCA3-A151-440D-A0DB-20A60F24DB01}" name="November 18, 2025" dataDxfId="40" dataCellStyle="Percent">
      <calculatedColumnFormula>IFERROR(_xlfn.PERCENTRANK.INC(Table2111216420[True Rank],_xlfn.XLOOKUP(Table1624[[#This Row],[Name]],Table2111216420[Name],Table2111216420[True Rank],"DNP",0,1)),"DNP")</calculatedColumnFormula>
    </tableColumn>
    <tableColumn id="10" xr3:uid="{21EBB448-9FC8-48E4-9B5F-2B76503A1B1C}" name="November 27, 2025" dataDxfId="39" dataCellStyle="Percent">
      <calculatedColumnFormula>IFERROR(_xlfn.PERCENTRANK.INC(Table211121642021[True Rank],_xlfn.XLOOKUP(Table1624[[#This Row],[Name]],Table211121642021[Name],Table211121642021[True Rank],"DNP",0,1)),"DNP")</calculatedColumnFormula>
    </tableColumn>
    <tableColumn id="11" xr3:uid="{78E0BEBA-534E-4B0F-9BB8-846895C28312}" name="December 2, 2025" dataDxfId="38" dataCellStyle="Percent">
      <calculatedColumnFormula>IFERROR(_xlfn.PERCENTRANK.INC(Table21112164202122[True Rank],_xlfn.XLOOKUP(Table1624[[#This Row],[Name]],Table21112164202122[Name],Table21112164202122[True Rank],"DNP",0,1)),"DNP")</calculatedColumnFormula>
    </tableColumn>
    <tableColumn id="12" xr3:uid="{71A0B6B9-EC55-4513-9D0A-330D743F77FE}" name="January 27, 2026" dataDxfId="37" dataCellStyle="Percent">
      <calculatedColumnFormula>IFERROR(_xlfn.PERCENTRANK.INC(Table2111216420212223[True Rank],_xlfn.XLOOKUP(Table1624[[#This Row],[Name]],Table2111216420212223[Name],Table2111216420212223[True Rank],"DNP",0,1)),"DNP")</calculatedColumnFormula>
    </tableColumn>
    <tableColumn id="13" xr3:uid="{95024CD6-C9D1-492F-B4F8-D3457DEDDC8E}" name="February 3, 2026" dataDxfId="36" dataCellStyle="Percent">
      <calculatedColumnFormula>IFERROR(_xlfn.PERCENTRANK.INC(Table211121642021222325[True Rank],_xlfn.XLOOKUP(Table1624[[#This Row],[Name]],Table211121642021222325[Name],Table211121642021222325[True Rank],"DNP",0,1)),"DNP")</calculatedColumnFormula>
    </tableColumn>
    <tableColumn id="14" xr3:uid="{E34B91A2-F24D-46D7-9711-6F912741C439}" name="February 5, 2026" dataDxfId="35" dataCellStyle="Percent">
      <calculatedColumnFormula>IFERROR(_xlfn.PERCENTRANK.INC(Table21112164202122232534[True Rank],_xlfn.XLOOKUP(Table1624[[#This Row],[Name]],Table21112164202122232534[Name],Table21112164202122232534[True Rank],"DNP",0,1)),"DNP")</calculatedColumnFormula>
    </tableColumn>
    <tableColumn id="15" xr3:uid="{55CDD470-D69B-4A90-9A36-72608EB8B93E}" name="February 10, 2026" dataDxfId="34" dataCellStyle="Percent">
      <calculatedColumnFormula>IFERROR(_xlfn.PERCENTRANK.INC(Table2111216420212223253435[True Rank],_xlfn.XLOOKUP(Table1624[[#This Row],[Name]],Table2111216420212223253435[Name],Table2111216420212223253435[True Rank],"DNP",0,1)),"DNP")</calculatedColumnFormula>
    </tableColumn>
    <tableColumn id="16" xr3:uid="{8295CA64-D20A-4B57-A3FC-1335730BA22B}" name="February 12, 2026" dataDxfId="33" dataCellStyle="Percent">
      <calculatedColumnFormula>IFERROR(_xlfn.PERCENTRANK.INC(Table211121642021222325343536[True Rank],_xlfn.XLOOKUP(Table1624[[#This Row],[Name]],Table211121642021222325343536[Name],Table211121642021222325343536[True Rank],"DNP",0,1)),"DNP")</calculatedColumnFormula>
    </tableColumn>
    <tableColumn id="17" xr3:uid="{6ACB6461-436B-4D9D-A9AE-8C6560D87C49}" name="February 24, 2026" dataDxfId="32" dataCellStyle="Percent">
      <calculatedColumnFormula>IFERROR(_xlfn.PERCENTRANK.INC(Table21112164202122232534353637[True Rank],_xlfn.XLOOKUP(Table1624[[#This Row],[Name]],Table21112164202122232534353637[Name],Table21112164202122232534353637[True Rank],"DNP",0,1)),"DNP")</calculatedColumnFormula>
    </tableColumn>
    <tableColumn id="18" xr3:uid="{FDAA4CB8-C789-4EF8-8849-E59649CF4356}" name="February 26, 2026" dataDxfId="31" dataCellStyle="Percent">
      <calculatedColumnFormula>IFERROR(_xlfn.PERCENTRANK.INC(Table2111216420212223253435363738[True Rank],_xlfn.XLOOKUP(Table1624[[#This Row],[Name]],Table2111216420212223253435363738[Name],Table2111216420212223253435363738[True Rank],"DNP",0,1)),"DNP")</calculatedColumnFormula>
    </tableColumn>
    <tableColumn id="19" xr3:uid="{2F51193A-9848-45E3-A135-975D9B5A8BA7}" name="Column6" dataDxfId="30" dataCellStyle="Percent"/>
    <tableColumn id="20" xr3:uid="{0FC7D577-1A91-443E-A396-AB08C79166D0}" name="Column7" dataDxfId="29" dataCellStyle="Percent"/>
    <tableColumn id="21" xr3:uid="{3D6D7445-DFF9-4920-8585-608F0F817EAE}" name="Column8" dataDxfId="28" dataCellStyle="Percent"/>
    <tableColumn id="22" xr3:uid="{EE6B6980-704F-4852-8713-000E13A77603}" name="Column9" dataDxfId="27" dataCellStyle="Percent"/>
    <tableColumn id="23" xr3:uid="{8353EED1-7406-4EA6-91E0-DE561E292543}" name="Column10" dataDxfId="26" dataCellStyle="Percent"/>
    <tableColumn id="24" xr3:uid="{13A2DDD0-C5BC-4024-8B9E-4A750E188275}" name="Column11" dataDxfId="25" dataCellStyle="Percent"/>
    <tableColumn id="25" xr3:uid="{C5667ABA-DD68-4D97-98E2-5998E36EF0FC}" name="Column12" dataDxfId="24" dataCellStyle="Percent"/>
    <tableColumn id="26" xr3:uid="{D9F9A39A-14E6-412E-8E12-08F7D46CF193}" name="Column13" dataDxfId="23" dataCellStyle="Percent"/>
    <tableColumn id="27" xr3:uid="{FD6E6C83-14AD-4359-A6DA-BF672450DE1B}" name="Column14" dataDxfId="22" dataCellStyle="Percent"/>
    <tableColumn id="28" xr3:uid="{1997CD95-1164-4469-AB2E-8AA26364B21B}" name="Column15" dataDxfId="21" dataCellStyle="Percent"/>
    <tableColumn id="29" xr3:uid="{DAA2C94B-A12C-4B13-843F-F328D5277596}" name="Column16" dataDxfId="20" dataCellStyle="Percent"/>
    <tableColumn id="30" xr3:uid="{A5D233B8-C0EB-4D5E-A2C7-68BA1E476ED5}" name="Column17" dataDxfId="19" dataCellStyle="Percent"/>
    <tableColumn id="31" xr3:uid="{68D86967-E325-4997-8C53-E69FC8761E4B}" name="Column18" dataDxfId="18" dataCellStyle="Percent"/>
  </tableColumns>
  <tableStyleInfo name="Basic Plain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48BD79-A250-4F9F-B1E4-BEF9534B5B1E}" name="Table1215" displayName="Table1215" ref="B5:K600" totalsRowShown="0" headerRowDxfId="13" dataDxfId="12" tableBorderDxfId="11" totalsRowBorderDxfId="10" headerRowCellStyle="Heading 3">
  <autoFilter ref="B5:K600" xr:uid="{876B3D11-2638-416D-8756-EC5A3DE9B787}"/>
  <sortState xmlns:xlrd2="http://schemas.microsoft.com/office/spreadsheetml/2017/richdata2" ref="B6:J302">
    <sortCondition descending="1" ref="G5:G302"/>
  </sortState>
  <tableColumns count="10">
    <tableColumn id="1" xr3:uid="{6CA711A6-BC13-4B4E-8FA2-AD4306F7B2A1}" name="Rank" dataDxfId="9">
      <calculatedColumnFormula>INDEX(AllTime1[All-time rank], MATCH(SMALL(AllTime1[Helper], ROW(Structures!$G1)), AllTime1[Helper], 0))</calculatedColumnFormula>
    </tableColumn>
    <tableColumn id="2" xr3:uid="{8C4CAD89-C8D4-42D2-A9D8-42235AC3C576}" name="Name" dataDxfId="8">
      <calculatedColumnFormula>TEXT(INDEX(AllTime1[Name], MATCH(SMALL(AllTime1[Helper], ROW(Structures!$G1)), AllTime1[Helper], 0)),"@")</calculatedColumnFormula>
    </tableColumn>
    <tableColumn id="3" xr3:uid="{FB122D02-071D-48DE-960A-E502D5B2C5EF}" name="Points" dataDxfId="7">
      <calculatedColumnFormula>INDEX(AllTime1[All-time score], MATCH(LARGE(AllTime1[Helper2], ROW(Structures!$G1)), AllTime1[Helper2], 0))</calculatedColumnFormula>
    </tableColumn>
    <tableColumn id="4" xr3:uid="{8CF0645E-3F6B-4D34-B21B-5655452E2AB0}" name="GP" dataDxfId="6">
      <calculatedColumnFormula>COUNTIF(_xlfn.XLOOKUP(Table1215[[#This Row],[Name]],Table16[Name],Table16[[September 30, 2025]:[Column18]],,0,1),"&gt;=0")</calculatedColumnFormula>
    </tableColumn>
    <tableColumn id="9" xr3:uid="{66FEDAE4-64E8-4AD6-B825-282DEAA5FF9E}" name="Performance Rating" dataDxfId="5" dataCellStyle="Percent">
      <calculatedColumnFormula>_xlfn.XLOOKUP(Table1215[[#This Row],[Name]],Table1624[Name],Table1624[Totals],,0,1)</calculatedColumnFormula>
    </tableColumn>
    <tableColumn id="5" xr3:uid="{D3BE8C4D-F035-4256-A653-B563B9983151}" name="PPG (avg.)" dataDxfId="4">
      <calculatedColumnFormula>IFERROR(Table1215[[#This Row],[Points]]/Table1215[[#This Row],[GP]],"N/A")</calculatedColumnFormula>
    </tableColumn>
    <tableColumn id="6" xr3:uid="{BBABF9C2-DF81-492B-999B-486FD9E7AEFD}" name="FTA" dataDxfId="3">
      <calculatedColumnFormula>COUNTIF(_xlfn.XLOOKUP(Table1215[[#This Row],[Name]],Table16[Name],Table16[[September 30, 2025]:[Column18]],,0,1),"&gt;=8")</calculatedColumnFormula>
    </tableColumn>
    <tableColumn id="7" xr3:uid="{6578C518-8A77-4B4D-8320-A9F1A8E75A7B}" name="PPFT" dataDxfId="2">
      <calculatedColumnFormula>IFERROR(AVERAGEIF(_xlfn.XLOOKUP(Table1215[[#This Row],[Name]],Table16[Name],Table16[[September 30, 2025]:[Column18]],,0,1),"&gt;=8"),"N/A")</calculatedColumnFormula>
    </tableColumn>
    <tableColumn id="8" xr3:uid="{DE6A375B-D5A0-4CD3-AB18-06EB8352E5E8}" name="FTAR" dataDxfId="1" dataCellStyle="Percent">
      <calculatedColumnFormula>IFERROR(Table1215[[#This Row],[FTA]]/Table1215[[#This Row],[GP]],"N/A")</calculatedColumnFormula>
    </tableColumn>
    <tableColumn id="10" xr3:uid="{655078F8-349F-4243-A7B2-F7DD7BE4557A}" name="CW" dataDxfId="0" dataCellStyle="Percent">
      <calculatedColumnFormula>COUNTIF(_xlfn.XLOOKUP(Table1215[[#This Row],[Name]],Table16[Name],Table16[[September 30, 2025]:[Column18]],,0,1),"&gt;=15")</calculatedColumnFormula>
    </tableColumn>
  </tableColumns>
  <tableStyleInfo name="Basic Plain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CC62-257B-4A42-96D3-DA4090AA329C}">
  <dimension ref="B1:K9"/>
  <sheetViews>
    <sheetView zoomScale="118" workbookViewId="0">
      <selection activeCell="G2" sqref="G2"/>
    </sheetView>
  </sheetViews>
  <sheetFormatPr defaultColWidth="8.85546875" defaultRowHeight="15"/>
  <cols>
    <col min="2" max="2" width="10.140625" bestFit="1" customWidth="1"/>
    <col min="3" max="3" width="14.140625" bestFit="1" customWidth="1"/>
    <col min="4" max="4" width="14.42578125" customWidth="1"/>
    <col min="7" max="7" width="15.140625" customWidth="1"/>
    <col min="10" max="10" width="17.42578125" bestFit="1" customWidth="1"/>
    <col min="11" max="11" width="10" bestFit="1" customWidth="1"/>
  </cols>
  <sheetData>
    <row r="1" spans="2:11">
      <c r="F1" s="159" t="s">
        <v>0</v>
      </c>
      <c r="G1" s="159"/>
      <c r="H1" s="159"/>
    </row>
    <row r="2" spans="2:11" ht="15.75" thickBot="1">
      <c r="F2" t="s">
        <v>1</v>
      </c>
      <c r="G2" s="40">
        <v>40</v>
      </c>
      <c r="H2" t="s">
        <v>2</v>
      </c>
      <c r="I2" s="40">
        <f>G2/2</f>
        <v>20</v>
      </c>
      <c r="J2" t="s">
        <v>3</v>
      </c>
      <c r="K2" s="40">
        <f>ROUND(SUM(I2,G2),0)</f>
        <v>60</v>
      </c>
    </row>
    <row r="3" spans="2:11" ht="16.5">
      <c r="B3" s="89" t="s">
        <v>4</v>
      </c>
      <c r="C3" s="90" t="s">
        <v>5</v>
      </c>
      <c r="D3" s="91" t="s">
        <v>6</v>
      </c>
      <c r="F3" s="92" t="s">
        <v>4</v>
      </c>
      <c r="G3" s="93" t="s">
        <v>5</v>
      </c>
      <c r="H3" s="94" t="s">
        <v>6</v>
      </c>
      <c r="I3" s="95" t="s">
        <v>7</v>
      </c>
      <c r="J3" s="95" t="s">
        <v>8</v>
      </c>
      <c r="K3" s="95" t="s">
        <v>9</v>
      </c>
    </row>
    <row r="4" spans="2:11" ht="16.5">
      <c r="B4" s="96" t="s">
        <v>10</v>
      </c>
      <c r="C4" s="97">
        <v>25</v>
      </c>
      <c r="D4" s="98">
        <v>1295</v>
      </c>
      <c r="F4" s="99" t="s">
        <v>10</v>
      </c>
      <c r="G4" s="97">
        <v>25</v>
      </c>
      <c r="H4" s="100">
        <v>8</v>
      </c>
      <c r="I4" s="101">
        <f>Table116[[#This Row],[Denomination]]*Table116[[#This Row],[Count]]</f>
        <v>200</v>
      </c>
      <c r="J4" s="101">
        <f>Table116[[#This Row],[Count]]*$K$2</f>
        <v>480</v>
      </c>
      <c r="K4" s="101">
        <f>MIN(D4-Table116[[#This Row],[Total Chips rq''d]],0)</f>
        <v>0</v>
      </c>
    </row>
    <row r="5" spans="2:11" ht="16.5">
      <c r="B5" s="96" t="s">
        <v>11</v>
      </c>
      <c r="C5" s="97">
        <v>100</v>
      </c>
      <c r="D5" s="98">
        <v>800</v>
      </c>
      <c r="F5" s="99" t="s">
        <v>11</v>
      </c>
      <c r="G5" s="97">
        <v>100</v>
      </c>
      <c r="H5" s="100">
        <v>8</v>
      </c>
      <c r="I5" s="100">
        <f>Table116[[#This Row],[Denomination]]*Table116[[#This Row],[Count]]</f>
        <v>800</v>
      </c>
      <c r="J5" s="100">
        <f>Table116[[#This Row],[Count]]*$K$2</f>
        <v>480</v>
      </c>
      <c r="K5" s="100">
        <f>MIN(D5-Table116[[#This Row],[Total Chips rq''d]],0)</f>
        <v>0</v>
      </c>
    </row>
    <row r="6" spans="2:11" ht="16.5">
      <c r="B6" s="96" t="s">
        <v>12</v>
      </c>
      <c r="C6" s="97">
        <v>500</v>
      </c>
      <c r="D6" s="98">
        <v>805</v>
      </c>
      <c r="F6" s="99" t="s">
        <v>12</v>
      </c>
      <c r="G6" s="97">
        <v>500</v>
      </c>
      <c r="H6" s="100">
        <v>6</v>
      </c>
      <c r="I6" s="100">
        <f>Table116[[#This Row],[Denomination]]*Table116[[#This Row],[Count]]</f>
        <v>3000</v>
      </c>
      <c r="J6" s="100">
        <f>Table116[[#This Row],[Count]]*$K$2</f>
        <v>360</v>
      </c>
      <c r="K6" s="100">
        <f>MIN(D6-Table116[[#This Row],[Total Chips rq''d]],0)</f>
        <v>0</v>
      </c>
    </row>
    <row r="7" spans="2:11" ht="16.5">
      <c r="B7" s="96" t="s">
        <v>13</v>
      </c>
      <c r="C7" s="97">
        <v>1000</v>
      </c>
      <c r="D7" s="98">
        <v>813</v>
      </c>
      <c r="F7" s="99" t="s">
        <v>13</v>
      </c>
      <c r="G7" s="97">
        <v>1000</v>
      </c>
      <c r="H7" s="100">
        <v>4</v>
      </c>
      <c r="I7" s="100">
        <f>Table116[[#This Row],[Denomination]]*Table116[[#This Row],[Count]]</f>
        <v>4000</v>
      </c>
      <c r="J7" s="100">
        <f>Table116[[#This Row],[Count]]*$K$2</f>
        <v>240</v>
      </c>
      <c r="K7" s="100">
        <f>MIN(D7-Table116[[#This Row],[Total Chips rq''d]],0)</f>
        <v>0</v>
      </c>
    </row>
    <row r="8" spans="2:11" ht="16.5">
      <c r="B8" s="96" t="s">
        <v>14</v>
      </c>
      <c r="C8" s="97">
        <v>5000</v>
      </c>
      <c r="D8" s="98">
        <v>806</v>
      </c>
      <c r="F8" s="102" t="s">
        <v>14</v>
      </c>
      <c r="G8" s="103">
        <v>5000</v>
      </c>
      <c r="H8" s="104">
        <v>0</v>
      </c>
      <c r="I8" s="104">
        <f>Table116[[#This Row],[Denomination]]*Table116[[#This Row],[Count]]</f>
        <v>0</v>
      </c>
      <c r="J8" s="104">
        <f>Table116[[#This Row],[Count]]*$K$2</f>
        <v>0</v>
      </c>
      <c r="K8" s="104">
        <f>MIN(D8-Table116[[#This Row],[Total Chips rq''d]],0)</f>
        <v>0</v>
      </c>
    </row>
    <row r="9" spans="2:11" ht="16.5">
      <c r="F9" s="102" t="s">
        <v>15</v>
      </c>
      <c r="G9" s="103"/>
      <c r="H9" s="104">
        <f>SUBTOTAL(109,Table116[Count])</f>
        <v>26</v>
      </c>
      <c r="I9" s="88">
        <f>SUBTOTAL(109,Table116[Value])</f>
        <v>8000</v>
      </c>
      <c r="J9" s="88"/>
      <c r="K9" s="88"/>
    </row>
  </sheetData>
  <mergeCells count="1">
    <mergeCell ref="F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C4A5-A844-4612-8B9C-937DA96269AC}">
  <dimension ref="B2:D76"/>
  <sheetViews>
    <sheetView topLeftCell="A22" workbookViewId="0">
      <selection activeCell="E15" sqref="E15"/>
    </sheetView>
  </sheetViews>
  <sheetFormatPr defaultColWidth="8.85546875" defaultRowHeight="15"/>
  <cols>
    <col min="2" max="2" width="18.85546875" bestFit="1" customWidth="1"/>
    <col min="3" max="3" width="21.42578125" bestFit="1" customWidth="1"/>
    <col min="4" max="4" width="23.140625" bestFit="1" customWidth="1"/>
  </cols>
  <sheetData>
    <row r="2" spans="2:4">
      <c r="B2" s="27" t="s">
        <v>16</v>
      </c>
      <c r="C2" s="27" t="s">
        <v>17</v>
      </c>
      <c r="D2" s="27" t="s">
        <v>18</v>
      </c>
    </row>
    <row r="3" spans="2:4">
      <c r="B3" s="46" t="s">
        <v>19</v>
      </c>
      <c r="C3" s="46" t="s">
        <v>20</v>
      </c>
      <c r="D3" s="47" t="s">
        <v>21</v>
      </c>
    </row>
    <row r="4" spans="2:4">
      <c r="B4" s="107" t="s">
        <v>22</v>
      </c>
      <c r="C4" s="48" t="s">
        <v>23</v>
      </c>
      <c r="D4" s="49" t="s">
        <v>24</v>
      </c>
    </row>
    <row r="5" spans="2:4">
      <c r="B5" s="48" t="s">
        <v>25</v>
      </c>
      <c r="C5" s="48" t="s">
        <v>26</v>
      </c>
      <c r="D5" s="50" t="s">
        <v>27</v>
      </c>
    </row>
    <row r="6" spans="2:4">
      <c r="B6" s="48" t="s">
        <v>28</v>
      </c>
      <c r="C6" s="48" t="s">
        <v>29</v>
      </c>
      <c r="D6" s="50" t="s">
        <v>30</v>
      </c>
    </row>
    <row r="7" spans="2:4">
      <c r="B7" s="48" t="s">
        <v>31</v>
      </c>
      <c r="C7" s="48" t="s">
        <v>32</v>
      </c>
      <c r="D7" s="50" t="s">
        <v>33</v>
      </c>
    </row>
    <row r="8" spans="2:4">
      <c r="B8" s="52" t="s">
        <v>34</v>
      </c>
      <c r="C8" s="52" t="s">
        <v>35</v>
      </c>
      <c r="D8" s="51" t="s">
        <v>36</v>
      </c>
    </row>
    <row r="9" spans="2:4">
      <c r="B9" s="115" t="s">
        <v>37</v>
      </c>
      <c r="C9" s="54" t="s">
        <v>38</v>
      </c>
      <c r="D9" s="116" t="s">
        <v>39</v>
      </c>
    </row>
    <row r="10" spans="2:4">
      <c r="B10" s="54" t="s">
        <v>40</v>
      </c>
      <c r="C10" s="54" t="s">
        <v>41</v>
      </c>
      <c r="D10" s="116" t="s">
        <v>39</v>
      </c>
    </row>
    <row r="11" spans="2:4">
      <c r="B11" s="54" t="s">
        <v>42</v>
      </c>
      <c r="C11" s="54" t="s">
        <v>43</v>
      </c>
      <c r="D11" s="116" t="s">
        <v>39</v>
      </c>
    </row>
    <row r="12" spans="2:4">
      <c r="B12" s="54" t="s">
        <v>44</v>
      </c>
      <c r="C12" s="54" t="s">
        <v>45</v>
      </c>
      <c r="D12" s="116" t="s">
        <v>39</v>
      </c>
    </row>
    <row r="13" spans="2:4">
      <c r="B13" s="54" t="s">
        <v>46</v>
      </c>
      <c r="C13" s="54" t="s">
        <v>47</v>
      </c>
      <c r="D13" s="116" t="s">
        <v>39</v>
      </c>
    </row>
    <row r="14" spans="2:4">
      <c r="B14" s="54"/>
      <c r="C14" s="54" t="s">
        <v>48</v>
      </c>
      <c r="D14" s="116" t="s">
        <v>39</v>
      </c>
    </row>
    <row r="15" spans="2:4">
      <c r="B15" s="54" t="s">
        <v>49</v>
      </c>
      <c r="C15" s="54" t="s">
        <v>50</v>
      </c>
      <c r="D15" s="116" t="s">
        <v>51</v>
      </c>
    </row>
    <row r="16" spans="2:4">
      <c r="B16" s="115" t="s">
        <v>52</v>
      </c>
      <c r="C16" s="54" t="s">
        <v>53</v>
      </c>
      <c r="D16" s="53" t="s">
        <v>54</v>
      </c>
    </row>
    <row r="17" spans="2:4">
      <c r="B17" s="54" t="s">
        <v>55</v>
      </c>
      <c r="C17" s="54" t="s">
        <v>56</v>
      </c>
      <c r="D17" s="53" t="s">
        <v>57</v>
      </c>
    </row>
    <row r="18" spans="2:4">
      <c r="B18" s="54" t="s">
        <v>58</v>
      </c>
      <c r="C18" s="54" t="s">
        <v>59</v>
      </c>
      <c r="D18" s="53" t="s">
        <v>57</v>
      </c>
    </row>
    <row r="19" spans="2:4">
      <c r="B19" s="54" t="s">
        <v>60</v>
      </c>
      <c r="C19" s="54" t="s">
        <v>61</v>
      </c>
      <c r="D19" s="53" t="s">
        <v>62</v>
      </c>
    </row>
    <row r="20" spans="2:4">
      <c r="B20" t="s">
        <v>63</v>
      </c>
      <c r="C20" s="54" t="s">
        <v>64</v>
      </c>
      <c r="D20" s="53" t="s">
        <v>62</v>
      </c>
    </row>
    <row r="21" spans="2:4">
      <c r="B21" t="s">
        <v>65</v>
      </c>
      <c r="C21" s="54" t="s">
        <v>66</v>
      </c>
      <c r="D21" s="53" t="s">
        <v>67</v>
      </c>
    </row>
    <row r="22" spans="2:4">
      <c r="B22" s="54" t="s">
        <v>68</v>
      </c>
      <c r="C22" s="54" t="s">
        <v>69</v>
      </c>
      <c r="D22" s="53" t="s">
        <v>67</v>
      </c>
    </row>
    <row r="23" spans="2:4">
      <c r="B23" s="54" t="s">
        <v>70</v>
      </c>
      <c r="C23" s="54" t="s">
        <v>71</v>
      </c>
      <c r="D23" s="53" t="s">
        <v>67</v>
      </c>
    </row>
    <row r="24" spans="2:4">
      <c r="B24" s="54" t="s">
        <v>72</v>
      </c>
      <c r="C24" s="54" t="s">
        <v>73</v>
      </c>
      <c r="D24" s="53" t="s">
        <v>67</v>
      </c>
    </row>
    <row r="25" spans="2:4">
      <c r="B25" s="54" t="s">
        <v>74</v>
      </c>
      <c r="C25" s="54" t="s">
        <v>75</v>
      </c>
      <c r="D25" s="53" t="s">
        <v>76</v>
      </c>
    </row>
    <row r="26" spans="2:4">
      <c r="B26" s="54" t="s">
        <v>77</v>
      </c>
      <c r="C26" s="54" t="s">
        <v>78</v>
      </c>
      <c r="D26" s="53" t="s">
        <v>76</v>
      </c>
    </row>
    <row r="27" spans="2:4">
      <c r="B27" t="s">
        <v>79</v>
      </c>
      <c r="C27" s="54" t="s">
        <v>80</v>
      </c>
      <c r="D27" s="117" t="s">
        <v>81</v>
      </c>
    </row>
    <row r="28" spans="2:4">
      <c r="B28" s="54" t="s">
        <v>82</v>
      </c>
      <c r="C28" s="54" t="s">
        <v>83</v>
      </c>
      <c r="D28" s="117" t="s">
        <v>81</v>
      </c>
    </row>
    <row r="29" spans="2:4">
      <c r="B29" s="54" t="s">
        <v>84</v>
      </c>
      <c r="C29" s="54" t="s">
        <v>85</v>
      </c>
      <c r="D29" s="117" t="s">
        <v>81</v>
      </c>
    </row>
    <row r="30" spans="2:4">
      <c r="B30" s="54" t="s">
        <v>86</v>
      </c>
      <c r="C30" s="54" t="s">
        <v>87</v>
      </c>
      <c r="D30" s="117" t="s">
        <v>81</v>
      </c>
    </row>
    <row r="31" spans="2:4">
      <c r="B31" s="54" t="s">
        <v>88</v>
      </c>
      <c r="C31" s="54" t="s">
        <v>89</v>
      </c>
      <c r="D31" s="117" t="s">
        <v>81</v>
      </c>
    </row>
    <row r="32" spans="2:4">
      <c r="B32" t="s">
        <v>90</v>
      </c>
      <c r="C32" s="54" t="s">
        <v>91</v>
      </c>
      <c r="D32" s="53" t="s">
        <v>81</v>
      </c>
    </row>
    <row r="33" spans="2:4">
      <c r="B33" t="s">
        <v>92</v>
      </c>
      <c r="C33" s="54" t="s">
        <v>93</v>
      </c>
      <c r="D33" s="53" t="s">
        <v>81</v>
      </c>
    </row>
    <row r="34" spans="2:4">
      <c r="B34" s="54" t="s">
        <v>94</v>
      </c>
      <c r="C34" s="54" t="s">
        <v>95</v>
      </c>
      <c r="D34" s="53" t="s">
        <v>81</v>
      </c>
    </row>
    <row r="35" spans="2:4">
      <c r="B35" s="54" t="s">
        <v>96</v>
      </c>
      <c r="C35" s="54" t="s">
        <v>97</v>
      </c>
      <c r="D35" s="53" t="s">
        <v>81</v>
      </c>
    </row>
    <row r="36" spans="2:4">
      <c r="B36" s="54" t="s">
        <v>98</v>
      </c>
      <c r="C36" s="54" t="s">
        <v>99</v>
      </c>
      <c r="D36" s="53" t="s">
        <v>81</v>
      </c>
    </row>
    <row r="37" spans="2:4">
      <c r="B37" s="54" t="s">
        <v>100</v>
      </c>
      <c r="C37" s="54" t="s">
        <v>101</v>
      </c>
      <c r="D37" s="53" t="s">
        <v>81</v>
      </c>
    </row>
    <row r="38" spans="2:4">
      <c r="B38" s="54" t="s">
        <v>102</v>
      </c>
      <c r="C38" s="54" t="s">
        <v>103</v>
      </c>
      <c r="D38" s="53" t="s">
        <v>81</v>
      </c>
    </row>
    <row r="39" spans="2:4">
      <c r="B39" s="54" t="s">
        <v>104</v>
      </c>
      <c r="C39" s="54" t="s">
        <v>105</v>
      </c>
      <c r="D39" s="53" t="s">
        <v>81</v>
      </c>
    </row>
    <row r="40" spans="2:4">
      <c r="B40" s="54" t="s">
        <v>106</v>
      </c>
      <c r="C40" s="54" t="s">
        <v>107</v>
      </c>
      <c r="D40" s="53" t="s">
        <v>81</v>
      </c>
    </row>
    <row r="41" spans="2:4">
      <c r="B41" t="s">
        <v>108</v>
      </c>
      <c r="C41" s="54" t="s">
        <v>109</v>
      </c>
      <c r="D41" s="53" t="s">
        <v>81</v>
      </c>
    </row>
    <row r="42" spans="2:4">
      <c r="B42" s="54" t="s">
        <v>110</v>
      </c>
      <c r="C42" s="54" t="s">
        <v>111</v>
      </c>
      <c r="D42" s="53" t="s">
        <v>81</v>
      </c>
    </row>
    <row r="43" spans="2:4">
      <c r="B43" s="54" t="s">
        <v>112</v>
      </c>
      <c r="C43" s="54" t="s">
        <v>113</v>
      </c>
      <c r="D43" s="53" t="s">
        <v>81</v>
      </c>
    </row>
    <row r="44" spans="2:4">
      <c r="B44" s="54" t="s">
        <v>114</v>
      </c>
      <c r="C44" s="54" t="s">
        <v>115</v>
      </c>
      <c r="D44" s="53" t="s">
        <v>81</v>
      </c>
    </row>
    <row r="45" spans="2:4">
      <c r="B45" s="54" t="s">
        <v>116</v>
      </c>
      <c r="C45" s="54" t="s">
        <v>117</v>
      </c>
      <c r="D45" s="53" t="s">
        <v>81</v>
      </c>
    </row>
    <row r="46" spans="2:4">
      <c r="B46" s="54" t="s">
        <v>118</v>
      </c>
      <c r="C46" s="54" t="s">
        <v>119</v>
      </c>
      <c r="D46" s="53" t="s">
        <v>81</v>
      </c>
    </row>
    <row r="47" spans="2:4">
      <c r="B47" s="54" t="s">
        <v>120</v>
      </c>
      <c r="C47" s="54" t="s">
        <v>121</v>
      </c>
      <c r="D47" s="53" t="s">
        <v>81</v>
      </c>
    </row>
    <row r="48" spans="2:4">
      <c r="B48" s="54" t="s">
        <v>122</v>
      </c>
      <c r="C48" s="54" t="s">
        <v>123</v>
      </c>
      <c r="D48" s="53" t="s">
        <v>81</v>
      </c>
    </row>
    <row r="49" spans="2:4">
      <c r="B49" s="54" t="s">
        <v>124</v>
      </c>
      <c r="C49" s="54" t="s">
        <v>125</v>
      </c>
      <c r="D49" s="53" t="s">
        <v>81</v>
      </c>
    </row>
    <row r="50" spans="2:4">
      <c r="B50" t="s">
        <v>126</v>
      </c>
      <c r="C50" s="54" t="s">
        <v>127</v>
      </c>
      <c r="D50" s="53" t="s">
        <v>81</v>
      </c>
    </row>
    <row r="51" spans="2:4">
      <c r="B51" t="s">
        <v>128</v>
      </c>
      <c r="C51" s="54" t="s">
        <v>129</v>
      </c>
      <c r="D51" s="53" t="s">
        <v>81</v>
      </c>
    </row>
    <row r="52" spans="2:4">
      <c r="B52" t="s">
        <v>130</v>
      </c>
      <c r="C52" s="54" t="s">
        <v>48</v>
      </c>
      <c r="D52" s="53" t="s">
        <v>81</v>
      </c>
    </row>
    <row r="53" spans="2:4">
      <c r="B53" t="s">
        <v>131</v>
      </c>
      <c r="C53" s="54" t="s">
        <v>132</v>
      </c>
      <c r="D53" s="53" t="s">
        <v>81</v>
      </c>
    </row>
    <row r="54" spans="2:4">
      <c r="B54" t="s">
        <v>133</v>
      </c>
      <c r="C54" s="54" t="s">
        <v>134</v>
      </c>
      <c r="D54" s="53" t="s">
        <v>81</v>
      </c>
    </row>
    <row r="55" spans="2:4">
      <c r="B55" s="54" t="s">
        <v>135</v>
      </c>
      <c r="C55" s="54" t="s">
        <v>136</v>
      </c>
      <c r="D55" s="53" t="s">
        <v>81</v>
      </c>
    </row>
    <row r="56" spans="2:4">
      <c r="B56" s="54" t="s">
        <v>137</v>
      </c>
      <c r="C56" s="54" t="s">
        <v>138</v>
      </c>
      <c r="D56" s="53" t="s">
        <v>81</v>
      </c>
    </row>
    <row r="57" spans="2:4">
      <c r="B57" t="s">
        <v>139</v>
      </c>
      <c r="C57" s="54" t="s">
        <v>140</v>
      </c>
      <c r="D57" s="53" t="s">
        <v>81</v>
      </c>
    </row>
    <row r="58" spans="2:4">
      <c r="B58" s="54" t="s">
        <v>141</v>
      </c>
      <c r="C58" s="54" t="s">
        <v>142</v>
      </c>
      <c r="D58" s="53" t="s">
        <v>81</v>
      </c>
    </row>
    <row r="59" spans="2:4">
      <c r="B59" t="s">
        <v>143</v>
      </c>
      <c r="C59" s="54" t="s">
        <v>144</v>
      </c>
      <c r="D59" s="53" t="s">
        <v>81</v>
      </c>
    </row>
    <row r="60" spans="2:4">
      <c r="B60" t="s">
        <v>145</v>
      </c>
      <c r="C60" s="54" t="s">
        <v>146</v>
      </c>
      <c r="D60" s="53" t="s">
        <v>81</v>
      </c>
    </row>
    <row r="61" spans="2:4">
      <c r="B61" s="54" t="s">
        <v>147</v>
      </c>
      <c r="C61" s="54" t="s">
        <v>148</v>
      </c>
      <c r="D61" s="53" t="s">
        <v>81</v>
      </c>
    </row>
    <row r="62" spans="2:4">
      <c r="B62" s="54" t="s">
        <v>149</v>
      </c>
      <c r="C62" s="54" t="s">
        <v>150</v>
      </c>
      <c r="D62" s="53" t="s">
        <v>81</v>
      </c>
    </row>
    <row r="63" spans="2:4">
      <c r="B63" t="s">
        <v>151</v>
      </c>
      <c r="C63" s="54" t="s">
        <v>152</v>
      </c>
      <c r="D63" s="53" t="s">
        <v>81</v>
      </c>
    </row>
    <row r="64" spans="2:4">
      <c r="B64" t="s">
        <v>153</v>
      </c>
      <c r="C64" s="54" t="s">
        <v>154</v>
      </c>
      <c r="D64" s="53" t="s">
        <v>81</v>
      </c>
    </row>
    <row r="65" spans="2:4">
      <c r="B65" t="s">
        <v>155</v>
      </c>
      <c r="C65" s="54" t="s">
        <v>156</v>
      </c>
      <c r="D65" s="53" t="s">
        <v>81</v>
      </c>
    </row>
    <row r="66" spans="2:4">
      <c r="B66" t="s">
        <v>157</v>
      </c>
      <c r="C66" s="54" t="s">
        <v>158</v>
      </c>
      <c r="D66" s="53" t="s">
        <v>81</v>
      </c>
    </row>
    <row r="67" spans="2:4">
      <c r="B67" t="s">
        <v>159</v>
      </c>
      <c r="C67" s="54" t="s">
        <v>160</v>
      </c>
      <c r="D67" s="53" t="s">
        <v>81</v>
      </c>
    </row>
    <row r="68" spans="2:4">
      <c r="B68" s="54" t="s">
        <v>161</v>
      </c>
      <c r="C68" s="54" t="s">
        <v>162</v>
      </c>
      <c r="D68" s="53" t="s">
        <v>81</v>
      </c>
    </row>
    <row r="69" spans="2:4">
      <c r="B69" s="54" t="s">
        <v>163</v>
      </c>
      <c r="C69" s="54" t="s">
        <v>164</v>
      </c>
      <c r="D69" s="53" t="s">
        <v>81</v>
      </c>
    </row>
    <row r="70" spans="2:4">
      <c r="B70" s="54" t="s">
        <v>165</v>
      </c>
      <c r="C70" s="54" t="s">
        <v>166</v>
      </c>
      <c r="D70" s="53" t="s">
        <v>81</v>
      </c>
    </row>
    <row r="71" spans="2:4">
      <c r="B71" s="54" t="s">
        <v>167</v>
      </c>
      <c r="C71" s="54" t="s">
        <v>168</v>
      </c>
      <c r="D71" s="53" t="s">
        <v>81</v>
      </c>
    </row>
    <row r="72" spans="2:4">
      <c r="B72" s="54" t="s">
        <v>169</v>
      </c>
      <c r="C72" s="54" t="s">
        <v>170</v>
      </c>
      <c r="D72" s="53" t="s">
        <v>81</v>
      </c>
    </row>
    <row r="73" spans="2:4">
      <c r="B73" s="54" t="s">
        <v>171</v>
      </c>
      <c r="C73" s="54" t="s">
        <v>172</v>
      </c>
      <c r="D73" s="53" t="s">
        <v>81</v>
      </c>
    </row>
    <row r="74" spans="2:4">
      <c r="B74" s="54" t="s">
        <v>173</v>
      </c>
      <c r="C74" s="54" t="s">
        <v>174</v>
      </c>
      <c r="D74" s="53" t="s">
        <v>81</v>
      </c>
    </row>
    <row r="75" spans="2:4">
      <c r="B75" s="54" t="s">
        <v>175</v>
      </c>
      <c r="C75" s="54" t="s">
        <v>176</v>
      </c>
      <c r="D75" s="53" t="s">
        <v>81</v>
      </c>
    </row>
    <row r="76" spans="2:4">
      <c r="B76" t="s">
        <v>15</v>
      </c>
      <c r="D76" s="55">
        <f>SUBTOTAL(103,Table26[Role])</f>
        <v>73</v>
      </c>
    </row>
  </sheetData>
  <phoneticPr fontId="4" type="noConversion"/>
  <conditionalFormatting sqref="B3">
    <cfRule type="duplicateValues" dxfId="371" priority="1"/>
  </conditionalFormatting>
  <conditionalFormatting sqref="B10:B11">
    <cfRule type="duplicateValues" dxfId="370" priority="9"/>
  </conditionalFormatting>
  <conditionalFormatting sqref="B49">
    <cfRule type="duplicateValues" dxfId="369" priority="6"/>
  </conditionalFormatting>
  <conditionalFormatting sqref="B55:B56">
    <cfRule type="duplicateValues" dxfId="368" priority="4"/>
  </conditionalFormatting>
  <conditionalFormatting sqref="B58">
    <cfRule type="duplicateValues" dxfId="367" priority="2"/>
  </conditionalFormatting>
  <conditionalFormatting sqref="B61:B62">
    <cfRule type="duplicateValues" dxfId="366" priority="3"/>
  </conditionalFormatting>
  <conditionalFormatting sqref="B63">
    <cfRule type="duplicateValues" dxfId="365" priority="5"/>
  </conditionalFormatting>
  <conditionalFormatting sqref="C3:C4">
    <cfRule type="duplicateValues" dxfId="364" priority="8"/>
  </conditionalFormatting>
  <conditionalFormatting sqref="C9:C26">
    <cfRule type="duplicateValues" dxfId="363" priority="205"/>
  </conditionalFormatting>
  <conditionalFormatting sqref="C67:C74 C66:D66 C27:C65">
    <cfRule type="duplicateValues" dxfId="362" priority="7"/>
  </conditionalFormatting>
  <dataValidations count="1">
    <dataValidation type="list" allowBlank="1" showInputMessage="1" showErrorMessage="1" sqref="D9:D13 D15:D26" xr:uid="{49F36EC8-C9ED-4377-805B-4BC51AED4145}">
      <formula1>$A$1:$A$4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EB7-159A-45C7-808B-D7BAEE84C272}">
  <dimension ref="B1:Y600"/>
  <sheetViews>
    <sheetView tabSelected="1" zoomScale="62" workbookViewId="0">
      <selection activeCell="G323" sqref="G323"/>
    </sheetView>
  </sheetViews>
  <sheetFormatPr defaultColWidth="8.85546875" defaultRowHeight="15.75" customHeight="1"/>
  <cols>
    <col min="2" max="2" width="17.42578125" bestFit="1" customWidth="1"/>
    <col min="3" max="3" width="5.42578125" bestFit="1" customWidth="1"/>
    <col min="4" max="4" width="9.140625" bestFit="1" customWidth="1"/>
    <col min="5" max="5" width="21.140625" bestFit="1" customWidth="1"/>
    <col min="7" max="7" width="25.42578125" style="56" customWidth="1"/>
    <col min="8" max="8" width="16.85546875" style="56" customWidth="1"/>
    <col min="9" max="9" width="17" style="56" customWidth="1"/>
    <col min="10" max="11" width="27.42578125" style="56" customWidth="1"/>
    <col min="13" max="13" width="10.140625" bestFit="1" customWidth="1"/>
    <col min="15" max="15" width="19.7109375" customWidth="1"/>
    <col min="17" max="17" width="15" bestFit="1" customWidth="1"/>
    <col min="19" max="19" width="37.7109375" bestFit="1" customWidth="1"/>
    <col min="21" max="21" width="14.42578125" customWidth="1"/>
  </cols>
  <sheetData>
    <row r="1" spans="2:25" ht="16.5">
      <c r="G1" s="121">
        <f ca="1">TODAY()</f>
        <v>46092</v>
      </c>
    </row>
    <row r="2" spans="2:25" ht="21">
      <c r="B2" s="60" t="s">
        <v>177</v>
      </c>
      <c r="C2" s="61" t="s">
        <v>178</v>
      </c>
      <c r="D2" s="61" t="s">
        <v>179</v>
      </c>
      <c r="E2" s="62" t="s">
        <v>180</v>
      </c>
      <c r="F2" s="149"/>
      <c r="M2" t="s">
        <v>181</v>
      </c>
      <c r="O2" s="27" t="s">
        <v>182</v>
      </c>
      <c r="Q2" s="1" t="s">
        <v>183</v>
      </c>
      <c r="S2" s="1" t="s">
        <v>184</v>
      </c>
      <c r="U2" t="s">
        <v>185</v>
      </c>
      <c r="W2" s="18" t="s">
        <v>177</v>
      </c>
      <c r="Y2" t="s">
        <v>18</v>
      </c>
    </row>
    <row r="3" spans="2:25" ht="21">
      <c r="B3" s="73">
        <v>1</v>
      </c>
      <c r="C3" s="74"/>
      <c r="D3" s="74">
        <v>50</v>
      </c>
      <c r="E3" s="75">
        <f t="shared" ref="E3:E9" si="0">ROUNDUP(D3*0.75,0)</f>
        <v>38</v>
      </c>
      <c r="F3" s="150"/>
      <c r="M3" t="s">
        <v>186</v>
      </c>
      <c r="O3" s="113">
        <v>45930</v>
      </c>
      <c r="Q3">
        <v>1</v>
      </c>
      <c r="S3" t="s">
        <v>187</v>
      </c>
      <c r="U3" t="s">
        <v>188</v>
      </c>
      <c r="W3" s="12" t="s">
        <v>189</v>
      </c>
      <c r="Y3" t="s">
        <v>21</v>
      </c>
    </row>
    <row r="4" spans="2:25" ht="21">
      <c r="B4" s="73">
        <v>2</v>
      </c>
      <c r="C4" s="74"/>
      <c r="D4" s="74">
        <v>30</v>
      </c>
      <c r="E4" s="75">
        <f t="shared" si="0"/>
        <v>23</v>
      </c>
      <c r="F4" s="150"/>
      <c r="M4" t="s">
        <v>190</v>
      </c>
      <c r="O4" s="113">
        <v>45932</v>
      </c>
      <c r="Q4">
        <v>2</v>
      </c>
      <c r="S4" t="s">
        <v>191</v>
      </c>
      <c r="U4" t="s">
        <v>192</v>
      </c>
      <c r="W4" s="12" t="s">
        <v>193</v>
      </c>
      <c r="Y4" t="s">
        <v>194</v>
      </c>
    </row>
    <row r="5" spans="2:25" ht="21">
      <c r="B5" s="73">
        <v>3</v>
      </c>
      <c r="C5" s="74"/>
      <c r="D5" s="74">
        <v>20</v>
      </c>
      <c r="E5" s="75">
        <f t="shared" si="0"/>
        <v>15</v>
      </c>
      <c r="F5" s="150"/>
      <c r="G5" s="63" t="s">
        <v>17</v>
      </c>
      <c r="H5" s="63" t="s">
        <v>195</v>
      </c>
      <c r="I5" s="63" t="s">
        <v>196</v>
      </c>
      <c r="J5" s="63" t="s">
        <v>197</v>
      </c>
      <c r="K5" s="63" t="s">
        <v>198</v>
      </c>
      <c r="M5" t="s">
        <v>199</v>
      </c>
      <c r="O5" s="113">
        <v>45939</v>
      </c>
      <c r="Q5">
        <v>3</v>
      </c>
      <c r="S5" t="s">
        <v>200</v>
      </c>
      <c r="W5" s="12" t="s">
        <v>201</v>
      </c>
      <c r="Y5" t="s">
        <v>202</v>
      </c>
    </row>
    <row r="6" spans="2:25" ht="21">
      <c r="B6" s="73" t="s">
        <v>203</v>
      </c>
      <c r="C6" s="74">
        <v>10</v>
      </c>
      <c r="D6" s="74">
        <v>10</v>
      </c>
      <c r="E6" s="75">
        <f t="shared" si="0"/>
        <v>8</v>
      </c>
      <c r="F6" s="150"/>
      <c r="G6" s="71" t="str">
        <f>IFERROR(Table5[[#This Row],[Full name]],"")</f>
        <v>David Ribkoff</v>
      </c>
      <c r="H6" s="56">
        <f>_xlfn.RANK.EQ(AllTime1[[#This Row],[All-time score]],AllTime1[All-time score],0)</f>
        <v>83</v>
      </c>
      <c r="I6" s="56">
        <f>_xlfn.XLOOKUP(AllTime1[[#This Row],[Name]],Table16[Name],Table16[Totals],"Error",0,1)</f>
        <v>20</v>
      </c>
      <c r="J6" s="72">
        <f>IF(ISNUMBER(AllTime1[[#This Row],[All-time rank]]), AllTime1[[#This Row],[All-time rank]] + ROW(AllTime1[[#This Row],[All-time rank]])/100000, 99999 + ROW(AllTime1[[#This Row],[All-time rank]])/100000)</f>
        <v>83.000060000000005</v>
      </c>
      <c r="K6" s="69">
        <f>IF(ISNUMBER(AllTime1[[#This Row],[All-time score]]), AllTime1[[#This Row],[All-time score]] + ROW(AllTime1[[#This Row],[All-time score]])/100000000, 0 + ROW(AllTime1[[#This Row],[All-time score]])/1000000000)</f>
        <v>20.000000060000001</v>
      </c>
      <c r="O6" s="113">
        <v>45944</v>
      </c>
      <c r="Q6">
        <v>4</v>
      </c>
      <c r="S6" t="s">
        <v>204</v>
      </c>
      <c r="W6" s="12" t="s">
        <v>205</v>
      </c>
      <c r="Y6" t="s">
        <v>21</v>
      </c>
    </row>
    <row r="7" spans="2:25" ht="21">
      <c r="B7" s="73" t="s">
        <v>206</v>
      </c>
      <c r="C7" s="74">
        <v>0.25</v>
      </c>
      <c r="D7" s="74">
        <v>4</v>
      </c>
      <c r="E7" s="75">
        <f t="shared" si="0"/>
        <v>3</v>
      </c>
      <c r="F7" s="150"/>
      <c r="G7" s="71" t="str">
        <f>IFERROR(Table5[[#This Row],[Full name]],"")</f>
        <v>Ryan Chen</v>
      </c>
      <c r="H7" s="56">
        <f>_xlfn.RANK.EQ(AllTime1[[#This Row],[All-time score]],AllTime1[All-time score],0)</f>
        <v>45</v>
      </c>
      <c r="I7" s="56">
        <f>_xlfn.XLOOKUP(AllTime1[[#This Row],[Name]],Table16[Name],Table16[Totals],"Error",0,1)</f>
        <v>34</v>
      </c>
      <c r="J7" s="72">
        <f>IF(ISNUMBER(AllTime1[[#This Row],[All-time rank]]), AllTime1[[#This Row],[All-time rank]] + ROW(AllTime1[[#This Row],[All-time rank]])/100000, 99999 + ROW(AllTime1[[#This Row],[All-time rank]])/100000)</f>
        <v>45.000070000000001</v>
      </c>
      <c r="K7" s="69">
        <f>IF(ISNUMBER(AllTime1[[#This Row],[All-time score]]), AllTime1[[#This Row],[All-time score]] + ROW(AllTime1[[#This Row],[All-time score]])/100000000, 0 + ROW(AllTime1[[#This Row],[All-time score]])/1000000000)</f>
        <v>34.000000069999999</v>
      </c>
      <c r="O7" s="113">
        <v>45953</v>
      </c>
      <c r="Q7" s="3" t="s">
        <v>207</v>
      </c>
      <c r="S7" t="s">
        <v>208</v>
      </c>
      <c r="W7" s="12" t="s">
        <v>209</v>
      </c>
    </row>
    <row r="8" spans="2:25" ht="21">
      <c r="B8" s="73" t="s">
        <v>210</v>
      </c>
      <c r="C8" s="74">
        <v>0.5</v>
      </c>
      <c r="D8" s="74">
        <v>2</v>
      </c>
      <c r="E8" s="75">
        <f t="shared" si="0"/>
        <v>2</v>
      </c>
      <c r="F8" s="150"/>
      <c r="G8" s="71" t="str">
        <f>IFERROR(Table5[[#This Row],[Full name]],"")</f>
        <v>Myles MacPherson</v>
      </c>
      <c r="H8" s="56">
        <f>_xlfn.RANK.EQ(AllTime1[[#This Row],[All-time score]],AllTime1[All-time score],0)</f>
        <v>165</v>
      </c>
      <c r="I8" s="56">
        <f>_xlfn.XLOOKUP(AllTime1[[#This Row],[Name]],Table16[Name],Table16[Totals],"Error",0,1)</f>
        <v>5</v>
      </c>
      <c r="J8" s="72">
        <f>IF(ISNUMBER(AllTime1[[#This Row],[All-time rank]]), AllTime1[[#This Row],[All-time rank]] + ROW(AllTime1[[#This Row],[All-time rank]])/100000, 99999 + ROW(AllTime1[[#This Row],[All-time rank]])/100000)</f>
        <v>165.00008</v>
      </c>
      <c r="K8" s="69">
        <f>IF(ISNUMBER(AllTime1[[#This Row],[All-time score]]), AllTime1[[#This Row],[All-time score]] + ROW(AllTime1[[#This Row],[All-time score]])/100000000, 0 + ROW(AllTime1[[#This Row],[All-time score]])/1000000000)</f>
        <v>5.0000000800000004</v>
      </c>
      <c r="O8" s="113">
        <v>45958</v>
      </c>
      <c r="Q8" s="4" t="s">
        <v>211</v>
      </c>
      <c r="S8" t="s">
        <v>212</v>
      </c>
      <c r="W8" s="12" t="s">
        <v>213</v>
      </c>
    </row>
    <row r="9" spans="2:25" ht="21">
      <c r="B9" s="76" t="s">
        <v>214</v>
      </c>
      <c r="C9" s="77">
        <v>1</v>
      </c>
      <c r="D9" s="77">
        <v>1</v>
      </c>
      <c r="E9" s="78">
        <f t="shared" si="0"/>
        <v>1</v>
      </c>
      <c r="F9" s="150"/>
      <c r="G9" s="71" t="str">
        <f>IFERROR(Table5[[#This Row],[Full name]],"")</f>
        <v>Tyler Mah</v>
      </c>
      <c r="H9" s="56">
        <f>_xlfn.RANK.EQ(AllTime1[[#This Row],[All-time score]],AllTime1[All-time score],0)</f>
        <v>113</v>
      </c>
      <c r="I9" s="56">
        <f>_xlfn.XLOOKUP(AllTime1[[#This Row],[Name]],Table16[Name],Table16[Totals],"Error",0,1)</f>
        <v>13</v>
      </c>
      <c r="J9" s="72">
        <f>IF(ISNUMBER(AllTime1[[#This Row],[All-time rank]]), AllTime1[[#This Row],[All-time rank]] + ROW(AllTime1[[#This Row],[All-time rank]])/100000, 99999 + ROW(AllTime1[[#This Row],[All-time rank]])/100000)</f>
        <v>113.00009</v>
      </c>
      <c r="K9" s="69">
        <f>IF(ISNUMBER(AllTime1[[#This Row],[All-time score]]), AllTime1[[#This Row],[All-time score]] + ROW(AllTime1[[#This Row],[All-time score]])/100000000, 0 + ROW(AllTime1[[#This Row],[All-time score]])/1000000000)</f>
        <v>13.00000009</v>
      </c>
      <c r="O9" s="113">
        <v>45974</v>
      </c>
      <c r="S9" t="s">
        <v>215</v>
      </c>
      <c r="W9" s="12" t="s">
        <v>216</v>
      </c>
    </row>
    <row r="10" spans="2:25" ht="16.5">
      <c r="G10" s="71" t="str">
        <f>IFERROR(Table5[[#This Row],[Full name]],"")</f>
        <v>Nathan Fenske</v>
      </c>
      <c r="H10" s="56">
        <f>_xlfn.RANK.EQ(AllTime1[[#This Row],[All-time score]],AllTime1[All-time score],0)</f>
        <v>198</v>
      </c>
      <c r="I10" s="56">
        <f>_xlfn.XLOOKUP(AllTime1[[#This Row],[Name]],Table16[Name],Table16[Totals],"Error",0,1)</f>
        <v>3</v>
      </c>
      <c r="J10" s="72">
        <f>IF(ISNUMBER(AllTime1[[#This Row],[All-time rank]]), AllTime1[[#This Row],[All-time rank]] + ROW(AllTime1[[#This Row],[All-time rank]])/100000, 99999 + ROW(AllTime1[[#This Row],[All-time rank]])/100000)</f>
        <v>198.0001</v>
      </c>
      <c r="K10" s="69">
        <f>IF(ISNUMBER(AllTime1[[#This Row],[All-time score]]), AllTime1[[#This Row],[All-time score]] + ROW(AllTime1[[#This Row],[All-time score]])/100000000, 0 + ROW(AllTime1[[#This Row],[All-time score]])/1000000000)</f>
        <v>3.0000000999999998</v>
      </c>
      <c r="O10" s="113">
        <v>45979</v>
      </c>
      <c r="S10" t="s">
        <v>217</v>
      </c>
      <c r="W10" s="12" t="s">
        <v>218</v>
      </c>
    </row>
    <row r="11" spans="2:25" ht="16.5">
      <c r="G11" s="71" t="str">
        <f>IFERROR(Table5[[#This Row],[Full name]],"")</f>
        <v>Jackie Cai</v>
      </c>
      <c r="H11" s="56">
        <f>_xlfn.RANK.EQ(AllTime1[[#This Row],[All-time score]],AllTime1[All-time score],0)</f>
        <v>80</v>
      </c>
      <c r="I11" s="56">
        <f>_xlfn.XLOOKUP(AllTime1[[#This Row],[Name]],Table16[Name],Table16[Totals],"Error",0,1)</f>
        <v>21</v>
      </c>
      <c r="J11" s="72">
        <f>IF(ISNUMBER(AllTime1[[#This Row],[All-time rank]]), AllTime1[[#This Row],[All-time rank]] + ROW(AllTime1[[#This Row],[All-time rank]])/100000, 99999 + ROW(AllTime1[[#This Row],[All-time rank]])/100000)</f>
        <v>80.000110000000006</v>
      </c>
      <c r="K11" s="69">
        <f>IF(ISNUMBER(AllTime1[[#This Row],[All-time score]]), AllTime1[[#This Row],[All-time score]] + ROW(AllTime1[[#This Row],[All-time score]])/100000000, 0 + ROW(AllTime1[[#This Row],[All-time score]])/1000000000)</f>
        <v>21.000000109999998</v>
      </c>
      <c r="O11" s="113">
        <v>45981</v>
      </c>
      <c r="S11" t="s">
        <v>219</v>
      </c>
      <c r="W11" s="12" t="s">
        <v>220</v>
      </c>
    </row>
    <row r="12" spans="2:25" ht="16.5">
      <c r="G12" s="71" t="str">
        <f>IFERROR(Table5[[#This Row],[Full name]],"")</f>
        <v>Edward Dong</v>
      </c>
      <c r="H12" s="56">
        <f>_xlfn.RANK.EQ(AllTime1[[#This Row],[All-time score]],AllTime1[All-time score],0)</f>
        <v>100</v>
      </c>
      <c r="I12" s="56">
        <f>_xlfn.XLOOKUP(AllTime1[[#This Row],[Name]],Table16[Name],Table16[Totals],"Error",0,1)</f>
        <v>15</v>
      </c>
      <c r="J12" s="72">
        <f>IF(ISNUMBER(AllTime1[[#This Row],[All-time rank]]), AllTime1[[#This Row],[All-time rank]] + ROW(AllTime1[[#This Row],[All-time rank]])/100000, 99999 + ROW(AllTime1[[#This Row],[All-time rank]])/100000)</f>
        <v>100.00012</v>
      </c>
      <c r="K12" s="69">
        <f>IF(ISNUMBER(AllTime1[[#This Row],[All-time score]]), AllTime1[[#This Row],[All-time score]] + ROW(AllTime1[[#This Row],[All-time score]])/100000000, 0 + ROW(AllTime1[[#This Row],[All-time score]])/1000000000)</f>
        <v>15.000000119999999</v>
      </c>
      <c r="O12" s="113">
        <v>45988</v>
      </c>
      <c r="S12" t="s">
        <v>221</v>
      </c>
      <c r="W12" s="12" t="s">
        <v>222</v>
      </c>
    </row>
    <row r="13" spans="2:25" ht="16.5">
      <c r="G13" s="71" t="str">
        <f>IFERROR(Table5[[#This Row],[Full name]],"")</f>
        <v>Kaden Ali</v>
      </c>
      <c r="H13" s="56">
        <f>_xlfn.RANK.EQ(AllTime1[[#This Row],[All-time score]],AllTime1[All-time score],0)</f>
        <v>113</v>
      </c>
      <c r="I13" s="56">
        <f>_xlfn.XLOOKUP(AllTime1[[#This Row],[Name]],Table16[Name],Table16[Totals],"Error",0,1)</f>
        <v>13</v>
      </c>
      <c r="J13" s="72">
        <f>IF(ISNUMBER(AllTime1[[#This Row],[All-time rank]]), AllTime1[[#This Row],[All-time rank]] + ROW(AllTime1[[#This Row],[All-time rank]])/100000, 99999 + ROW(AllTime1[[#This Row],[All-time rank]])/100000)</f>
        <v>113.00013</v>
      </c>
      <c r="K13" s="69">
        <f>IF(ISNUMBER(AllTime1[[#This Row],[All-time score]]), AllTime1[[#This Row],[All-time score]] + ROW(AllTime1[[#This Row],[All-time score]])/100000000, 0 + ROW(AllTime1[[#This Row],[All-time score]])/1000000000)</f>
        <v>13.00000013</v>
      </c>
      <c r="O13" s="113">
        <v>45993</v>
      </c>
      <c r="S13" t="s">
        <v>223</v>
      </c>
    </row>
    <row r="14" spans="2:25" ht="16.5">
      <c r="G14" s="71" t="str">
        <f>IFERROR(Table5[[#This Row],[Full name]],"")</f>
        <v>Matthew Barclay</v>
      </c>
      <c r="H14" s="56">
        <f>_xlfn.RANK.EQ(AllTime1[[#This Row],[All-time score]],AllTime1[All-time score],0)</f>
        <v>22</v>
      </c>
      <c r="I14" s="56">
        <f>_xlfn.XLOOKUP(AllTime1[[#This Row],[Name]],Table16[Name],Table16[Totals],"Error",0,1)</f>
        <v>57</v>
      </c>
      <c r="J14" s="72">
        <f>IF(ISNUMBER(AllTime1[[#This Row],[All-time rank]]), AllTime1[[#This Row],[All-time rank]] + ROW(AllTime1[[#This Row],[All-time rank]])/100000, 99999 + ROW(AllTime1[[#This Row],[All-time rank]])/100000)</f>
        <v>22.000139999999998</v>
      </c>
      <c r="K14" s="69">
        <f>IF(ISNUMBER(AllTime1[[#This Row],[All-time score]]), AllTime1[[#This Row],[All-time score]] + ROW(AllTime1[[#This Row],[All-time score]])/100000000, 0 + ROW(AllTime1[[#This Row],[All-time score]])/1000000000)</f>
        <v>57.000000139999997</v>
      </c>
      <c r="O14" s="113">
        <v>46049</v>
      </c>
      <c r="S14" t="s">
        <v>224</v>
      </c>
    </row>
    <row r="15" spans="2:25" ht="16.5">
      <c r="G15" s="71" t="str">
        <f>IFERROR(Table5[[#This Row],[Full name]],"")</f>
        <v>Pavel Zykmund</v>
      </c>
      <c r="H15" s="56">
        <f>_xlfn.RANK.EQ(AllTime1[[#This Row],[All-time score]],AllTime1[All-time score],0)</f>
        <v>14</v>
      </c>
      <c r="I15" s="56">
        <f>_xlfn.XLOOKUP(AllTime1[[#This Row],[Name]],Table16[Name],Table16[Totals],"Error",0,1)</f>
        <v>66</v>
      </c>
      <c r="J15" s="72">
        <f>IF(ISNUMBER(AllTime1[[#This Row],[All-time rank]]), AllTime1[[#This Row],[All-time rank]] + ROW(AllTime1[[#This Row],[All-time rank]])/100000, 99999 + ROW(AllTime1[[#This Row],[All-time rank]])/100000)</f>
        <v>14.00015</v>
      </c>
      <c r="K15" s="69">
        <f>IF(ISNUMBER(AllTime1[[#This Row],[All-time score]]), AllTime1[[#This Row],[All-time score]] + ROW(AllTime1[[#This Row],[All-time score]])/100000000, 0 + ROW(AllTime1[[#This Row],[All-time score]])/1000000000)</f>
        <v>66.000000150000005</v>
      </c>
      <c r="O15" s="113">
        <v>46051</v>
      </c>
      <c r="S15" t="s">
        <v>225</v>
      </c>
    </row>
    <row r="16" spans="2:25" ht="16.5">
      <c r="G16" s="71" t="str">
        <f>IFERROR(Table5[[#This Row],[Full name]],"")</f>
        <v>Rita Shweihat</v>
      </c>
      <c r="H16" s="56">
        <f>_xlfn.RANK.EQ(AllTime1[[#This Row],[All-time score]],AllTime1[All-time score],0)</f>
        <v>96</v>
      </c>
      <c r="I16" s="56">
        <f>_xlfn.XLOOKUP(AllTime1[[#This Row],[Name]],Table16[Name],Table16[Totals],"Error",0,1)</f>
        <v>16</v>
      </c>
      <c r="J16" s="72">
        <f>IF(ISNUMBER(AllTime1[[#This Row],[All-time rank]]), AllTime1[[#This Row],[All-time rank]] + ROW(AllTime1[[#This Row],[All-time rank]])/100000, 99999 + ROW(AllTime1[[#This Row],[All-time rank]])/100000)</f>
        <v>96.000159999999994</v>
      </c>
      <c r="K16" s="69">
        <f>IF(ISNUMBER(AllTime1[[#This Row],[All-time score]]), AllTime1[[#This Row],[All-time score]] + ROW(AllTime1[[#This Row],[All-time score]])/100000000, 0 + ROW(AllTime1[[#This Row],[All-time score]])/1000000000)</f>
        <v>16.000000159999999</v>
      </c>
      <c r="O16" s="114">
        <v>46056</v>
      </c>
      <c r="S16" t="s">
        <v>226</v>
      </c>
    </row>
    <row r="17" spans="7:19" ht="16.5">
      <c r="G17" s="71" t="str">
        <f>IFERROR(Table5[[#This Row],[Full name]],"")</f>
        <v>Sam Ahn</v>
      </c>
      <c r="H17" s="56">
        <f>_xlfn.RANK.EQ(AllTime1[[#This Row],[All-time score]],AllTime1[All-time score],0)</f>
        <v>1</v>
      </c>
      <c r="I17" s="56">
        <f>_xlfn.XLOOKUP(AllTime1[[#This Row],[Name]],Table16[Name],Table16[Totals],"Error",0,1)</f>
        <v>216</v>
      </c>
      <c r="J17" s="72">
        <f>IF(ISNUMBER(AllTime1[[#This Row],[All-time rank]]), AllTime1[[#This Row],[All-time rank]] + ROW(AllTime1[[#This Row],[All-time rank]])/100000, 99999 + ROW(AllTime1[[#This Row],[All-time rank]])/100000)</f>
        <v>1.00017</v>
      </c>
      <c r="K17" s="69">
        <f>IF(ISNUMBER(AllTime1[[#This Row],[All-time score]]), AllTime1[[#This Row],[All-time score]] + ROW(AllTime1[[#This Row],[All-time score]])/100000000, 0 + ROW(AllTime1[[#This Row],[All-time score]])/1000000000)</f>
        <v>216.00000016999999</v>
      </c>
      <c r="O17" s="114">
        <v>46058</v>
      </c>
      <c r="S17" t="s">
        <v>227</v>
      </c>
    </row>
    <row r="18" spans="7:19" ht="16.5">
      <c r="G18" s="71" t="str">
        <f>IFERROR(Table5[[#This Row],[Full name]],"")</f>
        <v>Aidan Kwong</v>
      </c>
      <c r="H18" s="56">
        <f>_xlfn.RANK.EQ(AllTime1[[#This Row],[All-time score]],AllTime1[All-time score],0)</f>
        <v>22</v>
      </c>
      <c r="I18" s="56">
        <f>_xlfn.XLOOKUP(AllTime1[[#This Row],[Name]],Table16[Name],Table16[Totals],"Error",0,1)</f>
        <v>57</v>
      </c>
      <c r="J18" s="72">
        <f>IF(ISNUMBER(AllTime1[[#This Row],[All-time rank]]), AllTime1[[#This Row],[All-time rank]] + ROW(AllTime1[[#This Row],[All-time rank]])/100000, 99999 + ROW(AllTime1[[#This Row],[All-time rank]])/100000)</f>
        <v>22.00018</v>
      </c>
      <c r="K18" s="69">
        <f>IF(ISNUMBER(AllTime1[[#This Row],[All-time score]]), AllTime1[[#This Row],[All-time score]] + ROW(AllTime1[[#This Row],[All-time score]])/100000000, 0 + ROW(AllTime1[[#This Row],[All-time score]])/1000000000)</f>
        <v>57.000000180000001</v>
      </c>
      <c r="O18" s="113">
        <v>46063</v>
      </c>
      <c r="S18" t="s">
        <v>228</v>
      </c>
    </row>
    <row r="19" spans="7:19" ht="16.5">
      <c r="G19" s="71" t="str">
        <f>IFERROR(Table5[[#This Row],[Full name]],"")</f>
        <v>Eduard Zavedei</v>
      </c>
      <c r="H19" s="56">
        <f>_xlfn.RANK.EQ(AllTime1[[#This Row],[All-time score]],AllTime1[All-time score],0)</f>
        <v>220</v>
      </c>
      <c r="I19" s="56">
        <f>_xlfn.XLOOKUP(AllTime1[[#This Row],[Name]],Table16[Name],Table16[Totals],"Error",0,1)</f>
        <v>2</v>
      </c>
      <c r="J19" s="72">
        <f>IF(ISNUMBER(AllTime1[[#This Row],[All-time rank]]), AllTime1[[#This Row],[All-time rank]] + ROW(AllTime1[[#This Row],[All-time rank]])/100000, 99999 + ROW(AllTime1[[#This Row],[All-time rank]])/100000)</f>
        <v>220.00019</v>
      </c>
      <c r="K19" s="69">
        <f>IF(ISNUMBER(AllTime1[[#This Row],[All-time score]]), AllTime1[[#This Row],[All-time score]] + ROW(AllTime1[[#This Row],[All-time score]])/100000000, 0 + ROW(AllTime1[[#This Row],[All-time score]])/1000000000)</f>
        <v>2.0000001900000002</v>
      </c>
      <c r="O19" s="114">
        <v>46065</v>
      </c>
      <c r="S19" t="s">
        <v>229</v>
      </c>
    </row>
    <row r="20" spans="7:19" ht="16.5">
      <c r="G20" s="71" t="str">
        <f>IFERROR(Table5[[#This Row],[Full name]],"")</f>
        <v>Ohemaa Acheampong</v>
      </c>
      <c r="H20" s="56">
        <f>_xlfn.RANK.EQ(AllTime1[[#This Row],[All-time score]],AllTime1[All-time score],0)</f>
        <v>248</v>
      </c>
      <c r="I20" s="56">
        <f>_xlfn.XLOOKUP(AllTime1[[#This Row],[Name]],Table16[Name],Table16[Totals],"Error",0,1)</f>
        <v>1</v>
      </c>
      <c r="J20" s="72">
        <f>IF(ISNUMBER(AllTime1[[#This Row],[All-time rank]]), AllTime1[[#This Row],[All-time rank]] + ROW(AllTime1[[#This Row],[All-time rank]])/100000, 99999 + ROW(AllTime1[[#This Row],[All-time rank]])/100000)</f>
        <v>248.00020000000001</v>
      </c>
      <c r="K20" s="69">
        <f>IF(ISNUMBER(AllTime1[[#This Row],[All-time score]]), AllTime1[[#This Row],[All-time score]] + ROW(AllTime1[[#This Row],[All-time score]])/100000000, 0 + ROW(AllTime1[[#This Row],[All-time score]])/1000000000)</f>
        <v>1.0000001999999999</v>
      </c>
      <c r="O20" s="114">
        <v>46077</v>
      </c>
      <c r="S20" t="s">
        <v>230</v>
      </c>
    </row>
    <row r="21" spans="7:19" ht="16.5">
      <c r="G21" s="71" t="str">
        <f>IFERROR(Table5[[#This Row],[Full name]],"")</f>
        <v>Ben Bulyovsky</v>
      </c>
      <c r="H21" s="56">
        <f>_xlfn.RANK.EQ(AllTime1[[#This Row],[All-time score]],AllTime1[All-time score],0)</f>
        <v>177</v>
      </c>
      <c r="I21" s="56">
        <f>_xlfn.XLOOKUP(AllTime1[[#This Row],[Name]],Table16[Name],Table16[Totals],"Error",0,1)</f>
        <v>4</v>
      </c>
      <c r="J21" s="72">
        <f>IF(ISNUMBER(AllTime1[[#This Row],[All-time rank]]), AllTime1[[#This Row],[All-time rank]] + ROW(AllTime1[[#This Row],[All-time rank]])/100000, 99999 + ROW(AllTime1[[#This Row],[All-time rank]])/100000)</f>
        <v>177.00021000000001</v>
      </c>
      <c r="K21" s="69">
        <f>IF(ISNUMBER(AllTime1[[#This Row],[All-time score]]), AllTime1[[#This Row],[All-time score]] + ROW(AllTime1[[#This Row],[All-time score]])/100000000, 0 + ROW(AllTime1[[#This Row],[All-time score]])/1000000000)</f>
        <v>4.0000002099999996</v>
      </c>
      <c r="O21" s="114">
        <v>46079</v>
      </c>
      <c r="S21" t="s">
        <v>231</v>
      </c>
    </row>
    <row r="22" spans="7:19" ht="16.5">
      <c r="G22" s="71" t="str">
        <f>IFERROR(Table5[[#This Row],[Full name]],"")</f>
        <v>Brock Suidgeest</v>
      </c>
      <c r="H22" s="56">
        <f>_xlfn.RANK.EQ(AllTime1[[#This Row],[All-time score]],AllTime1[All-time score],0)</f>
        <v>113</v>
      </c>
      <c r="I22" s="56">
        <f>_xlfn.XLOOKUP(AllTime1[[#This Row],[Name]],Table16[Name],Table16[Totals],"Error",0,1)</f>
        <v>13</v>
      </c>
      <c r="J22" s="72">
        <f>IF(ISNUMBER(AllTime1[[#This Row],[All-time rank]]), AllTime1[[#This Row],[All-time rank]] + ROW(AllTime1[[#This Row],[All-time rank]])/100000, 99999 + ROW(AllTime1[[#This Row],[All-time rank]])/100000)</f>
        <v>113.00022</v>
      </c>
      <c r="K22" s="69">
        <f>IF(ISNUMBER(AllTime1[[#This Row],[All-time score]]), AllTime1[[#This Row],[All-time score]] + ROW(AllTime1[[#This Row],[All-time score]])/100000000, 0 + ROW(AllTime1[[#This Row],[All-time score]])/1000000000)</f>
        <v>13.00000022</v>
      </c>
      <c r="O22" s="114">
        <v>46084</v>
      </c>
      <c r="S22" t="s">
        <v>232</v>
      </c>
    </row>
    <row r="23" spans="7:19" ht="16.5">
      <c r="G23" s="71" t="str">
        <f>IFERROR(Table5[[#This Row],[Full name]],"")</f>
        <v>Cyrus Bechtold</v>
      </c>
      <c r="H23" s="56">
        <f>_xlfn.RANK.EQ(AllTime1[[#This Row],[All-time score]],AllTime1[All-time score],0)</f>
        <v>67</v>
      </c>
      <c r="I23" s="56">
        <f>_xlfn.XLOOKUP(AllTime1[[#This Row],[Name]],Table16[Name],Table16[Totals],"Error",0,1)</f>
        <v>24</v>
      </c>
      <c r="J23" s="72">
        <f>IF(ISNUMBER(AllTime1[[#This Row],[All-time rank]]), AllTime1[[#This Row],[All-time rank]] + ROW(AllTime1[[#This Row],[All-time rank]])/100000, 99999 + ROW(AllTime1[[#This Row],[All-time rank]])/100000)</f>
        <v>67.000230000000002</v>
      </c>
      <c r="K23" s="69">
        <f>IF(ISNUMBER(AllTime1[[#This Row],[All-time score]]), AllTime1[[#This Row],[All-time score]] + ROW(AllTime1[[#This Row],[All-time score]])/100000000, 0 + ROW(AllTime1[[#This Row],[All-time score]])/1000000000)</f>
        <v>24.000000230000001</v>
      </c>
      <c r="O23" s="114">
        <v>46086</v>
      </c>
      <c r="S23" t="s">
        <v>233</v>
      </c>
    </row>
    <row r="24" spans="7:19" ht="16.5">
      <c r="G24" s="71" t="str">
        <f>IFERROR(Table5[[#This Row],[Full name]],"")</f>
        <v>Jillian Ouyang</v>
      </c>
      <c r="H24" s="56">
        <f>_xlfn.RANK.EQ(AllTime1[[#This Row],[All-time score]],AllTime1[All-time score],0)</f>
        <v>147</v>
      </c>
      <c r="I24" s="56">
        <f>_xlfn.XLOOKUP(AllTime1[[#This Row],[Name]],Table16[Name],Table16[Totals],"Error",0,1)</f>
        <v>9</v>
      </c>
      <c r="J24" s="72">
        <f>IF(ISNUMBER(AllTime1[[#This Row],[All-time rank]]), AllTime1[[#This Row],[All-time rank]] + ROW(AllTime1[[#This Row],[All-time rank]])/100000, 99999 + ROW(AllTime1[[#This Row],[All-time rank]])/100000)</f>
        <v>147.00023999999999</v>
      </c>
      <c r="K24" s="69">
        <f>IF(ISNUMBER(AllTime1[[#This Row],[All-time score]]), AllTime1[[#This Row],[All-time score]] + ROW(AllTime1[[#This Row],[All-time score]])/100000000, 0 + ROW(AllTime1[[#This Row],[All-time score]])/1000000000)</f>
        <v>9.0000002400000003</v>
      </c>
      <c r="O24" s="114">
        <v>46091</v>
      </c>
    </row>
    <row r="25" spans="7:19" ht="16.5">
      <c r="G25" s="71" t="str">
        <f>IFERROR(Table5[[#This Row],[Full name]],"")</f>
        <v>Rohan Mandi</v>
      </c>
      <c r="H25" s="56">
        <f>_xlfn.RANK.EQ(AllTime1[[#This Row],[All-time score]],AllTime1[All-time score],0)</f>
        <v>87</v>
      </c>
      <c r="I25" s="56">
        <f>_xlfn.XLOOKUP(AllTime1[[#This Row],[Name]],Table16[Name],Table16[Totals],"Error",0,1)</f>
        <v>18</v>
      </c>
      <c r="J25" s="72">
        <f>IF(ISNUMBER(AllTime1[[#This Row],[All-time rank]]), AllTime1[[#This Row],[All-time rank]] + ROW(AllTime1[[#This Row],[All-time rank]])/100000, 99999 + ROW(AllTime1[[#This Row],[All-time rank]])/100000)</f>
        <v>87.000249999999994</v>
      </c>
      <c r="K25" s="69">
        <f>IF(ISNUMBER(AllTime1[[#This Row],[All-time score]]), AllTime1[[#This Row],[All-time score]] + ROW(AllTime1[[#This Row],[All-time score]])/100000000, 0 + ROW(AllTime1[[#This Row],[All-time score]])/1000000000)</f>
        <v>18.000000249999999</v>
      </c>
      <c r="O25" s="114">
        <v>46093</v>
      </c>
    </row>
    <row r="26" spans="7:19" ht="16.5">
      <c r="G26" s="71" t="str">
        <f>IFERROR(Table5[[#This Row],[Full name]],"")</f>
        <v>Ethan Kim</v>
      </c>
      <c r="H26" s="56">
        <f>_xlfn.RANK.EQ(AllTime1[[#This Row],[All-time score]],AllTime1[All-time score],0)</f>
        <v>248</v>
      </c>
      <c r="I26" s="56">
        <f>_xlfn.XLOOKUP(AllTime1[[#This Row],[Name]],Table16[Name],Table16[Totals],"Error",0,1)</f>
        <v>1</v>
      </c>
      <c r="J26" s="72">
        <f>IF(ISNUMBER(AllTime1[[#This Row],[All-time rank]]), AllTime1[[#This Row],[All-time rank]] + ROW(AllTime1[[#This Row],[All-time rank]])/100000, 99999 + ROW(AllTime1[[#This Row],[All-time rank]])/100000)</f>
        <v>248.00026</v>
      </c>
      <c r="K26" s="69">
        <f>IF(ISNUMBER(AllTime1[[#This Row],[All-time score]]), AllTime1[[#This Row],[All-time score]] + ROW(AllTime1[[#This Row],[All-time score]])/100000000, 0 + ROW(AllTime1[[#This Row],[All-time score]])/1000000000)</f>
        <v>1.00000026</v>
      </c>
      <c r="O26" s="114">
        <v>46098</v>
      </c>
    </row>
    <row r="27" spans="7:19" ht="16.5">
      <c r="G27" s="71" t="str">
        <f>IFERROR(Table5[[#This Row],[Full name]],"")</f>
        <v>Kyler See</v>
      </c>
      <c r="H27" s="56">
        <f>_xlfn.RANK.EQ(AllTime1[[#This Row],[All-time score]],AllTime1[All-time score],0)</f>
        <v>198</v>
      </c>
      <c r="I27" s="56">
        <f>_xlfn.XLOOKUP(AllTime1[[#This Row],[Name]],Table16[Name],Table16[Totals],"Error",0,1)</f>
        <v>3</v>
      </c>
      <c r="J27" s="72">
        <f>IF(ISNUMBER(AllTime1[[#This Row],[All-time rank]]), AllTime1[[#This Row],[All-time rank]] + ROW(AllTime1[[#This Row],[All-time rank]])/100000, 99999 + ROW(AllTime1[[#This Row],[All-time rank]])/100000)</f>
        <v>198.00027</v>
      </c>
      <c r="K27" s="69">
        <f>IF(ISNUMBER(AllTime1[[#This Row],[All-time score]]), AllTime1[[#This Row],[All-time score]] + ROW(AllTime1[[#This Row],[All-time score]])/100000000, 0 + ROW(AllTime1[[#This Row],[All-time score]])/1000000000)</f>
        <v>3.0000002700000001</v>
      </c>
      <c r="O27" s="114">
        <v>46100</v>
      </c>
    </row>
    <row r="28" spans="7:19" ht="16.5">
      <c r="G28" s="71" t="str">
        <f>IFERROR(Table5[[#This Row],[Full name]],"")</f>
        <v>Aaron Kara</v>
      </c>
      <c r="H28" s="56">
        <f>_xlfn.RANK.EQ(AllTime1[[#This Row],[All-time score]],AllTime1[All-time score],0)</f>
        <v>159</v>
      </c>
      <c r="I28" s="56">
        <f>_xlfn.XLOOKUP(AllTime1[[#This Row],[Name]],Table16[Name],Table16[Totals],"Error",0,1)</f>
        <v>6</v>
      </c>
      <c r="J28" s="72">
        <f>IF(ISNUMBER(AllTime1[[#This Row],[All-time rank]]), AllTime1[[#This Row],[All-time rank]] + ROW(AllTime1[[#This Row],[All-time rank]])/100000, 99999 + ROW(AllTime1[[#This Row],[All-time rank]])/100000)</f>
        <v>159.00028</v>
      </c>
      <c r="K28" s="69">
        <f>IF(ISNUMBER(AllTime1[[#This Row],[All-time score]]), AllTime1[[#This Row],[All-time score]] + ROW(AllTime1[[#This Row],[All-time score]])/100000000, 0 + ROW(AllTime1[[#This Row],[All-time score]])/1000000000)</f>
        <v>6.0000002800000001</v>
      </c>
      <c r="O28" s="114">
        <v>46105</v>
      </c>
    </row>
    <row r="29" spans="7:19" ht="16.5">
      <c r="G29" s="71" t="str">
        <f>IFERROR(Table5[[#This Row],[Full name]],"")</f>
        <v>Aiden Ko</v>
      </c>
      <c r="H29" s="56">
        <f>_xlfn.RANK.EQ(AllTime1[[#This Row],[All-time score]],AllTime1[All-time score],0)</f>
        <v>300</v>
      </c>
      <c r="I29" s="56">
        <f>_xlfn.XLOOKUP(AllTime1[[#This Row],[Name]],Table16[Name],Table16[Totals],"Error",0,1)</f>
        <v>0</v>
      </c>
      <c r="J29" s="72">
        <f>IF(ISNUMBER(AllTime1[[#This Row],[All-time rank]]), AllTime1[[#This Row],[All-time rank]] + ROW(AllTime1[[#This Row],[All-time rank]])/100000, 99999 + ROW(AllTime1[[#This Row],[All-time rank]])/100000)</f>
        <v>300.00029000000001</v>
      </c>
      <c r="K29" s="69">
        <f>IF(ISNUMBER(AllTime1[[#This Row],[All-time score]]), AllTime1[[#This Row],[All-time score]] + ROW(AllTime1[[#This Row],[All-time score]])/100000000, 0 + ROW(AllTime1[[#This Row],[All-time score]])/1000000000)</f>
        <v>2.8999999999999998E-7</v>
      </c>
      <c r="O29" s="114">
        <v>46107</v>
      </c>
    </row>
    <row r="30" spans="7:19" ht="16.5">
      <c r="G30" s="71" t="str">
        <f>IFERROR(Table5[[#This Row],[Full name]],"")</f>
        <v>Allen Liu</v>
      </c>
      <c r="H30" s="56">
        <f>_xlfn.RANK.EQ(AllTime1[[#This Row],[All-time score]],AllTime1[All-time score],0)</f>
        <v>57</v>
      </c>
      <c r="I30" s="56">
        <f>_xlfn.XLOOKUP(AllTime1[[#This Row],[Name]],Table16[Name],Table16[Totals],"Error",0,1)</f>
        <v>28</v>
      </c>
      <c r="J30" s="72">
        <f>IF(ISNUMBER(AllTime1[[#This Row],[All-time rank]]), AllTime1[[#This Row],[All-time rank]] + ROW(AllTime1[[#This Row],[All-time rank]])/100000, 99999 + ROW(AllTime1[[#This Row],[All-time rank]])/100000)</f>
        <v>57.000300000000003</v>
      </c>
      <c r="K30" s="69">
        <f>IF(ISNUMBER(AllTime1[[#This Row],[All-time score]]), AllTime1[[#This Row],[All-time score]] + ROW(AllTime1[[#This Row],[All-time score]])/100000000, 0 + ROW(AllTime1[[#This Row],[All-time score]])/1000000000)</f>
        <v>28.0000003</v>
      </c>
      <c r="O30" s="113">
        <v>46112</v>
      </c>
    </row>
    <row r="31" spans="7:19" ht="16.5">
      <c r="G31" s="71" t="str">
        <f>IFERROR(Table5[[#This Row],[Full name]],"")</f>
        <v>Aman Bains</v>
      </c>
      <c r="H31" s="56">
        <f>_xlfn.RANK.EQ(AllTime1[[#This Row],[All-time score]],AllTime1[All-time score],0)</f>
        <v>300</v>
      </c>
      <c r="I31" s="56">
        <f>_xlfn.XLOOKUP(AllTime1[[#This Row],[Name]],Table16[Name],Table16[Totals],"Error",0,1)</f>
        <v>0</v>
      </c>
      <c r="J31" s="72">
        <f>IF(ISNUMBER(AllTime1[[#This Row],[All-time rank]]), AllTime1[[#This Row],[All-time rank]] + ROW(AllTime1[[#This Row],[All-time rank]])/100000, 99999 + ROW(AllTime1[[#This Row],[All-time rank]])/100000)</f>
        <v>300.00031000000001</v>
      </c>
      <c r="K31" s="69">
        <f>IF(ISNUMBER(AllTime1[[#This Row],[All-time score]]), AllTime1[[#This Row],[All-time score]] + ROW(AllTime1[[#This Row],[All-time score]])/100000000, 0 + ROW(AllTime1[[#This Row],[All-time score]])/1000000000)</f>
        <v>3.1E-7</v>
      </c>
      <c r="O31" s="114">
        <v>46114</v>
      </c>
    </row>
    <row r="32" spans="7:19" ht="16.5">
      <c r="G32" s="71" t="str">
        <f>IFERROR(Table5[[#This Row],[Full name]],"")</f>
        <v>Anna Yu</v>
      </c>
      <c r="H32" s="56">
        <f>_xlfn.RANK.EQ(AllTime1[[#This Row],[All-time score]],AllTime1[All-time score],0)</f>
        <v>55</v>
      </c>
      <c r="I32" s="56">
        <f>_xlfn.XLOOKUP(AllTime1[[#This Row],[Name]],Table16[Name],Table16[Totals],"Error",0,1)</f>
        <v>29</v>
      </c>
      <c r="J32" s="72">
        <f>IF(ISNUMBER(AllTime1[[#This Row],[All-time rank]]), AllTime1[[#This Row],[All-time rank]] + ROW(AllTime1[[#This Row],[All-time rank]])/100000, 99999 + ROW(AllTime1[[#This Row],[All-time rank]])/100000)</f>
        <v>55.000320000000002</v>
      </c>
      <c r="K32" s="69">
        <f>IF(ISNUMBER(AllTime1[[#This Row],[All-time score]]), AllTime1[[#This Row],[All-time score]] + ROW(AllTime1[[#This Row],[All-time score]])/100000000, 0 + ROW(AllTime1[[#This Row],[All-time score]])/1000000000)</f>
        <v>29.000000320000002</v>
      </c>
      <c r="O32" s="114">
        <v>46119</v>
      </c>
    </row>
    <row r="33" spans="7:15" ht="16.5">
      <c r="G33" s="71" t="str">
        <f>IFERROR(Table5[[#This Row],[Full name]],"")</f>
        <v>Carson Cull</v>
      </c>
      <c r="H33" s="56">
        <f>_xlfn.RANK.EQ(AllTime1[[#This Row],[All-time score]],AllTime1[All-time score],0)</f>
        <v>100</v>
      </c>
      <c r="I33" s="56">
        <f>_xlfn.XLOOKUP(AllTime1[[#This Row],[Name]],Table16[Name],Table16[Totals],"Error",0,1)</f>
        <v>15</v>
      </c>
      <c r="J33" s="72">
        <f>IF(ISNUMBER(AllTime1[[#This Row],[All-time rank]]), AllTime1[[#This Row],[All-time rank]] + ROW(AllTime1[[#This Row],[All-time rank]])/100000, 99999 + ROW(AllTime1[[#This Row],[All-time rank]])/100000)</f>
        <v>100.00033000000001</v>
      </c>
      <c r="K33" s="69">
        <f>IF(ISNUMBER(AllTime1[[#This Row],[All-time score]]), AllTime1[[#This Row],[All-time score]] + ROW(AllTime1[[#This Row],[All-time score]])/100000000, 0 + ROW(AllTime1[[#This Row],[All-time score]])/1000000000)</f>
        <v>15.000000330000001</v>
      </c>
      <c r="O33" s="114">
        <v>46121</v>
      </c>
    </row>
    <row r="34" spans="7:15" ht="16.5">
      <c r="G34" s="71" t="str">
        <f>IFERROR(Table5[[#This Row],[Full name]],"")</f>
        <v>Cole Eisen</v>
      </c>
      <c r="H34" s="56">
        <f>_xlfn.RANK.EQ(AllTime1[[#This Row],[All-time score]],AllTime1[All-time score],0)</f>
        <v>159</v>
      </c>
      <c r="I34" s="56">
        <f>_xlfn.XLOOKUP(AllTime1[[#This Row],[Name]],Table16[Name],Table16[Totals],"Error",0,1)</f>
        <v>6</v>
      </c>
      <c r="J34" s="72">
        <f>IF(ISNUMBER(AllTime1[[#This Row],[All-time rank]]), AllTime1[[#This Row],[All-time rank]] + ROW(AllTime1[[#This Row],[All-time rank]])/100000, 99999 + ROW(AllTime1[[#This Row],[All-time rank]])/100000)</f>
        <v>159.00033999999999</v>
      </c>
      <c r="K34" s="69">
        <f>IF(ISNUMBER(AllTime1[[#This Row],[All-time score]]), AllTime1[[#This Row],[All-time score]] + ROW(AllTime1[[#This Row],[All-time score]])/100000000, 0 + ROW(AllTime1[[#This Row],[All-time score]])/1000000000)</f>
        <v>6.0000003399999997</v>
      </c>
    </row>
    <row r="35" spans="7:15" ht="16.5">
      <c r="G35" s="71" t="str">
        <f>IFERROR(Table5[[#This Row],[Full name]],"")</f>
        <v>Cole Korchinski</v>
      </c>
      <c r="H35" s="56">
        <f>_xlfn.RANK.EQ(AllTime1[[#This Row],[All-time score]],AllTime1[All-time score],0)</f>
        <v>154</v>
      </c>
      <c r="I35" s="56">
        <f>_xlfn.XLOOKUP(AllTime1[[#This Row],[Name]],Table16[Name],Table16[Totals],"Error",0,1)</f>
        <v>8</v>
      </c>
      <c r="J35" s="72">
        <f>IF(ISNUMBER(AllTime1[[#This Row],[All-time rank]]), AllTime1[[#This Row],[All-time rank]] + ROW(AllTime1[[#This Row],[All-time rank]])/100000, 99999 + ROW(AllTime1[[#This Row],[All-time rank]])/100000)</f>
        <v>154.00035</v>
      </c>
      <c r="K35" s="69">
        <f>IF(ISNUMBER(AllTime1[[#This Row],[All-time score]]), AllTime1[[#This Row],[All-time score]] + ROW(AllTime1[[#This Row],[All-time score]])/100000000, 0 + ROW(AllTime1[[#This Row],[All-time score]])/1000000000)</f>
        <v>8.0000003500000005</v>
      </c>
    </row>
    <row r="36" spans="7:15" ht="16.5">
      <c r="G36" s="71" t="str">
        <f>IFERROR(Table5[[#This Row],[Full name]],"")</f>
        <v>Damon Deng</v>
      </c>
      <c r="H36" s="56">
        <f>_xlfn.RANK.EQ(AllTime1[[#This Row],[All-time score]],AllTime1[All-time score],0)</f>
        <v>57</v>
      </c>
      <c r="I36" s="56">
        <f>_xlfn.XLOOKUP(AllTime1[[#This Row],[Name]],Table16[Name],Table16[Totals],"Error",0,1)</f>
        <v>28</v>
      </c>
      <c r="J36" s="72">
        <f>IF(ISNUMBER(AllTime1[[#This Row],[All-time rank]]), AllTime1[[#This Row],[All-time rank]] + ROW(AllTime1[[#This Row],[All-time rank]])/100000, 99999 + ROW(AllTime1[[#This Row],[All-time rank]])/100000)</f>
        <v>57.000360000000001</v>
      </c>
      <c r="K36" s="69">
        <f>IF(ISNUMBER(AllTime1[[#This Row],[All-time score]]), AllTime1[[#This Row],[All-time score]] + ROW(AllTime1[[#This Row],[All-time score]])/100000000, 0 + ROW(AllTime1[[#This Row],[All-time score]])/1000000000)</f>
        <v>28.000000360000001</v>
      </c>
    </row>
    <row r="37" spans="7:15" ht="16.5">
      <c r="G37" s="71" t="str">
        <f>IFERROR(Table5[[#This Row],[Full name]],"")</f>
        <v>Daniel Dillabough</v>
      </c>
      <c r="H37" s="56">
        <f>_xlfn.RANK.EQ(AllTime1[[#This Row],[All-time score]],AllTime1[All-time score],0)</f>
        <v>113</v>
      </c>
      <c r="I37" s="56">
        <f>_xlfn.XLOOKUP(AllTime1[[#This Row],[Name]],Table16[Name],Table16[Totals],"Error",0,1)</f>
        <v>13</v>
      </c>
      <c r="J37" s="72">
        <f>IF(ISNUMBER(AllTime1[[#This Row],[All-time rank]]), AllTime1[[#This Row],[All-time rank]] + ROW(AllTime1[[#This Row],[All-time rank]])/100000, 99999 + ROW(AllTime1[[#This Row],[All-time rank]])/100000)</f>
        <v>113.00037</v>
      </c>
      <c r="K37" s="69">
        <f>IF(ISNUMBER(AllTime1[[#This Row],[All-time score]]), AllTime1[[#This Row],[All-time score]] + ROW(AllTime1[[#This Row],[All-time score]])/100000000, 0 + ROW(AllTime1[[#This Row],[All-time score]])/1000000000)</f>
        <v>13.00000037</v>
      </c>
    </row>
    <row r="38" spans="7:15" ht="16.5">
      <c r="G38" s="71" t="str">
        <f>IFERROR(Table5[[#This Row],[Full name]],"")</f>
        <v>Darren Poku</v>
      </c>
      <c r="H38" s="56">
        <f>_xlfn.RANK.EQ(AllTime1[[#This Row],[All-time score]],AllTime1[All-time score],0)</f>
        <v>107</v>
      </c>
      <c r="I38" s="56">
        <f>_xlfn.XLOOKUP(AllTime1[[#This Row],[Name]],Table16[Name],Table16[Totals],"Error",0,1)</f>
        <v>14</v>
      </c>
      <c r="J38" s="72">
        <f>IF(ISNUMBER(AllTime1[[#This Row],[All-time rank]]), AllTime1[[#This Row],[All-time rank]] + ROW(AllTime1[[#This Row],[All-time rank]])/100000, 99999 + ROW(AllTime1[[#This Row],[All-time rank]])/100000)</f>
        <v>107.00038000000001</v>
      </c>
      <c r="K38" s="69">
        <f>IF(ISNUMBER(AllTime1[[#This Row],[All-time score]]), AllTime1[[#This Row],[All-time score]] + ROW(AllTime1[[#This Row],[All-time score]])/100000000, 0 + ROW(AllTime1[[#This Row],[All-time score]])/1000000000)</f>
        <v>14.000000379999999</v>
      </c>
    </row>
    <row r="39" spans="7:15" ht="16.5">
      <c r="G39" s="71" t="str">
        <f>IFERROR(Table5[[#This Row],[Full name]],"")</f>
        <v>Dikang Fu</v>
      </c>
      <c r="H39" s="56">
        <f>_xlfn.RANK.EQ(AllTime1[[#This Row],[All-time score]],AllTime1[All-time score],0)</f>
        <v>30</v>
      </c>
      <c r="I39" s="56">
        <f>_xlfn.XLOOKUP(AllTime1[[#This Row],[Name]],Table16[Name],Table16[Totals],"Error",0,1)</f>
        <v>50</v>
      </c>
      <c r="J39" s="72">
        <f>IF(ISNUMBER(AllTime1[[#This Row],[All-time rank]]), AllTime1[[#This Row],[All-time rank]] + ROW(AllTime1[[#This Row],[All-time rank]])/100000, 99999 + ROW(AllTime1[[#This Row],[All-time rank]])/100000)</f>
        <v>30.000389999999999</v>
      </c>
      <c r="K39" s="69">
        <f>IF(ISNUMBER(AllTime1[[#This Row],[All-time score]]), AllTime1[[#This Row],[All-time score]] + ROW(AllTime1[[#This Row],[All-time score]])/100000000, 0 + ROW(AllTime1[[#This Row],[All-time score]])/1000000000)</f>
        <v>50.000000389999997</v>
      </c>
    </row>
    <row r="40" spans="7:15" ht="16.5">
      <c r="G40" s="71" t="str">
        <f>IFERROR(Table5[[#This Row],[Full name]],"")</f>
        <v>Elliott Beames</v>
      </c>
      <c r="H40" s="56">
        <f>_xlfn.RANK.EQ(AllTime1[[#This Row],[All-time score]],AllTime1[All-time score],0)</f>
        <v>6</v>
      </c>
      <c r="I40" s="56">
        <f>_xlfn.XLOOKUP(AllTime1[[#This Row],[Name]],Table16[Name],Table16[Totals],"Error",0,1)</f>
        <v>94</v>
      </c>
      <c r="J40" s="72">
        <f>IF(ISNUMBER(AllTime1[[#This Row],[All-time rank]]), AllTime1[[#This Row],[All-time rank]] + ROW(AllTime1[[#This Row],[All-time rank]])/100000, 99999 + ROW(AllTime1[[#This Row],[All-time rank]])/100000)</f>
        <v>6.0004</v>
      </c>
      <c r="K40" s="69">
        <f>IF(ISNUMBER(AllTime1[[#This Row],[All-time score]]), AllTime1[[#This Row],[All-time score]] + ROW(AllTime1[[#This Row],[All-time score]])/100000000, 0 + ROW(AllTime1[[#This Row],[All-time score]])/1000000000)</f>
        <v>94.000000400000005</v>
      </c>
    </row>
    <row r="41" spans="7:15" ht="16.5">
      <c r="G41" s="71" t="str">
        <f>IFERROR(Table5[[#This Row],[Full name]],"")</f>
        <v>Emma Sproxton</v>
      </c>
      <c r="H41" s="56">
        <f>_xlfn.RANK.EQ(AllTime1[[#This Row],[All-time score]],AllTime1[All-time score],0)</f>
        <v>37</v>
      </c>
      <c r="I41" s="56">
        <f>_xlfn.XLOOKUP(AllTime1[[#This Row],[Name]],Table16[Name],Table16[Totals],"Error",0,1)</f>
        <v>39</v>
      </c>
      <c r="J41" s="72">
        <f>IF(ISNUMBER(AllTime1[[#This Row],[All-time rank]]), AllTime1[[#This Row],[All-time rank]] + ROW(AllTime1[[#This Row],[All-time rank]])/100000, 99999 + ROW(AllTime1[[#This Row],[All-time rank]])/100000)</f>
        <v>37.000410000000002</v>
      </c>
      <c r="K41" s="69">
        <f>IF(ISNUMBER(AllTime1[[#This Row],[All-time score]]), AllTime1[[#This Row],[All-time score]] + ROW(AllTime1[[#This Row],[All-time score]])/100000000, 0 + ROW(AllTime1[[#This Row],[All-time score]])/1000000000)</f>
        <v>39.000000409999998</v>
      </c>
    </row>
    <row r="42" spans="7:15" ht="16.5">
      <c r="G42" s="71" t="str">
        <f>IFERROR(Table5[[#This Row],[Full name]],"")</f>
        <v>Forrest Hermary</v>
      </c>
      <c r="H42" s="56">
        <f>_xlfn.RANK.EQ(AllTime1[[#This Row],[All-time score]],AllTime1[All-time score],0)</f>
        <v>107</v>
      </c>
      <c r="I42" s="56">
        <f>_xlfn.XLOOKUP(AllTime1[[#This Row],[Name]],Table16[Name],Table16[Totals],"Error",0,1)</f>
        <v>14</v>
      </c>
      <c r="J42" s="72">
        <f>IF(ISNUMBER(AllTime1[[#This Row],[All-time rank]]), AllTime1[[#This Row],[All-time rank]] + ROW(AllTime1[[#This Row],[All-time rank]])/100000, 99999 + ROW(AllTime1[[#This Row],[All-time rank]])/100000)</f>
        <v>107.00042000000001</v>
      </c>
      <c r="K42" s="69">
        <f>IF(ISNUMBER(AllTime1[[#This Row],[All-time score]]), AllTime1[[#This Row],[All-time score]] + ROW(AllTime1[[#This Row],[All-time score]])/100000000, 0 + ROW(AllTime1[[#This Row],[All-time score]])/1000000000)</f>
        <v>14.000000419999999</v>
      </c>
    </row>
    <row r="43" spans="7:15" ht="16.5">
      <c r="G43" s="71" t="str">
        <f>IFERROR(Table5[[#This Row],[Full name]],"")</f>
        <v>Hao Bai</v>
      </c>
      <c r="H43" s="56">
        <f>_xlfn.RANK.EQ(AllTime1[[#This Row],[All-time score]],AllTime1[All-time score],0)</f>
        <v>136</v>
      </c>
      <c r="I43" s="56">
        <f>_xlfn.XLOOKUP(AllTime1[[#This Row],[Name]],Table16[Name],Table16[Totals],"Error",0,1)</f>
        <v>10</v>
      </c>
      <c r="J43" s="72">
        <f>IF(ISNUMBER(AllTime1[[#This Row],[All-time rank]]), AllTime1[[#This Row],[All-time rank]] + ROW(AllTime1[[#This Row],[All-time rank]])/100000, 99999 + ROW(AllTime1[[#This Row],[All-time rank]])/100000)</f>
        <v>136.00042999999999</v>
      </c>
      <c r="K43" s="69">
        <f>IF(ISNUMBER(AllTime1[[#This Row],[All-time score]]), AllTime1[[#This Row],[All-time score]] + ROW(AllTime1[[#This Row],[All-time score]])/100000000, 0 + ROW(AllTime1[[#This Row],[All-time score]])/1000000000)</f>
        <v>10.00000043</v>
      </c>
    </row>
    <row r="44" spans="7:15" ht="16.5">
      <c r="G44" s="71" t="str">
        <f>IFERROR(Table5[[#This Row],[Full name]],"")</f>
        <v>Himaksh Talreja</v>
      </c>
      <c r="H44" s="56">
        <f>_xlfn.RANK.EQ(AllTime1[[#This Row],[All-time score]],AllTime1[All-time score],0)</f>
        <v>159</v>
      </c>
      <c r="I44" s="56">
        <f>_xlfn.XLOOKUP(AllTime1[[#This Row],[Name]],Table16[Name],Table16[Totals],"Error",0,1)</f>
        <v>6</v>
      </c>
      <c r="J44" s="72">
        <f>IF(ISNUMBER(AllTime1[[#This Row],[All-time rank]]), AllTime1[[#This Row],[All-time rank]] + ROW(AllTime1[[#This Row],[All-time rank]])/100000, 99999 + ROW(AllTime1[[#This Row],[All-time rank]])/100000)</f>
        <v>159.00044</v>
      </c>
      <c r="K44" s="69">
        <f>IF(ISNUMBER(AllTime1[[#This Row],[All-time score]]), AllTime1[[#This Row],[All-time score]] + ROW(AllTime1[[#This Row],[All-time score]])/100000000, 0 + ROW(AllTime1[[#This Row],[All-time score]])/1000000000)</f>
        <v>6.00000044</v>
      </c>
    </row>
    <row r="45" spans="7:15" ht="16.5">
      <c r="G45" s="71" t="str">
        <f>IFERROR(Table5[[#This Row],[Full name]],"")</f>
        <v>James Kilfoil</v>
      </c>
      <c r="H45" s="56">
        <f>_xlfn.RANK.EQ(AllTime1[[#This Row],[All-time score]],AllTime1[All-time score],0)</f>
        <v>113</v>
      </c>
      <c r="I45" s="56">
        <f>_xlfn.XLOOKUP(AllTime1[[#This Row],[Name]],Table16[Name],Table16[Totals],"Error",0,1)</f>
        <v>13</v>
      </c>
      <c r="J45" s="72">
        <f>IF(ISNUMBER(AllTime1[[#This Row],[All-time rank]]), AllTime1[[#This Row],[All-time rank]] + ROW(AllTime1[[#This Row],[All-time rank]])/100000, 99999 + ROW(AllTime1[[#This Row],[All-time rank]])/100000)</f>
        <v>113.00045</v>
      </c>
      <c r="K45" s="69">
        <f>IF(ISNUMBER(AllTime1[[#This Row],[All-time score]]), AllTime1[[#This Row],[All-time score]] + ROW(AllTime1[[#This Row],[All-time score]])/100000000, 0 + ROW(AllTime1[[#This Row],[All-time score]])/1000000000)</f>
        <v>13.00000045</v>
      </c>
    </row>
    <row r="46" spans="7:15" ht="16.5">
      <c r="G46" s="71" t="str">
        <f>IFERROR(Table5[[#This Row],[Full name]],"")</f>
        <v>Jared Lipski</v>
      </c>
      <c r="H46" s="56">
        <f>_xlfn.RANK.EQ(AllTime1[[#This Row],[All-time score]],AllTime1[All-time score],0)</f>
        <v>87</v>
      </c>
      <c r="I46" s="56">
        <f>_xlfn.XLOOKUP(AllTime1[[#This Row],[Name]],Table16[Name],Table16[Totals],"Error",0,1)</f>
        <v>18</v>
      </c>
      <c r="J46" s="72">
        <f>IF(ISNUMBER(AllTime1[[#This Row],[All-time rank]]), AllTime1[[#This Row],[All-time rank]] + ROW(AllTime1[[#This Row],[All-time rank]])/100000, 99999 + ROW(AllTime1[[#This Row],[All-time rank]])/100000)</f>
        <v>87.000460000000004</v>
      </c>
      <c r="K46" s="69">
        <f>IF(ISNUMBER(AllTime1[[#This Row],[All-time score]]), AllTime1[[#This Row],[All-time score]] + ROW(AllTime1[[#This Row],[All-time score]])/100000000, 0 + ROW(AllTime1[[#This Row],[All-time score]])/1000000000)</f>
        <v>18.000000459999999</v>
      </c>
    </row>
    <row r="47" spans="7:15" ht="16.5">
      <c r="G47" s="71" t="str">
        <f>IFERROR(Table5[[#This Row],[Full name]],"")</f>
        <v>Jayden Agarwal</v>
      </c>
      <c r="H47" s="56">
        <f>_xlfn.RANK.EQ(AllTime1[[#This Row],[All-time score]],AllTime1[All-time score],0)</f>
        <v>220</v>
      </c>
      <c r="I47" s="56">
        <f>_xlfn.XLOOKUP(AllTime1[[#This Row],[Name]],Table16[Name],Table16[Totals],"Error",0,1)</f>
        <v>2</v>
      </c>
      <c r="J47" s="72">
        <f>IF(ISNUMBER(AllTime1[[#This Row],[All-time rank]]), AllTime1[[#This Row],[All-time rank]] + ROW(AllTime1[[#This Row],[All-time rank]])/100000, 99999 + ROW(AllTime1[[#This Row],[All-time rank]])/100000)</f>
        <v>220.00047000000001</v>
      </c>
      <c r="K47" s="69">
        <f>IF(ISNUMBER(AllTime1[[#This Row],[All-time score]]), AllTime1[[#This Row],[All-time score]] + ROW(AllTime1[[#This Row],[All-time score]])/100000000, 0 + ROW(AllTime1[[#This Row],[All-time score]])/1000000000)</f>
        <v>2.0000004699999998</v>
      </c>
    </row>
    <row r="48" spans="7:15" ht="16.5">
      <c r="G48" s="71" t="str">
        <f>IFERROR(Table5[[#This Row],[Full name]],"")</f>
        <v>Marcus Athwal</v>
      </c>
      <c r="H48" s="56">
        <f>_xlfn.RANK.EQ(AllTime1[[#This Row],[All-time score]],AllTime1[All-time score],0)</f>
        <v>25</v>
      </c>
      <c r="I48" s="56">
        <f>_xlfn.XLOOKUP(AllTime1[[#This Row],[Name]],Table16[Name],Table16[Totals],"Error",0,1)</f>
        <v>55</v>
      </c>
      <c r="J48" s="72">
        <f>IF(ISNUMBER(AllTime1[[#This Row],[All-time rank]]), AllTime1[[#This Row],[All-time rank]] + ROW(AllTime1[[#This Row],[All-time rank]])/100000, 99999 + ROW(AllTime1[[#This Row],[All-time rank]])/100000)</f>
        <v>25.00048</v>
      </c>
      <c r="K48" s="69">
        <f>IF(ISNUMBER(AllTime1[[#This Row],[All-time score]]), AllTime1[[#This Row],[All-time score]] + ROW(AllTime1[[#This Row],[All-time score]])/100000000, 0 + ROW(AllTime1[[#This Row],[All-time score]])/1000000000)</f>
        <v>55.000000479999997</v>
      </c>
    </row>
    <row r="49" spans="7:11" ht="16.5">
      <c r="G49" s="71" t="str">
        <f>IFERROR(Table5[[#This Row],[Full name]],"")</f>
        <v>Matthew Pape</v>
      </c>
      <c r="H49" s="56">
        <f>_xlfn.RANK.EQ(AllTime1[[#This Row],[All-time score]],AllTime1[All-time score],0)</f>
        <v>20</v>
      </c>
      <c r="I49" s="56">
        <f>_xlfn.XLOOKUP(AllTime1[[#This Row],[Name]],Table16[Name],Table16[Totals],"Error",0,1)</f>
        <v>58</v>
      </c>
      <c r="J49" s="72">
        <f>IF(ISNUMBER(AllTime1[[#This Row],[All-time rank]]), AllTime1[[#This Row],[All-time rank]] + ROW(AllTime1[[#This Row],[All-time rank]])/100000, 99999 + ROW(AllTime1[[#This Row],[All-time rank]])/100000)</f>
        <v>20.000489999999999</v>
      </c>
      <c r="K49" s="69">
        <f>IF(ISNUMBER(AllTime1[[#This Row],[All-time score]]), AllTime1[[#This Row],[All-time score]] + ROW(AllTime1[[#This Row],[All-time score]])/100000000, 0 + ROW(AllTime1[[#This Row],[All-time score]])/1000000000)</f>
        <v>58.000000489999998</v>
      </c>
    </row>
    <row r="50" spans="7:11" ht="16.5">
      <c r="G50" s="71" t="str">
        <f>IFERROR(Table5[[#This Row],[Full name]],"")</f>
        <v>Matthew Fernandes</v>
      </c>
      <c r="H50" s="56">
        <f>_xlfn.RANK.EQ(AllTime1[[#This Row],[All-time score]],AllTime1[All-time score],0)</f>
        <v>12</v>
      </c>
      <c r="I50" s="56">
        <f>_xlfn.XLOOKUP(AllTime1[[#This Row],[Name]],Table16[Name],Table16[Totals],"Error",0,1)</f>
        <v>71</v>
      </c>
      <c r="J50" s="72">
        <f>IF(ISNUMBER(AllTime1[[#This Row],[All-time rank]]), AllTime1[[#This Row],[All-time rank]] + ROW(AllTime1[[#This Row],[All-time rank]])/100000, 99999 + ROW(AllTime1[[#This Row],[All-time rank]])/100000)</f>
        <v>12.000500000000001</v>
      </c>
      <c r="K50" s="69">
        <f>IF(ISNUMBER(AllTime1[[#This Row],[All-time score]]), AllTime1[[#This Row],[All-time score]] + ROW(AllTime1[[#This Row],[All-time score]])/100000000, 0 + ROW(AllTime1[[#This Row],[All-time score]])/1000000000)</f>
        <v>71.000000499999999</v>
      </c>
    </row>
    <row r="51" spans="7:11" ht="16.5">
      <c r="G51" s="71" t="str">
        <f>IFERROR(Table5[[#This Row],[Full name]],"")</f>
        <v>Medet Kazbek</v>
      </c>
      <c r="H51" s="56">
        <f>_xlfn.RANK.EQ(AllTime1[[#This Row],[All-time score]],AllTime1[All-time score],0)</f>
        <v>154</v>
      </c>
      <c r="I51" s="56">
        <f>_xlfn.XLOOKUP(AllTime1[[#This Row],[Name]],Table16[Name],Table16[Totals],"Error",0,1)</f>
        <v>8</v>
      </c>
      <c r="J51" s="72">
        <f>IF(ISNUMBER(AllTime1[[#This Row],[All-time rank]]), AllTime1[[#This Row],[All-time rank]] + ROW(AllTime1[[#This Row],[All-time rank]])/100000, 99999 + ROW(AllTime1[[#This Row],[All-time rank]])/100000)</f>
        <v>154.00050999999999</v>
      </c>
      <c r="K51" s="69">
        <f>IF(ISNUMBER(AllTime1[[#This Row],[All-time score]]), AllTime1[[#This Row],[All-time score]] + ROW(AllTime1[[#This Row],[All-time score]])/100000000, 0 + ROW(AllTime1[[#This Row],[All-time score]])/1000000000)</f>
        <v>8.0000005099999996</v>
      </c>
    </row>
    <row r="52" spans="7:11" ht="16.5">
      <c r="G52" s="71" t="str">
        <f>IFERROR(Table5[[#This Row],[Full name]],"")</f>
        <v>Nathan Visentin</v>
      </c>
      <c r="H52" s="56">
        <f>_xlfn.RANK.EQ(AllTime1[[#This Row],[All-time score]],AllTime1[All-time score],0)</f>
        <v>130</v>
      </c>
      <c r="I52" s="56">
        <f>_xlfn.XLOOKUP(AllTime1[[#This Row],[Name]],Table16[Name],Table16[Totals],"Error",0,1)</f>
        <v>11</v>
      </c>
      <c r="J52" s="72">
        <f>IF(ISNUMBER(AllTime1[[#This Row],[All-time rank]]), AllTime1[[#This Row],[All-time rank]] + ROW(AllTime1[[#This Row],[All-time rank]])/100000, 99999 + ROW(AllTime1[[#This Row],[All-time rank]])/100000)</f>
        <v>130.00051999999999</v>
      </c>
      <c r="K52" s="69">
        <f>IF(ISNUMBER(AllTime1[[#This Row],[All-time score]]), AllTime1[[#This Row],[All-time score]] + ROW(AllTime1[[#This Row],[All-time score]])/100000000, 0 + ROW(AllTime1[[#This Row],[All-time score]])/1000000000)</f>
        <v>11.00000052</v>
      </c>
    </row>
    <row r="53" spans="7:11" ht="16.5">
      <c r="G53" s="71" t="str">
        <f>IFERROR(Table5[[#This Row],[Full name]],"")</f>
        <v>Noah George</v>
      </c>
      <c r="H53" s="56">
        <f>_xlfn.RANK.EQ(AllTime1[[#This Row],[All-time score]],AllTime1[All-time score],0)</f>
        <v>80</v>
      </c>
      <c r="I53" s="56">
        <f>_xlfn.XLOOKUP(AllTime1[[#This Row],[Name]],Table16[Name],Table16[Totals],"Error",0,1)</f>
        <v>21</v>
      </c>
      <c r="J53" s="72">
        <f>IF(ISNUMBER(AllTime1[[#This Row],[All-time rank]]), AllTime1[[#This Row],[All-time rank]] + ROW(AllTime1[[#This Row],[All-time rank]])/100000, 99999 + ROW(AllTime1[[#This Row],[All-time rank]])/100000)</f>
        <v>80.000529999999998</v>
      </c>
      <c r="K53" s="69">
        <f>IF(ISNUMBER(AllTime1[[#This Row],[All-time score]]), AllTime1[[#This Row],[All-time score]] + ROW(AllTime1[[#This Row],[All-time score]])/100000000, 0 + ROW(AllTime1[[#This Row],[All-time score]])/1000000000)</f>
        <v>21.000000530000001</v>
      </c>
    </row>
    <row r="54" spans="7:11" ht="16.5">
      <c r="G54" s="71" t="str">
        <f>IFERROR(Table5[[#This Row],[Full name]],"")</f>
        <v>Noella Or</v>
      </c>
      <c r="H54" s="56">
        <f>_xlfn.RANK.EQ(AllTime1[[#This Row],[All-time score]],AllTime1[All-time score],0)</f>
        <v>52</v>
      </c>
      <c r="I54" s="56">
        <f>_xlfn.XLOOKUP(AllTime1[[#This Row],[Name]],Table16[Name],Table16[Totals],"Error",0,1)</f>
        <v>31</v>
      </c>
      <c r="J54" s="72">
        <f>IF(ISNUMBER(AllTime1[[#This Row],[All-time rank]]), AllTime1[[#This Row],[All-time rank]] + ROW(AllTime1[[#This Row],[All-time rank]])/100000, 99999 + ROW(AllTime1[[#This Row],[All-time rank]])/100000)</f>
        <v>52.000540000000001</v>
      </c>
      <c r="K54" s="69">
        <f>IF(ISNUMBER(AllTime1[[#This Row],[All-time score]]), AllTime1[[#This Row],[All-time score]] + ROW(AllTime1[[#This Row],[All-time score]])/100000000, 0 + ROW(AllTime1[[#This Row],[All-time score]])/1000000000)</f>
        <v>31.000000539999998</v>
      </c>
    </row>
    <row r="55" spans="7:11" ht="16.5">
      <c r="G55" s="71" t="str">
        <f>IFERROR(Table5[[#This Row],[Full name]],"")</f>
        <v>Oscar Chen</v>
      </c>
      <c r="H55" s="56">
        <f>_xlfn.RANK.EQ(AllTime1[[#This Row],[All-time score]],AllTime1[All-time score],0)</f>
        <v>107</v>
      </c>
      <c r="I55" s="56">
        <f>_xlfn.XLOOKUP(AllTime1[[#This Row],[Name]],Table16[Name],Table16[Totals],"Error",0,1)</f>
        <v>14</v>
      </c>
      <c r="J55" s="72">
        <f>IF(ISNUMBER(AllTime1[[#This Row],[All-time rank]]), AllTime1[[#This Row],[All-time rank]] + ROW(AllTime1[[#This Row],[All-time rank]])/100000, 99999 + ROW(AllTime1[[#This Row],[All-time rank]])/100000)</f>
        <v>107.00055</v>
      </c>
      <c r="K55" s="69">
        <f>IF(ISNUMBER(AllTime1[[#This Row],[All-time score]]), AllTime1[[#This Row],[All-time score]] + ROW(AllTime1[[#This Row],[All-time score]])/100000000, 0 + ROW(AllTime1[[#This Row],[All-time score]])/1000000000)</f>
        <v>14.000000549999999</v>
      </c>
    </row>
    <row r="56" spans="7:11" ht="16.5">
      <c r="G56" s="71" t="str">
        <f>IFERROR(Table5[[#This Row],[Full name]],"")</f>
        <v>Pari Shah</v>
      </c>
      <c r="H56" s="56">
        <f>_xlfn.RANK.EQ(AllTime1[[#This Row],[All-time score]],AllTime1[All-time score],0)</f>
        <v>30</v>
      </c>
      <c r="I56" s="56">
        <f>_xlfn.XLOOKUP(AllTime1[[#This Row],[Name]],Table16[Name],Table16[Totals],"Error",0,1)</f>
        <v>50</v>
      </c>
      <c r="J56" s="72">
        <f>IF(ISNUMBER(AllTime1[[#This Row],[All-time rank]]), AllTime1[[#This Row],[All-time rank]] + ROW(AllTime1[[#This Row],[All-time rank]])/100000, 99999 + ROW(AllTime1[[#This Row],[All-time rank]])/100000)</f>
        <v>30.00056</v>
      </c>
      <c r="K56" s="69">
        <f>IF(ISNUMBER(AllTime1[[#This Row],[All-time score]]), AllTime1[[#This Row],[All-time score]] + ROW(AllTime1[[#This Row],[All-time score]])/100000000, 0 + ROW(AllTime1[[#This Row],[All-time score]])/1000000000)</f>
        <v>50.000000559999997</v>
      </c>
    </row>
    <row r="57" spans="7:11" ht="16.5">
      <c r="G57" s="71" t="str">
        <f>IFERROR(Table5[[#This Row],[Full name]],"")</f>
        <v>Pavel Tsymbalyuk</v>
      </c>
      <c r="H57" s="56">
        <f>_xlfn.RANK.EQ(AllTime1[[#This Row],[All-time score]],AllTime1[All-time score],0)</f>
        <v>57</v>
      </c>
      <c r="I57" s="56">
        <f>_xlfn.XLOOKUP(AllTime1[[#This Row],[Name]],Table16[Name],Table16[Totals],"Error",0,1)</f>
        <v>28</v>
      </c>
      <c r="J57" s="72">
        <f>IF(ISNUMBER(AllTime1[[#This Row],[All-time rank]]), AllTime1[[#This Row],[All-time rank]] + ROW(AllTime1[[#This Row],[All-time rank]])/100000, 99999 + ROW(AllTime1[[#This Row],[All-time rank]])/100000)</f>
        <v>57.000570000000003</v>
      </c>
      <c r="K57" s="69">
        <f>IF(ISNUMBER(AllTime1[[#This Row],[All-time score]]), AllTime1[[#This Row],[All-time score]] + ROW(AllTime1[[#This Row],[All-time score]])/100000000, 0 + ROW(AllTime1[[#This Row],[All-time score]])/1000000000)</f>
        <v>28.000000570000001</v>
      </c>
    </row>
    <row r="58" spans="7:11" ht="16.5">
      <c r="G58" s="71" t="str">
        <f>IFERROR(Table5[[#This Row],[Full name]],"")</f>
        <v>Priyansh Sharma</v>
      </c>
      <c r="H58" s="56">
        <f>_xlfn.RANK.EQ(AllTime1[[#This Row],[All-time score]],AllTime1[All-time score],0)</f>
        <v>37</v>
      </c>
      <c r="I58" s="56">
        <f>_xlfn.XLOOKUP(AllTime1[[#This Row],[Name]],Table16[Name],Table16[Totals],"Error",0,1)</f>
        <v>39</v>
      </c>
      <c r="J58" s="72">
        <f>IF(ISNUMBER(AllTime1[[#This Row],[All-time rank]]), AllTime1[[#This Row],[All-time rank]] + ROW(AllTime1[[#This Row],[All-time rank]])/100000, 99999 + ROW(AllTime1[[#This Row],[All-time rank]])/100000)</f>
        <v>37.000579999999999</v>
      </c>
      <c r="K58" s="69">
        <f>IF(ISNUMBER(AllTime1[[#This Row],[All-time score]]), AllTime1[[#This Row],[All-time score]] + ROW(AllTime1[[#This Row],[All-time score]])/100000000, 0 + ROW(AllTime1[[#This Row],[All-time score]])/1000000000)</f>
        <v>39.000000579999998</v>
      </c>
    </row>
    <row r="59" spans="7:11" ht="16.5">
      <c r="G59" s="71" t="str">
        <f>IFERROR(Table5[[#This Row],[Full name]],"")</f>
        <v>Quenifer Lung</v>
      </c>
      <c r="H59" s="56">
        <f>_xlfn.RANK.EQ(AllTime1[[#This Row],[All-time score]],AllTime1[All-time score],0)</f>
        <v>248</v>
      </c>
      <c r="I59" s="56">
        <f>_xlfn.XLOOKUP(AllTime1[[#This Row],[Name]],Table16[Name],Table16[Totals],"Error",0,1)</f>
        <v>1</v>
      </c>
      <c r="J59" s="72">
        <f>IF(ISNUMBER(AllTime1[[#This Row],[All-time rank]]), AllTime1[[#This Row],[All-time rank]] + ROW(AllTime1[[#This Row],[All-time rank]])/100000, 99999 + ROW(AllTime1[[#This Row],[All-time rank]])/100000)</f>
        <v>248.00058999999999</v>
      </c>
      <c r="K59" s="69">
        <f>IF(ISNUMBER(AllTime1[[#This Row],[All-time score]]), AllTime1[[#This Row],[All-time score]] + ROW(AllTime1[[#This Row],[All-time score]])/100000000, 0 + ROW(AllTime1[[#This Row],[All-time score]])/1000000000)</f>
        <v>1.00000059</v>
      </c>
    </row>
    <row r="60" spans="7:11" ht="16.5">
      <c r="G60" s="71" t="str">
        <f>IFERROR(Table5[[#This Row],[Full name]],"")</f>
        <v>Rachel Xu</v>
      </c>
      <c r="H60" s="56">
        <f>_xlfn.RANK.EQ(AllTime1[[#This Row],[All-time score]],AllTime1[All-time score],0)</f>
        <v>177</v>
      </c>
      <c r="I60" s="56">
        <f>_xlfn.XLOOKUP(AllTime1[[#This Row],[Name]],Table16[Name],Table16[Totals],"Error",0,1)</f>
        <v>4</v>
      </c>
      <c r="J60" s="72">
        <f>IF(ISNUMBER(AllTime1[[#This Row],[All-time rank]]), AllTime1[[#This Row],[All-time rank]] + ROW(AllTime1[[#This Row],[All-time rank]])/100000, 99999 + ROW(AllTime1[[#This Row],[All-time rank]])/100000)</f>
        <v>177.00059999999999</v>
      </c>
      <c r="K60" s="69">
        <f>IF(ISNUMBER(AllTime1[[#This Row],[All-time score]]), AllTime1[[#This Row],[All-time score]] + ROW(AllTime1[[#This Row],[All-time score]])/100000000, 0 + ROW(AllTime1[[#This Row],[All-time score]])/1000000000)</f>
        <v>4.0000005999999999</v>
      </c>
    </row>
    <row r="61" spans="7:11" ht="16.5">
      <c r="G61" s="71" t="str">
        <f>IFERROR(Table5[[#This Row],[Full name]],"")</f>
        <v>Ray Macaulay</v>
      </c>
      <c r="H61" s="56">
        <f>_xlfn.RANK.EQ(AllTime1[[#This Row],[All-time score]],AllTime1[All-time score],0)</f>
        <v>147</v>
      </c>
      <c r="I61" s="56">
        <f>_xlfn.XLOOKUP(AllTime1[[#This Row],[Name]],Table16[Name],Table16[Totals],"Error",0,1)</f>
        <v>9</v>
      </c>
      <c r="J61" s="72">
        <f>IF(ISNUMBER(AllTime1[[#This Row],[All-time rank]]), AllTime1[[#This Row],[All-time rank]] + ROW(AllTime1[[#This Row],[All-time rank]])/100000, 99999 + ROW(AllTime1[[#This Row],[All-time rank]])/100000)</f>
        <v>147.00060999999999</v>
      </c>
      <c r="K61" s="69">
        <f>IF(ISNUMBER(AllTime1[[#This Row],[All-time score]]), AllTime1[[#This Row],[All-time score]] + ROW(AllTime1[[#This Row],[All-time score]])/100000000, 0 + ROW(AllTime1[[#This Row],[All-time score]])/1000000000)</f>
        <v>9.0000006100000007</v>
      </c>
    </row>
    <row r="62" spans="7:11" ht="16.5">
      <c r="G62" s="71" t="str">
        <f>IFERROR(Table5[[#This Row],[Full name]],"")</f>
        <v>Richard Pan</v>
      </c>
      <c r="H62" s="56">
        <f>_xlfn.RANK.EQ(AllTime1[[#This Row],[All-time score]],AllTime1[All-time score],0)</f>
        <v>20</v>
      </c>
      <c r="I62" s="56">
        <f>_xlfn.XLOOKUP(AllTime1[[#This Row],[Name]],Table16[Name],Table16[Totals],"Error",0,1)</f>
        <v>58</v>
      </c>
      <c r="J62" s="72">
        <f>IF(ISNUMBER(AllTime1[[#This Row],[All-time rank]]), AllTime1[[#This Row],[All-time rank]] + ROW(AllTime1[[#This Row],[All-time rank]])/100000, 99999 + ROW(AllTime1[[#This Row],[All-time rank]])/100000)</f>
        <v>20.000620000000001</v>
      </c>
      <c r="K62" s="69">
        <f>IF(ISNUMBER(AllTime1[[#This Row],[All-time score]]), AllTime1[[#This Row],[All-time score]] + ROW(AllTime1[[#This Row],[All-time score]])/100000000, 0 + ROW(AllTime1[[#This Row],[All-time score]])/1000000000)</f>
        <v>58.000000620000002</v>
      </c>
    </row>
    <row r="63" spans="7:11" ht="16.5">
      <c r="G63" s="71" t="str">
        <f>IFERROR(Table5[[#This Row],[Full name]],"")</f>
        <v>Sabrina Vong</v>
      </c>
      <c r="H63" s="56">
        <f>_xlfn.RANK.EQ(AllTime1[[#This Row],[All-time score]],AllTime1[All-time score],0)</f>
        <v>85</v>
      </c>
      <c r="I63" s="56">
        <f>_xlfn.XLOOKUP(AllTime1[[#This Row],[Name]],Table16[Name],Table16[Totals],"Error",0,1)</f>
        <v>19</v>
      </c>
      <c r="J63" s="72">
        <f>IF(ISNUMBER(AllTime1[[#This Row],[All-time rank]]), AllTime1[[#This Row],[All-time rank]] + ROW(AllTime1[[#This Row],[All-time rank]])/100000, 99999 + ROW(AllTime1[[#This Row],[All-time rank]])/100000)</f>
        <v>85.000630000000001</v>
      </c>
      <c r="K63" s="69">
        <f>IF(ISNUMBER(AllTime1[[#This Row],[All-time score]]), AllTime1[[#This Row],[All-time score]] + ROW(AllTime1[[#This Row],[All-time score]])/100000000, 0 + ROW(AllTime1[[#This Row],[All-time score]])/1000000000)</f>
        <v>19.000000629999999</v>
      </c>
    </row>
    <row r="64" spans="7:11" ht="16.5">
      <c r="G64" s="71" t="str">
        <f>IFERROR(Table5[[#This Row],[Full name]],"")</f>
        <v>Sanjay Snaidero</v>
      </c>
      <c r="H64" s="56">
        <f>_xlfn.RANK.EQ(AllTime1[[#This Row],[All-time score]],AllTime1[All-time score],0)</f>
        <v>198</v>
      </c>
      <c r="I64" s="56">
        <f>_xlfn.XLOOKUP(AllTime1[[#This Row],[Name]],Table16[Name],Table16[Totals],"Error",0,1)</f>
        <v>3</v>
      </c>
      <c r="J64" s="72">
        <f>IF(ISNUMBER(AllTime1[[#This Row],[All-time rank]]), AllTime1[[#This Row],[All-time rank]] + ROW(AllTime1[[#This Row],[All-time rank]])/100000, 99999 + ROW(AllTime1[[#This Row],[All-time rank]])/100000)</f>
        <v>198.00064</v>
      </c>
      <c r="K64" s="69">
        <f>IF(ISNUMBER(AllTime1[[#This Row],[All-time score]]), AllTime1[[#This Row],[All-time score]] + ROW(AllTime1[[#This Row],[All-time score]])/100000000, 0 + ROW(AllTime1[[#This Row],[All-time score]])/1000000000)</f>
        <v>3.0000006400000001</v>
      </c>
    </row>
    <row r="65" spans="7:11" ht="16.5">
      <c r="G65" s="71" t="str">
        <f>IFERROR(Table5[[#This Row],[Full name]],"")</f>
        <v>Sawyer Sanderson</v>
      </c>
      <c r="H65" s="56">
        <f>_xlfn.RANK.EQ(AllTime1[[#This Row],[All-time score]],AllTime1[All-time score],0)</f>
        <v>61</v>
      </c>
      <c r="I65" s="56">
        <f>_xlfn.XLOOKUP(AllTime1[[#This Row],[Name]],Table16[Name],Table16[Totals],"Error",0,1)</f>
        <v>27</v>
      </c>
      <c r="J65" s="72">
        <f>IF(ISNUMBER(AllTime1[[#This Row],[All-time rank]]), AllTime1[[#This Row],[All-time rank]] + ROW(AllTime1[[#This Row],[All-time rank]])/100000, 99999 + ROW(AllTime1[[#This Row],[All-time rank]])/100000)</f>
        <v>61.00065</v>
      </c>
      <c r="K65" s="69">
        <f>IF(ISNUMBER(AllTime1[[#This Row],[All-time score]]), AllTime1[[#This Row],[All-time score]] + ROW(AllTime1[[#This Row],[All-time score]])/100000000, 0 + ROW(AllTime1[[#This Row],[All-time score]])/1000000000)</f>
        <v>27.00000065</v>
      </c>
    </row>
    <row r="66" spans="7:11" ht="16.5">
      <c r="G66" s="71" t="str">
        <f>IFERROR(Table5[[#This Row],[Full name]],"")</f>
        <v>Verissa Liu</v>
      </c>
      <c r="H66" s="56">
        <f>_xlfn.RANK.EQ(AllTime1[[#This Row],[All-time score]],AllTime1[All-time score],0)</f>
        <v>18</v>
      </c>
      <c r="I66" s="56">
        <f>_xlfn.XLOOKUP(AllTime1[[#This Row],[Name]],Table16[Name],Table16[Totals],"Error",0,1)</f>
        <v>59</v>
      </c>
      <c r="J66" s="72">
        <f>IF(ISNUMBER(AllTime1[[#This Row],[All-time rank]]), AllTime1[[#This Row],[All-time rank]] + ROW(AllTime1[[#This Row],[All-time rank]])/100000, 99999 + ROW(AllTime1[[#This Row],[All-time rank]])/100000)</f>
        <v>18.00066</v>
      </c>
      <c r="K66" s="69">
        <f>IF(ISNUMBER(AllTime1[[#This Row],[All-time score]]), AllTime1[[#This Row],[All-time score]] + ROW(AllTime1[[#This Row],[All-time score]])/100000000, 0 + ROW(AllTime1[[#This Row],[All-time score]])/1000000000)</f>
        <v>59.000000659999998</v>
      </c>
    </row>
    <row r="67" spans="7:11" ht="16.5">
      <c r="G67" s="71" t="str">
        <f>IFERROR(Table5[[#This Row],[Full name]],"")</f>
        <v>William Mah</v>
      </c>
      <c r="H67" s="56">
        <f>_xlfn.RANK.EQ(AllTime1[[#This Row],[All-time score]],AllTime1[All-time score],0)</f>
        <v>220</v>
      </c>
      <c r="I67" s="56">
        <f>_xlfn.XLOOKUP(AllTime1[[#This Row],[Name]],Table16[Name],Table16[Totals],"Error",0,1)</f>
        <v>2</v>
      </c>
      <c r="J67" s="72">
        <f>IF(ISNUMBER(AllTime1[[#This Row],[All-time rank]]), AllTime1[[#This Row],[All-time rank]] + ROW(AllTime1[[#This Row],[All-time rank]])/100000, 99999 + ROW(AllTime1[[#This Row],[All-time rank]])/100000)</f>
        <v>220.00067000000001</v>
      </c>
      <c r="K67" s="69">
        <f>IF(ISNUMBER(AllTime1[[#This Row],[All-time score]]), AllTime1[[#This Row],[All-time score]] + ROW(AllTime1[[#This Row],[All-time score]])/100000000, 0 + ROW(AllTime1[[#This Row],[All-time score]])/1000000000)</f>
        <v>2.0000006699999999</v>
      </c>
    </row>
    <row r="68" spans="7:11" ht="16.5">
      <c r="G68" s="71" t="str">
        <f>IFERROR(Table5[[#This Row],[Full name]],"")</f>
        <v>Zach Brotman</v>
      </c>
      <c r="H68" s="56">
        <f>_xlfn.RANK.EQ(AllTime1[[#This Row],[All-time score]],AllTime1[All-time score],0)</f>
        <v>157</v>
      </c>
      <c r="I68" s="56">
        <f>_xlfn.XLOOKUP(AllTime1[[#This Row],[Name]],Table16[Name],Table16[Totals],"Error",0,1)</f>
        <v>7</v>
      </c>
      <c r="J68" s="72">
        <f>IF(ISNUMBER(AllTime1[[#This Row],[All-time rank]]), AllTime1[[#This Row],[All-time rank]] + ROW(AllTime1[[#This Row],[All-time rank]])/100000, 99999 + ROW(AllTime1[[#This Row],[All-time rank]])/100000)</f>
        <v>157.00067999999999</v>
      </c>
      <c r="K68" s="69">
        <f>IF(ISNUMBER(AllTime1[[#This Row],[All-time score]]), AllTime1[[#This Row],[All-time score]] + ROW(AllTime1[[#This Row],[All-time score]])/100000000, 0 + ROW(AllTime1[[#This Row],[All-time score]])/1000000000)</f>
        <v>7.0000006800000003</v>
      </c>
    </row>
    <row r="69" spans="7:11" ht="16.5">
      <c r="G69" s="71" t="str">
        <f>IFERROR(Table5[[#This Row],[Full name]],"")</f>
        <v>Zack Hao</v>
      </c>
      <c r="H69" s="56">
        <f>_xlfn.RANK.EQ(AllTime1[[#This Row],[All-time score]],AllTime1[All-time score],0)</f>
        <v>121</v>
      </c>
      <c r="I69" s="56">
        <f>_xlfn.XLOOKUP(AllTime1[[#This Row],[Name]],Table16[Name],Table16[Totals],"Error",0,1)</f>
        <v>12</v>
      </c>
      <c r="J69" s="72">
        <f>IF(ISNUMBER(AllTime1[[#This Row],[All-time rank]]), AllTime1[[#This Row],[All-time rank]] + ROW(AllTime1[[#This Row],[All-time rank]])/100000, 99999 + ROW(AllTime1[[#This Row],[All-time rank]])/100000)</f>
        <v>121.00069000000001</v>
      </c>
      <c r="K69" s="69">
        <f>IF(ISNUMBER(AllTime1[[#This Row],[All-time score]]), AllTime1[[#This Row],[All-time score]] + ROW(AllTime1[[#This Row],[All-time score]])/100000000, 0 + ROW(AllTime1[[#This Row],[All-time score]])/1000000000)</f>
        <v>12.00000069</v>
      </c>
    </row>
    <row r="70" spans="7:11" ht="16.5">
      <c r="G70" s="71" t="str">
        <f>IFERROR(Table5[[#This Row],[Full name]],"")</f>
        <v>Aadam Lakhani</v>
      </c>
      <c r="H70" s="56">
        <f>_xlfn.RANK.EQ(AllTime1[[#This Row],[All-time score]],AllTime1[All-time score],0)</f>
        <v>248</v>
      </c>
      <c r="I70" s="56">
        <f>_xlfn.XLOOKUP(AllTime1[[#This Row],[Name]],Table16[Name],Table16[Totals],"Error",0,1)</f>
        <v>1</v>
      </c>
      <c r="J70" s="72">
        <f>IF(ISNUMBER(AllTime1[[#This Row],[All-time rank]]), AllTime1[[#This Row],[All-time rank]] + ROW(AllTime1[[#This Row],[All-time rank]])/100000, 99999 + ROW(AllTime1[[#This Row],[All-time rank]])/100000)</f>
        <v>248.00069999999999</v>
      </c>
      <c r="K70" s="69">
        <f>IF(ISNUMBER(AllTime1[[#This Row],[All-time score]]), AllTime1[[#This Row],[All-time score]] + ROW(AllTime1[[#This Row],[All-time score]])/100000000, 0 + ROW(AllTime1[[#This Row],[All-time score]])/1000000000)</f>
        <v>1.0000007</v>
      </c>
    </row>
    <row r="71" spans="7:11" ht="16.5">
      <c r="G71" s="71" t="str">
        <f>IFERROR(Table5[[#This Row],[Full name]],"")</f>
        <v>Aakaash Shankar</v>
      </c>
      <c r="H71" s="56">
        <f>_xlfn.RANK.EQ(AllTime1[[#This Row],[All-time score]],AllTime1[All-time score],0)</f>
        <v>300</v>
      </c>
      <c r="I71" s="56">
        <f>_xlfn.XLOOKUP(AllTime1[[#This Row],[Name]],Table16[Name],Table16[Totals],"Error",0,1)</f>
        <v>0</v>
      </c>
      <c r="J71" s="72">
        <f>IF(ISNUMBER(AllTime1[[#This Row],[All-time rank]]), AllTime1[[#This Row],[All-time rank]] + ROW(AllTime1[[#This Row],[All-time rank]])/100000, 99999 + ROW(AllTime1[[#This Row],[All-time rank]])/100000)</f>
        <v>300.00071000000003</v>
      </c>
      <c r="K71" s="69">
        <f>IF(ISNUMBER(AllTime1[[#This Row],[All-time score]]), AllTime1[[#This Row],[All-time score]] + ROW(AllTime1[[#This Row],[All-time score]])/100000000, 0 + ROW(AllTime1[[#This Row],[All-time score]])/1000000000)</f>
        <v>7.0999999999999998E-7</v>
      </c>
    </row>
    <row r="72" spans="7:11" ht="16.5">
      <c r="G72" s="71" t="str">
        <f>IFERROR(Table5[[#This Row],[Full name]],"")</f>
        <v>Aaron Hamilton</v>
      </c>
      <c r="H72" s="56">
        <f>_xlfn.RANK.EQ(AllTime1[[#This Row],[All-time score]],AllTime1[All-time score],0)</f>
        <v>77</v>
      </c>
      <c r="I72" s="56">
        <f>_xlfn.XLOOKUP(AllTime1[[#This Row],[Name]],Table16[Name],Table16[Totals],"Error",0,1)</f>
        <v>22</v>
      </c>
      <c r="J72" s="72">
        <f>IF(ISNUMBER(AllTime1[[#This Row],[All-time rank]]), AllTime1[[#This Row],[All-time rank]] + ROW(AllTime1[[#This Row],[All-time rank]])/100000, 99999 + ROW(AllTime1[[#This Row],[All-time rank]])/100000)</f>
        <v>77.000720000000001</v>
      </c>
      <c r="K72" s="69">
        <f>IF(ISNUMBER(AllTime1[[#This Row],[All-time score]]), AllTime1[[#This Row],[All-time score]] + ROW(AllTime1[[#This Row],[All-time score]])/100000000, 0 + ROW(AllTime1[[#This Row],[All-time score]])/1000000000)</f>
        <v>22.000000719999999</v>
      </c>
    </row>
    <row r="73" spans="7:11" ht="16.5">
      <c r="G73" s="71" t="str">
        <f>IFERROR(Table5[[#This Row],[Full name]],"")</f>
        <v>Aaron Ye</v>
      </c>
      <c r="H73" s="56">
        <f>_xlfn.RANK.EQ(AllTime1[[#This Row],[All-time score]],AllTime1[All-time score],0)</f>
        <v>107</v>
      </c>
      <c r="I73" s="56">
        <f>_xlfn.XLOOKUP(AllTime1[[#This Row],[Name]],Table16[Name],Table16[Totals],"Error",0,1)</f>
        <v>14</v>
      </c>
      <c r="J73" s="72">
        <f>IF(ISNUMBER(AllTime1[[#This Row],[All-time rank]]), AllTime1[[#This Row],[All-time rank]] + ROW(AllTime1[[#This Row],[All-time rank]])/100000, 99999 + ROW(AllTime1[[#This Row],[All-time rank]])/100000)</f>
        <v>107.00073</v>
      </c>
      <c r="K73" s="69">
        <f>IF(ISNUMBER(AllTime1[[#This Row],[All-time score]]), AllTime1[[#This Row],[All-time score]] + ROW(AllTime1[[#This Row],[All-time score]])/100000000, 0 + ROW(AllTime1[[#This Row],[All-time score]])/1000000000)</f>
        <v>14.00000073</v>
      </c>
    </row>
    <row r="74" spans="7:11" ht="16.5">
      <c r="G74" s="71" t="str">
        <f>IFERROR(Table5[[#This Row],[Full name]],"")</f>
        <v>Abdullah Imran</v>
      </c>
      <c r="H74" s="56">
        <f>_xlfn.RANK.EQ(AllTime1[[#This Row],[All-time score]],AllTime1[All-time score],0)</f>
        <v>77</v>
      </c>
      <c r="I74" s="56">
        <f>_xlfn.XLOOKUP(AllTime1[[#This Row],[Name]],Table16[Name],Table16[Totals],"Error",0,1)</f>
        <v>22</v>
      </c>
      <c r="J74" s="72">
        <f>IF(ISNUMBER(AllTime1[[#This Row],[All-time rank]]), AllTime1[[#This Row],[All-time rank]] + ROW(AllTime1[[#This Row],[All-time rank]])/100000, 99999 + ROW(AllTime1[[#This Row],[All-time rank]])/100000)</f>
        <v>77.000739999999993</v>
      </c>
      <c r="K74" s="69">
        <f>IF(ISNUMBER(AllTime1[[#This Row],[All-time score]]), AllTime1[[#This Row],[All-time score]] + ROW(AllTime1[[#This Row],[All-time score]])/100000000, 0 + ROW(AllTime1[[#This Row],[All-time score]])/1000000000)</f>
        <v>22.000000740000001</v>
      </c>
    </row>
    <row r="75" spans="7:11" ht="16.5">
      <c r="G75" s="71" t="str">
        <f>IFERROR(Table5[[#This Row],[Full name]],"")</f>
        <v>Adam Dasilva</v>
      </c>
      <c r="H75" s="56">
        <f>_xlfn.RANK.EQ(AllTime1[[#This Row],[All-time score]],AllTime1[All-time score],0)</f>
        <v>177</v>
      </c>
      <c r="I75" s="56">
        <f>_xlfn.XLOOKUP(AllTime1[[#This Row],[Name]],Table16[Name],Table16[Totals],"Error",0,1)</f>
        <v>4</v>
      </c>
      <c r="J75" s="72">
        <f>IF(ISNUMBER(AllTime1[[#This Row],[All-time rank]]), AllTime1[[#This Row],[All-time rank]] + ROW(AllTime1[[#This Row],[All-time rank]])/100000, 99999 + ROW(AllTime1[[#This Row],[All-time rank]])/100000)</f>
        <v>177.00075000000001</v>
      </c>
      <c r="K75" s="69">
        <f>IF(ISNUMBER(AllTime1[[#This Row],[All-time score]]), AllTime1[[#This Row],[All-time score]] + ROW(AllTime1[[#This Row],[All-time score]])/100000000, 0 + ROW(AllTime1[[#This Row],[All-time score]])/1000000000)</f>
        <v>4.0000007499999999</v>
      </c>
    </row>
    <row r="76" spans="7:11" ht="16.5">
      <c r="G76" s="71" t="str">
        <f>IFERROR(Table5[[#This Row],[Full name]],"")</f>
        <v>Adrian Liu</v>
      </c>
      <c r="H76" s="56">
        <f>_xlfn.RANK.EQ(AllTime1[[#This Row],[All-time score]],AllTime1[All-time score],0)</f>
        <v>87</v>
      </c>
      <c r="I76" s="56">
        <f>_xlfn.XLOOKUP(AllTime1[[#This Row],[Name]],Table16[Name],Table16[Totals],"Error",0,1)</f>
        <v>18</v>
      </c>
      <c r="J76" s="72">
        <f>IF(ISNUMBER(AllTime1[[#This Row],[All-time rank]]), AllTime1[[#This Row],[All-time rank]] + ROW(AllTime1[[#This Row],[All-time rank]])/100000, 99999 + ROW(AllTime1[[#This Row],[All-time rank]])/100000)</f>
        <v>87.00076</v>
      </c>
      <c r="K76" s="69">
        <f>IF(ISNUMBER(AllTime1[[#This Row],[All-time score]]), AllTime1[[#This Row],[All-time score]] + ROW(AllTime1[[#This Row],[All-time score]])/100000000, 0 + ROW(AllTime1[[#This Row],[All-time score]])/1000000000)</f>
        <v>18.000000759999999</v>
      </c>
    </row>
    <row r="77" spans="7:11" ht="16.5">
      <c r="G77" s="71" t="str">
        <f>IFERROR(Table5[[#This Row],[Full name]],"")</f>
        <v>Adrien Soupa</v>
      </c>
      <c r="H77" s="56">
        <f>_xlfn.RANK.EQ(AllTime1[[#This Row],[All-time score]],AllTime1[All-time score],0)</f>
        <v>248</v>
      </c>
      <c r="I77" s="56">
        <f>_xlfn.XLOOKUP(AllTime1[[#This Row],[Name]],Table16[Name],Table16[Totals],"Error",0,1)</f>
        <v>1</v>
      </c>
      <c r="J77" s="72">
        <f>IF(ISNUMBER(AllTime1[[#This Row],[All-time rank]]), AllTime1[[#This Row],[All-time rank]] + ROW(AllTime1[[#This Row],[All-time rank]])/100000, 99999 + ROW(AllTime1[[#This Row],[All-time rank]])/100000)</f>
        <v>248.00076999999999</v>
      </c>
      <c r="K77" s="69">
        <f>IF(ISNUMBER(AllTime1[[#This Row],[All-time score]]), AllTime1[[#This Row],[All-time score]] + ROW(AllTime1[[#This Row],[All-time score]])/100000000, 0 + ROW(AllTime1[[#This Row],[All-time score]])/1000000000)</f>
        <v>1.00000077</v>
      </c>
    </row>
    <row r="78" spans="7:11" ht="16.5">
      <c r="G78" s="71" t="str">
        <f>IFERROR(Table5[[#This Row],[Full name]],"")</f>
        <v>Ahmed Mohammed</v>
      </c>
      <c r="H78" s="56">
        <f>_xlfn.RANK.EQ(AllTime1[[#This Row],[All-time score]],AllTime1[All-time score],0)</f>
        <v>220</v>
      </c>
      <c r="I78" s="56">
        <f>_xlfn.XLOOKUP(AllTime1[[#This Row],[Name]],Table16[Name],Table16[Totals],"Error",0,1)</f>
        <v>2</v>
      </c>
      <c r="J78" s="72">
        <f>IF(ISNUMBER(AllTime1[[#This Row],[All-time rank]]), AllTime1[[#This Row],[All-time rank]] + ROW(AllTime1[[#This Row],[All-time rank]])/100000, 99999 + ROW(AllTime1[[#This Row],[All-time rank]])/100000)</f>
        <v>220.00077999999999</v>
      </c>
      <c r="K78" s="69">
        <f>IF(ISNUMBER(AllTime1[[#This Row],[All-time score]]), AllTime1[[#This Row],[All-time score]] + ROW(AllTime1[[#This Row],[All-time score]])/100000000, 0 + ROW(AllTime1[[#This Row],[All-time score]])/1000000000)</f>
        <v>2.0000007800000001</v>
      </c>
    </row>
    <row r="79" spans="7:11" ht="16.5">
      <c r="G79" s="71" t="str">
        <f>IFERROR(Table5[[#This Row],[Full name]],"")</f>
        <v>Aiden Gertler</v>
      </c>
      <c r="H79" s="56">
        <f>_xlfn.RANK.EQ(AllTime1[[#This Row],[All-time score]],AllTime1[All-time score],0)</f>
        <v>300</v>
      </c>
      <c r="I79" s="56">
        <f>_xlfn.XLOOKUP(AllTime1[[#This Row],[Name]],Table16[Name],Table16[Totals],"Error",0,1)</f>
        <v>0</v>
      </c>
      <c r="J79" s="72">
        <f>IF(ISNUMBER(AllTime1[[#This Row],[All-time rank]]), AllTime1[[#This Row],[All-time rank]] + ROW(AllTime1[[#This Row],[All-time rank]])/100000, 99999 + ROW(AllTime1[[#This Row],[All-time rank]])/100000)</f>
        <v>300.00078999999999</v>
      </c>
      <c r="K79" s="69">
        <f>IF(ISNUMBER(AllTime1[[#This Row],[All-time score]]), AllTime1[[#This Row],[All-time score]] + ROW(AllTime1[[#This Row],[All-time score]])/100000000, 0 + ROW(AllTime1[[#This Row],[All-time score]])/1000000000)</f>
        <v>7.8999999999999995E-7</v>
      </c>
    </row>
    <row r="80" spans="7:11" ht="16.5">
      <c r="G80" s="71" t="str">
        <f>IFERROR(Table5[[#This Row],[Full name]],"")</f>
        <v>Ajai Lingenfelter</v>
      </c>
      <c r="H80" s="56">
        <f>_xlfn.RANK.EQ(AllTime1[[#This Row],[All-time score]],AllTime1[All-time score],0)</f>
        <v>300</v>
      </c>
      <c r="I80" s="56">
        <f>_xlfn.XLOOKUP(AllTime1[[#This Row],[Name]],Table16[Name],Table16[Totals],"Error",0,1)</f>
        <v>0</v>
      </c>
      <c r="J80" s="72">
        <f>IF(ISNUMBER(AllTime1[[#This Row],[All-time rank]]), AllTime1[[#This Row],[All-time rank]] + ROW(AllTime1[[#This Row],[All-time rank]])/100000, 99999 + ROW(AllTime1[[#This Row],[All-time rank]])/100000)</f>
        <v>300.00080000000003</v>
      </c>
      <c r="K80" s="69">
        <f>IF(ISNUMBER(AllTime1[[#This Row],[All-time score]]), AllTime1[[#This Row],[All-time score]] + ROW(AllTime1[[#This Row],[All-time score]])/100000000, 0 + ROW(AllTime1[[#This Row],[All-time score]])/1000000000)</f>
        <v>7.9999999999999996E-7</v>
      </c>
    </row>
    <row r="81" spans="7:11" ht="16.5">
      <c r="G81" s="71" t="str">
        <f>IFERROR(Table5[[#This Row],[Full name]],"")</f>
        <v>Alan Long</v>
      </c>
      <c r="H81" s="56">
        <f>_xlfn.RANK.EQ(AllTime1[[#This Row],[All-time score]],AllTime1[All-time score],0)</f>
        <v>198</v>
      </c>
      <c r="I81" s="56">
        <f>_xlfn.XLOOKUP(AllTime1[[#This Row],[Name]],Table16[Name],Table16[Totals],"Error",0,1)</f>
        <v>3</v>
      </c>
      <c r="J81" s="72">
        <f>IF(ISNUMBER(AllTime1[[#This Row],[All-time rank]]), AllTime1[[#This Row],[All-time rank]] + ROW(AllTime1[[#This Row],[All-time rank]])/100000, 99999 + ROW(AllTime1[[#This Row],[All-time rank]])/100000)</f>
        <v>198.00081</v>
      </c>
      <c r="K81" s="69">
        <f>IF(ISNUMBER(AllTime1[[#This Row],[All-time score]]), AllTime1[[#This Row],[All-time score]] + ROW(AllTime1[[#This Row],[All-time score]])/100000000, 0 + ROW(AllTime1[[#This Row],[All-time score]])/1000000000)</f>
        <v>3.00000081</v>
      </c>
    </row>
    <row r="82" spans="7:11" ht="16.5">
      <c r="G82" s="71" t="str">
        <f>IFERROR(Table5[[#This Row],[Full name]],"")</f>
        <v>Alex Fan-Lun</v>
      </c>
      <c r="H82" s="56">
        <f>_xlfn.RANK.EQ(AllTime1[[#This Row],[All-time score]],AllTime1[All-time score],0)</f>
        <v>198</v>
      </c>
      <c r="I82" s="56">
        <f>_xlfn.XLOOKUP(AllTime1[[#This Row],[Name]],Table16[Name],Table16[Totals],"Error",0,1)</f>
        <v>3</v>
      </c>
      <c r="J82" s="72">
        <f>IF(ISNUMBER(AllTime1[[#This Row],[All-time rank]]), AllTime1[[#This Row],[All-time rank]] + ROW(AllTime1[[#This Row],[All-time rank]])/100000, 99999 + ROW(AllTime1[[#This Row],[All-time rank]])/100000)</f>
        <v>198.00082</v>
      </c>
      <c r="K82" s="69">
        <f>IF(ISNUMBER(AllTime1[[#This Row],[All-time score]]), AllTime1[[#This Row],[All-time score]] + ROW(AllTime1[[#This Row],[All-time score]])/100000000, 0 + ROW(AllTime1[[#This Row],[All-time score]])/1000000000)</f>
        <v>3.0000008199999999</v>
      </c>
    </row>
    <row r="83" spans="7:11" ht="16.5">
      <c r="G83" s="71" t="str">
        <f>IFERROR(Table5[[#This Row],[Full name]],"")</f>
        <v>Alex Xiao</v>
      </c>
      <c r="H83" s="56">
        <f>_xlfn.RANK.EQ(AllTime1[[#This Row],[All-time score]],AllTime1[All-time score],0)</f>
        <v>165</v>
      </c>
      <c r="I83" s="56">
        <f>_xlfn.XLOOKUP(AllTime1[[#This Row],[Name]],Table16[Name],Table16[Totals],"Error",0,1)</f>
        <v>5</v>
      </c>
      <c r="J83" s="72">
        <f>IF(ISNUMBER(AllTime1[[#This Row],[All-time rank]]), AllTime1[[#This Row],[All-time rank]] + ROW(AllTime1[[#This Row],[All-time rank]])/100000, 99999 + ROW(AllTime1[[#This Row],[All-time rank]])/100000)</f>
        <v>165.00083000000001</v>
      </c>
      <c r="K83" s="69">
        <f>IF(ISNUMBER(AllTime1[[#This Row],[All-time score]]), AllTime1[[#This Row],[All-time score]] + ROW(AllTime1[[#This Row],[All-time score]])/100000000, 0 + ROW(AllTime1[[#This Row],[All-time score]])/1000000000)</f>
        <v>5.0000008300000003</v>
      </c>
    </row>
    <row r="84" spans="7:11" ht="16.5">
      <c r="G84" s="71" t="str">
        <f>IFERROR(Table5[[#This Row],[Full name]],"")</f>
        <v>Alex Nguyen</v>
      </c>
      <c r="H84" s="56">
        <f>_xlfn.RANK.EQ(AllTime1[[#This Row],[All-time score]],AllTime1[All-time score],0)</f>
        <v>69</v>
      </c>
      <c r="I84" s="56">
        <f>_xlfn.XLOOKUP(AllTime1[[#This Row],[Name]],Table16[Name],Table16[Totals],"Error",0,1)</f>
        <v>23</v>
      </c>
      <c r="J84" s="72">
        <f>IF(ISNUMBER(AllTime1[[#This Row],[All-time rank]]), AllTime1[[#This Row],[All-time rank]] + ROW(AllTime1[[#This Row],[All-time rank]])/100000, 99999 + ROW(AllTime1[[#This Row],[All-time rank]])/100000)</f>
        <v>69.000839999999997</v>
      </c>
      <c r="K84" s="69">
        <f>IF(ISNUMBER(AllTime1[[#This Row],[All-time score]]), AllTime1[[#This Row],[All-time score]] + ROW(AllTime1[[#This Row],[All-time score]])/100000000, 0 + ROW(AllTime1[[#This Row],[All-time score]])/1000000000)</f>
        <v>23.000000839999998</v>
      </c>
    </row>
    <row r="85" spans="7:11" ht="16.5">
      <c r="G85" s="71" t="str">
        <f>IFERROR(Table5[[#This Row],[Full name]],"")</f>
        <v>Alex Xu</v>
      </c>
      <c r="H85" s="56">
        <f>_xlfn.RANK.EQ(AllTime1[[#This Row],[All-time score]],AllTime1[All-time score],0)</f>
        <v>220</v>
      </c>
      <c r="I85" s="56">
        <f>_xlfn.XLOOKUP(AllTime1[[#This Row],[Name]],Table16[Name],Table16[Totals],"Error",0,1)</f>
        <v>2</v>
      </c>
      <c r="J85" s="72">
        <f>IF(ISNUMBER(AllTime1[[#This Row],[All-time rank]]), AllTime1[[#This Row],[All-time rank]] + ROW(AllTime1[[#This Row],[All-time rank]])/100000, 99999 + ROW(AllTime1[[#This Row],[All-time rank]])/100000)</f>
        <v>220.00085000000001</v>
      </c>
      <c r="K85" s="69">
        <f>IF(ISNUMBER(AllTime1[[#This Row],[All-time score]]), AllTime1[[#This Row],[All-time score]] + ROW(AllTime1[[#This Row],[All-time score]])/100000000, 0 + ROW(AllTime1[[#This Row],[All-time score]])/1000000000)</f>
        <v>2.0000008500000002</v>
      </c>
    </row>
    <row r="86" spans="7:11" ht="16.5">
      <c r="G86" s="71" t="str">
        <f>IFERROR(Table5[[#This Row],[Full name]],"")</f>
        <v>Alex Yu</v>
      </c>
      <c r="H86" s="56">
        <f>_xlfn.RANK.EQ(AllTime1[[#This Row],[All-time score]],AllTime1[All-time score],0)</f>
        <v>198</v>
      </c>
      <c r="I86" s="56">
        <f>_xlfn.XLOOKUP(AllTime1[[#This Row],[Name]],Table16[Name],Table16[Totals],"Error",0,1)</f>
        <v>3</v>
      </c>
      <c r="J86" s="72">
        <f>IF(ISNUMBER(AllTime1[[#This Row],[All-time rank]]), AllTime1[[#This Row],[All-time rank]] + ROW(AllTime1[[#This Row],[All-time rank]])/100000, 99999 + ROW(AllTime1[[#This Row],[All-time rank]])/100000)</f>
        <v>198.00085999999999</v>
      </c>
      <c r="K86" s="69">
        <f>IF(ISNUMBER(AllTime1[[#This Row],[All-time score]]), AllTime1[[#This Row],[All-time score]] + ROW(AllTime1[[#This Row],[All-time score]])/100000000, 0 + ROW(AllTime1[[#This Row],[All-time score]])/1000000000)</f>
        <v>3.0000008600000001</v>
      </c>
    </row>
    <row r="87" spans="7:11" ht="16.5">
      <c r="G87" s="71" t="str">
        <f>IFERROR(Table5[[#This Row],[Full name]],"")</f>
        <v>Alexander Kowalski</v>
      </c>
      <c r="H87" s="56">
        <f>_xlfn.RANK.EQ(AllTime1[[#This Row],[All-time score]],AllTime1[All-time score],0)</f>
        <v>37</v>
      </c>
      <c r="I87" s="56">
        <f>_xlfn.XLOOKUP(AllTime1[[#This Row],[Name]],Table16[Name],Table16[Totals],"Error",0,1)</f>
        <v>39</v>
      </c>
      <c r="J87" s="72">
        <f>IF(ISNUMBER(AllTime1[[#This Row],[All-time rank]]), AllTime1[[#This Row],[All-time rank]] + ROW(AllTime1[[#This Row],[All-time rank]])/100000, 99999 + ROW(AllTime1[[#This Row],[All-time rank]])/100000)</f>
        <v>37.000869999999999</v>
      </c>
      <c r="K87" s="69">
        <f>IF(ISNUMBER(AllTime1[[#This Row],[All-time score]]), AllTime1[[#This Row],[All-time score]] + ROW(AllTime1[[#This Row],[All-time score]])/100000000, 0 + ROW(AllTime1[[#This Row],[All-time score]])/1000000000)</f>
        <v>39.000000870000001</v>
      </c>
    </row>
    <row r="88" spans="7:11" ht="16.5">
      <c r="G88" s="71" t="str">
        <f>IFERROR(Table5[[#This Row],[Full name]],"")</f>
        <v>Alexander Musarai</v>
      </c>
      <c r="H88" s="56">
        <f>_xlfn.RANK.EQ(AllTime1[[#This Row],[All-time score]],AllTime1[All-time score],0)</f>
        <v>80</v>
      </c>
      <c r="I88" s="56">
        <f>_xlfn.XLOOKUP(AllTime1[[#This Row],[Name]],Table16[Name],Table16[Totals],"Error",0,1)</f>
        <v>21</v>
      </c>
      <c r="J88" s="72">
        <f>IF(ISNUMBER(AllTime1[[#This Row],[All-time rank]]), AllTime1[[#This Row],[All-time rank]] + ROW(AllTime1[[#This Row],[All-time rank]])/100000, 99999 + ROW(AllTime1[[#This Row],[All-time rank]])/100000)</f>
        <v>80.000879999999995</v>
      </c>
      <c r="K88" s="69">
        <f>IF(ISNUMBER(AllTime1[[#This Row],[All-time score]]), AllTime1[[#This Row],[All-time score]] + ROW(AllTime1[[#This Row],[All-time score]])/100000000, 0 + ROW(AllTime1[[#This Row],[All-time score]])/1000000000)</f>
        <v>21.000000880000002</v>
      </c>
    </row>
    <row r="89" spans="7:11" ht="16.5">
      <c r="G89" s="71" t="str">
        <f>IFERROR(Table5[[#This Row],[Full name]],"")</f>
        <v>Alexander Li</v>
      </c>
      <c r="H89" s="56">
        <f>_xlfn.RANK.EQ(AllTime1[[#This Row],[All-time score]],AllTime1[All-time score],0)</f>
        <v>248</v>
      </c>
      <c r="I89" s="56">
        <f>_xlfn.XLOOKUP(AllTime1[[#This Row],[Name]],Table16[Name],Table16[Totals],"Error",0,1)</f>
        <v>1</v>
      </c>
      <c r="J89" s="72">
        <f>IF(ISNUMBER(AllTime1[[#This Row],[All-time rank]]), AllTime1[[#This Row],[All-time rank]] + ROW(AllTime1[[#This Row],[All-time rank]])/100000, 99999 + ROW(AllTime1[[#This Row],[All-time rank]])/100000)</f>
        <v>248.00089</v>
      </c>
      <c r="K89" s="69">
        <f>IF(ISNUMBER(AllTime1[[#This Row],[All-time score]]), AllTime1[[#This Row],[All-time score]] + ROW(AllTime1[[#This Row],[All-time score]])/100000000, 0 + ROW(AllTime1[[#This Row],[All-time score]])/1000000000)</f>
        <v>1.0000008899999999</v>
      </c>
    </row>
    <row r="90" spans="7:11" ht="16.5">
      <c r="G90" s="71" t="str">
        <f>IFERROR(Table5[[#This Row],[Full name]],"")</f>
        <v>Ali Akinci</v>
      </c>
      <c r="H90" s="56">
        <f>_xlfn.RANK.EQ(AllTime1[[#This Row],[All-time score]],AllTime1[All-time score],0)</f>
        <v>220</v>
      </c>
      <c r="I90" s="56">
        <f>_xlfn.XLOOKUP(AllTime1[[#This Row],[Name]],Table16[Name],Table16[Totals],"Error",0,1)</f>
        <v>2</v>
      </c>
      <c r="J90" s="72">
        <f>IF(ISNUMBER(AllTime1[[#This Row],[All-time rank]]), AllTime1[[#This Row],[All-time rank]] + ROW(AllTime1[[#This Row],[All-time rank]])/100000, 99999 + ROW(AllTime1[[#This Row],[All-time rank]])/100000)</f>
        <v>220.0009</v>
      </c>
      <c r="K90" s="69">
        <f>IF(ISNUMBER(AllTime1[[#This Row],[All-time score]]), AllTime1[[#This Row],[All-time score]] + ROW(AllTime1[[#This Row],[All-time score]])/100000000, 0 + ROW(AllTime1[[#This Row],[All-time score]])/1000000000)</f>
        <v>2.0000008999999999</v>
      </c>
    </row>
    <row r="91" spans="7:11" ht="16.5">
      <c r="G91" s="71" t="str">
        <f>IFERROR(Table5[[#This Row],[Full name]],"")</f>
        <v>Ali Issa</v>
      </c>
      <c r="H91" s="56">
        <f>_xlfn.RANK.EQ(AllTime1[[#This Row],[All-time score]],AllTime1[All-time score],0)</f>
        <v>248</v>
      </c>
      <c r="I91" s="56">
        <f>_xlfn.XLOOKUP(AllTime1[[#This Row],[Name]],Table16[Name],Table16[Totals],"Error",0,1)</f>
        <v>1</v>
      </c>
      <c r="J91" s="72">
        <f>IF(ISNUMBER(AllTime1[[#This Row],[All-time rank]]), AllTime1[[#This Row],[All-time rank]] + ROW(AllTime1[[#This Row],[All-time rank]])/100000, 99999 + ROW(AllTime1[[#This Row],[All-time rank]])/100000)</f>
        <v>248.00091</v>
      </c>
      <c r="K91" s="69">
        <f>IF(ISNUMBER(AllTime1[[#This Row],[All-time score]]), AllTime1[[#This Row],[All-time score]] + ROW(AllTime1[[#This Row],[All-time score]])/100000000, 0 + ROW(AllTime1[[#This Row],[All-time score]])/1000000000)</f>
        <v>1.00000091</v>
      </c>
    </row>
    <row r="92" spans="7:11" ht="16.5">
      <c r="G92" s="71" t="str">
        <f>IFERROR(Table5[[#This Row],[Full name]],"")</f>
        <v>Aliran Kadashev</v>
      </c>
      <c r="H92" s="56">
        <f>_xlfn.RANK.EQ(AllTime1[[#This Row],[All-time score]],AllTime1[All-time score],0)</f>
        <v>64</v>
      </c>
      <c r="I92" s="56">
        <f>_xlfn.XLOOKUP(AllTime1[[#This Row],[Name]],Table16[Name],Table16[Totals],"Error",0,1)</f>
        <v>25</v>
      </c>
      <c r="J92" s="72">
        <f>IF(ISNUMBER(AllTime1[[#This Row],[All-time rank]]), AllTime1[[#This Row],[All-time rank]] + ROW(AllTime1[[#This Row],[All-time rank]])/100000, 99999 + ROW(AllTime1[[#This Row],[All-time rank]])/100000)</f>
        <v>64.000919999999994</v>
      </c>
      <c r="K92" s="69">
        <f>IF(ISNUMBER(AllTime1[[#This Row],[All-time score]]), AllTime1[[#This Row],[All-time score]] + ROW(AllTime1[[#This Row],[All-time score]])/100000000, 0 + ROW(AllTime1[[#This Row],[All-time score]])/1000000000)</f>
        <v>25.000000920000002</v>
      </c>
    </row>
    <row r="93" spans="7:11" ht="16.5">
      <c r="G93" s="71" t="str">
        <f>IFERROR(Table5[[#This Row],[Full name]],"")</f>
        <v>Allen Li</v>
      </c>
      <c r="H93" s="56">
        <f>_xlfn.RANK.EQ(AllTime1[[#This Row],[All-time score]],AllTime1[All-time score],0)</f>
        <v>220</v>
      </c>
      <c r="I93" s="56">
        <f>_xlfn.XLOOKUP(AllTime1[[#This Row],[Name]],Table16[Name],Table16[Totals],"Error",0,1)</f>
        <v>2</v>
      </c>
      <c r="J93" s="72">
        <f>IF(ISNUMBER(AllTime1[[#This Row],[All-time rank]]), AllTime1[[#This Row],[All-time rank]] + ROW(AllTime1[[#This Row],[All-time rank]])/100000, 99999 + ROW(AllTime1[[#This Row],[All-time rank]])/100000)</f>
        <v>220.00093000000001</v>
      </c>
      <c r="K93" s="69">
        <f>IF(ISNUMBER(AllTime1[[#This Row],[All-time score]]), AllTime1[[#This Row],[All-time score]] + ROW(AllTime1[[#This Row],[All-time score]])/100000000, 0 + ROW(AllTime1[[#This Row],[All-time score]])/1000000000)</f>
        <v>2.0000009300000001</v>
      </c>
    </row>
    <row r="94" spans="7:11" ht="16.5">
      <c r="G94" s="71" t="str">
        <f>IFERROR(Table5[[#This Row],[Full name]],"")</f>
        <v>Amal Sathees</v>
      </c>
      <c r="H94" s="56">
        <f>_xlfn.RANK.EQ(AllTime1[[#This Row],[All-time score]],AllTime1[All-time score],0)</f>
        <v>136</v>
      </c>
      <c r="I94" s="56">
        <f>_xlfn.XLOOKUP(AllTime1[[#This Row],[Name]],Table16[Name],Table16[Totals],"Error",0,1)</f>
        <v>10</v>
      </c>
      <c r="J94" s="72">
        <f>IF(ISNUMBER(AllTime1[[#This Row],[All-time rank]]), AllTime1[[#This Row],[All-time rank]] + ROW(AllTime1[[#This Row],[All-time rank]])/100000, 99999 + ROW(AllTime1[[#This Row],[All-time rank]])/100000)</f>
        <v>136.00094000000001</v>
      </c>
      <c r="K94" s="69">
        <f>IF(ISNUMBER(AllTime1[[#This Row],[All-time score]]), AllTime1[[#This Row],[All-time score]] + ROW(AllTime1[[#This Row],[All-time score]])/100000000, 0 + ROW(AllTime1[[#This Row],[All-time score]])/1000000000)</f>
        <v>10.00000094</v>
      </c>
    </row>
    <row r="95" spans="7:11" ht="16.5">
      <c r="G95" s="71" t="str">
        <f>IFERROR(Table5[[#This Row],[Full name]],"")</f>
        <v>Amar Aggarwal</v>
      </c>
      <c r="H95" s="56">
        <f>_xlfn.RANK.EQ(AllTime1[[#This Row],[All-time score]],AllTime1[All-time score],0)</f>
        <v>177</v>
      </c>
      <c r="I95" s="56">
        <f>_xlfn.XLOOKUP(AllTime1[[#This Row],[Name]],Table16[Name],Table16[Totals],"Error",0,1)</f>
        <v>4</v>
      </c>
      <c r="J95" s="72">
        <f>IF(ISNUMBER(AllTime1[[#This Row],[All-time rank]]), AllTime1[[#This Row],[All-time rank]] + ROW(AllTime1[[#This Row],[All-time rank]])/100000, 99999 + ROW(AllTime1[[#This Row],[All-time rank]])/100000)</f>
        <v>177.00094999999999</v>
      </c>
      <c r="K95" s="69">
        <f>IF(ISNUMBER(AllTime1[[#This Row],[All-time score]]), AllTime1[[#This Row],[All-time score]] + ROW(AllTime1[[#This Row],[All-time score]])/100000000, 0 + ROW(AllTime1[[#This Row],[All-time score]])/1000000000)</f>
        <v>4.0000009500000004</v>
      </c>
    </row>
    <row r="96" spans="7:11" ht="16.5">
      <c r="G96" s="71" t="str">
        <f>IFERROR(Table5[[#This Row],[Full name]],"")</f>
        <v>Anas Ahmet</v>
      </c>
      <c r="H96" s="56">
        <f>_xlfn.RANK.EQ(AllTime1[[#This Row],[All-time score]],AllTime1[All-time score],0)</f>
        <v>248</v>
      </c>
      <c r="I96" s="56">
        <f>_xlfn.XLOOKUP(AllTime1[[#This Row],[Name]],Table16[Name],Table16[Totals],"Error",0,1)</f>
        <v>1</v>
      </c>
      <c r="J96" s="72">
        <f>IF(ISNUMBER(AllTime1[[#This Row],[All-time rank]]), AllTime1[[#This Row],[All-time rank]] + ROW(AllTime1[[#This Row],[All-time rank]])/100000, 99999 + ROW(AllTime1[[#This Row],[All-time rank]])/100000)</f>
        <v>248.00095999999999</v>
      </c>
      <c r="K96" s="69">
        <f>IF(ISNUMBER(AllTime1[[#This Row],[All-time score]]), AllTime1[[#This Row],[All-time score]] + ROW(AllTime1[[#This Row],[All-time score]])/100000000, 0 + ROW(AllTime1[[#This Row],[All-time score]])/1000000000)</f>
        <v>1.0000009599999999</v>
      </c>
    </row>
    <row r="97" spans="7:11" ht="16.5">
      <c r="G97" s="71" t="str">
        <f>IFERROR(Table5[[#This Row],[Full name]],"")</f>
        <v>Andres Pedreros</v>
      </c>
      <c r="H97" s="56">
        <f>_xlfn.RANK.EQ(AllTime1[[#This Row],[All-time score]],AllTime1[All-time score],0)</f>
        <v>177</v>
      </c>
      <c r="I97" s="56">
        <f>_xlfn.XLOOKUP(AllTime1[[#This Row],[Name]],Table16[Name],Table16[Totals],"Error",0,1)</f>
        <v>4</v>
      </c>
      <c r="J97" s="72">
        <f>IF(ISNUMBER(AllTime1[[#This Row],[All-time rank]]), AllTime1[[#This Row],[All-time rank]] + ROW(AllTime1[[#This Row],[All-time rank]])/100000, 99999 + ROW(AllTime1[[#This Row],[All-time rank]])/100000)</f>
        <v>177.00097</v>
      </c>
      <c r="K97" s="69">
        <f>IF(ISNUMBER(AllTime1[[#This Row],[All-time score]]), AllTime1[[#This Row],[All-time score]] + ROW(AllTime1[[#This Row],[All-time score]])/100000000, 0 + ROW(AllTime1[[#This Row],[All-time score]])/1000000000)</f>
        <v>4.0000009700000003</v>
      </c>
    </row>
    <row r="98" spans="7:11" ht="16.5">
      <c r="G98" s="71" t="str">
        <f>IFERROR(Table5[[#This Row],[Full name]],"")</f>
        <v>Andrew Liu</v>
      </c>
      <c r="H98" s="56">
        <f>_xlfn.RANK.EQ(AllTime1[[#This Row],[All-time score]],AllTime1[All-time score],0)</f>
        <v>45</v>
      </c>
      <c r="I98" s="56">
        <f>_xlfn.XLOOKUP(AllTime1[[#This Row],[Name]],Table16[Name],Table16[Totals],"Error",0,1)</f>
        <v>34</v>
      </c>
      <c r="J98" s="72">
        <f>IF(ISNUMBER(AllTime1[[#This Row],[All-time rank]]), AllTime1[[#This Row],[All-time rank]] + ROW(AllTime1[[#This Row],[All-time rank]])/100000, 99999 + ROW(AllTime1[[#This Row],[All-time rank]])/100000)</f>
        <v>45.000979999999998</v>
      </c>
      <c r="K98" s="69">
        <f>IF(ISNUMBER(AllTime1[[#This Row],[All-time score]]), AllTime1[[#This Row],[All-time score]] + ROW(AllTime1[[#This Row],[All-time score]])/100000000, 0 + ROW(AllTime1[[#This Row],[All-time score]])/1000000000)</f>
        <v>34.000000980000003</v>
      </c>
    </row>
    <row r="99" spans="7:11" ht="16.5">
      <c r="G99" s="71" t="str">
        <f>IFERROR(Table5[[#This Row],[Full name]],"")</f>
        <v>Anil Maharaj</v>
      </c>
      <c r="H99" s="56">
        <f>_xlfn.RANK.EQ(AllTime1[[#This Row],[All-time score]],AllTime1[All-time score],0)</f>
        <v>248</v>
      </c>
      <c r="I99" s="56">
        <f>_xlfn.XLOOKUP(AllTime1[[#This Row],[Name]],Table16[Name],Table16[Totals],"Error",0,1)</f>
        <v>1</v>
      </c>
      <c r="J99" s="72">
        <f>IF(ISNUMBER(AllTime1[[#This Row],[All-time rank]]), AllTime1[[#This Row],[All-time rank]] + ROW(AllTime1[[#This Row],[All-time rank]])/100000, 99999 + ROW(AllTime1[[#This Row],[All-time rank]])/100000)</f>
        <v>248.00099</v>
      </c>
      <c r="K99" s="69">
        <f>IF(ISNUMBER(AllTime1[[#This Row],[All-time score]]), AllTime1[[#This Row],[All-time score]] + ROW(AllTime1[[#This Row],[All-time score]])/100000000, 0 + ROW(AllTime1[[#This Row],[All-time score]])/1000000000)</f>
        <v>1.00000099</v>
      </c>
    </row>
    <row r="100" spans="7:11" ht="16.5">
      <c r="G100" s="71" t="str">
        <f>IFERROR(Table5[[#This Row],[Full name]],"")</f>
        <v>Anthony Braccio</v>
      </c>
      <c r="H100" s="56">
        <f>_xlfn.RANK.EQ(AllTime1[[#This Row],[All-time score]],AllTime1[All-time score],0)</f>
        <v>77</v>
      </c>
      <c r="I100" s="56">
        <f>_xlfn.XLOOKUP(AllTime1[[#This Row],[Name]],Table16[Name],Table16[Totals],"Error",0,1)</f>
        <v>22</v>
      </c>
      <c r="J100" s="72">
        <f>IF(ISNUMBER(AllTime1[[#This Row],[All-time rank]]), AllTime1[[#This Row],[All-time rank]] + ROW(AllTime1[[#This Row],[All-time rank]])/100000, 99999 + ROW(AllTime1[[#This Row],[All-time rank]])/100000)</f>
        <v>77.001000000000005</v>
      </c>
      <c r="K100" s="69">
        <f>IF(ISNUMBER(AllTime1[[#This Row],[All-time score]]), AllTime1[[#This Row],[All-time score]] + ROW(AllTime1[[#This Row],[All-time score]])/100000000, 0 + ROW(AllTime1[[#This Row],[All-time score]])/1000000000)</f>
        <v>22.000001000000001</v>
      </c>
    </row>
    <row r="101" spans="7:11" ht="16.5">
      <c r="G101" s="71" t="str">
        <f>IFERROR(Table5[[#This Row],[Full name]],"")</f>
        <v>Anthony Di Pasquale</v>
      </c>
      <c r="H101" s="56">
        <f>_xlfn.RANK.EQ(AllTime1[[#This Row],[All-time score]],AllTime1[All-time score],0)</f>
        <v>136</v>
      </c>
      <c r="I101" s="56">
        <f>_xlfn.XLOOKUP(AllTime1[[#This Row],[Name]],Table16[Name],Table16[Totals],"Error",0,1)</f>
        <v>10</v>
      </c>
      <c r="J101" s="72">
        <f>IF(ISNUMBER(AllTime1[[#This Row],[All-time rank]]), AllTime1[[#This Row],[All-time rank]] + ROW(AllTime1[[#This Row],[All-time rank]])/100000, 99999 + ROW(AllTime1[[#This Row],[All-time rank]])/100000)</f>
        <v>136.00101000000001</v>
      </c>
      <c r="K101" s="69">
        <f>IF(ISNUMBER(AllTime1[[#This Row],[All-time score]]), AllTime1[[#This Row],[All-time score]] + ROW(AllTime1[[#This Row],[All-time score]])/100000000, 0 + ROW(AllTime1[[#This Row],[All-time score]])/1000000000)</f>
        <v>10.00000101</v>
      </c>
    </row>
    <row r="102" spans="7:11" ht="16.5">
      <c r="G102" s="71" t="str">
        <f>IFERROR(Table5[[#This Row],[Full name]],"")</f>
        <v>Anush Subasan</v>
      </c>
      <c r="H102" s="56">
        <f>_xlfn.RANK.EQ(AllTime1[[#This Row],[All-time score]],AllTime1[All-time score],0)</f>
        <v>220</v>
      </c>
      <c r="I102" s="56">
        <f>_xlfn.XLOOKUP(AllTime1[[#This Row],[Name]],Table16[Name],Table16[Totals],"Error",0,1)</f>
        <v>2</v>
      </c>
      <c r="J102" s="72">
        <f>IF(ISNUMBER(AllTime1[[#This Row],[All-time rank]]), AllTime1[[#This Row],[All-time rank]] + ROW(AllTime1[[#This Row],[All-time rank]])/100000, 99999 + ROW(AllTime1[[#This Row],[All-time rank]])/100000)</f>
        <v>220.00102000000001</v>
      </c>
      <c r="K102" s="69">
        <f>IF(ISNUMBER(AllTime1[[#This Row],[All-time score]]), AllTime1[[#This Row],[All-time score]] + ROW(AllTime1[[#This Row],[All-time score]])/100000000, 0 + ROW(AllTime1[[#This Row],[All-time score]])/1000000000)</f>
        <v>2.00000102</v>
      </c>
    </row>
    <row r="103" spans="7:11" ht="16.5">
      <c r="G103" s="71" t="str">
        <f>IFERROR(Table5[[#This Row],[Full name]],"")</f>
        <v>Arad Farrahi</v>
      </c>
      <c r="H103" s="56">
        <f>_xlfn.RANK.EQ(AllTime1[[#This Row],[All-time score]],AllTime1[All-time score],0)</f>
        <v>220</v>
      </c>
      <c r="I103" s="56">
        <f>_xlfn.XLOOKUP(AllTime1[[#This Row],[Name]],Table16[Name],Table16[Totals],"Error",0,1)</f>
        <v>2</v>
      </c>
      <c r="J103" s="72">
        <f>IF(ISNUMBER(AllTime1[[#This Row],[All-time rank]]), AllTime1[[#This Row],[All-time rank]] + ROW(AllTime1[[#This Row],[All-time rank]])/100000, 99999 + ROW(AllTime1[[#This Row],[All-time rank]])/100000)</f>
        <v>220.00102999999999</v>
      </c>
      <c r="K103" s="69">
        <f>IF(ISNUMBER(AllTime1[[#This Row],[All-time score]]), AllTime1[[#This Row],[All-time score]] + ROW(AllTime1[[#This Row],[All-time score]])/100000000, 0 + ROW(AllTime1[[#This Row],[All-time score]])/1000000000)</f>
        <v>2.00000103</v>
      </c>
    </row>
    <row r="104" spans="7:11" ht="16.5">
      <c r="G104" s="71" t="str">
        <f>IFERROR(Table5[[#This Row],[Full name]],"")</f>
        <v>Arad Sahebjamei</v>
      </c>
      <c r="H104" s="56">
        <f>_xlfn.RANK.EQ(AllTime1[[#This Row],[All-time score]],AllTime1[All-time score],0)</f>
        <v>248</v>
      </c>
      <c r="I104" s="56">
        <f>_xlfn.XLOOKUP(AllTime1[[#This Row],[Name]],Table16[Name],Table16[Totals],"Error",0,1)</f>
        <v>1</v>
      </c>
      <c r="J104" s="72">
        <f>IF(ISNUMBER(AllTime1[[#This Row],[All-time rank]]), AllTime1[[#This Row],[All-time rank]] + ROW(AllTime1[[#This Row],[All-time rank]])/100000, 99999 + ROW(AllTime1[[#This Row],[All-time rank]])/100000)</f>
        <v>248.00103999999999</v>
      </c>
      <c r="K104" s="69">
        <f>IF(ISNUMBER(AllTime1[[#This Row],[All-time score]]), AllTime1[[#This Row],[All-time score]] + ROW(AllTime1[[#This Row],[All-time score]])/100000000, 0 + ROW(AllTime1[[#This Row],[All-time score]])/1000000000)</f>
        <v>1.0000010399999999</v>
      </c>
    </row>
    <row r="105" spans="7:11" ht="16.5">
      <c r="G105" s="71" t="str">
        <f>IFERROR(Table5[[#This Row],[Full name]],"")</f>
        <v>Ari Citak</v>
      </c>
      <c r="H105" s="56">
        <f>_xlfn.RANK.EQ(AllTime1[[#This Row],[All-time score]],AllTime1[All-time score],0)</f>
        <v>177</v>
      </c>
      <c r="I105" s="56">
        <f>_xlfn.XLOOKUP(AllTime1[[#This Row],[Name]],Table16[Name],Table16[Totals],"Error",0,1)</f>
        <v>4</v>
      </c>
      <c r="J105" s="72">
        <f>IF(ISNUMBER(AllTime1[[#This Row],[All-time rank]]), AllTime1[[#This Row],[All-time rank]] + ROW(AllTime1[[#This Row],[All-time rank]])/100000, 99999 + ROW(AllTime1[[#This Row],[All-time rank]])/100000)</f>
        <v>177.00104999999999</v>
      </c>
      <c r="K105" s="69">
        <f>IF(ISNUMBER(AllTime1[[#This Row],[All-time score]]), AllTime1[[#This Row],[All-time score]] + ROW(AllTime1[[#This Row],[All-time score]])/100000000, 0 + ROW(AllTime1[[#This Row],[All-time score]])/1000000000)</f>
        <v>4.0000010499999998</v>
      </c>
    </row>
    <row r="106" spans="7:11" ht="16.5">
      <c r="G106" s="71" t="str">
        <f>IFERROR(Table5[[#This Row],[Full name]],"")</f>
        <v>Arianna Tan</v>
      </c>
      <c r="H106" s="56">
        <f>_xlfn.RANK.EQ(AllTime1[[#This Row],[All-time score]],AllTime1[All-time score],0)</f>
        <v>300</v>
      </c>
      <c r="I106" s="56">
        <f>_xlfn.XLOOKUP(AllTime1[[#This Row],[Name]],Table16[Name],Table16[Totals],"Error",0,1)</f>
        <v>0</v>
      </c>
      <c r="J106" s="72">
        <f>IF(ISNUMBER(AllTime1[[#This Row],[All-time rank]]), AllTime1[[#This Row],[All-time rank]] + ROW(AllTime1[[#This Row],[All-time rank]])/100000, 99999 + ROW(AllTime1[[#This Row],[All-time rank]])/100000)</f>
        <v>300.00106</v>
      </c>
      <c r="K106" s="69">
        <f>IF(ISNUMBER(AllTime1[[#This Row],[All-time score]]), AllTime1[[#This Row],[All-time score]] + ROW(AllTime1[[#This Row],[All-time score]])/100000000, 0 + ROW(AllTime1[[#This Row],[All-time score]])/1000000000)</f>
        <v>1.06E-6</v>
      </c>
    </row>
    <row r="107" spans="7:11" ht="16.5">
      <c r="G107" s="71" t="str">
        <f>IFERROR(Table5[[#This Row],[Full name]],"")</f>
        <v>Arion Mestanovski</v>
      </c>
      <c r="H107" s="56">
        <f>_xlfn.RANK.EQ(AllTime1[[#This Row],[All-time score]],AllTime1[All-time score],0)</f>
        <v>220</v>
      </c>
      <c r="I107" s="56">
        <f>_xlfn.XLOOKUP(AllTime1[[#This Row],[Name]],Table16[Name],Table16[Totals],"Error",0,1)</f>
        <v>2</v>
      </c>
      <c r="J107" s="72">
        <f>IF(ISNUMBER(AllTime1[[#This Row],[All-time rank]]), AllTime1[[#This Row],[All-time rank]] + ROW(AllTime1[[#This Row],[All-time rank]])/100000, 99999 + ROW(AllTime1[[#This Row],[All-time rank]])/100000)</f>
        <v>220.00107</v>
      </c>
      <c r="K107" s="69">
        <f>IF(ISNUMBER(AllTime1[[#This Row],[All-time score]]), AllTime1[[#This Row],[All-time score]] + ROW(AllTime1[[#This Row],[All-time score]])/100000000, 0 + ROW(AllTime1[[#This Row],[All-time score]])/1000000000)</f>
        <v>2.0000010700000002</v>
      </c>
    </row>
    <row r="108" spans="7:11" ht="16.5">
      <c r="G108" s="71" t="str">
        <f>IFERROR(Table5[[#This Row],[Full name]],"")</f>
        <v>Arthur Schneider</v>
      </c>
      <c r="H108" s="56">
        <f>_xlfn.RANK.EQ(AllTime1[[#This Row],[All-time score]],AllTime1[All-time score],0)</f>
        <v>248</v>
      </c>
      <c r="I108" s="56">
        <f>_xlfn.XLOOKUP(AllTime1[[#This Row],[Name]],Table16[Name],Table16[Totals],"Error",0,1)</f>
        <v>1</v>
      </c>
      <c r="J108" s="72">
        <f>IF(ISNUMBER(AllTime1[[#This Row],[All-time rank]]), AllTime1[[#This Row],[All-time rank]] + ROW(AllTime1[[#This Row],[All-time rank]])/100000, 99999 + ROW(AllTime1[[#This Row],[All-time rank]])/100000)</f>
        <v>248.00108</v>
      </c>
      <c r="K108" s="69">
        <f>IF(ISNUMBER(AllTime1[[#This Row],[All-time score]]), AllTime1[[#This Row],[All-time score]] + ROW(AllTime1[[#This Row],[All-time score]])/100000000, 0 + ROW(AllTime1[[#This Row],[All-time score]])/1000000000)</f>
        <v>1.0000010800000001</v>
      </c>
    </row>
    <row r="109" spans="7:11" ht="16.5">
      <c r="G109" s="71" t="str">
        <f>IFERROR(Table5[[#This Row],[Full name]],"")</f>
        <v>Ashley Shanthikumar</v>
      </c>
      <c r="H109" s="56">
        <f>_xlfn.RANK.EQ(AllTime1[[#This Row],[All-time score]],AllTime1[All-time score],0)</f>
        <v>165</v>
      </c>
      <c r="I109" s="56">
        <f>_xlfn.XLOOKUP(AllTime1[[#This Row],[Name]],Table16[Name],Table16[Totals],"Error",0,1)</f>
        <v>5</v>
      </c>
      <c r="J109" s="72">
        <f>IF(ISNUMBER(AllTime1[[#This Row],[All-time rank]]), AllTime1[[#This Row],[All-time rank]] + ROW(AllTime1[[#This Row],[All-time rank]])/100000, 99999 + ROW(AllTime1[[#This Row],[All-time rank]])/100000)</f>
        <v>165.00109</v>
      </c>
      <c r="K109" s="69">
        <f>IF(ISNUMBER(AllTime1[[#This Row],[All-time score]]), AllTime1[[#This Row],[All-time score]] + ROW(AllTime1[[#This Row],[All-time score]])/100000000, 0 + ROW(AllTime1[[#This Row],[All-time score]])/1000000000)</f>
        <v>5.0000010899999996</v>
      </c>
    </row>
    <row r="110" spans="7:11" ht="16.5">
      <c r="G110" s="71" t="str">
        <f>IFERROR(Table5[[#This Row],[Full name]],"")</f>
        <v>Athan Kang</v>
      </c>
      <c r="H110" s="56">
        <f>_xlfn.RANK.EQ(AllTime1[[#This Row],[All-time score]],AllTime1[All-time score],0)</f>
        <v>248</v>
      </c>
      <c r="I110" s="56">
        <f>_xlfn.XLOOKUP(AllTime1[[#This Row],[Name]],Table16[Name],Table16[Totals],"Error",0,1)</f>
        <v>1</v>
      </c>
      <c r="J110" s="72">
        <f>IF(ISNUMBER(AllTime1[[#This Row],[All-time rank]]), AllTime1[[#This Row],[All-time rank]] + ROW(AllTime1[[#This Row],[All-time rank]])/100000, 99999 + ROW(AllTime1[[#This Row],[All-time rank]])/100000)</f>
        <v>248.00110000000001</v>
      </c>
      <c r="K110" s="69">
        <f>IF(ISNUMBER(AllTime1[[#This Row],[All-time score]]), AllTime1[[#This Row],[All-time score]] + ROW(AllTime1[[#This Row],[All-time score]])/100000000, 0 + ROW(AllTime1[[#This Row],[All-time score]])/1000000000)</f>
        <v>1.0000011</v>
      </c>
    </row>
    <row r="111" spans="7:11" ht="16.5">
      <c r="G111" s="71" t="str">
        <f>IFERROR(Table5[[#This Row],[Full name]],"")</f>
        <v>Ayham Noor</v>
      </c>
      <c r="H111" s="56">
        <f>_xlfn.RANK.EQ(AllTime1[[#This Row],[All-time score]],AllTime1[All-time score],0)</f>
        <v>198</v>
      </c>
      <c r="I111" s="56">
        <f>_xlfn.XLOOKUP(AllTime1[[#This Row],[Name]],Table16[Name],Table16[Totals],"Error",0,1)</f>
        <v>3</v>
      </c>
      <c r="J111" s="72">
        <f>IF(ISNUMBER(AllTime1[[#This Row],[All-time rank]]), AllTime1[[#This Row],[All-time rank]] + ROW(AllTime1[[#This Row],[All-time rank]])/100000, 99999 + ROW(AllTime1[[#This Row],[All-time rank]])/100000)</f>
        <v>198.00111000000001</v>
      </c>
      <c r="K111" s="69">
        <f>IF(ISNUMBER(AllTime1[[#This Row],[All-time score]]), AllTime1[[#This Row],[All-time score]] + ROW(AllTime1[[#This Row],[All-time score]])/100000000, 0 + ROW(AllTime1[[#This Row],[All-time score]])/1000000000)</f>
        <v>3.0000011099999999</v>
      </c>
    </row>
    <row r="112" spans="7:11" ht="16.5">
      <c r="G112" s="71" t="str">
        <f>IFERROR(Table5[[#This Row],[Full name]],"")</f>
        <v>Balthazar Plat</v>
      </c>
      <c r="H112" s="56">
        <f>_xlfn.RANK.EQ(AllTime1[[#This Row],[All-time score]],AllTime1[All-time score],0)</f>
        <v>248</v>
      </c>
      <c r="I112" s="56">
        <f>_xlfn.XLOOKUP(AllTime1[[#This Row],[Name]],Table16[Name],Table16[Totals],"Error",0,1)</f>
        <v>1</v>
      </c>
      <c r="J112" s="72">
        <f>IF(ISNUMBER(AllTime1[[#This Row],[All-time rank]]), AllTime1[[#This Row],[All-time rank]] + ROW(AllTime1[[#This Row],[All-time rank]])/100000, 99999 + ROW(AllTime1[[#This Row],[All-time rank]])/100000)</f>
        <v>248.00111999999999</v>
      </c>
      <c r="K112" s="69">
        <f>IF(ISNUMBER(AllTime1[[#This Row],[All-time score]]), AllTime1[[#This Row],[All-time score]] + ROW(AllTime1[[#This Row],[All-time score]])/100000000, 0 + ROW(AllTime1[[#This Row],[All-time score]])/1000000000)</f>
        <v>1.0000011200000001</v>
      </c>
    </row>
    <row r="113" spans="7:11" ht="16.5">
      <c r="G113" s="71" t="str">
        <f>IFERROR(Table5[[#This Row],[Full name]],"")</f>
        <v>Barron Diao</v>
      </c>
      <c r="H113" s="56">
        <f>_xlfn.RANK.EQ(AllTime1[[#This Row],[All-time score]],AllTime1[All-time score],0)</f>
        <v>248</v>
      </c>
      <c r="I113" s="56">
        <f>_xlfn.XLOOKUP(AllTime1[[#This Row],[Name]],Table16[Name],Table16[Totals],"Error",0,1)</f>
        <v>1</v>
      </c>
      <c r="J113" s="72">
        <f>IF(ISNUMBER(AllTime1[[#This Row],[All-time rank]]), AllTime1[[#This Row],[All-time rank]] + ROW(AllTime1[[#This Row],[All-time rank]])/100000, 99999 + ROW(AllTime1[[#This Row],[All-time rank]])/100000)</f>
        <v>248.00112999999999</v>
      </c>
      <c r="K113" s="69">
        <f>IF(ISNUMBER(AllTime1[[#This Row],[All-time score]]), AllTime1[[#This Row],[All-time score]] + ROW(AllTime1[[#This Row],[All-time score]])/100000000, 0 + ROW(AllTime1[[#This Row],[All-time score]])/1000000000)</f>
        <v>1.00000113</v>
      </c>
    </row>
    <row r="114" spans="7:11" ht="16.5">
      <c r="G114" s="71" t="str">
        <f>IFERROR(Table5[[#This Row],[Full name]],"")</f>
        <v>Ben Goldstein</v>
      </c>
      <c r="H114" s="56">
        <f>_xlfn.RANK.EQ(AllTime1[[#This Row],[All-time score]],AllTime1[All-time score],0)</f>
        <v>198</v>
      </c>
      <c r="I114" s="56">
        <f>_xlfn.XLOOKUP(AllTime1[[#This Row],[Name]],Table16[Name],Table16[Totals],"Error",0,1)</f>
        <v>3</v>
      </c>
      <c r="J114" s="72">
        <f>IF(ISNUMBER(AllTime1[[#This Row],[All-time rank]]), AllTime1[[#This Row],[All-time rank]] + ROW(AllTime1[[#This Row],[All-time rank]])/100000, 99999 + ROW(AllTime1[[#This Row],[All-time rank]])/100000)</f>
        <v>198.00113999999999</v>
      </c>
      <c r="K114" s="69">
        <f>IF(ISNUMBER(AllTime1[[#This Row],[All-time score]]), AllTime1[[#This Row],[All-time score]] + ROW(AllTime1[[#This Row],[All-time score]])/100000000, 0 + ROW(AllTime1[[#This Row],[All-time score]])/1000000000)</f>
        <v>3.0000011400000002</v>
      </c>
    </row>
    <row r="115" spans="7:11" ht="16.5">
      <c r="G115" s="71" t="str">
        <f>IFERROR(Table5[[#This Row],[Full name]],"")</f>
        <v>Ben Murphy</v>
      </c>
      <c r="H115" s="56">
        <f>_xlfn.RANK.EQ(AllTime1[[#This Row],[All-time score]],AllTime1[All-time score],0)</f>
        <v>300</v>
      </c>
      <c r="I115" s="56">
        <f>_xlfn.XLOOKUP(AllTime1[[#This Row],[Name]],Table16[Name],Table16[Totals],"Error",0,1)</f>
        <v>0</v>
      </c>
      <c r="J115" s="72">
        <f>IF(ISNUMBER(AllTime1[[#This Row],[All-time rank]]), AllTime1[[#This Row],[All-time rank]] + ROW(AllTime1[[#This Row],[All-time rank]])/100000, 99999 + ROW(AllTime1[[#This Row],[All-time rank]])/100000)</f>
        <v>300.00115</v>
      </c>
      <c r="K115" s="69">
        <f>IF(ISNUMBER(AllTime1[[#This Row],[All-time score]]), AllTime1[[#This Row],[All-time score]] + ROW(AllTime1[[#This Row],[All-time score]])/100000000, 0 + ROW(AllTime1[[#This Row],[All-time score]])/1000000000)</f>
        <v>1.15E-6</v>
      </c>
    </row>
    <row r="116" spans="7:11" ht="16.5">
      <c r="G116" s="71" t="str">
        <f>IFERROR(Table5[[#This Row],[Full name]],"")</f>
        <v>Benjamin Gorospe</v>
      </c>
      <c r="H116" s="56">
        <f>_xlfn.RANK.EQ(AllTime1[[#This Row],[All-time score]],AllTime1[All-time score],0)</f>
        <v>248</v>
      </c>
      <c r="I116" s="56">
        <f>_xlfn.XLOOKUP(AllTime1[[#This Row],[Name]],Table16[Name],Table16[Totals],"Error",0,1)</f>
        <v>1</v>
      </c>
      <c r="J116" s="72">
        <f>IF(ISNUMBER(AllTime1[[#This Row],[All-time rank]]), AllTime1[[#This Row],[All-time rank]] + ROW(AllTime1[[#This Row],[All-time rank]])/100000, 99999 + ROW(AllTime1[[#This Row],[All-time rank]])/100000)</f>
        <v>248.00116</v>
      </c>
      <c r="K116" s="69">
        <f>IF(ISNUMBER(AllTime1[[#This Row],[All-time score]]), AllTime1[[#This Row],[All-time score]] + ROW(AllTime1[[#This Row],[All-time score]])/100000000, 0 + ROW(AllTime1[[#This Row],[All-time score]])/1000000000)</f>
        <v>1.0000011600000001</v>
      </c>
    </row>
    <row r="117" spans="7:11" ht="16.5">
      <c r="G117" s="71" t="str">
        <f>IFERROR(Table5[[#This Row],[Full name]],"")</f>
        <v>Benjamin Le Brun</v>
      </c>
      <c r="H117" s="56">
        <f>_xlfn.RANK.EQ(AllTime1[[#This Row],[All-time score]],AllTime1[All-time score],0)</f>
        <v>300</v>
      </c>
      <c r="I117" s="56">
        <f>_xlfn.XLOOKUP(AllTime1[[#This Row],[Name]],Table16[Name],Table16[Totals],"Error",0,1)</f>
        <v>0</v>
      </c>
      <c r="J117" s="72">
        <f>IF(ISNUMBER(AllTime1[[#This Row],[All-time rank]]), AllTime1[[#This Row],[All-time rank]] + ROW(AllTime1[[#This Row],[All-time rank]])/100000, 99999 + ROW(AllTime1[[#This Row],[All-time rank]])/100000)</f>
        <v>300.00117</v>
      </c>
      <c r="K117" s="69">
        <f>IF(ISNUMBER(AllTime1[[#This Row],[All-time score]]), AllTime1[[#This Row],[All-time score]] + ROW(AllTime1[[#This Row],[All-time score]])/100000000, 0 + ROW(AllTime1[[#This Row],[All-time score]])/1000000000)</f>
        <v>1.17E-6</v>
      </c>
    </row>
    <row r="118" spans="7:11" ht="16.5">
      <c r="G118" s="71" t="str">
        <f>IFERROR(Table5[[#This Row],[Full name]],"")</f>
        <v>Benjamin Namayandeh</v>
      </c>
      <c r="H118" s="56">
        <f>_xlfn.RANK.EQ(AllTime1[[#This Row],[All-time score]],AllTime1[All-time score],0)</f>
        <v>248</v>
      </c>
      <c r="I118" s="56">
        <f>_xlfn.XLOOKUP(AllTime1[[#This Row],[Name]],Table16[Name],Table16[Totals],"Error",0,1)</f>
        <v>1</v>
      </c>
      <c r="J118" s="72">
        <f>IF(ISNUMBER(AllTime1[[#This Row],[All-time rank]]), AllTime1[[#This Row],[All-time rank]] + ROW(AllTime1[[#This Row],[All-time rank]])/100000, 99999 + ROW(AllTime1[[#This Row],[All-time rank]])/100000)</f>
        <v>248.00118000000001</v>
      </c>
      <c r="K118" s="69">
        <f>IF(ISNUMBER(AllTime1[[#This Row],[All-time score]]), AllTime1[[#This Row],[All-time score]] + ROW(AllTime1[[#This Row],[All-time score]])/100000000, 0 + ROW(AllTime1[[#This Row],[All-time score]])/1000000000)</f>
        <v>1.0000011799999999</v>
      </c>
    </row>
    <row r="119" spans="7:11" ht="16.5">
      <c r="G119" s="71" t="str">
        <f>IFERROR(Table5[[#This Row],[Full name]],"")</f>
        <v>Benjamin Zheng</v>
      </c>
      <c r="H119" s="56">
        <f>_xlfn.RANK.EQ(AllTime1[[#This Row],[All-time score]],AllTime1[All-time score],0)</f>
        <v>96</v>
      </c>
      <c r="I119" s="56">
        <f>_xlfn.XLOOKUP(AllTime1[[#This Row],[Name]],Table16[Name],Table16[Totals],"Error",0,1)</f>
        <v>16</v>
      </c>
      <c r="J119" s="72">
        <f>IF(ISNUMBER(AllTime1[[#This Row],[All-time rank]]), AllTime1[[#This Row],[All-time rank]] + ROW(AllTime1[[#This Row],[All-time rank]])/100000, 99999 + ROW(AllTime1[[#This Row],[All-time rank]])/100000)</f>
        <v>96.001189999999994</v>
      </c>
      <c r="K119" s="69">
        <f>IF(ISNUMBER(AllTime1[[#This Row],[All-time score]]), AllTime1[[#This Row],[All-time score]] + ROW(AllTime1[[#This Row],[All-time score]])/100000000, 0 + ROW(AllTime1[[#This Row],[All-time score]])/1000000000)</f>
        <v>16.000001189999999</v>
      </c>
    </row>
    <row r="120" spans="7:11" ht="16.5">
      <c r="G120" s="71" t="str">
        <f>IFERROR(Table5[[#This Row],[Full name]],"")</f>
        <v>Bhargav Kandlakuti</v>
      </c>
      <c r="H120" s="56">
        <f>_xlfn.RANK.EQ(AllTime1[[#This Row],[All-time score]],AllTime1[All-time score],0)</f>
        <v>87</v>
      </c>
      <c r="I120" s="56">
        <f>_xlfn.XLOOKUP(AllTime1[[#This Row],[Name]],Table16[Name],Table16[Totals],"Error",0,1)</f>
        <v>18</v>
      </c>
      <c r="J120" s="72">
        <f>IF(ISNUMBER(AllTime1[[#This Row],[All-time rank]]), AllTime1[[#This Row],[All-time rank]] + ROW(AllTime1[[#This Row],[All-time rank]])/100000, 99999 + ROW(AllTime1[[#This Row],[All-time rank]])/100000)</f>
        <v>87.001199999999997</v>
      </c>
      <c r="K120" s="69">
        <f>IF(ISNUMBER(AllTime1[[#This Row],[All-time score]]), AllTime1[[#This Row],[All-time score]] + ROW(AllTime1[[#This Row],[All-time score]])/100000000, 0 + ROW(AllTime1[[#This Row],[All-time score]])/1000000000)</f>
        <v>18.0000012</v>
      </c>
    </row>
    <row r="121" spans="7:11" ht="16.5">
      <c r="G121" s="71" t="str">
        <f>IFERROR(Table5[[#This Row],[Full name]],"")</f>
        <v>Bilal Hachem</v>
      </c>
      <c r="H121" s="56">
        <f>_xlfn.RANK.EQ(AllTime1[[#This Row],[All-time score]],AllTime1[All-time score],0)</f>
        <v>248</v>
      </c>
      <c r="I121" s="56">
        <f>_xlfn.XLOOKUP(AllTime1[[#This Row],[Name]],Table16[Name],Table16[Totals],"Error",0,1)</f>
        <v>1</v>
      </c>
      <c r="J121" s="72">
        <f>IF(ISNUMBER(AllTime1[[#This Row],[All-time rank]]), AllTime1[[#This Row],[All-time rank]] + ROW(AllTime1[[#This Row],[All-time rank]])/100000, 99999 + ROW(AllTime1[[#This Row],[All-time rank]])/100000)</f>
        <v>248.00120999999999</v>
      </c>
      <c r="K121" s="69">
        <f>IF(ISNUMBER(AllTime1[[#This Row],[All-time score]]), AllTime1[[#This Row],[All-time score]] + ROW(AllTime1[[#This Row],[All-time score]])/100000000, 0 + ROW(AllTime1[[#This Row],[All-time score]])/1000000000)</f>
        <v>1.00000121</v>
      </c>
    </row>
    <row r="122" spans="7:11" ht="16.5">
      <c r="G122" s="71" t="str">
        <f>IFERROR(Table5[[#This Row],[Full name]],"")</f>
        <v>Brandon Roy</v>
      </c>
      <c r="H122" s="56">
        <f>_xlfn.RANK.EQ(AllTime1[[#This Row],[All-time score]],AllTime1[All-time score],0)</f>
        <v>198</v>
      </c>
      <c r="I122" s="56">
        <f>_xlfn.XLOOKUP(AllTime1[[#This Row],[Name]],Table16[Name],Table16[Totals],"Error",0,1)</f>
        <v>3</v>
      </c>
      <c r="J122" s="72">
        <f>IF(ISNUMBER(AllTime1[[#This Row],[All-time rank]]), AllTime1[[#This Row],[All-time rank]] + ROW(AllTime1[[#This Row],[All-time rank]])/100000, 99999 + ROW(AllTime1[[#This Row],[All-time rank]])/100000)</f>
        <v>198.00121999999999</v>
      </c>
      <c r="K122" s="69">
        <f>IF(ISNUMBER(AllTime1[[#This Row],[All-time score]]), AllTime1[[#This Row],[All-time score]] + ROW(AllTime1[[#This Row],[All-time score]])/100000000, 0 + ROW(AllTime1[[#This Row],[All-time score]])/1000000000)</f>
        <v>3.0000012200000001</v>
      </c>
    </row>
    <row r="123" spans="7:11" ht="16.5">
      <c r="G123" s="71" t="str">
        <f>IFERROR(Table5[[#This Row],[Full name]],"")</f>
        <v>Brayden Nykamp</v>
      </c>
      <c r="H123" s="56">
        <f>_xlfn.RANK.EQ(AllTime1[[#This Row],[All-time score]],AllTime1[All-time score],0)</f>
        <v>248</v>
      </c>
      <c r="I123" s="56">
        <f>_xlfn.XLOOKUP(AllTime1[[#This Row],[Name]],Table16[Name],Table16[Totals],"Error",0,1)</f>
        <v>1</v>
      </c>
      <c r="J123" s="72">
        <f>IF(ISNUMBER(AllTime1[[#This Row],[All-time rank]]), AllTime1[[#This Row],[All-time rank]] + ROW(AllTime1[[#This Row],[All-time rank]])/100000, 99999 + ROW(AllTime1[[#This Row],[All-time rank]])/100000)</f>
        <v>248.00122999999999</v>
      </c>
      <c r="K123" s="69">
        <f>IF(ISNUMBER(AllTime1[[#This Row],[All-time score]]), AllTime1[[#This Row],[All-time score]] + ROW(AllTime1[[#This Row],[All-time score]])/100000000, 0 + ROW(AllTime1[[#This Row],[All-time score]])/1000000000)</f>
        <v>1.0000012300000001</v>
      </c>
    </row>
    <row r="124" spans="7:11" ht="16.5">
      <c r="G124" s="71" t="str">
        <f>IFERROR(Table5[[#This Row],[Full name]],"")</f>
        <v>Bryce Ector</v>
      </c>
      <c r="H124" s="56">
        <f>_xlfn.RANK.EQ(AllTime1[[#This Row],[All-time score]],AllTime1[All-time score],0)</f>
        <v>248</v>
      </c>
      <c r="I124" s="56">
        <f>_xlfn.XLOOKUP(AllTime1[[#This Row],[Name]],Table16[Name],Table16[Totals],"Error",0,1)</f>
        <v>1</v>
      </c>
      <c r="J124" s="72">
        <f>IF(ISNUMBER(AllTime1[[#This Row],[All-time rank]]), AllTime1[[#This Row],[All-time rank]] + ROW(AllTime1[[#This Row],[All-time rank]])/100000, 99999 + ROW(AllTime1[[#This Row],[All-time rank]])/100000)</f>
        <v>248.00124</v>
      </c>
      <c r="K124" s="69">
        <f>IF(ISNUMBER(AllTime1[[#This Row],[All-time score]]), AllTime1[[#This Row],[All-time score]] + ROW(AllTime1[[#This Row],[All-time score]])/100000000, 0 + ROW(AllTime1[[#This Row],[All-time score]])/1000000000)</f>
        <v>1.00000124</v>
      </c>
    </row>
    <row r="125" spans="7:11" ht="16.5">
      <c r="G125" s="71" t="str">
        <f>IFERROR(Table5[[#This Row],[Full name]],"")</f>
        <v>Bupa Zhang</v>
      </c>
      <c r="H125" s="56">
        <f>_xlfn.RANK.EQ(AllTime1[[#This Row],[All-time score]],AllTime1[All-time score],0)</f>
        <v>248</v>
      </c>
      <c r="I125" s="56">
        <f>_xlfn.XLOOKUP(AllTime1[[#This Row],[Name]],Table16[Name],Table16[Totals],"Error",0,1)</f>
        <v>1</v>
      </c>
      <c r="J125" s="72">
        <f>IF(ISNUMBER(AllTime1[[#This Row],[All-time rank]]), AllTime1[[#This Row],[All-time rank]] + ROW(AllTime1[[#This Row],[All-time rank]])/100000, 99999 + ROW(AllTime1[[#This Row],[All-time rank]])/100000)</f>
        <v>248.00125</v>
      </c>
      <c r="K125" s="69">
        <f>IF(ISNUMBER(AllTime1[[#This Row],[All-time score]]), AllTime1[[#This Row],[All-time score]] + ROW(AllTime1[[#This Row],[All-time score]])/100000000, 0 + ROW(AllTime1[[#This Row],[All-time score]])/1000000000)</f>
        <v>1.00000125</v>
      </c>
    </row>
    <row r="126" spans="7:11" ht="16.5">
      <c r="G126" s="71" t="str">
        <f>IFERROR(Table5[[#This Row],[Full name]],"")</f>
        <v>Cameron Tran</v>
      </c>
      <c r="H126" s="56">
        <f>_xlfn.RANK.EQ(AllTime1[[#This Row],[All-time score]],AllTime1[All-time score],0)</f>
        <v>300</v>
      </c>
      <c r="I126" s="56">
        <f>_xlfn.XLOOKUP(AllTime1[[#This Row],[Name]],Table16[Name],Table16[Totals],"Error",0,1)</f>
        <v>0</v>
      </c>
      <c r="J126" s="72">
        <f>IF(ISNUMBER(AllTime1[[#This Row],[All-time rank]]), AllTime1[[#This Row],[All-time rank]] + ROW(AllTime1[[#This Row],[All-time rank]])/100000, 99999 + ROW(AllTime1[[#This Row],[All-time rank]])/100000)</f>
        <v>300.00126</v>
      </c>
      <c r="K126" s="69">
        <f>IF(ISNUMBER(AllTime1[[#This Row],[All-time score]]), AllTime1[[#This Row],[All-time score]] + ROW(AllTime1[[#This Row],[All-time score]])/100000000, 0 + ROW(AllTime1[[#This Row],[All-time score]])/1000000000)</f>
        <v>1.26E-6</v>
      </c>
    </row>
    <row r="127" spans="7:11" ht="16.5">
      <c r="G127" s="71" t="str">
        <f>IFERROR(Table5[[#This Row],[Full name]],"")</f>
        <v>Cameron Minol</v>
      </c>
      <c r="H127" s="56">
        <f>_xlfn.RANK.EQ(AllTime1[[#This Row],[All-time score]],AllTime1[All-time score],0)</f>
        <v>198</v>
      </c>
      <c r="I127" s="56">
        <f>_xlfn.XLOOKUP(AllTime1[[#This Row],[Name]],Table16[Name],Table16[Totals],"Error",0,1)</f>
        <v>3</v>
      </c>
      <c r="J127" s="72">
        <f>IF(ISNUMBER(AllTime1[[#This Row],[All-time rank]]), AllTime1[[#This Row],[All-time rank]] + ROW(AllTime1[[#This Row],[All-time rank]])/100000, 99999 + ROW(AllTime1[[#This Row],[All-time rank]])/100000)</f>
        <v>198.00127000000001</v>
      </c>
      <c r="K127" s="69">
        <f>IF(ISNUMBER(AllTime1[[#This Row],[All-time score]]), AllTime1[[#This Row],[All-time score]] + ROW(AllTime1[[#This Row],[All-time score]])/100000000, 0 + ROW(AllTime1[[#This Row],[All-time score]])/1000000000)</f>
        <v>3.0000012699999998</v>
      </c>
    </row>
    <row r="128" spans="7:11" ht="16.5">
      <c r="G128" s="71" t="str">
        <f>IFERROR(Table5[[#This Row],[Full name]],"")</f>
        <v>Carter Hollingsworth</v>
      </c>
      <c r="H128" s="56">
        <f>_xlfn.RANK.EQ(AllTime1[[#This Row],[All-time score]],AllTime1[All-time score],0)</f>
        <v>130</v>
      </c>
      <c r="I128" s="56">
        <f>_xlfn.XLOOKUP(AllTime1[[#This Row],[Name]],Table16[Name],Table16[Totals],"Error",0,1)</f>
        <v>11</v>
      </c>
      <c r="J128" s="72">
        <f>IF(ISNUMBER(AllTime1[[#This Row],[All-time rank]]), AllTime1[[#This Row],[All-time rank]] + ROW(AllTime1[[#This Row],[All-time rank]])/100000, 99999 + ROW(AllTime1[[#This Row],[All-time rank]])/100000)</f>
        <v>130.00128000000001</v>
      </c>
      <c r="K128" s="69">
        <f>IF(ISNUMBER(AllTime1[[#This Row],[All-time score]]), AllTime1[[#This Row],[All-time score]] + ROW(AllTime1[[#This Row],[All-time score]])/100000000, 0 + ROW(AllTime1[[#This Row],[All-time score]])/1000000000)</f>
        <v>11.000001279999999</v>
      </c>
    </row>
    <row r="129" spans="7:11" ht="16.5">
      <c r="G129" s="71" t="str">
        <f>IFERROR(Table5[[#This Row],[Full name]],"")</f>
        <v>Charlie Kernaghan</v>
      </c>
      <c r="H129" s="56">
        <f>_xlfn.RANK.EQ(AllTime1[[#This Row],[All-time score]],AllTime1[All-time score],0)</f>
        <v>159</v>
      </c>
      <c r="I129" s="56">
        <f>_xlfn.XLOOKUP(AllTime1[[#This Row],[Name]],Table16[Name],Table16[Totals],"Error",0,1)</f>
        <v>6</v>
      </c>
      <c r="J129" s="72">
        <f>IF(ISNUMBER(AllTime1[[#This Row],[All-time rank]]), AllTime1[[#This Row],[All-time rank]] + ROW(AllTime1[[#This Row],[All-time rank]])/100000, 99999 + ROW(AllTime1[[#This Row],[All-time rank]])/100000)</f>
        <v>159.00129000000001</v>
      </c>
      <c r="K129" s="69">
        <f>IF(ISNUMBER(AllTime1[[#This Row],[All-time score]]), AllTime1[[#This Row],[All-time score]] + ROW(AllTime1[[#This Row],[All-time score]])/100000000, 0 + ROW(AllTime1[[#This Row],[All-time score]])/1000000000)</f>
        <v>6.0000012900000002</v>
      </c>
    </row>
    <row r="130" spans="7:11" ht="16.5">
      <c r="G130" s="71" t="str">
        <f>IFERROR(Table5[[#This Row],[Full name]],"")</f>
        <v>Charlie Fry</v>
      </c>
      <c r="H130" s="56">
        <f>_xlfn.RANK.EQ(AllTime1[[#This Row],[All-time score]],AllTime1[All-time score],0)</f>
        <v>248</v>
      </c>
      <c r="I130" s="56">
        <f>_xlfn.XLOOKUP(AllTime1[[#This Row],[Name]],Table16[Name],Table16[Totals],"Error",0,1)</f>
        <v>1</v>
      </c>
      <c r="J130" s="72">
        <f>IF(ISNUMBER(AllTime1[[#This Row],[All-time rank]]), AllTime1[[#This Row],[All-time rank]] + ROW(AllTime1[[#This Row],[All-time rank]])/100000, 99999 + ROW(AllTime1[[#This Row],[All-time rank]])/100000)</f>
        <v>248.00129999999999</v>
      </c>
      <c r="K130" s="69">
        <f>IF(ISNUMBER(AllTime1[[#This Row],[All-time score]]), AllTime1[[#This Row],[All-time score]] + ROW(AllTime1[[#This Row],[All-time score]])/100000000, 0 + ROW(AllTime1[[#This Row],[All-time score]])/1000000000)</f>
        <v>1.0000013000000001</v>
      </c>
    </row>
    <row r="131" spans="7:11" ht="16.5">
      <c r="G131" s="71" t="str">
        <f>IFERROR(Table5[[#This Row],[Full name]],"")</f>
        <v>Chris Kim</v>
      </c>
      <c r="H131" s="56">
        <f>_xlfn.RANK.EQ(AllTime1[[#This Row],[All-time score]],AllTime1[All-time score],0)</f>
        <v>7</v>
      </c>
      <c r="I131" s="56">
        <f>_xlfn.XLOOKUP(AllTime1[[#This Row],[Name]],Table16[Name],Table16[Totals],"Error",0,1)</f>
        <v>82</v>
      </c>
      <c r="J131" s="72">
        <f>IF(ISNUMBER(AllTime1[[#This Row],[All-time rank]]), AllTime1[[#This Row],[All-time rank]] + ROW(AllTime1[[#This Row],[All-time rank]])/100000, 99999 + ROW(AllTime1[[#This Row],[All-time rank]])/100000)</f>
        <v>7.0013100000000001</v>
      </c>
      <c r="K131" s="69">
        <f>IF(ISNUMBER(AllTime1[[#This Row],[All-time score]]), AllTime1[[#This Row],[All-time score]] + ROW(AllTime1[[#This Row],[All-time score]])/100000000, 0 + ROW(AllTime1[[#This Row],[All-time score]])/1000000000)</f>
        <v>82.000001310000002</v>
      </c>
    </row>
    <row r="132" spans="7:11" ht="16.5">
      <c r="G132" s="71" t="str">
        <f>IFERROR(Table5[[#This Row],[Full name]],"")</f>
        <v>Christopher Grieve</v>
      </c>
      <c r="H132" s="56">
        <f>_xlfn.RANK.EQ(AllTime1[[#This Row],[All-time score]],AllTime1[All-time score],0)</f>
        <v>300</v>
      </c>
      <c r="I132" s="56">
        <f>_xlfn.XLOOKUP(AllTime1[[#This Row],[Name]],Table16[Name],Table16[Totals],"Error",0,1)</f>
        <v>0</v>
      </c>
      <c r="J132" s="72">
        <f>IF(ISNUMBER(AllTime1[[#This Row],[All-time rank]]), AllTime1[[#This Row],[All-time rank]] + ROW(AllTime1[[#This Row],[All-time rank]])/100000, 99999 + ROW(AllTime1[[#This Row],[All-time rank]])/100000)</f>
        <v>300.00132000000002</v>
      </c>
      <c r="K132" s="69">
        <f>IF(ISNUMBER(AllTime1[[#This Row],[All-time score]]), AllTime1[[#This Row],[All-time score]] + ROW(AllTime1[[#This Row],[All-time score]])/100000000, 0 + ROW(AllTime1[[#This Row],[All-time score]])/1000000000)</f>
        <v>1.3200000000000001E-6</v>
      </c>
    </row>
    <row r="133" spans="7:11" ht="16.5">
      <c r="G133" s="71" t="str">
        <f>IFERROR(Table5[[#This Row],[Full name]],"")</f>
        <v>Clara Chen</v>
      </c>
      <c r="H133" s="56">
        <f>_xlfn.RANK.EQ(AllTime1[[#This Row],[All-time score]],AllTime1[All-time score],0)</f>
        <v>177</v>
      </c>
      <c r="I133" s="56">
        <f>_xlfn.XLOOKUP(AllTime1[[#This Row],[Name]],Table16[Name],Table16[Totals],"Error",0,1)</f>
        <v>4</v>
      </c>
      <c r="J133" s="72">
        <f>IF(ISNUMBER(AllTime1[[#This Row],[All-time rank]]), AllTime1[[#This Row],[All-time rank]] + ROW(AllTime1[[#This Row],[All-time rank]])/100000, 99999 + ROW(AllTime1[[#This Row],[All-time rank]])/100000)</f>
        <v>177.00133</v>
      </c>
      <c r="K133" s="69">
        <f>IF(ISNUMBER(AllTime1[[#This Row],[All-time score]]), AllTime1[[#This Row],[All-time score]] + ROW(AllTime1[[#This Row],[All-time score]])/100000000, 0 + ROW(AllTime1[[#This Row],[All-time score]])/1000000000)</f>
        <v>4.0000013299999999</v>
      </c>
    </row>
    <row r="134" spans="7:11" ht="16.5">
      <c r="G134" s="71" t="str">
        <f>IFERROR(Table5[[#This Row],[Full name]],"")</f>
        <v>Connor Hung</v>
      </c>
      <c r="H134" s="56">
        <f>_xlfn.RANK.EQ(AllTime1[[#This Row],[All-time score]],AllTime1[All-time score],0)</f>
        <v>300</v>
      </c>
      <c r="I134" s="56">
        <f>_xlfn.XLOOKUP(AllTime1[[#This Row],[Name]],Table16[Name],Table16[Totals],"Error",0,1)</f>
        <v>0</v>
      </c>
      <c r="J134" s="72">
        <f>IF(ISNUMBER(AllTime1[[#This Row],[All-time rank]]), AllTime1[[#This Row],[All-time rank]] + ROW(AllTime1[[#This Row],[All-time rank]])/100000, 99999 + ROW(AllTime1[[#This Row],[All-time rank]])/100000)</f>
        <v>300.00134000000003</v>
      </c>
      <c r="K134" s="69">
        <f>IF(ISNUMBER(AllTime1[[#This Row],[All-time score]]), AllTime1[[#This Row],[All-time score]] + ROW(AllTime1[[#This Row],[All-time score]])/100000000, 0 + ROW(AllTime1[[#This Row],[All-time score]])/1000000000)</f>
        <v>1.3400000000000001E-6</v>
      </c>
    </row>
    <row r="135" spans="7:11" ht="16.5">
      <c r="G135" s="71" t="str">
        <f>IFERROR(Table5[[#This Row],[Full name]],"")</f>
        <v>Curtis Elve</v>
      </c>
      <c r="H135" s="56">
        <f>_xlfn.RANK.EQ(AllTime1[[#This Row],[All-time score]],AllTime1[All-time score],0)</f>
        <v>36</v>
      </c>
      <c r="I135" s="56">
        <f>_xlfn.XLOOKUP(AllTime1[[#This Row],[Name]],Table16[Name],Table16[Totals],"Error",0,1)</f>
        <v>42</v>
      </c>
      <c r="J135" s="72">
        <f>IF(ISNUMBER(AllTime1[[#This Row],[All-time rank]]), AllTime1[[#This Row],[All-time rank]] + ROW(AllTime1[[#This Row],[All-time rank]])/100000, 99999 + ROW(AllTime1[[#This Row],[All-time rank]])/100000)</f>
        <v>36.001350000000002</v>
      </c>
      <c r="K135" s="69">
        <f>IF(ISNUMBER(AllTime1[[#This Row],[All-time score]]), AllTime1[[#This Row],[All-time score]] + ROW(AllTime1[[#This Row],[All-time score]])/100000000, 0 + ROW(AllTime1[[#This Row],[All-time score]])/1000000000)</f>
        <v>42.000001349999998</v>
      </c>
    </row>
    <row r="136" spans="7:11" ht="16.5">
      <c r="G136" s="71" t="str">
        <f>IFERROR(Table5[[#This Row],[Full name]],"")</f>
        <v>Dami Oyefeso</v>
      </c>
      <c r="H136" s="56">
        <f>_xlfn.RANK.EQ(AllTime1[[#This Row],[All-time score]],AllTime1[All-time score],0)</f>
        <v>136</v>
      </c>
      <c r="I136" s="56">
        <f>_xlfn.XLOOKUP(AllTime1[[#This Row],[Name]],Table16[Name],Table16[Totals],"Error",0,1)</f>
        <v>10</v>
      </c>
      <c r="J136" s="72">
        <f>IF(ISNUMBER(AllTime1[[#This Row],[All-time rank]]), AllTime1[[#This Row],[All-time rank]] + ROW(AllTime1[[#This Row],[All-time rank]])/100000, 99999 + ROW(AllTime1[[#This Row],[All-time rank]])/100000)</f>
        <v>136.00136000000001</v>
      </c>
      <c r="K136" s="69">
        <f>IF(ISNUMBER(AllTime1[[#This Row],[All-time score]]), AllTime1[[#This Row],[All-time score]] + ROW(AllTime1[[#This Row],[All-time score]])/100000000, 0 + ROW(AllTime1[[#This Row],[All-time score]])/1000000000)</f>
        <v>10.000001360000001</v>
      </c>
    </row>
    <row r="137" spans="7:11" ht="16.5">
      <c r="G137" s="71" t="str">
        <f>IFERROR(Table5[[#This Row],[Full name]],"")</f>
        <v xml:space="preserve">Dan De Leary </v>
      </c>
      <c r="H137" s="56">
        <f>_xlfn.RANK.EQ(AllTime1[[#This Row],[All-time score]],AllTime1[All-time score],0)</f>
        <v>33</v>
      </c>
      <c r="I137" s="56">
        <f>_xlfn.XLOOKUP(AllTime1[[#This Row],[Name]],Table16[Name],Table16[Totals],"Error",0,1)</f>
        <v>48</v>
      </c>
      <c r="J137" s="72">
        <f>IF(ISNUMBER(AllTime1[[#This Row],[All-time rank]]), AllTime1[[#This Row],[All-time rank]] + ROW(AllTime1[[#This Row],[All-time rank]])/100000, 99999 + ROW(AllTime1[[#This Row],[All-time rank]])/100000)</f>
        <v>33.001370000000001</v>
      </c>
      <c r="K137" s="69">
        <f>IF(ISNUMBER(AllTime1[[#This Row],[All-time score]]), AllTime1[[#This Row],[All-time score]] + ROW(AllTime1[[#This Row],[All-time score]])/100000000, 0 + ROW(AllTime1[[#This Row],[All-time score]])/1000000000)</f>
        <v>48.00000137</v>
      </c>
    </row>
    <row r="138" spans="7:11" ht="16.5">
      <c r="G138" s="71" t="str">
        <f>IFERROR(Table5[[#This Row],[Full name]],"")</f>
        <v>Dan Qiai</v>
      </c>
      <c r="H138" s="56">
        <f>_xlfn.RANK.EQ(AllTime1[[#This Row],[All-time score]],AllTime1[All-time score],0)</f>
        <v>300</v>
      </c>
      <c r="I138" s="56">
        <f>_xlfn.XLOOKUP(AllTime1[[#This Row],[Name]],Table16[Name],Table16[Totals],"Error",0,1)</f>
        <v>0</v>
      </c>
      <c r="J138" s="72">
        <f>IF(ISNUMBER(AllTime1[[#This Row],[All-time rank]]), AllTime1[[#This Row],[All-time rank]] + ROW(AllTime1[[#This Row],[All-time rank]])/100000, 99999 + ROW(AllTime1[[#This Row],[All-time rank]])/100000)</f>
        <v>300.00137999999998</v>
      </c>
      <c r="K138" s="69">
        <f>IF(ISNUMBER(AllTime1[[#This Row],[All-time score]]), AllTime1[[#This Row],[All-time score]] + ROW(AllTime1[[#This Row],[All-time score]])/100000000, 0 + ROW(AllTime1[[#This Row],[All-time score]])/1000000000)</f>
        <v>1.3799999999999999E-6</v>
      </c>
    </row>
    <row r="139" spans="7:11" ht="16.5">
      <c r="G139" s="71" t="str">
        <f>IFERROR(Table5[[#This Row],[Full name]],"")</f>
        <v>Dan Qiao</v>
      </c>
      <c r="H139" s="56">
        <f>_xlfn.RANK.EQ(AllTime1[[#This Row],[All-time score]],AllTime1[All-time score],0)</f>
        <v>198</v>
      </c>
      <c r="I139" s="56">
        <f>_xlfn.XLOOKUP(AllTime1[[#This Row],[Name]],Table16[Name],Table16[Totals],"Error",0,1)</f>
        <v>3</v>
      </c>
      <c r="J139" s="72">
        <f>IF(ISNUMBER(AllTime1[[#This Row],[All-time rank]]), AllTime1[[#This Row],[All-time rank]] + ROW(AllTime1[[#This Row],[All-time rank]])/100000, 99999 + ROW(AllTime1[[#This Row],[All-time rank]])/100000)</f>
        <v>198.00138999999999</v>
      </c>
      <c r="K139" s="69">
        <f>IF(ISNUMBER(AllTime1[[#This Row],[All-time score]]), AllTime1[[#This Row],[All-time score]] + ROW(AllTime1[[#This Row],[All-time score]])/100000000, 0 + ROW(AllTime1[[#This Row],[All-time score]])/1000000000)</f>
        <v>3.00000139</v>
      </c>
    </row>
    <row r="140" spans="7:11" ht="16.5">
      <c r="G140" s="71" t="str">
        <f>IFERROR(Table5[[#This Row],[Full name]],"")</f>
        <v>Daniel Li</v>
      </c>
      <c r="H140" s="56">
        <f>_xlfn.RANK.EQ(AllTime1[[#This Row],[All-time score]],AllTime1[All-time score],0)</f>
        <v>16</v>
      </c>
      <c r="I140" s="56">
        <f>_xlfn.XLOOKUP(AllTime1[[#This Row],[Name]],Table16[Name],Table16[Totals],"Error",0,1)</f>
        <v>63</v>
      </c>
      <c r="J140" s="72">
        <f>IF(ISNUMBER(AllTime1[[#This Row],[All-time rank]]), AllTime1[[#This Row],[All-time rank]] + ROW(AllTime1[[#This Row],[All-time rank]])/100000, 99999 + ROW(AllTime1[[#This Row],[All-time rank]])/100000)</f>
        <v>16.0014</v>
      </c>
      <c r="K140" s="69">
        <f>IF(ISNUMBER(AllTime1[[#This Row],[All-time score]]), AllTime1[[#This Row],[All-time score]] + ROW(AllTime1[[#This Row],[All-time score]])/100000000, 0 + ROW(AllTime1[[#This Row],[All-time score]])/1000000000)</f>
        <v>63.000001400000002</v>
      </c>
    </row>
    <row r="141" spans="7:11" ht="16.5">
      <c r="G141" s="71" t="str">
        <f>IFERROR(Table5[[#This Row],[Full name]],"")</f>
        <v>Daniel Musoni</v>
      </c>
      <c r="H141" s="56">
        <f>_xlfn.RANK.EQ(AllTime1[[#This Row],[All-time score]],AllTime1[All-time score],0)</f>
        <v>29</v>
      </c>
      <c r="I141" s="56">
        <f>_xlfn.XLOOKUP(AllTime1[[#This Row],[Name]],Table16[Name],Table16[Totals],"Error",0,1)</f>
        <v>51</v>
      </c>
      <c r="J141" s="72">
        <f>IF(ISNUMBER(AllTime1[[#This Row],[All-time rank]]), AllTime1[[#This Row],[All-time rank]] + ROW(AllTime1[[#This Row],[All-time rank]])/100000, 99999 + ROW(AllTime1[[#This Row],[All-time rank]])/100000)</f>
        <v>29.00141</v>
      </c>
      <c r="K141" s="69">
        <f>IF(ISNUMBER(AllTime1[[#This Row],[All-time score]]), AllTime1[[#This Row],[All-time score]] + ROW(AllTime1[[#This Row],[All-time score]])/100000000, 0 + ROW(AllTime1[[#This Row],[All-time score]])/1000000000)</f>
        <v>51.000001410000003</v>
      </c>
    </row>
    <row r="142" spans="7:11" ht="16.5">
      <c r="G142" s="71" t="str">
        <f>IFERROR(Table5[[#This Row],[Full name]],"")</f>
        <v>Daniel Solesa</v>
      </c>
      <c r="H142" s="56">
        <f>_xlfn.RANK.EQ(AllTime1[[#This Row],[All-time score]],AllTime1[All-time score],0)</f>
        <v>177</v>
      </c>
      <c r="I142" s="56">
        <f>_xlfn.XLOOKUP(AllTime1[[#This Row],[Name]],Table16[Name],Table16[Totals],"Error",0,1)</f>
        <v>4</v>
      </c>
      <c r="J142" s="72">
        <f>IF(ISNUMBER(AllTime1[[#This Row],[All-time rank]]), AllTime1[[#This Row],[All-time rank]] + ROW(AllTime1[[#This Row],[All-time rank]])/100000, 99999 + ROW(AllTime1[[#This Row],[All-time rank]])/100000)</f>
        <v>177.00142</v>
      </c>
      <c r="K142" s="69">
        <f>IF(ISNUMBER(AllTime1[[#This Row],[All-time score]]), AllTime1[[#This Row],[All-time score]] + ROW(AllTime1[[#This Row],[All-time score]])/100000000, 0 + ROW(AllTime1[[#This Row],[All-time score]])/1000000000)</f>
        <v>4.0000014200000003</v>
      </c>
    </row>
    <row r="143" spans="7:11" ht="16.5">
      <c r="G143" s="71" t="str">
        <f>IFERROR(Table5[[#This Row],[Full name]],"")</f>
        <v>Daniel Zheng</v>
      </c>
      <c r="H143" s="56">
        <f>_xlfn.RANK.EQ(AllTime1[[#This Row],[All-time score]],AllTime1[All-time score],0)</f>
        <v>85</v>
      </c>
      <c r="I143" s="56">
        <f>_xlfn.XLOOKUP(AllTime1[[#This Row],[Name]],Table16[Name],Table16[Totals],"Error",0,1)</f>
        <v>19</v>
      </c>
      <c r="J143" s="72">
        <f>IF(ISNUMBER(AllTime1[[#This Row],[All-time rank]]), AllTime1[[#This Row],[All-time rank]] + ROW(AllTime1[[#This Row],[All-time rank]])/100000, 99999 + ROW(AllTime1[[#This Row],[All-time rank]])/100000)</f>
        <v>85.001429999999999</v>
      </c>
      <c r="K143" s="69">
        <f>IF(ISNUMBER(AllTime1[[#This Row],[All-time score]]), AllTime1[[#This Row],[All-time score]] + ROW(AllTime1[[#This Row],[All-time score]])/100000000, 0 + ROW(AllTime1[[#This Row],[All-time score]])/1000000000)</f>
        <v>19.000001430000001</v>
      </c>
    </row>
    <row r="144" spans="7:11" ht="16.5">
      <c r="G144" s="71" t="str">
        <f>IFERROR(Table5[[#This Row],[Full name]],"")</f>
        <v>Dara Shokouhian</v>
      </c>
      <c r="H144" s="56">
        <f>_xlfn.RANK.EQ(AllTime1[[#This Row],[All-time score]],AllTime1[All-time score],0)</f>
        <v>220</v>
      </c>
      <c r="I144" s="56">
        <f>_xlfn.XLOOKUP(AllTime1[[#This Row],[Name]],Table16[Name],Table16[Totals],"Error",0,1)</f>
        <v>2</v>
      </c>
      <c r="J144" s="72">
        <f>IF(ISNUMBER(AllTime1[[#This Row],[All-time rank]]), AllTime1[[#This Row],[All-time rank]] + ROW(AllTime1[[#This Row],[All-time rank]])/100000, 99999 + ROW(AllTime1[[#This Row],[All-time rank]])/100000)</f>
        <v>220.00144</v>
      </c>
      <c r="K144" s="69">
        <f>IF(ISNUMBER(AllTime1[[#This Row],[All-time score]]), AllTime1[[#This Row],[All-time score]] + ROW(AllTime1[[#This Row],[All-time score]])/100000000, 0 + ROW(AllTime1[[#This Row],[All-time score]])/1000000000)</f>
        <v>2.0000014400000001</v>
      </c>
    </row>
    <row r="145" spans="7:11" ht="16.5">
      <c r="G145" s="71" t="str">
        <f>IFERROR(Table5[[#This Row],[Full name]],"")</f>
        <v>David Fuentes</v>
      </c>
      <c r="H145" s="56">
        <f>_xlfn.RANK.EQ(AllTime1[[#This Row],[All-time score]],AllTime1[All-time score],0)</f>
        <v>177</v>
      </c>
      <c r="I145" s="56">
        <f>_xlfn.XLOOKUP(AllTime1[[#This Row],[Name]],Table16[Name],Table16[Totals],"Error",0,1)</f>
        <v>4</v>
      </c>
      <c r="J145" s="72">
        <f>IF(ISNUMBER(AllTime1[[#This Row],[All-time rank]]), AllTime1[[#This Row],[All-time rank]] + ROW(AllTime1[[#This Row],[All-time rank]])/100000, 99999 + ROW(AllTime1[[#This Row],[All-time rank]])/100000)</f>
        <v>177.00145000000001</v>
      </c>
      <c r="K145" s="69">
        <f>IF(ISNUMBER(AllTime1[[#This Row],[All-time score]]), AllTime1[[#This Row],[All-time score]] + ROW(AllTime1[[#This Row],[All-time score]])/100000000, 0 + ROW(AllTime1[[#This Row],[All-time score]])/1000000000)</f>
        <v>4.0000014500000001</v>
      </c>
    </row>
    <row r="146" spans="7:11" ht="16.5">
      <c r="G146" s="71" t="str">
        <f>IFERROR(Table5[[#This Row],[Full name]],"")</f>
        <v>Dehou Kong</v>
      </c>
      <c r="H146" s="56">
        <f>_xlfn.RANK.EQ(AllTime1[[#This Row],[All-time score]],AllTime1[All-time score],0)</f>
        <v>198</v>
      </c>
      <c r="I146" s="56">
        <f>_xlfn.XLOOKUP(AllTime1[[#This Row],[Name]],Table16[Name],Table16[Totals],"Error",0,1)</f>
        <v>3</v>
      </c>
      <c r="J146" s="72">
        <f>IF(ISNUMBER(AllTime1[[#This Row],[All-time rank]]), AllTime1[[#This Row],[All-time rank]] + ROW(AllTime1[[#This Row],[All-time rank]])/100000, 99999 + ROW(AllTime1[[#This Row],[All-time rank]])/100000)</f>
        <v>198.00146000000001</v>
      </c>
      <c r="K146" s="69">
        <f>IF(ISNUMBER(AllTime1[[#This Row],[All-time score]]), AllTime1[[#This Row],[All-time score]] + ROW(AllTime1[[#This Row],[All-time score]])/100000000, 0 + ROW(AllTime1[[#This Row],[All-time score]])/1000000000)</f>
        <v>3.00000146</v>
      </c>
    </row>
    <row r="147" spans="7:11" ht="16.5">
      <c r="G147" s="71" t="str">
        <f>IFERROR(Table5[[#This Row],[Full name]],"")</f>
        <v>Deniz Shelica</v>
      </c>
      <c r="H147" s="56">
        <f>_xlfn.RANK.EQ(AllTime1[[#This Row],[All-time score]],AllTime1[All-time score],0)</f>
        <v>248</v>
      </c>
      <c r="I147" s="56">
        <f>_xlfn.XLOOKUP(AllTime1[[#This Row],[Name]],Table16[Name],Table16[Totals],"Error",0,1)</f>
        <v>1</v>
      </c>
      <c r="J147" s="72">
        <f>IF(ISNUMBER(AllTime1[[#This Row],[All-time rank]]), AllTime1[[#This Row],[All-time rank]] + ROW(AllTime1[[#This Row],[All-time rank]])/100000, 99999 + ROW(AllTime1[[#This Row],[All-time rank]])/100000)</f>
        <v>248.00147000000001</v>
      </c>
      <c r="K147" s="69">
        <f>IF(ISNUMBER(AllTime1[[#This Row],[All-time score]]), AllTime1[[#This Row],[All-time score]] + ROW(AllTime1[[#This Row],[All-time score]])/100000000, 0 + ROW(AllTime1[[#This Row],[All-time score]])/1000000000)</f>
        <v>1.0000014699999999</v>
      </c>
    </row>
    <row r="148" spans="7:11" ht="16.5">
      <c r="G148" s="71" t="str">
        <f>IFERROR(Table5[[#This Row],[Full name]],"")</f>
        <v>Dipraman Ghosh</v>
      </c>
      <c r="H148" s="56">
        <f>_xlfn.RANK.EQ(AllTime1[[#This Row],[All-time score]],AllTime1[All-time score],0)</f>
        <v>5</v>
      </c>
      <c r="I148" s="56">
        <f>_xlfn.XLOOKUP(AllTime1[[#This Row],[Name]],Table16[Name],Table16[Totals],"Error",0,1)</f>
        <v>98</v>
      </c>
      <c r="J148" s="72">
        <f>IF(ISNUMBER(AllTime1[[#This Row],[All-time rank]]), AllTime1[[#This Row],[All-time rank]] + ROW(AllTime1[[#This Row],[All-time rank]])/100000, 99999 + ROW(AllTime1[[#This Row],[All-time rank]])/100000)</f>
        <v>5.0014799999999999</v>
      </c>
      <c r="K148" s="69">
        <f>IF(ISNUMBER(AllTime1[[#This Row],[All-time score]]), AllTime1[[#This Row],[All-time score]] + ROW(AllTime1[[#This Row],[All-time score]])/100000000, 0 + ROW(AllTime1[[#This Row],[All-time score]])/1000000000)</f>
        <v>98.000001479999995</v>
      </c>
    </row>
    <row r="149" spans="7:11" ht="16.5">
      <c r="G149" s="71" t="str">
        <f>IFERROR(Table5[[#This Row],[Full name]],"")</f>
        <v>Dominic Chiera</v>
      </c>
      <c r="H149" s="56">
        <f>_xlfn.RANK.EQ(AllTime1[[#This Row],[All-time score]],AllTime1[All-time score],0)</f>
        <v>43</v>
      </c>
      <c r="I149" s="56">
        <f>_xlfn.XLOOKUP(AllTime1[[#This Row],[Name]],Table16[Name],Table16[Totals],"Error",0,1)</f>
        <v>36</v>
      </c>
      <c r="J149" s="72">
        <f>IF(ISNUMBER(AllTime1[[#This Row],[All-time rank]]), AllTime1[[#This Row],[All-time rank]] + ROW(AllTime1[[#This Row],[All-time rank]])/100000, 99999 + ROW(AllTime1[[#This Row],[All-time rank]])/100000)</f>
        <v>43.001489999999997</v>
      </c>
      <c r="K149" s="69">
        <f>IF(ISNUMBER(AllTime1[[#This Row],[All-time score]]), AllTime1[[#This Row],[All-time score]] + ROW(AllTime1[[#This Row],[All-time score]])/100000000, 0 + ROW(AllTime1[[#This Row],[All-time score]])/1000000000)</f>
        <v>36.000001490000002</v>
      </c>
    </row>
    <row r="150" spans="7:11" ht="16.5">
      <c r="G150" s="71" t="str">
        <f>IFERROR(Table5[[#This Row],[Full name]],"")</f>
        <v>Dominik Nowakowski</v>
      </c>
      <c r="H150" s="56">
        <f>_xlfn.RANK.EQ(AllTime1[[#This Row],[All-time score]],AllTime1[All-time score],0)</f>
        <v>248</v>
      </c>
      <c r="I150" s="56">
        <f>_xlfn.XLOOKUP(AllTime1[[#This Row],[Name]],Table16[Name],Table16[Totals],"Error",0,1)</f>
        <v>1</v>
      </c>
      <c r="J150" s="72">
        <f>IF(ISNUMBER(AllTime1[[#This Row],[All-time rank]]), AllTime1[[#This Row],[All-time rank]] + ROW(AllTime1[[#This Row],[All-time rank]])/100000, 99999 + ROW(AllTime1[[#This Row],[All-time rank]])/100000)</f>
        <v>248.00149999999999</v>
      </c>
      <c r="K150" s="69">
        <f>IF(ISNUMBER(AllTime1[[#This Row],[All-time score]]), AllTime1[[#This Row],[All-time score]] + ROW(AllTime1[[#This Row],[All-time score]])/100000000, 0 + ROW(AllTime1[[#This Row],[All-time score]])/1000000000)</f>
        <v>1.0000015</v>
      </c>
    </row>
    <row r="151" spans="7:11" ht="16.5">
      <c r="G151" s="71" t="str">
        <f>IFERROR(Table5[[#This Row],[Full name]],"")</f>
        <v>Echo Bao</v>
      </c>
      <c r="H151" s="56">
        <f>_xlfn.RANK.EQ(AllTime1[[#This Row],[All-time score]],AllTime1[All-time score],0)</f>
        <v>300</v>
      </c>
      <c r="I151" s="56">
        <f>_xlfn.XLOOKUP(AllTime1[[#This Row],[Name]],Table16[Name],Table16[Totals],"Error",0,1)</f>
        <v>0</v>
      </c>
      <c r="J151" s="72">
        <f>IF(ISNUMBER(AllTime1[[#This Row],[All-time rank]]), AllTime1[[#This Row],[All-time rank]] + ROW(AllTime1[[#This Row],[All-time rank]])/100000, 99999 + ROW(AllTime1[[#This Row],[All-time rank]])/100000)</f>
        <v>300.00151</v>
      </c>
      <c r="K151" s="69">
        <f>IF(ISNUMBER(AllTime1[[#This Row],[All-time score]]), AllTime1[[#This Row],[All-time score]] + ROW(AllTime1[[#This Row],[All-time score]])/100000000, 0 + ROW(AllTime1[[#This Row],[All-time score]])/1000000000)</f>
        <v>1.5099999999999999E-6</v>
      </c>
    </row>
    <row r="152" spans="7:11" ht="16.5">
      <c r="G152" s="71" t="str">
        <f>IFERROR(Table5[[#This Row],[Full name]],"")</f>
        <v>Edison Li</v>
      </c>
      <c r="H152" s="56">
        <f>_xlfn.RANK.EQ(AllTime1[[#This Row],[All-time score]],AllTime1[All-time score],0)</f>
        <v>18</v>
      </c>
      <c r="I152" s="56">
        <f>_xlfn.XLOOKUP(AllTime1[[#This Row],[Name]],Table16[Name],Table16[Totals],"Error",0,1)</f>
        <v>59</v>
      </c>
      <c r="J152" s="72">
        <f>IF(ISNUMBER(AllTime1[[#This Row],[All-time rank]]), AllTime1[[#This Row],[All-time rank]] + ROW(AllTime1[[#This Row],[All-time rank]])/100000, 99999 + ROW(AllTime1[[#This Row],[All-time rank]])/100000)</f>
        <v>18.001519999999999</v>
      </c>
      <c r="K152" s="69">
        <f>IF(ISNUMBER(AllTime1[[#This Row],[All-time score]]), AllTime1[[#This Row],[All-time score]] + ROW(AllTime1[[#This Row],[All-time score]])/100000000, 0 + ROW(AllTime1[[#This Row],[All-time score]])/1000000000)</f>
        <v>59.000001519999998</v>
      </c>
    </row>
    <row r="153" spans="7:11" ht="16.5">
      <c r="G153" s="71" t="str">
        <f>IFERROR(Table5[[#This Row],[Full name]],"")</f>
        <v>Edward Yang</v>
      </c>
      <c r="H153" s="56">
        <f>_xlfn.RANK.EQ(AllTime1[[#This Row],[All-time score]],AllTime1[All-time score],0)</f>
        <v>248</v>
      </c>
      <c r="I153" s="56">
        <f>_xlfn.XLOOKUP(AllTime1[[#This Row],[Name]],Table16[Name],Table16[Totals],"Error",0,1)</f>
        <v>1</v>
      </c>
      <c r="J153" s="72">
        <f>IF(ISNUMBER(AllTime1[[#This Row],[All-time rank]]), AllTime1[[#This Row],[All-time rank]] + ROW(AllTime1[[#This Row],[All-time rank]])/100000, 99999 + ROW(AllTime1[[#This Row],[All-time rank]])/100000)</f>
        <v>248.00153</v>
      </c>
      <c r="K153" s="69">
        <f>IF(ISNUMBER(AllTime1[[#This Row],[All-time score]]), AllTime1[[#This Row],[All-time score]] + ROW(AllTime1[[#This Row],[All-time score]])/100000000, 0 + ROW(AllTime1[[#This Row],[All-time score]])/1000000000)</f>
        <v>1.00000153</v>
      </c>
    </row>
    <row r="154" spans="7:11" ht="16.5">
      <c r="G154" s="71" t="str">
        <f>IFERROR(Table5[[#This Row],[Full name]],"")</f>
        <v>Eesa Huq</v>
      </c>
      <c r="H154" s="56">
        <f>_xlfn.RANK.EQ(AllTime1[[#This Row],[All-time score]],AllTime1[All-time score],0)</f>
        <v>300</v>
      </c>
      <c r="I154" s="56">
        <f>_xlfn.XLOOKUP(AllTime1[[#This Row],[Name]],Table16[Name],Table16[Totals],"Error",0,1)</f>
        <v>0</v>
      </c>
      <c r="J154" s="72">
        <f>IF(ISNUMBER(AllTime1[[#This Row],[All-time rank]]), AllTime1[[#This Row],[All-time rank]] + ROW(AllTime1[[#This Row],[All-time rank]])/100000, 99999 + ROW(AllTime1[[#This Row],[All-time rank]])/100000)</f>
        <v>300.00153999999998</v>
      </c>
      <c r="K154" s="69">
        <f>IF(ISNUMBER(AllTime1[[#This Row],[All-time score]]), AllTime1[[#This Row],[All-time score]] + ROW(AllTime1[[#This Row],[All-time score]])/100000000, 0 + ROW(AllTime1[[#This Row],[All-time score]])/1000000000)</f>
        <v>1.5400000000000001E-6</v>
      </c>
    </row>
    <row r="155" spans="7:11" ht="16.5">
      <c r="G155" s="71" t="str">
        <f>IFERROR(Table5[[#This Row],[Full name]],"")</f>
        <v>Elbrus Gadmaliyev</v>
      </c>
      <c r="H155" s="56">
        <f>_xlfn.RANK.EQ(AllTime1[[#This Row],[All-time score]],AllTime1[All-time score],0)</f>
        <v>248</v>
      </c>
      <c r="I155" s="56">
        <f>_xlfn.XLOOKUP(AllTime1[[#This Row],[Name]],Table16[Name],Table16[Totals],"Error",0,1)</f>
        <v>1</v>
      </c>
      <c r="J155" s="72">
        <f>IF(ISNUMBER(AllTime1[[#This Row],[All-time rank]]), AllTime1[[#This Row],[All-time rank]] + ROW(AllTime1[[#This Row],[All-time rank]])/100000, 99999 + ROW(AllTime1[[#This Row],[All-time rank]])/100000)</f>
        <v>248.00155000000001</v>
      </c>
      <c r="K155" s="69">
        <f>IF(ISNUMBER(AllTime1[[#This Row],[All-time score]]), AllTime1[[#This Row],[All-time score]] + ROW(AllTime1[[#This Row],[All-time score]])/100000000, 0 + ROW(AllTime1[[#This Row],[All-time score]])/1000000000)</f>
        <v>1.0000015499999999</v>
      </c>
    </row>
    <row r="156" spans="7:11" ht="16.5">
      <c r="G156" s="71" t="str">
        <f>IFERROR(Table5[[#This Row],[Full name]],"")</f>
        <v>Emma Scott</v>
      </c>
      <c r="H156" s="56">
        <f>_xlfn.RANK.EQ(AllTime1[[#This Row],[All-time score]],AllTime1[All-time score],0)</f>
        <v>177</v>
      </c>
      <c r="I156" s="56">
        <f>_xlfn.XLOOKUP(AllTime1[[#This Row],[Name]],Table16[Name],Table16[Totals],"Error",0,1)</f>
        <v>4</v>
      </c>
      <c r="J156" s="72">
        <f>IF(ISNUMBER(AllTime1[[#This Row],[All-time rank]]), AllTime1[[#This Row],[All-time rank]] + ROW(AllTime1[[#This Row],[All-time rank]])/100000, 99999 + ROW(AllTime1[[#This Row],[All-time rank]])/100000)</f>
        <v>177.00156000000001</v>
      </c>
      <c r="K156" s="69">
        <f>IF(ISNUMBER(AllTime1[[#This Row],[All-time score]]), AllTime1[[#This Row],[All-time score]] + ROW(AllTime1[[#This Row],[All-time score]])/100000000, 0 + ROW(AllTime1[[#This Row],[All-time score]])/1000000000)</f>
        <v>4.0000015600000003</v>
      </c>
    </row>
    <row r="157" spans="7:11" ht="16.5">
      <c r="G157" s="71" t="str">
        <f>IFERROR(Table5[[#This Row],[Full name]],"")</f>
        <v>Emre Gulyurt</v>
      </c>
      <c r="H157" s="56">
        <f>_xlfn.RANK.EQ(AllTime1[[#This Row],[All-time score]],AllTime1[All-time score],0)</f>
        <v>300</v>
      </c>
      <c r="I157" s="56">
        <f>_xlfn.XLOOKUP(AllTime1[[#This Row],[Name]],Table16[Name],Table16[Totals],"Error",0,1)</f>
        <v>0</v>
      </c>
      <c r="J157" s="72">
        <f>IF(ISNUMBER(AllTime1[[#This Row],[All-time rank]]), AllTime1[[#This Row],[All-time rank]] + ROW(AllTime1[[#This Row],[All-time rank]])/100000, 99999 + ROW(AllTime1[[#This Row],[All-time rank]])/100000)</f>
        <v>300.00157000000002</v>
      </c>
      <c r="K157" s="69">
        <f>IF(ISNUMBER(AllTime1[[#This Row],[All-time score]]), AllTime1[[#This Row],[All-time score]] + ROW(AllTime1[[#This Row],[All-time score]])/100000000, 0 + ROW(AllTime1[[#This Row],[All-time score]])/1000000000)</f>
        <v>1.57E-6</v>
      </c>
    </row>
    <row r="158" spans="7:11" ht="16.5">
      <c r="G158" s="71" t="str">
        <f>IFERROR(Table5[[#This Row],[Full name]],"")</f>
        <v>Erfan Zarenia</v>
      </c>
      <c r="H158" s="56">
        <f>_xlfn.RANK.EQ(AllTime1[[#This Row],[All-time score]],AllTime1[All-time score],0)</f>
        <v>87</v>
      </c>
      <c r="I158" s="56">
        <f>_xlfn.XLOOKUP(AllTime1[[#This Row],[Name]],Table16[Name],Table16[Totals],"Error",0,1)</f>
        <v>18</v>
      </c>
      <c r="J158" s="72">
        <f>IF(ISNUMBER(AllTime1[[#This Row],[All-time rank]]), AllTime1[[#This Row],[All-time rank]] + ROW(AllTime1[[#This Row],[All-time rank]])/100000, 99999 + ROW(AllTime1[[#This Row],[All-time rank]])/100000)</f>
        <v>87.001580000000004</v>
      </c>
      <c r="K158" s="69">
        <f>IF(ISNUMBER(AllTime1[[#This Row],[All-time score]]), AllTime1[[#This Row],[All-time score]] + ROW(AllTime1[[#This Row],[All-time score]])/100000000, 0 + ROW(AllTime1[[#This Row],[All-time score]])/1000000000)</f>
        <v>18.000001579999999</v>
      </c>
    </row>
    <row r="159" spans="7:11" ht="16.5">
      <c r="G159" s="71" t="str">
        <f>IFERROR(Table5[[#This Row],[Full name]],"")</f>
        <v>Eric Song</v>
      </c>
      <c r="H159" s="56">
        <f>_xlfn.RANK.EQ(AllTime1[[#This Row],[All-time score]],AllTime1[All-time score],0)</f>
        <v>11</v>
      </c>
      <c r="I159" s="56">
        <f>_xlfn.XLOOKUP(AllTime1[[#This Row],[Name]],Table16[Name],Table16[Totals],"Error",0,1)</f>
        <v>74</v>
      </c>
      <c r="J159" s="72">
        <f>IF(ISNUMBER(AllTime1[[#This Row],[All-time rank]]), AllTime1[[#This Row],[All-time rank]] + ROW(AllTime1[[#This Row],[All-time rank]])/100000, 99999 + ROW(AllTime1[[#This Row],[All-time rank]])/100000)</f>
        <v>11.00159</v>
      </c>
      <c r="K159" s="69">
        <f>IF(ISNUMBER(AllTime1[[#This Row],[All-time score]]), AllTime1[[#This Row],[All-time score]] + ROW(AllTime1[[#This Row],[All-time score]])/100000000, 0 + ROW(AllTime1[[#This Row],[All-time score]])/1000000000)</f>
        <v>74.000001589999997</v>
      </c>
    </row>
    <row r="160" spans="7:11" ht="16.5">
      <c r="G160" s="71" t="str">
        <f>IFERROR(Table5[[#This Row],[Full name]],"")</f>
        <v>Ethan Zhao</v>
      </c>
      <c r="H160" s="56">
        <f>_xlfn.RANK.EQ(AllTime1[[#This Row],[All-time score]],AllTime1[All-time score],0)</f>
        <v>220</v>
      </c>
      <c r="I160" s="56">
        <f>_xlfn.XLOOKUP(AllTime1[[#This Row],[Name]],Table16[Name],Table16[Totals],"Error",0,1)</f>
        <v>2</v>
      </c>
      <c r="J160" s="72">
        <f>IF(ISNUMBER(AllTime1[[#This Row],[All-time rank]]), AllTime1[[#This Row],[All-time rank]] + ROW(AllTime1[[#This Row],[All-time rank]])/100000, 99999 + ROW(AllTime1[[#This Row],[All-time rank]])/100000)</f>
        <v>220.0016</v>
      </c>
      <c r="K160" s="69">
        <f>IF(ISNUMBER(AllTime1[[#This Row],[All-time score]]), AllTime1[[#This Row],[All-time score]] + ROW(AllTime1[[#This Row],[All-time score]])/100000000, 0 + ROW(AllTime1[[#This Row],[All-time score]])/1000000000)</f>
        <v>2.0000016</v>
      </c>
    </row>
    <row r="161" spans="7:11" ht="16.5">
      <c r="G161" s="71" t="str">
        <f>IFERROR(Table5[[#This Row],[Full name]],"")</f>
        <v>Ethan Schmidt</v>
      </c>
      <c r="H161" s="56">
        <f>_xlfn.RANK.EQ(AllTime1[[#This Row],[All-time score]],AllTime1[All-time score],0)</f>
        <v>198</v>
      </c>
      <c r="I161" s="56">
        <f>_xlfn.XLOOKUP(AllTime1[[#This Row],[Name]],Table16[Name],Table16[Totals],"Error",0,1)</f>
        <v>3</v>
      </c>
      <c r="J161" s="72">
        <f>IF(ISNUMBER(AllTime1[[#This Row],[All-time rank]]), AllTime1[[#This Row],[All-time rank]] + ROW(AllTime1[[#This Row],[All-time rank]])/100000, 99999 + ROW(AllTime1[[#This Row],[All-time rank]])/100000)</f>
        <v>198.00161</v>
      </c>
      <c r="K161" s="69">
        <f>IF(ISNUMBER(AllTime1[[#This Row],[All-time score]]), AllTime1[[#This Row],[All-time score]] + ROW(AllTime1[[#This Row],[All-time score]])/100000000, 0 + ROW(AllTime1[[#This Row],[All-time score]])/1000000000)</f>
        <v>3.00000161</v>
      </c>
    </row>
    <row r="162" spans="7:11" ht="16.5">
      <c r="G162" s="71" t="str">
        <f>IFERROR(Table5[[#This Row],[Full name]],"")</f>
        <v>Evan Sahadeo</v>
      </c>
      <c r="H162" s="56">
        <f>_xlfn.RANK.EQ(AllTime1[[#This Row],[All-time score]],AllTime1[All-time score],0)</f>
        <v>198</v>
      </c>
      <c r="I162" s="56">
        <f>_xlfn.XLOOKUP(AllTime1[[#This Row],[Name]],Table16[Name],Table16[Totals],"Error",0,1)</f>
        <v>3</v>
      </c>
      <c r="J162" s="72">
        <f>IF(ISNUMBER(AllTime1[[#This Row],[All-time rank]]), AllTime1[[#This Row],[All-time rank]] + ROW(AllTime1[[#This Row],[All-time rank]])/100000, 99999 + ROW(AllTime1[[#This Row],[All-time rank]])/100000)</f>
        <v>198.00162</v>
      </c>
      <c r="K162" s="69">
        <f>IF(ISNUMBER(AllTime1[[#This Row],[All-time score]]), AllTime1[[#This Row],[All-time score]] + ROW(AllTime1[[#This Row],[All-time score]])/100000000, 0 + ROW(AllTime1[[#This Row],[All-time score]])/1000000000)</f>
        <v>3.0000016199999999</v>
      </c>
    </row>
    <row r="163" spans="7:11" ht="16.5">
      <c r="G163" s="71" t="str">
        <f>IFERROR(Table5[[#This Row],[Full name]],"")</f>
        <v>Evelyn Zhang</v>
      </c>
      <c r="H163" s="56">
        <f>_xlfn.RANK.EQ(AllTime1[[#This Row],[All-time score]],AllTime1[All-time score],0)</f>
        <v>220</v>
      </c>
      <c r="I163" s="56">
        <f>_xlfn.XLOOKUP(AllTime1[[#This Row],[Name]],Table16[Name],Table16[Totals],"Error",0,1)</f>
        <v>2</v>
      </c>
      <c r="J163" s="72">
        <f>IF(ISNUMBER(AllTime1[[#This Row],[All-time rank]]), AllTime1[[#This Row],[All-time rank]] + ROW(AllTime1[[#This Row],[All-time rank]])/100000, 99999 + ROW(AllTime1[[#This Row],[All-time rank]])/100000)</f>
        <v>220.00163000000001</v>
      </c>
      <c r="K163" s="69">
        <f>IF(ISNUMBER(AllTime1[[#This Row],[All-time score]]), AllTime1[[#This Row],[All-time score]] + ROW(AllTime1[[#This Row],[All-time score]])/100000000, 0 + ROW(AllTime1[[#This Row],[All-time score]])/1000000000)</f>
        <v>2.0000016299999999</v>
      </c>
    </row>
    <row r="164" spans="7:11" ht="16.5">
      <c r="G164" s="71" t="str">
        <f>IFERROR(Table5[[#This Row],[Full name]],"")</f>
        <v>Everett McEwen</v>
      </c>
      <c r="H164" s="56">
        <f>_xlfn.RANK.EQ(AllTime1[[#This Row],[All-time score]],AllTime1[All-time score],0)</f>
        <v>121</v>
      </c>
      <c r="I164" s="56">
        <f>_xlfn.XLOOKUP(AllTime1[[#This Row],[Name]],Table16[Name],Table16[Totals],"Error",0,1)</f>
        <v>12</v>
      </c>
      <c r="J164" s="72">
        <f>IF(ISNUMBER(AllTime1[[#This Row],[All-time rank]]), AllTime1[[#This Row],[All-time rank]] + ROW(AllTime1[[#This Row],[All-time rank]])/100000, 99999 + ROW(AllTime1[[#This Row],[All-time rank]])/100000)</f>
        <v>121.00163999999999</v>
      </c>
      <c r="K164" s="69">
        <f>IF(ISNUMBER(AllTime1[[#This Row],[All-time score]]), AllTime1[[#This Row],[All-time score]] + ROW(AllTime1[[#This Row],[All-time score]])/100000000, 0 + ROW(AllTime1[[#This Row],[All-time score]])/1000000000)</f>
        <v>12.000001640000001</v>
      </c>
    </row>
    <row r="165" spans="7:11" ht="16.5">
      <c r="G165" s="71" t="str">
        <f>IFERROR(Table5[[#This Row],[Full name]],"")</f>
        <v>Ewan Reid</v>
      </c>
      <c r="H165" s="56">
        <f>_xlfn.RANK.EQ(AllTime1[[#This Row],[All-time score]],AllTime1[All-time score],0)</f>
        <v>248</v>
      </c>
      <c r="I165" s="56">
        <f>_xlfn.XLOOKUP(AllTime1[[#This Row],[Name]],Table16[Name],Table16[Totals],"Error",0,1)</f>
        <v>1</v>
      </c>
      <c r="J165" s="72">
        <f>IF(ISNUMBER(AllTime1[[#This Row],[All-time rank]]), AllTime1[[#This Row],[All-time rank]] + ROW(AllTime1[[#This Row],[All-time rank]])/100000, 99999 + ROW(AllTime1[[#This Row],[All-time rank]])/100000)</f>
        <v>248.00165000000001</v>
      </c>
      <c r="K165" s="69">
        <f>IF(ISNUMBER(AllTime1[[#This Row],[All-time score]]), AllTime1[[#This Row],[All-time score]] + ROW(AllTime1[[#This Row],[All-time score]])/100000000, 0 + ROW(AllTime1[[#This Row],[All-time score]])/1000000000)</f>
        <v>1.00000165</v>
      </c>
    </row>
    <row r="166" spans="7:11" ht="16.5">
      <c r="G166" s="71" t="str">
        <f>IFERROR(Table5[[#This Row],[Full name]],"")</f>
        <v>Gabe Mclellan</v>
      </c>
      <c r="H166" s="56">
        <f>_xlfn.RANK.EQ(AllTime1[[#This Row],[All-time score]],AllTime1[All-time score],0)</f>
        <v>25</v>
      </c>
      <c r="I166" s="56">
        <f>_xlfn.XLOOKUP(AllTime1[[#This Row],[Name]],Table16[Name],Table16[Totals],"Error",0,1)</f>
        <v>55</v>
      </c>
      <c r="J166" s="72">
        <f>IF(ISNUMBER(AllTime1[[#This Row],[All-time rank]]), AllTime1[[#This Row],[All-time rank]] + ROW(AllTime1[[#This Row],[All-time rank]])/100000, 99999 + ROW(AllTime1[[#This Row],[All-time rank]])/100000)</f>
        <v>25.001660000000001</v>
      </c>
      <c r="K166" s="69">
        <f>IF(ISNUMBER(AllTime1[[#This Row],[All-time score]]), AllTime1[[#This Row],[All-time score]] + ROW(AllTime1[[#This Row],[All-time score]])/100000000, 0 + ROW(AllTime1[[#This Row],[All-time score]])/1000000000)</f>
        <v>55.000001660000002</v>
      </c>
    </row>
    <row r="167" spans="7:11" ht="16.5">
      <c r="G167" s="71" t="str">
        <f>IFERROR(Table5[[#This Row],[Full name]],"")</f>
        <v>Gabriel Casiero</v>
      </c>
      <c r="H167" s="56">
        <f>_xlfn.RANK.EQ(AllTime1[[#This Row],[All-time score]],AllTime1[All-time score],0)</f>
        <v>300</v>
      </c>
      <c r="I167" s="56">
        <f>_xlfn.XLOOKUP(AllTime1[[#This Row],[Name]],Table16[Name],Table16[Totals],"Error",0,1)</f>
        <v>0</v>
      </c>
      <c r="J167" s="72">
        <f>IF(ISNUMBER(AllTime1[[#This Row],[All-time rank]]), AllTime1[[#This Row],[All-time rank]] + ROW(AllTime1[[#This Row],[All-time rank]])/100000, 99999 + ROW(AllTime1[[#This Row],[All-time rank]])/100000)</f>
        <v>300.00166999999999</v>
      </c>
      <c r="K167" s="69">
        <f>IF(ISNUMBER(AllTime1[[#This Row],[All-time score]]), AllTime1[[#This Row],[All-time score]] + ROW(AllTime1[[#This Row],[All-time score]])/100000000, 0 + ROW(AllTime1[[#This Row],[All-time score]])/1000000000)</f>
        <v>1.6700000000000001E-6</v>
      </c>
    </row>
    <row r="168" spans="7:11" ht="16.5">
      <c r="G168" s="71" t="str">
        <f>IFERROR(Table5[[#This Row],[Full name]],"")</f>
        <v>Gary Chung</v>
      </c>
      <c r="H168" s="56">
        <f>_xlfn.RANK.EQ(AllTime1[[#This Row],[All-time score]],AllTime1[All-time score],0)</f>
        <v>96</v>
      </c>
      <c r="I168" s="56">
        <f>_xlfn.XLOOKUP(AllTime1[[#This Row],[Name]],Table16[Name],Table16[Totals],"Error",0,1)</f>
        <v>16</v>
      </c>
      <c r="J168" s="72">
        <f>IF(ISNUMBER(AllTime1[[#This Row],[All-time rank]]), AllTime1[[#This Row],[All-time rank]] + ROW(AllTime1[[#This Row],[All-time rank]])/100000, 99999 + ROW(AllTime1[[#This Row],[All-time rank]])/100000)</f>
        <v>96.001679999999993</v>
      </c>
      <c r="K168" s="69">
        <f>IF(ISNUMBER(AllTime1[[#This Row],[All-time score]]), AllTime1[[#This Row],[All-time score]] + ROW(AllTime1[[#This Row],[All-time score]])/100000000, 0 + ROW(AllTime1[[#This Row],[All-time score]])/1000000000)</f>
        <v>16.00000168</v>
      </c>
    </row>
    <row r="169" spans="7:11" ht="16.5">
      <c r="G169" s="71" t="str">
        <f>IFERROR(Table5[[#This Row],[Full name]],"")</f>
        <v>Gavin Nichols</v>
      </c>
      <c r="H169" s="56">
        <f>_xlfn.RANK.EQ(AllTime1[[#This Row],[All-time score]],AllTime1[All-time score],0)</f>
        <v>300</v>
      </c>
      <c r="I169" s="56">
        <f>_xlfn.XLOOKUP(AllTime1[[#This Row],[Name]],Table16[Name],Table16[Totals],"Error",0,1)</f>
        <v>0</v>
      </c>
      <c r="J169" s="72">
        <f>IF(ISNUMBER(AllTime1[[#This Row],[All-time rank]]), AllTime1[[#This Row],[All-time rank]] + ROW(AllTime1[[#This Row],[All-time rank]])/100000, 99999 + ROW(AllTime1[[#This Row],[All-time rank]])/100000)</f>
        <v>300.00169</v>
      </c>
      <c r="K169" s="69">
        <f>IF(ISNUMBER(AllTime1[[#This Row],[All-time score]]), AllTime1[[#This Row],[All-time score]] + ROW(AllTime1[[#This Row],[All-time score]])/100000000, 0 + ROW(AllTime1[[#This Row],[All-time score]])/1000000000)</f>
        <v>1.6899999999999999E-6</v>
      </c>
    </row>
    <row r="170" spans="7:11" ht="16.5">
      <c r="G170" s="71" t="str">
        <f>IFERROR(Table5[[#This Row],[Full name]],"")</f>
        <v>George Florea</v>
      </c>
      <c r="H170" s="56">
        <f>_xlfn.RANK.EQ(AllTime1[[#This Row],[All-time score]],AllTime1[All-time score],0)</f>
        <v>300</v>
      </c>
      <c r="I170" s="56">
        <f>_xlfn.XLOOKUP(AllTime1[[#This Row],[Name]],Table16[Name],Table16[Totals],"Error",0,1)</f>
        <v>0</v>
      </c>
      <c r="J170" s="72">
        <f>IF(ISNUMBER(AllTime1[[#This Row],[All-time rank]]), AllTime1[[#This Row],[All-time rank]] + ROW(AllTime1[[#This Row],[All-time rank]])/100000, 99999 + ROW(AllTime1[[#This Row],[All-time rank]])/100000)</f>
        <v>300.00170000000003</v>
      </c>
      <c r="K170" s="69">
        <f>IF(ISNUMBER(AllTime1[[#This Row],[All-time score]]), AllTime1[[#This Row],[All-time score]] + ROW(AllTime1[[#This Row],[All-time score]])/100000000, 0 + ROW(AllTime1[[#This Row],[All-time score]])/1000000000)</f>
        <v>1.7E-6</v>
      </c>
    </row>
    <row r="171" spans="7:11" ht="16.5">
      <c r="G171" s="71" t="str">
        <f>IFERROR(Table5[[#This Row],[Full name]],"")</f>
        <v>Grayson Adams</v>
      </c>
      <c r="H171" s="56">
        <f>_xlfn.RANK.EQ(AllTime1[[#This Row],[All-time score]],AllTime1[All-time score],0)</f>
        <v>198</v>
      </c>
      <c r="I171" s="56">
        <f>_xlfn.XLOOKUP(AllTime1[[#This Row],[Name]],Table16[Name],Table16[Totals],"Error",0,1)</f>
        <v>3</v>
      </c>
      <c r="J171" s="72">
        <f>IF(ISNUMBER(AllTime1[[#This Row],[All-time rank]]), AllTime1[[#This Row],[All-time rank]] + ROW(AllTime1[[#This Row],[All-time rank]])/100000, 99999 + ROW(AllTime1[[#This Row],[All-time rank]])/100000)</f>
        <v>198.00171</v>
      </c>
      <c r="K171" s="69">
        <f>IF(ISNUMBER(AllTime1[[#This Row],[All-time score]]), AllTime1[[#This Row],[All-time score]] + ROW(AllTime1[[#This Row],[All-time score]])/100000000, 0 + ROW(AllTime1[[#This Row],[All-time score]])/1000000000)</f>
        <v>3.0000017099999998</v>
      </c>
    </row>
    <row r="172" spans="7:11" ht="16.5">
      <c r="G172" s="71" t="str">
        <f>IFERROR(Table5[[#This Row],[Full name]],"")</f>
        <v>Hafsah Sikandar</v>
      </c>
      <c r="H172" s="56">
        <f>_xlfn.RANK.EQ(AllTime1[[#This Row],[All-time score]],AllTime1[All-time score],0)</f>
        <v>248</v>
      </c>
      <c r="I172" s="56">
        <f>_xlfn.XLOOKUP(AllTime1[[#This Row],[Name]],Table16[Name],Table16[Totals],"Error",0,1)</f>
        <v>1</v>
      </c>
      <c r="J172" s="72">
        <f>IF(ISNUMBER(AllTime1[[#This Row],[All-time rank]]), AllTime1[[#This Row],[All-time rank]] + ROW(AllTime1[[#This Row],[All-time rank]])/100000, 99999 + ROW(AllTime1[[#This Row],[All-time rank]])/100000)</f>
        <v>248.00172000000001</v>
      </c>
      <c r="K172" s="69">
        <f>IF(ISNUMBER(AllTime1[[#This Row],[All-time score]]), AllTime1[[#This Row],[All-time score]] + ROW(AllTime1[[#This Row],[All-time score]])/100000000, 0 + ROW(AllTime1[[#This Row],[All-time score]])/1000000000)</f>
        <v>1.00000172</v>
      </c>
    </row>
    <row r="173" spans="7:11" ht="16.5">
      <c r="G173" s="71" t="str">
        <f>IFERROR(Table5[[#This Row],[Full name]],"")</f>
        <v>Hamza Khamissa</v>
      </c>
      <c r="H173" s="56">
        <f>_xlfn.RANK.EQ(AllTime1[[#This Row],[All-time score]],AllTime1[All-time score],0)</f>
        <v>113</v>
      </c>
      <c r="I173" s="56">
        <f>_xlfn.XLOOKUP(AllTime1[[#This Row],[Name]],Table16[Name],Table16[Totals],"Error",0,1)</f>
        <v>13</v>
      </c>
      <c r="J173" s="72">
        <f>IF(ISNUMBER(AllTime1[[#This Row],[All-time rank]]), AllTime1[[#This Row],[All-time rank]] + ROW(AllTime1[[#This Row],[All-time rank]])/100000, 99999 + ROW(AllTime1[[#This Row],[All-time rank]])/100000)</f>
        <v>113.00172999999999</v>
      </c>
      <c r="K173" s="69">
        <f>IF(ISNUMBER(AllTime1[[#This Row],[All-time score]]), AllTime1[[#This Row],[All-time score]] + ROW(AllTime1[[#This Row],[All-time score]])/100000000, 0 + ROW(AllTime1[[#This Row],[All-time score]])/1000000000)</f>
        <v>13.000001729999999</v>
      </c>
    </row>
    <row r="174" spans="7:11" ht="16.5">
      <c r="G174" s="71" t="str">
        <f>IFERROR(Table5[[#This Row],[Full name]],"")</f>
        <v>Haoyi Wang</v>
      </c>
      <c r="H174" s="56">
        <f>_xlfn.RANK.EQ(AllTime1[[#This Row],[All-time score]],AllTime1[All-time score],0)</f>
        <v>300</v>
      </c>
      <c r="I174" s="56">
        <f>_xlfn.XLOOKUP(AllTime1[[#This Row],[Name]],Table16[Name],Table16[Totals],"Error",0,1)</f>
        <v>0</v>
      </c>
      <c r="J174" s="72">
        <f>IF(ISNUMBER(AllTime1[[#This Row],[All-time rank]]), AllTime1[[#This Row],[All-time rank]] + ROW(AllTime1[[#This Row],[All-time rank]])/100000, 99999 + ROW(AllTime1[[#This Row],[All-time rank]])/100000)</f>
        <v>300.00173999999998</v>
      </c>
      <c r="K174" s="69">
        <f>IF(ISNUMBER(AllTime1[[#This Row],[All-time score]]), AllTime1[[#This Row],[All-time score]] + ROW(AllTime1[[#This Row],[All-time score]])/100000000, 0 + ROW(AllTime1[[#This Row],[All-time score]])/1000000000)</f>
        <v>1.7400000000000001E-6</v>
      </c>
    </row>
    <row r="175" spans="7:11" ht="16.5">
      <c r="G175" s="71" t="str">
        <f>IFERROR(Table5[[#This Row],[Full name]],"")</f>
        <v>Harold Zhang</v>
      </c>
      <c r="H175" s="56">
        <f>_xlfn.RANK.EQ(AllTime1[[#This Row],[All-time score]],AllTime1[All-time score],0)</f>
        <v>121</v>
      </c>
      <c r="I175" s="56">
        <f>_xlfn.XLOOKUP(AllTime1[[#This Row],[Name]],Table16[Name],Table16[Totals],"Error",0,1)</f>
        <v>12</v>
      </c>
      <c r="J175" s="72">
        <f>IF(ISNUMBER(AllTime1[[#This Row],[All-time rank]]), AllTime1[[#This Row],[All-time rank]] + ROW(AllTime1[[#This Row],[All-time rank]])/100000, 99999 + ROW(AllTime1[[#This Row],[All-time rank]])/100000)</f>
        <v>121.00175</v>
      </c>
      <c r="K175" s="69">
        <f>IF(ISNUMBER(AllTime1[[#This Row],[All-time score]]), AllTime1[[#This Row],[All-time score]] + ROW(AllTime1[[#This Row],[All-time score]])/100000000, 0 + ROW(AllTime1[[#This Row],[All-time score]])/1000000000)</f>
        <v>12.000001749999999</v>
      </c>
    </row>
    <row r="176" spans="7:11" ht="16.5">
      <c r="G176" s="71" t="str">
        <f>IFERROR(Table5[[#This Row],[Full name]],"")</f>
        <v>Haroun Elamin</v>
      </c>
      <c r="H176" s="56">
        <f>_xlfn.RANK.EQ(AllTime1[[#This Row],[All-time score]],AllTime1[All-time score],0)</f>
        <v>248</v>
      </c>
      <c r="I176" s="56">
        <f>_xlfn.XLOOKUP(AllTime1[[#This Row],[Name]],Table16[Name],Table16[Totals],"Error",0,1)</f>
        <v>1</v>
      </c>
      <c r="J176" s="72">
        <f>IF(ISNUMBER(AllTime1[[#This Row],[All-time rank]]), AllTime1[[#This Row],[All-time rank]] + ROW(AllTime1[[#This Row],[All-time rank]])/100000, 99999 + ROW(AllTime1[[#This Row],[All-time rank]])/100000)</f>
        <v>248.00175999999999</v>
      </c>
      <c r="K176" s="69">
        <f>IF(ISNUMBER(AllTime1[[#This Row],[All-time score]]), AllTime1[[#This Row],[All-time score]] + ROW(AllTime1[[#This Row],[All-time score]])/100000000, 0 + ROW(AllTime1[[#This Row],[All-time score]])/1000000000)</f>
        <v>1.00000176</v>
      </c>
    </row>
    <row r="177" spans="7:11" ht="16.5">
      <c r="G177" s="71" t="str">
        <f>IFERROR(Table5[[#This Row],[Full name]],"")</f>
        <v>Hatim Adamjee</v>
      </c>
      <c r="H177" s="56">
        <f>_xlfn.RANK.EQ(AllTime1[[#This Row],[All-time score]],AllTime1[All-time score],0)</f>
        <v>8</v>
      </c>
      <c r="I177" s="56">
        <f>_xlfn.XLOOKUP(AllTime1[[#This Row],[Name]],Table16[Name],Table16[Totals],"Error",0,1)</f>
        <v>81</v>
      </c>
      <c r="J177" s="72">
        <f>IF(ISNUMBER(AllTime1[[#This Row],[All-time rank]]), AllTime1[[#This Row],[All-time rank]] + ROW(AllTime1[[#This Row],[All-time rank]])/100000, 99999 + ROW(AllTime1[[#This Row],[All-time rank]])/100000)</f>
        <v>8.0017700000000005</v>
      </c>
      <c r="K177" s="69">
        <f>IF(ISNUMBER(AllTime1[[#This Row],[All-time score]]), AllTime1[[#This Row],[All-time score]] + ROW(AllTime1[[#This Row],[All-time score]])/100000000, 0 + ROW(AllTime1[[#This Row],[All-time score]])/1000000000)</f>
        <v>81.000001769999997</v>
      </c>
    </row>
    <row r="178" spans="7:11" ht="16.5">
      <c r="G178" s="71" t="str">
        <f>IFERROR(Table5[[#This Row],[Full name]],"")</f>
        <v>Hiram Lee</v>
      </c>
      <c r="H178" s="56">
        <f>_xlfn.RANK.EQ(AllTime1[[#This Row],[All-time score]],AllTime1[All-time score],0)</f>
        <v>165</v>
      </c>
      <c r="I178" s="56">
        <f>_xlfn.XLOOKUP(AllTime1[[#This Row],[Name]],Table16[Name],Table16[Totals],"Error",0,1)</f>
        <v>5</v>
      </c>
      <c r="J178" s="72">
        <f>IF(ISNUMBER(AllTime1[[#This Row],[All-time rank]]), AllTime1[[#This Row],[All-time rank]] + ROW(AllTime1[[#This Row],[All-time rank]])/100000, 99999 + ROW(AllTime1[[#This Row],[All-time rank]])/100000)</f>
        <v>165.00178</v>
      </c>
      <c r="K178" s="69">
        <f>IF(ISNUMBER(AllTime1[[#This Row],[All-time score]]), AllTime1[[#This Row],[All-time score]] + ROW(AllTime1[[#This Row],[All-time score]])/100000000, 0 + ROW(AllTime1[[#This Row],[All-time score]])/1000000000)</f>
        <v>5.0000017799999998</v>
      </c>
    </row>
    <row r="179" spans="7:11" ht="16.5">
      <c r="G179" s="71" t="str">
        <f>IFERROR(Table5[[#This Row],[Full name]],"")</f>
        <v>Hooman Nozari</v>
      </c>
      <c r="H179" s="56">
        <f>_xlfn.RANK.EQ(AllTime1[[#This Row],[All-time score]],AllTime1[All-time score],0)</f>
        <v>64</v>
      </c>
      <c r="I179" s="56">
        <f>_xlfn.XLOOKUP(AllTime1[[#This Row],[Name]],Table16[Name],Table16[Totals],"Error",0,1)</f>
        <v>25</v>
      </c>
      <c r="J179" s="72">
        <f>IF(ISNUMBER(AllTime1[[#This Row],[All-time rank]]), AllTime1[[#This Row],[All-time rank]] + ROW(AllTime1[[#This Row],[All-time rank]])/100000, 99999 + ROW(AllTime1[[#This Row],[All-time rank]])/100000)</f>
        <v>64.00179</v>
      </c>
      <c r="K179" s="69">
        <f>IF(ISNUMBER(AllTime1[[#This Row],[All-time score]]), AllTime1[[#This Row],[All-time score]] + ROW(AllTime1[[#This Row],[All-time score]])/100000000, 0 + ROW(AllTime1[[#This Row],[All-time score]])/1000000000)</f>
        <v>25.000001789999999</v>
      </c>
    </row>
    <row r="180" spans="7:11" ht="16.5">
      <c r="G180" s="71" t="str">
        <f>IFERROR(Table5[[#This Row],[Full name]],"")</f>
        <v>Ian Imrie</v>
      </c>
      <c r="H180" s="56">
        <f>_xlfn.RANK.EQ(AllTime1[[#This Row],[All-time score]],AllTime1[All-time score],0)</f>
        <v>10</v>
      </c>
      <c r="I180" s="56">
        <f>_xlfn.XLOOKUP(AllTime1[[#This Row],[Name]],Table16[Name],Table16[Totals],"Error",0,1)</f>
        <v>78</v>
      </c>
      <c r="J180" s="72">
        <f>IF(ISNUMBER(AllTime1[[#This Row],[All-time rank]]), AllTime1[[#This Row],[All-time rank]] + ROW(AllTime1[[#This Row],[All-time rank]])/100000, 99999 + ROW(AllTime1[[#This Row],[All-time rank]])/100000)</f>
        <v>10.001799999999999</v>
      </c>
      <c r="K180" s="69">
        <f>IF(ISNUMBER(AllTime1[[#This Row],[All-time score]]), AllTime1[[#This Row],[All-time score]] + ROW(AllTime1[[#This Row],[All-time score]])/100000000, 0 + ROW(AllTime1[[#This Row],[All-time score]])/1000000000)</f>
        <v>78.000001800000007</v>
      </c>
    </row>
    <row r="181" spans="7:11" ht="16.5">
      <c r="G181" s="71" t="str">
        <f>IFERROR(Table5[[#This Row],[Full name]],"")</f>
        <v>Ian Johnson</v>
      </c>
      <c r="H181" s="56">
        <f>_xlfn.RANK.EQ(AllTime1[[#This Row],[All-time score]],AllTime1[All-time score],0)</f>
        <v>300</v>
      </c>
      <c r="I181" s="56">
        <f>_xlfn.XLOOKUP(AllTime1[[#This Row],[Name]],Table16[Name],Table16[Totals],"Error",0,1)</f>
        <v>0</v>
      </c>
      <c r="J181" s="72">
        <f>IF(ISNUMBER(AllTime1[[#This Row],[All-time rank]]), AllTime1[[#This Row],[All-time rank]] + ROW(AllTime1[[#This Row],[All-time rank]])/100000, 99999 + ROW(AllTime1[[#This Row],[All-time rank]])/100000)</f>
        <v>300.00180999999998</v>
      </c>
      <c r="K181" s="69">
        <f>IF(ISNUMBER(AllTime1[[#This Row],[All-time score]]), AllTime1[[#This Row],[All-time score]] + ROW(AllTime1[[#This Row],[All-time score]])/100000000, 0 + ROW(AllTime1[[#This Row],[All-time score]])/1000000000)</f>
        <v>1.81E-6</v>
      </c>
    </row>
    <row r="182" spans="7:11" ht="16.5">
      <c r="G182" s="71" t="str">
        <f>IFERROR(Table5[[#This Row],[Full name]],"")</f>
        <v>Ilya Beuermann</v>
      </c>
      <c r="H182" s="56">
        <f>_xlfn.RANK.EQ(AllTime1[[#This Row],[All-time score]],AllTime1[All-time score],0)</f>
        <v>49</v>
      </c>
      <c r="I182" s="56">
        <f>_xlfn.XLOOKUP(AllTime1[[#This Row],[Name]],Table16[Name],Table16[Totals],"Error",0,1)</f>
        <v>32</v>
      </c>
      <c r="J182" s="72">
        <f>IF(ISNUMBER(AllTime1[[#This Row],[All-time rank]]), AllTime1[[#This Row],[All-time rank]] + ROW(AllTime1[[#This Row],[All-time rank]])/100000, 99999 + ROW(AllTime1[[#This Row],[All-time rank]])/100000)</f>
        <v>49.001820000000002</v>
      </c>
      <c r="K182" s="69">
        <f>IF(ISNUMBER(AllTime1[[#This Row],[All-time score]]), AllTime1[[#This Row],[All-time score]] + ROW(AllTime1[[#This Row],[All-time score]])/100000000, 0 + ROW(AllTime1[[#This Row],[All-time score]])/1000000000)</f>
        <v>32.000001820000001</v>
      </c>
    </row>
    <row r="183" spans="7:11" ht="16.5">
      <c r="G183" s="71" t="str">
        <f>IFERROR(Table5[[#This Row],[Full name]],"")</f>
        <v>Ivan Zhou</v>
      </c>
      <c r="H183" s="56">
        <f>_xlfn.RANK.EQ(AllTime1[[#This Row],[All-time score]],AllTime1[All-time score],0)</f>
        <v>248</v>
      </c>
      <c r="I183" s="56">
        <f>_xlfn.XLOOKUP(AllTime1[[#This Row],[Name]],Table16[Name],Table16[Totals],"Error",0,1)</f>
        <v>1</v>
      </c>
      <c r="J183" s="72">
        <f>IF(ISNUMBER(AllTime1[[#This Row],[All-time rank]]), AllTime1[[#This Row],[All-time rank]] + ROW(AllTime1[[#This Row],[All-time rank]])/100000, 99999 + ROW(AllTime1[[#This Row],[All-time rank]])/100000)</f>
        <v>248.00183000000001</v>
      </c>
      <c r="K183" s="69">
        <f>IF(ISNUMBER(AllTime1[[#This Row],[All-time score]]), AllTime1[[#This Row],[All-time score]] + ROW(AllTime1[[#This Row],[All-time score]])/100000000, 0 + ROW(AllTime1[[#This Row],[All-time score]])/1000000000)</f>
        <v>1.00000183</v>
      </c>
    </row>
    <row r="184" spans="7:11" ht="16.5">
      <c r="G184" s="71" t="str">
        <f>IFERROR(Table5[[#This Row],[Full name]],"")</f>
        <v>Jack Watson</v>
      </c>
      <c r="H184" s="56">
        <f>_xlfn.RANK.EQ(AllTime1[[#This Row],[All-time score]],AllTime1[All-time score],0)</f>
        <v>136</v>
      </c>
      <c r="I184" s="56">
        <f>_xlfn.XLOOKUP(AllTime1[[#This Row],[Name]],Table16[Name],Table16[Totals],"Error",0,1)</f>
        <v>10</v>
      </c>
      <c r="J184" s="72">
        <f>IF(ISNUMBER(AllTime1[[#This Row],[All-time rank]]), AllTime1[[#This Row],[All-time rank]] + ROW(AllTime1[[#This Row],[All-time rank]])/100000, 99999 + ROW(AllTime1[[#This Row],[All-time rank]])/100000)</f>
        <v>136.00183999999999</v>
      </c>
      <c r="K184" s="69">
        <f>IF(ISNUMBER(AllTime1[[#This Row],[All-time score]]), AllTime1[[#This Row],[All-time score]] + ROW(AllTime1[[#This Row],[All-time score]])/100000000, 0 + ROW(AllTime1[[#This Row],[All-time score]])/1000000000)</f>
        <v>10.000001839999999</v>
      </c>
    </row>
    <row r="185" spans="7:11" ht="16.5">
      <c r="G185" s="71" t="str">
        <f>IFERROR(Table5[[#This Row],[Full name]],"")</f>
        <v>Jacob Bailey</v>
      </c>
      <c r="H185" s="56">
        <f>_xlfn.RANK.EQ(AllTime1[[#This Row],[All-time score]],AllTime1[All-time score],0)</f>
        <v>300</v>
      </c>
      <c r="I185" s="56">
        <f>_xlfn.XLOOKUP(AllTime1[[#This Row],[Name]],Table16[Name],Table16[Totals],"Error",0,1)</f>
        <v>0</v>
      </c>
      <c r="J185" s="72">
        <f>IF(ISNUMBER(AllTime1[[#This Row],[All-time rank]]), AllTime1[[#This Row],[All-time rank]] + ROW(AllTime1[[#This Row],[All-time rank]])/100000, 99999 + ROW(AllTime1[[#This Row],[All-time rank]])/100000)</f>
        <v>300.00184999999999</v>
      </c>
      <c r="K185" s="69">
        <f>IF(ISNUMBER(AllTime1[[#This Row],[All-time score]]), AllTime1[[#This Row],[All-time score]] + ROW(AllTime1[[#This Row],[All-time score]])/100000000, 0 + ROW(AllTime1[[#This Row],[All-time score]])/1000000000)</f>
        <v>1.8500000000000001E-6</v>
      </c>
    </row>
    <row r="186" spans="7:11" ht="16.5">
      <c r="G186" s="71" t="str">
        <f>IFERROR(Table5[[#This Row],[Full name]],"")</f>
        <v>Jacob Crowley</v>
      </c>
      <c r="H186" s="56">
        <f>_xlfn.RANK.EQ(AllTime1[[#This Row],[All-time score]],AllTime1[All-time score],0)</f>
        <v>300</v>
      </c>
      <c r="I186" s="56">
        <f>_xlfn.XLOOKUP(AllTime1[[#This Row],[Name]],Table16[Name],Table16[Totals],"Error",0,1)</f>
        <v>0</v>
      </c>
      <c r="J186" s="72">
        <f>IF(ISNUMBER(AllTime1[[#This Row],[All-time rank]]), AllTime1[[#This Row],[All-time rank]] + ROW(AllTime1[[#This Row],[All-time rank]])/100000, 99999 + ROW(AllTime1[[#This Row],[All-time rank]])/100000)</f>
        <v>300.00186000000002</v>
      </c>
      <c r="K186" s="69">
        <f>IF(ISNUMBER(AllTime1[[#This Row],[All-time score]]), AllTime1[[#This Row],[All-time score]] + ROW(AllTime1[[#This Row],[All-time score]])/100000000, 0 + ROW(AllTime1[[#This Row],[All-time score]])/1000000000)</f>
        <v>1.86E-6</v>
      </c>
    </row>
    <row r="187" spans="7:11" ht="16.5">
      <c r="G187" s="71" t="str">
        <f>IFERROR(Table5[[#This Row],[Full name]],"")</f>
        <v>Jacob Dusza</v>
      </c>
      <c r="H187" s="56">
        <f>_xlfn.RANK.EQ(AllTime1[[#This Row],[All-time score]],AllTime1[All-time score],0)</f>
        <v>57</v>
      </c>
      <c r="I187" s="56">
        <f>_xlfn.XLOOKUP(AllTime1[[#This Row],[Name]],Table16[Name],Table16[Totals],"Error",0,1)</f>
        <v>28</v>
      </c>
      <c r="J187" s="72">
        <f>IF(ISNUMBER(AllTime1[[#This Row],[All-time rank]]), AllTime1[[#This Row],[All-time rank]] + ROW(AllTime1[[#This Row],[All-time rank]])/100000, 99999 + ROW(AllTime1[[#This Row],[All-time rank]])/100000)</f>
        <v>57.001869999999997</v>
      </c>
      <c r="K187" s="69">
        <f>IF(ISNUMBER(AllTime1[[#This Row],[All-time score]]), AllTime1[[#This Row],[All-time score]] + ROW(AllTime1[[#This Row],[All-time score]])/100000000, 0 + ROW(AllTime1[[#This Row],[All-time score]])/1000000000)</f>
        <v>28.000001869999998</v>
      </c>
    </row>
    <row r="188" spans="7:11" ht="16.5">
      <c r="G188" s="71" t="str">
        <f>IFERROR(Table5[[#This Row],[Full name]],"")</f>
        <v>Jaebin Shin</v>
      </c>
      <c r="H188" s="56">
        <f>_xlfn.RANK.EQ(AllTime1[[#This Row],[All-time score]],AllTime1[All-time score],0)</f>
        <v>165</v>
      </c>
      <c r="I188" s="56">
        <f>_xlfn.XLOOKUP(AllTime1[[#This Row],[Name]],Table16[Name],Table16[Totals],"Error",0,1)</f>
        <v>5</v>
      </c>
      <c r="J188" s="72">
        <f>IF(ISNUMBER(AllTime1[[#This Row],[All-time rank]]), AllTime1[[#This Row],[All-time rank]] + ROW(AllTime1[[#This Row],[All-time rank]])/100000, 99999 + ROW(AllTime1[[#This Row],[All-time rank]])/100000)</f>
        <v>165.00188</v>
      </c>
      <c r="K188" s="69">
        <f>IF(ISNUMBER(AllTime1[[#This Row],[All-time score]]), AllTime1[[#This Row],[All-time score]] + ROW(AllTime1[[#This Row],[All-time score]])/100000000, 0 + ROW(AllTime1[[#This Row],[All-time score]])/1000000000)</f>
        <v>5.0000018800000001</v>
      </c>
    </row>
    <row r="189" spans="7:11" ht="16.5">
      <c r="G189" s="71" t="str">
        <f>IFERROR(Table5[[#This Row],[Full name]],"")</f>
        <v>Jahangir Abdullayev</v>
      </c>
      <c r="H189" s="56">
        <f>_xlfn.RANK.EQ(AllTime1[[#This Row],[All-time score]],AllTime1[All-time score],0)</f>
        <v>154</v>
      </c>
      <c r="I189" s="56">
        <f>_xlfn.XLOOKUP(AllTime1[[#This Row],[Name]],Table16[Name],Table16[Totals],"Error",0,1)</f>
        <v>8</v>
      </c>
      <c r="J189" s="72">
        <f>IF(ISNUMBER(AllTime1[[#This Row],[All-time rank]]), AllTime1[[#This Row],[All-time rank]] + ROW(AllTime1[[#This Row],[All-time rank]])/100000, 99999 + ROW(AllTime1[[#This Row],[All-time rank]])/100000)</f>
        <v>154.00189</v>
      </c>
      <c r="K189" s="69">
        <f>IF(ISNUMBER(AllTime1[[#This Row],[All-time score]]), AllTime1[[#This Row],[All-time score]] + ROW(AllTime1[[#This Row],[All-time score]])/100000000, 0 + ROW(AllTime1[[#This Row],[All-time score]])/1000000000)</f>
        <v>8.0000018900000001</v>
      </c>
    </row>
    <row r="190" spans="7:11" ht="16.5">
      <c r="G190" s="71" t="str">
        <f>IFERROR(Table5[[#This Row],[Full name]],"")</f>
        <v>Jakob Smintich</v>
      </c>
      <c r="H190" s="56">
        <f>_xlfn.RANK.EQ(AllTime1[[#This Row],[All-time score]],AllTime1[All-time score],0)</f>
        <v>300</v>
      </c>
      <c r="I190" s="56">
        <f>_xlfn.XLOOKUP(AllTime1[[#This Row],[Name]],Table16[Name],Table16[Totals],"Error",0,1)</f>
        <v>0</v>
      </c>
      <c r="J190" s="72">
        <f>IF(ISNUMBER(AllTime1[[#This Row],[All-time rank]]), AllTime1[[#This Row],[All-time rank]] + ROW(AllTime1[[#This Row],[All-time rank]])/100000, 99999 + ROW(AllTime1[[#This Row],[All-time rank]])/100000)</f>
        <v>300.00189999999998</v>
      </c>
      <c r="K190" s="69">
        <f>IF(ISNUMBER(AllTime1[[#This Row],[All-time score]]), AllTime1[[#This Row],[All-time score]] + ROW(AllTime1[[#This Row],[All-time score]])/100000000, 0 + ROW(AllTime1[[#This Row],[All-time score]])/1000000000)</f>
        <v>1.9E-6</v>
      </c>
    </row>
    <row r="191" spans="7:11" ht="16.5">
      <c r="G191" s="71" t="str">
        <f>IFERROR(Table5[[#This Row],[Full name]],"")</f>
        <v>James Forrest</v>
      </c>
      <c r="H191" s="56">
        <f>_xlfn.RANK.EQ(AllTime1[[#This Row],[All-time score]],AllTime1[All-time score],0)</f>
        <v>177</v>
      </c>
      <c r="I191" s="56">
        <f>_xlfn.XLOOKUP(AllTime1[[#This Row],[Name]],Table16[Name],Table16[Totals],"Error",0,1)</f>
        <v>4</v>
      </c>
      <c r="J191" s="72">
        <f>IF(ISNUMBER(AllTime1[[#This Row],[All-time rank]]), AllTime1[[#This Row],[All-time rank]] + ROW(AllTime1[[#This Row],[All-time rank]])/100000, 99999 + ROW(AllTime1[[#This Row],[All-time rank]])/100000)</f>
        <v>177.00191000000001</v>
      </c>
      <c r="K191" s="69">
        <f>IF(ISNUMBER(AllTime1[[#This Row],[All-time score]]), AllTime1[[#This Row],[All-time score]] + ROW(AllTime1[[#This Row],[All-time score]])/100000000, 0 + ROW(AllTime1[[#This Row],[All-time score]])/1000000000)</f>
        <v>4.0000019099999999</v>
      </c>
    </row>
    <row r="192" spans="7:11" ht="16.5">
      <c r="G192" s="71" t="str">
        <f>IFERROR(Table5[[#This Row],[Full name]],"")</f>
        <v>James Kendel</v>
      </c>
      <c r="H192" s="56">
        <f>_xlfn.RANK.EQ(AllTime1[[#This Row],[All-time score]],AllTime1[All-time score],0)</f>
        <v>177</v>
      </c>
      <c r="I192" s="56">
        <f>_xlfn.XLOOKUP(AllTime1[[#This Row],[Name]],Table16[Name],Table16[Totals],"Error",0,1)</f>
        <v>4</v>
      </c>
      <c r="J192" s="72">
        <f>IF(ISNUMBER(AllTime1[[#This Row],[All-time rank]]), AllTime1[[#This Row],[All-time rank]] + ROW(AllTime1[[#This Row],[All-time rank]])/100000, 99999 + ROW(AllTime1[[#This Row],[All-time rank]])/100000)</f>
        <v>177.00192000000001</v>
      </c>
      <c r="K192" s="69">
        <f>IF(ISNUMBER(AllTime1[[#This Row],[All-time score]]), AllTime1[[#This Row],[All-time score]] + ROW(AllTime1[[#This Row],[All-time score]])/100000000, 0 + ROW(AllTime1[[#This Row],[All-time score]])/1000000000)</f>
        <v>4.0000019199999999</v>
      </c>
    </row>
    <row r="193" spans="7:11" ht="16.5">
      <c r="G193" s="71" t="str">
        <f>IFERROR(Table5[[#This Row],[Full name]],"")</f>
        <v>James Juo</v>
      </c>
      <c r="H193" s="56">
        <f>_xlfn.RANK.EQ(AllTime1[[#This Row],[All-time score]],AllTime1[All-time score],0)</f>
        <v>177</v>
      </c>
      <c r="I193" s="56">
        <f>_xlfn.XLOOKUP(AllTime1[[#This Row],[Name]],Table16[Name],Table16[Totals],"Error",0,1)</f>
        <v>4</v>
      </c>
      <c r="J193" s="72">
        <f>IF(ISNUMBER(AllTime1[[#This Row],[All-time rank]]), AllTime1[[#This Row],[All-time rank]] + ROW(AllTime1[[#This Row],[All-time rank]])/100000, 99999 + ROW(AllTime1[[#This Row],[All-time rank]])/100000)</f>
        <v>177.00192999999999</v>
      </c>
      <c r="K193" s="69">
        <f>IF(ISNUMBER(AllTime1[[#This Row],[All-time score]]), AllTime1[[#This Row],[All-time score]] + ROW(AllTime1[[#This Row],[All-time score]])/100000000, 0 + ROW(AllTime1[[#This Row],[All-time score]])/1000000000)</f>
        <v>4.0000019299999998</v>
      </c>
    </row>
    <row r="194" spans="7:11" ht="16.5">
      <c r="G194" s="71" t="str">
        <f>IFERROR(Table5[[#This Row],[Full name]],"")</f>
        <v>Jasmin Gu</v>
      </c>
      <c r="H194" s="56">
        <f>_xlfn.RANK.EQ(AllTime1[[#This Row],[All-time score]],AllTime1[All-time score],0)</f>
        <v>136</v>
      </c>
      <c r="I194" s="56">
        <f>_xlfn.XLOOKUP(AllTime1[[#This Row],[Name]],Table16[Name],Table16[Totals],"Error",0,1)</f>
        <v>10</v>
      </c>
      <c r="J194" s="72">
        <f>IF(ISNUMBER(AllTime1[[#This Row],[All-time rank]]), AllTime1[[#This Row],[All-time rank]] + ROW(AllTime1[[#This Row],[All-time rank]])/100000, 99999 + ROW(AllTime1[[#This Row],[All-time rank]])/100000)</f>
        <v>136.00193999999999</v>
      </c>
      <c r="K194" s="69">
        <f>IF(ISNUMBER(AllTime1[[#This Row],[All-time score]]), AllTime1[[#This Row],[All-time score]] + ROW(AllTime1[[#This Row],[All-time score]])/100000000, 0 + ROW(AllTime1[[#This Row],[All-time score]])/1000000000)</f>
        <v>10.000001940000001</v>
      </c>
    </row>
    <row r="195" spans="7:11" ht="16.5">
      <c r="G195" s="71" t="str">
        <f>IFERROR(Table5[[#This Row],[Full name]],"")</f>
        <v>Jasmine Xu</v>
      </c>
      <c r="H195" s="56">
        <f>_xlfn.RANK.EQ(AllTime1[[#This Row],[All-time score]],AllTime1[All-time score],0)</f>
        <v>220</v>
      </c>
      <c r="I195" s="56">
        <f>_xlfn.XLOOKUP(AllTime1[[#This Row],[Name]],Table16[Name],Table16[Totals],"Error",0,1)</f>
        <v>2</v>
      </c>
      <c r="J195" s="72">
        <f>IF(ISNUMBER(AllTime1[[#This Row],[All-time rank]]), AllTime1[[#This Row],[All-time rank]] + ROW(AllTime1[[#This Row],[All-time rank]])/100000, 99999 + ROW(AllTime1[[#This Row],[All-time rank]])/100000)</f>
        <v>220.00194999999999</v>
      </c>
      <c r="K195" s="69">
        <f>IF(ISNUMBER(AllTime1[[#This Row],[All-time score]]), AllTime1[[#This Row],[All-time score]] + ROW(AllTime1[[#This Row],[All-time score]])/100000000, 0 + ROW(AllTime1[[#This Row],[All-time score]])/1000000000)</f>
        <v>2.0000019500000001</v>
      </c>
    </row>
    <row r="196" spans="7:11" ht="16.5">
      <c r="G196" s="71" t="str">
        <f>IFERROR(Table5[[#This Row],[Full name]],"")</f>
        <v>Jason Kang</v>
      </c>
      <c r="H196" s="56">
        <f>_xlfn.RANK.EQ(AllTime1[[#This Row],[All-time score]],AllTime1[All-time score],0)</f>
        <v>248</v>
      </c>
      <c r="I196" s="56">
        <f>_xlfn.XLOOKUP(AllTime1[[#This Row],[Name]],Table16[Name],Table16[Totals],"Error",0,1)</f>
        <v>1</v>
      </c>
      <c r="J196" s="72">
        <f>IF(ISNUMBER(AllTime1[[#This Row],[All-time rank]]), AllTime1[[#This Row],[All-time rank]] + ROW(AllTime1[[#This Row],[All-time rank]])/100000, 99999 + ROW(AllTime1[[#This Row],[All-time rank]])/100000)</f>
        <v>248.00196</v>
      </c>
      <c r="K196" s="69">
        <f>IF(ISNUMBER(AllTime1[[#This Row],[All-time score]]), AllTime1[[#This Row],[All-time score]] + ROW(AllTime1[[#This Row],[All-time score]])/100000000, 0 + ROW(AllTime1[[#This Row],[All-time score]])/1000000000)</f>
        <v>1.0000019600000001</v>
      </c>
    </row>
    <row r="197" spans="7:11" ht="16.5">
      <c r="G197" s="71" t="str">
        <f>IFERROR(Table5[[#This Row],[Full name]],"")</f>
        <v>Jiawei Bai</v>
      </c>
      <c r="H197" s="56">
        <f>_xlfn.RANK.EQ(AllTime1[[#This Row],[All-time score]],AllTime1[All-time score],0)</f>
        <v>69</v>
      </c>
      <c r="I197" s="56">
        <f>_xlfn.XLOOKUP(AllTime1[[#This Row],[Name]],Table16[Name],Table16[Totals],"Error",0,1)</f>
        <v>23</v>
      </c>
      <c r="J197" s="72">
        <f>IF(ISNUMBER(AllTime1[[#This Row],[All-time rank]]), AllTime1[[#This Row],[All-time rank]] + ROW(AllTime1[[#This Row],[All-time rank]])/100000, 99999 + ROW(AllTime1[[#This Row],[All-time rank]])/100000)</f>
        <v>69.00197</v>
      </c>
      <c r="K197" s="69">
        <f>IF(ISNUMBER(AllTime1[[#This Row],[All-time score]]), AllTime1[[#This Row],[All-time score]] + ROW(AllTime1[[#This Row],[All-time score]])/100000000, 0 + ROW(AllTime1[[#This Row],[All-time score]])/1000000000)</f>
        <v>23.00000197</v>
      </c>
    </row>
    <row r="198" spans="7:11" ht="16.5">
      <c r="G198" s="71" t="str">
        <f>IFERROR(Table5[[#This Row],[Full name]],"")</f>
        <v>Jincheng Jiang</v>
      </c>
      <c r="H198" s="56">
        <f>_xlfn.RANK.EQ(AllTime1[[#This Row],[All-time score]],AllTime1[All-time score],0)</f>
        <v>198</v>
      </c>
      <c r="I198" s="56">
        <f>_xlfn.XLOOKUP(AllTime1[[#This Row],[Name]],Table16[Name],Table16[Totals],"Error",0,1)</f>
        <v>3</v>
      </c>
      <c r="J198" s="72">
        <f>IF(ISNUMBER(AllTime1[[#This Row],[All-time rank]]), AllTime1[[#This Row],[All-time rank]] + ROW(AllTime1[[#This Row],[All-time rank]])/100000, 99999 + ROW(AllTime1[[#This Row],[All-time rank]])/100000)</f>
        <v>198.00198</v>
      </c>
      <c r="K198" s="69">
        <f>IF(ISNUMBER(AllTime1[[#This Row],[All-time score]]), AllTime1[[#This Row],[All-time score]] + ROW(AllTime1[[#This Row],[All-time score]])/100000000, 0 + ROW(AllTime1[[#This Row],[All-time score]])/1000000000)</f>
        <v>3.00000198</v>
      </c>
    </row>
    <row r="199" spans="7:11" ht="16.5">
      <c r="G199" s="71" t="str">
        <f>IFERROR(Table5[[#This Row],[Full name]],"")</f>
        <v>Jinglang Sun</v>
      </c>
      <c r="H199" s="56">
        <f>_xlfn.RANK.EQ(AllTime1[[#This Row],[All-time score]],AllTime1[All-time score],0)</f>
        <v>100</v>
      </c>
      <c r="I199" s="56">
        <f>_xlfn.XLOOKUP(AllTime1[[#This Row],[Name]],Table16[Name],Table16[Totals],"Error",0,1)</f>
        <v>15</v>
      </c>
      <c r="J199" s="72">
        <f>IF(ISNUMBER(AllTime1[[#This Row],[All-time rank]]), AllTime1[[#This Row],[All-time rank]] + ROW(AllTime1[[#This Row],[All-time rank]])/100000, 99999 + ROW(AllTime1[[#This Row],[All-time rank]])/100000)</f>
        <v>100.00199000000001</v>
      </c>
      <c r="K199" s="69">
        <f>IF(ISNUMBER(AllTime1[[#This Row],[All-time score]]), AllTime1[[#This Row],[All-time score]] + ROW(AllTime1[[#This Row],[All-time score]])/100000000, 0 + ROW(AllTime1[[#This Row],[All-time score]])/1000000000)</f>
        <v>15.000001989999999</v>
      </c>
    </row>
    <row r="200" spans="7:11" ht="16.5">
      <c r="G200" s="71" t="str">
        <f>IFERROR(Table5[[#This Row],[Full name]],"")</f>
        <v>Johnny Yang</v>
      </c>
      <c r="H200" s="56">
        <f>_xlfn.RANK.EQ(AllTime1[[#This Row],[All-time score]],AllTime1[All-time score],0)</f>
        <v>198</v>
      </c>
      <c r="I200" s="56">
        <f>_xlfn.XLOOKUP(AllTime1[[#This Row],[Name]],Table16[Name],Table16[Totals],"Error",0,1)</f>
        <v>3</v>
      </c>
      <c r="J200" s="72">
        <f>IF(ISNUMBER(AllTime1[[#This Row],[All-time rank]]), AllTime1[[#This Row],[All-time rank]] + ROW(AllTime1[[#This Row],[All-time rank]])/100000, 99999 + ROW(AllTime1[[#This Row],[All-time rank]])/100000)</f>
        <v>198.00200000000001</v>
      </c>
      <c r="K200" s="69">
        <f>IF(ISNUMBER(AllTime1[[#This Row],[All-time score]]), AllTime1[[#This Row],[All-time score]] + ROW(AllTime1[[#This Row],[All-time score]])/100000000, 0 + ROW(AllTime1[[#This Row],[All-time score]])/1000000000)</f>
        <v>3.0000019999999998</v>
      </c>
    </row>
    <row r="201" spans="7:11" ht="16.5">
      <c r="G201" s="71" t="str">
        <f>IFERROR(Table5[[#This Row],[Full name]],"")</f>
        <v>Jonas Neumann</v>
      </c>
      <c r="H201" s="56">
        <f>_xlfn.RANK.EQ(AllTime1[[#This Row],[All-time score]],AllTime1[All-time score],0)</f>
        <v>220</v>
      </c>
      <c r="I201" s="56">
        <f>_xlfn.XLOOKUP(AllTime1[[#This Row],[Name]],Table16[Name],Table16[Totals],"Error",0,1)</f>
        <v>2</v>
      </c>
      <c r="J201" s="72">
        <f>IF(ISNUMBER(AllTime1[[#This Row],[All-time rank]]), AllTime1[[#This Row],[All-time rank]] + ROW(AllTime1[[#This Row],[All-time rank]])/100000, 99999 + ROW(AllTime1[[#This Row],[All-time rank]])/100000)</f>
        <v>220.00201000000001</v>
      </c>
      <c r="K201" s="69">
        <f>IF(ISNUMBER(AllTime1[[#This Row],[All-time score]]), AllTime1[[#This Row],[All-time score]] + ROW(AllTime1[[#This Row],[All-time score]])/100000000, 0 + ROW(AllTime1[[#This Row],[All-time score]])/1000000000)</f>
        <v>2.0000020100000002</v>
      </c>
    </row>
    <row r="202" spans="7:11" ht="16.5">
      <c r="G202" s="71" t="str">
        <f>IFERROR(Table5[[#This Row],[Full name]],"")</f>
        <v>Jordan Nguyen</v>
      </c>
      <c r="H202" s="56">
        <f>_xlfn.RANK.EQ(AllTime1[[#This Row],[All-time score]],AllTime1[All-time score],0)</f>
        <v>220</v>
      </c>
      <c r="I202" s="56">
        <f>_xlfn.XLOOKUP(AllTime1[[#This Row],[Name]],Table16[Name],Table16[Totals],"Error",0,1)</f>
        <v>2</v>
      </c>
      <c r="J202" s="72">
        <f>IF(ISNUMBER(AllTime1[[#This Row],[All-time rank]]), AllTime1[[#This Row],[All-time rank]] + ROW(AllTime1[[#This Row],[All-time rank]])/100000, 99999 + ROW(AllTime1[[#This Row],[All-time rank]])/100000)</f>
        <v>220.00201999999999</v>
      </c>
      <c r="K202" s="69">
        <f>IF(ISNUMBER(AllTime1[[#This Row],[All-time score]]), AllTime1[[#This Row],[All-time score]] + ROW(AllTime1[[#This Row],[All-time score]])/100000000, 0 + ROW(AllTime1[[#This Row],[All-time score]])/1000000000)</f>
        <v>2.0000020200000002</v>
      </c>
    </row>
    <row r="203" spans="7:11" ht="16.5">
      <c r="G203" s="71" t="str">
        <f>IFERROR(Table5[[#This Row],[Full name]],"")</f>
        <v>Joseph Liao</v>
      </c>
      <c r="H203" s="56">
        <f>_xlfn.RANK.EQ(AllTime1[[#This Row],[All-time score]],AllTime1[All-time score],0)</f>
        <v>248</v>
      </c>
      <c r="I203" s="56">
        <f>_xlfn.XLOOKUP(AllTime1[[#This Row],[Name]],Table16[Name],Table16[Totals],"Error",0,1)</f>
        <v>1</v>
      </c>
      <c r="J203" s="72">
        <f>IF(ISNUMBER(AllTime1[[#This Row],[All-time rank]]), AllTime1[[#This Row],[All-time rank]] + ROW(AllTime1[[#This Row],[All-time rank]])/100000, 99999 + ROW(AllTime1[[#This Row],[All-time rank]])/100000)</f>
        <v>248.00202999999999</v>
      </c>
      <c r="K203" s="69">
        <f>IF(ISNUMBER(AllTime1[[#This Row],[All-time score]]), AllTime1[[#This Row],[All-time score]] + ROW(AllTime1[[#This Row],[All-time score]])/100000000, 0 + ROW(AllTime1[[#This Row],[All-time score]])/1000000000)</f>
        <v>1.0000020300000001</v>
      </c>
    </row>
    <row r="204" spans="7:11" ht="16.5">
      <c r="G204" s="71" t="str">
        <f>IFERROR(Table5[[#This Row],[Full name]],"")</f>
        <v>Josh Sandler</v>
      </c>
      <c r="H204" s="56">
        <f>_xlfn.RANK.EQ(AllTime1[[#This Row],[All-time score]],AllTime1[All-time score],0)</f>
        <v>177</v>
      </c>
      <c r="I204" s="56">
        <f>_xlfn.XLOOKUP(AllTime1[[#This Row],[Name]],Table16[Name],Table16[Totals],"Error",0,1)</f>
        <v>4</v>
      </c>
      <c r="J204" s="72">
        <f>IF(ISNUMBER(AllTime1[[#This Row],[All-time rank]]), AllTime1[[#This Row],[All-time rank]] + ROW(AllTime1[[#This Row],[All-time rank]])/100000, 99999 + ROW(AllTime1[[#This Row],[All-time rank]])/100000)</f>
        <v>177.00203999999999</v>
      </c>
      <c r="K204" s="69">
        <f>IF(ISNUMBER(AllTime1[[#This Row],[All-time score]]), AllTime1[[#This Row],[All-time score]] + ROW(AllTime1[[#This Row],[All-time score]])/100000000, 0 + ROW(AllTime1[[#This Row],[All-time score]])/1000000000)</f>
        <v>4.00000204</v>
      </c>
    </row>
    <row r="205" spans="7:11" ht="16.5">
      <c r="G205" s="71" t="str">
        <f>IFERROR(Table5[[#This Row],[Full name]],"")</f>
        <v>Joshua Pascazi</v>
      </c>
      <c r="H205" s="56">
        <f>_xlfn.RANK.EQ(AllTime1[[#This Row],[All-time score]],AllTime1[All-time score],0)</f>
        <v>300</v>
      </c>
      <c r="I205" s="56">
        <f>_xlfn.XLOOKUP(AllTime1[[#This Row],[Name]],Table16[Name],Table16[Totals],"Error",0,1)</f>
        <v>0</v>
      </c>
      <c r="J205" s="72">
        <f>IF(ISNUMBER(AllTime1[[#This Row],[All-time rank]]), AllTime1[[#This Row],[All-time rank]] + ROW(AllTime1[[#This Row],[All-time rank]])/100000, 99999 + ROW(AllTime1[[#This Row],[All-time rank]])/100000)</f>
        <v>300.00205</v>
      </c>
      <c r="K205" s="69">
        <f>IF(ISNUMBER(AllTime1[[#This Row],[All-time score]]), AllTime1[[#This Row],[All-time score]] + ROW(AllTime1[[#This Row],[All-time score]])/100000000, 0 + ROW(AllTime1[[#This Row],[All-time score]])/1000000000)</f>
        <v>2.0499999999999999E-6</v>
      </c>
    </row>
    <row r="206" spans="7:11" ht="16.5">
      <c r="G206" s="71" t="str">
        <f>IFERROR(Table5[[#This Row],[Full name]],"")</f>
        <v>Julian Pawchuk</v>
      </c>
      <c r="H206" s="56">
        <f>_xlfn.RANK.EQ(AllTime1[[#This Row],[All-time score]],AllTime1[All-time score],0)</f>
        <v>300</v>
      </c>
      <c r="I206" s="56">
        <f>_xlfn.XLOOKUP(AllTime1[[#This Row],[Name]],Table16[Name],Table16[Totals],"Error",0,1)</f>
        <v>0</v>
      </c>
      <c r="J206" s="72">
        <f>IF(ISNUMBER(AllTime1[[#This Row],[All-time rank]]), AllTime1[[#This Row],[All-time rank]] + ROW(AllTime1[[#This Row],[All-time rank]])/100000, 99999 + ROW(AllTime1[[#This Row],[All-time rank]])/100000)</f>
        <v>300.00205999999997</v>
      </c>
      <c r="K206" s="69">
        <f>IF(ISNUMBER(AllTime1[[#This Row],[All-time score]]), AllTime1[[#This Row],[All-time score]] + ROW(AllTime1[[#This Row],[All-time score]])/100000000, 0 + ROW(AllTime1[[#This Row],[All-time score]])/1000000000)</f>
        <v>2.0600000000000002E-6</v>
      </c>
    </row>
    <row r="207" spans="7:11" ht="16.5">
      <c r="G207" s="71" t="str">
        <f>IFERROR(Table5[[#This Row],[Full name]],"")</f>
        <v xml:space="preserve">Julian </v>
      </c>
      <c r="H207" s="56">
        <f>_xlfn.RANK.EQ(AllTime1[[#This Row],[All-time score]],AllTime1[All-time score],0)</f>
        <v>248</v>
      </c>
      <c r="I207" s="56">
        <f>_xlfn.XLOOKUP(AllTime1[[#This Row],[Name]],Table16[Name],Table16[Totals],"Error",0,1)</f>
        <v>1</v>
      </c>
      <c r="J207" s="72">
        <f>IF(ISNUMBER(AllTime1[[#This Row],[All-time rank]]), AllTime1[[#This Row],[All-time rank]] + ROW(AllTime1[[#This Row],[All-time rank]])/100000, 99999 + ROW(AllTime1[[#This Row],[All-time rank]])/100000)</f>
        <v>248.00207</v>
      </c>
      <c r="K207" s="69">
        <f>IF(ISNUMBER(AllTime1[[#This Row],[All-time score]]), AllTime1[[#This Row],[All-time score]] + ROW(AllTime1[[#This Row],[All-time score]])/100000000, 0 + ROW(AllTime1[[#This Row],[All-time score]])/1000000000)</f>
        <v>1.0000020700000001</v>
      </c>
    </row>
    <row r="208" spans="7:11" ht="16.5">
      <c r="G208" s="71" t="str">
        <f>IFERROR(Table5[[#This Row],[Full name]],"")</f>
        <v>Justin Chow</v>
      </c>
      <c r="H208" s="56">
        <f>_xlfn.RANK.EQ(AllTime1[[#This Row],[All-time score]],AllTime1[All-time score],0)</f>
        <v>43</v>
      </c>
      <c r="I208" s="56">
        <f>_xlfn.XLOOKUP(AllTime1[[#This Row],[Name]],Table16[Name],Table16[Totals],"Error",0,1)</f>
        <v>36</v>
      </c>
      <c r="J208" s="72">
        <f>IF(ISNUMBER(AllTime1[[#This Row],[All-time rank]]), AllTime1[[#This Row],[All-time rank]] + ROW(AllTime1[[#This Row],[All-time rank]])/100000, 99999 + ROW(AllTime1[[#This Row],[All-time rank]])/100000)</f>
        <v>43.002079999999999</v>
      </c>
      <c r="K208" s="69">
        <f>IF(ISNUMBER(AllTime1[[#This Row],[All-time score]]), AllTime1[[#This Row],[All-time score]] + ROW(AllTime1[[#This Row],[All-time score]])/100000000, 0 + ROW(AllTime1[[#This Row],[All-time score]])/1000000000)</f>
        <v>36.000002080000002</v>
      </c>
    </row>
    <row r="209" spans="7:11" ht="16.5">
      <c r="G209" s="71" t="str">
        <f>IFERROR(Table5[[#This Row],[Full name]],"")</f>
        <v>Kadin Broomhead</v>
      </c>
      <c r="H209" s="56">
        <f>_xlfn.RANK.EQ(AllTime1[[#This Row],[All-time score]],AllTime1[All-time score],0)</f>
        <v>300</v>
      </c>
      <c r="I209" s="56">
        <f>_xlfn.XLOOKUP(AllTime1[[#This Row],[Name]],Table16[Name],Table16[Totals],"Error",0,1)</f>
        <v>0</v>
      </c>
      <c r="J209" s="72">
        <f>IF(ISNUMBER(AllTime1[[#This Row],[All-time rank]]), AllTime1[[#This Row],[All-time rank]] + ROW(AllTime1[[#This Row],[All-time rank]])/100000, 99999 + ROW(AllTime1[[#This Row],[All-time rank]])/100000)</f>
        <v>300.00209000000001</v>
      </c>
      <c r="K209" s="69">
        <f>IF(ISNUMBER(AllTime1[[#This Row],[All-time score]]), AllTime1[[#This Row],[All-time score]] + ROW(AllTime1[[#This Row],[All-time score]])/100000000, 0 + ROW(AllTime1[[#This Row],[All-time score]])/1000000000)</f>
        <v>2.0899999999999999E-6</v>
      </c>
    </row>
    <row r="210" spans="7:11" ht="16.5">
      <c r="G210" s="71" t="str">
        <f>IFERROR(Table5[[#This Row],[Full name]],"")</f>
        <v>Kalundi Serumaga</v>
      </c>
      <c r="H210" s="56">
        <f>_xlfn.RANK.EQ(AllTime1[[#This Row],[All-time score]],AllTime1[All-time score],0)</f>
        <v>35</v>
      </c>
      <c r="I210" s="56">
        <f>_xlfn.XLOOKUP(AllTime1[[#This Row],[Name]],Table16[Name],Table16[Totals],"Error",0,1)</f>
        <v>44</v>
      </c>
      <c r="J210" s="72">
        <f>IF(ISNUMBER(AllTime1[[#This Row],[All-time rank]]), AllTime1[[#This Row],[All-time rank]] + ROW(AllTime1[[#This Row],[All-time rank]])/100000, 99999 + ROW(AllTime1[[#This Row],[All-time rank]])/100000)</f>
        <v>35.002099999999999</v>
      </c>
      <c r="K210" s="69">
        <f>IF(ISNUMBER(AllTime1[[#This Row],[All-time score]]), AllTime1[[#This Row],[All-time score]] + ROW(AllTime1[[#This Row],[All-time score]])/100000000, 0 + ROW(AllTime1[[#This Row],[All-time score]])/1000000000)</f>
        <v>44.000002100000003</v>
      </c>
    </row>
    <row r="211" spans="7:11" ht="16.5">
      <c r="G211" s="71" t="str">
        <f>IFERROR(Table5[[#This Row],[Full name]],"")</f>
        <v>Kalyan Jande</v>
      </c>
      <c r="H211" s="56">
        <f>_xlfn.RANK.EQ(AllTime1[[#This Row],[All-time score]],AllTime1[All-time score],0)</f>
        <v>67</v>
      </c>
      <c r="I211" s="56">
        <f>_xlfn.XLOOKUP(AllTime1[[#This Row],[Name]],Table16[Name],Table16[Totals],"Error",0,1)</f>
        <v>24</v>
      </c>
      <c r="J211" s="72">
        <f>IF(ISNUMBER(AllTime1[[#This Row],[All-time rank]]), AllTime1[[#This Row],[All-time rank]] + ROW(AllTime1[[#This Row],[All-time rank]])/100000, 99999 + ROW(AllTime1[[#This Row],[All-time rank]])/100000)</f>
        <v>67.002110000000002</v>
      </c>
      <c r="K211" s="69">
        <f>IF(ISNUMBER(AllTime1[[#This Row],[All-time score]]), AllTime1[[#This Row],[All-time score]] + ROW(AllTime1[[#This Row],[All-time score]])/100000000, 0 + ROW(AllTime1[[#This Row],[All-time score]])/1000000000)</f>
        <v>24.00000211</v>
      </c>
    </row>
    <row r="212" spans="7:11" ht="16.5">
      <c r="G212" s="71" t="str">
        <f>IFERROR(Table5[[#This Row],[Full name]],"")</f>
        <v>Kenneth Liu</v>
      </c>
      <c r="H212" s="56">
        <f>_xlfn.RANK.EQ(AllTime1[[#This Row],[All-time score]],AllTime1[All-time score],0)</f>
        <v>69</v>
      </c>
      <c r="I212" s="56">
        <f>_xlfn.XLOOKUP(AllTime1[[#This Row],[Name]],Table16[Name],Table16[Totals],"Error",0,1)</f>
        <v>23</v>
      </c>
      <c r="J212" s="72">
        <f>IF(ISNUMBER(AllTime1[[#This Row],[All-time rank]]), AllTime1[[#This Row],[All-time rank]] + ROW(AllTime1[[#This Row],[All-time rank]])/100000, 99999 + ROW(AllTime1[[#This Row],[All-time rank]])/100000)</f>
        <v>69.002120000000005</v>
      </c>
      <c r="K212" s="69">
        <f>IF(ISNUMBER(AllTime1[[#This Row],[All-time score]]), AllTime1[[#This Row],[All-time score]] + ROW(AllTime1[[#This Row],[All-time score]])/100000000, 0 + ROW(AllTime1[[#This Row],[All-time score]])/1000000000)</f>
        <v>23.000002120000001</v>
      </c>
    </row>
    <row r="213" spans="7:11" ht="16.5">
      <c r="G213" s="71" t="str">
        <f>IFERROR(Table5[[#This Row],[Full name]],"")</f>
        <v>Kenodh Ekanayake</v>
      </c>
      <c r="H213" s="56">
        <f>_xlfn.RANK.EQ(AllTime1[[#This Row],[All-time score]],AllTime1[All-time score],0)</f>
        <v>300</v>
      </c>
      <c r="I213" s="56">
        <f>_xlfn.XLOOKUP(AllTime1[[#This Row],[Name]],Table16[Name],Table16[Totals],"Error",0,1)</f>
        <v>0</v>
      </c>
      <c r="J213" s="72">
        <f>IF(ISNUMBER(AllTime1[[#This Row],[All-time rank]]), AllTime1[[#This Row],[All-time rank]] + ROW(AllTime1[[#This Row],[All-time rank]])/100000, 99999 + ROW(AllTime1[[#This Row],[All-time rank]])/100000)</f>
        <v>300.00213000000002</v>
      </c>
      <c r="K213" s="69">
        <f>IF(ISNUMBER(AllTime1[[#This Row],[All-time score]]), AllTime1[[#This Row],[All-time score]] + ROW(AllTime1[[#This Row],[All-time score]])/100000000, 0 + ROW(AllTime1[[#This Row],[All-time score]])/1000000000)</f>
        <v>2.1299999999999999E-6</v>
      </c>
    </row>
    <row r="214" spans="7:11" ht="16.5">
      <c r="G214" s="71" t="str">
        <f>IFERROR(Table5[[#This Row],[Full name]],"")</f>
        <v>Kevin Chen</v>
      </c>
      <c r="H214" s="56">
        <f>_xlfn.RANK.EQ(AllTime1[[#This Row],[All-time score]],AllTime1[All-time score],0)</f>
        <v>300</v>
      </c>
      <c r="I214" s="56">
        <f>_xlfn.XLOOKUP(AllTime1[[#This Row],[Name]],Table16[Name],Table16[Totals],"Error",0,1)</f>
        <v>0</v>
      </c>
      <c r="J214" s="72">
        <f>IF(ISNUMBER(AllTime1[[#This Row],[All-time rank]]), AllTime1[[#This Row],[All-time rank]] + ROW(AllTime1[[#This Row],[All-time rank]])/100000, 99999 + ROW(AllTime1[[#This Row],[All-time rank]])/100000)</f>
        <v>300.00214</v>
      </c>
      <c r="K214" s="69">
        <f>IF(ISNUMBER(AllTime1[[#This Row],[All-time score]]), AllTime1[[#This Row],[All-time score]] + ROW(AllTime1[[#This Row],[All-time score]])/100000000, 0 + ROW(AllTime1[[#This Row],[All-time score]])/1000000000)</f>
        <v>2.1399999999999998E-6</v>
      </c>
    </row>
    <row r="215" spans="7:11" ht="16.5">
      <c r="G215" s="71" t="str">
        <f>IFERROR(Table5[[#This Row],[Full name]],"")</f>
        <v>Kevin Mehrzad</v>
      </c>
      <c r="H215" s="56">
        <f>_xlfn.RANK.EQ(AllTime1[[#This Row],[All-time score]],AllTime1[All-time score],0)</f>
        <v>248</v>
      </c>
      <c r="I215" s="56">
        <f>_xlfn.XLOOKUP(AllTime1[[#This Row],[Name]],Table16[Name],Table16[Totals],"Error",0,1)</f>
        <v>1</v>
      </c>
      <c r="J215" s="72">
        <f>IF(ISNUMBER(AllTime1[[#This Row],[All-time rank]]), AllTime1[[#This Row],[All-time rank]] + ROW(AllTime1[[#This Row],[All-time rank]])/100000, 99999 + ROW(AllTime1[[#This Row],[All-time rank]])/100000)</f>
        <v>248.00215</v>
      </c>
      <c r="K215" s="69">
        <f>IF(ISNUMBER(AllTime1[[#This Row],[All-time score]]), AllTime1[[#This Row],[All-time score]] + ROW(AllTime1[[#This Row],[All-time score]])/100000000, 0 + ROW(AllTime1[[#This Row],[All-time score]])/1000000000)</f>
        <v>1.00000215</v>
      </c>
    </row>
    <row r="216" spans="7:11" ht="16.5">
      <c r="G216" s="71" t="str">
        <f>IFERROR(Table5[[#This Row],[Full name]],"")</f>
        <v>Khoi Luu</v>
      </c>
      <c r="H216" s="56">
        <f>_xlfn.RANK.EQ(AllTime1[[#This Row],[All-time score]],AllTime1[All-time score],0)</f>
        <v>165</v>
      </c>
      <c r="I216" s="56">
        <f>_xlfn.XLOOKUP(AllTime1[[#This Row],[Name]],Table16[Name],Table16[Totals],"Error",0,1)</f>
        <v>5</v>
      </c>
      <c r="J216" s="72">
        <f>IF(ISNUMBER(AllTime1[[#This Row],[All-time rank]]), AllTime1[[#This Row],[All-time rank]] + ROW(AllTime1[[#This Row],[All-time rank]])/100000, 99999 + ROW(AllTime1[[#This Row],[All-time rank]])/100000)</f>
        <v>165.00216</v>
      </c>
      <c r="K216" s="69">
        <f>IF(ISNUMBER(AllTime1[[#This Row],[All-time score]]), AllTime1[[#This Row],[All-time score]] + ROW(AllTime1[[#This Row],[All-time score]])/100000000, 0 + ROW(AllTime1[[#This Row],[All-time score]])/1000000000)</f>
        <v>5.0000021600000002</v>
      </c>
    </row>
    <row r="217" spans="7:11" ht="16.5">
      <c r="G217" s="71" t="str">
        <f>IFERROR(Table5[[#This Row],[Full name]],"")</f>
        <v>Kieran Kwong</v>
      </c>
      <c r="H217" s="56">
        <f>_xlfn.RANK.EQ(AllTime1[[#This Row],[All-time score]],AllTime1[All-time score],0)</f>
        <v>121</v>
      </c>
      <c r="I217" s="56">
        <f>_xlfn.XLOOKUP(AllTime1[[#This Row],[Name]],Table16[Name],Table16[Totals],"Error",0,1)</f>
        <v>12</v>
      </c>
      <c r="J217" s="72">
        <f>IF(ISNUMBER(AllTime1[[#This Row],[All-time rank]]), AllTime1[[#This Row],[All-time rank]] + ROW(AllTime1[[#This Row],[All-time rank]])/100000, 99999 + ROW(AllTime1[[#This Row],[All-time rank]])/100000)</f>
        <v>121.00217000000001</v>
      </c>
      <c r="K217" s="69">
        <f>IF(ISNUMBER(AllTime1[[#This Row],[All-time score]]), AllTime1[[#This Row],[All-time score]] + ROW(AllTime1[[#This Row],[All-time score]])/100000000, 0 + ROW(AllTime1[[#This Row],[All-time score]])/1000000000)</f>
        <v>12.00000217</v>
      </c>
    </row>
    <row r="218" spans="7:11" ht="16.5">
      <c r="G218" s="71" t="str">
        <f>IFERROR(Table5[[#This Row],[Full name]],"")</f>
        <v>Kimia Azizi Mehr</v>
      </c>
      <c r="H218" s="56">
        <f>_xlfn.RANK.EQ(AllTime1[[#This Row],[All-time score]],AllTime1[All-time score],0)</f>
        <v>300</v>
      </c>
      <c r="I218" s="56">
        <f>_xlfn.XLOOKUP(AllTime1[[#This Row],[Name]],Table16[Name],Table16[Totals],"Error",0,1)</f>
        <v>0</v>
      </c>
      <c r="J218" s="72">
        <f>IF(ISNUMBER(AllTime1[[#This Row],[All-time rank]]), AllTime1[[#This Row],[All-time rank]] + ROW(AllTime1[[#This Row],[All-time rank]])/100000, 99999 + ROW(AllTime1[[#This Row],[All-time rank]])/100000)</f>
        <v>300.00218000000001</v>
      </c>
      <c r="K218" s="69">
        <f>IF(ISNUMBER(AllTime1[[#This Row],[All-time score]]), AllTime1[[#This Row],[All-time score]] + ROW(AllTime1[[#This Row],[All-time score]])/100000000, 0 + ROW(AllTime1[[#This Row],[All-time score]])/1000000000)</f>
        <v>2.1799999999999999E-6</v>
      </c>
    </row>
    <row r="219" spans="7:11" ht="16.5">
      <c r="G219" s="71" t="str">
        <f>IFERROR(Table5[[#This Row],[Full name]],"")</f>
        <v>Kiran Shu</v>
      </c>
      <c r="H219" s="56">
        <f>_xlfn.RANK.EQ(AllTime1[[#This Row],[All-time score]],AllTime1[All-time score],0)</f>
        <v>220</v>
      </c>
      <c r="I219" s="56">
        <f>_xlfn.XLOOKUP(AllTime1[[#This Row],[Name]],Table16[Name],Table16[Totals],"Error",0,1)</f>
        <v>2</v>
      </c>
      <c r="J219" s="72">
        <f>IF(ISNUMBER(AllTime1[[#This Row],[All-time rank]]), AllTime1[[#This Row],[All-time rank]] + ROW(AllTime1[[#This Row],[All-time rank]])/100000, 99999 + ROW(AllTime1[[#This Row],[All-time rank]])/100000)</f>
        <v>220.00219000000001</v>
      </c>
      <c r="K219" s="69">
        <f>IF(ISNUMBER(AllTime1[[#This Row],[All-time score]]), AllTime1[[#This Row],[All-time score]] + ROW(AllTime1[[#This Row],[All-time score]])/100000000, 0 + ROW(AllTime1[[#This Row],[All-time score]])/1000000000)</f>
        <v>2.00000219</v>
      </c>
    </row>
    <row r="220" spans="7:11" ht="16.5">
      <c r="G220" s="71" t="str">
        <f>IFERROR(Table5[[#This Row],[Full name]],"")</f>
        <v>Kongduo Li</v>
      </c>
      <c r="H220" s="56">
        <f>_xlfn.RANK.EQ(AllTime1[[#This Row],[All-time score]],AllTime1[All-time score],0)</f>
        <v>28</v>
      </c>
      <c r="I220" s="56">
        <f>_xlfn.XLOOKUP(AllTime1[[#This Row],[Name]],Table16[Name],Table16[Totals],"Error",0,1)</f>
        <v>54</v>
      </c>
      <c r="J220" s="72">
        <f>IF(ISNUMBER(AllTime1[[#This Row],[All-time rank]]), AllTime1[[#This Row],[All-time rank]] + ROW(AllTime1[[#This Row],[All-time rank]])/100000, 99999 + ROW(AllTime1[[#This Row],[All-time rank]])/100000)</f>
        <v>28.002199999999998</v>
      </c>
      <c r="K220" s="69">
        <f>IF(ISNUMBER(AllTime1[[#This Row],[All-time score]]), AllTime1[[#This Row],[All-time score]] + ROW(AllTime1[[#This Row],[All-time score]])/100000000, 0 + ROW(AllTime1[[#This Row],[All-time score]])/1000000000)</f>
        <v>54.000002199999997</v>
      </c>
    </row>
    <row r="221" spans="7:11" ht="16.5">
      <c r="G221" s="71" t="str">
        <f>IFERROR(Table5[[#This Row],[Full name]],"")</f>
        <v>Konrad Zawadzki</v>
      </c>
      <c r="H221" s="56">
        <f>_xlfn.RANK.EQ(AllTime1[[#This Row],[All-time score]],AllTime1[All-time score],0)</f>
        <v>49</v>
      </c>
      <c r="I221" s="56">
        <f>_xlfn.XLOOKUP(AllTime1[[#This Row],[Name]],Table16[Name],Table16[Totals],"Error",0,1)</f>
        <v>32</v>
      </c>
      <c r="J221" s="72">
        <f>IF(ISNUMBER(AllTime1[[#This Row],[All-time rank]]), AllTime1[[#This Row],[All-time rank]] + ROW(AllTime1[[#This Row],[All-time rank]])/100000, 99999 + ROW(AllTime1[[#This Row],[All-time rank]])/100000)</f>
        <v>49.002209999999998</v>
      </c>
      <c r="K221" s="69">
        <f>IF(ISNUMBER(AllTime1[[#This Row],[All-time score]]), AllTime1[[#This Row],[All-time score]] + ROW(AllTime1[[#This Row],[All-time score]])/100000000, 0 + ROW(AllTime1[[#This Row],[All-time score]])/1000000000)</f>
        <v>32.000002209999998</v>
      </c>
    </row>
    <row r="222" spans="7:11" ht="16.5">
      <c r="G222" s="71" t="str">
        <f>IFERROR(Table5[[#This Row],[Full name]],"")</f>
        <v>Krish Chandola</v>
      </c>
      <c r="H222" s="56">
        <f>_xlfn.RANK.EQ(AllTime1[[#This Row],[All-time score]],AllTime1[All-time score],0)</f>
        <v>37</v>
      </c>
      <c r="I222" s="56">
        <f>_xlfn.XLOOKUP(AllTime1[[#This Row],[Name]],Table16[Name],Table16[Totals],"Error",0,1)</f>
        <v>39</v>
      </c>
      <c r="J222" s="72">
        <f>IF(ISNUMBER(AllTime1[[#This Row],[All-time rank]]), AllTime1[[#This Row],[All-time rank]] + ROW(AllTime1[[#This Row],[All-time rank]])/100000, 99999 + ROW(AllTime1[[#This Row],[All-time rank]])/100000)</f>
        <v>37.002220000000001</v>
      </c>
      <c r="K222" s="69">
        <f>IF(ISNUMBER(AllTime1[[#This Row],[All-time score]]), AllTime1[[#This Row],[All-time score]] + ROW(AllTime1[[#This Row],[All-time score]])/100000000, 0 + ROW(AllTime1[[#This Row],[All-time score]])/1000000000)</f>
        <v>39.000002219999999</v>
      </c>
    </row>
    <row r="223" spans="7:11" ht="16.5">
      <c r="G223" s="71" t="str">
        <f>IFERROR(Table5[[#This Row],[Full name]],"")</f>
        <v>Krish  Mehta</v>
      </c>
      <c r="H223" s="56">
        <f>_xlfn.RANK.EQ(AllTime1[[#This Row],[All-time score]],AllTime1[All-time score],0)</f>
        <v>220</v>
      </c>
      <c r="I223" s="56">
        <f>_xlfn.XLOOKUP(AllTime1[[#This Row],[Name]],Table16[Name],Table16[Totals],"Error",0,1)</f>
        <v>2</v>
      </c>
      <c r="J223" s="72">
        <f>IF(ISNUMBER(AllTime1[[#This Row],[All-time rank]]), AllTime1[[#This Row],[All-time rank]] + ROW(AllTime1[[#This Row],[All-time rank]])/100000, 99999 + ROW(AllTime1[[#This Row],[All-time rank]])/100000)</f>
        <v>220.00223</v>
      </c>
      <c r="K223" s="69">
        <f>IF(ISNUMBER(AllTime1[[#This Row],[All-time score]]), AllTime1[[#This Row],[All-time score]] + ROW(AllTime1[[#This Row],[All-time score]])/100000000, 0 + ROW(AllTime1[[#This Row],[All-time score]])/1000000000)</f>
        <v>2.0000022300000002</v>
      </c>
    </row>
    <row r="224" spans="7:11" ht="16.5">
      <c r="G224" s="71" t="str">
        <f>IFERROR(Table5[[#This Row],[Full name]],"")</f>
        <v>Kyle  Chen</v>
      </c>
      <c r="H224" s="56">
        <f>_xlfn.RANK.EQ(AllTime1[[#This Row],[All-time score]],AllTime1[All-time score],0)</f>
        <v>55</v>
      </c>
      <c r="I224" s="56">
        <f>_xlfn.XLOOKUP(AllTime1[[#This Row],[Name]],Table16[Name],Table16[Totals],"Error",0,1)</f>
        <v>29</v>
      </c>
      <c r="J224" s="72">
        <f>IF(ISNUMBER(AllTime1[[#This Row],[All-time rank]]), AllTime1[[#This Row],[All-time rank]] + ROW(AllTime1[[#This Row],[All-time rank]])/100000, 99999 + ROW(AllTime1[[#This Row],[All-time rank]])/100000)</f>
        <v>55.00224</v>
      </c>
      <c r="K224" s="69">
        <f>IF(ISNUMBER(AllTime1[[#This Row],[All-time score]]), AllTime1[[#This Row],[All-time score]] + ROW(AllTime1[[#This Row],[All-time score]])/100000000, 0 + ROW(AllTime1[[#This Row],[All-time score]])/1000000000)</f>
        <v>29.000002240000001</v>
      </c>
    </row>
    <row r="225" spans="7:11" ht="16.5">
      <c r="G225" s="71" t="str">
        <f>IFERROR(Table5[[#This Row],[Full name]],"")</f>
        <v>Lawrence Alvarez-Smith</v>
      </c>
      <c r="H225" s="56">
        <f>_xlfn.RANK.EQ(AllTime1[[#This Row],[All-time score]],AllTime1[All-time score],0)</f>
        <v>220</v>
      </c>
      <c r="I225" s="56">
        <f>_xlfn.XLOOKUP(AllTime1[[#This Row],[Name]],Table16[Name],Table16[Totals],"Error",0,1)</f>
        <v>2</v>
      </c>
      <c r="J225" s="72">
        <f>IF(ISNUMBER(AllTime1[[#This Row],[All-time rank]]), AllTime1[[#This Row],[All-time rank]] + ROW(AllTime1[[#This Row],[All-time rank]])/100000, 99999 + ROW(AllTime1[[#This Row],[All-time rank]])/100000)</f>
        <v>220.00225</v>
      </c>
      <c r="K225" s="69">
        <f>IF(ISNUMBER(AllTime1[[#This Row],[All-time score]]), AllTime1[[#This Row],[All-time score]] + ROW(AllTime1[[#This Row],[All-time score]])/100000000, 0 + ROW(AllTime1[[#This Row],[All-time score]])/1000000000)</f>
        <v>2.0000022500000001</v>
      </c>
    </row>
    <row r="226" spans="7:11" ht="16.5">
      <c r="G226" s="71" t="str">
        <f>IFERROR(Table5[[#This Row],[Full name]],"")</f>
        <v>Lawrence Xu</v>
      </c>
      <c r="H226" s="56">
        <f>_xlfn.RANK.EQ(AllTime1[[#This Row],[All-time score]],AllTime1[All-time score],0)</f>
        <v>136</v>
      </c>
      <c r="I226" s="56">
        <f>_xlfn.XLOOKUP(AllTime1[[#This Row],[Name]],Table16[Name],Table16[Totals],"Error",0,1)</f>
        <v>10</v>
      </c>
      <c r="J226" s="72">
        <f>IF(ISNUMBER(AllTime1[[#This Row],[All-time rank]]), AllTime1[[#This Row],[All-time rank]] + ROW(AllTime1[[#This Row],[All-time rank]])/100000, 99999 + ROW(AllTime1[[#This Row],[All-time rank]])/100000)</f>
        <v>136.00226000000001</v>
      </c>
      <c r="K226" s="69">
        <f>IF(ISNUMBER(AllTime1[[#This Row],[All-time score]]), AllTime1[[#This Row],[All-time score]] + ROW(AllTime1[[#This Row],[All-time score]])/100000000, 0 + ROW(AllTime1[[#This Row],[All-time score]])/1000000000)</f>
        <v>10.00000226</v>
      </c>
    </row>
    <row r="227" spans="7:11" ht="16.5">
      <c r="G227" s="71" t="str">
        <f>IFERROR(Table5[[#This Row],[Full name]],"")</f>
        <v>Lee Li</v>
      </c>
      <c r="H227" s="56">
        <f>_xlfn.RANK.EQ(AllTime1[[#This Row],[All-time score]],AllTime1[All-time score],0)</f>
        <v>248</v>
      </c>
      <c r="I227" s="56">
        <f>_xlfn.XLOOKUP(AllTime1[[#This Row],[Name]],Table16[Name],Table16[Totals],"Error",0,1)</f>
        <v>1</v>
      </c>
      <c r="J227" s="72">
        <f>IF(ISNUMBER(AllTime1[[#This Row],[All-time rank]]), AllTime1[[#This Row],[All-time rank]] + ROW(AllTime1[[#This Row],[All-time rank]])/100000, 99999 + ROW(AllTime1[[#This Row],[All-time rank]])/100000)</f>
        <v>248.00227000000001</v>
      </c>
      <c r="K227" s="69">
        <f>IF(ISNUMBER(AllTime1[[#This Row],[All-time score]]), AllTime1[[#This Row],[All-time score]] + ROW(AllTime1[[#This Row],[All-time score]])/100000000, 0 + ROW(AllTime1[[#This Row],[All-time score]])/1000000000)</f>
        <v>1.00000227</v>
      </c>
    </row>
    <row r="228" spans="7:11" ht="16.5">
      <c r="G228" s="71" t="str">
        <f>IFERROR(Table5[[#This Row],[Full name]],"")</f>
        <v>Leo Yang</v>
      </c>
      <c r="H228" s="56">
        <f>_xlfn.RANK.EQ(AllTime1[[#This Row],[All-time score]],AllTime1[All-time score],0)</f>
        <v>177</v>
      </c>
      <c r="I228" s="56">
        <f>_xlfn.XLOOKUP(AllTime1[[#This Row],[Name]],Table16[Name],Table16[Totals],"Error",0,1)</f>
        <v>4</v>
      </c>
      <c r="J228" s="72">
        <f>IF(ISNUMBER(AllTime1[[#This Row],[All-time rank]]), AllTime1[[#This Row],[All-time rank]] + ROW(AllTime1[[#This Row],[All-time rank]])/100000, 99999 + ROW(AllTime1[[#This Row],[All-time rank]])/100000)</f>
        <v>177.00228000000001</v>
      </c>
      <c r="K228" s="69">
        <f>IF(ISNUMBER(AllTime1[[#This Row],[All-time score]]), AllTime1[[#This Row],[All-time score]] + ROW(AllTime1[[#This Row],[All-time score]])/100000000, 0 + ROW(AllTime1[[#This Row],[All-time score]])/1000000000)</f>
        <v>4.0000022800000004</v>
      </c>
    </row>
    <row r="229" spans="7:11" ht="16.5">
      <c r="G229" s="71" t="str">
        <f>IFERROR(Table5[[#This Row],[Full name]],"")</f>
        <v>Leonardo Panarello</v>
      </c>
      <c r="H229" s="56">
        <f>_xlfn.RANK.EQ(AllTime1[[#This Row],[All-time score]],AllTime1[All-time score],0)</f>
        <v>157</v>
      </c>
      <c r="I229" s="56">
        <f>_xlfn.XLOOKUP(AllTime1[[#This Row],[Name]],Table16[Name],Table16[Totals],"Error",0,1)</f>
        <v>7</v>
      </c>
      <c r="J229" s="72">
        <f>IF(ISNUMBER(AllTime1[[#This Row],[All-time rank]]), AllTime1[[#This Row],[All-time rank]] + ROW(AllTime1[[#This Row],[All-time rank]])/100000, 99999 + ROW(AllTime1[[#This Row],[All-time rank]])/100000)</f>
        <v>157.00228999999999</v>
      </c>
      <c r="K229" s="69">
        <f>IF(ISNUMBER(AllTime1[[#This Row],[All-time score]]), AllTime1[[#This Row],[All-time score]] + ROW(AllTime1[[#This Row],[All-time score]])/100000000, 0 + ROW(AllTime1[[#This Row],[All-time score]])/1000000000)</f>
        <v>7.0000022900000003</v>
      </c>
    </row>
    <row r="230" spans="7:11" ht="16.5">
      <c r="G230" s="71" t="str">
        <f>IFERROR(Table5[[#This Row],[Full name]],"")</f>
        <v>Liam Carter</v>
      </c>
      <c r="H230" s="56">
        <f>_xlfn.RANK.EQ(AllTime1[[#This Row],[All-time score]],AllTime1[All-time score],0)</f>
        <v>2</v>
      </c>
      <c r="I230" s="56">
        <f>_xlfn.XLOOKUP(AllTime1[[#This Row],[Name]],Table16[Name],Table16[Totals],"Error",0,1)</f>
        <v>138</v>
      </c>
      <c r="J230" s="72">
        <f>IF(ISNUMBER(AllTime1[[#This Row],[All-time rank]]), AllTime1[[#This Row],[All-time rank]] + ROW(AllTime1[[#This Row],[All-time rank]])/100000, 99999 + ROW(AllTime1[[#This Row],[All-time rank]])/100000)</f>
        <v>2.0023</v>
      </c>
      <c r="K230" s="69">
        <f>IF(ISNUMBER(AllTime1[[#This Row],[All-time score]]), AllTime1[[#This Row],[All-time score]] + ROW(AllTime1[[#This Row],[All-time score]])/100000000, 0 + ROW(AllTime1[[#This Row],[All-time score]])/1000000000)</f>
        <v>138.00000230000001</v>
      </c>
    </row>
    <row r="231" spans="7:11" ht="16.5">
      <c r="G231" s="71" t="str">
        <f>IFERROR(Table5[[#This Row],[Full name]],"")</f>
        <v>Liam Surka</v>
      </c>
      <c r="H231" s="56">
        <f>_xlfn.RANK.EQ(AllTime1[[#This Row],[All-time score]],AllTime1[All-time score],0)</f>
        <v>300</v>
      </c>
      <c r="I231" s="56">
        <f>_xlfn.XLOOKUP(AllTime1[[#This Row],[Name]],Table16[Name],Table16[Totals],"Error",0,1)</f>
        <v>0</v>
      </c>
      <c r="J231" s="72">
        <f>IF(ISNUMBER(AllTime1[[#This Row],[All-time rank]]), AllTime1[[#This Row],[All-time rank]] + ROW(AllTime1[[#This Row],[All-time rank]])/100000, 99999 + ROW(AllTime1[[#This Row],[All-time rank]])/100000)</f>
        <v>300.00231000000002</v>
      </c>
      <c r="K231" s="69">
        <f>IF(ISNUMBER(AllTime1[[#This Row],[All-time score]]), AllTime1[[#This Row],[All-time score]] + ROW(AllTime1[[#This Row],[All-time score]])/100000000, 0 + ROW(AllTime1[[#This Row],[All-time score]])/1000000000)</f>
        <v>2.3099999999999999E-6</v>
      </c>
    </row>
    <row r="232" spans="7:11" ht="16.5">
      <c r="G232" s="71" t="str">
        <f>IFERROR(Table5[[#This Row],[Full name]],"")</f>
        <v>Lidia Permia</v>
      </c>
      <c r="H232" s="56">
        <f>_xlfn.RANK.EQ(AllTime1[[#This Row],[All-time score]],AllTime1[All-time score],0)</f>
        <v>177</v>
      </c>
      <c r="I232" s="56">
        <f>_xlfn.XLOOKUP(AllTime1[[#This Row],[Name]],Table16[Name],Table16[Totals],"Error",0,1)</f>
        <v>4</v>
      </c>
      <c r="J232" s="72">
        <f>IF(ISNUMBER(AllTime1[[#This Row],[All-time rank]]), AllTime1[[#This Row],[All-time rank]] + ROW(AllTime1[[#This Row],[All-time rank]])/100000, 99999 + ROW(AllTime1[[#This Row],[All-time rank]])/100000)</f>
        <v>177.00232</v>
      </c>
      <c r="K232" s="69">
        <f>IF(ISNUMBER(AllTime1[[#This Row],[All-time score]]), AllTime1[[#This Row],[All-time score]] + ROW(AllTime1[[#This Row],[All-time score]])/100000000, 0 + ROW(AllTime1[[#This Row],[All-time score]])/1000000000)</f>
        <v>4.0000023200000001</v>
      </c>
    </row>
    <row r="233" spans="7:11" ht="16.5">
      <c r="G233" s="71" t="str">
        <f>IFERROR(Table5[[#This Row],[Full name]],"")</f>
        <v>Louis Vaupotic</v>
      </c>
      <c r="H233" s="56">
        <f>_xlfn.RANK.EQ(AllTime1[[#This Row],[All-time score]],AllTime1[All-time score],0)</f>
        <v>300</v>
      </c>
      <c r="I233" s="56">
        <f>_xlfn.XLOOKUP(AllTime1[[#This Row],[Name]],Table16[Name],Table16[Totals],"Error",0,1)</f>
        <v>0</v>
      </c>
      <c r="J233" s="72">
        <f>IF(ISNUMBER(AllTime1[[#This Row],[All-time rank]]), AllTime1[[#This Row],[All-time rank]] + ROW(AllTime1[[#This Row],[All-time rank]])/100000, 99999 + ROW(AllTime1[[#This Row],[All-time rank]])/100000)</f>
        <v>300.00232999999997</v>
      </c>
      <c r="K233" s="69">
        <f>IF(ISNUMBER(AllTime1[[#This Row],[All-time score]]), AllTime1[[#This Row],[All-time score]] + ROW(AllTime1[[#This Row],[All-time score]])/100000000, 0 + ROW(AllTime1[[#This Row],[All-time score]])/1000000000)</f>
        <v>2.3300000000000001E-6</v>
      </c>
    </row>
    <row r="234" spans="7:11" ht="16.5">
      <c r="G234" s="71" t="str">
        <f>IFERROR(Table5[[#This Row],[Full name]],"")</f>
        <v>Luckshane Imparaza</v>
      </c>
      <c r="H234" s="56">
        <f>_xlfn.RANK.EQ(AllTime1[[#This Row],[All-time score]],AllTime1[All-time score],0)</f>
        <v>53</v>
      </c>
      <c r="I234" s="56">
        <f>_xlfn.XLOOKUP(AllTime1[[#This Row],[Name]],Table16[Name],Table16[Totals],"Error",0,1)</f>
        <v>30</v>
      </c>
      <c r="J234" s="72">
        <f>IF(ISNUMBER(AllTime1[[#This Row],[All-time rank]]), AllTime1[[#This Row],[All-time rank]] + ROW(AllTime1[[#This Row],[All-time rank]])/100000, 99999 + ROW(AllTime1[[#This Row],[All-time rank]])/100000)</f>
        <v>53.002339999999997</v>
      </c>
      <c r="K234" s="69">
        <f>IF(ISNUMBER(AllTime1[[#This Row],[All-time score]]), AllTime1[[#This Row],[All-time score]] + ROW(AllTime1[[#This Row],[All-time score]])/100000000, 0 + ROW(AllTime1[[#This Row],[All-time score]])/1000000000)</f>
        <v>30.000002340000002</v>
      </c>
    </row>
    <row r="235" spans="7:11" ht="16.5">
      <c r="G235" s="71" t="str">
        <f>IFERROR(Table5[[#This Row],[Full name]],"")</f>
        <v>Lucy Kim</v>
      </c>
      <c r="H235" s="56">
        <f>_xlfn.RANK.EQ(AllTime1[[#This Row],[All-time score]],AllTime1[All-time score],0)</f>
        <v>37</v>
      </c>
      <c r="I235" s="56">
        <f>_xlfn.XLOOKUP(AllTime1[[#This Row],[Name]],Table16[Name],Table16[Totals],"Error",0,1)</f>
        <v>39</v>
      </c>
      <c r="J235" s="72">
        <f>IF(ISNUMBER(AllTime1[[#This Row],[All-time rank]]), AllTime1[[#This Row],[All-time rank]] + ROW(AllTime1[[#This Row],[All-time rank]])/100000, 99999 + ROW(AllTime1[[#This Row],[All-time rank]])/100000)</f>
        <v>37.00235</v>
      </c>
      <c r="K235" s="69">
        <f>IF(ISNUMBER(AllTime1[[#This Row],[All-time score]]), AllTime1[[#This Row],[All-time score]] + ROW(AllTime1[[#This Row],[All-time score]])/100000000, 0 + ROW(AllTime1[[#This Row],[All-time score]])/1000000000)</f>
        <v>39.000002350000003</v>
      </c>
    </row>
    <row r="236" spans="7:11" ht="16.5">
      <c r="G236" s="71" t="str">
        <f>IFERROR(Table5[[#This Row],[Full name]],"")</f>
        <v>Luke Bannan</v>
      </c>
      <c r="H236" s="56">
        <f>_xlfn.RANK.EQ(AllTime1[[#This Row],[All-time score]],AllTime1[All-time score],0)</f>
        <v>159</v>
      </c>
      <c r="I236" s="56">
        <f>_xlfn.XLOOKUP(AllTime1[[#This Row],[Name]],Table16[Name],Table16[Totals],"Error",0,1)</f>
        <v>6</v>
      </c>
      <c r="J236" s="72">
        <f>IF(ISNUMBER(AllTime1[[#This Row],[All-time rank]]), AllTime1[[#This Row],[All-time rank]] + ROW(AllTime1[[#This Row],[All-time rank]])/100000, 99999 + ROW(AllTime1[[#This Row],[All-time rank]])/100000)</f>
        <v>159.00236000000001</v>
      </c>
      <c r="K236" s="69">
        <f>IF(ISNUMBER(AllTime1[[#This Row],[All-time score]]), AllTime1[[#This Row],[All-time score]] + ROW(AllTime1[[#This Row],[All-time score]])/100000000, 0 + ROW(AllTime1[[#This Row],[All-time score]])/1000000000)</f>
        <v>6.0000023599999999</v>
      </c>
    </row>
    <row r="237" spans="7:11" ht="16.5">
      <c r="G237" s="71" t="str">
        <f>IFERROR(Table5[[#This Row],[Full name]],"")</f>
        <v>Mahbod Miraly</v>
      </c>
      <c r="H237" s="56">
        <f>_xlfn.RANK.EQ(AllTime1[[#This Row],[All-time score]],AllTime1[All-time score],0)</f>
        <v>113</v>
      </c>
      <c r="I237" s="56">
        <f>_xlfn.XLOOKUP(AllTime1[[#This Row],[Name]],Table16[Name],Table16[Totals],"Error",0,1)</f>
        <v>13</v>
      </c>
      <c r="J237" s="72">
        <f>IF(ISNUMBER(AllTime1[[#This Row],[All-time rank]]), AllTime1[[#This Row],[All-time rank]] + ROW(AllTime1[[#This Row],[All-time rank]])/100000, 99999 + ROW(AllTime1[[#This Row],[All-time rank]])/100000)</f>
        <v>113.00237</v>
      </c>
      <c r="K237" s="69">
        <f>IF(ISNUMBER(AllTime1[[#This Row],[All-time score]]), AllTime1[[#This Row],[All-time score]] + ROW(AllTime1[[#This Row],[All-time score]])/100000000, 0 + ROW(AllTime1[[#This Row],[All-time score]])/1000000000)</f>
        <v>13.000002370000001</v>
      </c>
    </row>
    <row r="238" spans="7:11" ht="16.5">
      <c r="G238" s="71" t="str">
        <f>IFERROR(Table5[[#This Row],[Full name]],"")</f>
        <v>Marcel Cannan La France</v>
      </c>
      <c r="H238" s="56">
        <f>_xlfn.RANK.EQ(AllTime1[[#This Row],[All-time score]],AllTime1[All-time score],0)</f>
        <v>147</v>
      </c>
      <c r="I238" s="56">
        <f>_xlfn.XLOOKUP(AllTime1[[#This Row],[Name]],Table16[Name],Table16[Totals],"Error",0,1)</f>
        <v>9</v>
      </c>
      <c r="J238" s="72">
        <f>IF(ISNUMBER(AllTime1[[#This Row],[All-time rank]]), AllTime1[[#This Row],[All-time rank]] + ROW(AllTime1[[#This Row],[All-time rank]])/100000, 99999 + ROW(AllTime1[[#This Row],[All-time rank]])/100000)</f>
        <v>147.00237999999999</v>
      </c>
      <c r="K238" s="69">
        <f>IF(ISNUMBER(AllTime1[[#This Row],[All-time score]]), AllTime1[[#This Row],[All-time score]] + ROW(AllTime1[[#This Row],[All-time score]])/100000000, 0 + ROW(AllTime1[[#This Row],[All-time score]])/1000000000)</f>
        <v>9.0000023799999997</v>
      </c>
    </row>
    <row r="239" spans="7:11" ht="16.5">
      <c r="G239" s="71" t="str">
        <f>IFERROR(Table5[[#This Row],[Full name]],"")</f>
        <v>Marco Jiang</v>
      </c>
      <c r="H239" s="56">
        <f>_xlfn.RANK.EQ(AllTime1[[#This Row],[All-time score]],AllTime1[All-time score],0)</f>
        <v>177</v>
      </c>
      <c r="I239" s="56">
        <f>_xlfn.XLOOKUP(AllTime1[[#This Row],[Name]],Table16[Name],Table16[Totals],"Error",0,1)</f>
        <v>4</v>
      </c>
      <c r="J239" s="72">
        <f>IF(ISNUMBER(AllTime1[[#This Row],[All-time rank]]), AllTime1[[#This Row],[All-time rank]] + ROW(AllTime1[[#This Row],[All-time rank]])/100000, 99999 + ROW(AllTime1[[#This Row],[All-time rank]])/100000)</f>
        <v>177.00238999999999</v>
      </c>
      <c r="K239" s="69">
        <f>IF(ISNUMBER(AllTime1[[#This Row],[All-time score]]), AllTime1[[#This Row],[All-time score]] + ROW(AllTime1[[#This Row],[All-time score]])/100000000, 0 + ROW(AllTime1[[#This Row],[All-time score]])/1000000000)</f>
        <v>4.0000023899999997</v>
      </c>
    </row>
    <row r="240" spans="7:11" ht="16.5">
      <c r="G240" s="71" t="str">
        <f>IFERROR(Table5[[#This Row],[Full name]],"")</f>
        <v>Marcus Cameron</v>
      </c>
      <c r="H240" s="56">
        <f>_xlfn.RANK.EQ(AllTime1[[#This Row],[All-time score]],AllTime1[All-time score],0)</f>
        <v>198</v>
      </c>
      <c r="I240" s="56">
        <f>_xlfn.XLOOKUP(AllTime1[[#This Row],[Name]],Table16[Name],Table16[Totals],"Error",0,1)</f>
        <v>3</v>
      </c>
      <c r="J240" s="72">
        <f>IF(ISNUMBER(AllTime1[[#This Row],[All-time rank]]), AllTime1[[#This Row],[All-time rank]] + ROW(AllTime1[[#This Row],[All-time rank]])/100000, 99999 + ROW(AllTime1[[#This Row],[All-time rank]])/100000)</f>
        <v>198.00239999999999</v>
      </c>
      <c r="K240" s="69">
        <f>IF(ISNUMBER(AllTime1[[#This Row],[All-time score]]), AllTime1[[#This Row],[All-time score]] + ROW(AllTime1[[#This Row],[All-time score]])/100000000, 0 + ROW(AllTime1[[#This Row],[All-time score]])/1000000000)</f>
        <v>3.0000024000000001</v>
      </c>
    </row>
    <row r="241" spans="7:11" ht="16.5">
      <c r="G241" s="71" t="str">
        <f>IFERROR(Table5[[#This Row],[Full name]],"")</f>
        <v>Marissa Vu</v>
      </c>
      <c r="H241" s="56">
        <f>_xlfn.RANK.EQ(AllTime1[[#This Row],[All-time score]],AllTime1[All-time score],0)</f>
        <v>248</v>
      </c>
      <c r="I241" s="56">
        <f>_xlfn.XLOOKUP(AllTime1[[#This Row],[Name]],Table16[Name],Table16[Totals],"Error",0,1)</f>
        <v>1</v>
      </c>
      <c r="J241" s="72">
        <f>IF(ISNUMBER(AllTime1[[#This Row],[All-time rank]]), AllTime1[[#This Row],[All-time rank]] + ROW(AllTime1[[#This Row],[All-time rank]])/100000, 99999 + ROW(AllTime1[[#This Row],[All-time rank]])/100000)</f>
        <v>248.00241</v>
      </c>
      <c r="K241" s="69">
        <f>IF(ISNUMBER(AllTime1[[#This Row],[All-time score]]), AllTime1[[#This Row],[All-time score]] + ROW(AllTime1[[#This Row],[All-time score]])/100000000, 0 + ROW(AllTime1[[#This Row],[All-time score]])/1000000000)</f>
        <v>1.00000241</v>
      </c>
    </row>
    <row r="242" spans="7:11" ht="16.5">
      <c r="G242" s="71" t="str">
        <f>IFERROR(Table5[[#This Row],[Full name]],"")</f>
        <v>Mark Ejakpomewhe</v>
      </c>
      <c r="H242" s="56">
        <f>_xlfn.RANK.EQ(AllTime1[[#This Row],[All-time score]],AllTime1[All-time score],0)</f>
        <v>69</v>
      </c>
      <c r="I242" s="56">
        <f>_xlfn.XLOOKUP(AllTime1[[#This Row],[Name]],Table16[Name],Table16[Totals],"Error",0,1)</f>
        <v>23</v>
      </c>
      <c r="J242" s="72">
        <f>IF(ISNUMBER(AllTime1[[#This Row],[All-time rank]]), AllTime1[[#This Row],[All-time rank]] + ROW(AllTime1[[#This Row],[All-time rank]])/100000, 99999 + ROW(AllTime1[[#This Row],[All-time rank]])/100000)</f>
        <v>69.002420000000001</v>
      </c>
      <c r="K242" s="69">
        <f>IF(ISNUMBER(AllTime1[[#This Row],[All-time score]]), AllTime1[[#This Row],[All-time score]] + ROW(AllTime1[[#This Row],[All-time score]])/100000000, 0 + ROW(AllTime1[[#This Row],[All-time score]])/1000000000)</f>
        <v>23.000002420000001</v>
      </c>
    </row>
    <row r="243" spans="7:11" ht="16.5">
      <c r="G243" s="71" t="str">
        <f>IFERROR(Table5[[#This Row],[Full name]],"")</f>
        <v>Marko Mladenovic</v>
      </c>
      <c r="H243" s="56">
        <f>_xlfn.RANK.EQ(AllTime1[[#This Row],[All-time score]],AllTime1[All-time score],0)</f>
        <v>130</v>
      </c>
      <c r="I243" s="56">
        <f>_xlfn.XLOOKUP(AllTime1[[#This Row],[Name]],Table16[Name],Table16[Totals],"Error",0,1)</f>
        <v>11</v>
      </c>
      <c r="J243" s="72">
        <f>IF(ISNUMBER(AllTime1[[#This Row],[All-time rank]]), AllTime1[[#This Row],[All-time rank]] + ROW(AllTime1[[#This Row],[All-time rank]])/100000, 99999 + ROW(AllTime1[[#This Row],[All-time rank]])/100000)</f>
        <v>130.00243</v>
      </c>
      <c r="K243" s="69">
        <f>IF(ISNUMBER(AllTime1[[#This Row],[All-time score]]), AllTime1[[#This Row],[All-time score]] + ROW(AllTime1[[#This Row],[All-time score]])/100000000, 0 + ROW(AllTime1[[#This Row],[All-time score]])/1000000000)</f>
        <v>11.00000243</v>
      </c>
    </row>
    <row r="244" spans="7:11" ht="16.5">
      <c r="G244" s="71" t="str">
        <f>IFERROR(Table5[[#This Row],[Full name]],"")</f>
        <v>Marko Nguyen</v>
      </c>
      <c r="H244" s="56">
        <f>_xlfn.RANK.EQ(AllTime1[[#This Row],[All-time score]],AllTime1[All-time score],0)</f>
        <v>165</v>
      </c>
      <c r="I244" s="56">
        <f>_xlfn.XLOOKUP(AllTime1[[#This Row],[Name]],Table16[Name],Table16[Totals],"Error",0,1)</f>
        <v>5</v>
      </c>
      <c r="J244" s="72">
        <f>IF(ISNUMBER(AllTime1[[#This Row],[All-time rank]]), AllTime1[[#This Row],[All-time rank]] + ROW(AllTime1[[#This Row],[All-time rank]])/100000, 99999 + ROW(AllTime1[[#This Row],[All-time rank]])/100000)</f>
        <v>165.00244000000001</v>
      </c>
      <c r="K244" s="69">
        <f>IF(ISNUMBER(AllTime1[[#This Row],[All-time score]]), AllTime1[[#This Row],[All-time score]] + ROW(AllTime1[[#This Row],[All-time score]])/100000000, 0 + ROW(AllTime1[[#This Row],[All-time score]])/1000000000)</f>
        <v>5.0000024400000003</v>
      </c>
    </row>
    <row r="245" spans="7:11" ht="16.5">
      <c r="G245" s="71" t="str">
        <f>IFERROR(Table5[[#This Row],[Full name]],"")</f>
        <v>Marko  Damjanovic</v>
      </c>
      <c r="H245" s="56">
        <f>_xlfn.RANK.EQ(AllTime1[[#This Row],[All-time score]],AllTime1[All-time score],0)</f>
        <v>248</v>
      </c>
      <c r="I245" s="56">
        <f>_xlfn.XLOOKUP(AllTime1[[#This Row],[Name]],Table16[Name],Table16[Totals],"Error",0,1)</f>
        <v>1</v>
      </c>
      <c r="J245" s="72">
        <f>IF(ISNUMBER(AllTime1[[#This Row],[All-time rank]]), AllTime1[[#This Row],[All-time rank]] + ROW(AllTime1[[#This Row],[All-time rank]])/100000, 99999 + ROW(AllTime1[[#This Row],[All-time rank]])/100000)</f>
        <v>248.00245000000001</v>
      </c>
      <c r="K245" s="69">
        <f>IF(ISNUMBER(AllTime1[[#This Row],[All-time score]]), AllTime1[[#This Row],[All-time score]] + ROW(AllTime1[[#This Row],[All-time score]])/100000000, 0 + ROW(AllTime1[[#This Row],[All-time score]])/1000000000)</f>
        <v>1.00000245</v>
      </c>
    </row>
    <row r="246" spans="7:11" ht="16.5">
      <c r="G246" s="71" t="str">
        <f>IFERROR(Table5[[#This Row],[Full name]],"")</f>
        <v>Martin Gomez</v>
      </c>
      <c r="H246" s="56">
        <f>_xlfn.RANK.EQ(AllTime1[[#This Row],[All-time score]],AllTime1[All-time score],0)</f>
        <v>248</v>
      </c>
      <c r="I246" s="56">
        <f>_xlfn.XLOOKUP(AllTime1[[#This Row],[Name]],Table16[Name],Table16[Totals],"Error",0,1)</f>
        <v>1</v>
      </c>
      <c r="J246" s="72">
        <f>IF(ISNUMBER(AllTime1[[#This Row],[All-time rank]]), AllTime1[[#This Row],[All-time rank]] + ROW(AllTime1[[#This Row],[All-time rank]])/100000, 99999 + ROW(AllTime1[[#This Row],[All-time rank]])/100000)</f>
        <v>248.00246000000001</v>
      </c>
      <c r="K246" s="69">
        <f>IF(ISNUMBER(AllTime1[[#This Row],[All-time score]]), AllTime1[[#This Row],[All-time score]] + ROW(AllTime1[[#This Row],[All-time score]])/100000000, 0 + ROW(AllTime1[[#This Row],[All-time score]])/1000000000)</f>
        <v>1.0000024599999999</v>
      </c>
    </row>
    <row r="247" spans="7:11" ht="16.5">
      <c r="G247" s="71" t="str">
        <f>IFERROR(Table5[[#This Row],[Full name]],"")</f>
        <v>Marzouq Mohsin</v>
      </c>
      <c r="H247" s="56">
        <f>_xlfn.RANK.EQ(AllTime1[[#This Row],[All-time score]],AllTime1[All-time score],0)</f>
        <v>198</v>
      </c>
      <c r="I247" s="56">
        <f>_xlfn.XLOOKUP(AllTime1[[#This Row],[Name]],Table16[Name],Table16[Totals],"Error",0,1)</f>
        <v>3</v>
      </c>
      <c r="J247" s="72">
        <f>IF(ISNUMBER(AllTime1[[#This Row],[All-time rank]]), AllTime1[[#This Row],[All-time rank]] + ROW(AllTime1[[#This Row],[All-time rank]])/100000, 99999 + ROW(AllTime1[[#This Row],[All-time rank]])/100000)</f>
        <v>198.00246999999999</v>
      </c>
      <c r="K247" s="69">
        <f>IF(ISNUMBER(AllTime1[[#This Row],[All-time score]]), AllTime1[[#This Row],[All-time score]] + ROW(AllTime1[[#This Row],[All-time score]])/100000000, 0 + ROW(AllTime1[[#This Row],[All-time score]])/1000000000)</f>
        <v>3.0000024700000001</v>
      </c>
    </row>
    <row r="248" spans="7:11" ht="16.5">
      <c r="G248" s="71" t="str">
        <f>IFERROR(Table5[[#This Row],[Full name]],"")</f>
        <v>Mason Doshi</v>
      </c>
      <c r="H248" s="56">
        <f>_xlfn.RANK.EQ(AllTime1[[#This Row],[All-time score]],AllTime1[All-time score],0)</f>
        <v>300</v>
      </c>
      <c r="I248" s="56">
        <f>_xlfn.XLOOKUP(AllTime1[[#This Row],[Name]],Table16[Name],Table16[Totals],"Error",0,1)</f>
        <v>0</v>
      </c>
      <c r="J248" s="72">
        <f>IF(ISNUMBER(AllTime1[[#This Row],[All-time rank]]), AllTime1[[#This Row],[All-time rank]] + ROW(AllTime1[[#This Row],[All-time rank]])/100000, 99999 + ROW(AllTime1[[#This Row],[All-time rank]])/100000)</f>
        <v>300.00247999999999</v>
      </c>
      <c r="K248" s="70">
        <f>IF(ISNUMBER(AllTime1[[#This Row],[All-time score]]), AllTime1[[#This Row],[All-time score]] + ROW(AllTime1[[#This Row],[All-time score]])/100000000, 0 + ROW(AllTime1[[#This Row],[All-time score]])/1000000000)</f>
        <v>2.48E-6</v>
      </c>
    </row>
    <row r="249" spans="7:11" ht="16.5">
      <c r="G249" s="71" t="str">
        <f>IFERROR(Table5[[#This Row],[Full name]],"")</f>
        <v>Mateen Mahdavian</v>
      </c>
      <c r="H249" s="56">
        <f>_xlfn.RANK.EQ(AllTime1[[#This Row],[All-time score]],AllTime1[All-time score],0)</f>
        <v>248</v>
      </c>
      <c r="I249" s="56">
        <f>_xlfn.XLOOKUP(AllTime1[[#This Row],[Name]],Table16[Name],Table16[Totals],"Error",0,1)</f>
        <v>1</v>
      </c>
      <c r="J249" s="72">
        <f>IF(ISNUMBER(AllTime1[[#This Row],[All-time rank]]), AllTime1[[#This Row],[All-time rank]] + ROW(AllTime1[[#This Row],[All-time rank]])/100000, 99999 + ROW(AllTime1[[#This Row],[All-time rank]])/100000)</f>
        <v>248.00248999999999</v>
      </c>
      <c r="K249" s="70">
        <f>IF(ISNUMBER(AllTime1[[#This Row],[All-time score]]), AllTime1[[#This Row],[All-time score]] + ROW(AllTime1[[#This Row],[All-time score]])/100000000, 0 + ROW(AllTime1[[#This Row],[All-time score]])/1000000000)</f>
        <v>1.00000249</v>
      </c>
    </row>
    <row r="250" spans="7:11" ht="16.5">
      <c r="G250" s="71" t="str">
        <f>IFERROR(Table5[[#This Row],[Full name]],"")</f>
        <v>Matthew Ji</v>
      </c>
      <c r="H250" s="56">
        <f>_xlfn.RANK.EQ(AllTime1[[#This Row],[All-time score]],AllTime1[All-time score],0)</f>
        <v>121</v>
      </c>
      <c r="I250" s="56">
        <f>_xlfn.XLOOKUP(AllTime1[[#This Row],[Name]],Table16[Name],Table16[Totals],"Error",0,1)</f>
        <v>12</v>
      </c>
      <c r="J250" s="72">
        <f>IF(ISNUMBER(AllTime1[[#This Row],[All-time rank]]), AllTime1[[#This Row],[All-time rank]] + ROW(AllTime1[[#This Row],[All-time rank]])/100000, 99999 + ROW(AllTime1[[#This Row],[All-time rank]])/100000)</f>
        <v>121.0025</v>
      </c>
      <c r="K250" s="70">
        <f>IF(ISNUMBER(AllTime1[[#This Row],[All-time score]]), AllTime1[[#This Row],[All-time score]] + ROW(AllTime1[[#This Row],[All-time score]])/100000000, 0 + ROW(AllTime1[[#This Row],[All-time score]])/1000000000)</f>
        <v>12.000002500000001</v>
      </c>
    </row>
    <row r="251" spans="7:11" ht="16.5">
      <c r="G251" s="71" t="str">
        <f>IFERROR(Table5[[#This Row],[Full name]],"")</f>
        <v>Matthew Nazaruk</v>
      </c>
      <c r="H251" s="56">
        <f>_xlfn.RANK.EQ(AllTime1[[#This Row],[All-time score]],AllTime1[All-time score],0)</f>
        <v>100</v>
      </c>
      <c r="I251" s="56">
        <f>_xlfn.XLOOKUP(AllTime1[[#This Row],[Name]],Table16[Name],Table16[Totals],"Error",0,1)</f>
        <v>15</v>
      </c>
      <c r="J251" s="72">
        <f>IF(ISNUMBER(AllTime1[[#This Row],[All-time rank]]), AllTime1[[#This Row],[All-time rank]] + ROW(AllTime1[[#This Row],[All-time rank]])/100000, 99999 + ROW(AllTime1[[#This Row],[All-time rank]])/100000)</f>
        <v>100.00251</v>
      </c>
      <c r="K251" s="70">
        <f>IF(ISNUMBER(AllTime1[[#This Row],[All-time score]]), AllTime1[[#This Row],[All-time score]] + ROW(AllTime1[[#This Row],[All-time score]])/100000000, 0 + ROW(AllTime1[[#This Row],[All-time score]])/1000000000)</f>
        <v>15.00000251</v>
      </c>
    </row>
    <row r="252" spans="7:11" ht="16.5">
      <c r="G252" s="71" t="str">
        <f>IFERROR(Table5[[#This Row],[Full name]],"")</f>
        <v>Matthew Pealow</v>
      </c>
      <c r="H252" s="56">
        <f>_xlfn.RANK.EQ(AllTime1[[#This Row],[All-time score]],AllTime1[All-time score],0)</f>
        <v>300</v>
      </c>
      <c r="I252" s="56">
        <f>_xlfn.XLOOKUP(AllTime1[[#This Row],[Name]],Table16[Name],Table16[Totals],"Error",0,1)</f>
        <v>0</v>
      </c>
      <c r="J252" s="72">
        <f>IF(ISNUMBER(AllTime1[[#This Row],[All-time rank]]), AllTime1[[#This Row],[All-time rank]] + ROW(AllTime1[[#This Row],[All-time rank]])/100000, 99999 + ROW(AllTime1[[#This Row],[All-time rank]])/100000)</f>
        <v>300.00252</v>
      </c>
      <c r="K252" s="70">
        <f>IF(ISNUMBER(AllTime1[[#This Row],[All-time score]]), AllTime1[[#This Row],[All-time score]] + ROW(AllTime1[[#This Row],[All-time score]])/100000000, 0 + ROW(AllTime1[[#This Row],[All-time score]])/1000000000)</f>
        <v>2.52E-6</v>
      </c>
    </row>
    <row r="253" spans="7:11" ht="16.5">
      <c r="G253" s="71" t="str">
        <f>IFERROR(Table5[[#This Row],[Full name]],"")</f>
        <v>Matthew Tubrett</v>
      </c>
      <c r="H253" s="56">
        <f>_xlfn.RANK.EQ(AllTime1[[#This Row],[All-time score]],AllTime1[All-time score],0)</f>
        <v>248</v>
      </c>
      <c r="I253" s="56">
        <f>_xlfn.XLOOKUP(AllTime1[[#This Row],[Name]],Table16[Name],Table16[Totals],"Error",0,1)</f>
        <v>1</v>
      </c>
      <c r="J253" s="72">
        <f>IF(ISNUMBER(AllTime1[[#This Row],[All-time rank]]), AllTime1[[#This Row],[All-time rank]] + ROW(AllTime1[[#This Row],[All-time rank]])/100000, 99999 + ROW(AllTime1[[#This Row],[All-time rank]])/100000)</f>
        <v>248.00253000000001</v>
      </c>
      <c r="K253" s="70">
        <f>IF(ISNUMBER(AllTime1[[#This Row],[All-time score]]), AllTime1[[#This Row],[All-time score]] + ROW(AllTime1[[#This Row],[All-time score]])/100000000, 0 + ROW(AllTime1[[#This Row],[All-time score]])/1000000000)</f>
        <v>1.0000025299999999</v>
      </c>
    </row>
    <row r="254" spans="7:11" ht="16.5">
      <c r="G254" s="71" t="str">
        <f>IFERROR(Table5[[#This Row],[Full name]],"")</f>
        <v>Matthew Choi</v>
      </c>
      <c r="H254" s="56">
        <f>_xlfn.RANK.EQ(AllTime1[[#This Row],[All-time score]],AllTime1[All-time score],0)</f>
        <v>100</v>
      </c>
      <c r="I254" s="56">
        <f>_xlfn.XLOOKUP(AllTime1[[#This Row],[Name]],Table16[Name],Table16[Totals],"Error",0,1)</f>
        <v>15</v>
      </c>
      <c r="J254" s="72">
        <f>IF(ISNUMBER(AllTime1[[#This Row],[All-time rank]]), AllTime1[[#This Row],[All-time rank]] + ROW(AllTime1[[#This Row],[All-time rank]])/100000, 99999 + ROW(AllTime1[[#This Row],[All-time rank]])/100000)</f>
        <v>100.00254</v>
      </c>
      <c r="K254" s="70">
        <f>IF(ISNUMBER(AllTime1[[#This Row],[All-time score]]), AllTime1[[#This Row],[All-time score]] + ROW(AllTime1[[#This Row],[All-time score]])/100000000, 0 + ROW(AllTime1[[#This Row],[All-time score]])/1000000000)</f>
        <v>15.000002540000001</v>
      </c>
    </row>
    <row r="255" spans="7:11" ht="16.5">
      <c r="G255" s="71" t="str">
        <f>IFERROR(Table5[[#This Row],[Full name]],"")</f>
        <v>Max Gavric</v>
      </c>
      <c r="H255" s="56">
        <f>_xlfn.RANK.EQ(AllTime1[[#This Row],[All-time score]],AllTime1[All-time score],0)</f>
        <v>177</v>
      </c>
      <c r="I255" s="56">
        <f>_xlfn.XLOOKUP(AllTime1[[#This Row],[Name]],Table16[Name],Table16[Totals],"Error",0,1)</f>
        <v>4</v>
      </c>
      <c r="J255" s="72">
        <f>IF(ISNUMBER(AllTime1[[#This Row],[All-time rank]]), AllTime1[[#This Row],[All-time rank]] + ROW(AllTime1[[#This Row],[All-time rank]])/100000, 99999 + ROW(AllTime1[[#This Row],[All-time rank]])/100000)</f>
        <v>177.00255000000001</v>
      </c>
      <c r="K255" s="70">
        <f>IF(ISNUMBER(AllTime1[[#This Row],[All-time score]]), AllTime1[[#This Row],[All-time score]] + ROW(AllTime1[[#This Row],[All-time score]])/100000000, 0 + ROW(AllTime1[[#This Row],[All-time score]])/1000000000)</f>
        <v>4.0000025499999996</v>
      </c>
    </row>
    <row r="256" spans="7:11" ht="16.5">
      <c r="G256" s="71" t="str">
        <f>IFERROR(Table5[[#This Row],[Full name]],"")</f>
        <v>Maxim Skubitsky</v>
      </c>
      <c r="H256" s="56">
        <f>_xlfn.RANK.EQ(AllTime1[[#This Row],[All-time score]],AllTime1[All-time score],0)</f>
        <v>25</v>
      </c>
      <c r="I256" s="56">
        <f>_xlfn.XLOOKUP(AllTime1[[#This Row],[Name]],Table16[Name],Table16[Totals],"Error",0,1)</f>
        <v>55</v>
      </c>
      <c r="J256" s="72">
        <f>IF(ISNUMBER(AllTime1[[#This Row],[All-time rank]]), AllTime1[[#This Row],[All-time rank]] + ROW(AllTime1[[#This Row],[All-time rank]])/100000, 99999 + ROW(AllTime1[[#This Row],[All-time rank]])/100000)</f>
        <v>25.002559999999999</v>
      </c>
      <c r="K256" s="70">
        <f>IF(ISNUMBER(AllTime1[[#This Row],[All-time score]]), AllTime1[[#This Row],[All-time score]] + ROW(AllTime1[[#This Row],[All-time score]])/100000000, 0 + ROW(AllTime1[[#This Row],[All-time score]])/1000000000)</f>
        <v>55.000002559999999</v>
      </c>
    </row>
    <row r="257" spans="7:11" ht="16.5">
      <c r="G257" s="71" t="str">
        <f>IFERROR(Table5[[#This Row],[Full name]],"")</f>
        <v>Mekayel Qureshi</v>
      </c>
      <c r="H257" s="56">
        <f>_xlfn.RANK.EQ(AllTime1[[#This Row],[All-time score]],AllTime1[All-time score],0)</f>
        <v>300</v>
      </c>
      <c r="I257" s="56">
        <f>_xlfn.XLOOKUP(AllTime1[[#This Row],[Name]],Table16[Name],Table16[Totals],"Error",0,1)</f>
        <v>0</v>
      </c>
      <c r="J257" s="72">
        <f>IF(ISNUMBER(AllTime1[[#This Row],[All-time rank]]), AllTime1[[#This Row],[All-time rank]] + ROW(AllTime1[[#This Row],[All-time rank]])/100000, 99999 + ROW(AllTime1[[#This Row],[All-time rank]])/100000)</f>
        <v>300.00256999999999</v>
      </c>
      <c r="K257" s="70">
        <f>IF(ISNUMBER(AllTime1[[#This Row],[All-time score]]), AllTime1[[#This Row],[All-time score]] + ROW(AllTime1[[#This Row],[All-time score]])/100000000, 0 + ROW(AllTime1[[#This Row],[All-time score]])/1000000000)</f>
        <v>2.57E-6</v>
      </c>
    </row>
    <row r="258" spans="7:11" ht="16.5">
      <c r="G258" s="71" t="str">
        <f>IFERROR(Table5[[#This Row],[Full name]],"")</f>
        <v>Mia Szavo</v>
      </c>
      <c r="H258" s="56">
        <f>_xlfn.RANK.EQ(AllTime1[[#This Row],[All-time score]],AllTime1[All-time score],0)</f>
        <v>300</v>
      </c>
      <c r="I258" s="56">
        <f>_xlfn.XLOOKUP(AllTime1[[#This Row],[Name]],Table16[Name],Table16[Totals],"Error",0,1)</f>
        <v>0</v>
      </c>
      <c r="J258" s="72">
        <f>IF(ISNUMBER(AllTime1[[#This Row],[All-time rank]]), AllTime1[[#This Row],[All-time rank]] + ROW(AllTime1[[#This Row],[All-time rank]])/100000, 99999 + ROW(AllTime1[[#This Row],[All-time rank]])/100000)</f>
        <v>300.00258000000002</v>
      </c>
      <c r="K258" s="70">
        <f>IF(ISNUMBER(AllTime1[[#This Row],[All-time score]]), AllTime1[[#This Row],[All-time score]] + ROW(AllTime1[[#This Row],[All-time score]])/100000000, 0 + ROW(AllTime1[[#This Row],[All-time score]])/1000000000)</f>
        <v>2.5799999999999999E-6</v>
      </c>
    </row>
    <row r="259" spans="7:11" ht="16.5">
      <c r="G259" s="71" t="str">
        <f>IFERROR(Table5[[#This Row],[Full name]],"")</f>
        <v>Michael Ng</v>
      </c>
      <c r="H259" s="56">
        <f>_xlfn.RANK.EQ(AllTime1[[#This Row],[All-time score]],AllTime1[All-time score],0)</f>
        <v>198</v>
      </c>
      <c r="I259" s="56">
        <f>_xlfn.XLOOKUP(AllTime1[[#This Row],[Name]],Table16[Name],Table16[Totals],"Error",0,1)</f>
        <v>3</v>
      </c>
      <c r="J259" s="72">
        <f>IF(ISNUMBER(AllTime1[[#This Row],[All-time rank]]), AllTime1[[#This Row],[All-time rank]] + ROW(AllTime1[[#This Row],[All-time rank]])/100000, 99999 + ROW(AllTime1[[#This Row],[All-time rank]])/100000)</f>
        <v>198.00259</v>
      </c>
      <c r="K259" s="70">
        <f>IF(ISNUMBER(AllTime1[[#This Row],[All-time score]]), AllTime1[[#This Row],[All-time score]] + ROW(AllTime1[[#This Row],[All-time score]])/100000000, 0 + ROW(AllTime1[[#This Row],[All-time score]])/1000000000)</f>
        <v>3.0000025899999998</v>
      </c>
    </row>
    <row r="260" spans="7:11" ht="16.5">
      <c r="G260" s="71" t="str">
        <f>IFERROR(Table5[[#This Row],[Full name]],"")</f>
        <v>Michael Salazar</v>
      </c>
      <c r="H260" s="56">
        <f>_xlfn.RANK.EQ(AllTime1[[#This Row],[All-time score]],AllTime1[All-time score],0)</f>
        <v>147</v>
      </c>
      <c r="I260" s="56">
        <f>_xlfn.XLOOKUP(AllTime1[[#This Row],[Name]],Table16[Name],Table16[Totals],"Error",0,1)</f>
        <v>9</v>
      </c>
      <c r="J260" s="72">
        <f>IF(ISNUMBER(AllTime1[[#This Row],[All-time rank]]), AllTime1[[#This Row],[All-time rank]] + ROW(AllTime1[[#This Row],[All-time rank]])/100000, 99999 + ROW(AllTime1[[#This Row],[All-time rank]])/100000)</f>
        <v>147.0026</v>
      </c>
      <c r="K260" s="70">
        <f>IF(ISNUMBER(AllTime1[[#This Row],[All-time score]]), AllTime1[[#This Row],[All-time score]] + ROW(AllTime1[[#This Row],[All-time score]])/100000000, 0 + ROW(AllTime1[[#This Row],[All-time score]])/1000000000)</f>
        <v>9.0000026000000002</v>
      </c>
    </row>
    <row r="261" spans="7:11" ht="16.5">
      <c r="G261" s="71" t="str">
        <f>IFERROR(Table5[[#This Row],[Full name]],"")</f>
        <v>Michael Xu</v>
      </c>
      <c r="H261" s="56">
        <f>_xlfn.RANK.EQ(AllTime1[[#This Row],[All-time score]],AllTime1[All-time score],0)</f>
        <v>300</v>
      </c>
      <c r="I261" s="56">
        <f>_xlfn.XLOOKUP(AllTime1[[#This Row],[Name]],Table16[Name],Table16[Totals],"Error",0,1)</f>
        <v>0</v>
      </c>
      <c r="J261" s="72">
        <f>IF(ISNUMBER(AllTime1[[#This Row],[All-time rank]]), AllTime1[[#This Row],[All-time rank]] + ROW(AllTime1[[#This Row],[All-time rank]])/100000, 99999 + ROW(AllTime1[[#This Row],[All-time rank]])/100000)</f>
        <v>300.00261</v>
      </c>
      <c r="K261" s="70">
        <f>IF(ISNUMBER(AllTime1[[#This Row],[All-time score]]), AllTime1[[#This Row],[All-time score]] + ROW(AllTime1[[#This Row],[All-time score]])/100000000, 0 + ROW(AllTime1[[#This Row],[All-time score]])/1000000000)</f>
        <v>2.61E-6</v>
      </c>
    </row>
    <row r="262" spans="7:11" ht="16.5">
      <c r="G262" s="71" t="str">
        <f>IFERROR(Table5[[#This Row],[Full name]],"")</f>
        <v>Mirkomil Oblokulov</v>
      </c>
      <c r="H262" s="56">
        <f>_xlfn.RANK.EQ(AllTime1[[#This Row],[All-time score]],AllTime1[All-time score],0)</f>
        <v>177</v>
      </c>
      <c r="I262" s="56">
        <f>_xlfn.XLOOKUP(AllTime1[[#This Row],[Name]],Table16[Name],Table16[Totals],"Error",0,1)</f>
        <v>4</v>
      </c>
      <c r="J262" s="72">
        <f>IF(ISNUMBER(AllTime1[[#This Row],[All-time rank]]), AllTime1[[#This Row],[All-time rank]] + ROW(AllTime1[[#This Row],[All-time rank]])/100000, 99999 + ROW(AllTime1[[#This Row],[All-time rank]])/100000)</f>
        <v>177.00262000000001</v>
      </c>
      <c r="K262" s="70">
        <f>IF(ISNUMBER(AllTime1[[#This Row],[All-time score]]), AllTime1[[#This Row],[All-time score]] + ROW(AllTime1[[#This Row],[All-time score]])/100000000, 0 + ROW(AllTime1[[#This Row],[All-time score]])/1000000000)</f>
        <v>4.0000026200000001</v>
      </c>
    </row>
    <row r="263" spans="7:11" ht="16.5">
      <c r="G263" s="71" t="str">
        <f>IFERROR(Table5[[#This Row],[Full name]],"")</f>
        <v>Moksh Shah</v>
      </c>
      <c r="H263" s="56">
        <f>_xlfn.RANK.EQ(AllTime1[[#This Row],[All-time score]],AllTime1[All-time score],0)</f>
        <v>136</v>
      </c>
      <c r="I263" s="56">
        <f>_xlfn.XLOOKUP(AllTime1[[#This Row],[Name]],Table16[Name],Table16[Totals],"Error",0,1)</f>
        <v>10</v>
      </c>
      <c r="J263" s="72">
        <f>IF(ISNUMBER(AllTime1[[#This Row],[All-time rank]]), AllTime1[[#This Row],[All-time rank]] + ROW(AllTime1[[#This Row],[All-time rank]])/100000, 99999 + ROW(AllTime1[[#This Row],[All-time rank]])/100000)</f>
        <v>136.00263000000001</v>
      </c>
      <c r="K263" s="70">
        <f>IF(ISNUMBER(AllTime1[[#This Row],[All-time score]]), AllTime1[[#This Row],[All-time score]] + ROW(AllTime1[[#This Row],[All-time score]])/100000000, 0 + ROW(AllTime1[[#This Row],[All-time score]])/1000000000)</f>
        <v>10.000002629999999</v>
      </c>
    </row>
    <row r="264" spans="7:11" ht="16.5">
      <c r="G264" s="71" t="str">
        <f>IFERROR(Table5[[#This Row],[Full name]],"")</f>
        <v>Muhammad Abdullah</v>
      </c>
      <c r="H264" s="56">
        <f>_xlfn.RANK.EQ(AllTime1[[#This Row],[All-time score]],AllTime1[All-time score],0)</f>
        <v>69</v>
      </c>
      <c r="I264" s="56">
        <f>_xlfn.XLOOKUP(AllTime1[[#This Row],[Name]],Table16[Name],Table16[Totals],"Error",0,1)</f>
        <v>23</v>
      </c>
      <c r="J264" s="72">
        <f>IF(ISNUMBER(AllTime1[[#This Row],[All-time rank]]), AllTime1[[#This Row],[All-time rank]] + ROW(AllTime1[[#This Row],[All-time rank]])/100000, 99999 + ROW(AllTime1[[#This Row],[All-time rank]])/100000)</f>
        <v>69.00264</v>
      </c>
      <c r="K264" s="70">
        <f>IF(ISNUMBER(AllTime1[[#This Row],[All-time score]]), AllTime1[[#This Row],[All-time score]] + ROW(AllTime1[[#This Row],[All-time score]])/100000000, 0 + ROW(AllTime1[[#This Row],[All-time score]])/1000000000)</f>
        <v>23.000002640000002</v>
      </c>
    </row>
    <row r="265" spans="7:11" ht="16.5">
      <c r="G265" s="71" t="str">
        <f>IFERROR(Table5[[#This Row],[Full name]],"")</f>
        <v>Mukund Gupta</v>
      </c>
      <c r="H265" s="56">
        <f>_xlfn.RANK.EQ(AllTime1[[#This Row],[All-time score]],AllTime1[All-time score],0)</f>
        <v>17</v>
      </c>
      <c r="I265" s="56">
        <f>_xlfn.XLOOKUP(AllTime1[[#This Row],[Name]],Table16[Name],Table16[Totals],"Error",0,1)</f>
        <v>60</v>
      </c>
      <c r="J265" s="72">
        <f>IF(ISNUMBER(AllTime1[[#This Row],[All-time rank]]), AllTime1[[#This Row],[All-time rank]] + ROW(AllTime1[[#This Row],[All-time rank]])/100000, 99999 + ROW(AllTime1[[#This Row],[All-time rank]])/100000)</f>
        <v>17.002649999999999</v>
      </c>
      <c r="K265" s="70">
        <f>IF(ISNUMBER(AllTime1[[#This Row],[All-time score]]), AllTime1[[#This Row],[All-time score]] + ROW(AllTime1[[#This Row],[All-time score]])/100000000, 0 + ROW(AllTime1[[#This Row],[All-time score]])/1000000000)</f>
        <v>60.000002649999999</v>
      </c>
    </row>
    <row r="266" spans="7:11" ht="16.5">
      <c r="G266" s="71" t="str">
        <f>IFERROR(Table5[[#This Row],[Full name]],"")</f>
        <v>Nasir Ghaibi</v>
      </c>
      <c r="H266" s="56">
        <f>_xlfn.RANK.EQ(AllTime1[[#This Row],[All-time score]],AllTime1[All-time score],0)</f>
        <v>93</v>
      </c>
      <c r="I266" s="56">
        <f>_xlfn.XLOOKUP(AllTime1[[#This Row],[Name]],Table16[Name],Table16[Totals],"Error",0,1)</f>
        <v>17</v>
      </c>
      <c r="J266" s="72">
        <f>IF(ISNUMBER(AllTime1[[#This Row],[All-time rank]]), AllTime1[[#This Row],[All-time rank]] + ROW(AllTime1[[#This Row],[All-time rank]])/100000, 99999 + ROW(AllTime1[[#This Row],[All-time rank]])/100000)</f>
        <v>93.002660000000006</v>
      </c>
      <c r="K266" s="70">
        <f>IF(ISNUMBER(AllTime1[[#This Row],[All-time score]]), AllTime1[[#This Row],[All-time score]] + ROW(AllTime1[[#This Row],[All-time score]])/100000000, 0 + ROW(AllTime1[[#This Row],[All-time score]])/1000000000)</f>
        <v>17.00000266</v>
      </c>
    </row>
    <row r="267" spans="7:11" ht="16.5">
      <c r="G267" s="71" t="str">
        <f>IFERROR(Table5[[#This Row],[Full name]],"")</f>
        <v>Nathan Byers</v>
      </c>
      <c r="H267" s="56">
        <f>_xlfn.RANK.EQ(AllTime1[[#This Row],[All-time score]],AllTime1[All-time score],0)</f>
        <v>220</v>
      </c>
      <c r="I267" s="56">
        <f>_xlfn.XLOOKUP(AllTime1[[#This Row],[Name]],Table16[Name],Table16[Totals],"Error",0,1)</f>
        <v>2</v>
      </c>
      <c r="J267" s="72">
        <f>IF(ISNUMBER(AllTime1[[#This Row],[All-time rank]]), AllTime1[[#This Row],[All-time rank]] + ROW(AllTime1[[#This Row],[All-time rank]])/100000, 99999 + ROW(AllTime1[[#This Row],[All-time rank]])/100000)</f>
        <v>220.00266999999999</v>
      </c>
      <c r="K267" s="70">
        <f>IF(ISNUMBER(AllTime1[[#This Row],[All-time score]]), AllTime1[[#This Row],[All-time score]] + ROW(AllTime1[[#This Row],[All-time score]])/100000000, 0 + ROW(AllTime1[[#This Row],[All-time score]])/1000000000)</f>
        <v>2.0000026700000002</v>
      </c>
    </row>
    <row r="268" spans="7:11" ht="16.5">
      <c r="G268" s="71" t="str">
        <f>IFERROR(Table5[[#This Row],[Full name]],"")</f>
        <v>Nathan Konotopsky</v>
      </c>
      <c r="H268" s="56">
        <f>_xlfn.RANK.EQ(AllTime1[[#This Row],[All-time score]],AllTime1[All-time score],0)</f>
        <v>93</v>
      </c>
      <c r="I268" s="56">
        <f>_xlfn.XLOOKUP(AllTime1[[#This Row],[Name]],Table16[Name],Table16[Totals],"Error",0,1)</f>
        <v>17</v>
      </c>
      <c r="J268" s="72">
        <f>IF(ISNUMBER(AllTime1[[#This Row],[All-time rank]]), AllTime1[[#This Row],[All-time rank]] + ROW(AllTime1[[#This Row],[All-time rank]])/100000, 99999 + ROW(AllTime1[[#This Row],[All-time rank]])/100000)</f>
        <v>93.002679999999998</v>
      </c>
      <c r="K268" s="70">
        <f>IF(ISNUMBER(AllTime1[[#This Row],[All-time score]]), AllTime1[[#This Row],[All-time score]] + ROW(AllTime1[[#This Row],[All-time score]])/100000000, 0 + ROW(AllTime1[[#This Row],[All-time score]])/1000000000)</f>
        <v>17.000002680000001</v>
      </c>
    </row>
    <row r="269" spans="7:11" ht="16.5">
      <c r="G269" s="71" t="str">
        <f>IFERROR(Table5[[#This Row],[Full name]],"")</f>
        <v>Nickon Askari</v>
      </c>
      <c r="H269" s="56">
        <f>_xlfn.RANK.EQ(AllTime1[[#This Row],[All-time score]],AllTime1[All-time score],0)</f>
        <v>300</v>
      </c>
      <c r="I269" s="56">
        <f>_xlfn.XLOOKUP(AllTime1[[#This Row],[Name]],Table16[Name],Table16[Totals],"Error",0,1)</f>
        <v>0</v>
      </c>
      <c r="J269" s="72">
        <f>IF(ISNUMBER(AllTime1[[#This Row],[All-time rank]]), AllTime1[[#This Row],[All-time rank]] + ROW(AllTime1[[#This Row],[All-time rank]])/100000, 99999 + ROW(AllTime1[[#This Row],[All-time rank]])/100000)</f>
        <v>300.00268999999997</v>
      </c>
      <c r="K269" s="70">
        <f>IF(ISNUMBER(AllTime1[[#This Row],[All-time score]]), AllTime1[[#This Row],[All-time score]] + ROW(AllTime1[[#This Row],[All-time score]])/100000000, 0 + ROW(AllTime1[[#This Row],[All-time score]])/1000000000)</f>
        <v>2.6900000000000001E-6</v>
      </c>
    </row>
    <row r="270" spans="7:11" ht="16.5">
      <c r="G270" s="71" t="str">
        <f>IFERROR(Table5[[#This Row],[Full name]],"")</f>
        <v>Nihal Gill</v>
      </c>
      <c r="H270" s="56">
        <f>_xlfn.RANK.EQ(AllTime1[[#This Row],[All-time score]],AllTime1[All-time score],0)</f>
        <v>300</v>
      </c>
      <c r="I270" s="56">
        <f>_xlfn.XLOOKUP(AllTime1[[#This Row],[Name]],Table16[Name],Table16[Totals],"Error",0,1)</f>
        <v>0</v>
      </c>
      <c r="J270" s="72">
        <f>IF(ISNUMBER(AllTime1[[#This Row],[All-time rank]]), AllTime1[[#This Row],[All-time rank]] + ROW(AllTime1[[#This Row],[All-time rank]])/100000, 99999 + ROW(AllTime1[[#This Row],[All-time rank]])/100000)</f>
        <v>300.0027</v>
      </c>
      <c r="K270" s="70">
        <f>IF(ISNUMBER(AllTime1[[#This Row],[All-time score]]), AllTime1[[#This Row],[All-time score]] + ROW(AllTime1[[#This Row],[All-time score]])/100000000, 0 + ROW(AllTime1[[#This Row],[All-time score]])/1000000000)</f>
        <v>2.7E-6</v>
      </c>
    </row>
    <row r="271" spans="7:11" ht="16.5">
      <c r="G271" s="71" t="str">
        <f>IFERROR(Table5[[#This Row],[Full name]],"")</f>
        <v>Nikola Dora</v>
      </c>
      <c r="H271" s="56">
        <f>_xlfn.RANK.EQ(AllTime1[[#This Row],[All-time score]],AllTime1[All-time score],0)</f>
        <v>107</v>
      </c>
      <c r="I271" s="56">
        <f>_xlfn.XLOOKUP(AllTime1[[#This Row],[Name]],Table16[Name],Table16[Totals],"Error",0,1)</f>
        <v>14</v>
      </c>
      <c r="J271" s="72">
        <f>IF(ISNUMBER(AllTime1[[#This Row],[All-time rank]]), AllTime1[[#This Row],[All-time rank]] + ROW(AllTime1[[#This Row],[All-time rank]])/100000, 99999 + ROW(AllTime1[[#This Row],[All-time rank]])/100000)</f>
        <v>107.00270999999999</v>
      </c>
      <c r="K271" s="70">
        <f>IF(ISNUMBER(AllTime1[[#This Row],[All-time score]]), AllTime1[[#This Row],[All-time score]] + ROW(AllTime1[[#This Row],[All-time score]])/100000000, 0 + ROW(AllTime1[[#This Row],[All-time score]])/1000000000)</f>
        <v>14.00000271</v>
      </c>
    </row>
    <row r="272" spans="7:11" ht="16.5">
      <c r="G272" s="71" t="str">
        <f>IFERROR(Table5[[#This Row],[Full name]],"")</f>
        <v>Noah Lee</v>
      </c>
      <c r="H272" s="56">
        <f>_xlfn.RANK.EQ(AllTime1[[#This Row],[All-time score]],AllTime1[All-time score],0)</f>
        <v>136</v>
      </c>
      <c r="I272" s="56">
        <f>_xlfn.XLOOKUP(AllTime1[[#This Row],[Name]],Table16[Name],Table16[Totals],"Error",0,1)</f>
        <v>10</v>
      </c>
      <c r="J272" s="72">
        <f>IF(ISNUMBER(AllTime1[[#This Row],[All-time rank]]), AllTime1[[#This Row],[All-time rank]] + ROW(AllTime1[[#This Row],[All-time rank]])/100000, 99999 + ROW(AllTime1[[#This Row],[All-time rank]])/100000)</f>
        <v>136.00272000000001</v>
      </c>
      <c r="K272" s="70">
        <f>IF(ISNUMBER(AllTime1[[#This Row],[All-time score]]), AllTime1[[#This Row],[All-time score]] + ROW(AllTime1[[#This Row],[All-time score]])/100000000, 0 + ROW(AllTime1[[#This Row],[All-time score]])/1000000000)</f>
        <v>10.000002719999999</v>
      </c>
    </row>
    <row r="273" spans="7:11" ht="16.5">
      <c r="G273" s="71" t="str">
        <f>IFERROR(Table5[[#This Row],[Full name]],"")</f>
        <v>Oliver Good</v>
      </c>
      <c r="H273" s="56">
        <f>_xlfn.RANK.EQ(AllTime1[[#This Row],[All-time score]],AllTime1[All-time score],0)</f>
        <v>69</v>
      </c>
      <c r="I273" s="56">
        <f>_xlfn.XLOOKUP(AllTime1[[#This Row],[Name]],Table16[Name],Table16[Totals],"Error",0,1)</f>
        <v>23</v>
      </c>
      <c r="J273" s="72">
        <f>IF(ISNUMBER(AllTime1[[#This Row],[All-time rank]]), AllTime1[[#This Row],[All-time rank]] + ROW(AllTime1[[#This Row],[All-time rank]])/100000, 99999 + ROW(AllTime1[[#This Row],[All-time rank]])/100000)</f>
        <v>69.00273</v>
      </c>
      <c r="K273" s="70">
        <f>IF(ISNUMBER(AllTime1[[#This Row],[All-time score]]), AllTime1[[#This Row],[All-time score]] + ROW(AllTime1[[#This Row],[All-time score]])/100000000, 0 + ROW(AllTime1[[#This Row],[All-time score]])/1000000000)</f>
        <v>23.000002729999999</v>
      </c>
    </row>
    <row r="274" spans="7:11" ht="16.5">
      <c r="G274" s="71" t="str">
        <f>IFERROR(Table5[[#This Row],[Full name]],"")</f>
        <v>Olly West</v>
      </c>
      <c r="H274" s="56">
        <f>_xlfn.RANK.EQ(AllTime1[[#This Row],[All-time score]],AllTime1[All-time score],0)</f>
        <v>159</v>
      </c>
      <c r="I274" s="56">
        <f>_xlfn.XLOOKUP(AllTime1[[#This Row],[Name]],Table16[Name],Table16[Totals],"Error",0,1)</f>
        <v>6</v>
      </c>
      <c r="J274" s="72">
        <f>IF(ISNUMBER(AllTime1[[#This Row],[All-time rank]]), AllTime1[[#This Row],[All-time rank]] + ROW(AllTime1[[#This Row],[All-time rank]])/100000, 99999 + ROW(AllTime1[[#This Row],[All-time rank]])/100000)</f>
        <v>159.00273999999999</v>
      </c>
      <c r="K274" s="70">
        <f>IF(ISNUMBER(AllTime1[[#This Row],[All-time score]]), AllTime1[[#This Row],[All-time score]] + ROW(AllTime1[[#This Row],[All-time score]])/100000000, 0 + ROW(AllTime1[[#This Row],[All-time score]])/1000000000)</f>
        <v>6.0000027400000002</v>
      </c>
    </row>
    <row r="275" spans="7:11" ht="16.5">
      <c r="G275" s="71" t="str">
        <f>IFERROR(Table5[[#This Row],[Full name]],"")</f>
        <v>Owen Hu</v>
      </c>
      <c r="H275" s="56">
        <f>_xlfn.RANK.EQ(AllTime1[[#This Row],[All-time score]],AllTime1[All-time score],0)</f>
        <v>121</v>
      </c>
      <c r="I275" s="56">
        <f>_xlfn.XLOOKUP(AllTime1[[#This Row],[Name]],Table16[Name],Table16[Totals],"Error",0,1)</f>
        <v>12</v>
      </c>
      <c r="J275" s="72">
        <f>IF(ISNUMBER(AllTime1[[#This Row],[All-time rank]]), AllTime1[[#This Row],[All-time rank]] + ROW(AllTime1[[#This Row],[All-time rank]])/100000, 99999 + ROW(AllTime1[[#This Row],[All-time rank]])/100000)</f>
        <v>121.00275000000001</v>
      </c>
      <c r="K275" s="70">
        <f>IF(ISNUMBER(AllTime1[[#This Row],[All-time score]]), AllTime1[[#This Row],[All-time score]] + ROW(AllTime1[[#This Row],[All-time score]])/100000000, 0 + ROW(AllTime1[[#This Row],[All-time score]])/1000000000)</f>
        <v>12.00000275</v>
      </c>
    </row>
    <row r="276" spans="7:11" ht="16.5">
      <c r="G276" s="71" t="str">
        <f>IFERROR(Table5[[#This Row],[Full name]],"")</f>
        <v>Param Agarwal</v>
      </c>
      <c r="H276" s="56">
        <f>_xlfn.RANK.EQ(AllTime1[[#This Row],[All-time score]],AllTime1[All-time score],0)</f>
        <v>136</v>
      </c>
      <c r="I276" s="56">
        <f>_xlfn.XLOOKUP(AllTime1[[#This Row],[Name]],Table16[Name],Table16[Totals],"Error",0,1)</f>
        <v>10</v>
      </c>
      <c r="J276" s="72">
        <f>IF(ISNUMBER(AllTime1[[#This Row],[All-time rank]]), AllTime1[[#This Row],[All-time rank]] + ROW(AllTime1[[#This Row],[All-time rank]])/100000, 99999 + ROW(AllTime1[[#This Row],[All-time rank]])/100000)</f>
        <v>136.00275999999999</v>
      </c>
      <c r="K276" s="70">
        <f>IF(ISNUMBER(AllTime1[[#This Row],[All-time score]]), AllTime1[[#This Row],[All-time score]] + ROW(AllTime1[[#This Row],[All-time score]])/100000000, 0 + ROW(AllTime1[[#This Row],[All-time score]])/1000000000)</f>
        <v>10.000002759999999</v>
      </c>
    </row>
    <row r="277" spans="7:11" ht="16.5">
      <c r="G277" s="71" t="str">
        <f>IFERROR(Table5[[#This Row],[Full name]],"")</f>
        <v>Parum Patel</v>
      </c>
      <c r="H277" s="56">
        <f>_xlfn.RANK.EQ(AllTime1[[#This Row],[All-time score]],AllTime1[All-time score],0)</f>
        <v>248</v>
      </c>
      <c r="I277" s="56">
        <f>_xlfn.XLOOKUP(AllTime1[[#This Row],[Name]],Table16[Name],Table16[Totals],"Error",0,1)</f>
        <v>1</v>
      </c>
      <c r="J277" s="72">
        <f>IF(ISNUMBER(AllTime1[[#This Row],[All-time rank]]), AllTime1[[#This Row],[All-time rank]] + ROW(AllTime1[[#This Row],[All-time rank]])/100000, 99999 + ROW(AllTime1[[#This Row],[All-time rank]])/100000)</f>
        <v>248.00277</v>
      </c>
      <c r="K277" s="70">
        <f>IF(ISNUMBER(AllTime1[[#This Row],[All-time score]]), AllTime1[[#This Row],[All-time score]] + ROW(AllTime1[[#This Row],[All-time score]])/100000000, 0 + ROW(AllTime1[[#This Row],[All-time score]])/1000000000)</f>
        <v>1.00000277</v>
      </c>
    </row>
    <row r="278" spans="7:11" ht="16.5">
      <c r="G278" s="71" t="str">
        <f>IFERROR(Table5[[#This Row],[Full name]],"")</f>
        <v xml:space="preserve">Patrick Tendon </v>
      </c>
      <c r="H278" s="56">
        <f>_xlfn.RANK.EQ(AllTime1[[#This Row],[All-time score]],AllTime1[All-time score],0)</f>
        <v>69</v>
      </c>
      <c r="I278" s="56">
        <f>_xlfn.XLOOKUP(AllTime1[[#This Row],[Name]],Table16[Name],Table16[Totals],"Error",0,1)</f>
        <v>23</v>
      </c>
      <c r="J278" s="72">
        <f>IF(ISNUMBER(AllTime1[[#This Row],[All-time rank]]), AllTime1[[#This Row],[All-time rank]] + ROW(AllTime1[[#This Row],[All-time rank]])/100000, 99999 + ROW(AllTime1[[#This Row],[All-time rank]])/100000)</f>
        <v>69.002780000000001</v>
      </c>
      <c r="K278" s="70">
        <f>IF(ISNUMBER(AllTime1[[#This Row],[All-time score]]), AllTime1[[#This Row],[All-time score]] + ROW(AllTime1[[#This Row],[All-time score]])/100000000, 0 + ROW(AllTime1[[#This Row],[All-time score]])/1000000000)</f>
        <v>23.000002779999999</v>
      </c>
    </row>
    <row r="279" spans="7:11" ht="16.5">
      <c r="G279" s="71" t="str">
        <f>IFERROR(Table5[[#This Row],[Full name]],"")</f>
        <v>Pratyush Singh</v>
      </c>
      <c r="H279" s="56">
        <f>_xlfn.RANK.EQ(AllTime1[[#This Row],[All-time score]],AllTime1[All-time score],0)</f>
        <v>248</v>
      </c>
      <c r="I279" s="56">
        <f>_xlfn.XLOOKUP(AllTime1[[#This Row],[Name]],Table16[Name],Table16[Totals],"Error",0,1)</f>
        <v>1</v>
      </c>
      <c r="J279" s="72">
        <f>IF(ISNUMBER(AllTime1[[#This Row],[All-time rank]]), AllTime1[[#This Row],[All-time rank]] + ROW(AllTime1[[#This Row],[All-time rank]])/100000, 99999 + ROW(AllTime1[[#This Row],[All-time rank]])/100000)</f>
        <v>248.00279</v>
      </c>
      <c r="K279" s="70">
        <f>IF(ISNUMBER(AllTime1[[#This Row],[All-time score]]), AllTime1[[#This Row],[All-time score]] + ROW(AllTime1[[#This Row],[All-time score]])/100000000, 0 + ROW(AllTime1[[#This Row],[All-time score]])/1000000000)</f>
        <v>1.0000027899999999</v>
      </c>
    </row>
    <row r="280" spans="7:11" ht="16.5">
      <c r="G280" s="71" t="str">
        <f>IFERROR(Table5[[#This Row],[Full name]],"")</f>
        <v>Punit Guddeti</v>
      </c>
      <c r="H280" s="56">
        <f>_xlfn.RANK.EQ(AllTime1[[#This Row],[All-time score]],AllTime1[All-time score],0)</f>
        <v>69</v>
      </c>
      <c r="I280" s="56">
        <f>_xlfn.XLOOKUP(AllTime1[[#This Row],[Name]],Table16[Name],Table16[Totals],"Error",0,1)</f>
        <v>23</v>
      </c>
      <c r="J280" s="72">
        <f>IF(ISNUMBER(AllTime1[[#This Row],[All-time rank]]), AllTime1[[#This Row],[All-time rank]] + ROW(AllTime1[[#This Row],[All-time rank]])/100000, 99999 + ROW(AllTime1[[#This Row],[All-time rank]])/100000)</f>
        <v>69.002799999999993</v>
      </c>
      <c r="K280" s="70">
        <f>IF(ISNUMBER(AllTime1[[#This Row],[All-time score]]), AllTime1[[#This Row],[All-time score]] + ROW(AllTime1[[#This Row],[All-time score]])/100000000, 0 + ROW(AllTime1[[#This Row],[All-time score]])/1000000000)</f>
        <v>23.000002800000001</v>
      </c>
    </row>
    <row r="281" spans="7:11" ht="16.5">
      <c r="G281" s="71" t="str">
        <f>IFERROR(Table5[[#This Row],[Full name]],"")</f>
        <v>Qingtong Hu</v>
      </c>
      <c r="H281" s="56">
        <f>_xlfn.RANK.EQ(AllTime1[[#This Row],[All-time score]],AllTime1[All-time score],0)</f>
        <v>47</v>
      </c>
      <c r="I281" s="56">
        <f>_xlfn.XLOOKUP(AllTime1[[#This Row],[Name]],Table16[Name],Table16[Totals],"Error",0,1)</f>
        <v>33</v>
      </c>
      <c r="J281" s="72">
        <f>IF(ISNUMBER(AllTime1[[#This Row],[All-time rank]]), AllTime1[[#This Row],[All-time rank]] + ROW(AllTime1[[#This Row],[All-time rank]])/100000, 99999 + ROW(AllTime1[[#This Row],[All-time rank]])/100000)</f>
        <v>47.002809999999997</v>
      </c>
      <c r="K281" s="70">
        <f>IF(ISNUMBER(AllTime1[[#This Row],[All-time score]]), AllTime1[[#This Row],[All-time score]] + ROW(AllTime1[[#This Row],[All-time score]])/100000000, 0 + ROW(AllTime1[[#This Row],[All-time score]])/1000000000)</f>
        <v>33.000002809999998</v>
      </c>
    </row>
    <row r="282" spans="7:11" ht="16.5">
      <c r="G282" s="71" t="str">
        <f>IFERROR(Table5[[#This Row],[Full name]],"")</f>
        <v>Rahil Kochhar</v>
      </c>
      <c r="H282" s="56">
        <f>_xlfn.RANK.EQ(AllTime1[[#This Row],[All-time score]],AllTime1[All-time score],0)</f>
        <v>83</v>
      </c>
      <c r="I282" s="56">
        <f>_xlfn.XLOOKUP(AllTime1[[#This Row],[Name]],Table16[Name],Table16[Totals],"Error",0,1)</f>
        <v>20</v>
      </c>
      <c r="J282" s="72">
        <f>IF(ISNUMBER(AllTime1[[#This Row],[All-time rank]]), AllTime1[[#This Row],[All-time rank]] + ROW(AllTime1[[#This Row],[All-time rank]])/100000, 99999 + ROW(AllTime1[[#This Row],[All-time rank]])/100000)</f>
        <v>83.00282</v>
      </c>
      <c r="K282" s="70">
        <f>IF(ISNUMBER(AllTime1[[#This Row],[All-time score]]), AllTime1[[#This Row],[All-time score]] + ROW(AllTime1[[#This Row],[All-time score]])/100000000, 0 + ROW(AllTime1[[#This Row],[All-time score]])/1000000000)</f>
        <v>20.000002819999999</v>
      </c>
    </row>
    <row r="283" spans="7:11" ht="16.5">
      <c r="G283" s="71" t="str">
        <f>IFERROR(Table5[[#This Row],[Full name]],"")</f>
        <v>Rami Shafikov</v>
      </c>
      <c r="H283" s="56">
        <f>_xlfn.RANK.EQ(AllTime1[[#This Row],[All-time score]],AllTime1[All-time score],0)</f>
        <v>165</v>
      </c>
      <c r="I283" s="56">
        <f>_xlfn.XLOOKUP(AllTime1[[#This Row],[Name]],Table16[Name],Table16[Totals],"Error",0,1)</f>
        <v>5</v>
      </c>
      <c r="J283" s="72">
        <f>IF(ISNUMBER(AllTime1[[#This Row],[All-time rank]]), AllTime1[[#This Row],[All-time rank]] + ROW(AllTime1[[#This Row],[All-time rank]])/100000, 99999 + ROW(AllTime1[[#This Row],[All-time rank]])/100000)</f>
        <v>165.00282999999999</v>
      </c>
      <c r="K283" s="70">
        <f>IF(ISNUMBER(AllTime1[[#This Row],[All-time score]]), AllTime1[[#This Row],[All-time score]] + ROW(AllTime1[[#This Row],[All-time score]])/100000000, 0 + ROW(AllTime1[[#This Row],[All-time score]])/1000000000)</f>
        <v>5.0000028299999997</v>
      </c>
    </row>
    <row r="284" spans="7:11" ht="16.5">
      <c r="G284" s="71" t="str">
        <f>IFERROR(Table5[[#This Row],[Full name]],"")</f>
        <v>Ravekpal  Chahal</v>
      </c>
      <c r="H284" s="56">
        <f>_xlfn.RANK.EQ(AllTime1[[#This Row],[All-time score]],AllTime1[All-time score],0)</f>
        <v>220</v>
      </c>
      <c r="I284" s="56">
        <f>_xlfn.XLOOKUP(AllTime1[[#This Row],[Name]],Table16[Name],Table16[Totals],"Error",0,1)</f>
        <v>2</v>
      </c>
      <c r="J284" s="72">
        <f>IF(ISNUMBER(AllTime1[[#This Row],[All-time rank]]), AllTime1[[#This Row],[All-time rank]] + ROW(AllTime1[[#This Row],[All-time rank]])/100000, 99999 + ROW(AllTime1[[#This Row],[All-time rank]])/100000)</f>
        <v>220.00283999999999</v>
      </c>
      <c r="K284" s="70">
        <f>IF(ISNUMBER(AllTime1[[#This Row],[All-time score]]), AllTime1[[#This Row],[All-time score]] + ROW(AllTime1[[#This Row],[All-time score]])/100000000, 0 + ROW(AllTime1[[#This Row],[All-time score]])/1000000000)</f>
        <v>2.0000028400000001</v>
      </c>
    </row>
    <row r="285" spans="7:11" ht="16.5">
      <c r="G285" s="71" t="str">
        <f>IFERROR(Table5[[#This Row],[Full name]],"")</f>
        <v>Reid Giasson</v>
      </c>
      <c r="H285" s="56">
        <f>_xlfn.RANK.EQ(AllTime1[[#This Row],[All-time score]],AllTime1[All-time score],0)</f>
        <v>300</v>
      </c>
      <c r="I285" s="56">
        <f>_xlfn.XLOOKUP(AllTime1[[#This Row],[Name]],Table16[Name],Table16[Totals],"Error",0,1)</f>
        <v>0</v>
      </c>
      <c r="J285" s="72">
        <f>IF(ISNUMBER(AllTime1[[#This Row],[All-time rank]]), AllTime1[[#This Row],[All-time rank]] + ROW(AllTime1[[#This Row],[All-time rank]])/100000, 99999 + ROW(AllTime1[[#This Row],[All-time rank]])/100000)</f>
        <v>300.00285000000002</v>
      </c>
      <c r="K285" s="70">
        <f>IF(ISNUMBER(AllTime1[[#This Row],[All-time score]]), AllTime1[[#This Row],[All-time score]] + ROW(AllTime1[[#This Row],[All-time score]])/100000000, 0 + ROW(AllTime1[[#This Row],[All-time score]])/1000000000)</f>
        <v>2.8499999999999998E-6</v>
      </c>
    </row>
    <row r="286" spans="7:11" ht="16.5">
      <c r="G286" s="71" t="str">
        <f>IFERROR(Table5[[#This Row],[Full name]],"")</f>
        <v>Richard Ge</v>
      </c>
      <c r="H286" s="56">
        <f>_xlfn.RANK.EQ(AllTime1[[#This Row],[All-time score]],AllTime1[All-time score],0)</f>
        <v>198</v>
      </c>
      <c r="I286" s="56">
        <f>_xlfn.XLOOKUP(AllTime1[[#This Row],[Name]],Table16[Name],Table16[Totals],"Error",0,1)</f>
        <v>3</v>
      </c>
      <c r="J286" s="72">
        <f>IF(ISNUMBER(AllTime1[[#This Row],[All-time rank]]), AllTime1[[#This Row],[All-time rank]] + ROW(AllTime1[[#This Row],[All-time rank]])/100000, 99999 + ROW(AllTime1[[#This Row],[All-time rank]])/100000)</f>
        <v>198.00286</v>
      </c>
      <c r="K286" s="70">
        <f>IF(ISNUMBER(AllTime1[[#This Row],[All-time score]]), AllTime1[[#This Row],[All-time score]] + ROW(AllTime1[[#This Row],[All-time score]])/100000000, 0 + ROW(AllTime1[[#This Row],[All-time score]])/1000000000)</f>
        <v>3.0000028599999999</v>
      </c>
    </row>
    <row r="287" spans="7:11" ht="16.5">
      <c r="G287" s="71" t="str">
        <f>IFERROR(Table5[[#This Row],[Full name]],"")</f>
        <v>Richard Sonibare</v>
      </c>
      <c r="H287" s="56">
        <f>_xlfn.RANK.EQ(AllTime1[[#This Row],[All-time score]],AllTime1[All-time score],0)</f>
        <v>53</v>
      </c>
      <c r="I287" s="56">
        <f>_xlfn.XLOOKUP(AllTime1[[#This Row],[Name]],Table16[Name],Table16[Totals],"Error",0,1)</f>
        <v>30</v>
      </c>
      <c r="J287" s="72">
        <f>IF(ISNUMBER(AllTime1[[#This Row],[All-time rank]]), AllTime1[[#This Row],[All-time rank]] + ROW(AllTime1[[#This Row],[All-time rank]])/100000, 99999 + ROW(AllTime1[[#This Row],[All-time rank]])/100000)</f>
        <v>53.002870000000001</v>
      </c>
      <c r="K287" s="70">
        <f>IF(ISNUMBER(AllTime1[[#This Row],[All-time score]]), AllTime1[[#This Row],[All-time score]] + ROW(AllTime1[[#This Row],[All-time score]])/100000000, 0 + ROW(AllTime1[[#This Row],[All-time score]])/1000000000)</f>
        <v>30.000002869999999</v>
      </c>
    </row>
    <row r="288" spans="7:11" ht="16.5">
      <c r="G288" s="71" t="str">
        <f>IFERROR(Table5[[#This Row],[Full name]],"")</f>
        <v>Rishi Bhaskara</v>
      </c>
      <c r="H288" s="56">
        <f>_xlfn.RANK.EQ(AllTime1[[#This Row],[All-time score]],AllTime1[All-time score],0)</f>
        <v>248</v>
      </c>
      <c r="I288" s="56">
        <f>_xlfn.XLOOKUP(AllTime1[[#This Row],[Name]],Table16[Name],Table16[Totals],"Error",0,1)</f>
        <v>1</v>
      </c>
      <c r="J288" s="72">
        <f>IF(ISNUMBER(AllTime1[[#This Row],[All-time rank]]), AllTime1[[#This Row],[All-time rank]] + ROW(AllTime1[[#This Row],[All-time rank]])/100000, 99999 + ROW(AllTime1[[#This Row],[All-time rank]])/100000)</f>
        <v>248.00288</v>
      </c>
      <c r="K288" s="70">
        <f>IF(ISNUMBER(AllTime1[[#This Row],[All-time score]]), AllTime1[[#This Row],[All-time score]] + ROW(AllTime1[[#This Row],[All-time score]])/100000000, 0 + ROW(AllTime1[[#This Row],[All-time score]])/1000000000)</f>
        <v>1.00000288</v>
      </c>
    </row>
    <row r="289" spans="7:11" ht="16.5">
      <c r="G289" s="71" t="str">
        <f>IFERROR(Table5[[#This Row],[Full name]],"")</f>
        <v>River Jiang</v>
      </c>
      <c r="H289" s="56">
        <f>_xlfn.RANK.EQ(AllTime1[[#This Row],[All-time score]],AllTime1[All-time score],0)</f>
        <v>8</v>
      </c>
      <c r="I289" s="56">
        <f>_xlfn.XLOOKUP(AllTime1[[#This Row],[Name]],Table16[Name],Table16[Totals],"Error",0,1)</f>
        <v>81</v>
      </c>
      <c r="J289" s="72">
        <f>IF(ISNUMBER(AllTime1[[#This Row],[All-time rank]]), AllTime1[[#This Row],[All-time rank]] + ROW(AllTime1[[#This Row],[All-time rank]])/100000, 99999 + ROW(AllTime1[[#This Row],[All-time rank]])/100000)</f>
        <v>8.0028900000000007</v>
      </c>
      <c r="K289" s="70">
        <f>IF(ISNUMBER(AllTime1[[#This Row],[All-time score]]), AllTime1[[#This Row],[All-time score]] + ROW(AllTime1[[#This Row],[All-time score]])/100000000, 0 + ROW(AllTime1[[#This Row],[All-time score]])/1000000000)</f>
        <v>81.000002890000005</v>
      </c>
    </row>
    <row r="290" spans="7:11" ht="16.5">
      <c r="G290" s="71" t="str">
        <f>IFERROR(Table5[[#This Row],[Full name]],"")</f>
        <v>Robert Tomicic II</v>
      </c>
      <c r="H290" s="56">
        <f>_xlfn.RANK.EQ(AllTime1[[#This Row],[All-time score]],AllTime1[All-time score],0)</f>
        <v>165</v>
      </c>
      <c r="I290" s="56">
        <f>_xlfn.XLOOKUP(AllTime1[[#This Row],[Name]],Table16[Name],Table16[Totals],"Error",0,1)</f>
        <v>5</v>
      </c>
      <c r="J290" s="72">
        <f>IF(ISNUMBER(AllTime1[[#This Row],[All-time rank]]), AllTime1[[#This Row],[All-time rank]] + ROW(AllTime1[[#This Row],[All-time rank]])/100000, 99999 + ROW(AllTime1[[#This Row],[All-time rank]])/100000)</f>
        <v>165.00290000000001</v>
      </c>
      <c r="K290" s="70">
        <f>IF(ISNUMBER(AllTime1[[#This Row],[All-time score]]), AllTime1[[#This Row],[All-time score]] + ROW(AllTime1[[#This Row],[All-time score]])/100000000, 0 + ROW(AllTime1[[#This Row],[All-time score]])/1000000000)</f>
        <v>5.0000029000000001</v>
      </c>
    </row>
    <row r="291" spans="7:11" ht="16.5">
      <c r="G291" s="71" t="str">
        <f>IFERROR(Table5[[#This Row],[Full name]],"")</f>
        <v>Rocco Le Donne</v>
      </c>
      <c r="H291" s="56">
        <f>_xlfn.RANK.EQ(AllTime1[[#This Row],[All-time score]],AllTime1[All-time score],0)</f>
        <v>300</v>
      </c>
      <c r="I291" s="56">
        <f>_xlfn.XLOOKUP(AllTime1[[#This Row],[Name]],Table16[Name],Table16[Totals],"Error",0,1)</f>
        <v>0</v>
      </c>
      <c r="J291" s="72">
        <f>IF(ISNUMBER(AllTime1[[#This Row],[All-time rank]]), AllTime1[[#This Row],[All-time rank]] + ROW(AllTime1[[#This Row],[All-time rank]])/100000, 99999 + ROW(AllTime1[[#This Row],[All-time rank]])/100000)</f>
        <v>300.00290999999999</v>
      </c>
      <c r="K291" s="70">
        <f>IF(ISNUMBER(AllTime1[[#This Row],[All-time score]]), AllTime1[[#This Row],[All-time score]] + ROW(AllTime1[[#This Row],[All-time score]])/100000000, 0 + ROW(AllTime1[[#This Row],[All-time score]])/1000000000)</f>
        <v>2.9100000000000001E-6</v>
      </c>
    </row>
    <row r="292" spans="7:11" ht="16.5">
      <c r="G292" s="71" t="str">
        <f>IFERROR(Table5[[#This Row],[Full name]],"")</f>
        <v>Rohan Mehta</v>
      </c>
      <c r="H292" s="56">
        <f>_xlfn.RANK.EQ(AllTime1[[#This Row],[All-time score]],AllTime1[All-time score],0)</f>
        <v>248</v>
      </c>
      <c r="I292" s="56">
        <f>_xlfn.XLOOKUP(AllTime1[[#This Row],[Name]],Table16[Name],Table16[Totals],"Error",0,1)</f>
        <v>1</v>
      </c>
      <c r="J292" s="72">
        <f>IF(ISNUMBER(AllTime1[[#This Row],[All-time rank]]), AllTime1[[#This Row],[All-time rank]] + ROW(AllTime1[[#This Row],[All-time rank]])/100000, 99999 + ROW(AllTime1[[#This Row],[All-time rank]])/100000)</f>
        <v>248.00291999999999</v>
      </c>
      <c r="K292" s="70">
        <f>IF(ISNUMBER(AllTime1[[#This Row],[All-time score]]), AllTime1[[#This Row],[All-time score]] + ROW(AllTime1[[#This Row],[All-time score]])/100000000, 0 + ROW(AllTime1[[#This Row],[All-time score]])/1000000000)</f>
        <v>1.00000292</v>
      </c>
    </row>
    <row r="293" spans="7:11" ht="16.5">
      <c r="G293" s="71" t="str">
        <f>IFERROR(Table5[[#This Row],[Full name]],"")</f>
        <v>Rohum Zaman</v>
      </c>
      <c r="H293" s="56">
        <f>_xlfn.RANK.EQ(AllTime1[[#This Row],[All-time score]],AllTime1[All-time score],0)</f>
        <v>300</v>
      </c>
      <c r="I293" s="56">
        <f>_xlfn.XLOOKUP(AllTime1[[#This Row],[Name]],Table16[Name],Table16[Totals],"Error",0,1)</f>
        <v>0</v>
      </c>
      <c r="J293" s="72">
        <f>IF(ISNUMBER(AllTime1[[#This Row],[All-time rank]]), AllTime1[[#This Row],[All-time rank]] + ROW(AllTime1[[#This Row],[All-time rank]])/100000, 99999 + ROW(AllTime1[[#This Row],[All-time rank]])/100000)</f>
        <v>300.00292999999999</v>
      </c>
      <c r="K293" s="70">
        <f>IF(ISNUMBER(AllTime1[[#This Row],[All-time score]]), AllTime1[[#This Row],[All-time score]] + ROW(AllTime1[[#This Row],[All-time score]])/100000000, 0 + ROW(AllTime1[[#This Row],[All-time score]])/1000000000)</f>
        <v>2.9299999999999999E-6</v>
      </c>
    </row>
    <row r="294" spans="7:11" ht="16.5">
      <c r="G294" s="71" t="str">
        <f>IFERROR(Table5[[#This Row],[Full name]],"")</f>
        <v>Romina Tabesh</v>
      </c>
      <c r="H294" s="56">
        <f>_xlfn.RANK.EQ(AllTime1[[#This Row],[All-time score]],AllTime1[All-time score],0)</f>
        <v>136</v>
      </c>
      <c r="I294" s="56">
        <f>_xlfn.XLOOKUP(AllTime1[[#This Row],[Name]],Table16[Name],Table16[Totals],"Error",0,1)</f>
        <v>10</v>
      </c>
      <c r="J294" s="72">
        <f>IF(ISNUMBER(AllTime1[[#This Row],[All-time rank]]), AllTime1[[#This Row],[All-time rank]] + ROW(AllTime1[[#This Row],[All-time rank]])/100000, 99999 + ROW(AllTime1[[#This Row],[All-time rank]])/100000)</f>
        <v>136.00294</v>
      </c>
      <c r="K294" s="70">
        <f>IF(ISNUMBER(AllTime1[[#This Row],[All-time score]]), AllTime1[[#This Row],[All-time score]] + ROW(AllTime1[[#This Row],[All-time score]])/100000000, 0 + ROW(AllTime1[[#This Row],[All-time score]])/1000000000)</f>
        <v>10.00000294</v>
      </c>
    </row>
    <row r="295" spans="7:11" ht="16.5">
      <c r="G295" s="71" t="str">
        <f>IFERROR(Table5[[#This Row],[Full name]],"")</f>
        <v>Rui Xi Qiu</v>
      </c>
      <c r="H295" s="56">
        <f>_xlfn.RANK.EQ(AllTime1[[#This Row],[All-time score]],AllTime1[All-time score],0)</f>
        <v>165</v>
      </c>
      <c r="I295" s="56">
        <f>_xlfn.XLOOKUP(AllTime1[[#This Row],[Name]],Table16[Name],Table16[Totals],"Error",0,1)</f>
        <v>5</v>
      </c>
      <c r="J295" s="72">
        <f>IF(ISNUMBER(AllTime1[[#This Row],[All-time rank]]), AllTime1[[#This Row],[All-time rank]] + ROW(AllTime1[[#This Row],[All-time rank]])/100000, 99999 + ROW(AllTime1[[#This Row],[All-time rank]])/100000)</f>
        <v>165.00295</v>
      </c>
      <c r="K295" s="70">
        <f>IF(ISNUMBER(AllTime1[[#This Row],[All-time score]]), AllTime1[[#This Row],[All-time score]] + ROW(AllTime1[[#This Row],[All-time score]])/100000000, 0 + ROW(AllTime1[[#This Row],[All-time score]])/1000000000)</f>
        <v>5.0000029499999998</v>
      </c>
    </row>
    <row r="296" spans="7:11" ht="16.5">
      <c r="G296" s="71" t="str">
        <f>IFERROR(Table5[[#This Row],[Full name]],"")</f>
        <v>Ryan Morrison</v>
      </c>
      <c r="H296" s="56">
        <f>_xlfn.RANK.EQ(AllTime1[[#This Row],[All-time score]],AllTime1[All-time score],0)</f>
        <v>220</v>
      </c>
      <c r="I296" s="56">
        <f>_xlfn.XLOOKUP(AllTime1[[#This Row],[Name]],Table16[Name],Table16[Totals],"Error",0,1)</f>
        <v>2</v>
      </c>
      <c r="J296" s="72">
        <f>IF(ISNUMBER(AllTime1[[#This Row],[All-time rank]]), AllTime1[[#This Row],[All-time rank]] + ROW(AllTime1[[#This Row],[All-time rank]])/100000, 99999 + ROW(AllTime1[[#This Row],[All-time rank]])/100000)</f>
        <v>220.00296</v>
      </c>
      <c r="K296" s="70">
        <f>IF(ISNUMBER(AllTime1[[#This Row],[All-time score]]), AllTime1[[#This Row],[All-time score]] + ROW(AllTime1[[#This Row],[All-time score]])/100000000, 0 + ROW(AllTime1[[#This Row],[All-time score]])/1000000000)</f>
        <v>2.0000029600000002</v>
      </c>
    </row>
    <row r="297" spans="7:11" ht="16.5">
      <c r="G297" s="71" t="str">
        <f>IFERROR(Table5[[#This Row],[Full name]],"")</f>
        <v>Ryan Qian</v>
      </c>
      <c r="H297" s="56">
        <f>_xlfn.RANK.EQ(AllTime1[[#This Row],[All-time score]],AllTime1[All-time score],0)</f>
        <v>121</v>
      </c>
      <c r="I297" s="56">
        <f>_xlfn.XLOOKUP(AllTime1[[#This Row],[Name]],Table16[Name],Table16[Totals],"Error",0,1)</f>
        <v>12</v>
      </c>
      <c r="J297" s="72">
        <f>IF(ISNUMBER(AllTime1[[#This Row],[All-time rank]]), AllTime1[[#This Row],[All-time rank]] + ROW(AllTime1[[#This Row],[All-time rank]])/100000, 99999 + ROW(AllTime1[[#This Row],[All-time rank]])/100000)</f>
        <v>121.00297</v>
      </c>
      <c r="K297" s="70">
        <f>IF(ISNUMBER(AllTime1[[#This Row],[All-time score]]), AllTime1[[#This Row],[All-time score]] + ROW(AllTime1[[#This Row],[All-time score]])/100000000, 0 + ROW(AllTime1[[#This Row],[All-time score]])/1000000000)</f>
        <v>12.000002970000001</v>
      </c>
    </row>
    <row r="298" spans="7:11" ht="16.5">
      <c r="G298" s="71" t="str">
        <f>IFERROR(Table5[[#This Row],[Full name]],"")</f>
        <v>Ryan Sale</v>
      </c>
      <c r="H298" s="56">
        <f>_xlfn.RANK.EQ(AllTime1[[#This Row],[All-time score]],AllTime1[All-time score],0)</f>
        <v>87</v>
      </c>
      <c r="I298" s="56">
        <f>_xlfn.XLOOKUP(AllTime1[[#This Row],[Name]],Table16[Name],Table16[Totals],"Error",0,1)</f>
        <v>18</v>
      </c>
      <c r="J298" s="72">
        <f>IF(ISNUMBER(AllTime1[[#This Row],[All-time rank]]), AllTime1[[#This Row],[All-time rank]] + ROW(AllTime1[[#This Row],[All-time rank]])/100000, 99999 + ROW(AllTime1[[#This Row],[All-time rank]])/100000)</f>
        <v>87.002979999999994</v>
      </c>
      <c r="K298" s="70">
        <f>IF(ISNUMBER(AllTime1[[#This Row],[All-time score]]), AllTime1[[#This Row],[All-time score]] + ROW(AllTime1[[#This Row],[All-time score]])/100000000, 0 + ROW(AllTime1[[#This Row],[All-time score]])/1000000000)</f>
        <v>18.000002980000001</v>
      </c>
    </row>
    <row r="299" spans="7:11" ht="16.5">
      <c r="G299" s="71" t="str">
        <f>IFERROR(Table5[[#This Row],[Full name]],"")</f>
        <v>Ryan Song</v>
      </c>
      <c r="H299" s="56">
        <f>_xlfn.RANK.EQ(AllTime1[[#This Row],[All-time score]],AllTime1[All-time score],0)</f>
        <v>300</v>
      </c>
      <c r="I299" s="56">
        <f>_xlfn.XLOOKUP(AllTime1[[#This Row],[Name]],Table16[Name],Table16[Totals],"Error",0,1)</f>
        <v>0</v>
      </c>
      <c r="J299" s="72">
        <f>IF(ISNUMBER(AllTime1[[#This Row],[All-time rank]]), AllTime1[[#This Row],[All-time rank]] + ROW(AllTime1[[#This Row],[All-time rank]])/100000, 99999 + ROW(AllTime1[[#This Row],[All-time rank]])/100000)</f>
        <v>300.00299000000001</v>
      </c>
      <c r="K299" s="70">
        <f>IF(ISNUMBER(AllTime1[[#This Row],[All-time score]]), AllTime1[[#This Row],[All-time score]] + ROW(AllTime1[[#This Row],[All-time score]])/100000000, 0 + ROW(AllTime1[[#This Row],[All-time score]])/1000000000)</f>
        <v>2.9900000000000002E-6</v>
      </c>
    </row>
    <row r="300" spans="7:11" ht="16.5">
      <c r="G300" s="71" t="str">
        <f>IFERROR(Table5[[#This Row],[Full name]],"")</f>
        <v>Ryan Jouhere</v>
      </c>
      <c r="H300" s="56">
        <f>_xlfn.RANK.EQ(AllTime1[[#This Row],[All-time score]],AllTime1[All-time score],0)</f>
        <v>248</v>
      </c>
      <c r="I300" s="56">
        <f>_xlfn.XLOOKUP(AllTime1[[#This Row],[Name]],Table16[Name],Table16[Totals],"Error",0,1)</f>
        <v>1</v>
      </c>
      <c r="J300" s="72">
        <f>IF(ISNUMBER(AllTime1[[#This Row],[All-time rank]]), AllTime1[[#This Row],[All-time rank]] + ROW(AllTime1[[#This Row],[All-time rank]])/100000, 99999 + ROW(AllTime1[[#This Row],[All-time rank]])/100000)</f>
        <v>248.00299999999999</v>
      </c>
      <c r="K300" s="70">
        <f>IF(ISNUMBER(AllTime1[[#This Row],[All-time score]]), AllTime1[[#This Row],[All-time score]] + ROW(AllTime1[[#This Row],[All-time score]])/100000000, 0 + ROW(AllTime1[[#This Row],[All-time score]])/1000000000)</f>
        <v>1.000003</v>
      </c>
    </row>
    <row r="301" spans="7:11" ht="16.5">
      <c r="G301" s="71" t="str">
        <f>IFERROR(Table5[[#This Row],[Full name]],"")</f>
        <v>Salaar Ali</v>
      </c>
      <c r="H301" s="56">
        <f>_xlfn.RANK.EQ(AllTime1[[#This Row],[All-time score]],AllTime1[All-time score],0)</f>
        <v>220</v>
      </c>
      <c r="I301" s="56">
        <f>_xlfn.XLOOKUP(AllTime1[[#This Row],[Name]],Table16[Name],Table16[Totals],"Error",0,1)</f>
        <v>2</v>
      </c>
      <c r="J301" s="72">
        <f>IF(ISNUMBER(AllTime1[[#This Row],[All-time rank]]), AllTime1[[#This Row],[All-time rank]] + ROW(AllTime1[[#This Row],[All-time rank]])/100000, 99999 + ROW(AllTime1[[#This Row],[All-time rank]])/100000)</f>
        <v>220.00300999999999</v>
      </c>
      <c r="K301" s="70">
        <f>IF(ISNUMBER(AllTime1[[#This Row],[All-time score]]), AllTime1[[#This Row],[All-time score]] + ROW(AllTime1[[#This Row],[All-time score]])/100000000, 0 + ROW(AllTime1[[#This Row],[All-time score]])/1000000000)</f>
        <v>2.0000030099999999</v>
      </c>
    </row>
    <row r="302" spans="7:11" ht="16.5">
      <c r="G302" s="71" t="str">
        <f>IFERROR(Table5[[#This Row],[Full name]],"")</f>
        <v>Sam Das</v>
      </c>
      <c r="H302" s="56">
        <f>_xlfn.RANK.EQ(AllTime1[[#This Row],[All-time score]],AllTime1[All-time score],0)</f>
        <v>220</v>
      </c>
      <c r="I302" s="56">
        <f>_xlfn.XLOOKUP(AllTime1[[#This Row],[Name]],Table16[Name],Table16[Totals],"Error",0,1)</f>
        <v>2</v>
      </c>
      <c r="J302" s="72">
        <f>IF(ISNUMBER(AllTime1[[#This Row],[All-time rank]]), AllTime1[[#This Row],[All-time rank]] + ROW(AllTime1[[#This Row],[All-time rank]])/100000, 99999 + ROW(AllTime1[[#This Row],[All-time rank]])/100000)</f>
        <v>220.00301999999999</v>
      </c>
      <c r="K302" s="70">
        <f>IF(ISNUMBER(AllTime1[[#This Row],[All-time score]]), AllTime1[[#This Row],[All-time score]] + ROW(AllTime1[[#This Row],[All-time score]])/100000000, 0 + ROW(AllTime1[[#This Row],[All-time score]])/1000000000)</f>
        <v>2.0000030199999999</v>
      </c>
    </row>
    <row r="303" spans="7:11" ht="16.5">
      <c r="G303" s="71" t="str">
        <f>IFERROR(Table5[[#This Row],[Full name]],"")</f>
        <v>Sameer Aziz</v>
      </c>
      <c r="H303" s="56">
        <f>_xlfn.RANK.EQ(AllTime1[[#This Row],[All-time score]],AllTime1[All-time score],0)</f>
        <v>121</v>
      </c>
      <c r="I303" s="56">
        <f>_xlfn.XLOOKUP(AllTime1[[#This Row],[Name]],Table16[Name],Table16[Totals],"Error",0,1)</f>
        <v>12</v>
      </c>
      <c r="J303" s="72">
        <f>IF(ISNUMBER(AllTime1[[#This Row],[All-time rank]]), AllTime1[[#This Row],[All-time rank]] + ROW(AllTime1[[#This Row],[All-time rank]])/100000, 99999 + ROW(AllTime1[[#This Row],[All-time rank]])/100000)</f>
        <v>121.00303</v>
      </c>
      <c r="K303" s="70">
        <f>IF(ISNUMBER(AllTime1[[#This Row],[All-time score]]), AllTime1[[#This Row],[All-time score]] + ROW(AllTime1[[#This Row],[All-time score]])/100000000, 0 + ROW(AllTime1[[#This Row],[All-time score]])/1000000000)</f>
        <v>12.00000303</v>
      </c>
    </row>
    <row r="304" spans="7:11" ht="16.5">
      <c r="G304" s="71" t="str">
        <f>IFERROR(Table5[[#This Row],[Full name]],"")</f>
        <v>Samuel Lu</v>
      </c>
      <c r="H304" s="56">
        <f>_xlfn.RANK.EQ(AllTime1[[#This Row],[All-time score]],AllTime1[All-time score],0)</f>
        <v>100</v>
      </c>
      <c r="I304" s="56">
        <f>_xlfn.XLOOKUP(AllTime1[[#This Row],[Name]],Table16[Name],Table16[Totals],"Error",0,1)</f>
        <v>15</v>
      </c>
      <c r="J304" s="72">
        <f>IF(ISNUMBER(AllTime1[[#This Row],[All-time rank]]), AllTime1[[#This Row],[All-time rank]] + ROW(AllTime1[[#This Row],[All-time rank]])/100000, 99999 + ROW(AllTime1[[#This Row],[All-time rank]])/100000)</f>
        <v>100.00304</v>
      </c>
      <c r="K304" s="70">
        <f>IF(ISNUMBER(AllTime1[[#This Row],[All-time score]]), AllTime1[[#This Row],[All-time score]] + ROW(AllTime1[[#This Row],[All-time score]])/100000000, 0 + ROW(AllTime1[[#This Row],[All-time score]])/1000000000)</f>
        <v>15.000003039999999</v>
      </c>
    </row>
    <row r="305" spans="7:11" ht="16.5">
      <c r="G305" s="71" t="str">
        <f>IFERROR(Table5[[#This Row],[Full name]],"")</f>
        <v>Samuel Sax-Marton</v>
      </c>
      <c r="H305" s="56">
        <f>_xlfn.RANK.EQ(AllTime1[[#This Row],[All-time score]],AllTime1[All-time score],0)</f>
        <v>3</v>
      </c>
      <c r="I305" s="56">
        <f>_xlfn.XLOOKUP(AllTime1[[#This Row],[Name]],Table16[Name],Table16[Totals],"Error",0,1)</f>
        <v>110</v>
      </c>
      <c r="J305" s="72">
        <f>IF(ISNUMBER(AllTime1[[#This Row],[All-time rank]]), AllTime1[[#This Row],[All-time rank]] + ROW(AllTime1[[#This Row],[All-time rank]])/100000, 99999 + ROW(AllTime1[[#This Row],[All-time rank]])/100000)</f>
        <v>3.00305</v>
      </c>
      <c r="K305" s="70">
        <f>IF(ISNUMBER(AllTime1[[#This Row],[All-time score]]), AllTime1[[#This Row],[All-time score]] + ROW(AllTime1[[#This Row],[All-time score]])/100000000, 0 + ROW(AllTime1[[#This Row],[All-time score]])/1000000000)</f>
        <v>110.00000305</v>
      </c>
    </row>
    <row r="306" spans="7:11" ht="16.5">
      <c r="G306" s="71" t="str">
        <f>IFERROR(Table5[[#This Row],[Full name]],"")</f>
        <v>Sarmad Siddiqui</v>
      </c>
      <c r="H306" s="56">
        <f>_xlfn.RANK.EQ(AllTime1[[#This Row],[All-time score]],AllTime1[All-time score],0)</f>
        <v>107</v>
      </c>
      <c r="I306" s="56">
        <f>_xlfn.XLOOKUP(AllTime1[[#This Row],[Name]],Table16[Name],Table16[Totals],"Error",0,1)</f>
        <v>14</v>
      </c>
      <c r="J306" s="72">
        <f>IF(ISNUMBER(AllTime1[[#This Row],[All-time rank]]), AllTime1[[#This Row],[All-time rank]] + ROW(AllTime1[[#This Row],[All-time rank]])/100000, 99999 + ROW(AllTime1[[#This Row],[All-time rank]])/100000)</f>
        <v>107.00306</v>
      </c>
      <c r="K306" s="70">
        <f>IF(ISNUMBER(AllTime1[[#This Row],[All-time score]]), AllTime1[[#This Row],[All-time score]] + ROW(AllTime1[[#This Row],[All-time score]])/100000000, 0 + ROW(AllTime1[[#This Row],[All-time score]])/1000000000)</f>
        <v>14.000003059999999</v>
      </c>
    </row>
    <row r="307" spans="7:11" ht="16.5">
      <c r="G307" s="71" t="str">
        <f>IFERROR(Table5[[#This Row],[Full name]],"")</f>
        <v>Sebastian Hamilton</v>
      </c>
      <c r="H307" s="56">
        <f>_xlfn.RANK.EQ(AllTime1[[#This Row],[All-time score]],AllTime1[All-time score],0)</f>
        <v>300</v>
      </c>
      <c r="I307" s="56">
        <f>_xlfn.XLOOKUP(AllTime1[[#This Row],[Name]],Table16[Name],Table16[Totals],"Error",0,1)</f>
        <v>0</v>
      </c>
      <c r="J307" s="72">
        <f>IF(ISNUMBER(AllTime1[[#This Row],[All-time rank]]), AllTime1[[#This Row],[All-time rank]] + ROW(AllTime1[[#This Row],[All-time rank]])/100000, 99999 + ROW(AllTime1[[#This Row],[All-time rank]])/100000)</f>
        <v>300.00306999999998</v>
      </c>
      <c r="K307" s="70">
        <f>IF(ISNUMBER(AllTime1[[#This Row],[All-time score]]), AllTime1[[#This Row],[All-time score]] + ROW(AllTime1[[#This Row],[All-time score]])/100000000, 0 + ROW(AllTime1[[#This Row],[All-time score]])/1000000000)</f>
        <v>3.0699999999999998E-6</v>
      </c>
    </row>
    <row r="308" spans="7:11" ht="16.5">
      <c r="G308" s="71" t="str">
        <f>IFERROR(Table5[[#This Row],[Full name]],"")</f>
        <v>Seren Kalfa</v>
      </c>
      <c r="H308" s="56">
        <f>_xlfn.RANK.EQ(AllTime1[[#This Row],[All-time score]],AllTime1[All-time score],0)</f>
        <v>220</v>
      </c>
      <c r="I308" s="56">
        <f>_xlfn.XLOOKUP(AllTime1[[#This Row],[Name]],Table16[Name],Table16[Totals],"Error",0,1)</f>
        <v>2</v>
      </c>
      <c r="J308" s="72">
        <f>IF(ISNUMBER(AllTime1[[#This Row],[All-time rank]]), AllTime1[[#This Row],[All-time rank]] + ROW(AllTime1[[#This Row],[All-time rank]])/100000, 99999 + ROW(AllTime1[[#This Row],[All-time rank]])/100000)</f>
        <v>220.00308000000001</v>
      </c>
      <c r="K308" s="70">
        <f>IF(ISNUMBER(AllTime1[[#This Row],[All-time score]]), AllTime1[[#This Row],[All-time score]] + ROW(AllTime1[[#This Row],[All-time score]])/100000000, 0 + ROW(AllTime1[[#This Row],[All-time score]])/1000000000)</f>
        <v>2.0000030799999999</v>
      </c>
    </row>
    <row r="309" spans="7:11" ht="16.5">
      <c r="G309" s="71" t="str">
        <f>IFERROR(Table5[[#This Row],[Full name]],"")</f>
        <v>Shanbir Hira</v>
      </c>
      <c r="H309" s="56">
        <f>_xlfn.RANK.EQ(AllTime1[[#This Row],[All-time score]],AllTime1[All-time score],0)</f>
        <v>147</v>
      </c>
      <c r="I309" s="56">
        <f>_xlfn.XLOOKUP(AllTime1[[#This Row],[Name]],Table16[Name],Table16[Totals],"Error",0,1)</f>
        <v>9</v>
      </c>
      <c r="J309" s="72">
        <f>IF(ISNUMBER(AllTime1[[#This Row],[All-time rank]]), AllTime1[[#This Row],[All-time rank]] + ROW(AllTime1[[#This Row],[All-time rank]])/100000, 99999 + ROW(AllTime1[[#This Row],[All-time rank]])/100000)</f>
        <v>147.00308999999999</v>
      </c>
      <c r="K309" s="70">
        <f>IF(ISNUMBER(AllTime1[[#This Row],[All-time score]]), AllTime1[[#This Row],[All-time score]] + ROW(AllTime1[[#This Row],[All-time score]])/100000000, 0 + ROW(AllTime1[[#This Row],[All-time score]])/1000000000)</f>
        <v>9.0000030899999999</v>
      </c>
    </row>
    <row r="310" spans="7:11" ht="16.5">
      <c r="G310" s="71" t="str">
        <f>IFERROR(Table5[[#This Row],[Full name]],"")</f>
        <v>Shayaan Tanvir</v>
      </c>
      <c r="H310" s="56">
        <f>_xlfn.RANK.EQ(AllTime1[[#This Row],[All-time score]],AllTime1[All-time score],0)</f>
        <v>63</v>
      </c>
      <c r="I310" s="56">
        <f>_xlfn.XLOOKUP(AllTime1[[#This Row],[Name]],Table16[Name],Table16[Totals],"Error",0,1)</f>
        <v>26</v>
      </c>
      <c r="J310" s="72">
        <f>IF(ISNUMBER(AllTime1[[#This Row],[All-time rank]]), AllTime1[[#This Row],[All-time rank]] + ROW(AllTime1[[#This Row],[All-time rank]])/100000, 99999 + ROW(AllTime1[[#This Row],[All-time rank]])/100000)</f>
        <v>63.003100000000003</v>
      </c>
      <c r="K310" s="70">
        <f>IF(ISNUMBER(AllTime1[[#This Row],[All-time score]]), AllTime1[[#This Row],[All-time score]] + ROW(AllTime1[[#This Row],[All-time score]])/100000000, 0 + ROW(AllTime1[[#This Row],[All-time score]])/1000000000)</f>
        <v>26.000003100000001</v>
      </c>
    </row>
    <row r="311" spans="7:11" ht="16.5">
      <c r="G311" s="71" t="str">
        <f>IFERROR(Table5[[#This Row],[Full name]],"")</f>
        <v>Shayan Ahmed</v>
      </c>
      <c r="H311" s="56">
        <f>_xlfn.RANK.EQ(AllTime1[[#This Row],[All-time score]],AllTime1[All-time score],0)</f>
        <v>93</v>
      </c>
      <c r="I311" s="56">
        <f>_xlfn.XLOOKUP(AllTime1[[#This Row],[Name]],Table16[Name],Table16[Totals],"Error",0,1)</f>
        <v>17</v>
      </c>
      <c r="J311" s="72">
        <f>IF(ISNUMBER(AllTime1[[#This Row],[All-time rank]]), AllTime1[[#This Row],[All-time rank]] + ROW(AllTime1[[#This Row],[All-time rank]])/100000, 99999 + ROW(AllTime1[[#This Row],[All-time rank]])/100000)</f>
        <v>93.003110000000007</v>
      </c>
      <c r="K311" s="70">
        <f>IF(ISNUMBER(AllTime1[[#This Row],[All-time score]]), AllTime1[[#This Row],[All-time score]] + ROW(AllTime1[[#This Row],[All-time score]])/100000000, 0 + ROW(AllTime1[[#This Row],[All-time score]])/1000000000)</f>
        <v>17.000003110000002</v>
      </c>
    </row>
    <row r="312" spans="7:11" ht="16.5">
      <c r="G312" s="71" t="str">
        <f>IFERROR(Table5[[#This Row],[Full name]],"")</f>
        <v>Shiyu Sun</v>
      </c>
      <c r="H312" s="56">
        <f>_xlfn.RANK.EQ(AllTime1[[#This Row],[All-time score]],AllTime1[All-time score],0)</f>
        <v>248</v>
      </c>
      <c r="I312" s="56">
        <f>_xlfn.XLOOKUP(AllTime1[[#This Row],[Name]],Table16[Name],Table16[Totals],"Error",0,1)</f>
        <v>1</v>
      </c>
      <c r="J312" s="72">
        <f>IF(ISNUMBER(AllTime1[[#This Row],[All-time rank]]), AllTime1[[#This Row],[All-time rank]] + ROW(AllTime1[[#This Row],[All-time rank]])/100000, 99999 + ROW(AllTime1[[#This Row],[All-time rank]])/100000)</f>
        <v>248.00312</v>
      </c>
      <c r="K312" s="70">
        <f>IF(ISNUMBER(AllTime1[[#This Row],[All-time score]]), AllTime1[[#This Row],[All-time score]] + ROW(AllTime1[[#This Row],[All-time score]])/100000000, 0 + ROW(AllTime1[[#This Row],[All-time score]])/1000000000)</f>
        <v>1.0000031199999999</v>
      </c>
    </row>
    <row r="313" spans="7:11" ht="16.5">
      <c r="G313" s="71" t="str">
        <f>IFERROR(Table5[[#This Row],[Full name]],"")</f>
        <v>Sierra Hermary</v>
      </c>
      <c r="H313" s="56">
        <f>_xlfn.RANK.EQ(AllTime1[[#This Row],[All-time score]],AllTime1[All-time score],0)</f>
        <v>300</v>
      </c>
      <c r="I313" s="56">
        <f>_xlfn.XLOOKUP(AllTime1[[#This Row],[Name]],Table16[Name],Table16[Totals],"Error",0,1)</f>
        <v>0</v>
      </c>
      <c r="J313" s="72">
        <f>IF(ISNUMBER(AllTime1[[#This Row],[All-time rank]]), AllTime1[[#This Row],[All-time rank]] + ROW(AllTime1[[#This Row],[All-time rank]])/100000, 99999 + ROW(AllTime1[[#This Row],[All-time rank]])/100000)</f>
        <v>300.00313</v>
      </c>
      <c r="K313" s="70">
        <f>IF(ISNUMBER(AllTime1[[#This Row],[All-time score]]), AllTime1[[#This Row],[All-time score]] + ROW(AllTime1[[#This Row],[All-time score]])/100000000, 0 + ROW(AllTime1[[#This Row],[All-time score]])/1000000000)</f>
        <v>3.1300000000000001E-6</v>
      </c>
    </row>
    <row r="314" spans="7:11" ht="16.5">
      <c r="G314" s="71" t="str">
        <f>IFERROR(Table5[[#This Row],[Full name]],"")</f>
        <v>Spencer Bulley</v>
      </c>
      <c r="H314" s="56">
        <f>_xlfn.RANK.EQ(AllTime1[[#This Row],[All-time score]],AllTime1[All-time score],0)</f>
        <v>248</v>
      </c>
      <c r="I314" s="56">
        <f>_xlfn.XLOOKUP(AllTime1[[#This Row],[Name]],Table16[Name],Table16[Totals],"Error",0,1)</f>
        <v>1</v>
      </c>
      <c r="J314" s="72">
        <f>IF(ISNUMBER(AllTime1[[#This Row],[All-time rank]]), AllTime1[[#This Row],[All-time rank]] + ROW(AllTime1[[#This Row],[All-time rank]])/100000, 99999 + ROW(AllTime1[[#This Row],[All-time rank]])/100000)</f>
        <v>248.00314</v>
      </c>
      <c r="K314" s="70">
        <f>IF(ISNUMBER(AllTime1[[#This Row],[All-time score]]), AllTime1[[#This Row],[All-time score]] + ROW(AllTime1[[#This Row],[All-time score]])/100000000, 0 + ROW(AllTime1[[#This Row],[All-time score]])/1000000000)</f>
        <v>1.00000314</v>
      </c>
    </row>
    <row r="315" spans="7:11" ht="16.5">
      <c r="G315" s="71" t="str">
        <f>IFERROR(Table5[[#This Row],[Full name]],"")</f>
        <v>Steven Kom</v>
      </c>
      <c r="H315" s="56">
        <f>_xlfn.RANK.EQ(AllTime1[[#This Row],[All-time score]],AllTime1[All-time score],0)</f>
        <v>198</v>
      </c>
      <c r="I315" s="56">
        <f>_xlfn.XLOOKUP(AllTime1[[#This Row],[Name]],Table16[Name],Table16[Totals],"Error",0,1)</f>
        <v>3</v>
      </c>
      <c r="J315" s="72">
        <f>IF(ISNUMBER(AllTime1[[#This Row],[All-time rank]]), AllTime1[[#This Row],[All-time rank]] + ROW(AllTime1[[#This Row],[All-time rank]])/100000, 99999 + ROW(AllTime1[[#This Row],[All-time rank]])/100000)</f>
        <v>198.00315000000001</v>
      </c>
      <c r="K315" s="70">
        <f>IF(ISNUMBER(AllTime1[[#This Row],[All-time score]]), AllTime1[[#This Row],[All-time score]] + ROW(AllTime1[[#This Row],[All-time score]])/100000000, 0 + ROW(AllTime1[[#This Row],[All-time score]])/1000000000)</f>
        <v>3.00000315</v>
      </c>
    </row>
    <row r="316" spans="7:11" ht="16.5">
      <c r="G316" s="71" t="str">
        <f>IFERROR(Table5[[#This Row],[Full name]],"")</f>
        <v>Steven Luo</v>
      </c>
      <c r="H316" s="56">
        <f>_xlfn.RANK.EQ(AllTime1[[#This Row],[All-time score]],AllTime1[All-time score],0)</f>
        <v>248</v>
      </c>
      <c r="I316" s="56">
        <f>_xlfn.XLOOKUP(AllTime1[[#This Row],[Name]],Table16[Name],Table16[Totals],"Error",0,1)</f>
        <v>1</v>
      </c>
      <c r="J316" s="72">
        <f>IF(ISNUMBER(AllTime1[[#This Row],[All-time rank]]), AllTime1[[#This Row],[All-time rank]] + ROW(AllTime1[[#This Row],[All-time rank]])/100000, 99999 + ROW(AllTime1[[#This Row],[All-time rank]])/100000)</f>
        <v>248.00316000000001</v>
      </c>
      <c r="K316" s="70">
        <f>IF(ISNUMBER(AllTime1[[#This Row],[All-time score]]), AllTime1[[#This Row],[All-time score]] + ROW(AllTime1[[#This Row],[All-time score]])/100000000, 0 + ROW(AllTime1[[#This Row],[All-time score]])/1000000000)</f>
        <v>1.0000031599999999</v>
      </c>
    </row>
    <row r="317" spans="7:11" ht="16.5">
      <c r="G317" s="71" t="str">
        <f>IFERROR(Table5[[#This Row],[Full name]],"")</f>
        <v>Sulang Hou</v>
      </c>
      <c r="H317" s="56">
        <f>_xlfn.RANK.EQ(AllTime1[[#This Row],[All-time score]],AllTime1[All-time score],0)</f>
        <v>248</v>
      </c>
      <c r="I317" s="56">
        <f>_xlfn.XLOOKUP(AllTime1[[#This Row],[Name]],Table16[Name],Table16[Totals],"Error",0,1)</f>
        <v>1</v>
      </c>
      <c r="J317" s="72">
        <f>IF(ISNUMBER(AllTime1[[#This Row],[All-time rank]]), AllTime1[[#This Row],[All-time rank]] + ROW(AllTime1[[#This Row],[All-time rank]])/100000, 99999 + ROW(AllTime1[[#This Row],[All-time rank]])/100000)</f>
        <v>248.00317000000001</v>
      </c>
      <c r="K317" s="70">
        <f>IF(ISNUMBER(AllTime1[[#This Row],[All-time score]]), AllTime1[[#This Row],[All-time score]] + ROW(AllTime1[[#This Row],[All-time score]])/100000000, 0 + ROW(AllTime1[[#This Row],[All-time score]])/1000000000)</f>
        <v>1.0000031700000001</v>
      </c>
    </row>
    <row r="318" spans="7:11" ht="16.5">
      <c r="G318" s="71" t="str">
        <f>IFERROR(Table5[[#This Row],[Full name]],"")</f>
        <v>Sunny Zhao</v>
      </c>
      <c r="H318" s="56">
        <f>_xlfn.RANK.EQ(AllTime1[[#This Row],[All-time score]],AllTime1[All-time score],0)</f>
        <v>130</v>
      </c>
      <c r="I318" s="56">
        <f>_xlfn.XLOOKUP(AllTime1[[#This Row],[Name]],Table16[Name],Table16[Totals],"Error",0,1)</f>
        <v>11</v>
      </c>
      <c r="J318" s="72">
        <f>IF(ISNUMBER(AllTime1[[#This Row],[All-time rank]]), AllTime1[[#This Row],[All-time rank]] + ROW(AllTime1[[#This Row],[All-time rank]])/100000, 99999 + ROW(AllTime1[[#This Row],[All-time rank]])/100000)</f>
        <v>130.00317999999999</v>
      </c>
      <c r="K318" s="70">
        <f>IF(ISNUMBER(AllTime1[[#This Row],[All-time score]]), AllTime1[[#This Row],[All-time score]] + ROW(AllTime1[[#This Row],[All-time score]])/100000000, 0 + ROW(AllTime1[[#This Row],[All-time score]])/1000000000)</f>
        <v>11.00000318</v>
      </c>
    </row>
    <row r="319" spans="7:11" ht="16.5">
      <c r="G319" s="71" t="str">
        <f>IFERROR(Table5[[#This Row],[Full name]],"")</f>
        <v>Sydney Xie</v>
      </c>
      <c r="H319" s="56">
        <f>_xlfn.RANK.EQ(AllTime1[[#This Row],[All-time score]],AllTime1[All-time score],0)</f>
        <v>177</v>
      </c>
      <c r="I319" s="56">
        <f>_xlfn.XLOOKUP(AllTime1[[#This Row],[Name]],Table16[Name],Table16[Totals],"Error",0,1)</f>
        <v>4</v>
      </c>
      <c r="J319" s="72">
        <f>IF(ISNUMBER(AllTime1[[#This Row],[All-time rank]]), AllTime1[[#This Row],[All-time rank]] + ROW(AllTime1[[#This Row],[All-time rank]])/100000, 99999 + ROW(AllTime1[[#This Row],[All-time rank]])/100000)</f>
        <v>177.00318999999999</v>
      </c>
      <c r="K319" s="70">
        <f>IF(ISNUMBER(AllTime1[[#This Row],[All-time score]]), AllTime1[[#This Row],[All-time score]] + ROW(AllTime1[[#This Row],[All-time score]])/100000000, 0 + ROW(AllTime1[[#This Row],[All-time score]])/1000000000)</f>
        <v>4.0000031900000002</v>
      </c>
    </row>
    <row r="320" spans="7:11" ht="16.5">
      <c r="G320" s="71" t="str">
        <f>IFERROR(Table5[[#This Row],[Full name]],"")</f>
        <v>Syed Bilal</v>
      </c>
      <c r="H320" s="56">
        <f>_xlfn.RANK.EQ(AllTime1[[#This Row],[All-time score]],AllTime1[All-time score],0)</f>
        <v>248</v>
      </c>
      <c r="I320" s="56">
        <f>_xlfn.XLOOKUP(AllTime1[[#This Row],[Name]],Table16[Name],Table16[Totals],"Error",0,1)</f>
        <v>1</v>
      </c>
      <c r="J320" s="72">
        <f>IF(ISNUMBER(AllTime1[[#This Row],[All-time rank]]), AllTime1[[#This Row],[All-time rank]] + ROW(AllTime1[[#This Row],[All-time rank]])/100000, 99999 + ROW(AllTime1[[#This Row],[All-time rank]])/100000)</f>
        <v>248.00319999999999</v>
      </c>
      <c r="K320" s="70">
        <f>IF(ISNUMBER(AllTime1[[#This Row],[All-time score]]), AllTime1[[#This Row],[All-time score]] + ROW(AllTime1[[#This Row],[All-time score]])/100000000, 0 + ROW(AllTime1[[#This Row],[All-time score]])/1000000000)</f>
        <v>1.0000032000000001</v>
      </c>
    </row>
    <row r="321" spans="7:11" ht="16.5">
      <c r="G321" s="71" t="str">
        <f>IFERROR(Table5[[#This Row],[Full name]],"")</f>
        <v>Taha Siddiqui</v>
      </c>
      <c r="H321" s="56">
        <f>_xlfn.RANK.EQ(AllTime1[[#This Row],[All-time score]],AllTime1[All-time score],0)</f>
        <v>165</v>
      </c>
      <c r="I321" s="56">
        <f>_xlfn.XLOOKUP(AllTime1[[#This Row],[Name]],Table16[Name],Table16[Totals],"Error",0,1)</f>
        <v>5</v>
      </c>
      <c r="J321" s="72">
        <f>IF(ISNUMBER(AllTime1[[#This Row],[All-time rank]]), AllTime1[[#This Row],[All-time rank]] + ROW(AllTime1[[#This Row],[All-time rank]])/100000, 99999 + ROW(AllTime1[[#This Row],[All-time rank]])/100000)</f>
        <v>165.00321</v>
      </c>
      <c r="K321" s="70">
        <f>IF(ISNUMBER(AllTime1[[#This Row],[All-time score]]), AllTime1[[#This Row],[All-time score]] + ROW(AllTime1[[#This Row],[All-time score]])/100000000, 0 + ROW(AllTime1[[#This Row],[All-time score]])/1000000000)</f>
        <v>5.00000321</v>
      </c>
    </row>
    <row r="322" spans="7:11" ht="16.5">
      <c r="G322" s="71" t="str">
        <f>IFERROR(Table5[[#This Row],[Full name]],"")</f>
        <v>Taidhg Tajalli</v>
      </c>
      <c r="H322" s="56">
        <f>_xlfn.RANK.EQ(AllTime1[[#This Row],[All-time score]],AllTime1[All-time score],0)</f>
        <v>4</v>
      </c>
      <c r="I322" s="56">
        <f>_xlfn.XLOOKUP(AllTime1[[#This Row],[Name]],Table16[Name],Table16[Totals],"Error",0,1)</f>
        <v>101</v>
      </c>
      <c r="J322" s="72">
        <f>IF(ISNUMBER(AllTime1[[#This Row],[All-time rank]]), AllTime1[[#This Row],[All-time rank]] + ROW(AllTime1[[#This Row],[All-time rank]])/100000, 99999 + ROW(AllTime1[[#This Row],[All-time rank]])/100000)</f>
        <v>4.0032199999999998</v>
      </c>
      <c r="K322" s="70">
        <f>IF(ISNUMBER(AllTime1[[#This Row],[All-time score]]), AllTime1[[#This Row],[All-time score]] + ROW(AllTime1[[#This Row],[All-time score]])/100000000, 0 + ROW(AllTime1[[#This Row],[All-time score]])/1000000000)</f>
        <v>101.00000322</v>
      </c>
    </row>
    <row r="323" spans="7:11" ht="16.5">
      <c r="G323" s="71" t="str">
        <f>IFERROR(Table5[[#This Row],[Full name]],"")</f>
        <v>Taige Zhang</v>
      </c>
      <c r="H323" s="56">
        <f>_xlfn.RANK.EQ(AllTime1[[#This Row],[All-time score]],AllTime1[All-time score],0)</f>
        <v>165</v>
      </c>
      <c r="I323" s="56">
        <f>_xlfn.XLOOKUP(AllTime1[[#This Row],[Name]],Table16[Name],Table16[Totals],"Error",0,1)</f>
        <v>5</v>
      </c>
      <c r="J323" s="72">
        <f>IF(ISNUMBER(AllTime1[[#This Row],[All-time rank]]), AllTime1[[#This Row],[All-time rank]] + ROW(AllTime1[[#This Row],[All-time rank]])/100000, 99999 + ROW(AllTime1[[#This Row],[All-time rank]])/100000)</f>
        <v>165.00323</v>
      </c>
      <c r="K323" s="70">
        <f>IF(ISNUMBER(AllTime1[[#This Row],[All-time score]]), AllTime1[[#This Row],[All-time score]] + ROW(AllTime1[[#This Row],[All-time score]])/100000000, 0 + ROW(AllTime1[[#This Row],[All-time score]])/1000000000)</f>
        <v>5.0000032299999999</v>
      </c>
    </row>
    <row r="324" spans="7:11" ht="16.5">
      <c r="G324" s="71" t="str">
        <f>IFERROR(Table5[[#This Row],[Full name]],"")</f>
        <v>Taowei Liu</v>
      </c>
      <c r="H324" s="56">
        <f>_xlfn.RANK.EQ(AllTime1[[#This Row],[All-time score]],AllTime1[All-time score],0)</f>
        <v>130</v>
      </c>
      <c r="I324" s="56">
        <f>_xlfn.XLOOKUP(AllTime1[[#This Row],[Name]],Table16[Name],Table16[Totals],"Error",0,1)</f>
        <v>11</v>
      </c>
      <c r="J324" s="72">
        <f>IF(ISNUMBER(AllTime1[[#This Row],[All-time rank]]), AllTime1[[#This Row],[All-time rank]] + ROW(AllTime1[[#This Row],[All-time rank]])/100000, 99999 + ROW(AllTime1[[#This Row],[All-time rank]])/100000)</f>
        <v>130.00324000000001</v>
      </c>
      <c r="K324" s="70">
        <f>IF(ISNUMBER(AllTime1[[#This Row],[All-time score]]), AllTime1[[#This Row],[All-time score]] + ROW(AllTime1[[#This Row],[All-time score]])/100000000, 0 + ROW(AllTime1[[#This Row],[All-time score]])/1000000000)</f>
        <v>11.00000324</v>
      </c>
    </row>
    <row r="325" spans="7:11" ht="16.5">
      <c r="G325" s="71" t="str">
        <f>IFERROR(Table5[[#This Row],[Full name]],"")</f>
        <v>Thomas Liu</v>
      </c>
      <c r="H325" s="56">
        <f>_xlfn.RANK.EQ(AllTime1[[#This Row],[All-time score]],AllTime1[All-time score],0)</f>
        <v>30</v>
      </c>
      <c r="I325" s="56">
        <f>_xlfn.XLOOKUP(AllTime1[[#This Row],[Name]],Table16[Name],Table16[Totals],"Error",0,1)</f>
        <v>50</v>
      </c>
      <c r="J325" s="72">
        <f>IF(ISNUMBER(AllTime1[[#This Row],[All-time rank]]), AllTime1[[#This Row],[All-time rank]] + ROW(AllTime1[[#This Row],[All-time rank]])/100000, 99999 + ROW(AllTime1[[#This Row],[All-time rank]])/100000)</f>
        <v>30.003250000000001</v>
      </c>
      <c r="K325" s="70">
        <f>IF(ISNUMBER(AllTime1[[#This Row],[All-time score]]), AllTime1[[#This Row],[All-time score]] + ROW(AllTime1[[#This Row],[All-time score]])/100000000, 0 + ROW(AllTime1[[#This Row],[All-time score]])/1000000000)</f>
        <v>50.000003249999999</v>
      </c>
    </row>
    <row r="326" spans="7:11" ht="16.5">
      <c r="G326" s="71" t="str">
        <f>IFERROR(Table5[[#This Row],[Full name]],"")</f>
        <v>Timothy  Yeung</v>
      </c>
      <c r="H326" s="56">
        <f>_xlfn.RANK.EQ(AllTime1[[#This Row],[All-time score]],AllTime1[All-time score],0)</f>
        <v>100</v>
      </c>
      <c r="I326" s="56">
        <f>_xlfn.XLOOKUP(AllTime1[[#This Row],[Name]],Table16[Name],Table16[Totals],"Error",0,1)</f>
        <v>15</v>
      </c>
      <c r="J326" s="72">
        <f>IF(ISNUMBER(AllTime1[[#This Row],[All-time rank]]), AllTime1[[#This Row],[All-time rank]] + ROW(AllTime1[[#This Row],[All-time rank]])/100000, 99999 + ROW(AllTime1[[#This Row],[All-time rank]])/100000)</f>
        <v>100.00326</v>
      </c>
      <c r="K326" s="70">
        <f>IF(ISNUMBER(AllTime1[[#This Row],[All-time score]]), AllTime1[[#This Row],[All-time score]] + ROW(AllTime1[[#This Row],[All-time score]])/100000000, 0 + ROW(AllTime1[[#This Row],[All-time score]])/1000000000)</f>
        <v>15.00000326</v>
      </c>
    </row>
    <row r="327" spans="7:11" ht="16.5">
      <c r="G327" s="71" t="str">
        <f>IFERROR(Table5[[#This Row],[Full name]],"")</f>
        <v>Toma Pituscan</v>
      </c>
      <c r="H327" s="56">
        <f>_xlfn.RANK.EQ(AllTime1[[#This Row],[All-time score]],AllTime1[All-time score],0)</f>
        <v>220</v>
      </c>
      <c r="I327" s="56">
        <f>_xlfn.XLOOKUP(AllTime1[[#This Row],[Name]],Table16[Name],Table16[Totals],"Error",0,1)</f>
        <v>2</v>
      </c>
      <c r="J327" s="72">
        <f>IF(ISNUMBER(AllTime1[[#This Row],[All-time rank]]), AllTime1[[#This Row],[All-time rank]] + ROW(AllTime1[[#This Row],[All-time rank]])/100000, 99999 + ROW(AllTime1[[#This Row],[All-time rank]])/100000)</f>
        <v>220.00326999999999</v>
      </c>
      <c r="K327" s="70">
        <f>IF(ISNUMBER(AllTime1[[#This Row],[All-time score]]), AllTime1[[#This Row],[All-time score]] + ROW(AllTime1[[#This Row],[All-time score]])/100000000, 0 + ROW(AllTime1[[#This Row],[All-time score]])/1000000000)</f>
        <v>2.0000032700000001</v>
      </c>
    </row>
    <row r="328" spans="7:11" ht="16.5">
      <c r="G328" s="71" t="str">
        <f>IFERROR(Table5[[#This Row],[Full name]],"")</f>
        <v>Tomas Cuni</v>
      </c>
      <c r="H328" s="56">
        <f>_xlfn.RANK.EQ(AllTime1[[#This Row],[All-time score]],AllTime1[All-time score],0)</f>
        <v>300</v>
      </c>
      <c r="I328" s="56">
        <f>_xlfn.XLOOKUP(AllTime1[[#This Row],[Name]],Table16[Name],Table16[Totals],"Error",0,1)</f>
        <v>0</v>
      </c>
      <c r="J328" s="72">
        <f>IF(ISNUMBER(AllTime1[[#This Row],[All-time rank]]), AllTime1[[#This Row],[All-time rank]] + ROW(AllTime1[[#This Row],[All-time rank]])/100000, 99999 + ROW(AllTime1[[#This Row],[All-time rank]])/100000)</f>
        <v>300.00328000000002</v>
      </c>
      <c r="K328" s="70">
        <f>IF(ISNUMBER(AllTime1[[#This Row],[All-time score]]), AllTime1[[#This Row],[All-time score]] + ROW(AllTime1[[#This Row],[All-time score]])/100000000, 0 + ROW(AllTime1[[#This Row],[All-time score]])/1000000000)</f>
        <v>3.2799999999999999E-6</v>
      </c>
    </row>
    <row r="329" spans="7:11" ht="16.5">
      <c r="G329" s="71" t="str">
        <f>IFERROR(Table5[[#This Row],[Full name]],"")</f>
        <v>Tommy Truong</v>
      </c>
      <c r="H329" s="56">
        <f>_xlfn.RANK.EQ(AllTime1[[#This Row],[All-time score]],AllTime1[All-time score],0)</f>
        <v>15</v>
      </c>
      <c r="I329" s="56">
        <f>_xlfn.XLOOKUP(AllTime1[[#This Row],[Name]],Table16[Name],Table16[Totals],"Error",0,1)</f>
        <v>64</v>
      </c>
      <c r="J329" s="72">
        <f>IF(ISNUMBER(AllTime1[[#This Row],[All-time rank]]), AllTime1[[#This Row],[All-time rank]] + ROW(AllTime1[[#This Row],[All-time rank]])/100000, 99999 + ROW(AllTime1[[#This Row],[All-time rank]])/100000)</f>
        <v>15.00329</v>
      </c>
      <c r="K329" s="70">
        <f>IF(ISNUMBER(AllTime1[[#This Row],[All-time score]]), AllTime1[[#This Row],[All-time score]] + ROW(AllTime1[[#This Row],[All-time score]])/100000000, 0 + ROW(AllTime1[[#This Row],[All-time score]])/1000000000)</f>
        <v>64.000003289999995</v>
      </c>
    </row>
    <row r="330" spans="7:11" ht="16.5">
      <c r="G330" s="71" t="str">
        <f>IFERROR(Table5[[#This Row],[Full name]],"")</f>
        <v>Tyler Griffiths</v>
      </c>
      <c r="H330" s="56">
        <f>_xlfn.RANK.EQ(AllTime1[[#This Row],[All-time score]],AllTime1[All-time score],0)</f>
        <v>300</v>
      </c>
      <c r="I330" s="56">
        <f>_xlfn.XLOOKUP(AllTime1[[#This Row],[Name]],Table16[Name],Table16[Totals],"Error",0,1)</f>
        <v>0</v>
      </c>
      <c r="J330" s="72">
        <f>IF(ISNUMBER(AllTime1[[#This Row],[All-time rank]]), AllTime1[[#This Row],[All-time rank]] + ROW(AllTime1[[#This Row],[All-time rank]])/100000, 99999 + ROW(AllTime1[[#This Row],[All-time rank]])/100000)</f>
        <v>300.00330000000002</v>
      </c>
      <c r="K330" s="70">
        <f>IF(ISNUMBER(AllTime1[[#This Row],[All-time score]]), AllTime1[[#This Row],[All-time score]] + ROW(AllTime1[[#This Row],[All-time score]])/100000000, 0 + ROW(AllTime1[[#This Row],[All-time score]])/1000000000)</f>
        <v>3.3000000000000002E-6</v>
      </c>
    </row>
    <row r="331" spans="7:11" ht="16.5">
      <c r="G331" s="71" t="str">
        <f>IFERROR(Table5[[#This Row],[Full name]],"")</f>
        <v>Tyler Maddox</v>
      </c>
      <c r="H331" s="56">
        <f>_xlfn.RANK.EQ(AllTime1[[#This Row],[All-time score]],AllTime1[All-time score],0)</f>
        <v>248</v>
      </c>
      <c r="I331" s="56">
        <f>_xlfn.XLOOKUP(AllTime1[[#This Row],[Name]],Table16[Name],Table16[Totals],"Error",0,1)</f>
        <v>1</v>
      </c>
      <c r="J331" s="72">
        <f>IF(ISNUMBER(AllTime1[[#This Row],[All-time rank]]), AllTime1[[#This Row],[All-time rank]] + ROW(AllTime1[[#This Row],[All-time rank]])/100000, 99999 + ROW(AllTime1[[#This Row],[All-time rank]])/100000)</f>
        <v>248.00331</v>
      </c>
      <c r="K331" s="70">
        <f>IF(ISNUMBER(AllTime1[[#This Row],[All-time score]]), AllTime1[[#This Row],[All-time score]] + ROW(AllTime1[[#This Row],[All-time score]])/100000000, 0 + ROW(AllTime1[[#This Row],[All-time score]])/1000000000)</f>
        <v>1.0000033100000001</v>
      </c>
    </row>
    <row r="332" spans="7:11" ht="16.5">
      <c r="G332" s="71" t="str">
        <f>IFERROR(Table5[[#This Row],[Full name]],"")</f>
        <v>Vanessa Olutayo</v>
      </c>
      <c r="H332" s="56">
        <f>_xlfn.RANK.EQ(AllTime1[[#This Row],[All-time score]],AllTime1[All-time score],0)</f>
        <v>147</v>
      </c>
      <c r="I332" s="56">
        <f>_xlfn.XLOOKUP(AllTime1[[#This Row],[Name]],Table16[Name],Table16[Totals],"Error",0,1)</f>
        <v>9</v>
      </c>
      <c r="J332" s="72">
        <f>IF(ISNUMBER(AllTime1[[#This Row],[All-time rank]]), AllTime1[[#This Row],[All-time rank]] + ROW(AllTime1[[#This Row],[All-time rank]])/100000, 99999 + ROW(AllTime1[[#This Row],[All-time rank]])/100000)</f>
        <v>147.00332</v>
      </c>
      <c r="K332" s="70">
        <f>IF(ISNUMBER(AllTime1[[#This Row],[All-time score]]), AllTime1[[#This Row],[All-time score]] + ROW(AllTime1[[#This Row],[All-time score]])/100000000, 0 + ROW(AllTime1[[#This Row],[All-time score]])/1000000000)</f>
        <v>9.0000033199999994</v>
      </c>
    </row>
    <row r="333" spans="7:11" ht="16.5">
      <c r="G333" s="71" t="str">
        <f>IFERROR(Table5[[#This Row],[Full name]],"")</f>
        <v>Victor Pivtoran</v>
      </c>
      <c r="H333" s="56">
        <f>_xlfn.RANK.EQ(AllTime1[[#This Row],[All-time score]],AllTime1[All-time score],0)</f>
        <v>22</v>
      </c>
      <c r="I333" s="56">
        <f>_xlfn.XLOOKUP(AllTime1[[#This Row],[Name]],Table16[Name],Table16[Totals],"Error",0,1)</f>
        <v>57</v>
      </c>
      <c r="J333" s="72">
        <f>IF(ISNUMBER(AllTime1[[#This Row],[All-time rank]]), AllTime1[[#This Row],[All-time rank]] + ROW(AllTime1[[#This Row],[All-time rank]])/100000, 99999 + ROW(AllTime1[[#This Row],[All-time rank]])/100000)</f>
        <v>22.003329999999998</v>
      </c>
      <c r="K333" s="70">
        <f>IF(ISNUMBER(AllTime1[[#This Row],[All-time score]]), AllTime1[[#This Row],[All-time score]] + ROW(AllTime1[[#This Row],[All-time score]])/100000000, 0 + ROW(AllTime1[[#This Row],[All-time score]])/1000000000)</f>
        <v>57.000003329999998</v>
      </c>
    </row>
    <row r="334" spans="7:11" ht="16.5">
      <c r="G334" s="71" t="str">
        <f>IFERROR(Table5[[#This Row],[Full name]],"")</f>
        <v>Vik Anandkmar</v>
      </c>
      <c r="H334" s="56">
        <f>_xlfn.RANK.EQ(AllTime1[[#This Row],[All-time score]],AllTime1[All-time score],0)</f>
        <v>13</v>
      </c>
      <c r="I334" s="56">
        <f>_xlfn.XLOOKUP(AllTime1[[#This Row],[Name]],Table16[Name],Table16[Totals],"Error",0,1)</f>
        <v>67</v>
      </c>
      <c r="J334" s="72">
        <f>IF(ISNUMBER(AllTime1[[#This Row],[All-time rank]]), AllTime1[[#This Row],[All-time rank]] + ROW(AllTime1[[#This Row],[All-time rank]])/100000, 99999 + ROW(AllTime1[[#This Row],[All-time rank]])/100000)</f>
        <v>13.00334</v>
      </c>
      <c r="K334" s="70">
        <f>IF(ISNUMBER(AllTime1[[#This Row],[All-time score]]), AllTime1[[#This Row],[All-time score]] + ROW(AllTime1[[#This Row],[All-time score]])/100000000, 0 + ROW(AllTime1[[#This Row],[All-time score]])/1000000000)</f>
        <v>67.000003340000006</v>
      </c>
    </row>
    <row r="335" spans="7:11" ht="16.5">
      <c r="G335" s="71" t="str">
        <f>IFERROR(Table5[[#This Row],[Full name]],"")</f>
        <v>Vishall Balaji Balakrishnan</v>
      </c>
      <c r="H335" s="56">
        <f>_xlfn.RANK.EQ(AllTime1[[#This Row],[All-time score]],AllTime1[All-time score],0)</f>
        <v>61</v>
      </c>
      <c r="I335" s="56">
        <f>_xlfn.XLOOKUP(AllTime1[[#This Row],[Name]],Table16[Name],Table16[Totals],"Error",0,1)</f>
        <v>27</v>
      </c>
      <c r="J335" s="72">
        <f>IF(ISNUMBER(AllTime1[[#This Row],[All-time rank]]), AllTime1[[#This Row],[All-time rank]] + ROW(AllTime1[[#This Row],[All-time rank]])/100000, 99999 + ROW(AllTime1[[#This Row],[All-time rank]])/100000)</f>
        <v>61.003349999999998</v>
      </c>
      <c r="K335" s="70">
        <f>IF(ISNUMBER(AllTime1[[#This Row],[All-time score]]), AllTime1[[#This Row],[All-time score]] + ROW(AllTime1[[#This Row],[All-time score]])/100000000, 0 + ROW(AllTime1[[#This Row],[All-time score]])/1000000000)</f>
        <v>27.00000335</v>
      </c>
    </row>
    <row r="336" spans="7:11" ht="16.5">
      <c r="G336" s="71" t="str">
        <f>IFERROR(Table5[[#This Row],[Full name]],"")</f>
        <v>Vivaan Master</v>
      </c>
      <c r="H336" s="56">
        <f>_xlfn.RANK.EQ(AllTime1[[#This Row],[All-time score]],AllTime1[All-time score],0)</f>
        <v>300</v>
      </c>
      <c r="I336" s="56">
        <f>_xlfn.XLOOKUP(AllTime1[[#This Row],[Name]],Table16[Name],Table16[Totals],"Error",0,1)</f>
        <v>0</v>
      </c>
      <c r="J336" s="72">
        <f>IF(ISNUMBER(AllTime1[[#This Row],[All-time rank]]), AllTime1[[#This Row],[All-time rank]] + ROW(AllTime1[[#This Row],[All-time rank]])/100000, 99999 + ROW(AllTime1[[#This Row],[All-time rank]])/100000)</f>
        <v>300.00335999999999</v>
      </c>
      <c r="K336" s="70">
        <f>IF(ISNUMBER(AllTime1[[#This Row],[All-time score]]), AllTime1[[#This Row],[All-time score]] + ROW(AllTime1[[#This Row],[All-time score]])/100000000, 0 + ROW(AllTime1[[#This Row],[All-time score]])/1000000000)</f>
        <v>3.36E-6</v>
      </c>
    </row>
    <row r="337" spans="7:11" ht="16.5">
      <c r="G337" s="71" t="str">
        <f>IFERROR(Table5[[#This Row],[Full name]],"")</f>
        <v>William Meldrum</v>
      </c>
      <c r="H337" s="56">
        <f>_xlfn.RANK.EQ(AllTime1[[#This Row],[All-time score]],AllTime1[All-time score],0)</f>
        <v>300</v>
      </c>
      <c r="I337" s="56">
        <f>_xlfn.XLOOKUP(AllTime1[[#This Row],[Name]],Table16[Name],Table16[Totals],"Error",0,1)</f>
        <v>0</v>
      </c>
      <c r="J337" s="72">
        <f>IF(ISNUMBER(AllTime1[[#This Row],[All-time rank]]), AllTime1[[#This Row],[All-time rank]] + ROW(AllTime1[[#This Row],[All-time rank]])/100000, 99999 + ROW(AllTime1[[#This Row],[All-time rank]])/100000)</f>
        <v>300.00337000000002</v>
      </c>
      <c r="K337" s="70">
        <f>IF(ISNUMBER(AllTime1[[#This Row],[All-time score]]), AllTime1[[#This Row],[All-time score]] + ROW(AllTime1[[#This Row],[All-time score]])/100000000, 0 + ROW(AllTime1[[#This Row],[All-time score]])/1000000000)</f>
        <v>3.3699999999999999E-6</v>
      </c>
    </row>
    <row r="338" spans="7:11" ht="16.5">
      <c r="G338" s="71" t="str">
        <f>IFERROR(Table5[[#This Row],[Full name]],"")</f>
        <v>William Vu</v>
      </c>
      <c r="H338" s="56">
        <f>_xlfn.RANK.EQ(AllTime1[[#This Row],[All-time score]],AllTime1[All-time score],0)</f>
        <v>64</v>
      </c>
      <c r="I338" s="56">
        <f>_xlfn.XLOOKUP(AllTime1[[#This Row],[Name]],Table16[Name],Table16[Totals],"Error",0,1)</f>
        <v>25</v>
      </c>
      <c r="J338" s="72">
        <f>IF(ISNUMBER(AllTime1[[#This Row],[All-time rank]]), AllTime1[[#This Row],[All-time rank]] + ROW(AllTime1[[#This Row],[All-time rank]])/100000, 99999 + ROW(AllTime1[[#This Row],[All-time rank]])/100000)</f>
        <v>64.003380000000007</v>
      </c>
      <c r="K338" s="70">
        <f>IF(ISNUMBER(AllTime1[[#This Row],[All-time score]]), AllTime1[[#This Row],[All-time score]] + ROW(AllTime1[[#This Row],[All-time score]])/100000000, 0 + ROW(AllTime1[[#This Row],[All-time score]])/1000000000)</f>
        <v>25.000003379999999</v>
      </c>
    </row>
    <row r="339" spans="7:11" ht="16.5">
      <c r="G339" s="71" t="str">
        <f>IFERROR(Table5[[#This Row],[Full name]],"")</f>
        <v>William Wang</v>
      </c>
      <c r="H339" s="56">
        <f>_xlfn.RANK.EQ(AllTime1[[#This Row],[All-time score]],AllTime1[All-time score],0)</f>
        <v>300</v>
      </c>
      <c r="I339" s="56">
        <f>_xlfn.XLOOKUP(AllTime1[[#This Row],[Name]],Table16[Name],Table16[Totals],"Error",0,1)</f>
        <v>0</v>
      </c>
      <c r="J339" s="72">
        <f>IF(ISNUMBER(AllTime1[[#This Row],[All-time rank]]), AllTime1[[#This Row],[All-time rank]] + ROW(AllTime1[[#This Row],[All-time rank]])/100000, 99999 + ROW(AllTime1[[#This Row],[All-time rank]])/100000)</f>
        <v>300.00339000000002</v>
      </c>
      <c r="K339" s="70">
        <f>IF(ISNUMBER(AllTime1[[#This Row],[All-time score]]), AllTime1[[#This Row],[All-time score]] + ROW(AllTime1[[#This Row],[All-time score]])/100000000, 0 + ROW(AllTime1[[#This Row],[All-time score]])/1000000000)</f>
        <v>3.3900000000000002E-6</v>
      </c>
    </row>
    <row r="340" spans="7:11" ht="16.5">
      <c r="G340" s="71" t="str">
        <f>IFERROR(Table5[[#This Row],[Full name]],"")</f>
        <v>Yahvi Patel</v>
      </c>
      <c r="H340" s="56">
        <f>_xlfn.RANK.EQ(AllTime1[[#This Row],[All-time score]],AllTime1[All-time score],0)</f>
        <v>121</v>
      </c>
      <c r="I340" s="56">
        <f>_xlfn.XLOOKUP(AllTime1[[#This Row],[Name]],Table16[Name],Table16[Totals],"Error",0,1)</f>
        <v>12</v>
      </c>
      <c r="J340" s="72">
        <f>IF(ISNUMBER(AllTime1[[#This Row],[All-time rank]]), AllTime1[[#This Row],[All-time rank]] + ROW(AllTime1[[#This Row],[All-time rank]])/100000, 99999 + ROW(AllTime1[[#This Row],[All-time rank]])/100000)</f>
        <v>121.0034</v>
      </c>
      <c r="K340" s="70">
        <f>IF(ISNUMBER(AllTime1[[#This Row],[All-time score]]), AllTime1[[#This Row],[All-time score]] + ROW(AllTime1[[#This Row],[All-time score]])/100000000, 0 + ROW(AllTime1[[#This Row],[All-time score]])/1000000000)</f>
        <v>12.000003400000001</v>
      </c>
    </row>
    <row r="341" spans="7:11" ht="16.5">
      <c r="G341" s="71" t="str">
        <f>IFERROR(Table5[[#This Row],[Full name]],"")</f>
        <v>Yan Xiang Zou</v>
      </c>
      <c r="H341" s="56">
        <f>_xlfn.RANK.EQ(AllTime1[[#This Row],[All-time score]],AllTime1[All-time score],0)</f>
        <v>96</v>
      </c>
      <c r="I341" s="56">
        <f>_xlfn.XLOOKUP(AllTime1[[#This Row],[Name]],Table16[Name],Table16[Totals],"Error",0,1)</f>
        <v>16</v>
      </c>
      <c r="J341" s="72">
        <f>IF(ISNUMBER(AllTime1[[#This Row],[All-time rank]]), AllTime1[[#This Row],[All-time rank]] + ROW(AllTime1[[#This Row],[All-time rank]])/100000, 99999 + ROW(AllTime1[[#This Row],[All-time rank]])/100000)</f>
        <v>96.003410000000002</v>
      </c>
      <c r="K341" s="70">
        <f>IF(ISNUMBER(AllTime1[[#This Row],[All-time score]]), AllTime1[[#This Row],[All-time score]] + ROW(AllTime1[[#This Row],[All-time score]])/100000000, 0 + ROW(AllTime1[[#This Row],[All-time score]])/1000000000)</f>
        <v>16.000003410000001</v>
      </c>
    </row>
    <row r="342" spans="7:11" ht="16.5">
      <c r="G342" s="71" t="str">
        <f>IFERROR(Table5[[#This Row],[Full name]],"")</f>
        <v>Yassin Mohamed</v>
      </c>
      <c r="H342" s="56">
        <f>_xlfn.RANK.EQ(AllTime1[[#This Row],[All-time score]],AllTime1[All-time score],0)</f>
        <v>248</v>
      </c>
      <c r="I342" s="56">
        <f>_xlfn.XLOOKUP(AllTime1[[#This Row],[Name]],Table16[Name],Table16[Totals],"Error",0,1)</f>
        <v>1</v>
      </c>
      <c r="J342" s="72">
        <f>IF(ISNUMBER(AllTime1[[#This Row],[All-time rank]]), AllTime1[[#This Row],[All-time rank]] + ROW(AllTime1[[#This Row],[All-time rank]])/100000, 99999 + ROW(AllTime1[[#This Row],[All-time rank]])/100000)</f>
        <v>248.00342000000001</v>
      </c>
      <c r="K342" s="70">
        <f>IF(ISNUMBER(AllTime1[[#This Row],[All-time score]]), AllTime1[[#This Row],[All-time score]] + ROW(AllTime1[[#This Row],[All-time score]])/100000000, 0 + ROW(AllTime1[[#This Row],[All-time score]])/1000000000)</f>
        <v>1.0000034200000001</v>
      </c>
    </row>
    <row r="343" spans="7:11" ht="16.5">
      <c r="G343" s="71" t="str">
        <f>IFERROR(Table5[[#This Row],[Full name]],"")</f>
        <v>Yoni Silbershatz</v>
      </c>
      <c r="H343" s="56">
        <f>_xlfn.RANK.EQ(AllTime1[[#This Row],[All-time score]],AllTime1[All-time score],0)</f>
        <v>47</v>
      </c>
      <c r="I343" s="56">
        <f>_xlfn.XLOOKUP(AllTime1[[#This Row],[Name]],Table16[Name],Table16[Totals],"Error",0,1)</f>
        <v>33</v>
      </c>
      <c r="J343" s="72">
        <f>IF(ISNUMBER(AllTime1[[#This Row],[All-time rank]]), AllTime1[[#This Row],[All-time rank]] + ROW(AllTime1[[#This Row],[All-time rank]])/100000, 99999 + ROW(AllTime1[[#This Row],[All-time rank]])/100000)</f>
        <v>47.003430000000002</v>
      </c>
      <c r="K343" s="70">
        <f>IF(ISNUMBER(AllTime1[[#This Row],[All-time score]]), AllTime1[[#This Row],[All-time score]] + ROW(AllTime1[[#This Row],[All-time score]])/100000000, 0 + ROW(AllTime1[[#This Row],[All-time score]])/1000000000)</f>
        <v>33.00000343</v>
      </c>
    </row>
    <row r="344" spans="7:11" ht="16.5">
      <c r="G344" s="71" t="str">
        <f>IFERROR(Table5[[#This Row],[Full name]],"")</f>
        <v>Youngjun Cho</v>
      </c>
      <c r="H344" s="56">
        <f>_xlfn.RANK.EQ(AllTime1[[#This Row],[All-time score]],AllTime1[All-time score],0)</f>
        <v>177</v>
      </c>
      <c r="I344" s="56">
        <f>_xlfn.XLOOKUP(AllTime1[[#This Row],[Name]],Table16[Name],Table16[Totals],"Error",0,1)</f>
        <v>4</v>
      </c>
      <c r="J344" s="72">
        <f>IF(ISNUMBER(AllTime1[[#This Row],[All-time rank]]), AllTime1[[#This Row],[All-time rank]] + ROW(AllTime1[[#This Row],[All-time rank]])/100000, 99999 + ROW(AllTime1[[#This Row],[All-time rank]])/100000)</f>
        <v>177.00344000000001</v>
      </c>
      <c r="K344" s="70">
        <f>IF(ISNUMBER(AllTime1[[#This Row],[All-time score]]), AllTime1[[#This Row],[All-time score]] + ROW(AllTime1[[#This Row],[All-time score]])/100000000, 0 + ROW(AllTime1[[#This Row],[All-time score]])/1000000000)</f>
        <v>4.0000034400000004</v>
      </c>
    </row>
    <row r="345" spans="7:11" ht="16.5">
      <c r="G345" s="71" t="str">
        <f>IFERROR(Table5[[#This Row],[Full name]],"")</f>
        <v>Yue Wang</v>
      </c>
      <c r="H345" s="56">
        <f>_xlfn.RANK.EQ(AllTime1[[#This Row],[All-time score]],AllTime1[All-time score],0)</f>
        <v>34</v>
      </c>
      <c r="I345" s="56">
        <f>_xlfn.XLOOKUP(AllTime1[[#This Row],[Name]],Table16[Name],Table16[Totals],"Error",0,1)</f>
        <v>47</v>
      </c>
      <c r="J345" s="72">
        <f>IF(ISNUMBER(AllTime1[[#This Row],[All-time rank]]), AllTime1[[#This Row],[All-time rank]] + ROW(AllTime1[[#This Row],[All-time rank]])/100000, 99999 + ROW(AllTime1[[#This Row],[All-time rank]])/100000)</f>
        <v>34.003450000000001</v>
      </c>
      <c r="K345" s="70">
        <f>IF(ISNUMBER(AllTime1[[#This Row],[All-time score]]), AllTime1[[#This Row],[All-time score]] + ROW(AllTime1[[#This Row],[All-time score]])/100000000, 0 + ROW(AllTime1[[#This Row],[All-time score]])/1000000000)</f>
        <v>47.000003450000001</v>
      </c>
    </row>
    <row r="346" spans="7:11" ht="16.5">
      <c r="G346" s="71" t="str">
        <f>IFERROR(Table5[[#This Row],[Full name]],"")</f>
        <v>Yusuf Mohmand</v>
      </c>
      <c r="H346" s="56">
        <f>_xlfn.RANK.EQ(AllTime1[[#This Row],[All-time score]],AllTime1[All-time score],0)</f>
        <v>248</v>
      </c>
      <c r="I346" s="56">
        <f>_xlfn.XLOOKUP(AllTime1[[#This Row],[Name]],Table16[Name],Table16[Totals],"Error",0,1)</f>
        <v>1</v>
      </c>
      <c r="J346" s="72">
        <f>IF(ISNUMBER(AllTime1[[#This Row],[All-time rank]]), AllTime1[[#This Row],[All-time rank]] + ROW(AllTime1[[#This Row],[All-time rank]])/100000, 99999 + ROW(AllTime1[[#This Row],[All-time rank]])/100000)</f>
        <v>248.00345999999999</v>
      </c>
      <c r="K346" s="70">
        <f>IF(ISNUMBER(AllTime1[[#This Row],[All-time score]]), AllTime1[[#This Row],[All-time score]] + ROW(AllTime1[[#This Row],[All-time score]])/100000000, 0 + ROW(AllTime1[[#This Row],[All-time score]])/1000000000)</f>
        <v>1.0000034600000001</v>
      </c>
    </row>
    <row r="347" spans="7:11" ht="16.5">
      <c r="G347" s="71" t="str">
        <f>IFERROR(Table5[[#This Row],[Full name]],"")</f>
        <v>Zachary Hersi</v>
      </c>
      <c r="H347" s="56">
        <f>_xlfn.RANK.EQ(AllTime1[[#This Row],[All-time score]],AllTime1[All-time score],0)</f>
        <v>49</v>
      </c>
      <c r="I347" s="56">
        <f>_xlfn.XLOOKUP(AllTime1[[#This Row],[Name]],Table16[Name],Table16[Totals],"Error",0,1)</f>
        <v>32</v>
      </c>
      <c r="J347" s="72">
        <f>IF(ISNUMBER(AllTime1[[#This Row],[All-time rank]]), AllTime1[[#This Row],[All-time rank]] + ROW(AllTime1[[#This Row],[All-time rank]])/100000, 99999 + ROW(AllTime1[[#This Row],[All-time rank]])/100000)</f>
        <v>49.00347</v>
      </c>
      <c r="K347" s="70">
        <f>IF(ISNUMBER(AllTime1[[#This Row],[All-time score]]), AllTime1[[#This Row],[All-time score]] + ROW(AllTime1[[#This Row],[All-time score]])/100000000, 0 + ROW(AllTime1[[#This Row],[All-time score]])/1000000000)</f>
        <v>32.000003470000003</v>
      </c>
    </row>
    <row r="348" spans="7:11" ht="16.5">
      <c r="G348" s="71" t="str">
        <f>IFERROR(Table5[[#This Row],[Full name]],"")</f>
        <v>Zain Husain</v>
      </c>
      <c r="H348" s="56">
        <f>_xlfn.RANK.EQ(AllTime1[[#This Row],[All-time score]],AllTime1[All-time score],0)</f>
        <v>42</v>
      </c>
      <c r="I348" s="56">
        <f>_xlfn.XLOOKUP(AllTime1[[#This Row],[Name]],Table16[Name],Table16[Totals],"Error",0,1)</f>
        <v>37</v>
      </c>
      <c r="J348" s="72">
        <f>IF(ISNUMBER(AllTime1[[#This Row],[All-time rank]]), AllTime1[[#This Row],[All-time rank]] + ROW(AllTime1[[#This Row],[All-time rank]])/100000, 99999 + ROW(AllTime1[[#This Row],[All-time rank]])/100000)</f>
        <v>42.003480000000003</v>
      </c>
      <c r="K348" s="70">
        <f>IF(ISNUMBER(AllTime1[[#This Row],[All-time score]]), AllTime1[[#This Row],[All-time score]] + ROW(AllTime1[[#This Row],[All-time score]])/100000000, 0 + ROW(AllTime1[[#This Row],[All-time score]])/1000000000)</f>
        <v>37.000003479999997</v>
      </c>
    </row>
    <row r="349" spans="7:11" ht="16.5">
      <c r="G349" s="71" t="str">
        <f>IFERROR(Table5[[#This Row],[Full name]],"")</f>
        <v>Zain Ahmed</v>
      </c>
      <c r="H349" s="56">
        <f>_xlfn.RANK.EQ(AllTime1[[#This Row],[All-time score]],AllTime1[All-time score],0)</f>
        <v>220</v>
      </c>
      <c r="I349" s="56">
        <f>_xlfn.XLOOKUP(AllTime1[[#This Row],[Name]],Table16[Name],Table16[Totals],"Error",0,1)</f>
        <v>2</v>
      </c>
      <c r="J349" s="72">
        <f>IF(ISNUMBER(AllTime1[[#This Row],[All-time rank]]), AllTime1[[#This Row],[All-time rank]] + ROW(AllTime1[[#This Row],[All-time rank]])/100000, 99999 + ROW(AllTime1[[#This Row],[All-time rank]])/100000)</f>
        <v>220.00349</v>
      </c>
      <c r="K349" s="70">
        <f>IF(ISNUMBER(AllTime1[[#This Row],[All-time score]]), AllTime1[[#This Row],[All-time score]] + ROW(AllTime1[[#This Row],[All-time score]])/100000000, 0 + ROW(AllTime1[[#This Row],[All-time score]])/1000000000)</f>
        <v>2.0000034900000001</v>
      </c>
    </row>
    <row r="350" spans="7:11" ht="16.5">
      <c r="G350" s="71" t="str">
        <f>IFERROR(Table5[[#This Row],[Full name]],"")</f>
        <v>Zeeshan Khan</v>
      </c>
      <c r="H350" s="56">
        <f>_xlfn.RANK.EQ(AllTime1[[#This Row],[All-time score]],AllTime1[All-time score],0)</f>
        <v>147</v>
      </c>
      <c r="I350" s="56">
        <f>_xlfn.XLOOKUP(AllTime1[[#This Row],[Name]],Table16[Name],Table16[Totals],"Error",0,1)</f>
        <v>9</v>
      </c>
      <c r="J350" s="72">
        <f>IF(ISNUMBER(AllTime1[[#This Row],[All-time rank]]), AllTime1[[#This Row],[All-time rank]] + ROW(AllTime1[[#This Row],[All-time rank]])/100000, 99999 + ROW(AllTime1[[#This Row],[All-time rank]])/100000)</f>
        <v>147.0035</v>
      </c>
      <c r="K350" s="70">
        <f>IF(ISNUMBER(AllTime1[[#This Row],[All-time score]]), AllTime1[[#This Row],[All-time score]] + ROW(AllTime1[[#This Row],[All-time score]])/100000000, 0 + ROW(AllTime1[[#This Row],[All-time score]])/1000000000)</f>
        <v>9.0000035</v>
      </c>
    </row>
    <row r="351" spans="7:11" ht="16.5">
      <c r="G351" s="71" t="str">
        <f>IFERROR(Table5[[#This Row],[Full name]],"")</f>
        <v>Zhen Hao Huang</v>
      </c>
      <c r="H351" s="56">
        <f>_xlfn.RANK.EQ(AllTime1[[#This Row],[All-time score]],AllTime1[All-time score],0)</f>
        <v>130</v>
      </c>
      <c r="I351" s="56">
        <f>_xlfn.XLOOKUP(AllTime1[[#This Row],[Name]],Table16[Name],Table16[Totals],"Error",0,1)</f>
        <v>11</v>
      </c>
      <c r="J351" s="72">
        <f>IF(ISNUMBER(AllTime1[[#This Row],[All-time rank]]), AllTime1[[#This Row],[All-time rank]] + ROW(AllTime1[[#This Row],[All-time rank]])/100000, 99999 + ROW(AllTime1[[#This Row],[All-time rank]])/100000)</f>
        <v>130.00351000000001</v>
      </c>
      <c r="K351" s="70">
        <f>IF(ISNUMBER(AllTime1[[#This Row],[All-time score]]), AllTime1[[#This Row],[All-time score]] + ROW(AllTime1[[#This Row],[All-time score]])/100000000, 0 + ROW(AllTime1[[#This Row],[All-time score]])/1000000000)</f>
        <v>11.000003510000001</v>
      </c>
    </row>
    <row r="352" spans="7:11" ht="16.5">
      <c r="G352" s="71" t="str">
        <f>IFERROR(Table5[[#This Row],[Full name]],"")</f>
        <v>Zhiye Liu</v>
      </c>
      <c r="H352" s="56">
        <f>_xlfn.RANK.EQ(AllTime1[[#This Row],[All-time score]],AllTime1[All-time score],0)</f>
        <v>220</v>
      </c>
      <c r="I352" s="56">
        <f>_xlfn.XLOOKUP(AllTime1[[#This Row],[Name]],Table16[Name],Table16[Totals],"Error",0,1)</f>
        <v>2</v>
      </c>
      <c r="J352" s="72">
        <f>IF(ISNUMBER(AllTime1[[#This Row],[All-time rank]]), AllTime1[[#This Row],[All-time rank]] + ROW(AllTime1[[#This Row],[All-time rank]])/100000, 99999 + ROW(AllTime1[[#This Row],[All-time rank]])/100000)</f>
        <v>220.00352000000001</v>
      </c>
      <c r="K352" s="70">
        <f>IF(ISNUMBER(AllTime1[[#This Row],[All-time score]]), AllTime1[[#This Row],[All-time score]] + ROW(AllTime1[[#This Row],[All-time score]])/100000000, 0 + ROW(AllTime1[[#This Row],[All-time score]])/1000000000)</f>
        <v>2.0000035199999999</v>
      </c>
    </row>
    <row r="353" spans="7:11" ht="16.5">
      <c r="G353" s="71" t="str">
        <f>IFERROR(Table5[[#This Row],[Full name]],"")</f>
        <v>Ziad Elnagar</v>
      </c>
      <c r="H353" s="56">
        <f>_xlfn.RANK.EQ(AllTime1[[#This Row],[All-time score]],AllTime1[All-time score],0)</f>
        <v>113</v>
      </c>
      <c r="I353" s="56">
        <f>_xlfn.XLOOKUP(AllTime1[[#This Row],[Name]],Table16[Name],Table16[Totals],"Error",0,1)</f>
        <v>13</v>
      </c>
      <c r="J353" s="72">
        <f>IF(ISNUMBER(AllTime1[[#This Row],[All-time rank]]), AllTime1[[#This Row],[All-time rank]] + ROW(AllTime1[[#This Row],[All-time rank]])/100000, 99999 + ROW(AllTime1[[#This Row],[All-time rank]])/100000)</f>
        <v>113.00353</v>
      </c>
      <c r="K353" s="70">
        <f>IF(ISNUMBER(AllTime1[[#This Row],[All-time score]]), AllTime1[[#This Row],[All-time score]] + ROW(AllTime1[[#This Row],[All-time score]])/100000000, 0 + ROW(AllTime1[[#This Row],[All-time score]])/1000000000)</f>
        <v>13.000003530000001</v>
      </c>
    </row>
    <row r="354" spans="7:11" ht="16.5">
      <c r="G354" s="71" t="str">
        <f>IFERROR(Table5[[#This Row],[Full name]],"")</f>
        <v>Zoe Rosenfeld</v>
      </c>
      <c r="H354" s="56">
        <f>_xlfn.RANK.EQ(AllTime1[[#This Row],[All-time score]],AllTime1[All-time score],0)</f>
        <v>300</v>
      </c>
      <c r="I354" s="56">
        <f>_xlfn.XLOOKUP(AllTime1[[#This Row],[Name]],Table16[Name],Table16[Totals],"Error",0,1)</f>
        <v>0</v>
      </c>
      <c r="J354" s="72">
        <f>IF(ISNUMBER(AllTime1[[#This Row],[All-time rank]]), AllTime1[[#This Row],[All-time rank]] + ROW(AllTime1[[#This Row],[All-time rank]])/100000, 99999 + ROW(AllTime1[[#This Row],[All-time rank]])/100000)</f>
        <v>300.00353999999999</v>
      </c>
      <c r="K354" s="70">
        <f>IF(ISNUMBER(AllTime1[[#This Row],[All-time score]]), AllTime1[[#This Row],[All-time score]] + ROW(AllTime1[[#This Row],[All-time score]])/100000000, 0 + ROW(AllTime1[[#This Row],[All-time score]])/1000000000)</f>
        <v>3.54E-6</v>
      </c>
    </row>
    <row r="355" spans="7:11" ht="16.5">
      <c r="G355" s="71" t="str">
        <f>IFERROR(Table5[[#This Row],[Full name]],"")</f>
        <v>Rayane Jouhere</v>
      </c>
      <c r="H355" s="56">
        <f>_xlfn.RANK.EQ(AllTime1[[#This Row],[All-time score]],AllTime1[All-time score],0)</f>
        <v>300</v>
      </c>
      <c r="I355" s="56">
        <f>_xlfn.XLOOKUP(AllTime1[[#This Row],[Name]],Table16[Name],Table16[Totals],"Error",0,1)</f>
        <v>0</v>
      </c>
      <c r="J355" s="72">
        <f>IF(ISNUMBER(AllTime1[[#This Row],[All-time rank]]), AllTime1[[#This Row],[All-time rank]] + ROW(AllTime1[[#This Row],[All-time rank]])/100000, 99999 + ROW(AllTime1[[#This Row],[All-time rank]])/100000)</f>
        <v>300.00355000000002</v>
      </c>
      <c r="K355" s="70">
        <f>IF(ISNUMBER(AllTime1[[#This Row],[All-time score]]), AllTime1[[#This Row],[All-time score]] + ROW(AllTime1[[#This Row],[All-time score]])/100000000, 0 + ROW(AllTime1[[#This Row],[All-time score]])/1000000000)</f>
        <v>3.5499999999999999E-6</v>
      </c>
    </row>
    <row r="356" spans="7:11" ht="16.5">
      <c r="G356" s="71" t="str">
        <f>IFERROR(Table5[[#This Row],[Full name]],"")</f>
        <v/>
      </c>
      <c r="H356" s="56">
        <f>_xlfn.RANK.EQ(AllTime1[[#This Row],[All-time score]],AllTime1[All-time score],0)</f>
        <v>300</v>
      </c>
      <c r="I356" s="56">
        <f>_xlfn.XLOOKUP(AllTime1[[#This Row],[Name]],Table16[Name],Table16[Totals],"Error",0,1)</f>
        <v>0</v>
      </c>
      <c r="J356" s="72">
        <f>IF(ISNUMBER(AllTime1[[#This Row],[All-time rank]]), AllTime1[[#This Row],[All-time rank]] + ROW(AllTime1[[#This Row],[All-time rank]])/100000, 99999 + ROW(AllTime1[[#This Row],[All-time rank]])/100000)</f>
        <v>300.00355999999999</v>
      </c>
      <c r="K356" s="70">
        <f>IF(ISNUMBER(AllTime1[[#This Row],[All-time score]]), AllTime1[[#This Row],[All-time score]] + ROW(AllTime1[[#This Row],[All-time score]])/100000000, 0 + ROW(AllTime1[[#This Row],[All-time score]])/1000000000)</f>
        <v>3.5599999999999998E-6</v>
      </c>
    </row>
    <row r="357" spans="7:11" ht="16.5">
      <c r="G357" s="71" t="str">
        <f>IFERROR(Table5[[#This Row],[Full name]],"")</f>
        <v/>
      </c>
      <c r="H357" s="56">
        <f>_xlfn.RANK.EQ(AllTime1[[#This Row],[All-time score]],AllTime1[All-time score],0)</f>
        <v>300</v>
      </c>
      <c r="I357" s="56">
        <f>_xlfn.XLOOKUP(AllTime1[[#This Row],[Name]],Table16[Name],Table16[Totals],"Error",0,1)</f>
        <v>0</v>
      </c>
      <c r="J357" s="72">
        <f>IF(ISNUMBER(AllTime1[[#This Row],[All-time rank]]), AllTime1[[#This Row],[All-time rank]] + ROW(AllTime1[[#This Row],[All-time rank]])/100000, 99999 + ROW(AllTime1[[#This Row],[All-time rank]])/100000)</f>
        <v>300.00357000000002</v>
      </c>
      <c r="K357" s="70">
        <f>IF(ISNUMBER(AllTime1[[#This Row],[All-time score]]), AllTime1[[#This Row],[All-time score]] + ROW(AllTime1[[#This Row],[All-time score]])/100000000, 0 + ROW(AllTime1[[#This Row],[All-time score]])/1000000000)</f>
        <v>3.5700000000000001E-6</v>
      </c>
    </row>
    <row r="358" spans="7:11" ht="16.5">
      <c r="G358" s="71" t="str">
        <f>IFERROR(Table5[[#This Row],[Full name]],"")</f>
        <v/>
      </c>
      <c r="H358" s="56">
        <f>_xlfn.RANK.EQ(AllTime1[[#This Row],[All-time score]],AllTime1[All-time score],0)</f>
        <v>300</v>
      </c>
      <c r="I358" s="56">
        <f>_xlfn.XLOOKUP(AllTime1[[#This Row],[Name]],Table16[Name],Table16[Totals],"Error",0,1)</f>
        <v>0</v>
      </c>
      <c r="J358" s="72">
        <f>IF(ISNUMBER(AllTime1[[#This Row],[All-time rank]]), AllTime1[[#This Row],[All-time rank]] + ROW(AllTime1[[#This Row],[All-time rank]])/100000, 99999 + ROW(AllTime1[[#This Row],[All-time rank]])/100000)</f>
        <v>300.00358</v>
      </c>
      <c r="K358" s="70">
        <f>IF(ISNUMBER(AllTime1[[#This Row],[All-time score]]), AllTime1[[#This Row],[All-time score]] + ROW(AllTime1[[#This Row],[All-time score]])/100000000, 0 + ROW(AllTime1[[#This Row],[All-time score]])/1000000000)</f>
        <v>3.58E-6</v>
      </c>
    </row>
    <row r="359" spans="7:11" ht="16.5">
      <c r="G359" s="71" t="str">
        <f>IFERROR(Table5[[#This Row],[Full name]],"")</f>
        <v/>
      </c>
      <c r="H359" s="56">
        <f>_xlfn.RANK.EQ(AllTime1[[#This Row],[All-time score]],AllTime1[All-time score],0)</f>
        <v>300</v>
      </c>
      <c r="I359" s="56">
        <f>_xlfn.XLOOKUP(AllTime1[[#This Row],[Name]],Table16[Name],Table16[Totals],"Error",0,1)</f>
        <v>0</v>
      </c>
      <c r="J359" s="72">
        <f>IF(ISNUMBER(AllTime1[[#This Row],[All-time rank]]), AllTime1[[#This Row],[All-time rank]] + ROW(AllTime1[[#This Row],[All-time rank]])/100000, 99999 + ROW(AllTime1[[#This Row],[All-time rank]])/100000)</f>
        <v>300.00358999999997</v>
      </c>
      <c r="K359" s="70">
        <f>IF(ISNUMBER(AllTime1[[#This Row],[All-time score]]), AllTime1[[#This Row],[All-time score]] + ROW(AllTime1[[#This Row],[All-time score]])/100000000, 0 + ROW(AllTime1[[#This Row],[All-time score]])/1000000000)</f>
        <v>3.5899999999999999E-6</v>
      </c>
    </row>
    <row r="360" spans="7:11" ht="16.5">
      <c r="G360" s="71" t="str">
        <f>IFERROR(Table5[[#This Row],[Full name]],"")</f>
        <v/>
      </c>
      <c r="H360" s="56">
        <f>_xlfn.RANK.EQ(AllTime1[[#This Row],[All-time score]],AllTime1[All-time score],0)</f>
        <v>300</v>
      </c>
      <c r="I360" s="56">
        <f>_xlfn.XLOOKUP(AllTime1[[#This Row],[Name]],Table16[Name],Table16[Totals],"Error",0,1)</f>
        <v>0</v>
      </c>
      <c r="J360" s="72">
        <f>IF(ISNUMBER(AllTime1[[#This Row],[All-time rank]]), AllTime1[[#This Row],[All-time rank]] + ROW(AllTime1[[#This Row],[All-time rank]])/100000, 99999 + ROW(AllTime1[[#This Row],[All-time rank]])/100000)</f>
        <v>300.00360000000001</v>
      </c>
      <c r="K360" s="70">
        <f>IF(ISNUMBER(AllTime1[[#This Row],[All-time score]]), AllTime1[[#This Row],[All-time score]] + ROW(AllTime1[[#This Row],[All-time score]])/100000000, 0 + ROW(AllTime1[[#This Row],[All-time score]])/1000000000)</f>
        <v>3.5999999999999998E-6</v>
      </c>
    </row>
    <row r="361" spans="7:11" ht="16.5">
      <c r="G361" s="71" t="str">
        <f>IFERROR(Table5[[#This Row],[Full name]],"")</f>
        <v/>
      </c>
      <c r="H361" s="56">
        <f>_xlfn.RANK.EQ(AllTime1[[#This Row],[All-time score]],AllTime1[All-time score],0)</f>
        <v>300</v>
      </c>
      <c r="I361" s="56">
        <f>_xlfn.XLOOKUP(AllTime1[[#This Row],[Name]],Table16[Name],Table16[Totals],"Error",0,1)</f>
        <v>0</v>
      </c>
      <c r="J361" s="72">
        <f>IF(ISNUMBER(AllTime1[[#This Row],[All-time rank]]), AllTime1[[#This Row],[All-time rank]] + ROW(AllTime1[[#This Row],[All-time rank]])/100000, 99999 + ROW(AllTime1[[#This Row],[All-time rank]])/100000)</f>
        <v>300.00360999999998</v>
      </c>
      <c r="K361" s="70">
        <f>IF(ISNUMBER(AllTime1[[#This Row],[All-time score]]), AllTime1[[#This Row],[All-time score]] + ROW(AllTime1[[#This Row],[All-time score]])/100000000, 0 + ROW(AllTime1[[#This Row],[All-time score]])/1000000000)</f>
        <v>3.6100000000000002E-6</v>
      </c>
    </row>
    <row r="362" spans="7:11" ht="16.5">
      <c r="G362" s="71" t="str">
        <f>IFERROR(Table5[[#This Row],[Full name]],"")</f>
        <v/>
      </c>
      <c r="H362" s="56">
        <f>_xlfn.RANK.EQ(AllTime1[[#This Row],[All-time score]],AllTime1[All-time score],0)</f>
        <v>300</v>
      </c>
      <c r="I362" s="56">
        <f>_xlfn.XLOOKUP(AllTime1[[#This Row],[Name]],Table16[Name],Table16[Totals],"Error",0,1)</f>
        <v>0</v>
      </c>
      <c r="J362" s="72">
        <f>IF(ISNUMBER(AllTime1[[#This Row],[All-time rank]]), AllTime1[[#This Row],[All-time rank]] + ROW(AllTime1[[#This Row],[All-time rank]])/100000, 99999 + ROW(AllTime1[[#This Row],[All-time rank]])/100000)</f>
        <v>300.00362000000001</v>
      </c>
      <c r="K362" s="70">
        <f>IF(ISNUMBER(AllTime1[[#This Row],[All-time score]]), AllTime1[[#This Row],[All-time score]] + ROW(AllTime1[[#This Row],[All-time score]])/100000000, 0 + ROW(AllTime1[[#This Row],[All-time score]])/1000000000)</f>
        <v>3.6200000000000001E-6</v>
      </c>
    </row>
    <row r="363" spans="7:11" ht="16.5">
      <c r="G363" s="71" t="str">
        <f>IFERROR(Table5[[#This Row],[Full name]],"")</f>
        <v/>
      </c>
      <c r="H363" s="56">
        <f>_xlfn.RANK.EQ(AllTime1[[#This Row],[All-time score]],AllTime1[All-time score],0)</f>
        <v>300</v>
      </c>
      <c r="I363" s="56">
        <f>_xlfn.XLOOKUP(AllTime1[[#This Row],[Name]],Table16[Name],Table16[Totals],"Error",0,1)</f>
        <v>0</v>
      </c>
      <c r="J363" s="72">
        <f>IF(ISNUMBER(AllTime1[[#This Row],[All-time rank]]), AllTime1[[#This Row],[All-time rank]] + ROW(AllTime1[[#This Row],[All-time rank]])/100000, 99999 + ROW(AllTime1[[#This Row],[All-time rank]])/100000)</f>
        <v>300.00362999999999</v>
      </c>
      <c r="K363" s="70">
        <f>IF(ISNUMBER(AllTime1[[#This Row],[All-time score]]), AllTime1[[#This Row],[All-time score]] + ROW(AllTime1[[#This Row],[All-time score]])/100000000, 0 + ROW(AllTime1[[#This Row],[All-time score]])/1000000000)</f>
        <v>3.63E-6</v>
      </c>
    </row>
    <row r="364" spans="7:11" ht="16.5">
      <c r="G364" s="71" t="str">
        <f>IFERROR(Table5[[#This Row],[Full name]],"")</f>
        <v/>
      </c>
      <c r="H364" s="56">
        <f>_xlfn.RANK.EQ(AllTime1[[#This Row],[All-time score]],AllTime1[All-time score],0)</f>
        <v>300</v>
      </c>
      <c r="I364" s="56">
        <f>_xlfn.XLOOKUP(AllTime1[[#This Row],[Name]],Table16[Name],Table16[Totals],"Error",0,1)</f>
        <v>0</v>
      </c>
      <c r="J364" s="72">
        <f>IF(ISNUMBER(AllTime1[[#This Row],[All-time rank]]), AllTime1[[#This Row],[All-time rank]] + ROW(AllTime1[[#This Row],[All-time rank]])/100000, 99999 + ROW(AllTime1[[#This Row],[All-time rank]])/100000)</f>
        <v>300.00364000000002</v>
      </c>
      <c r="K364" s="70">
        <f>IF(ISNUMBER(AllTime1[[#This Row],[All-time score]]), AllTime1[[#This Row],[All-time score]] + ROW(AllTime1[[#This Row],[All-time score]])/100000000, 0 + ROW(AllTime1[[#This Row],[All-time score]])/1000000000)</f>
        <v>3.6399999999999999E-6</v>
      </c>
    </row>
    <row r="365" spans="7:11" ht="16.5">
      <c r="G365" s="71" t="str">
        <f>IFERROR(Table5[[#This Row],[Full name]],"")</f>
        <v/>
      </c>
      <c r="H365" s="56">
        <f>_xlfn.RANK.EQ(AllTime1[[#This Row],[All-time score]],AllTime1[All-time score],0)</f>
        <v>300</v>
      </c>
      <c r="I365" s="56">
        <f>_xlfn.XLOOKUP(AllTime1[[#This Row],[Name]],Table16[Name],Table16[Totals],"Error",0,1)</f>
        <v>0</v>
      </c>
      <c r="J365" s="72">
        <f>IF(ISNUMBER(AllTime1[[#This Row],[All-time rank]]), AllTime1[[#This Row],[All-time rank]] + ROW(AllTime1[[#This Row],[All-time rank]])/100000, 99999 + ROW(AllTime1[[#This Row],[All-time rank]])/100000)</f>
        <v>300.00364999999999</v>
      </c>
      <c r="K365" s="70">
        <f>IF(ISNUMBER(AllTime1[[#This Row],[All-time score]]), AllTime1[[#This Row],[All-time score]] + ROW(AllTime1[[#This Row],[All-time score]])/100000000, 0 + ROW(AllTime1[[#This Row],[All-time score]])/1000000000)</f>
        <v>3.6500000000000002E-6</v>
      </c>
    </row>
    <row r="366" spans="7:11" ht="16.5">
      <c r="G366" s="71" t="str">
        <f>IFERROR(Table5[[#This Row],[Full name]],"")</f>
        <v/>
      </c>
      <c r="H366" s="56">
        <f>_xlfn.RANK.EQ(AllTime1[[#This Row],[All-time score]],AllTime1[All-time score],0)</f>
        <v>300</v>
      </c>
      <c r="I366" s="56">
        <f>_xlfn.XLOOKUP(AllTime1[[#This Row],[Name]],Table16[Name],Table16[Totals],"Error",0,1)</f>
        <v>0</v>
      </c>
      <c r="J366" s="72">
        <f>IF(ISNUMBER(AllTime1[[#This Row],[All-time rank]]), AllTime1[[#This Row],[All-time rank]] + ROW(AllTime1[[#This Row],[All-time rank]])/100000, 99999 + ROW(AllTime1[[#This Row],[All-time rank]])/100000)</f>
        <v>300.00366000000002</v>
      </c>
      <c r="K366" s="70">
        <f>IF(ISNUMBER(AllTime1[[#This Row],[All-time score]]), AllTime1[[#This Row],[All-time score]] + ROW(AllTime1[[#This Row],[All-time score]])/100000000, 0 + ROW(AllTime1[[#This Row],[All-time score]])/1000000000)</f>
        <v>3.6600000000000001E-6</v>
      </c>
    </row>
    <row r="367" spans="7:11" ht="16.5">
      <c r="G367" s="71" t="str">
        <f>IFERROR(Table5[[#This Row],[Full name]],"")</f>
        <v/>
      </c>
      <c r="H367" s="56">
        <f>_xlfn.RANK.EQ(AllTime1[[#This Row],[All-time score]],AllTime1[All-time score],0)</f>
        <v>300</v>
      </c>
      <c r="I367" s="56">
        <f>_xlfn.XLOOKUP(AllTime1[[#This Row],[Name]],Table16[Name],Table16[Totals],"Error",0,1)</f>
        <v>0</v>
      </c>
      <c r="J367" s="72">
        <f>IF(ISNUMBER(AllTime1[[#This Row],[All-time rank]]), AllTime1[[#This Row],[All-time rank]] + ROW(AllTime1[[#This Row],[All-time rank]])/100000, 99999 + ROW(AllTime1[[#This Row],[All-time rank]])/100000)</f>
        <v>300.00367</v>
      </c>
      <c r="K367" s="70">
        <f>IF(ISNUMBER(AllTime1[[#This Row],[All-time score]]), AllTime1[[#This Row],[All-time score]] + ROW(AllTime1[[#This Row],[All-time score]])/100000000, 0 + ROW(AllTime1[[#This Row],[All-time score]])/1000000000)</f>
        <v>3.67E-6</v>
      </c>
    </row>
    <row r="368" spans="7:11" ht="16.5">
      <c r="G368" s="71" t="str">
        <f>IFERROR(Table5[[#This Row],[Full name]],"")</f>
        <v/>
      </c>
      <c r="H368" s="56">
        <f>_xlfn.RANK.EQ(AllTime1[[#This Row],[All-time score]],AllTime1[All-time score],0)</f>
        <v>300</v>
      </c>
      <c r="I368" s="56">
        <f>_xlfn.XLOOKUP(AllTime1[[#This Row],[Name]],Table16[Name],Table16[Totals],"Error",0,1)</f>
        <v>0</v>
      </c>
      <c r="J368" s="72">
        <f>IF(ISNUMBER(AllTime1[[#This Row],[All-time rank]]), AllTime1[[#This Row],[All-time rank]] + ROW(AllTime1[[#This Row],[All-time rank]])/100000, 99999 + ROW(AllTime1[[#This Row],[All-time rank]])/100000)</f>
        <v>300.00367999999997</v>
      </c>
      <c r="K368" s="70">
        <f>IF(ISNUMBER(AllTime1[[#This Row],[All-time score]]), AllTime1[[#This Row],[All-time score]] + ROW(AllTime1[[#This Row],[All-time score]])/100000000, 0 + ROW(AllTime1[[#This Row],[All-time score]])/1000000000)</f>
        <v>3.6799999999999999E-6</v>
      </c>
    </row>
    <row r="369" spans="7:11" ht="16.5">
      <c r="G369" s="71" t="str">
        <f>IFERROR(Table5[[#This Row],[Full name]],"")</f>
        <v/>
      </c>
      <c r="H369" s="56">
        <f>_xlfn.RANK.EQ(AllTime1[[#This Row],[All-time score]],AllTime1[All-time score],0)</f>
        <v>300</v>
      </c>
      <c r="I369" s="56">
        <f>_xlfn.XLOOKUP(AllTime1[[#This Row],[Name]],Table16[Name],Table16[Totals],"Error",0,1)</f>
        <v>0</v>
      </c>
      <c r="J369" s="72">
        <f>IF(ISNUMBER(AllTime1[[#This Row],[All-time rank]]), AllTime1[[#This Row],[All-time rank]] + ROW(AllTime1[[#This Row],[All-time rank]])/100000, 99999 + ROW(AllTime1[[#This Row],[All-time rank]])/100000)</f>
        <v>300.00369000000001</v>
      </c>
      <c r="K369" s="70">
        <f>IF(ISNUMBER(AllTime1[[#This Row],[All-time score]]), AllTime1[[#This Row],[All-time score]] + ROW(AllTime1[[#This Row],[All-time score]])/100000000, 0 + ROW(AllTime1[[#This Row],[All-time score]])/1000000000)</f>
        <v>3.6899999999999998E-6</v>
      </c>
    </row>
    <row r="370" spans="7:11" ht="16.5">
      <c r="G370" s="71" t="str">
        <f>IFERROR(Table5[[#This Row],[Full name]],"")</f>
        <v/>
      </c>
      <c r="H370" s="56">
        <f>_xlfn.RANK.EQ(AllTime1[[#This Row],[All-time score]],AllTime1[All-time score],0)</f>
        <v>300</v>
      </c>
      <c r="I370" s="56">
        <f>_xlfn.XLOOKUP(AllTime1[[#This Row],[Name]],Table16[Name],Table16[Totals],"Error",0,1)</f>
        <v>0</v>
      </c>
      <c r="J370" s="72">
        <f>IF(ISNUMBER(AllTime1[[#This Row],[All-time rank]]), AllTime1[[#This Row],[All-time rank]] + ROW(AllTime1[[#This Row],[All-time rank]])/100000, 99999 + ROW(AllTime1[[#This Row],[All-time rank]])/100000)</f>
        <v>300.00369999999998</v>
      </c>
      <c r="K370" s="70">
        <f>IF(ISNUMBER(AllTime1[[#This Row],[All-time score]]), AllTime1[[#This Row],[All-time score]] + ROW(AllTime1[[#This Row],[All-time score]])/100000000, 0 + ROW(AllTime1[[#This Row],[All-time score]])/1000000000)</f>
        <v>3.7000000000000002E-6</v>
      </c>
    </row>
    <row r="371" spans="7:11" ht="16.5">
      <c r="G371" s="71" t="str">
        <f>IFERROR(Table5[[#This Row],[Full name]],"")</f>
        <v/>
      </c>
      <c r="H371" s="56">
        <f>_xlfn.RANK.EQ(AllTime1[[#This Row],[All-time score]],AllTime1[All-time score],0)</f>
        <v>300</v>
      </c>
      <c r="I371" s="56">
        <f>_xlfn.XLOOKUP(AllTime1[[#This Row],[Name]],Table16[Name],Table16[Totals],"Error",0,1)</f>
        <v>0</v>
      </c>
      <c r="J371" s="72">
        <f>IF(ISNUMBER(AllTime1[[#This Row],[All-time rank]]), AllTime1[[#This Row],[All-time rank]] + ROW(AllTime1[[#This Row],[All-time rank]])/100000, 99999 + ROW(AllTime1[[#This Row],[All-time rank]])/100000)</f>
        <v>300.00371000000001</v>
      </c>
      <c r="K371" s="70">
        <f>IF(ISNUMBER(AllTime1[[#This Row],[All-time score]]), AllTime1[[#This Row],[All-time score]] + ROW(AllTime1[[#This Row],[All-time score]])/100000000, 0 + ROW(AllTime1[[#This Row],[All-time score]])/1000000000)</f>
        <v>3.7100000000000001E-6</v>
      </c>
    </row>
    <row r="372" spans="7:11" ht="16.5">
      <c r="G372" s="71" t="str">
        <f>IFERROR(Table5[[#This Row],[Full name]],"")</f>
        <v/>
      </c>
      <c r="H372" s="56">
        <f>_xlfn.RANK.EQ(AllTime1[[#This Row],[All-time score]],AllTime1[All-time score],0)</f>
        <v>300</v>
      </c>
      <c r="I372" s="56">
        <f>_xlfn.XLOOKUP(AllTime1[[#This Row],[Name]],Table16[Name],Table16[Totals],"Error",0,1)</f>
        <v>0</v>
      </c>
      <c r="J372" s="72">
        <f>IF(ISNUMBER(AllTime1[[#This Row],[All-time rank]]), AllTime1[[#This Row],[All-time rank]] + ROW(AllTime1[[#This Row],[All-time rank]])/100000, 99999 + ROW(AllTime1[[#This Row],[All-time rank]])/100000)</f>
        <v>300.00371999999999</v>
      </c>
      <c r="K372" s="70">
        <f>IF(ISNUMBER(AllTime1[[#This Row],[All-time score]]), AllTime1[[#This Row],[All-time score]] + ROW(AllTime1[[#This Row],[All-time score]])/100000000, 0 + ROW(AllTime1[[#This Row],[All-time score]])/1000000000)</f>
        <v>3.72E-6</v>
      </c>
    </row>
    <row r="373" spans="7:11" ht="16.5">
      <c r="G373" s="71" t="str">
        <f>IFERROR(Table5[[#This Row],[Full name]],"")</f>
        <v/>
      </c>
      <c r="H373" s="56">
        <f>_xlfn.RANK.EQ(AllTime1[[#This Row],[All-time score]],AllTime1[All-time score],0)</f>
        <v>300</v>
      </c>
      <c r="I373" s="56">
        <f>_xlfn.XLOOKUP(AllTime1[[#This Row],[Name]],Table16[Name],Table16[Totals],"Error",0,1)</f>
        <v>0</v>
      </c>
      <c r="J373" s="72">
        <f>IF(ISNUMBER(AllTime1[[#This Row],[All-time rank]]), AllTime1[[#This Row],[All-time rank]] + ROW(AllTime1[[#This Row],[All-time rank]])/100000, 99999 + ROW(AllTime1[[#This Row],[All-time rank]])/100000)</f>
        <v>300.00373000000002</v>
      </c>
      <c r="K373" s="70">
        <f>IF(ISNUMBER(AllTime1[[#This Row],[All-time score]]), AllTime1[[#This Row],[All-time score]] + ROW(AllTime1[[#This Row],[All-time score]])/100000000, 0 + ROW(AllTime1[[#This Row],[All-time score]])/1000000000)</f>
        <v>3.7299999999999999E-6</v>
      </c>
    </row>
    <row r="374" spans="7:11" ht="16.5">
      <c r="G374" s="71" t="str">
        <f>IFERROR(Table5[[#This Row],[Full name]],"")</f>
        <v/>
      </c>
      <c r="H374" s="56">
        <f>_xlfn.RANK.EQ(AllTime1[[#This Row],[All-time score]],AllTime1[All-time score],0)</f>
        <v>300</v>
      </c>
      <c r="I374" s="56">
        <f>_xlfn.XLOOKUP(AllTime1[[#This Row],[Name]],Table16[Name],Table16[Totals],"Error",0,1)</f>
        <v>0</v>
      </c>
      <c r="J374" s="72">
        <f>IF(ISNUMBER(AllTime1[[#This Row],[All-time rank]]), AllTime1[[#This Row],[All-time rank]] + ROW(AllTime1[[#This Row],[All-time rank]])/100000, 99999 + ROW(AllTime1[[#This Row],[All-time rank]])/100000)</f>
        <v>300.00373999999999</v>
      </c>
      <c r="K374" s="70">
        <f>IF(ISNUMBER(AllTime1[[#This Row],[All-time score]]), AllTime1[[#This Row],[All-time score]] + ROW(AllTime1[[#This Row],[All-time score]])/100000000, 0 + ROW(AllTime1[[#This Row],[All-time score]])/1000000000)</f>
        <v>3.7400000000000002E-6</v>
      </c>
    </row>
    <row r="375" spans="7:11" ht="16.5">
      <c r="G375" s="71" t="str">
        <f>IFERROR(Table5[[#This Row],[Full name]],"")</f>
        <v/>
      </c>
      <c r="H375" s="56">
        <f>_xlfn.RANK.EQ(AllTime1[[#This Row],[All-time score]],AllTime1[All-time score],0)</f>
        <v>300</v>
      </c>
      <c r="I375" s="56">
        <f>_xlfn.XLOOKUP(AllTime1[[#This Row],[Name]],Table16[Name],Table16[Totals],"Error",0,1)</f>
        <v>0</v>
      </c>
      <c r="J375" s="72">
        <f>IF(ISNUMBER(AllTime1[[#This Row],[All-time rank]]), AllTime1[[#This Row],[All-time rank]] + ROW(AllTime1[[#This Row],[All-time rank]])/100000, 99999 + ROW(AllTime1[[#This Row],[All-time rank]])/100000)</f>
        <v>300.00375000000003</v>
      </c>
      <c r="K375" s="70">
        <f>IF(ISNUMBER(AllTime1[[#This Row],[All-time score]]), AllTime1[[#This Row],[All-time score]] + ROW(AllTime1[[#This Row],[All-time score]])/100000000, 0 + ROW(AllTime1[[#This Row],[All-time score]])/1000000000)</f>
        <v>3.7500000000000001E-6</v>
      </c>
    </row>
    <row r="376" spans="7:11" ht="16.5">
      <c r="G376" s="71" t="str">
        <f>IFERROR(Table5[[#This Row],[Full name]],"")</f>
        <v/>
      </c>
      <c r="H376" s="56">
        <f>_xlfn.RANK.EQ(AllTime1[[#This Row],[All-time score]],AllTime1[All-time score],0)</f>
        <v>300</v>
      </c>
      <c r="I376" s="56">
        <f>_xlfn.XLOOKUP(AllTime1[[#This Row],[Name]],Table16[Name],Table16[Totals],"Error",0,1)</f>
        <v>0</v>
      </c>
      <c r="J376" s="72">
        <f>IF(ISNUMBER(AllTime1[[#This Row],[All-time rank]]), AllTime1[[#This Row],[All-time rank]] + ROW(AllTime1[[#This Row],[All-time rank]])/100000, 99999 + ROW(AllTime1[[#This Row],[All-time rank]])/100000)</f>
        <v>300.00376</v>
      </c>
      <c r="K376" s="70">
        <f>IF(ISNUMBER(AllTime1[[#This Row],[All-time score]]), AllTime1[[#This Row],[All-time score]] + ROW(AllTime1[[#This Row],[All-time score]])/100000000, 0 + ROW(AllTime1[[#This Row],[All-time score]])/1000000000)</f>
        <v>3.76E-6</v>
      </c>
    </row>
    <row r="377" spans="7:11" ht="16.5">
      <c r="G377" s="71" t="str">
        <f>IFERROR(Table5[[#This Row],[Full name]],"")</f>
        <v/>
      </c>
      <c r="H377" s="56">
        <f>_xlfn.RANK.EQ(AllTime1[[#This Row],[All-time score]],AllTime1[All-time score],0)</f>
        <v>300</v>
      </c>
      <c r="I377" s="56">
        <f>_xlfn.XLOOKUP(AllTime1[[#This Row],[Name]],Table16[Name],Table16[Totals],"Error",0,1)</f>
        <v>0</v>
      </c>
      <c r="J377" s="72">
        <f>IF(ISNUMBER(AllTime1[[#This Row],[All-time rank]]), AllTime1[[#This Row],[All-time rank]] + ROW(AllTime1[[#This Row],[All-time rank]])/100000, 99999 + ROW(AllTime1[[#This Row],[All-time rank]])/100000)</f>
        <v>300.00376999999997</v>
      </c>
      <c r="K377" s="70">
        <f>IF(ISNUMBER(AllTime1[[#This Row],[All-time score]]), AllTime1[[#This Row],[All-time score]] + ROW(AllTime1[[#This Row],[All-time score]])/100000000, 0 + ROW(AllTime1[[#This Row],[All-time score]])/1000000000)</f>
        <v>3.7699999999999999E-6</v>
      </c>
    </row>
    <row r="378" spans="7:11" ht="16.5">
      <c r="G378" s="71" t="str">
        <f>IFERROR(Table5[[#This Row],[Full name]],"")</f>
        <v/>
      </c>
      <c r="H378" s="56">
        <f>_xlfn.RANK.EQ(AllTime1[[#This Row],[All-time score]],AllTime1[All-time score],0)</f>
        <v>300</v>
      </c>
      <c r="I378" s="56">
        <f>_xlfn.XLOOKUP(AllTime1[[#This Row],[Name]],Table16[Name],Table16[Totals],"Error",0,1)</f>
        <v>0</v>
      </c>
      <c r="J378" s="72">
        <f>IF(ISNUMBER(AllTime1[[#This Row],[All-time rank]]), AllTime1[[#This Row],[All-time rank]] + ROW(AllTime1[[#This Row],[All-time rank]])/100000, 99999 + ROW(AllTime1[[#This Row],[All-time rank]])/100000)</f>
        <v>300.00378000000001</v>
      </c>
      <c r="K378" s="70">
        <f>IF(ISNUMBER(AllTime1[[#This Row],[All-time score]]), AllTime1[[#This Row],[All-time score]] + ROW(AllTime1[[#This Row],[All-time score]])/100000000, 0 + ROW(AllTime1[[#This Row],[All-time score]])/1000000000)</f>
        <v>3.7799999999999998E-6</v>
      </c>
    </row>
    <row r="379" spans="7:11" ht="16.5">
      <c r="G379" s="71" t="str">
        <f>IFERROR(Table5[[#This Row],[Full name]],"")</f>
        <v/>
      </c>
      <c r="H379" s="56">
        <f>_xlfn.RANK.EQ(AllTime1[[#This Row],[All-time score]],AllTime1[All-time score],0)</f>
        <v>300</v>
      </c>
      <c r="I379" s="56">
        <f>_xlfn.XLOOKUP(AllTime1[[#This Row],[Name]],Table16[Name],Table16[Totals],"Error",0,1)</f>
        <v>0</v>
      </c>
      <c r="J379" s="72">
        <f>IF(ISNUMBER(AllTime1[[#This Row],[All-time rank]]), AllTime1[[#This Row],[All-time rank]] + ROW(AllTime1[[#This Row],[All-time rank]])/100000, 99999 + ROW(AllTime1[[#This Row],[All-time rank]])/100000)</f>
        <v>300.00378999999998</v>
      </c>
      <c r="K379" s="70">
        <f>IF(ISNUMBER(AllTime1[[#This Row],[All-time score]]), AllTime1[[#This Row],[All-time score]] + ROW(AllTime1[[#This Row],[All-time score]])/100000000, 0 + ROW(AllTime1[[#This Row],[All-time score]])/1000000000)</f>
        <v>3.7900000000000001E-6</v>
      </c>
    </row>
    <row r="380" spans="7:11" ht="16.5">
      <c r="G380" s="71" t="str">
        <f>IFERROR(Table5[[#This Row],[Full name]],"")</f>
        <v/>
      </c>
      <c r="H380" s="56">
        <f>_xlfn.RANK.EQ(AllTime1[[#This Row],[All-time score]],AllTime1[All-time score],0)</f>
        <v>300</v>
      </c>
      <c r="I380" s="56">
        <f>_xlfn.XLOOKUP(AllTime1[[#This Row],[Name]],Table16[Name],Table16[Totals],"Error",0,1)</f>
        <v>0</v>
      </c>
      <c r="J380" s="72">
        <f>IF(ISNUMBER(AllTime1[[#This Row],[All-time rank]]), AllTime1[[#This Row],[All-time rank]] + ROW(AllTime1[[#This Row],[All-time rank]])/100000, 99999 + ROW(AllTime1[[#This Row],[All-time rank]])/100000)</f>
        <v>300.00380000000001</v>
      </c>
      <c r="K380" s="70">
        <f>IF(ISNUMBER(AllTime1[[#This Row],[All-time score]]), AllTime1[[#This Row],[All-time score]] + ROW(AllTime1[[#This Row],[All-time score]])/100000000, 0 + ROW(AllTime1[[#This Row],[All-time score]])/1000000000)</f>
        <v>3.8E-6</v>
      </c>
    </row>
    <row r="381" spans="7:11" ht="16.5">
      <c r="G381" s="71" t="str">
        <f>IFERROR(Table5[[#This Row],[Full name]],"")</f>
        <v/>
      </c>
      <c r="H381" s="56">
        <f>_xlfn.RANK.EQ(AllTime1[[#This Row],[All-time score]],AllTime1[All-time score],0)</f>
        <v>300</v>
      </c>
      <c r="I381" s="56">
        <f>_xlfn.XLOOKUP(AllTime1[[#This Row],[Name]],Table16[Name],Table16[Totals],"Error",0,1)</f>
        <v>0</v>
      </c>
      <c r="J381" s="72">
        <f>IF(ISNUMBER(AllTime1[[#This Row],[All-time rank]]), AllTime1[[#This Row],[All-time rank]] + ROW(AllTime1[[#This Row],[All-time rank]])/100000, 99999 + ROW(AllTime1[[#This Row],[All-time rank]])/100000)</f>
        <v>300.00380999999999</v>
      </c>
      <c r="K381" s="70">
        <f>IF(ISNUMBER(AllTime1[[#This Row],[All-time score]]), AllTime1[[#This Row],[All-time score]] + ROW(AllTime1[[#This Row],[All-time score]])/100000000, 0 + ROW(AllTime1[[#This Row],[All-time score]])/1000000000)</f>
        <v>3.8099999999999999E-6</v>
      </c>
    </row>
    <row r="382" spans="7:11" ht="16.5">
      <c r="G382" s="71" t="str">
        <f>IFERROR(Table5[[#This Row],[Full name]],"")</f>
        <v/>
      </c>
      <c r="H382" s="56">
        <f>_xlfn.RANK.EQ(AllTime1[[#This Row],[All-time score]],AllTime1[All-time score],0)</f>
        <v>300</v>
      </c>
      <c r="I382" s="56">
        <f>_xlfn.XLOOKUP(AllTime1[[#This Row],[Name]],Table16[Name],Table16[Totals],"Error",0,1)</f>
        <v>0</v>
      </c>
      <c r="J382" s="72">
        <f>IF(ISNUMBER(AllTime1[[#This Row],[All-time rank]]), AllTime1[[#This Row],[All-time rank]] + ROW(AllTime1[[#This Row],[All-time rank]])/100000, 99999 + ROW(AllTime1[[#This Row],[All-time rank]])/100000)</f>
        <v>300.00382000000002</v>
      </c>
      <c r="K382" s="70">
        <f>IF(ISNUMBER(AllTime1[[#This Row],[All-time score]]), AllTime1[[#This Row],[All-time score]] + ROW(AllTime1[[#This Row],[All-time score]])/100000000, 0 + ROW(AllTime1[[#This Row],[All-time score]])/1000000000)</f>
        <v>3.8199999999999998E-6</v>
      </c>
    </row>
    <row r="383" spans="7:11" ht="16.5">
      <c r="G383" s="71" t="str">
        <f>IFERROR(Table5[[#This Row],[Full name]],"")</f>
        <v/>
      </c>
      <c r="H383" s="56">
        <f>_xlfn.RANK.EQ(AllTime1[[#This Row],[All-time score]],AllTime1[All-time score],0)</f>
        <v>300</v>
      </c>
      <c r="I383" s="56">
        <f>_xlfn.XLOOKUP(AllTime1[[#This Row],[Name]],Table16[Name],Table16[Totals],"Error",0,1)</f>
        <v>0</v>
      </c>
      <c r="J383" s="72">
        <f>IF(ISNUMBER(AllTime1[[#This Row],[All-time rank]]), AllTime1[[#This Row],[All-time rank]] + ROW(AllTime1[[#This Row],[All-time rank]])/100000, 99999 + ROW(AllTime1[[#This Row],[All-time rank]])/100000)</f>
        <v>300.00382999999999</v>
      </c>
      <c r="K383" s="70">
        <f>IF(ISNUMBER(AllTime1[[#This Row],[All-time score]]), AllTime1[[#This Row],[All-time score]] + ROW(AllTime1[[#This Row],[All-time score]])/100000000, 0 + ROW(AllTime1[[#This Row],[All-time score]])/1000000000)</f>
        <v>3.8299999999999998E-6</v>
      </c>
    </row>
    <row r="384" spans="7:11" ht="16.5">
      <c r="G384" s="71" t="str">
        <f>IFERROR(Table5[[#This Row],[Full name]],"")</f>
        <v/>
      </c>
      <c r="H384" s="56">
        <f>_xlfn.RANK.EQ(AllTime1[[#This Row],[All-time score]],AllTime1[All-time score],0)</f>
        <v>300</v>
      </c>
      <c r="I384" s="56">
        <f>_xlfn.XLOOKUP(AllTime1[[#This Row],[Name]],Table16[Name],Table16[Totals],"Error",0,1)</f>
        <v>0</v>
      </c>
      <c r="J384" s="72">
        <f>IF(ISNUMBER(AllTime1[[#This Row],[All-time rank]]), AllTime1[[#This Row],[All-time rank]] + ROW(AllTime1[[#This Row],[All-time rank]])/100000, 99999 + ROW(AllTime1[[#This Row],[All-time rank]])/100000)</f>
        <v>300.00384000000003</v>
      </c>
      <c r="K384" s="70">
        <f>IF(ISNUMBER(AllTime1[[#This Row],[All-time score]]), AllTime1[[#This Row],[All-time score]] + ROW(AllTime1[[#This Row],[All-time score]])/100000000, 0 + ROW(AllTime1[[#This Row],[All-time score]])/1000000000)</f>
        <v>3.8399999999999997E-6</v>
      </c>
    </row>
    <row r="385" spans="7:11" ht="16.5">
      <c r="G385" s="71" t="str">
        <f>IFERROR(Table5[[#This Row],[Full name]],"")</f>
        <v/>
      </c>
      <c r="H385" s="56">
        <f>_xlfn.RANK.EQ(AllTime1[[#This Row],[All-time score]],AllTime1[All-time score],0)</f>
        <v>300</v>
      </c>
      <c r="I385" s="56">
        <f>_xlfn.XLOOKUP(AllTime1[[#This Row],[Name]],Table16[Name],Table16[Totals],"Error",0,1)</f>
        <v>0</v>
      </c>
      <c r="J385" s="72">
        <f>IF(ISNUMBER(AllTime1[[#This Row],[All-time rank]]), AllTime1[[#This Row],[All-time rank]] + ROW(AllTime1[[#This Row],[All-time rank]])/100000, 99999 + ROW(AllTime1[[#This Row],[All-time rank]])/100000)</f>
        <v>300.00385</v>
      </c>
      <c r="K385" s="70">
        <f>IF(ISNUMBER(AllTime1[[#This Row],[All-time score]]), AllTime1[[#This Row],[All-time score]] + ROW(AllTime1[[#This Row],[All-time score]])/100000000, 0 + ROW(AllTime1[[#This Row],[All-time score]])/1000000000)</f>
        <v>3.8500000000000004E-6</v>
      </c>
    </row>
    <row r="386" spans="7:11" ht="16.5">
      <c r="G386" s="71" t="str">
        <f>IFERROR(Table5[[#This Row],[Full name]],"")</f>
        <v/>
      </c>
      <c r="H386" s="56">
        <f>_xlfn.RANK.EQ(AllTime1[[#This Row],[All-time score]],AllTime1[All-time score],0)</f>
        <v>300</v>
      </c>
      <c r="I386" s="56">
        <f>_xlfn.XLOOKUP(AllTime1[[#This Row],[Name]],Table16[Name],Table16[Totals],"Error",0,1)</f>
        <v>0</v>
      </c>
      <c r="J386" s="72">
        <f>IF(ISNUMBER(AllTime1[[#This Row],[All-time rank]]), AllTime1[[#This Row],[All-time rank]] + ROW(AllTime1[[#This Row],[All-time rank]])/100000, 99999 + ROW(AllTime1[[#This Row],[All-time rank]])/100000)</f>
        <v>300.00385999999997</v>
      </c>
      <c r="K386" s="70">
        <f>IF(ISNUMBER(AllTime1[[#This Row],[All-time score]]), AllTime1[[#This Row],[All-time score]] + ROW(AllTime1[[#This Row],[All-time score]])/100000000, 0 + ROW(AllTime1[[#This Row],[All-time score]])/1000000000)</f>
        <v>3.8600000000000003E-6</v>
      </c>
    </row>
    <row r="387" spans="7:11" ht="16.5">
      <c r="G387" s="71" t="str">
        <f>IFERROR(Table5[[#This Row],[Full name]],"")</f>
        <v/>
      </c>
      <c r="H387" s="56">
        <f>_xlfn.RANK.EQ(AllTime1[[#This Row],[All-time score]],AllTime1[All-time score],0)</f>
        <v>300</v>
      </c>
      <c r="I387" s="56">
        <f>_xlfn.XLOOKUP(AllTime1[[#This Row],[Name]],Table16[Name],Table16[Totals],"Error",0,1)</f>
        <v>0</v>
      </c>
      <c r="J387" s="72">
        <f>IF(ISNUMBER(AllTime1[[#This Row],[All-time rank]]), AllTime1[[#This Row],[All-time rank]] + ROW(AllTime1[[#This Row],[All-time rank]])/100000, 99999 + ROW(AllTime1[[#This Row],[All-time rank]])/100000)</f>
        <v>300.00387000000001</v>
      </c>
      <c r="K387" s="70">
        <f>IF(ISNUMBER(AllTime1[[#This Row],[All-time score]]), AllTime1[[#This Row],[All-time score]] + ROW(AllTime1[[#This Row],[All-time score]])/100000000, 0 + ROW(AllTime1[[#This Row],[All-time score]])/1000000000)</f>
        <v>3.8700000000000002E-6</v>
      </c>
    </row>
    <row r="388" spans="7:11" ht="16.5">
      <c r="G388" s="71" t="str">
        <f>IFERROR(Table5[[#This Row],[Full name]],"")</f>
        <v/>
      </c>
      <c r="H388" s="56">
        <f>_xlfn.RANK.EQ(AllTime1[[#This Row],[All-time score]],AllTime1[All-time score],0)</f>
        <v>300</v>
      </c>
      <c r="I388" s="56">
        <f>_xlfn.XLOOKUP(AllTime1[[#This Row],[Name]],Table16[Name],Table16[Totals],"Error",0,1)</f>
        <v>0</v>
      </c>
      <c r="J388" s="72">
        <f>IF(ISNUMBER(AllTime1[[#This Row],[All-time rank]]), AllTime1[[#This Row],[All-time rank]] + ROW(AllTime1[[#This Row],[All-time rank]])/100000, 99999 + ROW(AllTime1[[#This Row],[All-time rank]])/100000)</f>
        <v>300.00387999999998</v>
      </c>
      <c r="K388" s="70">
        <f>IF(ISNUMBER(AllTime1[[#This Row],[All-time score]]), AllTime1[[#This Row],[All-time score]] + ROW(AllTime1[[#This Row],[All-time score]])/100000000, 0 + ROW(AllTime1[[#This Row],[All-time score]])/1000000000)</f>
        <v>3.8800000000000001E-6</v>
      </c>
    </row>
    <row r="389" spans="7:11" ht="16.5">
      <c r="G389" s="71" t="str">
        <f>IFERROR(Table5[[#This Row],[Full name]],"")</f>
        <v/>
      </c>
      <c r="H389" s="56">
        <f>_xlfn.RANK.EQ(AllTime1[[#This Row],[All-time score]],AllTime1[All-time score],0)</f>
        <v>300</v>
      </c>
      <c r="I389" s="56">
        <f>_xlfn.XLOOKUP(AllTime1[[#This Row],[Name]],Table16[Name],Table16[Totals],"Error",0,1)</f>
        <v>0</v>
      </c>
      <c r="J389" s="72">
        <f>IF(ISNUMBER(AllTime1[[#This Row],[All-time rank]]), AllTime1[[#This Row],[All-time rank]] + ROW(AllTime1[[#This Row],[All-time rank]])/100000, 99999 + ROW(AllTime1[[#This Row],[All-time rank]])/100000)</f>
        <v>300.00389000000001</v>
      </c>
      <c r="K389" s="70">
        <f>IF(ISNUMBER(AllTime1[[#This Row],[All-time score]]), AllTime1[[#This Row],[All-time score]] + ROW(AllTime1[[#This Row],[All-time score]])/100000000, 0 + ROW(AllTime1[[#This Row],[All-time score]])/1000000000)</f>
        <v>3.89E-6</v>
      </c>
    </row>
    <row r="390" spans="7:11" ht="16.5">
      <c r="G390" s="71" t="str">
        <f>IFERROR(Table5[[#This Row],[Full name]],"")</f>
        <v/>
      </c>
      <c r="H390" s="56">
        <f>_xlfn.RANK.EQ(AllTime1[[#This Row],[All-time score]],AllTime1[All-time score],0)</f>
        <v>300</v>
      </c>
      <c r="I390" s="56">
        <f>_xlfn.XLOOKUP(AllTime1[[#This Row],[Name]],Table16[Name],Table16[Totals],"Error",0,1)</f>
        <v>0</v>
      </c>
      <c r="J390" s="72">
        <f>IF(ISNUMBER(AllTime1[[#This Row],[All-time rank]]), AllTime1[[#This Row],[All-time rank]] + ROW(AllTime1[[#This Row],[All-time rank]])/100000, 99999 + ROW(AllTime1[[#This Row],[All-time rank]])/100000)</f>
        <v>300.00389999999999</v>
      </c>
      <c r="K390" s="70">
        <f>IF(ISNUMBER(AllTime1[[#This Row],[All-time score]]), AllTime1[[#This Row],[All-time score]] + ROW(AllTime1[[#This Row],[All-time score]])/100000000, 0 + ROW(AllTime1[[#This Row],[All-time score]])/1000000000)</f>
        <v>3.8999999999999999E-6</v>
      </c>
    </row>
    <row r="391" spans="7:11" ht="16.5">
      <c r="G391" s="71" t="str">
        <f>IFERROR(Table5[[#This Row],[Full name]],"")</f>
        <v/>
      </c>
      <c r="H391" s="56">
        <f>_xlfn.RANK.EQ(AllTime1[[#This Row],[All-time score]],AllTime1[All-time score],0)</f>
        <v>300</v>
      </c>
      <c r="I391" s="56">
        <f>_xlfn.XLOOKUP(AllTime1[[#This Row],[Name]],Table16[Name],Table16[Totals],"Error",0,1)</f>
        <v>0</v>
      </c>
      <c r="J391" s="72">
        <f>IF(ISNUMBER(AllTime1[[#This Row],[All-time rank]]), AllTime1[[#This Row],[All-time rank]] + ROW(AllTime1[[#This Row],[All-time rank]])/100000, 99999 + ROW(AllTime1[[#This Row],[All-time rank]])/100000)</f>
        <v>300.00391000000002</v>
      </c>
      <c r="K391" s="70">
        <f>IF(ISNUMBER(AllTime1[[#This Row],[All-time score]]), AllTime1[[#This Row],[All-time score]] + ROW(AllTime1[[#This Row],[All-time score]])/100000000, 0 + ROW(AllTime1[[#This Row],[All-time score]])/1000000000)</f>
        <v>3.9099999999999998E-6</v>
      </c>
    </row>
    <row r="392" spans="7:11" ht="16.5">
      <c r="G392" s="71" t="str">
        <f>IFERROR(Table5[[#This Row],[Full name]],"")</f>
        <v/>
      </c>
      <c r="H392" s="56">
        <f>_xlfn.RANK.EQ(AllTime1[[#This Row],[All-time score]],AllTime1[All-time score],0)</f>
        <v>300</v>
      </c>
      <c r="I392" s="56">
        <f>_xlfn.XLOOKUP(AllTime1[[#This Row],[Name]],Table16[Name],Table16[Totals],"Error",0,1)</f>
        <v>0</v>
      </c>
      <c r="J392" s="72">
        <f>IF(ISNUMBER(AllTime1[[#This Row],[All-time rank]]), AllTime1[[#This Row],[All-time rank]] + ROW(AllTime1[[#This Row],[All-time rank]])/100000, 99999 + ROW(AllTime1[[#This Row],[All-time rank]])/100000)</f>
        <v>300.00391999999999</v>
      </c>
      <c r="K392" s="70">
        <f>IF(ISNUMBER(AllTime1[[#This Row],[All-time score]]), AllTime1[[#This Row],[All-time score]] + ROW(AllTime1[[#This Row],[All-time score]])/100000000, 0 + ROW(AllTime1[[#This Row],[All-time score]])/1000000000)</f>
        <v>3.9199999999999997E-6</v>
      </c>
    </row>
    <row r="393" spans="7:11" ht="16.5">
      <c r="G393" s="71" t="str">
        <f>IFERROR(Table5[[#This Row],[Full name]],"")</f>
        <v/>
      </c>
      <c r="H393" s="56">
        <f>_xlfn.RANK.EQ(AllTime1[[#This Row],[All-time score]],AllTime1[All-time score],0)</f>
        <v>300</v>
      </c>
      <c r="I393" s="56">
        <f>_xlfn.XLOOKUP(AllTime1[[#This Row],[Name]],Table16[Name],Table16[Totals],"Error",0,1)</f>
        <v>0</v>
      </c>
      <c r="J393" s="72">
        <f>IF(ISNUMBER(AllTime1[[#This Row],[All-time rank]]), AllTime1[[#This Row],[All-time rank]] + ROW(AllTime1[[#This Row],[All-time rank]])/100000, 99999 + ROW(AllTime1[[#This Row],[All-time rank]])/100000)</f>
        <v>300.00393000000003</v>
      </c>
      <c r="K393" s="70">
        <f>IF(ISNUMBER(AllTime1[[#This Row],[All-time score]]), AllTime1[[#This Row],[All-time score]] + ROW(AllTime1[[#This Row],[All-time score]])/100000000, 0 + ROW(AllTime1[[#This Row],[All-time score]])/1000000000)</f>
        <v>3.9299999999999996E-6</v>
      </c>
    </row>
    <row r="394" spans="7:11" ht="16.5">
      <c r="G394" s="71" t="str">
        <f>IFERROR(Table5[[#This Row],[Full name]],"")</f>
        <v/>
      </c>
      <c r="H394" s="56">
        <f>_xlfn.RANK.EQ(AllTime1[[#This Row],[All-time score]],AllTime1[All-time score],0)</f>
        <v>300</v>
      </c>
      <c r="I394" s="56">
        <f>_xlfn.XLOOKUP(AllTime1[[#This Row],[Name]],Table16[Name],Table16[Totals],"Error",0,1)</f>
        <v>0</v>
      </c>
      <c r="J394" s="72">
        <f>IF(ISNUMBER(AllTime1[[#This Row],[All-time rank]]), AllTime1[[#This Row],[All-time rank]] + ROW(AllTime1[[#This Row],[All-time rank]])/100000, 99999 + ROW(AllTime1[[#This Row],[All-time rank]])/100000)</f>
        <v>300.00394</v>
      </c>
      <c r="K394" s="70">
        <f>IF(ISNUMBER(AllTime1[[#This Row],[All-time score]]), AllTime1[[#This Row],[All-time score]] + ROW(AllTime1[[#This Row],[All-time score]])/100000000, 0 + ROW(AllTime1[[#This Row],[All-time score]])/1000000000)</f>
        <v>3.9400000000000004E-6</v>
      </c>
    </row>
    <row r="395" spans="7:11" ht="16.5">
      <c r="G395" s="71" t="str">
        <f>IFERROR(Table5[[#This Row],[Full name]],"")</f>
        <v/>
      </c>
      <c r="H395" s="56">
        <f>_xlfn.RANK.EQ(AllTime1[[#This Row],[All-time score]],AllTime1[All-time score],0)</f>
        <v>300</v>
      </c>
      <c r="I395" s="56">
        <f>_xlfn.XLOOKUP(AllTime1[[#This Row],[Name]],Table16[Name],Table16[Totals],"Error",0,1)</f>
        <v>0</v>
      </c>
      <c r="J395" s="72">
        <f>IF(ISNUMBER(AllTime1[[#This Row],[All-time rank]]), AllTime1[[#This Row],[All-time rank]] + ROW(AllTime1[[#This Row],[All-time rank]])/100000, 99999 + ROW(AllTime1[[#This Row],[All-time rank]])/100000)</f>
        <v>300.00394999999997</v>
      </c>
      <c r="K395" s="70">
        <f>IF(ISNUMBER(AllTime1[[#This Row],[All-time score]]), AllTime1[[#This Row],[All-time score]] + ROW(AllTime1[[#This Row],[All-time score]])/100000000, 0 + ROW(AllTime1[[#This Row],[All-time score]])/1000000000)</f>
        <v>3.9500000000000003E-6</v>
      </c>
    </row>
    <row r="396" spans="7:11" ht="16.5">
      <c r="G396" s="71" t="str">
        <f>IFERROR(Table5[[#This Row],[Full name]],"")</f>
        <v/>
      </c>
      <c r="H396" s="56">
        <f>_xlfn.RANK.EQ(AllTime1[[#This Row],[All-time score]],AllTime1[All-time score],0)</f>
        <v>300</v>
      </c>
      <c r="I396" s="56">
        <f>_xlfn.XLOOKUP(AllTime1[[#This Row],[Name]],Table16[Name],Table16[Totals],"Error",0,1)</f>
        <v>0</v>
      </c>
      <c r="J396" s="72">
        <f>IF(ISNUMBER(AllTime1[[#This Row],[All-time rank]]), AllTime1[[#This Row],[All-time rank]] + ROW(AllTime1[[#This Row],[All-time rank]])/100000, 99999 + ROW(AllTime1[[#This Row],[All-time rank]])/100000)</f>
        <v>300.00396000000001</v>
      </c>
      <c r="K396" s="70">
        <f>IF(ISNUMBER(AllTime1[[#This Row],[All-time score]]), AllTime1[[#This Row],[All-time score]] + ROW(AllTime1[[#This Row],[All-time score]])/100000000, 0 + ROW(AllTime1[[#This Row],[All-time score]])/1000000000)</f>
        <v>3.9600000000000002E-6</v>
      </c>
    </row>
    <row r="397" spans="7:11" ht="16.5">
      <c r="G397" s="71" t="str">
        <f>IFERROR(Table5[[#This Row],[Full name]],"")</f>
        <v/>
      </c>
      <c r="H397" s="56">
        <f>_xlfn.RANK.EQ(AllTime1[[#This Row],[All-time score]],AllTime1[All-time score],0)</f>
        <v>300</v>
      </c>
      <c r="I397" s="56">
        <f>_xlfn.XLOOKUP(AllTime1[[#This Row],[Name]],Table16[Name],Table16[Totals],"Error",0,1)</f>
        <v>0</v>
      </c>
      <c r="J397" s="72">
        <f>IF(ISNUMBER(AllTime1[[#This Row],[All-time rank]]), AllTime1[[#This Row],[All-time rank]] + ROW(AllTime1[[#This Row],[All-time rank]])/100000, 99999 + ROW(AllTime1[[#This Row],[All-time rank]])/100000)</f>
        <v>300.00396999999998</v>
      </c>
      <c r="K397" s="70">
        <f>IF(ISNUMBER(AllTime1[[#This Row],[All-time score]]), AllTime1[[#This Row],[All-time score]] + ROW(AllTime1[[#This Row],[All-time score]])/100000000, 0 + ROW(AllTime1[[#This Row],[All-time score]])/1000000000)</f>
        <v>3.9700000000000001E-6</v>
      </c>
    </row>
    <row r="398" spans="7:11" ht="16.5">
      <c r="G398" s="71" t="str">
        <f>IFERROR(Table5[[#This Row],[Full name]],"")</f>
        <v/>
      </c>
      <c r="H398" s="56">
        <f>_xlfn.RANK.EQ(AllTime1[[#This Row],[All-time score]],AllTime1[All-time score],0)</f>
        <v>300</v>
      </c>
      <c r="I398" s="56">
        <f>_xlfn.XLOOKUP(AllTime1[[#This Row],[Name]],Table16[Name],Table16[Totals],"Error",0,1)</f>
        <v>0</v>
      </c>
      <c r="J398" s="72">
        <f>IF(ISNUMBER(AllTime1[[#This Row],[All-time rank]]), AllTime1[[#This Row],[All-time rank]] + ROW(AllTime1[[#This Row],[All-time rank]])/100000, 99999 + ROW(AllTime1[[#This Row],[All-time rank]])/100000)</f>
        <v>300.00398000000001</v>
      </c>
      <c r="K398" s="70">
        <f>IF(ISNUMBER(AllTime1[[#This Row],[All-time score]]), AllTime1[[#This Row],[All-time score]] + ROW(AllTime1[[#This Row],[All-time score]])/100000000, 0 + ROW(AllTime1[[#This Row],[All-time score]])/1000000000)</f>
        <v>3.98E-6</v>
      </c>
    </row>
    <row r="399" spans="7:11" ht="16.5">
      <c r="G399" s="71" t="str">
        <f>IFERROR(Table5[[#This Row],[Full name]],"")</f>
        <v/>
      </c>
      <c r="H399" s="56">
        <f>_xlfn.RANK.EQ(AllTime1[[#This Row],[All-time score]],AllTime1[All-time score],0)</f>
        <v>300</v>
      </c>
      <c r="I399" s="56">
        <f>_xlfn.XLOOKUP(AllTime1[[#This Row],[Name]],Table16[Name],Table16[Totals],"Error",0,1)</f>
        <v>0</v>
      </c>
      <c r="J399" s="72">
        <f>IF(ISNUMBER(AllTime1[[#This Row],[All-time rank]]), AllTime1[[#This Row],[All-time rank]] + ROW(AllTime1[[#This Row],[All-time rank]])/100000, 99999 + ROW(AllTime1[[#This Row],[All-time rank]])/100000)</f>
        <v>300.00398999999999</v>
      </c>
      <c r="K399" s="70">
        <f>IF(ISNUMBER(AllTime1[[#This Row],[All-time score]]), AllTime1[[#This Row],[All-time score]] + ROW(AllTime1[[#This Row],[All-time score]])/100000000, 0 + ROW(AllTime1[[#This Row],[All-time score]])/1000000000)</f>
        <v>3.9899999999999999E-6</v>
      </c>
    </row>
    <row r="400" spans="7:11" ht="16.5">
      <c r="G400" s="71" t="str">
        <f>IFERROR(Table5[[#This Row],[Full name]],"")</f>
        <v/>
      </c>
      <c r="H400" s="56">
        <f>_xlfn.RANK.EQ(AllTime1[[#This Row],[All-time score]],AllTime1[All-time score],0)</f>
        <v>300</v>
      </c>
      <c r="I400" s="56">
        <f>_xlfn.XLOOKUP(AllTime1[[#This Row],[Name]],Table16[Name],Table16[Totals],"Error",0,1)</f>
        <v>0</v>
      </c>
      <c r="J400" s="72">
        <f>IF(ISNUMBER(AllTime1[[#This Row],[All-time rank]]), AllTime1[[#This Row],[All-time rank]] + ROW(AllTime1[[#This Row],[All-time rank]])/100000, 99999 + ROW(AllTime1[[#This Row],[All-time rank]])/100000)</f>
        <v>300.00400000000002</v>
      </c>
      <c r="K400" s="70">
        <f>IF(ISNUMBER(AllTime1[[#This Row],[All-time score]]), AllTime1[[#This Row],[All-time score]] + ROW(AllTime1[[#This Row],[All-time score]])/100000000, 0 + ROW(AllTime1[[#This Row],[All-time score]])/1000000000)</f>
        <v>3.9999999999999998E-6</v>
      </c>
    </row>
    <row r="401" spans="7:11" ht="16.5">
      <c r="G401" s="71" t="str">
        <f>IFERROR(Table5[[#This Row],[Full name]],"")</f>
        <v/>
      </c>
      <c r="H401" s="56">
        <f>_xlfn.RANK.EQ(AllTime1[[#This Row],[All-time score]],AllTime1[All-time score],0)</f>
        <v>300</v>
      </c>
      <c r="I401" s="56">
        <f>_xlfn.XLOOKUP(AllTime1[[#This Row],[Name]],Table16[Name],Table16[Totals],"Error",0,1)</f>
        <v>0</v>
      </c>
      <c r="J401" s="72">
        <f>IF(ISNUMBER(AllTime1[[#This Row],[All-time rank]]), AllTime1[[#This Row],[All-time rank]] + ROW(AllTime1[[#This Row],[All-time rank]])/100000, 99999 + ROW(AllTime1[[#This Row],[All-time rank]])/100000)</f>
        <v>300.00400999999999</v>
      </c>
      <c r="K401" s="70">
        <f>IF(ISNUMBER(AllTime1[[#This Row],[All-time score]]), AllTime1[[#This Row],[All-time score]] + ROW(AllTime1[[#This Row],[All-time score]])/100000000, 0 + ROW(AllTime1[[#This Row],[All-time score]])/1000000000)</f>
        <v>4.0099999999999997E-6</v>
      </c>
    </row>
    <row r="402" spans="7:11" ht="16.5">
      <c r="G402" s="71" t="str">
        <f>IFERROR(Table5[[#This Row],[Full name]],"")</f>
        <v/>
      </c>
      <c r="H402" s="56">
        <f>_xlfn.RANK.EQ(AllTime1[[#This Row],[All-time score]],AllTime1[All-time score],0)</f>
        <v>300</v>
      </c>
      <c r="I402" s="56">
        <f>_xlfn.XLOOKUP(AllTime1[[#This Row],[Name]],Table16[Name],Table16[Totals],"Error",0,1)</f>
        <v>0</v>
      </c>
      <c r="J402" s="72">
        <f>IF(ISNUMBER(AllTime1[[#This Row],[All-time rank]]), AllTime1[[#This Row],[All-time rank]] + ROW(AllTime1[[#This Row],[All-time rank]])/100000, 99999 + ROW(AllTime1[[#This Row],[All-time rank]])/100000)</f>
        <v>300.00402000000003</v>
      </c>
      <c r="K402" s="70">
        <f>IF(ISNUMBER(AllTime1[[#This Row],[All-time score]]), AllTime1[[#This Row],[All-time score]] + ROW(AllTime1[[#This Row],[All-time score]])/100000000, 0 + ROW(AllTime1[[#This Row],[All-time score]])/1000000000)</f>
        <v>4.0199999999999996E-6</v>
      </c>
    </row>
    <row r="403" spans="7:11" ht="16.5">
      <c r="G403" s="71" t="str">
        <f>IFERROR(Table5[[#This Row],[Full name]],"")</f>
        <v/>
      </c>
      <c r="H403" s="56">
        <f>_xlfn.RANK.EQ(AllTime1[[#This Row],[All-time score]],AllTime1[All-time score],0)</f>
        <v>300</v>
      </c>
      <c r="I403" s="56">
        <f>_xlfn.XLOOKUP(AllTime1[[#This Row],[Name]],Table16[Name],Table16[Totals],"Error",0,1)</f>
        <v>0</v>
      </c>
      <c r="J403" s="72">
        <f>IF(ISNUMBER(AllTime1[[#This Row],[All-time rank]]), AllTime1[[#This Row],[All-time rank]] + ROW(AllTime1[[#This Row],[All-time rank]])/100000, 99999 + ROW(AllTime1[[#This Row],[All-time rank]])/100000)</f>
        <v>300.00403</v>
      </c>
      <c r="K403" s="70">
        <f>IF(ISNUMBER(AllTime1[[#This Row],[All-time score]]), AllTime1[[#This Row],[All-time score]] + ROW(AllTime1[[#This Row],[All-time score]])/100000000, 0 + ROW(AllTime1[[#This Row],[All-time score]])/1000000000)</f>
        <v>4.0300000000000004E-6</v>
      </c>
    </row>
    <row r="404" spans="7:11" ht="16.5">
      <c r="G404" s="71" t="str">
        <f>IFERROR(Table5[[#This Row],[Full name]],"")</f>
        <v/>
      </c>
      <c r="H404" s="56">
        <f>_xlfn.RANK.EQ(AllTime1[[#This Row],[All-time score]],AllTime1[All-time score],0)</f>
        <v>300</v>
      </c>
      <c r="I404" s="56">
        <f>_xlfn.XLOOKUP(AllTime1[[#This Row],[Name]],Table16[Name],Table16[Totals],"Error",0,1)</f>
        <v>0</v>
      </c>
      <c r="J404" s="72">
        <f>IF(ISNUMBER(AllTime1[[#This Row],[All-time rank]]), AllTime1[[#This Row],[All-time rank]] + ROW(AllTime1[[#This Row],[All-time rank]])/100000, 99999 + ROW(AllTime1[[#This Row],[All-time rank]])/100000)</f>
        <v>300.00403999999997</v>
      </c>
      <c r="K404" s="70">
        <f>IF(ISNUMBER(AllTime1[[#This Row],[All-time score]]), AllTime1[[#This Row],[All-time score]] + ROW(AllTime1[[#This Row],[All-time score]])/100000000, 0 + ROW(AllTime1[[#This Row],[All-time score]])/1000000000)</f>
        <v>4.0400000000000003E-6</v>
      </c>
    </row>
    <row r="405" spans="7:11" ht="16.5">
      <c r="G405" s="71" t="str">
        <f>IFERROR(Table5[[#This Row],[Full name]],"")</f>
        <v/>
      </c>
      <c r="H405" s="56">
        <f>_xlfn.RANK.EQ(AllTime1[[#This Row],[All-time score]],AllTime1[All-time score],0)</f>
        <v>300</v>
      </c>
      <c r="I405" s="56">
        <f>_xlfn.XLOOKUP(AllTime1[[#This Row],[Name]],Table16[Name],Table16[Totals],"Error",0,1)</f>
        <v>0</v>
      </c>
      <c r="J405" s="72">
        <f>IF(ISNUMBER(AllTime1[[#This Row],[All-time rank]]), AllTime1[[#This Row],[All-time rank]] + ROW(AllTime1[[#This Row],[All-time rank]])/100000, 99999 + ROW(AllTime1[[#This Row],[All-time rank]])/100000)</f>
        <v>300.00405000000001</v>
      </c>
      <c r="K405" s="70">
        <f>IF(ISNUMBER(AllTime1[[#This Row],[All-time score]]), AllTime1[[#This Row],[All-time score]] + ROW(AllTime1[[#This Row],[All-time score]])/100000000, 0 + ROW(AllTime1[[#This Row],[All-time score]])/1000000000)</f>
        <v>4.0500000000000002E-6</v>
      </c>
    </row>
    <row r="406" spans="7:11" ht="16.5">
      <c r="G406" s="71" t="str">
        <f>IFERROR(Table5[[#This Row],[Full name]],"")</f>
        <v/>
      </c>
      <c r="H406" s="56">
        <f>_xlfn.RANK.EQ(AllTime1[[#This Row],[All-time score]],AllTime1[All-time score],0)</f>
        <v>300</v>
      </c>
      <c r="I406" s="56">
        <f>_xlfn.XLOOKUP(AllTime1[[#This Row],[Name]],Table16[Name],Table16[Totals],"Error",0,1)</f>
        <v>0</v>
      </c>
      <c r="J406" s="72">
        <f>IF(ISNUMBER(AllTime1[[#This Row],[All-time rank]]), AllTime1[[#This Row],[All-time rank]] + ROW(AllTime1[[#This Row],[All-time rank]])/100000, 99999 + ROW(AllTime1[[#This Row],[All-time rank]])/100000)</f>
        <v>300.00405999999998</v>
      </c>
      <c r="K406" s="70">
        <f>IF(ISNUMBER(AllTime1[[#This Row],[All-time score]]), AllTime1[[#This Row],[All-time score]] + ROW(AllTime1[[#This Row],[All-time score]])/100000000, 0 + ROW(AllTime1[[#This Row],[All-time score]])/1000000000)</f>
        <v>4.0600000000000001E-6</v>
      </c>
    </row>
    <row r="407" spans="7:11" ht="16.5">
      <c r="G407" s="71" t="str">
        <f>IFERROR(Table5[[#This Row],[Full name]],"")</f>
        <v/>
      </c>
      <c r="H407" s="56">
        <f>_xlfn.RANK.EQ(AllTime1[[#This Row],[All-time score]],AllTime1[All-time score],0)</f>
        <v>300</v>
      </c>
      <c r="I407" s="56">
        <f>_xlfn.XLOOKUP(AllTime1[[#This Row],[Name]],Table16[Name],Table16[Totals],"Error",0,1)</f>
        <v>0</v>
      </c>
      <c r="J407" s="72">
        <f>IF(ISNUMBER(AllTime1[[#This Row],[All-time rank]]), AllTime1[[#This Row],[All-time rank]] + ROW(AllTime1[[#This Row],[All-time rank]])/100000, 99999 + ROW(AllTime1[[#This Row],[All-time rank]])/100000)</f>
        <v>300.00407000000001</v>
      </c>
      <c r="K407" s="70">
        <f>IF(ISNUMBER(AllTime1[[#This Row],[All-time score]]), AllTime1[[#This Row],[All-time score]] + ROW(AllTime1[[#This Row],[All-time score]])/100000000, 0 + ROW(AllTime1[[#This Row],[All-time score]])/1000000000)</f>
        <v>4.07E-6</v>
      </c>
    </row>
    <row r="408" spans="7:11" ht="16.5">
      <c r="G408" s="71" t="str">
        <f>IFERROR(Table5[[#This Row],[Full name]],"")</f>
        <v/>
      </c>
      <c r="H408" s="56">
        <f>_xlfn.RANK.EQ(AllTime1[[#This Row],[All-time score]],AllTime1[All-time score],0)</f>
        <v>300</v>
      </c>
      <c r="I408" s="56">
        <f>_xlfn.XLOOKUP(AllTime1[[#This Row],[Name]],Table16[Name],Table16[Totals],"Error",0,1)</f>
        <v>0</v>
      </c>
      <c r="J408" s="72">
        <f>IF(ISNUMBER(AllTime1[[#This Row],[All-time rank]]), AllTime1[[#This Row],[All-time rank]] + ROW(AllTime1[[#This Row],[All-time rank]])/100000, 99999 + ROW(AllTime1[[#This Row],[All-time rank]])/100000)</f>
        <v>300.00407999999999</v>
      </c>
      <c r="K408" s="70">
        <f>IF(ISNUMBER(AllTime1[[#This Row],[All-time score]]), AllTime1[[#This Row],[All-time score]] + ROW(AllTime1[[#This Row],[All-time score]])/100000000, 0 + ROW(AllTime1[[#This Row],[All-time score]])/1000000000)</f>
        <v>4.0799999999999999E-6</v>
      </c>
    </row>
    <row r="409" spans="7:11" ht="16.5">
      <c r="G409" s="71" t="str">
        <f>IFERROR(Table5[[#This Row],[Full name]],"")</f>
        <v/>
      </c>
      <c r="H409" s="56">
        <f>_xlfn.RANK.EQ(AllTime1[[#This Row],[All-time score]],AllTime1[All-time score],0)</f>
        <v>300</v>
      </c>
      <c r="I409" s="56">
        <f>_xlfn.XLOOKUP(AllTime1[[#This Row],[Name]],Table16[Name],Table16[Totals],"Error",0,1)</f>
        <v>0</v>
      </c>
      <c r="J409" s="72">
        <f>IF(ISNUMBER(AllTime1[[#This Row],[All-time rank]]), AllTime1[[#This Row],[All-time rank]] + ROW(AllTime1[[#This Row],[All-time rank]])/100000, 99999 + ROW(AllTime1[[#This Row],[All-time rank]])/100000)</f>
        <v>300.00409000000002</v>
      </c>
      <c r="K409" s="70">
        <f>IF(ISNUMBER(AllTime1[[#This Row],[All-time score]]), AllTime1[[#This Row],[All-time score]] + ROW(AllTime1[[#This Row],[All-time score]])/100000000, 0 + ROW(AllTime1[[#This Row],[All-time score]])/1000000000)</f>
        <v>4.0899999999999998E-6</v>
      </c>
    </row>
    <row r="410" spans="7:11" ht="16.5">
      <c r="G410" s="71" t="str">
        <f>IFERROR(Table5[[#This Row],[Full name]],"")</f>
        <v/>
      </c>
      <c r="H410" s="56">
        <f>_xlfn.RANK.EQ(AllTime1[[#This Row],[All-time score]],AllTime1[All-time score],0)</f>
        <v>300</v>
      </c>
      <c r="I410" s="56">
        <f>_xlfn.XLOOKUP(AllTime1[[#This Row],[Name]],Table16[Name],Table16[Totals],"Error",0,1)</f>
        <v>0</v>
      </c>
      <c r="J410" s="72">
        <f>IF(ISNUMBER(AllTime1[[#This Row],[All-time rank]]), AllTime1[[#This Row],[All-time rank]] + ROW(AllTime1[[#This Row],[All-time rank]])/100000, 99999 + ROW(AllTime1[[#This Row],[All-time rank]])/100000)</f>
        <v>300.00409999999999</v>
      </c>
      <c r="K410" s="70">
        <f>IF(ISNUMBER(AllTime1[[#This Row],[All-time score]]), AllTime1[[#This Row],[All-time score]] + ROW(AllTime1[[#This Row],[All-time score]])/100000000, 0 + ROW(AllTime1[[#This Row],[All-time score]])/1000000000)</f>
        <v>4.0999999999999997E-6</v>
      </c>
    </row>
    <row r="411" spans="7:11" ht="16.5">
      <c r="G411" s="71" t="str">
        <f>IFERROR(Table5[[#This Row],[Full name]],"")</f>
        <v/>
      </c>
      <c r="H411" s="56">
        <f>_xlfn.RANK.EQ(AllTime1[[#This Row],[All-time score]],AllTime1[All-time score],0)</f>
        <v>300</v>
      </c>
      <c r="I411" s="56">
        <f>_xlfn.XLOOKUP(AllTime1[[#This Row],[Name]],Table16[Name],Table16[Totals],"Error",0,1)</f>
        <v>0</v>
      </c>
      <c r="J411" s="72">
        <f>IF(ISNUMBER(AllTime1[[#This Row],[All-time rank]]), AllTime1[[#This Row],[All-time rank]] + ROW(AllTime1[[#This Row],[All-time rank]])/100000, 99999 + ROW(AllTime1[[#This Row],[All-time rank]])/100000)</f>
        <v>300.00411000000003</v>
      </c>
      <c r="K411" s="70">
        <f>IF(ISNUMBER(AllTime1[[#This Row],[All-time score]]), AllTime1[[#This Row],[All-time score]] + ROW(AllTime1[[#This Row],[All-time score]])/100000000, 0 + ROW(AllTime1[[#This Row],[All-time score]])/1000000000)</f>
        <v>4.1099999999999996E-6</v>
      </c>
    </row>
    <row r="412" spans="7:11" ht="16.5">
      <c r="G412" s="71" t="str">
        <f>IFERROR(Table5[[#This Row],[Full name]],"")</f>
        <v/>
      </c>
      <c r="H412" s="56">
        <f>_xlfn.RANK.EQ(AllTime1[[#This Row],[All-time score]],AllTime1[All-time score],0)</f>
        <v>300</v>
      </c>
      <c r="I412" s="56">
        <f>_xlfn.XLOOKUP(AllTime1[[#This Row],[Name]],Table16[Name],Table16[Totals],"Error",0,1)</f>
        <v>0</v>
      </c>
      <c r="J412" s="72">
        <f>IF(ISNUMBER(AllTime1[[#This Row],[All-time rank]]), AllTime1[[#This Row],[All-time rank]] + ROW(AllTime1[[#This Row],[All-time rank]])/100000, 99999 + ROW(AllTime1[[#This Row],[All-time rank]])/100000)</f>
        <v>300.00412</v>
      </c>
      <c r="K412" s="70">
        <f>IF(ISNUMBER(AllTime1[[#This Row],[All-time score]]), AllTime1[[#This Row],[All-time score]] + ROW(AllTime1[[#This Row],[All-time score]])/100000000, 0 + ROW(AllTime1[[#This Row],[All-time score]])/1000000000)</f>
        <v>4.1200000000000004E-6</v>
      </c>
    </row>
    <row r="413" spans="7:11" ht="16.5">
      <c r="G413" s="71" t="str">
        <f>IFERROR(Table5[[#This Row],[Full name]],"")</f>
        <v/>
      </c>
      <c r="H413" s="56">
        <f>_xlfn.RANK.EQ(AllTime1[[#This Row],[All-time score]],AllTime1[All-time score],0)</f>
        <v>300</v>
      </c>
      <c r="I413" s="56">
        <f>_xlfn.XLOOKUP(AllTime1[[#This Row],[Name]],Table16[Name],Table16[Totals],"Error",0,1)</f>
        <v>0</v>
      </c>
      <c r="J413" s="72">
        <f>IF(ISNUMBER(AllTime1[[#This Row],[All-time rank]]), AllTime1[[#This Row],[All-time rank]] + ROW(AllTime1[[#This Row],[All-time rank]])/100000, 99999 + ROW(AllTime1[[#This Row],[All-time rank]])/100000)</f>
        <v>300.00412999999998</v>
      </c>
      <c r="K413" s="70">
        <f>IF(ISNUMBER(AllTime1[[#This Row],[All-time score]]), AllTime1[[#This Row],[All-time score]] + ROW(AllTime1[[#This Row],[All-time score]])/100000000, 0 + ROW(AllTime1[[#This Row],[All-time score]])/1000000000)</f>
        <v>4.1300000000000003E-6</v>
      </c>
    </row>
    <row r="414" spans="7:11" ht="16.5">
      <c r="G414" s="71" t="str">
        <f>IFERROR(Table5[[#This Row],[Full name]],"")</f>
        <v/>
      </c>
      <c r="H414" s="56">
        <f>_xlfn.RANK.EQ(AllTime1[[#This Row],[All-time score]],AllTime1[All-time score],0)</f>
        <v>300</v>
      </c>
      <c r="I414" s="56">
        <f>_xlfn.XLOOKUP(AllTime1[[#This Row],[Name]],Table16[Name],Table16[Totals],"Error",0,1)</f>
        <v>0</v>
      </c>
      <c r="J414" s="72">
        <f>IF(ISNUMBER(AllTime1[[#This Row],[All-time rank]]), AllTime1[[#This Row],[All-time rank]] + ROW(AllTime1[[#This Row],[All-time rank]])/100000, 99999 + ROW(AllTime1[[#This Row],[All-time rank]])/100000)</f>
        <v>300.00414000000001</v>
      </c>
      <c r="K414" s="70">
        <f>IF(ISNUMBER(AllTime1[[#This Row],[All-time score]]), AllTime1[[#This Row],[All-time score]] + ROW(AllTime1[[#This Row],[All-time score]])/100000000, 0 + ROW(AllTime1[[#This Row],[All-time score]])/1000000000)</f>
        <v>4.1400000000000002E-6</v>
      </c>
    </row>
    <row r="415" spans="7:11" ht="16.5">
      <c r="G415" s="71" t="str">
        <f>IFERROR(Table5[[#This Row],[Full name]],"")</f>
        <v/>
      </c>
      <c r="H415" s="56">
        <f>_xlfn.RANK.EQ(AllTime1[[#This Row],[All-time score]],AllTime1[All-time score],0)</f>
        <v>300</v>
      </c>
      <c r="I415" s="56">
        <f>_xlfn.XLOOKUP(AllTime1[[#This Row],[Name]],Table16[Name],Table16[Totals],"Error",0,1)</f>
        <v>0</v>
      </c>
      <c r="J415" s="72">
        <f>IF(ISNUMBER(AllTime1[[#This Row],[All-time rank]]), AllTime1[[#This Row],[All-time rank]] + ROW(AllTime1[[#This Row],[All-time rank]])/100000, 99999 + ROW(AllTime1[[#This Row],[All-time rank]])/100000)</f>
        <v>300.00414999999998</v>
      </c>
      <c r="K415" s="70">
        <f>IF(ISNUMBER(AllTime1[[#This Row],[All-time score]]), AllTime1[[#This Row],[All-time score]] + ROW(AllTime1[[#This Row],[All-time score]])/100000000, 0 + ROW(AllTime1[[#This Row],[All-time score]])/1000000000)</f>
        <v>4.1500000000000001E-6</v>
      </c>
    </row>
    <row r="416" spans="7:11" ht="16.5">
      <c r="G416" s="71" t="str">
        <f>IFERROR(Table5[[#This Row],[Full name]],"")</f>
        <v/>
      </c>
      <c r="H416" s="56">
        <f>_xlfn.RANK.EQ(AllTime1[[#This Row],[All-time score]],AllTime1[All-time score],0)</f>
        <v>300</v>
      </c>
      <c r="I416" s="56">
        <f>_xlfn.XLOOKUP(AllTime1[[#This Row],[Name]],Table16[Name],Table16[Totals],"Error",0,1)</f>
        <v>0</v>
      </c>
      <c r="J416" s="72">
        <f>IF(ISNUMBER(AllTime1[[#This Row],[All-time rank]]), AllTime1[[#This Row],[All-time rank]] + ROW(AllTime1[[#This Row],[All-time rank]])/100000, 99999 + ROW(AllTime1[[#This Row],[All-time rank]])/100000)</f>
        <v>300.00416000000001</v>
      </c>
      <c r="K416" s="70">
        <f>IF(ISNUMBER(AllTime1[[#This Row],[All-time score]]), AllTime1[[#This Row],[All-time score]] + ROW(AllTime1[[#This Row],[All-time score]])/100000000, 0 + ROW(AllTime1[[#This Row],[All-time score]])/1000000000)</f>
        <v>4.16E-6</v>
      </c>
    </row>
    <row r="417" spans="7:11" ht="16.5">
      <c r="G417" s="71" t="str">
        <f>IFERROR(Table5[[#This Row],[Full name]],"")</f>
        <v/>
      </c>
      <c r="H417" s="56">
        <f>_xlfn.RANK.EQ(AllTime1[[#This Row],[All-time score]],AllTime1[All-time score],0)</f>
        <v>300</v>
      </c>
      <c r="I417" s="56">
        <f>_xlfn.XLOOKUP(AllTime1[[#This Row],[Name]],Table16[Name],Table16[Totals],"Error",0,1)</f>
        <v>0</v>
      </c>
      <c r="J417" s="72">
        <f>IF(ISNUMBER(AllTime1[[#This Row],[All-time rank]]), AllTime1[[#This Row],[All-time rank]] + ROW(AllTime1[[#This Row],[All-time rank]])/100000, 99999 + ROW(AllTime1[[#This Row],[All-time rank]])/100000)</f>
        <v>300.00416999999999</v>
      </c>
      <c r="K417" s="70">
        <f>IF(ISNUMBER(AllTime1[[#This Row],[All-time score]]), AllTime1[[#This Row],[All-time score]] + ROW(AllTime1[[#This Row],[All-time score]])/100000000, 0 + ROW(AllTime1[[#This Row],[All-time score]])/1000000000)</f>
        <v>4.1699999999999999E-6</v>
      </c>
    </row>
    <row r="418" spans="7:11" ht="16.5">
      <c r="G418" s="71" t="str">
        <f>IFERROR(Table5[[#This Row],[Full name]],"")</f>
        <v/>
      </c>
      <c r="H418" s="56">
        <f>_xlfn.RANK.EQ(AllTime1[[#This Row],[All-time score]],AllTime1[All-time score],0)</f>
        <v>300</v>
      </c>
      <c r="I418" s="56">
        <f>_xlfn.XLOOKUP(AllTime1[[#This Row],[Name]],Table16[Name],Table16[Totals],"Error",0,1)</f>
        <v>0</v>
      </c>
      <c r="J418" s="72">
        <f>IF(ISNUMBER(AllTime1[[#This Row],[All-time rank]]), AllTime1[[#This Row],[All-time rank]] + ROW(AllTime1[[#This Row],[All-time rank]])/100000, 99999 + ROW(AllTime1[[#This Row],[All-time rank]])/100000)</f>
        <v>300.00418000000002</v>
      </c>
      <c r="K418" s="70">
        <f>IF(ISNUMBER(AllTime1[[#This Row],[All-time score]]), AllTime1[[#This Row],[All-time score]] + ROW(AllTime1[[#This Row],[All-time score]])/100000000, 0 + ROW(AllTime1[[#This Row],[All-time score]])/1000000000)</f>
        <v>4.1799999999999998E-6</v>
      </c>
    </row>
    <row r="419" spans="7:11" ht="16.5">
      <c r="G419" s="71" t="str">
        <f>IFERROR(Table5[[#This Row],[Full name]],"")</f>
        <v/>
      </c>
      <c r="H419" s="56">
        <f>_xlfn.RANK.EQ(AllTime1[[#This Row],[All-time score]],AllTime1[All-time score],0)</f>
        <v>300</v>
      </c>
      <c r="I419" s="56">
        <f>_xlfn.XLOOKUP(AllTime1[[#This Row],[Name]],Table16[Name],Table16[Totals],"Error",0,1)</f>
        <v>0</v>
      </c>
      <c r="J419" s="72">
        <f>IF(ISNUMBER(AllTime1[[#This Row],[All-time rank]]), AllTime1[[#This Row],[All-time rank]] + ROW(AllTime1[[#This Row],[All-time rank]])/100000, 99999 + ROW(AllTime1[[#This Row],[All-time rank]])/100000)</f>
        <v>300.00418999999999</v>
      </c>
      <c r="K419" s="70">
        <f>IF(ISNUMBER(AllTime1[[#This Row],[All-time score]]), AllTime1[[#This Row],[All-time score]] + ROW(AllTime1[[#This Row],[All-time score]])/100000000, 0 + ROW(AllTime1[[#This Row],[All-time score]])/1000000000)</f>
        <v>4.1899999999999997E-6</v>
      </c>
    </row>
    <row r="420" spans="7:11" ht="16.5">
      <c r="G420" s="71" t="str">
        <f>IFERROR(Table5[[#This Row],[Full name]],"")</f>
        <v/>
      </c>
      <c r="H420" s="56">
        <f>_xlfn.RANK.EQ(AllTime1[[#This Row],[All-time score]],AllTime1[All-time score],0)</f>
        <v>300</v>
      </c>
      <c r="I420" s="56">
        <f>_xlfn.XLOOKUP(AllTime1[[#This Row],[Name]],Table16[Name],Table16[Totals],"Error",0,1)</f>
        <v>0</v>
      </c>
      <c r="J420" s="72">
        <f>IF(ISNUMBER(AllTime1[[#This Row],[All-time rank]]), AllTime1[[#This Row],[All-time rank]] + ROW(AllTime1[[#This Row],[All-time rank]])/100000, 99999 + ROW(AllTime1[[#This Row],[All-time rank]])/100000)</f>
        <v>300.00420000000003</v>
      </c>
      <c r="K420" s="70">
        <f>IF(ISNUMBER(AllTime1[[#This Row],[All-time score]]), AllTime1[[#This Row],[All-time score]] + ROW(AllTime1[[#This Row],[All-time score]])/100000000, 0 + ROW(AllTime1[[#This Row],[All-time score]])/1000000000)</f>
        <v>4.1999999999999996E-6</v>
      </c>
    </row>
    <row r="421" spans="7:11" ht="16.5">
      <c r="G421" s="71" t="str">
        <f>IFERROR(Table5[[#This Row],[Full name]],"")</f>
        <v/>
      </c>
      <c r="H421" s="56">
        <f>_xlfn.RANK.EQ(AllTime1[[#This Row],[All-time score]],AllTime1[All-time score],0)</f>
        <v>300</v>
      </c>
      <c r="I421" s="56">
        <f>_xlfn.XLOOKUP(AllTime1[[#This Row],[Name]],Table16[Name],Table16[Totals],"Error",0,1)</f>
        <v>0</v>
      </c>
      <c r="J421" s="72">
        <f>IF(ISNUMBER(AllTime1[[#This Row],[All-time rank]]), AllTime1[[#This Row],[All-time rank]] + ROW(AllTime1[[#This Row],[All-time rank]])/100000, 99999 + ROW(AllTime1[[#This Row],[All-time rank]])/100000)</f>
        <v>300.00421</v>
      </c>
      <c r="K421" s="70">
        <f>IF(ISNUMBER(AllTime1[[#This Row],[All-time score]]), AllTime1[[#This Row],[All-time score]] + ROW(AllTime1[[#This Row],[All-time score]])/100000000, 0 + ROW(AllTime1[[#This Row],[All-time score]])/1000000000)</f>
        <v>4.2100000000000003E-6</v>
      </c>
    </row>
    <row r="422" spans="7:11" ht="16.5">
      <c r="G422" s="71" t="str">
        <f>IFERROR(Table5[[#This Row],[Full name]],"")</f>
        <v/>
      </c>
      <c r="H422" s="56">
        <f>_xlfn.RANK.EQ(AllTime1[[#This Row],[All-time score]],AllTime1[All-time score],0)</f>
        <v>300</v>
      </c>
      <c r="I422" s="56">
        <f>_xlfn.XLOOKUP(AllTime1[[#This Row],[Name]],Table16[Name],Table16[Totals],"Error",0,1)</f>
        <v>0</v>
      </c>
      <c r="J422" s="72">
        <f>IF(ISNUMBER(AllTime1[[#This Row],[All-time rank]]), AllTime1[[#This Row],[All-time rank]] + ROW(AllTime1[[#This Row],[All-time rank]])/100000, 99999 + ROW(AllTime1[[#This Row],[All-time rank]])/100000)</f>
        <v>300.00421999999998</v>
      </c>
      <c r="K422" s="70">
        <f>IF(ISNUMBER(AllTime1[[#This Row],[All-time score]]), AllTime1[[#This Row],[All-time score]] + ROW(AllTime1[[#This Row],[All-time score]])/100000000, 0 + ROW(AllTime1[[#This Row],[All-time score]])/1000000000)</f>
        <v>4.2200000000000003E-6</v>
      </c>
    </row>
    <row r="423" spans="7:11" ht="16.5">
      <c r="G423" s="71" t="str">
        <f>IFERROR(Table5[[#This Row],[Full name]],"")</f>
        <v/>
      </c>
      <c r="H423" s="56">
        <f>_xlfn.RANK.EQ(AllTime1[[#This Row],[All-time score]],AllTime1[All-time score],0)</f>
        <v>300</v>
      </c>
      <c r="I423" s="56">
        <f>_xlfn.XLOOKUP(AllTime1[[#This Row],[Name]],Table16[Name],Table16[Totals],"Error",0,1)</f>
        <v>0</v>
      </c>
      <c r="J423" s="72">
        <f>IF(ISNUMBER(AllTime1[[#This Row],[All-time rank]]), AllTime1[[#This Row],[All-time rank]] + ROW(AllTime1[[#This Row],[All-time rank]])/100000, 99999 + ROW(AllTime1[[#This Row],[All-time rank]])/100000)</f>
        <v>300.00423000000001</v>
      </c>
      <c r="K423" s="70">
        <f>IF(ISNUMBER(AllTime1[[#This Row],[All-time score]]), AllTime1[[#This Row],[All-time score]] + ROW(AllTime1[[#This Row],[All-time score]])/100000000, 0 + ROW(AllTime1[[#This Row],[All-time score]])/1000000000)</f>
        <v>4.2300000000000002E-6</v>
      </c>
    </row>
    <row r="424" spans="7:11" ht="16.5">
      <c r="G424" s="71" t="str">
        <f>IFERROR(Table5[[#This Row],[Full name]],"")</f>
        <v/>
      </c>
      <c r="H424" s="56">
        <f>_xlfn.RANK.EQ(AllTime1[[#This Row],[All-time score]],AllTime1[All-time score],0)</f>
        <v>300</v>
      </c>
      <c r="I424" s="56">
        <f>_xlfn.XLOOKUP(AllTime1[[#This Row],[Name]],Table16[Name],Table16[Totals],"Error",0,1)</f>
        <v>0</v>
      </c>
      <c r="J424" s="72">
        <f>IF(ISNUMBER(AllTime1[[#This Row],[All-time rank]]), AllTime1[[#This Row],[All-time rank]] + ROW(AllTime1[[#This Row],[All-time rank]])/100000, 99999 + ROW(AllTime1[[#This Row],[All-time rank]])/100000)</f>
        <v>300.00423999999998</v>
      </c>
      <c r="K424" s="70">
        <f>IF(ISNUMBER(AllTime1[[#This Row],[All-time score]]), AllTime1[[#This Row],[All-time score]] + ROW(AllTime1[[#This Row],[All-time score]])/100000000, 0 + ROW(AllTime1[[#This Row],[All-time score]])/1000000000)</f>
        <v>4.2400000000000001E-6</v>
      </c>
    </row>
    <row r="425" spans="7:11" ht="16.5">
      <c r="G425" s="71" t="str">
        <f>IFERROR(Table5[[#This Row],[Full name]],"")</f>
        <v/>
      </c>
      <c r="H425" s="56">
        <f>_xlfn.RANK.EQ(AllTime1[[#This Row],[All-time score]],AllTime1[All-time score],0)</f>
        <v>300</v>
      </c>
      <c r="I425" s="56">
        <f>_xlfn.XLOOKUP(AllTime1[[#This Row],[Name]],Table16[Name],Table16[Totals],"Error",0,1)</f>
        <v>0</v>
      </c>
      <c r="J425" s="72">
        <f>IF(ISNUMBER(AllTime1[[#This Row],[All-time rank]]), AllTime1[[#This Row],[All-time rank]] + ROW(AllTime1[[#This Row],[All-time rank]])/100000, 99999 + ROW(AllTime1[[#This Row],[All-time rank]])/100000)</f>
        <v>300.00425000000001</v>
      </c>
      <c r="K425" s="70">
        <f>IF(ISNUMBER(AllTime1[[#This Row],[All-time score]]), AllTime1[[#This Row],[All-time score]] + ROW(AllTime1[[#This Row],[All-time score]])/100000000, 0 + ROW(AllTime1[[#This Row],[All-time score]])/1000000000)</f>
        <v>4.25E-6</v>
      </c>
    </row>
    <row r="426" spans="7:11" ht="16.5">
      <c r="G426" s="71" t="str">
        <f>IFERROR(Table5[[#This Row],[Full name]],"")</f>
        <v/>
      </c>
      <c r="H426" s="56">
        <f>_xlfn.RANK.EQ(AllTime1[[#This Row],[All-time score]],AllTime1[All-time score],0)</f>
        <v>300</v>
      </c>
      <c r="I426" s="56">
        <f>_xlfn.XLOOKUP(AllTime1[[#This Row],[Name]],Table16[Name],Table16[Totals],"Error",0,1)</f>
        <v>0</v>
      </c>
      <c r="J426" s="72">
        <f>IF(ISNUMBER(AllTime1[[#This Row],[All-time rank]]), AllTime1[[#This Row],[All-time rank]] + ROW(AllTime1[[#This Row],[All-time rank]])/100000, 99999 + ROW(AllTime1[[#This Row],[All-time rank]])/100000)</f>
        <v>300.00425999999999</v>
      </c>
      <c r="K426" s="70">
        <f>IF(ISNUMBER(AllTime1[[#This Row],[All-time score]]), AllTime1[[#This Row],[All-time score]] + ROW(AllTime1[[#This Row],[All-time score]])/100000000, 0 + ROW(AllTime1[[#This Row],[All-time score]])/1000000000)</f>
        <v>4.2599999999999999E-6</v>
      </c>
    </row>
    <row r="427" spans="7:11" ht="16.5">
      <c r="G427" s="71" t="str">
        <f>IFERROR(Table5[[#This Row],[Full name]],"")</f>
        <v/>
      </c>
      <c r="H427" s="56">
        <f>_xlfn.RANK.EQ(AllTime1[[#This Row],[All-time score]],AllTime1[All-time score],0)</f>
        <v>300</v>
      </c>
      <c r="I427" s="56">
        <f>_xlfn.XLOOKUP(AllTime1[[#This Row],[Name]],Table16[Name],Table16[Totals],"Error",0,1)</f>
        <v>0</v>
      </c>
      <c r="J427" s="72">
        <f>IF(ISNUMBER(AllTime1[[#This Row],[All-time rank]]), AllTime1[[#This Row],[All-time rank]] + ROW(AllTime1[[#This Row],[All-time rank]])/100000, 99999 + ROW(AllTime1[[#This Row],[All-time rank]])/100000)</f>
        <v>300.00427000000002</v>
      </c>
      <c r="K427" s="70">
        <f>IF(ISNUMBER(AllTime1[[#This Row],[All-time score]]), AllTime1[[#This Row],[All-time score]] + ROW(AllTime1[[#This Row],[All-time score]])/100000000, 0 + ROW(AllTime1[[#This Row],[All-time score]])/1000000000)</f>
        <v>4.2699999999999998E-6</v>
      </c>
    </row>
    <row r="428" spans="7:11" ht="16.5">
      <c r="G428" s="71" t="str">
        <f>IFERROR(Table5[[#This Row],[Full name]],"")</f>
        <v/>
      </c>
      <c r="H428" s="56">
        <f>_xlfn.RANK.EQ(AllTime1[[#This Row],[All-time score]],AllTime1[All-time score],0)</f>
        <v>300</v>
      </c>
      <c r="I428" s="56">
        <f>_xlfn.XLOOKUP(AllTime1[[#This Row],[Name]],Table16[Name],Table16[Totals],"Error",0,1)</f>
        <v>0</v>
      </c>
      <c r="J428" s="72">
        <f>IF(ISNUMBER(AllTime1[[#This Row],[All-time rank]]), AllTime1[[#This Row],[All-time rank]] + ROW(AllTime1[[#This Row],[All-time rank]])/100000, 99999 + ROW(AllTime1[[#This Row],[All-time rank]])/100000)</f>
        <v>300.00427999999999</v>
      </c>
      <c r="K428" s="70">
        <f>IF(ISNUMBER(AllTime1[[#This Row],[All-time score]]), AllTime1[[#This Row],[All-time score]] + ROW(AllTime1[[#This Row],[All-time score]])/100000000, 0 + ROW(AllTime1[[#This Row],[All-time score]])/1000000000)</f>
        <v>4.2799999999999997E-6</v>
      </c>
    </row>
    <row r="429" spans="7:11" ht="16.5">
      <c r="G429" s="71" t="str">
        <f>IFERROR(Table5[[#This Row],[Full name]],"")</f>
        <v/>
      </c>
      <c r="H429" s="56">
        <f>_xlfn.RANK.EQ(AllTime1[[#This Row],[All-time score]],AllTime1[All-time score],0)</f>
        <v>300</v>
      </c>
      <c r="I429" s="56">
        <f>_xlfn.XLOOKUP(AllTime1[[#This Row],[Name]],Table16[Name],Table16[Totals],"Error",0,1)</f>
        <v>0</v>
      </c>
      <c r="J429" s="72">
        <f>IF(ISNUMBER(AllTime1[[#This Row],[All-time rank]]), AllTime1[[#This Row],[All-time rank]] + ROW(AllTime1[[#This Row],[All-time rank]])/100000, 99999 + ROW(AllTime1[[#This Row],[All-time rank]])/100000)</f>
        <v>300.00429000000003</v>
      </c>
      <c r="K429" s="70">
        <f>IF(ISNUMBER(AllTime1[[#This Row],[All-time score]]), AllTime1[[#This Row],[All-time score]] + ROW(AllTime1[[#This Row],[All-time score]])/100000000, 0 + ROW(AllTime1[[#This Row],[All-time score]])/1000000000)</f>
        <v>4.2899999999999996E-6</v>
      </c>
    </row>
    <row r="430" spans="7:11" ht="16.5">
      <c r="G430" s="71" t="str">
        <f>IFERROR(Table5[[#This Row],[Full name]],"")</f>
        <v/>
      </c>
      <c r="H430" s="56">
        <f>_xlfn.RANK.EQ(AllTime1[[#This Row],[All-time score]],AllTime1[All-time score],0)</f>
        <v>300</v>
      </c>
      <c r="I430" s="56">
        <f>_xlfn.XLOOKUP(AllTime1[[#This Row],[Name]],Table16[Name],Table16[Totals],"Error",0,1)</f>
        <v>0</v>
      </c>
      <c r="J430" s="72">
        <f>IF(ISNUMBER(AllTime1[[#This Row],[All-time rank]]), AllTime1[[#This Row],[All-time rank]] + ROW(AllTime1[[#This Row],[All-time rank]])/100000, 99999 + ROW(AllTime1[[#This Row],[All-time rank]])/100000)</f>
        <v>300.0043</v>
      </c>
      <c r="K430" s="70">
        <f>IF(ISNUMBER(AllTime1[[#This Row],[All-time score]]), AllTime1[[#This Row],[All-time score]] + ROW(AllTime1[[#This Row],[All-time score]])/100000000, 0 + ROW(AllTime1[[#This Row],[All-time score]])/1000000000)</f>
        <v>4.3000000000000003E-6</v>
      </c>
    </row>
    <row r="431" spans="7:11" ht="16.5">
      <c r="G431" s="71" t="str">
        <f>IFERROR(Table5[[#This Row],[Full name]],"")</f>
        <v/>
      </c>
      <c r="H431" s="56">
        <f>_xlfn.RANK.EQ(AllTime1[[#This Row],[All-time score]],AllTime1[All-time score],0)</f>
        <v>300</v>
      </c>
      <c r="I431" s="56">
        <f>_xlfn.XLOOKUP(AllTime1[[#This Row],[Name]],Table16[Name],Table16[Totals],"Error",0,1)</f>
        <v>0</v>
      </c>
      <c r="J431" s="72">
        <f>IF(ISNUMBER(AllTime1[[#This Row],[All-time rank]]), AllTime1[[#This Row],[All-time rank]] + ROW(AllTime1[[#This Row],[All-time rank]])/100000, 99999 + ROW(AllTime1[[#This Row],[All-time rank]])/100000)</f>
        <v>300.00430999999998</v>
      </c>
      <c r="K431" s="70">
        <f>IF(ISNUMBER(AllTime1[[#This Row],[All-time score]]), AllTime1[[#This Row],[All-time score]] + ROW(AllTime1[[#This Row],[All-time score]])/100000000, 0 + ROW(AllTime1[[#This Row],[All-time score]])/1000000000)</f>
        <v>4.3100000000000002E-6</v>
      </c>
    </row>
    <row r="432" spans="7:11" ht="16.5">
      <c r="G432" s="71" t="str">
        <f>IFERROR(Table5[[#This Row],[Full name]],"")</f>
        <v/>
      </c>
      <c r="H432" s="56">
        <f>_xlfn.RANK.EQ(AllTime1[[#This Row],[All-time score]],AllTime1[All-time score],0)</f>
        <v>300</v>
      </c>
      <c r="I432" s="56">
        <f>_xlfn.XLOOKUP(AllTime1[[#This Row],[Name]],Table16[Name],Table16[Totals],"Error",0,1)</f>
        <v>0</v>
      </c>
      <c r="J432" s="72">
        <f>IF(ISNUMBER(AllTime1[[#This Row],[All-time rank]]), AllTime1[[#This Row],[All-time rank]] + ROW(AllTime1[[#This Row],[All-time rank]])/100000, 99999 + ROW(AllTime1[[#This Row],[All-time rank]])/100000)</f>
        <v>300.00432000000001</v>
      </c>
      <c r="K432" s="70">
        <f>IF(ISNUMBER(AllTime1[[#This Row],[All-time score]]), AllTime1[[#This Row],[All-time score]] + ROW(AllTime1[[#This Row],[All-time score]])/100000000, 0 + ROW(AllTime1[[#This Row],[All-time score]])/1000000000)</f>
        <v>4.3200000000000001E-6</v>
      </c>
    </row>
    <row r="433" spans="7:11" ht="16.5">
      <c r="G433" s="71" t="str">
        <f>IFERROR(Table5[[#This Row],[Full name]],"")</f>
        <v/>
      </c>
      <c r="H433" s="56">
        <f>_xlfn.RANK.EQ(AllTime1[[#This Row],[All-time score]],AllTime1[All-time score],0)</f>
        <v>300</v>
      </c>
      <c r="I433" s="56">
        <f>_xlfn.XLOOKUP(AllTime1[[#This Row],[Name]],Table16[Name],Table16[Totals],"Error",0,1)</f>
        <v>0</v>
      </c>
      <c r="J433" s="72">
        <f>IF(ISNUMBER(AllTime1[[#This Row],[All-time rank]]), AllTime1[[#This Row],[All-time rank]] + ROW(AllTime1[[#This Row],[All-time rank]])/100000, 99999 + ROW(AllTime1[[#This Row],[All-time rank]])/100000)</f>
        <v>300.00432999999998</v>
      </c>
      <c r="K433" s="70">
        <f>IF(ISNUMBER(AllTime1[[#This Row],[All-time score]]), AllTime1[[#This Row],[All-time score]] + ROW(AllTime1[[#This Row],[All-time score]])/100000000, 0 + ROW(AllTime1[[#This Row],[All-time score]])/1000000000)</f>
        <v>4.33E-6</v>
      </c>
    </row>
    <row r="434" spans="7:11" ht="16.5">
      <c r="G434" s="71" t="str">
        <f>IFERROR(Table5[[#This Row],[Full name]],"")</f>
        <v/>
      </c>
      <c r="H434" s="56">
        <f>_xlfn.RANK.EQ(AllTime1[[#This Row],[All-time score]],AllTime1[All-time score],0)</f>
        <v>300</v>
      </c>
      <c r="I434" s="56">
        <f>_xlfn.XLOOKUP(AllTime1[[#This Row],[Name]],Table16[Name],Table16[Totals],"Error",0,1)</f>
        <v>0</v>
      </c>
      <c r="J434" s="72">
        <f>IF(ISNUMBER(AllTime1[[#This Row],[All-time rank]]), AllTime1[[#This Row],[All-time rank]] + ROW(AllTime1[[#This Row],[All-time rank]])/100000, 99999 + ROW(AllTime1[[#This Row],[All-time rank]])/100000)</f>
        <v>300.00434000000001</v>
      </c>
      <c r="K434" s="70">
        <f>IF(ISNUMBER(AllTime1[[#This Row],[All-time score]]), AllTime1[[#This Row],[All-time score]] + ROW(AllTime1[[#This Row],[All-time score]])/100000000, 0 + ROW(AllTime1[[#This Row],[All-time score]])/1000000000)</f>
        <v>4.34E-6</v>
      </c>
    </row>
    <row r="435" spans="7:11" ht="16.5">
      <c r="G435" s="71" t="str">
        <f>IFERROR(Table5[[#This Row],[Full name]],"")</f>
        <v/>
      </c>
      <c r="H435" s="56">
        <f>_xlfn.RANK.EQ(AllTime1[[#This Row],[All-time score]],AllTime1[All-time score],0)</f>
        <v>300</v>
      </c>
      <c r="I435" s="56">
        <f>_xlfn.XLOOKUP(AllTime1[[#This Row],[Name]],Table16[Name],Table16[Totals],"Error",0,1)</f>
        <v>0</v>
      </c>
      <c r="J435" s="72">
        <f>IF(ISNUMBER(AllTime1[[#This Row],[All-time rank]]), AllTime1[[#This Row],[All-time rank]] + ROW(AllTime1[[#This Row],[All-time rank]])/100000, 99999 + ROW(AllTime1[[#This Row],[All-time rank]])/100000)</f>
        <v>300.00434999999999</v>
      </c>
      <c r="K435" s="70">
        <f>IF(ISNUMBER(AllTime1[[#This Row],[All-time score]]), AllTime1[[#This Row],[All-time score]] + ROW(AllTime1[[#This Row],[All-time score]])/100000000, 0 + ROW(AllTime1[[#This Row],[All-time score]])/1000000000)</f>
        <v>4.3499999999999999E-6</v>
      </c>
    </row>
    <row r="436" spans="7:11" ht="16.5">
      <c r="G436" s="71" t="str">
        <f>IFERROR(Table5[[#This Row],[Full name]],"")</f>
        <v/>
      </c>
      <c r="H436" s="56">
        <f>_xlfn.RANK.EQ(AllTime1[[#This Row],[All-time score]],AllTime1[All-time score],0)</f>
        <v>300</v>
      </c>
      <c r="I436" s="56">
        <f>_xlfn.XLOOKUP(AllTime1[[#This Row],[Name]],Table16[Name],Table16[Totals],"Error",0,1)</f>
        <v>0</v>
      </c>
      <c r="J436" s="72">
        <f>IF(ISNUMBER(AllTime1[[#This Row],[All-time rank]]), AllTime1[[#This Row],[All-time rank]] + ROW(AllTime1[[#This Row],[All-time rank]])/100000, 99999 + ROW(AllTime1[[#This Row],[All-time rank]])/100000)</f>
        <v>300.00436000000002</v>
      </c>
      <c r="K436" s="70">
        <f>IF(ISNUMBER(AllTime1[[#This Row],[All-time score]]), AllTime1[[#This Row],[All-time score]] + ROW(AllTime1[[#This Row],[All-time score]])/100000000, 0 + ROW(AllTime1[[#This Row],[All-time score]])/1000000000)</f>
        <v>4.3599999999999998E-6</v>
      </c>
    </row>
    <row r="437" spans="7:11" ht="16.5">
      <c r="G437" s="71" t="str">
        <f>IFERROR(Table5[[#This Row],[Full name]],"")</f>
        <v/>
      </c>
      <c r="H437" s="56">
        <f>_xlfn.RANK.EQ(AllTime1[[#This Row],[All-time score]],AllTime1[All-time score],0)</f>
        <v>300</v>
      </c>
      <c r="I437" s="56">
        <f>_xlfn.XLOOKUP(AllTime1[[#This Row],[Name]],Table16[Name],Table16[Totals],"Error",0,1)</f>
        <v>0</v>
      </c>
      <c r="J437" s="72">
        <f>IF(ISNUMBER(AllTime1[[#This Row],[All-time rank]]), AllTime1[[#This Row],[All-time rank]] + ROW(AllTime1[[#This Row],[All-time rank]])/100000, 99999 + ROW(AllTime1[[#This Row],[All-time rank]])/100000)</f>
        <v>300.00436999999999</v>
      </c>
      <c r="K437" s="70">
        <f>IF(ISNUMBER(AllTime1[[#This Row],[All-time score]]), AllTime1[[#This Row],[All-time score]] + ROW(AllTime1[[#This Row],[All-time score]])/100000000, 0 + ROW(AllTime1[[#This Row],[All-time score]])/1000000000)</f>
        <v>4.3699999999999997E-6</v>
      </c>
    </row>
    <row r="438" spans="7:11" ht="16.5">
      <c r="G438" s="71" t="str">
        <f>IFERROR(Table5[[#This Row],[Full name]],"")</f>
        <v/>
      </c>
      <c r="H438" s="56">
        <f>_xlfn.RANK.EQ(AllTime1[[#This Row],[All-time score]],AllTime1[All-time score],0)</f>
        <v>300</v>
      </c>
      <c r="I438" s="56">
        <f>_xlfn.XLOOKUP(AllTime1[[#This Row],[Name]],Table16[Name],Table16[Totals],"Error",0,1)</f>
        <v>0</v>
      </c>
      <c r="J438" s="72">
        <f>IF(ISNUMBER(AllTime1[[#This Row],[All-time rank]]), AllTime1[[#This Row],[All-time rank]] + ROW(AllTime1[[#This Row],[All-time rank]])/100000, 99999 + ROW(AllTime1[[#This Row],[All-time rank]])/100000)</f>
        <v>300.00438000000003</v>
      </c>
      <c r="K438" s="70">
        <f>IF(ISNUMBER(AllTime1[[#This Row],[All-time score]]), AllTime1[[#This Row],[All-time score]] + ROW(AllTime1[[#This Row],[All-time score]])/100000000, 0 + ROW(AllTime1[[#This Row],[All-time score]])/1000000000)</f>
        <v>4.3800000000000004E-6</v>
      </c>
    </row>
    <row r="439" spans="7:11" ht="16.5">
      <c r="G439" s="71" t="str">
        <f>IFERROR(Table5[[#This Row],[Full name]],"")</f>
        <v/>
      </c>
      <c r="H439" s="56">
        <f>_xlfn.RANK.EQ(AllTime1[[#This Row],[All-time score]],AllTime1[All-time score],0)</f>
        <v>300</v>
      </c>
      <c r="I439" s="56">
        <f>_xlfn.XLOOKUP(AllTime1[[#This Row],[Name]],Table16[Name],Table16[Totals],"Error",0,1)</f>
        <v>0</v>
      </c>
      <c r="J439" s="72">
        <f>IF(ISNUMBER(AllTime1[[#This Row],[All-time rank]]), AllTime1[[#This Row],[All-time rank]] + ROW(AllTime1[[#This Row],[All-time rank]])/100000, 99999 + ROW(AllTime1[[#This Row],[All-time rank]])/100000)</f>
        <v>300.00439</v>
      </c>
      <c r="K439" s="70">
        <f>IF(ISNUMBER(AllTime1[[#This Row],[All-time score]]), AllTime1[[#This Row],[All-time score]] + ROW(AllTime1[[#This Row],[All-time score]])/100000000, 0 + ROW(AllTime1[[#This Row],[All-time score]])/1000000000)</f>
        <v>4.3900000000000003E-6</v>
      </c>
    </row>
    <row r="440" spans="7:11" ht="16.5">
      <c r="G440" s="71" t="str">
        <f>IFERROR(Table5[[#This Row],[Full name]],"")</f>
        <v/>
      </c>
      <c r="H440" s="56">
        <f>_xlfn.RANK.EQ(AllTime1[[#This Row],[All-time score]],AllTime1[All-time score],0)</f>
        <v>300</v>
      </c>
      <c r="I440" s="56">
        <f>_xlfn.XLOOKUP(AllTime1[[#This Row],[Name]],Table16[Name],Table16[Totals],"Error",0,1)</f>
        <v>0</v>
      </c>
      <c r="J440" s="72">
        <f>IF(ISNUMBER(AllTime1[[#This Row],[All-time rank]]), AllTime1[[#This Row],[All-time rank]] + ROW(AllTime1[[#This Row],[All-time rank]])/100000, 99999 + ROW(AllTime1[[#This Row],[All-time rank]])/100000)</f>
        <v>300.00439999999998</v>
      </c>
      <c r="K440" s="70">
        <f>IF(ISNUMBER(AllTime1[[#This Row],[All-time score]]), AllTime1[[#This Row],[All-time score]] + ROW(AllTime1[[#This Row],[All-time score]])/100000000, 0 + ROW(AllTime1[[#This Row],[All-time score]])/1000000000)</f>
        <v>4.4000000000000002E-6</v>
      </c>
    </row>
    <row r="441" spans="7:11" ht="16.5">
      <c r="G441" s="71" t="str">
        <f>IFERROR(Table5[[#This Row],[Full name]],"")</f>
        <v/>
      </c>
      <c r="H441" s="56">
        <f>_xlfn.RANK.EQ(AllTime1[[#This Row],[All-time score]],AllTime1[All-time score],0)</f>
        <v>300</v>
      </c>
      <c r="I441" s="56">
        <f>_xlfn.XLOOKUP(AllTime1[[#This Row],[Name]],Table16[Name],Table16[Totals],"Error",0,1)</f>
        <v>0</v>
      </c>
      <c r="J441" s="72">
        <f>IF(ISNUMBER(AllTime1[[#This Row],[All-time rank]]), AllTime1[[#This Row],[All-time rank]] + ROW(AllTime1[[#This Row],[All-time rank]])/100000, 99999 + ROW(AllTime1[[#This Row],[All-time rank]])/100000)</f>
        <v>300.00441000000001</v>
      </c>
      <c r="K441" s="70">
        <f>IF(ISNUMBER(AllTime1[[#This Row],[All-time score]]), AllTime1[[#This Row],[All-time score]] + ROW(AllTime1[[#This Row],[All-time score]])/100000000, 0 + ROW(AllTime1[[#This Row],[All-time score]])/1000000000)</f>
        <v>4.4100000000000001E-6</v>
      </c>
    </row>
    <row r="442" spans="7:11" ht="16.5">
      <c r="G442" s="71" t="str">
        <f>IFERROR(Table5[[#This Row],[Full name]],"")</f>
        <v/>
      </c>
      <c r="H442" s="56">
        <f>_xlfn.RANK.EQ(AllTime1[[#This Row],[All-time score]],AllTime1[All-time score],0)</f>
        <v>300</v>
      </c>
      <c r="I442" s="56">
        <f>_xlfn.XLOOKUP(AllTime1[[#This Row],[Name]],Table16[Name],Table16[Totals],"Error",0,1)</f>
        <v>0</v>
      </c>
      <c r="J442" s="72">
        <f>IF(ISNUMBER(AllTime1[[#This Row],[All-time rank]]), AllTime1[[#This Row],[All-time rank]] + ROW(AllTime1[[#This Row],[All-time rank]])/100000, 99999 + ROW(AllTime1[[#This Row],[All-time rank]])/100000)</f>
        <v>300.00441999999998</v>
      </c>
      <c r="K442" s="70">
        <f>IF(ISNUMBER(AllTime1[[#This Row],[All-time score]]), AllTime1[[#This Row],[All-time score]] + ROW(AllTime1[[#This Row],[All-time score]])/100000000, 0 + ROW(AllTime1[[#This Row],[All-time score]])/1000000000)</f>
        <v>4.42E-6</v>
      </c>
    </row>
    <row r="443" spans="7:11" ht="16.5">
      <c r="G443" s="71" t="str">
        <f>IFERROR(Table5[[#This Row],[Full name]],"")</f>
        <v/>
      </c>
      <c r="H443" s="56">
        <f>_xlfn.RANK.EQ(AllTime1[[#This Row],[All-time score]],AllTime1[All-time score],0)</f>
        <v>300</v>
      </c>
      <c r="I443" s="56">
        <f>_xlfn.XLOOKUP(AllTime1[[#This Row],[Name]],Table16[Name],Table16[Totals],"Error",0,1)</f>
        <v>0</v>
      </c>
      <c r="J443" s="72">
        <f>IF(ISNUMBER(AllTime1[[#This Row],[All-time rank]]), AllTime1[[#This Row],[All-time rank]] + ROW(AllTime1[[#This Row],[All-time rank]])/100000, 99999 + ROW(AllTime1[[#This Row],[All-time rank]])/100000)</f>
        <v>300.00443000000001</v>
      </c>
      <c r="K443" s="70">
        <f>IF(ISNUMBER(AllTime1[[#This Row],[All-time score]]), AllTime1[[#This Row],[All-time score]] + ROW(AllTime1[[#This Row],[All-time score]])/100000000, 0 + ROW(AllTime1[[#This Row],[All-time score]])/1000000000)</f>
        <v>4.4299999999999999E-6</v>
      </c>
    </row>
    <row r="444" spans="7:11" ht="16.5">
      <c r="G444" s="71" t="str">
        <f>IFERROR(Table5[[#This Row],[Full name]],"")</f>
        <v/>
      </c>
      <c r="H444" s="56">
        <f>_xlfn.RANK.EQ(AllTime1[[#This Row],[All-time score]],AllTime1[All-time score],0)</f>
        <v>300</v>
      </c>
      <c r="I444" s="56">
        <f>_xlfn.XLOOKUP(AllTime1[[#This Row],[Name]],Table16[Name],Table16[Totals],"Error",0,1)</f>
        <v>0</v>
      </c>
      <c r="J444" s="72">
        <f>IF(ISNUMBER(AllTime1[[#This Row],[All-time rank]]), AllTime1[[#This Row],[All-time rank]] + ROW(AllTime1[[#This Row],[All-time rank]])/100000, 99999 + ROW(AllTime1[[#This Row],[All-time rank]])/100000)</f>
        <v>300.00443999999999</v>
      </c>
      <c r="K444" s="70">
        <f>IF(ISNUMBER(AllTime1[[#This Row],[All-time score]]), AllTime1[[#This Row],[All-time score]] + ROW(AllTime1[[#This Row],[All-time score]])/100000000, 0 + ROW(AllTime1[[#This Row],[All-time score]])/1000000000)</f>
        <v>4.4399999999999998E-6</v>
      </c>
    </row>
    <row r="445" spans="7:11" ht="16.5">
      <c r="G445" s="71" t="str">
        <f>IFERROR(Table5[[#This Row],[Full name]],"")</f>
        <v/>
      </c>
      <c r="H445" s="56">
        <f>_xlfn.RANK.EQ(AllTime1[[#This Row],[All-time score]],AllTime1[All-time score],0)</f>
        <v>300</v>
      </c>
      <c r="I445" s="56">
        <f>_xlfn.XLOOKUP(AllTime1[[#This Row],[Name]],Table16[Name],Table16[Totals],"Error",0,1)</f>
        <v>0</v>
      </c>
      <c r="J445" s="72">
        <f>IF(ISNUMBER(AllTime1[[#This Row],[All-time rank]]), AllTime1[[#This Row],[All-time rank]] + ROW(AllTime1[[#This Row],[All-time rank]])/100000, 99999 + ROW(AllTime1[[#This Row],[All-time rank]])/100000)</f>
        <v>300.00445000000002</v>
      </c>
      <c r="K445" s="70">
        <f>IF(ISNUMBER(AllTime1[[#This Row],[All-time score]]), AllTime1[[#This Row],[All-time score]] + ROW(AllTime1[[#This Row],[All-time score]])/100000000, 0 + ROW(AllTime1[[#This Row],[All-time score]])/1000000000)</f>
        <v>4.4499999999999997E-6</v>
      </c>
    </row>
    <row r="446" spans="7:11" ht="16.5">
      <c r="G446" s="71" t="str">
        <f>IFERROR(Table5[[#This Row],[Full name]],"")</f>
        <v/>
      </c>
      <c r="H446" s="56">
        <f>_xlfn.RANK.EQ(AllTime1[[#This Row],[All-time score]],AllTime1[All-time score],0)</f>
        <v>300</v>
      </c>
      <c r="I446" s="56">
        <f>_xlfn.XLOOKUP(AllTime1[[#This Row],[Name]],Table16[Name],Table16[Totals],"Error",0,1)</f>
        <v>0</v>
      </c>
      <c r="J446" s="72">
        <f>IF(ISNUMBER(AllTime1[[#This Row],[All-time rank]]), AllTime1[[#This Row],[All-time rank]] + ROW(AllTime1[[#This Row],[All-time rank]])/100000, 99999 + ROW(AllTime1[[#This Row],[All-time rank]])/100000)</f>
        <v>300.00445999999999</v>
      </c>
      <c r="K446" s="70">
        <f>IF(ISNUMBER(AllTime1[[#This Row],[All-time score]]), AllTime1[[#This Row],[All-time score]] + ROW(AllTime1[[#This Row],[All-time score]])/100000000, 0 + ROW(AllTime1[[#This Row],[All-time score]])/1000000000)</f>
        <v>4.4599999999999996E-6</v>
      </c>
    </row>
    <row r="447" spans="7:11" ht="16.5">
      <c r="G447" s="71" t="str">
        <f>IFERROR(Table5[[#This Row],[Full name]],"")</f>
        <v/>
      </c>
      <c r="H447" s="56">
        <f>_xlfn.RANK.EQ(AllTime1[[#This Row],[All-time score]],AllTime1[All-time score],0)</f>
        <v>300</v>
      </c>
      <c r="I447" s="56">
        <f>_xlfn.XLOOKUP(AllTime1[[#This Row],[Name]],Table16[Name],Table16[Totals],"Error",0,1)</f>
        <v>0</v>
      </c>
      <c r="J447" s="72">
        <f>IF(ISNUMBER(AllTime1[[#This Row],[All-time rank]]), AllTime1[[#This Row],[All-time rank]] + ROW(AllTime1[[#This Row],[All-time rank]])/100000, 99999 + ROW(AllTime1[[#This Row],[All-time rank]])/100000)</f>
        <v>300.00447000000003</v>
      </c>
      <c r="K447" s="70">
        <f>IF(ISNUMBER(AllTime1[[#This Row],[All-time score]]), AllTime1[[#This Row],[All-time score]] + ROW(AllTime1[[#This Row],[All-time score]])/100000000, 0 + ROW(AllTime1[[#This Row],[All-time score]])/1000000000)</f>
        <v>4.4700000000000004E-6</v>
      </c>
    </row>
    <row r="448" spans="7:11" ht="16.5">
      <c r="G448" s="71" t="str">
        <f>IFERROR(Table5[[#This Row],[Full name]],"")</f>
        <v/>
      </c>
      <c r="H448" s="56">
        <f>_xlfn.RANK.EQ(AllTime1[[#This Row],[All-time score]],AllTime1[All-time score],0)</f>
        <v>300</v>
      </c>
      <c r="I448" s="56">
        <f>_xlfn.XLOOKUP(AllTime1[[#This Row],[Name]],Table16[Name],Table16[Totals],"Error",0,1)</f>
        <v>0</v>
      </c>
      <c r="J448" s="72">
        <f>IF(ISNUMBER(AllTime1[[#This Row],[All-time rank]]), AllTime1[[#This Row],[All-time rank]] + ROW(AllTime1[[#This Row],[All-time rank]])/100000, 99999 + ROW(AllTime1[[#This Row],[All-time rank]])/100000)</f>
        <v>300.00448</v>
      </c>
      <c r="K448" s="70">
        <f>IF(ISNUMBER(AllTime1[[#This Row],[All-time score]]), AllTime1[[#This Row],[All-time score]] + ROW(AllTime1[[#This Row],[All-time score]])/100000000, 0 + ROW(AllTime1[[#This Row],[All-time score]])/1000000000)</f>
        <v>4.4800000000000003E-6</v>
      </c>
    </row>
    <row r="449" spans="7:11" ht="16.5">
      <c r="G449" s="71" t="str">
        <f>IFERROR(Table5[[#This Row],[Full name]],"")</f>
        <v/>
      </c>
      <c r="H449" s="56">
        <f>_xlfn.RANK.EQ(AllTime1[[#This Row],[All-time score]],AllTime1[All-time score],0)</f>
        <v>300</v>
      </c>
      <c r="I449" s="56">
        <f>_xlfn.XLOOKUP(AllTime1[[#This Row],[Name]],Table16[Name],Table16[Totals],"Error",0,1)</f>
        <v>0</v>
      </c>
      <c r="J449" s="72">
        <f>IF(ISNUMBER(AllTime1[[#This Row],[All-time rank]]), AllTime1[[#This Row],[All-time rank]] + ROW(AllTime1[[#This Row],[All-time rank]])/100000, 99999 + ROW(AllTime1[[#This Row],[All-time rank]])/100000)</f>
        <v>300.00448999999998</v>
      </c>
      <c r="K449" s="70">
        <f>IF(ISNUMBER(AllTime1[[#This Row],[All-time score]]), AllTime1[[#This Row],[All-time score]] + ROW(AllTime1[[#This Row],[All-time score]])/100000000, 0 + ROW(AllTime1[[#This Row],[All-time score]])/1000000000)</f>
        <v>4.4900000000000002E-6</v>
      </c>
    </row>
    <row r="450" spans="7:11" ht="16.5">
      <c r="G450" s="71" t="str">
        <f>IFERROR(Table5[[#This Row],[Full name]],"")</f>
        <v/>
      </c>
      <c r="H450" s="56">
        <f>_xlfn.RANK.EQ(AllTime1[[#This Row],[All-time score]],AllTime1[All-time score],0)</f>
        <v>300</v>
      </c>
      <c r="I450" s="56">
        <f>_xlfn.XLOOKUP(AllTime1[[#This Row],[Name]],Table16[Name],Table16[Totals],"Error",0,1)</f>
        <v>0</v>
      </c>
      <c r="J450" s="72">
        <f>IF(ISNUMBER(AllTime1[[#This Row],[All-time rank]]), AllTime1[[#This Row],[All-time rank]] + ROW(AllTime1[[#This Row],[All-time rank]])/100000, 99999 + ROW(AllTime1[[#This Row],[All-time rank]])/100000)</f>
        <v>300.00450000000001</v>
      </c>
      <c r="K450" s="70">
        <f>IF(ISNUMBER(AllTime1[[#This Row],[All-time score]]), AllTime1[[#This Row],[All-time score]] + ROW(AllTime1[[#This Row],[All-time score]])/100000000, 0 + ROW(AllTime1[[#This Row],[All-time score]])/1000000000)</f>
        <v>4.5000000000000001E-6</v>
      </c>
    </row>
    <row r="451" spans="7:11" ht="16.5">
      <c r="G451" s="71" t="str">
        <f>IFERROR(Table5[[#This Row],[Full name]],"")</f>
        <v/>
      </c>
      <c r="H451" s="56">
        <f>_xlfn.RANK.EQ(AllTime1[[#This Row],[All-time score]],AllTime1[All-time score],0)</f>
        <v>300</v>
      </c>
      <c r="I451" s="56">
        <f>_xlfn.XLOOKUP(AllTime1[[#This Row],[Name]],Table16[Name],Table16[Totals],"Error",0,1)</f>
        <v>0</v>
      </c>
      <c r="J451" s="72">
        <f>IF(ISNUMBER(AllTime1[[#This Row],[All-time rank]]), AllTime1[[#This Row],[All-time rank]] + ROW(AllTime1[[#This Row],[All-time rank]])/100000, 99999 + ROW(AllTime1[[#This Row],[All-time rank]])/100000)</f>
        <v>300.00450999999998</v>
      </c>
      <c r="K451" s="70">
        <f>IF(ISNUMBER(AllTime1[[#This Row],[All-time score]]), AllTime1[[#This Row],[All-time score]] + ROW(AllTime1[[#This Row],[All-time score]])/100000000, 0 + ROW(AllTime1[[#This Row],[All-time score]])/1000000000)</f>
        <v>4.51E-6</v>
      </c>
    </row>
    <row r="452" spans="7:11" ht="16.5">
      <c r="G452" s="71" t="str">
        <f>IFERROR(Table5[[#This Row],[Full name]],"")</f>
        <v/>
      </c>
      <c r="H452" s="56">
        <f>_xlfn.RANK.EQ(AllTime1[[#This Row],[All-time score]],AllTime1[All-time score],0)</f>
        <v>300</v>
      </c>
      <c r="I452" s="56">
        <f>_xlfn.XLOOKUP(AllTime1[[#This Row],[Name]],Table16[Name],Table16[Totals],"Error",0,1)</f>
        <v>0</v>
      </c>
      <c r="J452" s="72">
        <f>IF(ISNUMBER(AllTime1[[#This Row],[All-time rank]]), AllTime1[[#This Row],[All-time rank]] + ROW(AllTime1[[#This Row],[All-time rank]])/100000, 99999 + ROW(AllTime1[[#This Row],[All-time rank]])/100000)</f>
        <v>300.00452000000001</v>
      </c>
      <c r="K452" s="70">
        <f>IF(ISNUMBER(AllTime1[[#This Row],[All-time score]]), AllTime1[[#This Row],[All-time score]] + ROW(AllTime1[[#This Row],[All-time score]])/100000000, 0 + ROW(AllTime1[[#This Row],[All-time score]])/1000000000)</f>
        <v>4.5199999999999999E-6</v>
      </c>
    </row>
    <row r="453" spans="7:11" ht="16.5">
      <c r="G453" s="71" t="str">
        <f>IFERROR(Table5[[#This Row],[Full name]],"")</f>
        <v/>
      </c>
      <c r="H453" s="56">
        <f>_xlfn.RANK.EQ(AllTime1[[#This Row],[All-time score]],AllTime1[All-time score],0)</f>
        <v>300</v>
      </c>
      <c r="I453" s="56">
        <f>_xlfn.XLOOKUP(AllTime1[[#This Row],[Name]],Table16[Name],Table16[Totals],"Error",0,1)</f>
        <v>0</v>
      </c>
      <c r="J453" s="72">
        <f>IF(ISNUMBER(AllTime1[[#This Row],[All-time rank]]), AllTime1[[#This Row],[All-time rank]] + ROW(AllTime1[[#This Row],[All-time rank]])/100000, 99999 + ROW(AllTime1[[#This Row],[All-time rank]])/100000)</f>
        <v>300.00452999999999</v>
      </c>
      <c r="K453" s="70">
        <f>IF(ISNUMBER(AllTime1[[#This Row],[All-time score]]), AllTime1[[#This Row],[All-time score]] + ROW(AllTime1[[#This Row],[All-time score]])/100000000, 0 + ROW(AllTime1[[#This Row],[All-time score]])/1000000000)</f>
        <v>4.5299999999999998E-6</v>
      </c>
    </row>
    <row r="454" spans="7:11" ht="16.5">
      <c r="G454" s="71" t="str">
        <f>IFERROR(Table5[[#This Row],[Full name]],"")</f>
        <v/>
      </c>
      <c r="H454" s="56">
        <f>_xlfn.RANK.EQ(AllTime1[[#This Row],[All-time score]],AllTime1[All-time score],0)</f>
        <v>300</v>
      </c>
      <c r="I454" s="56">
        <f>_xlfn.XLOOKUP(AllTime1[[#This Row],[Name]],Table16[Name],Table16[Totals],"Error",0,1)</f>
        <v>0</v>
      </c>
      <c r="J454" s="72">
        <f>IF(ISNUMBER(AllTime1[[#This Row],[All-time rank]]), AllTime1[[#This Row],[All-time rank]] + ROW(AllTime1[[#This Row],[All-time rank]])/100000, 99999 + ROW(AllTime1[[#This Row],[All-time rank]])/100000)</f>
        <v>300.00454000000002</v>
      </c>
      <c r="K454" s="70">
        <f>IF(ISNUMBER(AllTime1[[#This Row],[All-time score]]), AllTime1[[#This Row],[All-time score]] + ROW(AllTime1[[#This Row],[All-time score]])/100000000, 0 + ROW(AllTime1[[#This Row],[All-time score]])/1000000000)</f>
        <v>4.5399999999999997E-6</v>
      </c>
    </row>
    <row r="455" spans="7:11" ht="16.5">
      <c r="G455" s="71" t="str">
        <f>IFERROR(Table5[[#This Row],[Full name]],"")</f>
        <v/>
      </c>
      <c r="H455" s="56">
        <f>_xlfn.RANK.EQ(AllTime1[[#This Row],[All-time score]],AllTime1[All-time score],0)</f>
        <v>300</v>
      </c>
      <c r="I455" s="56">
        <f>_xlfn.XLOOKUP(AllTime1[[#This Row],[Name]],Table16[Name],Table16[Totals],"Error",0,1)</f>
        <v>0</v>
      </c>
      <c r="J455" s="72">
        <f>IF(ISNUMBER(AllTime1[[#This Row],[All-time rank]]), AllTime1[[#This Row],[All-time rank]] + ROW(AllTime1[[#This Row],[All-time rank]])/100000, 99999 + ROW(AllTime1[[#This Row],[All-time rank]])/100000)</f>
        <v>300.00454999999999</v>
      </c>
      <c r="K455" s="70">
        <f>IF(ISNUMBER(AllTime1[[#This Row],[All-time score]]), AllTime1[[#This Row],[All-time score]] + ROW(AllTime1[[#This Row],[All-time score]])/100000000, 0 + ROW(AllTime1[[#This Row],[All-time score]])/1000000000)</f>
        <v>4.5499999999999996E-6</v>
      </c>
    </row>
    <row r="456" spans="7:11" ht="16.5">
      <c r="G456" s="71" t="str">
        <f>IFERROR(Table5[[#This Row],[Full name]],"")</f>
        <v/>
      </c>
      <c r="H456" s="56">
        <f>_xlfn.RANK.EQ(AllTime1[[#This Row],[All-time score]],AllTime1[All-time score],0)</f>
        <v>300</v>
      </c>
      <c r="I456" s="56">
        <f>_xlfn.XLOOKUP(AllTime1[[#This Row],[Name]],Table16[Name],Table16[Totals],"Error",0,1)</f>
        <v>0</v>
      </c>
      <c r="J456" s="72">
        <f>IF(ISNUMBER(AllTime1[[#This Row],[All-time rank]]), AllTime1[[#This Row],[All-time rank]] + ROW(AllTime1[[#This Row],[All-time rank]])/100000, 99999 + ROW(AllTime1[[#This Row],[All-time rank]])/100000)</f>
        <v>300.00456000000003</v>
      </c>
      <c r="K456" s="70">
        <f>IF(ISNUMBER(AllTime1[[#This Row],[All-time score]]), AllTime1[[#This Row],[All-time score]] + ROW(AllTime1[[#This Row],[All-time score]])/100000000, 0 + ROW(AllTime1[[#This Row],[All-time score]])/1000000000)</f>
        <v>4.5600000000000004E-6</v>
      </c>
    </row>
    <row r="457" spans="7:11" ht="16.5">
      <c r="G457" s="71" t="str">
        <f>IFERROR(Table5[[#This Row],[Full name]],"")</f>
        <v/>
      </c>
      <c r="H457" s="56">
        <f>_xlfn.RANK.EQ(AllTime1[[#This Row],[All-time score]],AllTime1[All-time score],0)</f>
        <v>300</v>
      </c>
      <c r="I457" s="56">
        <f>_xlfn.XLOOKUP(AllTime1[[#This Row],[Name]],Table16[Name],Table16[Totals],"Error",0,1)</f>
        <v>0</v>
      </c>
      <c r="J457" s="72">
        <f>IF(ISNUMBER(AllTime1[[#This Row],[All-time rank]]), AllTime1[[#This Row],[All-time rank]] + ROW(AllTime1[[#This Row],[All-time rank]])/100000, 99999 + ROW(AllTime1[[#This Row],[All-time rank]])/100000)</f>
        <v>300.00457</v>
      </c>
      <c r="K457" s="70">
        <f>IF(ISNUMBER(AllTime1[[#This Row],[All-time score]]), AllTime1[[#This Row],[All-time score]] + ROW(AllTime1[[#This Row],[All-time score]])/100000000, 0 + ROW(AllTime1[[#This Row],[All-time score]])/1000000000)</f>
        <v>4.5700000000000003E-6</v>
      </c>
    </row>
    <row r="458" spans="7:11" ht="16.5">
      <c r="G458" s="71" t="str">
        <f>IFERROR(Table5[[#This Row],[Full name]],"")</f>
        <v/>
      </c>
      <c r="H458" s="56">
        <f>_xlfn.RANK.EQ(AllTime1[[#This Row],[All-time score]],AllTime1[All-time score],0)</f>
        <v>300</v>
      </c>
      <c r="I458" s="56">
        <f>_xlfn.XLOOKUP(AllTime1[[#This Row],[Name]],Table16[Name],Table16[Totals],"Error",0,1)</f>
        <v>0</v>
      </c>
      <c r="J458" s="72">
        <f>IF(ISNUMBER(AllTime1[[#This Row],[All-time rank]]), AllTime1[[#This Row],[All-time rank]] + ROW(AllTime1[[#This Row],[All-time rank]])/100000, 99999 + ROW(AllTime1[[#This Row],[All-time rank]])/100000)</f>
        <v>300.00457999999998</v>
      </c>
      <c r="K458" s="70">
        <f>IF(ISNUMBER(AllTime1[[#This Row],[All-time score]]), AllTime1[[#This Row],[All-time score]] + ROW(AllTime1[[#This Row],[All-time score]])/100000000, 0 + ROW(AllTime1[[#This Row],[All-time score]])/1000000000)</f>
        <v>4.5800000000000002E-6</v>
      </c>
    </row>
    <row r="459" spans="7:11" ht="16.5">
      <c r="G459" s="71" t="str">
        <f>IFERROR(Table5[[#This Row],[Full name]],"")</f>
        <v/>
      </c>
      <c r="H459" s="56">
        <f>_xlfn.RANK.EQ(AllTime1[[#This Row],[All-time score]],AllTime1[All-time score],0)</f>
        <v>300</v>
      </c>
      <c r="I459" s="56">
        <f>_xlfn.XLOOKUP(AllTime1[[#This Row],[Name]],Table16[Name],Table16[Totals],"Error",0,1)</f>
        <v>0</v>
      </c>
      <c r="J459" s="72">
        <f>IF(ISNUMBER(AllTime1[[#This Row],[All-time rank]]), AllTime1[[#This Row],[All-time rank]] + ROW(AllTime1[[#This Row],[All-time rank]])/100000, 99999 + ROW(AllTime1[[#This Row],[All-time rank]])/100000)</f>
        <v>300.00459000000001</v>
      </c>
      <c r="K459" s="70">
        <f>IF(ISNUMBER(AllTime1[[#This Row],[All-time score]]), AllTime1[[#This Row],[All-time score]] + ROW(AllTime1[[#This Row],[All-time score]])/100000000, 0 + ROW(AllTime1[[#This Row],[All-time score]])/1000000000)</f>
        <v>4.5900000000000001E-6</v>
      </c>
    </row>
    <row r="460" spans="7:11" ht="16.5">
      <c r="G460" s="71" t="str">
        <f>IFERROR(Table5[[#This Row],[Full name]],"")</f>
        <v/>
      </c>
      <c r="H460" s="56">
        <f>_xlfn.RANK.EQ(AllTime1[[#This Row],[All-time score]],AllTime1[All-time score],0)</f>
        <v>300</v>
      </c>
      <c r="I460" s="56">
        <f>_xlfn.XLOOKUP(AllTime1[[#This Row],[Name]],Table16[Name],Table16[Totals],"Error",0,1)</f>
        <v>0</v>
      </c>
      <c r="J460" s="72">
        <f>IF(ISNUMBER(AllTime1[[#This Row],[All-time rank]]), AllTime1[[#This Row],[All-time rank]] + ROW(AllTime1[[#This Row],[All-time rank]])/100000, 99999 + ROW(AllTime1[[#This Row],[All-time rank]])/100000)</f>
        <v>300.00459999999998</v>
      </c>
      <c r="K460" s="70">
        <f>IF(ISNUMBER(AllTime1[[#This Row],[All-time score]]), AllTime1[[#This Row],[All-time score]] + ROW(AllTime1[[#This Row],[All-time score]])/100000000, 0 + ROW(AllTime1[[#This Row],[All-time score]])/1000000000)</f>
        <v>4.6E-6</v>
      </c>
    </row>
    <row r="461" spans="7:11" ht="16.5">
      <c r="G461" s="71" t="str">
        <f>IFERROR(Table5[[#This Row],[Full name]],"")</f>
        <v/>
      </c>
      <c r="H461" s="56">
        <f>_xlfn.RANK.EQ(AllTime1[[#This Row],[All-time score]],AllTime1[All-time score],0)</f>
        <v>300</v>
      </c>
      <c r="I461" s="56">
        <f>_xlfn.XLOOKUP(AllTime1[[#This Row],[Name]],Table16[Name],Table16[Totals],"Error",0,1)</f>
        <v>0</v>
      </c>
      <c r="J461" s="72">
        <f>IF(ISNUMBER(AllTime1[[#This Row],[All-time rank]]), AllTime1[[#This Row],[All-time rank]] + ROW(AllTime1[[#This Row],[All-time rank]])/100000, 99999 + ROW(AllTime1[[#This Row],[All-time rank]])/100000)</f>
        <v>300.00461000000001</v>
      </c>
      <c r="K461" s="70">
        <f>IF(ISNUMBER(AllTime1[[#This Row],[All-time score]]), AllTime1[[#This Row],[All-time score]] + ROW(AllTime1[[#This Row],[All-time score]])/100000000, 0 + ROW(AllTime1[[#This Row],[All-time score]])/1000000000)</f>
        <v>4.6099999999999999E-6</v>
      </c>
    </row>
    <row r="462" spans="7:11" ht="16.5">
      <c r="G462" s="71" t="str">
        <f>IFERROR(Table5[[#This Row],[Full name]],"")</f>
        <v/>
      </c>
      <c r="H462" s="56">
        <f>_xlfn.RANK.EQ(AllTime1[[#This Row],[All-time score]],AllTime1[All-time score],0)</f>
        <v>300</v>
      </c>
      <c r="I462" s="56">
        <f>_xlfn.XLOOKUP(AllTime1[[#This Row],[Name]],Table16[Name],Table16[Totals],"Error",0,1)</f>
        <v>0</v>
      </c>
      <c r="J462" s="72">
        <f>IF(ISNUMBER(AllTime1[[#This Row],[All-time rank]]), AllTime1[[#This Row],[All-time rank]] + ROW(AllTime1[[#This Row],[All-time rank]])/100000, 99999 + ROW(AllTime1[[#This Row],[All-time rank]])/100000)</f>
        <v>300.00461999999999</v>
      </c>
      <c r="K462" s="70">
        <f>IF(ISNUMBER(AllTime1[[#This Row],[All-time score]]), AllTime1[[#This Row],[All-time score]] + ROW(AllTime1[[#This Row],[All-time score]])/100000000, 0 + ROW(AllTime1[[#This Row],[All-time score]])/1000000000)</f>
        <v>4.6199999999999998E-6</v>
      </c>
    </row>
    <row r="463" spans="7:11" ht="16.5">
      <c r="G463" s="71" t="str">
        <f>IFERROR(Table5[[#This Row],[Full name]],"")</f>
        <v/>
      </c>
      <c r="H463" s="56">
        <f>_xlfn.RANK.EQ(AllTime1[[#This Row],[All-time score]],AllTime1[All-time score],0)</f>
        <v>300</v>
      </c>
      <c r="I463" s="56">
        <f>_xlfn.XLOOKUP(AllTime1[[#This Row],[Name]],Table16[Name],Table16[Totals],"Error",0,1)</f>
        <v>0</v>
      </c>
      <c r="J463" s="72">
        <f>IF(ISNUMBER(AllTime1[[#This Row],[All-time rank]]), AllTime1[[#This Row],[All-time rank]] + ROW(AllTime1[[#This Row],[All-time rank]])/100000, 99999 + ROW(AllTime1[[#This Row],[All-time rank]])/100000)</f>
        <v>300.00463000000002</v>
      </c>
      <c r="K463" s="70">
        <f>IF(ISNUMBER(AllTime1[[#This Row],[All-time score]]), AllTime1[[#This Row],[All-time score]] + ROW(AllTime1[[#This Row],[All-time score]])/100000000, 0 + ROW(AllTime1[[#This Row],[All-time score]])/1000000000)</f>
        <v>4.6299999999999997E-6</v>
      </c>
    </row>
    <row r="464" spans="7:11" ht="16.5">
      <c r="G464" s="71" t="str">
        <f>IFERROR(Table5[[#This Row],[Full name]],"")</f>
        <v/>
      </c>
      <c r="H464" s="56">
        <f>_xlfn.RANK.EQ(AllTime1[[#This Row],[All-time score]],AllTime1[All-time score],0)</f>
        <v>300</v>
      </c>
      <c r="I464" s="56">
        <f>_xlfn.XLOOKUP(AllTime1[[#This Row],[Name]],Table16[Name],Table16[Totals],"Error",0,1)</f>
        <v>0</v>
      </c>
      <c r="J464" s="72">
        <f>IF(ISNUMBER(AllTime1[[#This Row],[All-time rank]]), AllTime1[[#This Row],[All-time rank]] + ROW(AllTime1[[#This Row],[All-time rank]])/100000, 99999 + ROW(AllTime1[[#This Row],[All-time rank]])/100000)</f>
        <v>300.00463999999999</v>
      </c>
      <c r="K464" s="70">
        <f>IF(ISNUMBER(AllTime1[[#This Row],[All-time score]]), AllTime1[[#This Row],[All-time score]] + ROW(AllTime1[[#This Row],[All-time score]])/100000000, 0 + ROW(AllTime1[[#This Row],[All-time score]])/1000000000)</f>
        <v>4.6399999999999996E-6</v>
      </c>
    </row>
    <row r="465" spans="7:11" ht="16.5">
      <c r="G465" s="71" t="str">
        <f>IFERROR(Table5[[#This Row],[Full name]],"")</f>
        <v/>
      </c>
      <c r="H465" s="56">
        <f>_xlfn.RANK.EQ(AllTime1[[#This Row],[All-time score]],AllTime1[All-time score],0)</f>
        <v>300</v>
      </c>
      <c r="I465" s="56">
        <f>_xlfn.XLOOKUP(AllTime1[[#This Row],[Name]],Table16[Name],Table16[Totals],"Error",0,1)</f>
        <v>0</v>
      </c>
      <c r="J465" s="72">
        <f>IF(ISNUMBER(AllTime1[[#This Row],[All-time rank]]), AllTime1[[#This Row],[All-time rank]] + ROW(AllTime1[[#This Row],[All-time rank]])/100000, 99999 + ROW(AllTime1[[#This Row],[All-time rank]])/100000)</f>
        <v>300.00465000000003</v>
      </c>
      <c r="K465" s="70">
        <f>IF(ISNUMBER(AllTime1[[#This Row],[All-time score]]), AllTime1[[#This Row],[All-time score]] + ROW(AllTime1[[#This Row],[All-time score]])/100000000, 0 + ROW(AllTime1[[#This Row],[All-time score]])/1000000000)</f>
        <v>4.6500000000000004E-6</v>
      </c>
    </row>
    <row r="466" spans="7:11" ht="16.5">
      <c r="G466" s="71" t="str">
        <f>IFERROR(Table5[[#This Row],[Full name]],"")</f>
        <v/>
      </c>
      <c r="H466" s="56">
        <f>_xlfn.RANK.EQ(AllTime1[[#This Row],[All-time score]],AllTime1[All-time score],0)</f>
        <v>300</v>
      </c>
      <c r="I466" s="56">
        <f>_xlfn.XLOOKUP(AllTime1[[#This Row],[Name]],Table16[Name],Table16[Totals],"Error",0,1)</f>
        <v>0</v>
      </c>
      <c r="J466" s="72">
        <f>IF(ISNUMBER(AllTime1[[#This Row],[All-time rank]]), AllTime1[[#This Row],[All-time rank]] + ROW(AllTime1[[#This Row],[All-time rank]])/100000, 99999 + ROW(AllTime1[[#This Row],[All-time rank]])/100000)</f>
        <v>300.00466</v>
      </c>
      <c r="K466" s="70">
        <f>IF(ISNUMBER(AllTime1[[#This Row],[All-time score]]), AllTime1[[#This Row],[All-time score]] + ROW(AllTime1[[#This Row],[All-time score]])/100000000, 0 + ROW(AllTime1[[#This Row],[All-time score]])/1000000000)</f>
        <v>4.6600000000000003E-6</v>
      </c>
    </row>
    <row r="467" spans="7:11" ht="16.5">
      <c r="G467" s="71" t="str">
        <f>IFERROR(Table5[[#This Row],[Full name]],"")</f>
        <v/>
      </c>
      <c r="H467" s="56">
        <f>_xlfn.RANK.EQ(AllTime1[[#This Row],[All-time score]],AllTime1[All-time score],0)</f>
        <v>300</v>
      </c>
      <c r="I467" s="56">
        <f>_xlfn.XLOOKUP(AllTime1[[#This Row],[Name]],Table16[Name],Table16[Totals],"Error",0,1)</f>
        <v>0</v>
      </c>
      <c r="J467" s="72">
        <f>IF(ISNUMBER(AllTime1[[#This Row],[All-time rank]]), AllTime1[[#This Row],[All-time rank]] + ROW(AllTime1[[#This Row],[All-time rank]])/100000, 99999 + ROW(AllTime1[[#This Row],[All-time rank]])/100000)</f>
        <v>300.00466999999998</v>
      </c>
      <c r="K467" s="70">
        <f>IF(ISNUMBER(AllTime1[[#This Row],[All-time score]]), AllTime1[[#This Row],[All-time score]] + ROW(AllTime1[[#This Row],[All-time score]])/100000000, 0 + ROW(AllTime1[[#This Row],[All-time score]])/1000000000)</f>
        <v>4.6700000000000002E-6</v>
      </c>
    </row>
    <row r="468" spans="7:11" ht="16.5">
      <c r="G468" s="71" t="str">
        <f>IFERROR(Table5[[#This Row],[Full name]],"")</f>
        <v/>
      </c>
      <c r="H468" s="56">
        <f>_xlfn.RANK.EQ(AllTime1[[#This Row],[All-time score]],AllTime1[All-time score],0)</f>
        <v>300</v>
      </c>
      <c r="I468" s="56">
        <f>_xlfn.XLOOKUP(AllTime1[[#This Row],[Name]],Table16[Name],Table16[Totals],"Error",0,1)</f>
        <v>0</v>
      </c>
      <c r="J468" s="72">
        <f>IF(ISNUMBER(AllTime1[[#This Row],[All-time rank]]), AllTime1[[#This Row],[All-time rank]] + ROW(AllTime1[[#This Row],[All-time rank]])/100000, 99999 + ROW(AllTime1[[#This Row],[All-time rank]])/100000)</f>
        <v>300.00468000000001</v>
      </c>
      <c r="K468" s="70">
        <f>IF(ISNUMBER(AllTime1[[#This Row],[All-time score]]), AllTime1[[#This Row],[All-time score]] + ROW(AllTime1[[#This Row],[All-time score]])/100000000, 0 + ROW(AllTime1[[#This Row],[All-time score]])/1000000000)</f>
        <v>4.6800000000000001E-6</v>
      </c>
    </row>
    <row r="469" spans="7:11" ht="16.5">
      <c r="G469" s="71" t="str">
        <f>IFERROR(Table5[[#This Row],[Full name]],"")</f>
        <v/>
      </c>
      <c r="H469" s="56">
        <f>_xlfn.RANK.EQ(AllTime1[[#This Row],[All-time score]],AllTime1[All-time score],0)</f>
        <v>300</v>
      </c>
      <c r="I469" s="56">
        <f>_xlfn.XLOOKUP(AllTime1[[#This Row],[Name]],Table16[Name],Table16[Totals],"Error",0,1)</f>
        <v>0</v>
      </c>
      <c r="J469" s="72">
        <f>IF(ISNUMBER(AllTime1[[#This Row],[All-time rank]]), AllTime1[[#This Row],[All-time rank]] + ROW(AllTime1[[#This Row],[All-time rank]])/100000, 99999 + ROW(AllTime1[[#This Row],[All-time rank]])/100000)</f>
        <v>300.00468999999998</v>
      </c>
      <c r="K469" s="70">
        <f>IF(ISNUMBER(AllTime1[[#This Row],[All-time score]]), AllTime1[[#This Row],[All-time score]] + ROW(AllTime1[[#This Row],[All-time score]])/100000000, 0 + ROW(AllTime1[[#This Row],[All-time score]])/1000000000)</f>
        <v>4.69E-6</v>
      </c>
    </row>
    <row r="470" spans="7:11" ht="16.5">
      <c r="G470" s="71" t="str">
        <f>IFERROR(Table5[[#This Row],[Full name]],"")</f>
        <v/>
      </c>
      <c r="H470" s="56">
        <f>_xlfn.RANK.EQ(AllTime1[[#This Row],[All-time score]],AllTime1[All-time score],0)</f>
        <v>300</v>
      </c>
      <c r="I470" s="56">
        <f>_xlfn.XLOOKUP(AllTime1[[#This Row],[Name]],Table16[Name],Table16[Totals],"Error",0,1)</f>
        <v>0</v>
      </c>
      <c r="J470" s="72">
        <f>IF(ISNUMBER(AllTime1[[#This Row],[All-time rank]]), AllTime1[[#This Row],[All-time rank]] + ROW(AllTime1[[#This Row],[All-time rank]])/100000, 99999 + ROW(AllTime1[[#This Row],[All-time rank]])/100000)</f>
        <v>300.00470000000001</v>
      </c>
      <c r="K470" s="70">
        <f>IF(ISNUMBER(AllTime1[[#This Row],[All-time score]]), AllTime1[[#This Row],[All-time score]] + ROW(AllTime1[[#This Row],[All-time score]])/100000000, 0 + ROW(AllTime1[[#This Row],[All-time score]])/1000000000)</f>
        <v>4.6999999999999999E-6</v>
      </c>
    </row>
    <row r="471" spans="7:11" ht="16.5">
      <c r="G471" s="71" t="str">
        <f>IFERROR(Table5[[#This Row],[Full name]],"")</f>
        <v/>
      </c>
      <c r="H471" s="56">
        <f>_xlfn.RANK.EQ(AllTime1[[#This Row],[All-time score]],AllTime1[All-time score],0)</f>
        <v>300</v>
      </c>
      <c r="I471" s="56">
        <f>_xlfn.XLOOKUP(AllTime1[[#This Row],[Name]],Table16[Name],Table16[Totals],"Error",0,1)</f>
        <v>0</v>
      </c>
      <c r="J471" s="72">
        <f>IF(ISNUMBER(AllTime1[[#This Row],[All-time rank]]), AllTime1[[#This Row],[All-time rank]] + ROW(AllTime1[[#This Row],[All-time rank]])/100000, 99999 + ROW(AllTime1[[#This Row],[All-time rank]])/100000)</f>
        <v>300.00470999999999</v>
      </c>
      <c r="K471" s="70">
        <f>IF(ISNUMBER(AllTime1[[#This Row],[All-time score]]), AllTime1[[#This Row],[All-time score]] + ROW(AllTime1[[#This Row],[All-time score]])/100000000, 0 + ROW(AllTime1[[#This Row],[All-time score]])/1000000000)</f>
        <v>4.7099999999999998E-6</v>
      </c>
    </row>
    <row r="472" spans="7:11" ht="16.5">
      <c r="G472" s="71" t="str">
        <f>IFERROR(Table5[[#This Row],[Full name]],"")</f>
        <v/>
      </c>
      <c r="H472" s="56">
        <f>_xlfn.RANK.EQ(AllTime1[[#This Row],[All-time score]],AllTime1[All-time score],0)</f>
        <v>300</v>
      </c>
      <c r="I472" s="56">
        <f>_xlfn.XLOOKUP(AllTime1[[#This Row],[Name]],Table16[Name],Table16[Totals],"Error",0,1)</f>
        <v>0</v>
      </c>
      <c r="J472" s="72">
        <f>IF(ISNUMBER(AllTime1[[#This Row],[All-time rank]]), AllTime1[[#This Row],[All-time rank]] + ROW(AllTime1[[#This Row],[All-time rank]])/100000, 99999 + ROW(AllTime1[[#This Row],[All-time rank]])/100000)</f>
        <v>300.00472000000002</v>
      </c>
      <c r="K472" s="70">
        <f>IF(ISNUMBER(AllTime1[[#This Row],[All-time score]]), AllTime1[[#This Row],[All-time score]] + ROW(AllTime1[[#This Row],[All-time score]])/100000000, 0 + ROW(AllTime1[[#This Row],[All-time score]])/1000000000)</f>
        <v>4.7199999999999997E-6</v>
      </c>
    </row>
    <row r="473" spans="7:11" ht="16.5">
      <c r="G473" s="71" t="str">
        <f>IFERROR(Table5[[#This Row],[Full name]],"")</f>
        <v/>
      </c>
      <c r="H473" s="56">
        <f>_xlfn.RANK.EQ(AllTime1[[#This Row],[All-time score]],AllTime1[All-time score],0)</f>
        <v>300</v>
      </c>
      <c r="I473" s="56">
        <f>_xlfn.XLOOKUP(AllTime1[[#This Row],[Name]],Table16[Name],Table16[Totals],"Error",0,1)</f>
        <v>0</v>
      </c>
      <c r="J473" s="72">
        <f>IF(ISNUMBER(AllTime1[[#This Row],[All-time rank]]), AllTime1[[#This Row],[All-time rank]] + ROW(AllTime1[[#This Row],[All-time rank]])/100000, 99999 + ROW(AllTime1[[#This Row],[All-time rank]])/100000)</f>
        <v>300.00473</v>
      </c>
      <c r="K473" s="70">
        <f>IF(ISNUMBER(AllTime1[[#This Row],[All-time score]]), AllTime1[[#This Row],[All-time score]] + ROW(AllTime1[[#This Row],[All-time score]])/100000000, 0 + ROW(AllTime1[[#This Row],[All-time score]])/1000000000)</f>
        <v>4.7299999999999996E-6</v>
      </c>
    </row>
    <row r="474" spans="7:11" ht="16.5">
      <c r="G474" s="71" t="str">
        <f>IFERROR(Table5[[#This Row],[Full name]],"")</f>
        <v/>
      </c>
      <c r="H474" s="56">
        <f>_xlfn.RANK.EQ(AllTime1[[#This Row],[All-time score]],AllTime1[All-time score],0)</f>
        <v>300</v>
      </c>
      <c r="I474" s="56">
        <f>_xlfn.XLOOKUP(AllTime1[[#This Row],[Name]],Table16[Name],Table16[Totals],"Error",0,1)</f>
        <v>0</v>
      </c>
      <c r="J474" s="72">
        <f>IF(ISNUMBER(AllTime1[[#This Row],[All-time rank]]), AllTime1[[#This Row],[All-time rank]] + ROW(AllTime1[[#This Row],[All-time rank]])/100000, 99999 + ROW(AllTime1[[#This Row],[All-time rank]])/100000)</f>
        <v>300.00474000000003</v>
      </c>
      <c r="K474" s="70">
        <f>IF(ISNUMBER(AllTime1[[#This Row],[All-time score]]), AllTime1[[#This Row],[All-time score]] + ROW(AllTime1[[#This Row],[All-time score]])/100000000, 0 + ROW(AllTime1[[#This Row],[All-time score]])/1000000000)</f>
        <v>4.7400000000000004E-6</v>
      </c>
    </row>
    <row r="475" spans="7:11" ht="16.5">
      <c r="G475" s="71" t="str">
        <f>IFERROR(Table5[[#This Row],[Full name]],"")</f>
        <v/>
      </c>
      <c r="H475" s="56">
        <f>_xlfn.RANK.EQ(AllTime1[[#This Row],[All-time score]],AllTime1[All-time score],0)</f>
        <v>300</v>
      </c>
      <c r="I475" s="56">
        <f>_xlfn.XLOOKUP(AllTime1[[#This Row],[Name]],Table16[Name],Table16[Totals],"Error",0,1)</f>
        <v>0</v>
      </c>
      <c r="J475" s="72">
        <f>IF(ISNUMBER(AllTime1[[#This Row],[All-time rank]]), AllTime1[[#This Row],[All-time rank]] + ROW(AllTime1[[#This Row],[All-time rank]])/100000, 99999 + ROW(AllTime1[[#This Row],[All-time rank]])/100000)</f>
        <v>300.00475</v>
      </c>
      <c r="K475" s="70">
        <f>IF(ISNUMBER(AllTime1[[#This Row],[All-time score]]), AllTime1[[#This Row],[All-time score]] + ROW(AllTime1[[#This Row],[All-time score]])/100000000, 0 + ROW(AllTime1[[#This Row],[All-time score]])/1000000000)</f>
        <v>4.7500000000000003E-6</v>
      </c>
    </row>
    <row r="476" spans="7:11" ht="16.5">
      <c r="G476" s="71" t="str">
        <f>IFERROR(Table5[[#This Row],[Full name]],"")</f>
        <v/>
      </c>
      <c r="H476" s="56">
        <f>_xlfn.RANK.EQ(AllTime1[[#This Row],[All-time score]],AllTime1[All-time score],0)</f>
        <v>300</v>
      </c>
      <c r="I476" s="56">
        <f>_xlfn.XLOOKUP(AllTime1[[#This Row],[Name]],Table16[Name],Table16[Totals],"Error",0,1)</f>
        <v>0</v>
      </c>
      <c r="J476" s="72">
        <f>IF(ISNUMBER(AllTime1[[#This Row],[All-time rank]]), AllTime1[[#This Row],[All-time rank]] + ROW(AllTime1[[#This Row],[All-time rank]])/100000, 99999 + ROW(AllTime1[[#This Row],[All-time rank]])/100000)</f>
        <v>300.00475999999998</v>
      </c>
      <c r="K476" s="70">
        <f>IF(ISNUMBER(AllTime1[[#This Row],[All-time score]]), AllTime1[[#This Row],[All-time score]] + ROW(AllTime1[[#This Row],[All-time score]])/100000000, 0 + ROW(AllTime1[[#This Row],[All-time score]])/1000000000)</f>
        <v>4.7600000000000002E-6</v>
      </c>
    </row>
    <row r="477" spans="7:11" ht="16.5">
      <c r="G477" s="71" t="str">
        <f>IFERROR(Table5[[#This Row],[Full name]],"")</f>
        <v/>
      </c>
      <c r="H477" s="56">
        <f>_xlfn.RANK.EQ(AllTime1[[#This Row],[All-time score]],AllTime1[All-time score],0)</f>
        <v>300</v>
      </c>
      <c r="I477" s="56">
        <f>_xlfn.XLOOKUP(AllTime1[[#This Row],[Name]],Table16[Name],Table16[Totals],"Error",0,1)</f>
        <v>0</v>
      </c>
      <c r="J477" s="72">
        <f>IF(ISNUMBER(AllTime1[[#This Row],[All-time rank]]), AllTime1[[#This Row],[All-time rank]] + ROW(AllTime1[[#This Row],[All-time rank]])/100000, 99999 + ROW(AllTime1[[#This Row],[All-time rank]])/100000)</f>
        <v>300.00477000000001</v>
      </c>
      <c r="K477" s="70">
        <f>IF(ISNUMBER(AllTime1[[#This Row],[All-time score]]), AllTime1[[#This Row],[All-time score]] + ROW(AllTime1[[#This Row],[All-time score]])/100000000, 0 + ROW(AllTime1[[#This Row],[All-time score]])/1000000000)</f>
        <v>4.7700000000000001E-6</v>
      </c>
    </row>
    <row r="478" spans="7:11" ht="16.5">
      <c r="G478" s="71" t="str">
        <f>IFERROR(Table5[[#This Row],[Full name]],"")</f>
        <v/>
      </c>
      <c r="H478" s="56">
        <f>_xlfn.RANK.EQ(AllTime1[[#This Row],[All-time score]],AllTime1[All-time score],0)</f>
        <v>300</v>
      </c>
      <c r="I478" s="56">
        <f>_xlfn.XLOOKUP(AllTime1[[#This Row],[Name]],Table16[Name],Table16[Totals],"Error",0,1)</f>
        <v>0</v>
      </c>
      <c r="J478" s="72">
        <f>IF(ISNUMBER(AllTime1[[#This Row],[All-time rank]]), AllTime1[[#This Row],[All-time rank]] + ROW(AllTime1[[#This Row],[All-time rank]])/100000, 99999 + ROW(AllTime1[[#This Row],[All-time rank]])/100000)</f>
        <v>300.00477999999998</v>
      </c>
      <c r="K478" s="70">
        <f>IF(ISNUMBER(AllTime1[[#This Row],[All-time score]]), AllTime1[[#This Row],[All-time score]] + ROW(AllTime1[[#This Row],[All-time score]])/100000000, 0 + ROW(AllTime1[[#This Row],[All-time score]])/1000000000)</f>
        <v>4.78E-6</v>
      </c>
    </row>
    <row r="479" spans="7:11" ht="16.5">
      <c r="G479" s="71" t="str">
        <f>IFERROR(Table5[[#This Row],[Full name]],"")</f>
        <v/>
      </c>
      <c r="H479" s="56">
        <f>_xlfn.RANK.EQ(AllTime1[[#This Row],[All-time score]],AllTime1[All-time score],0)</f>
        <v>300</v>
      </c>
      <c r="I479" s="56">
        <f>_xlfn.XLOOKUP(AllTime1[[#This Row],[Name]],Table16[Name],Table16[Totals],"Error",0,1)</f>
        <v>0</v>
      </c>
      <c r="J479" s="72">
        <f>IF(ISNUMBER(AllTime1[[#This Row],[All-time rank]]), AllTime1[[#This Row],[All-time rank]] + ROW(AllTime1[[#This Row],[All-time rank]])/100000, 99999 + ROW(AllTime1[[#This Row],[All-time rank]])/100000)</f>
        <v>300.00479000000001</v>
      </c>
      <c r="K479" s="70">
        <f>IF(ISNUMBER(AllTime1[[#This Row],[All-time score]]), AllTime1[[#This Row],[All-time score]] + ROW(AllTime1[[#This Row],[All-time score]])/100000000, 0 + ROW(AllTime1[[#This Row],[All-time score]])/1000000000)</f>
        <v>4.7899999999999999E-6</v>
      </c>
    </row>
    <row r="480" spans="7:11" ht="16.5">
      <c r="G480" s="71" t="str">
        <f>IFERROR(Table5[[#This Row],[Full name]],"")</f>
        <v/>
      </c>
      <c r="H480" s="56">
        <f>_xlfn.RANK.EQ(AllTime1[[#This Row],[All-time score]],AllTime1[All-time score],0)</f>
        <v>300</v>
      </c>
      <c r="I480" s="56">
        <f>_xlfn.XLOOKUP(AllTime1[[#This Row],[Name]],Table16[Name],Table16[Totals],"Error",0,1)</f>
        <v>0</v>
      </c>
      <c r="J480" s="72">
        <f>IF(ISNUMBER(AllTime1[[#This Row],[All-time rank]]), AllTime1[[#This Row],[All-time rank]] + ROW(AllTime1[[#This Row],[All-time rank]])/100000, 99999 + ROW(AllTime1[[#This Row],[All-time rank]])/100000)</f>
        <v>300.00479999999999</v>
      </c>
      <c r="K480" s="70">
        <f>IF(ISNUMBER(AllTime1[[#This Row],[All-time score]]), AllTime1[[#This Row],[All-time score]] + ROW(AllTime1[[#This Row],[All-time score]])/100000000, 0 + ROW(AllTime1[[#This Row],[All-time score]])/1000000000)</f>
        <v>4.7999999999999998E-6</v>
      </c>
    </row>
    <row r="481" spans="7:11" ht="16.5">
      <c r="G481" s="71" t="str">
        <f>IFERROR(Table5[[#This Row],[Full name]],"")</f>
        <v/>
      </c>
      <c r="H481" s="56">
        <f>_xlfn.RANK.EQ(AllTime1[[#This Row],[All-time score]],AllTime1[All-time score],0)</f>
        <v>300</v>
      </c>
      <c r="I481" s="56">
        <f>_xlfn.XLOOKUP(AllTime1[[#This Row],[Name]],Table16[Name],Table16[Totals],"Error",0,1)</f>
        <v>0</v>
      </c>
      <c r="J481" s="72">
        <f>IF(ISNUMBER(AllTime1[[#This Row],[All-time rank]]), AllTime1[[#This Row],[All-time rank]] + ROW(AllTime1[[#This Row],[All-time rank]])/100000, 99999 + ROW(AllTime1[[#This Row],[All-time rank]])/100000)</f>
        <v>300.00481000000002</v>
      </c>
      <c r="K481" s="70">
        <f>IF(ISNUMBER(AllTime1[[#This Row],[All-time score]]), AllTime1[[#This Row],[All-time score]] + ROW(AllTime1[[#This Row],[All-time score]])/100000000, 0 + ROW(AllTime1[[#This Row],[All-time score]])/1000000000)</f>
        <v>4.8099999999999997E-6</v>
      </c>
    </row>
    <row r="482" spans="7:11" ht="16.5">
      <c r="G482" s="71" t="str">
        <f>IFERROR(Table5[[#This Row],[Full name]],"")</f>
        <v/>
      </c>
      <c r="H482" s="56">
        <f>_xlfn.RANK.EQ(AllTime1[[#This Row],[All-time score]],AllTime1[All-time score],0)</f>
        <v>300</v>
      </c>
      <c r="I482" s="56">
        <f>_xlfn.XLOOKUP(AllTime1[[#This Row],[Name]],Table16[Name],Table16[Totals],"Error",0,1)</f>
        <v>0</v>
      </c>
      <c r="J482" s="72">
        <f>IF(ISNUMBER(AllTime1[[#This Row],[All-time rank]]), AllTime1[[#This Row],[All-time rank]] + ROW(AllTime1[[#This Row],[All-time rank]])/100000, 99999 + ROW(AllTime1[[#This Row],[All-time rank]])/100000)</f>
        <v>300.00482</v>
      </c>
      <c r="K482" s="70">
        <f>IF(ISNUMBER(AllTime1[[#This Row],[All-time score]]), AllTime1[[#This Row],[All-time score]] + ROW(AllTime1[[#This Row],[All-time score]])/100000000, 0 + ROW(AllTime1[[#This Row],[All-time score]])/1000000000)</f>
        <v>4.8199999999999996E-6</v>
      </c>
    </row>
    <row r="483" spans="7:11" ht="16.5">
      <c r="G483" s="71" t="str">
        <f>IFERROR(Table5[[#This Row],[Full name]],"")</f>
        <v/>
      </c>
      <c r="H483" s="56">
        <f>_xlfn.RANK.EQ(AllTime1[[#This Row],[All-time score]],AllTime1[All-time score],0)</f>
        <v>300</v>
      </c>
      <c r="I483" s="56">
        <f>_xlfn.XLOOKUP(AllTime1[[#This Row],[Name]],Table16[Name],Table16[Totals],"Error",0,1)</f>
        <v>0</v>
      </c>
      <c r="J483" s="72">
        <f>IF(ISNUMBER(AllTime1[[#This Row],[All-time rank]]), AllTime1[[#This Row],[All-time rank]] + ROW(AllTime1[[#This Row],[All-time rank]])/100000, 99999 + ROW(AllTime1[[#This Row],[All-time rank]])/100000)</f>
        <v>300.00483000000003</v>
      </c>
      <c r="K483" s="70">
        <f>IF(ISNUMBER(AllTime1[[#This Row],[All-time score]]), AllTime1[[#This Row],[All-time score]] + ROW(AllTime1[[#This Row],[All-time score]])/100000000, 0 + ROW(AllTime1[[#This Row],[All-time score]])/1000000000)</f>
        <v>4.8300000000000003E-6</v>
      </c>
    </row>
    <row r="484" spans="7:11" ht="16.5">
      <c r="G484" s="71" t="str">
        <f>IFERROR(Table5[[#This Row],[Full name]],"")</f>
        <v/>
      </c>
      <c r="H484" s="56">
        <f>_xlfn.RANK.EQ(AllTime1[[#This Row],[All-time score]],AllTime1[All-time score],0)</f>
        <v>300</v>
      </c>
      <c r="I484" s="56">
        <f>_xlfn.XLOOKUP(AllTime1[[#This Row],[Name]],Table16[Name],Table16[Totals],"Error",0,1)</f>
        <v>0</v>
      </c>
      <c r="J484" s="72">
        <f>IF(ISNUMBER(AllTime1[[#This Row],[All-time rank]]), AllTime1[[#This Row],[All-time rank]] + ROW(AllTime1[[#This Row],[All-time rank]])/100000, 99999 + ROW(AllTime1[[#This Row],[All-time rank]])/100000)</f>
        <v>300.00484</v>
      </c>
      <c r="K484" s="70">
        <f>IF(ISNUMBER(AllTime1[[#This Row],[All-time score]]), AllTime1[[#This Row],[All-time score]] + ROW(AllTime1[[#This Row],[All-time score]])/100000000, 0 + ROW(AllTime1[[#This Row],[All-time score]])/1000000000)</f>
        <v>4.8400000000000002E-6</v>
      </c>
    </row>
    <row r="485" spans="7:11" ht="16.5">
      <c r="G485" s="71" t="str">
        <f>IFERROR(Table5[[#This Row],[Full name]],"")</f>
        <v/>
      </c>
      <c r="H485" s="56">
        <f>_xlfn.RANK.EQ(AllTime1[[#This Row],[All-time score]],AllTime1[All-time score],0)</f>
        <v>300</v>
      </c>
      <c r="I485" s="56">
        <f>_xlfn.XLOOKUP(AllTime1[[#This Row],[Name]],Table16[Name],Table16[Totals],"Error",0,1)</f>
        <v>0</v>
      </c>
      <c r="J485" s="72">
        <f>IF(ISNUMBER(AllTime1[[#This Row],[All-time rank]]), AllTime1[[#This Row],[All-time rank]] + ROW(AllTime1[[#This Row],[All-time rank]])/100000, 99999 + ROW(AllTime1[[#This Row],[All-time rank]])/100000)</f>
        <v>300.00484999999998</v>
      </c>
      <c r="K485" s="70">
        <f>IF(ISNUMBER(AllTime1[[#This Row],[All-time score]]), AllTime1[[#This Row],[All-time score]] + ROW(AllTime1[[#This Row],[All-time score]])/100000000, 0 + ROW(AllTime1[[#This Row],[All-time score]])/1000000000)</f>
        <v>4.8500000000000002E-6</v>
      </c>
    </row>
    <row r="486" spans="7:11" ht="16.5">
      <c r="G486" s="71" t="str">
        <f>IFERROR(Table5[[#This Row],[Full name]],"")</f>
        <v/>
      </c>
      <c r="H486" s="56">
        <f>_xlfn.RANK.EQ(AllTime1[[#This Row],[All-time score]],AllTime1[All-time score],0)</f>
        <v>300</v>
      </c>
      <c r="I486" s="56">
        <f>_xlfn.XLOOKUP(AllTime1[[#This Row],[Name]],Table16[Name],Table16[Totals],"Error",0,1)</f>
        <v>0</v>
      </c>
      <c r="J486" s="72">
        <f>IF(ISNUMBER(AllTime1[[#This Row],[All-time rank]]), AllTime1[[#This Row],[All-time rank]] + ROW(AllTime1[[#This Row],[All-time rank]])/100000, 99999 + ROW(AllTime1[[#This Row],[All-time rank]])/100000)</f>
        <v>300.00486000000001</v>
      </c>
      <c r="K486" s="70">
        <f>IF(ISNUMBER(AllTime1[[#This Row],[All-time score]]), AllTime1[[#This Row],[All-time score]] + ROW(AllTime1[[#This Row],[All-time score]])/100000000, 0 + ROW(AllTime1[[#This Row],[All-time score]])/1000000000)</f>
        <v>4.8600000000000001E-6</v>
      </c>
    </row>
    <row r="487" spans="7:11" ht="16.5">
      <c r="G487" s="71" t="str">
        <f>IFERROR(Table5[[#This Row],[Full name]],"")</f>
        <v/>
      </c>
      <c r="H487" s="56">
        <f>_xlfn.RANK.EQ(AllTime1[[#This Row],[All-time score]],AllTime1[All-time score],0)</f>
        <v>300</v>
      </c>
      <c r="I487" s="56">
        <f>_xlfn.XLOOKUP(AllTime1[[#This Row],[Name]],Table16[Name],Table16[Totals],"Error",0,1)</f>
        <v>0</v>
      </c>
      <c r="J487" s="72">
        <f>IF(ISNUMBER(AllTime1[[#This Row],[All-time rank]]), AllTime1[[#This Row],[All-time rank]] + ROW(AllTime1[[#This Row],[All-time rank]])/100000, 99999 + ROW(AllTime1[[#This Row],[All-time rank]])/100000)</f>
        <v>300.00486999999998</v>
      </c>
      <c r="K487" s="70">
        <f>IF(ISNUMBER(AllTime1[[#This Row],[All-time score]]), AllTime1[[#This Row],[All-time score]] + ROW(AllTime1[[#This Row],[All-time score]])/100000000, 0 + ROW(AllTime1[[#This Row],[All-time score]])/1000000000)</f>
        <v>4.87E-6</v>
      </c>
    </row>
    <row r="488" spans="7:11" ht="16.5">
      <c r="G488" s="71" t="str">
        <f>IFERROR(Table5[[#This Row],[Full name]],"")</f>
        <v/>
      </c>
      <c r="H488" s="56">
        <f>_xlfn.RANK.EQ(AllTime1[[#This Row],[All-time score]],AllTime1[All-time score],0)</f>
        <v>300</v>
      </c>
      <c r="I488" s="56">
        <f>_xlfn.XLOOKUP(AllTime1[[#This Row],[Name]],Table16[Name],Table16[Totals],"Error",0,1)</f>
        <v>0</v>
      </c>
      <c r="J488" s="72">
        <f>IF(ISNUMBER(AllTime1[[#This Row],[All-time rank]]), AllTime1[[#This Row],[All-time rank]] + ROW(AllTime1[[#This Row],[All-time rank]])/100000, 99999 + ROW(AllTime1[[#This Row],[All-time rank]])/100000)</f>
        <v>300.00488000000001</v>
      </c>
      <c r="K488" s="70">
        <f>IF(ISNUMBER(AllTime1[[#This Row],[All-time score]]), AllTime1[[#This Row],[All-time score]] + ROW(AllTime1[[#This Row],[All-time score]])/100000000, 0 + ROW(AllTime1[[#This Row],[All-time score]])/1000000000)</f>
        <v>4.8799999999999999E-6</v>
      </c>
    </row>
    <row r="489" spans="7:11" ht="16.5">
      <c r="G489" s="71" t="str">
        <f>IFERROR(Table5[[#This Row],[Full name]],"")</f>
        <v/>
      </c>
      <c r="H489" s="56">
        <f>_xlfn.RANK.EQ(AllTime1[[#This Row],[All-time score]],AllTime1[All-time score],0)</f>
        <v>300</v>
      </c>
      <c r="I489" s="56">
        <f>_xlfn.XLOOKUP(AllTime1[[#This Row],[Name]],Table16[Name],Table16[Totals],"Error",0,1)</f>
        <v>0</v>
      </c>
      <c r="J489" s="72">
        <f>IF(ISNUMBER(AllTime1[[#This Row],[All-time rank]]), AllTime1[[#This Row],[All-time rank]] + ROW(AllTime1[[#This Row],[All-time rank]])/100000, 99999 + ROW(AllTime1[[#This Row],[All-time rank]])/100000)</f>
        <v>300.00488999999999</v>
      </c>
      <c r="K489" s="70">
        <f>IF(ISNUMBER(AllTime1[[#This Row],[All-time score]]), AllTime1[[#This Row],[All-time score]] + ROW(AllTime1[[#This Row],[All-time score]])/100000000, 0 + ROW(AllTime1[[#This Row],[All-time score]])/1000000000)</f>
        <v>4.8899999999999998E-6</v>
      </c>
    </row>
    <row r="490" spans="7:11" ht="16.5">
      <c r="G490" s="71" t="str">
        <f>IFERROR(Table5[[#This Row],[Full name]],"")</f>
        <v/>
      </c>
      <c r="H490" s="56">
        <f>_xlfn.RANK.EQ(AllTime1[[#This Row],[All-time score]],AllTime1[All-time score],0)</f>
        <v>300</v>
      </c>
      <c r="I490" s="56">
        <f>_xlfn.XLOOKUP(AllTime1[[#This Row],[Name]],Table16[Name],Table16[Totals],"Error",0,1)</f>
        <v>0</v>
      </c>
      <c r="J490" s="72">
        <f>IF(ISNUMBER(AllTime1[[#This Row],[All-time rank]]), AllTime1[[#This Row],[All-time rank]] + ROW(AllTime1[[#This Row],[All-time rank]])/100000, 99999 + ROW(AllTime1[[#This Row],[All-time rank]])/100000)</f>
        <v>300.00490000000002</v>
      </c>
      <c r="K490" s="70">
        <f>IF(ISNUMBER(AllTime1[[#This Row],[All-time score]]), AllTime1[[#This Row],[All-time score]] + ROW(AllTime1[[#This Row],[All-time score]])/100000000, 0 + ROW(AllTime1[[#This Row],[All-time score]])/1000000000)</f>
        <v>4.8999999999999997E-6</v>
      </c>
    </row>
    <row r="491" spans="7:11" ht="16.5">
      <c r="G491" s="71" t="str">
        <f>IFERROR(Table5[[#This Row],[Full name]],"")</f>
        <v/>
      </c>
      <c r="H491" s="56">
        <f>_xlfn.RANK.EQ(AllTime1[[#This Row],[All-time score]],AllTime1[All-time score],0)</f>
        <v>300</v>
      </c>
      <c r="I491" s="56">
        <f>_xlfn.XLOOKUP(AllTime1[[#This Row],[Name]],Table16[Name],Table16[Totals],"Error",0,1)</f>
        <v>0</v>
      </c>
      <c r="J491" s="72">
        <f>IF(ISNUMBER(AllTime1[[#This Row],[All-time rank]]), AllTime1[[#This Row],[All-time rank]] + ROW(AllTime1[[#This Row],[All-time rank]])/100000, 99999 + ROW(AllTime1[[#This Row],[All-time rank]])/100000)</f>
        <v>300.00491</v>
      </c>
      <c r="K491" s="70">
        <f>IF(ISNUMBER(AllTime1[[#This Row],[All-time score]]), AllTime1[[#This Row],[All-time score]] + ROW(AllTime1[[#This Row],[All-time score]])/100000000, 0 + ROW(AllTime1[[#This Row],[All-time score]])/1000000000)</f>
        <v>4.9099999999999996E-6</v>
      </c>
    </row>
    <row r="492" spans="7:11" ht="16.5">
      <c r="G492" s="71" t="str">
        <f>IFERROR(Table5[[#This Row],[Full name]],"")</f>
        <v/>
      </c>
      <c r="H492" s="56">
        <f>_xlfn.RANK.EQ(AllTime1[[#This Row],[All-time score]],AllTime1[All-time score],0)</f>
        <v>300</v>
      </c>
      <c r="I492" s="56">
        <f>_xlfn.XLOOKUP(AllTime1[[#This Row],[Name]],Table16[Name],Table16[Totals],"Error",0,1)</f>
        <v>0</v>
      </c>
      <c r="J492" s="72">
        <f>IF(ISNUMBER(AllTime1[[#This Row],[All-time rank]]), AllTime1[[#This Row],[All-time rank]] + ROW(AllTime1[[#This Row],[All-time rank]])/100000, 99999 + ROW(AllTime1[[#This Row],[All-time rank]])/100000)</f>
        <v>300.00492000000003</v>
      </c>
      <c r="K492" s="70">
        <f>IF(ISNUMBER(AllTime1[[#This Row],[All-time score]]), AllTime1[[#This Row],[All-time score]] + ROW(AllTime1[[#This Row],[All-time score]])/100000000, 0 + ROW(AllTime1[[#This Row],[All-time score]])/1000000000)</f>
        <v>4.9200000000000003E-6</v>
      </c>
    </row>
    <row r="493" spans="7:11" ht="16.5">
      <c r="G493" s="71" t="str">
        <f>IFERROR(Table5[[#This Row],[Full name]],"")</f>
        <v/>
      </c>
      <c r="H493" s="56">
        <f>_xlfn.RANK.EQ(AllTime1[[#This Row],[All-time score]],AllTime1[All-time score],0)</f>
        <v>300</v>
      </c>
      <c r="I493" s="56">
        <f>_xlfn.XLOOKUP(AllTime1[[#This Row],[Name]],Table16[Name],Table16[Totals],"Error",0,1)</f>
        <v>0</v>
      </c>
      <c r="J493" s="72">
        <f>IF(ISNUMBER(AllTime1[[#This Row],[All-time rank]]), AllTime1[[#This Row],[All-time rank]] + ROW(AllTime1[[#This Row],[All-time rank]])/100000, 99999 + ROW(AllTime1[[#This Row],[All-time rank]])/100000)</f>
        <v>300.00493</v>
      </c>
      <c r="K493" s="70">
        <f>IF(ISNUMBER(AllTime1[[#This Row],[All-time score]]), AllTime1[[#This Row],[All-time score]] + ROW(AllTime1[[#This Row],[All-time score]])/100000000, 0 + ROW(AllTime1[[#This Row],[All-time score]])/1000000000)</f>
        <v>4.9300000000000002E-6</v>
      </c>
    </row>
    <row r="494" spans="7:11" ht="16.5">
      <c r="G494" s="71" t="str">
        <f>IFERROR(Table5[[#This Row],[Full name]],"")</f>
        <v/>
      </c>
      <c r="H494" s="56">
        <f>_xlfn.RANK.EQ(AllTime1[[#This Row],[All-time score]],AllTime1[All-time score],0)</f>
        <v>300</v>
      </c>
      <c r="I494" s="56">
        <f>_xlfn.XLOOKUP(AllTime1[[#This Row],[Name]],Table16[Name],Table16[Totals],"Error",0,1)</f>
        <v>0</v>
      </c>
      <c r="J494" s="72">
        <f>IF(ISNUMBER(AllTime1[[#This Row],[All-time rank]]), AllTime1[[#This Row],[All-time rank]] + ROW(AllTime1[[#This Row],[All-time rank]])/100000, 99999 + ROW(AllTime1[[#This Row],[All-time rank]])/100000)</f>
        <v>300.00493999999998</v>
      </c>
      <c r="K494" s="70">
        <f>IF(ISNUMBER(AllTime1[[#This Row],[All-time score]]), AllTime1[[#This Row],[All-time score]] + ROW(AllTime1[[#This Row],[All-time score]])/100000000, 0 + ROW(AllTime1[[#This Row],[All-time score]])/1000000000)</f>
        <v>4.9400000000000001E-6</v>
      </c>
    </row>
    <row r="495" spans="7:11" ht="16.5">
      <c r="G495" s="71" t="str">
        <f>IFERROR(Table5[[#This Row],[Full name]],"")</f>
        <v/>
      </c>
      <c r="H495" s="56">
        <f>_xlfn.RANK.EQ(AllTime1[[#This Row],[All-time score]],AllTime1[All-time score],0)</f>
        <v>300</v>
      </c>
      <c r="I495" s="56">
        <f>_xlfn.XLOOKUP(AllTime1[[#This Row],[Name]],Table16[Name],Table16[Totals],"Error",0,1)</f>
        <v>0</v>
      </c>
      <c r="J495" s="72">
        <f>IF(ISNUMBER(AllTime1[[#This Row],[All-time rank]]), AllTime1[[#This Row],[All-time rank]] + ROW(AllTime1[[#This Row],[All-time rank]])/100000, 99999 + ROW(AllTime1[[#This Row],[All-time rank]])/100000)</f>
        <v>300.00495000000001</v>
      </c>
      <c r="K495" s="70">
        <f>IF(ISNUMBER(AllTime1[[#This Row],[All-time score]]), AllTime1[[#This Row],[All-time score]] + ROW(AllTime1[[#This Row],[All-time score]])/100000000, 0 + ROW(AllTime1[[#This Row],[All-time score]])/1000000000)</f>
        <v>4.95E-6</v>
      </c>
    </row>
    <row r="496" spans="7:11" ht="16.5">
      <c r="G496" s="71" t="str">
        <f>IFERROR(Table5[[#This Row],[Full name]],"")</f>
        <v/>
      </c>
      <c r="H496" s="56">
        <f>_xlfn.RANK.EQ(AllTime1[[#This Row],[All-time score]],AllTime1[All-time score],0)</f>
        <v>300</v>
      </c>
      <c r="I496" s="56">
        <f>_xlfn.XLOOKUP(AllTime1[[#This Row],[Name]],Table16[Name],Table16[Totals],"Error",0,1)</f>
        <v>0</v>
      </c>
      <c r="J496" s="72">
        <f>IF(ISNUMBER(AllTime1[[#This Row],[All-time rank]]), AllTime1[[#This Row],[All-time rank]] + ROW(AllTime1[[#This Row],[All-time rank]])/100000, 99999 + ROW(AllTime1[[#This Row],[All-time rank]])/100000)</f>
        <v>300.00495999999998</v>
      </c>
      <c r="K496" s="70">
        <f>IF(ISNUMBER(AllTime1[[#This Row],[All-time score]]), AllTime1[[#This Row],[All-time score]] + ROW(AllTime1[[#This Row],[All-time score]])/100000000, 0 + ROW(AllTime1[[#This Row],[All-time score]])/1000000000)</f>
        <v>4.9599999999999999E-6</v>
      </c>
    </row>
    <row r="497" spans="7:11" ht="16.5">
      <c r="G497" s="71" t="str">
        <f>IFERROR(Table5[[#This Row],[Full name]],"")</f>
        <v/>
      </c>
      <c r="H497" s="56">
        <f>_xlfn.RANK.EQ(AllTime1[[#This Row],[All-time score]],AllTime1[All-time score],0)</f>
        <v>300</v>
      </c>
      <c r="I497" s="56">
        <f>_xlfn.XLOOKUP(AllTime1[[#This Row],[Name]],Table16[Name],Table16[Totals],"Error",0,1)</f>
        <v>0</v>
      </c>
      <c r="J497" s="72">
        <f>IF(ISNUMBER(AllTime1[[#This Row],[All-time rank]]), AllTime1[[#This Row],[All-time rank]] + ROW(AllTime1[[#This Row],[All-time rank]])/100000, 99999 + ROW(AllTime1[[#This Row],[All-time rank]])/100000)</f>
        <v>300.00497000000001</v>
      </c>
      <c r="K497" s="70">
        <f>IF(ISNUMBER(AllTime1[[#This Row],[All-time score]]), AllTime1[[#This Row],[All-time score]] + ROW(AllTime1[[#This Row],[All-time score]])/100000000, 0 + ROW(AllTime1[[#This Row],[All-time score]])/1000000000)</f>
        <v>4.9699999999999998E-6</v>
      </c>
    </row>
    <row r="498" spans="7:11" ht="16.5">
      <c r="G498" s="71" t="str">
        <f>IFERROR(Table5[[#This Row],[Full name]],"")</f>
        <v/>
      </c>
      <c r="H498" s="56">
        <f>_xlfn.RANK.EQ(AllTime1[[#This Row],[All-time score]],AllTime1[All-time score],0)</f>
        <v>300</v>
      </c>
      <c r="I498" s="56">
        <f>_xlfn.XLOOKUP(AllTime1[[#This Row],[Name]],Table16[Name],Table16[Totals],"Error",0,1)</f>
        <v>0</v>
      </c>
      <c r="J498" s="72">
        <f>IF(ISNUMBER(AllTime1[[#This Row],[All-time rank]]), AllTime1[[#This Row],[All-time rank]] + ROW(AllTime1[[#This Row],[All-time rank]])/100000, 99999 + ROW(AllTime1[[#This Row],[All-time rank]])/100000)</f>
        <v>300.00497999999999</v>
      </c>
      <c r="K498" s="70">
        <f>IF(ISNUMBER(AllTime1[[#This Row],[All-time score]]), AllTime1[[#This Row],[All-time score]] + ROW(AllTime1[[#This Row],[All-time score]])/100000000, 0 + ROW(AllTime1[[#This Row],[All-time score]])/1000000000)</f>
        <v>4.9799999999999998E-6</v>
      </c>
    </row>
    <row r="499" spans="7:11" ht="16.5">
      <c r="G499" s="71" t="str">
        <f>IFERROR(Table5[[#This Row],[Full name]],"")</f>
        <v/>
      </c>
      <c r="H499" s="56">
        <f>_xlfn.RANK.EQ(AllTime1[[#This Row],[All-time score]],AllTime1[All-time score],0)</f>
        <v>300</v>
      </c>
      <c r="I499" s="56">
        <f>_xlfn.XLOOKUP(AllTime1[[#This Row],[Name]],Table16[Name],Table16[Totals],"Error",0,1)</f>
        <v>0</v>
      </c>
      <c r="J499" s="72">
        <f>IF(ISNUMBER(AllTime1[[#This Row],[All-time rank]]), AllTime1[[#This Row],[All-time rank]] + ROW(AllTime1[[#This Row],[All-time rank]])/100000, 99999 + ROW(AllTime1[[#This Row],[All-time rank]])/100000)</f>
        <v>300.00499000000002</v>
      </c>
      <c r="K499" s="70">
        <f>IF(ISNUMBER(AllTime1[[#This Row],[All-time score]]), AllTime1[[#This Row],[All-time score]] + ROW(AllTime1[[#This Row],[All-time score]])/100000000, 0 + ROW(AllTime1[[#This Row],[All-time score]])/1000000000)</f>
        <v>4.9899999999999997E-6</v>
      </c>
    </row>
    <row r="500" spans="7:11" ht="16.5">
      <c r="G500" s="71" t="str">
        <f>IFERROR(Table5[[#This Row],[Full name]],"")</f>
        <v/>
      </c>
      <c r="H500" s="56">
        <f>_xlfn.RANK.EQ(AllTime1[[#This Row],[All-time score]],AllTime1[All-time score],0)</f>
        <v>300</v>
      </c>
      <c r="I500" s="56">
        <f>_xlfn.XLOOKUP(AllTime1[[#This Row],[Name]],Table16[Name],Table16[Totals],"Error",0,1)</f>
        <v>0</v>
      </c>
      <c r="J500" s="72">
        <f>IF(ISNUMBER(AllTime1[[#This Row],[All-time rank]]), AllTime1[[#This Row],[All-time rank]] + ROW(AllTime1[[#This Row],[All-time rank]])/100000, 99999 + ROW(AllTime1[[#This Row],[All-time rank]])/100000)</f>
        <v>300.005</v>
      </c>
      <c r="K500" s="70">
        <f>IF(ISNUMBER(AllTime1[[#This Row],[All-time score]]), AllTime1[[#This Row],[All-time score]] + ROW(AllTime1[[#This Row],[All-time score]])/100000000, 0 + ROW(AllTime1[[#This Row],[All-time score]])/1000000000)</f>
        <v>5.0000000000000004E-6</v>
      </c>
    </row>
    <row r="501" spans="7:11" ht="16.5">
      <c r="G501" s="71" t="str">
        <f>IFERROR(Table5[[#This Row],[Full name]],"")</f>
        <v/>
      </c>
      <c r="H501" s="56">
        <f>_xlfn.RANK.EQ(AllTime1[[#This Row],[All-time score]],AllTime1[All-time score],0)</f>
        <v>300</v>
      </c>
      <c r="I501" s="56">
        <f>_xlfn.XLOOKUP(AllTime1[[#This Row],[Name]],Table16[Name],Table16[Totals],"Error",0,1)</f>
        <v>0</v>
      </c>
      <c r="J501" s="72">
        <f>IF(ISNUMBER(AllTime1[[#This Row],[All-time rank]]), AllTime1[[#This Row],[All-time rank]] + ROW(AllTime1[[#This Row],[All-time rank]])/100000, 99999 + ROW(AllTime1[[#This Row],[All-time rank]])/100000)</f>
        <v>300.00501000000003</v>
      </c>
      <c r="K501" s="70">
        <f>IF(ISNUMBER(AllTime1[[#This Row],[All-time score]]), AllTime1[[#This Row],[All-time score]] + ROW(AllTime1[[#This Row],[All-time score]])/100000000, 0 + ROW(AllTime1[[#This Row],[All-time score]])/1000000000)</f>
        <v>5.0100000000000003E-6</v>
      </c>
    </row>
    <row r="502" spans="7:11" ht="16.5">
      <c r="G502" s="71" t="str">
        <f>IFERROR(Table5[[#This Row],[Full name]],"")</f>
        <v/>
      </c>
      <c r="H502" s="56">
        <f>_xlfn.RANK.EQ(AllTime1[[#This Row],[All-time score]],AllTime1[All-time score],0)</f>
        <v>300</v>
      </c>
      <c r="I502" s="56">
        <f>_xlfn.XLOOKUP(AllTime1[[#This Row],[Name]],Table16[Name],Table16[Totals],"Error",0,1)</f>
        <v>0</v>
      </c>
      <c r="J502" s="72">
        <f>IF(ISNUMBER(AllTime1[[#This Row],[All-time rank]]), AllTime1[[#This Row],[All-time rank]] + ROW(AllTime1[[#This Row],[All-time rank]])/100000, 99999 + ROW(AllTime1[[#This Row],[All-time rank]])/100000)</f>
        <v>300.00502</v>
      </c>
      <c r="K502" s="70">
        <f>IF(ISNUMBER(AllTime1[[#This Row],[All-time score]]), AllTime1[[#This Row],[All-time score]] + ROW(AllTime1[[#This Row],[All-time score]])/100000000, 0 + ROW(AllTime1[[#This Row],[All-time score]])/1000000000)</f>
        <v>5.0200000000000002E-6</v>
      </c>
    </row>
    <row r="503" spans="7:11" ht="16.5">
      <c r="G503" s="71" t="str">
        <f>IFERROR(Table5[[#This Row],[Full name]],"")</f>
        <v/>
      </c>
      <c r="H503" s="56">
        <f>_xlfn.RANK.EQ(AllTime1[[#This Row],[All-time score]],AllTime1[All-time score],0)</f>
        <v>300</v>
      </c>
      <c r="I503" s="56">
        <f>_xlfn.XLOOKUP(AllTime1[[#This Row],[Name]],Table16[Name],Table16[Totals],"Error",0,1)</f>
        <v>0</v>
      </c>
      <c r="J503" s="72">
        <f>IF(ISNUMBER(AllTime1[[#This Row],[All-time rank]]), AllTime1[[#This Row],[All-time rank]] + ROW(AllTime1[[#This Row],[All-time rank]])/100000, 99999 + ROW(AllTime1[[#This Row],[All-time rank]])/100000)</f>
        <v>300.00502999999998</v>
      </c>
      <c r="K503" s="70">
        <f>IF(ISNUMBER(AllTime1[[#This Row],[All-time score]]), AllTime1[[#This Row],[All-time score]] + ROW(AllTime1[[#This Row],[All-time score]])/100000000, 0 + ROW(AllTime1[[#This Row],[All-time score]])/1000000000)</f>
        <v>5.0300000000000001E-6</v>
      </c>
    </row>
    <row r="504" spans="7:11" ht="16.5">
      <c r="G504" s="71" t="str">
        <f>IFERROR(Table5[[#This Row],[Full name]],"")</f>
        <v/>
      </c>
      <c r="H504" s="56">
        <f>_xlfn.RANK.EQ(AllTime1[[#This Row],[All-time score]],AllTime1[All-time score],0)</f>
        <v>300</v>
      </c>
      <c r="I504" s="56">
        <f>_xlfn.XLOOKUP(AllTime1[[#This Row],[Name]],Table16[Name],Table16[Totals],"Error",0,1)</f>
        <v>0</v>
      </c>
      <c r="J504" s="72">
        <f>IF(ISNUMBER(AllTime1[[#This Row],[All-time rank]]), AllTime1[[#This Row],[All-time rank]] + ROW(AllTime1[[#This Row],[All-time rank]])/100000, 99999 + ROW(AllTime1[[#This Row],[All-time rank]])/100000)</f>
        <v>300.00504000000001</v>
      </c>
      <c r="K504" s="70">
        <f>IF(ISNUMBER(AllTime1[[#This Row],[All-time score]]), AllTime1[[#This Row],[All-time score]] + ROW(AllTime1[[#This Row],[All-time score]])/100000000, 0 + ROW(AllTime1[[#This Row],[All-time score]])/1000000000)</f>
        <v>5.04E-6</v>
      </c>
    </row>
    <row r="505" spans="7:11" ht="16.5">
      <c r="G505" s="71" t="str">
        <f>IFERROR(Table5[[#This Row],[Full name]],"")</f>
        <v/>
      </c>
      <c r="H505" s="56">
        <f>_xlfn.RANK.EQ(AllTime1[[#This Row],[All-time score]],AllTime1[All-time score],0)</f>
        <v>300</v>
      </c>
      <c r="I505" s="56">
        <f>_xlfn.XLOOKUP(AllTime1[[#This Row],[Name]],Table16[Name],Table16[Totals],"Error",0,1)</f>
        <v>0</v>
      </c>
      <c r="J505" s="72">
        <f>IF(ISNUMBER(AllTime1[[#This Row],[All-time rank]]), AllTime1[[#This Row],[All-time rank]] + ROW(AllTime1[[#This Row],[All-time rank]])/100000, 99999 + ROW(AllTime1[[#This Row],[All-time rank]])/100000)</f>
        <v>300.00504999999998</v>
      </c>
      <c r="K505" s="70">
        <f>IF(ISNUMBER(AllTime1[[#This Row],[All-time score]]), AllTime1[[#This Row],[All-time score]] + ROW(AllTime1[[#This Row],[All-time score]])/100000000, 0 + ROW(AllTime1[[#This Row],[All-time score]])/1000000000)</f>
        <v>5.0499999999999999E-6</v>
      </c>
    </row>
    <row r="506" spans="7:11" ht="16.5">
      <c r="G506" s="71" t="str">
        <f>IFERROR(Table5[[#This Row],[Full name]],"")</f>
        <v/>
      </c>
      <c r="H506" s="56">
        <f>_xlfn.RANK.EQ(AllTime1[[#This Row],[All-time score]],AllTime1[All-time score],0)</f>
        <v>300</v>
      </c>
      <c r="I506" s="56">
        <f>_xlfn.XLOOKUP(AllTime1[[#This Row],[Name]],Table16[Name],Table16[Totals],"Error",0,1)</f>
        <v>0</v>
      </c>
      <c r="J506" s="72">
        <f>IF(ISNUMBER(AllTime1[[#This Row],[All-time rank]]), AllTime1[[#This Row],[All-time rank]] + ROW(AllTime1[[#This Row],[All-time rank]])/100000, 99999 + ROW(AllTime1[[#This Row],[All-time rank]])/100000)</f>
        <v>300.00506000000001</v>
      </c>
      <c r="K506" s="70">
        <f>IF(ISNUMBER(AllTime1[[#This Row],[All-time score]]), AllTime1[[#This Row],[All-time score]] + ROW(AllTime1[[#This Row],[All-time score]])/100000000, 0 + ROW(AllTime1[[#This Row],[All-time score]])/1000000000)</f>
        <v>5.0599999999999998E-6</v>
      </c>
    </row>
    <row r="507" spans="7:11" ht="16.5">
      <c r="G507" s="71" t="str">
        <f>IFERROR(Table5[[#This Row],[Full name]],"")</f>
        <v/>
      </c>
      <c r="H507" s="56">
        <f>_xlfn.RANK.EQ(AllTime1[[#This Row],[All-time score]],AllTime1[All-time score],0)</f>
        <v>300</v>
      </c>
      <c r="I507" s="56">
        <f>_xlfn.XLOOKUP(AllTime1[[#This Row],[Name]],Table16[Name],Table16[Totals],"Error",0,1)</f>
        <v>0</v>
      </c>
      <c r="J507" s="72">
        <f>IF(ISNUMBER(AllTime1[[#This Row],[All-time rank]]), AllTime1[[#This Row],[All-time rank]] + ROW(AllTime1[[#This Row],[All-time rank]])/100000, 99999 + ROW(AllTime1[[#This Row],[All-time rank]])/100000)</f>
        <v>300.00506999999999</v>
      </c>
      <c r="K507" s="70">
        <f>IF(ISNUMBER(AllTime1[[#This Row],[All-time score]]), AllTime1[[#This Row],[All-time score]] + ROW(AllTime1[[#This Row],[All-time score]])/100000000, 0 + ROW(AllTime1[[#This Row],[All-time score]])/1000000000)</f>
        <v>5.0699999999999997E-6</v>
      </c>
    </row>
    <row r="508" spans="7:11" ht="16.5">
      <c r="G508" s="71" t="str">
        <f>IFERROR(Table5[[#This Row],[Full name]],"")</f>
        <v/>
      </c>
      <c r="H508" s="56">
        <f>_xlfn.RANK.EQ(AllTime1[[#This Row],[All-time score]],AllTime1[All-time score],0)</f>
        <v>300</v>
      </c>
      <c r="I508" s="56">
        <f>_xlfn.XLOOKUP(AllTime1[[#This Row],[Name]],Table16[Name],Table16[Totals],"Error",0,1)</f>
        <v>0</v>
      </c>
      <c r="J508" s="72">
        <f>IF(ISNUMBER(AllTime1[[#This Row],[All-time rank]]), AllTime1[[#This Row],[All-time rank]] + ROW(AllTime1[[#This Row],[All-time rank]])/100000, 99999 + ROW(AllTime1[[#This Row],[All-time rank]])/100000)</f>
        <v>300.00508000000002</v>
      </c>
      <c r="K508" s="70">
        <f>IF(ISNUMBER(AllTime1[[#This Row],[All-time score]]), AllTime1[[#This Row],[All-time score]] + ROW(AllTime1[[#This Row],[All-time score]])/100000000, 0 + ROW(AllTime1[[#This Row],[All-time score]])/1000000000)</f>
        <v>5.0799999999999996E-6</v>
      </c>
    </row>
    <row r="509" spans="7:11" ht="16.5">
      <c r="G509" s="71" t="str">
        <f>IFERROR(Table5[[#This Row],[Full name]],"")</f>
        <v/>
      </c>
      <c r="H509" s="56">
        <f>_xlfn.RANK.EQ(AllTime1[[#This Row],[All-time score]],AllTime1[All-time score],0)</f>
        <v>300</v>
      </c>
      <c r="I509" s="56">
        <f>_xlfn.XLOOKUP(AllTime1[[#This Row],[Name]],Table16[Name],Table16[Totals],"Error",0,1)</f>
        <v>0</v>
      </c>
      <c r="J509" s="72">
        <f>IF(ISNUMBER(AllTime1[[#This Row],[All-time rank]]), AllTime1[[#This Row],[All-time rank]] + ROW(AllTime1[[#This Row],[All-time rank]])/100000, 99999 + ROW(AllTime1[[#This Row],[All-time rank]])/100000)</f>
        <v>300.00509</v>
      </c>
      <c r="K509" s="70">
        <f>IF(ISNUMBER(AllTime1[[#This Row],[All-time score]]), AllTime1[[#This Row],[All-time score]] + ROW(AllTime1[[#This Row],[All-time score]])/100000000, 0 + ROW(AllTime1[[#This Row],[All-time score]])/1000000000)</f>
        <v>5.0900000000000004E-6</v>
      </c>
    </row>
    <row r="510" spans="7:11" ht="16.5">
      <c r="G510" s="71" t="str">
        <f>IFERROR(Table5[[#This Row],[Full name]],"")</f>
        <v/>
      </c>
      <c r="H510" s="56">
        <f>_xlfn.RANK.EQ(AllTime1[[#This Row],[All-time score]],AllTime1[All-time score],0)</f>
        <v>300</v>
      </c>
      <c r="I510" s="56">
        <f>_xlfn.XLOOKUP(AllTime1[[#This Row],[Name]],Table16[Name],Table16[Totals],"Error",0,1)</f>
        <v>0</v>
      </c>
      <c r="J510" s="72">
        <f>IF(ISNUMBER(AllTime1[[#This Row],[All-time rank]]), AllTime1[[#This Row],[All-time rank]] + ROW(AllTime1[[#This Row],[All-time rank]])/100000, 99999 + ROW(AllTime1[[#This Row],[All-time rank]])/100000)</f>
        <v>300.00510000000003</v>
      </c>
      <c r="K510" s="70">
        <f>IF(ISNUMBER(AllTime1[[#This Row],[All-time score]]), AllTime1[[#This Row],[All-time score]] + ROW(AllTime1[[#This Row],[All-time score]])/100000000, 0 + ROW(AllTime1[[#This Row],[All-time score]])/1000000000)</f>
        <v>5.1000000000000003E-6</v>
      </c>
    </row>
    <row r="511" spans="7:11" ht="16.5">
      <c r="G511" s="71" t="str">
        <f>IFERROR(Table5[[#This Row],[Full name]],"")</f>
        <v/>
      </c>
      <c r="H511" s="56">
        <f>_xlfn.RANK.EQ(AllTime1[[#This Row],[All-time score]],AllTime1[All-time score],0)</f>
        <v>300</v>
      </c>
      <c r="I511" s="56">
        <f>_xlfn.XLOOKUP(AllTime1[[#This Row],[Name]],Table16[Name],Table16[Totals],"Error",0,1)</f>
        <v>0</v>
      </c>
      <c r="J511" s="72">
        <f>IF(ISNUMBER(AllTime1[[#This Row],[All-time rank]]), AllTime1[[#This Row],[All-time rank]] + ROW(AllTime1[[#This Row],[All-time rank]])/100000, 99999 + ROW(AllTime1[[#This Row],[All-time rank]])/100000)</f>
        <v>300.00511</v>
      </c>
      <c r="K511" s="70">
        <f>IF(ISNUMBER(AllTime1[[#This Row],[All-time score]]), AllTime1[[#This Row],[All-time score]] + ROW(AllTime1[[#This Row],[All-time score]])/100000000, 0 + ROW(AllTime1[[#This Row],[All-time score]])/1000000000)</f>
        <v>5.1100000000000002E-6</v>
      </c>
    </row>
    <row r="512" spans="7:11" ht="16.5">
      <c r="G512" s="71" t="str">
        <f>IFERROR(Table5[[#This Row],[Full name]],"")</f>
        <v/>
      </c>
      <c r="H512" s="56">
        <f>_xlfn.RANK.EQ(AllTime1[[#This Row],[All-time score]],AllTime1[All-time score],0)</f>
        <v>300</v>
      </c>
      <c r="I512" s="56">
        <f>_xlfn.XLOOKUP(AllTime1[[#This Row],[Name]],Table16[Name],Table16[Totals],"Error",0,1)</f>
        <v>0</v>
      </c>
      <c r="J512" s="72">
        <f>IF(ISNUMBER(AllTime1[[#This Row],[All-time rank]]), AllTime1[[#This Row],[All-time rank]] + ROW(AllTime1[[#This Row],[All-time rank]])/100000, 99999 + ROW(AllTime1[[#This Row],[All-time rank]])/100000)</f>
        <v>300.00511999999998</v>
      </c>
      <c r="K512" s="70">
        <f>IF(ISNUMBER(AllTime1[[#This Row],[All-time score]]), AllTime1[[#This Row],[All-time score]] + ROW(AllTime1[[#This Row],[All-time score]])/100000000, 0 + ROW(AllTime1[[#This Row],[All-time score]])/1000000000)</f>
        <v>5.1200000000000001E-6</v>
      </c>
    </row>
    <row r="513" spans="7:11" ht="16.5">
      <c r="G513" s="71" t="str">
        <f>IFERROR(Table5[[#This Row],[Full name]],"")</f>
        <v/>
      </c>
      <c r="H513" s="56">
        <f>_xlfn.RANK.EQ(AllTime1[[#This Row],[All-time score]],AllTime1[All-time score],0)</f>
        <v>300</v>
      </c>
      <c r="I513" s="56">
        <f>_xlfn.XLOOKUP(AllTime1[[#This Row],[Name]],Table16[Name],Table16[Totals],"Error",0,1)</f>
        <v>0</v>
      </c>
      <c r="J513" s="72">
        <f>IF(ISNUMBER(AllTime1[[#This Row],[All-time rank]]), AllTime1[[#This Row],[All-time rank]] + ROW(AllTime1[[#This Row],[All-time rank]])/100000, 99999 + ROW(AllTime1[[#This Row],[All-time rank]])/100000)</f>
        <v>300.00513000000001</v>
      </c>
      <c r="K513" s="70">
        <f>IF(ISNUMBER(AllTime1[[#This Row],[All-time score]]), AllTime1[[#This Row],[All-time score]] + ROW(AllTime1[[#This Row],[All-time score]])/100000000, 0 + ROW(AllTime1[[#This Row],[All-time score]])/1000000000)</f>
        <v>5.13E-6</v>
      </c>
    </row>
    <row r="514" spans="7:11" ht="16.5">
      <c r="G514" s="71" t="str">
        <f>IFERROR(Table5[[#This Row],[Full name]],"")</f>
        <v/>
      </c>
      <c r="H514" s="56">
        <f>_xlfn.RANK.EQ(AllTime1[[#This Row],[All-time score]],AllTime1[All-time score],0)</f>
        <v>300</v>
      </c>
      <c r="I514" s="56">
        <f>_xlfn.XLOOKUP(AllTime1[[#This Row],[Name]],Table16[Name],Table16[Totals],"Error",0,1)</f>
        <v>0</v>
      </c>
      <c r="J514" s="72">
        <f>IF(ISNUMBER(AllTime1[[#This Row],[All-time rank]]), AllTime1[[#This Row],[All-time rank]] + ROW(AllTime1[[#This Row],[All-time rank]])/100000, 99999 + ROW(AllTime1[[#This Row],[All-time rank]])/100000)</f>
        <v>300.00513999999998</v>
      </c>
      <c r="K514" s="70">
        <f>IF(ISNUMBER(AllTime1[[#This Row],[All-time score]]), AllTime1[[#This Row],[All-time score]] + ROW(AllTime1[[#This Row],[All-time score]])/100000000, 0 + ROW(AllTime1[[#This Row],[All-time score]])/1000000000)</f>
        <v>5.1399999999999999E-6</v>
      </c>
    </row>
    <row r="515" spans="7:11" ht="16.5">
      <c r="G515" s="71" t="str">
        <f>IFERROR(Table5[[#This Row],[Full name]],"")</f>
        <v/>
      </c>
      <c r="H515" s="56">
        <f>_xlfn.RANK.EQ(AllTime1[[#This Row],[All-time score]],AllTime1[All-time score],0)</f>
        <v>300</v>
      </c>
      <c r="I515" s="56">
        <f>_xlfn.XLOOKUP(AllTime1[[#This Row],[Name]],Table16[Name],Table16[Totals],"Error",0,1)</f>
        <v>0</v>
      </c>
      <c r="J515" s="72">
        <f>IF(ISNUMBER(AllTime1[[#This Row],[All-time rank]]), AllTime1[[#This Row],[All-time rank]] + ROW(AllTime1[[#This Row],[All-time rank]])/100000, 99999 + ROW(AllTime1[[#This Row],[All-time rank]])/100000)</f>
        <v>300.00515000000001</v>
      </c>
      <c r="K515" s="70">
        <f>IF(ISNUMBER(AllTime1[[#This Row],[All-time score]]), AllTime1[[#This Row],[All-time score]] + ROW(AllTime1[[#This Row],[All-time score]])/100000000, 0 + ROW(AllTime1[[#This Row],[All-time score]])/1000000000)</f>
        <v>5.1499999999999998E-6</v>
      </c>
    </row>
    <row r="516" spans="7:11" ht="16.5">
      <c r="G516" s="71" t="str">
        <f>IFERROR(Table5[[#This Row],[Full name]],"")</f>
        <v/>
      </c>
      <c r="H516" s="56">
        <f>_xlfn.RANK.EQ(AllTime1[[#This Row],[All-time score]],AllTime1[All-time score],0)</f>
        <v>300</v>
      </c>
      <c r="I516" s="56">
        <f>_xlfn.XLOOKUP(AllTime1[[#This Row],[Name]],Table16[Name],Table16[Totals],"Error",0,1)</f>
        <v>0</v>
      </c>
      <c r="J516" s="72">
        <f>IF(ISNUMBER(AllTime1[[#This Row],[All-time rank]]), AllTime1[[#This Row],[All-time rank]] + ROW(AllTime1[[#This Row],[All-time rank]])/100000, 99999 + ROW(AllTime1[[#This Row],[All-time rank]])/100000)</f>
        <v>300.00515999999999</v>
      </c>
      <c r="K516" s="70">
        <f>IF(ISNUMBER(AllTime1[[#This Row],[All-time score]]), AllTime1[[#This Row],[All-time score]] + ROW(AllTime1[[#This Row],[All-time score]])/100000000, 0 + ROW(AllTime1[[#This Row],[All-time score]])/1000000000)</f>
        <v>5.1599999999999997E-6</v>
      </c>
    </row>
    <row r="517" spans="7:11" ht="16.5">
      <c r="G517" s="71" t="str">
        <f>IFERROR(Table5[[#This Row],[Full name]],"")</f>
        <v/>
      </c>
      <c r="H517" s="56">
        <f>_xlfn.RANK.EQ(AllTime1[[#This Row],[All-time score]],AllTime1[All-time score],0)</f>
        <v>300</v>
      </c>
      <c r="I517" s="56">
        <f>_xlfn.XLOOKUP(AllTime1[[#This Row],[Name]],Table16[Name],Table16[Totals],"Error",0,1)</f>
        <v>0</v>
      </c>
      <c r="J517" s="72">
        <f>IF(ISNUMBER(AllTime1[[#This Row],[All-time rank]]), AllTime1[[#This Row],[All-time rank]] + ROW(AllTime1[[#This Row],[All-time rank]])/100000, 99999 + ROW(AllTime1[[#This Row],[All-time rank]])/100000)</f>
        <v>300.00517000000002</v>
      </c>
      <c r="K517" s="70">
        <f>IF(ISNUMBER(AllTime1[[#This Row],[All-time score]]), AllTime1[[#This Row],[All-time score]] + ROW(AllTime1[[#This Row],[All-time score]])/100000000, 0 + ROW(AllTime1[[#This Row],[All-time score]])/1000000000)</f>
        <v>5.1699999999999996E-6</v>
      </c>
    </row>
    <row r="518" spans="7:11" ht="16.5">
      <c r="G518" s="71" t="str">
        <f>IFERROR(Table5[[#This Row],[Full name]],"")</f>
        <v/>
      </c>
      <c r="H518" s="56">
        <f>_xlfn.RANK.EQ(AllTime1[[#This Row],[All-time score]],AllTime1[All-time score],0)</f>
        <v>300</v>
      </c>
      <c r="I518" s="56">
        <f>_xlfn.XLOOKUP(AllTime1[[#This Row],[Name]],Table16[Name],Table16[Totals],"Error",0,1)</f>
        <v>0</v>
      </c>
      <c r="J518" s="72">
        <f>IF(ISNUMBER(AllTime1[[#This Row],[All-time rank]]), AllTime1[[#This Row],[All-time rank]] + ROW(AllTime1[[#This Row],[All-time rank]])/100000, 99999 + ROW(AllTime1[[#This Row],[All-time rank]])/100000)</f>
        <v>300.00518</v>
      </c>
      <c r="K518" s="70">
        <f>IF(ISNUMBER(AllTime1[[#This Row],[All-time score]]), AllTime1[[#This Row],[All-time score]] + ROW(AllTime1[[#This Row],[All-time score]])/100000000, 0 + ROW(AllTime1[[#This Row],[All-time score]])/1000000000)</f>
        <v>5.1800000000000004E-6</v>
      </c>
    </row>
    <row r="519" spans="7:11" ht="16.5">
      <c r="G519" s="71" t="str">
        <f>IFERROR(Table5[[#This Row],[Full name]],"")</f>
        <v/>
      </c>
      <c r="H519" s="56">
        <f>_xlfn.RANK.EQ(AllTime1[[#This Row],[All-time score]],AllTime1[All-time score],0)</f>
        <v>300</v>
      </c>
      <c r="I519" s="56">
        <f>_xlfn.XLOOKUP(AllTime1[[#This Row],[Name]],Table16[Name],Table16[Totals],"Error",0,1)</f>
        <v>0</v>
      </c>
      <c r="J519" s="72">
        <f>IF(ISNUMBER(AllTime1[[#This Row],[All-time rank]]), AllTime1[[#This Row],[All-time rank]] + ROW(AllTime1[[#This Row],[All-time rank]])/100000, 99999 + ROW(AllTime1[[#This Row],[All-time rank]])/100000)</f>
        <v>300.00519000000003</v>
      </c>
      <c r="K519" s="70">
        <f>IF(ISNUMBER(AllTime1[[#This Row],[All-time score]]), AllTime1[[#This Row],[All-time score]] + ROW(AllTime1[[#This Row],[All-time score]])/100000000, 0 + ROW(AllTime1[[#This Row],[All-time score]])/1000000000)</f>
        <v>5.1900000000000003E-6</v>
      </c>
    </row>
    <row r="520" spans="7:11" ht="16.5">
      <c r="G520" s="71" t="str">
        <f>IFERROR(Table5[[#This Row],[Full name]],"")</f>
        <v/>
      </c>
      <c r="H520" s="56">
        <f>_xlfn.RANK.EQ(AllTime1[[#This Row],[All-time score]],AllTime1[All-time score],0)</f>
        <v>300</v>
      </c>
      <c r="I520" s="56">
        <f>_xlfn.XLOOKUP(AllTime1[[#This Row],[Name]],Table16[Name],Table16[Totals],"Error",0,1)</f>
        <v>0</v>
      </c>
      <c r="J520" s="72">
        <f>IF(ISNUMBER(AllTime1[[#This Row],[All-time rank]]), AllTime1[[#This Row],[All-time rank]] + ROW(AllTime1[[#This Row],[All-time rank]])/100000, 99999 + ROW(AllTime1[[#This Row],[All-time rank]])/100000)</f>
        <v>300.0052</v>
      </c>
      <c r="K520" s="70">
        <f>IF(ISNUMBER(AllTime1[[#This Row],[All-time score]]), AllTime1[[#This Row],[All-time score]] + ROW(AllTime1[[#This Row],[All-time score]])/100000000, 0 + ROW(AllTime1[[#This Row],[All-time score]])/1000000000)</f>
        <v>5.2000000000000002E-6</v>
      </c>
    </row>
    <row r="521" spans="7:11" ht="16.5">
      <c r="G521" s="71" t="str">
        <f>IFERROR(Table5[[#This Row],[Full name]],"")</f>
        <v/>
      </c>
      <c r="H521" s="56">
        <f>_xlfn.RANK.EQ(AllTime1[[#This Row],[All-time score]],AllTime1[All-time score],0)</f>
        <v>300</v>
      </c>
      <c r="I521" s="56">
        <f>_xlfn.XLOOKUP(AllTime1[[#This Row],[Name]],Table16[Name],Table16[Totals],"Error",0,1)</f>
        <v>0</v>
      </c>
      <c r="J521" s="72">
        <f>IF(ISNUMBER(AllTime1[[#This Row],[All-time rank]]), AllTime1[[#This Row],[All-time rank]] + ROW(AllTime1[[#This Row],[All-time rank]])/100000, 99999 + ROW(AllTime1[[#This Row],[All-time rank]])/100000)</f>
        <v>300.00520999999998</v>
      </c>
      <c r="K521" s="70">
        <f>IF(ISNUMBER(AllTime1[[#This Row],[All-time score]]), AllTime1[[#This Row],[All-time score]] + ROW(AllTime1[[#This Row],[All-time score]])/100000000, 0 + ROW(AllTime1[[#This Row],[All-time score]])/1000000000)</f>
        <v>5.2100000000000001E-6</v>
      </c>
    </row>
    <row r="522" spans="7:11" ht="16.5">
      <c r="G522" s="71" t="str">
        <f>IFERROR(Table5[[#This Row],[Full name]],"")</f>
        <v/>
      </c>
      <c r="H522" s="56">
        <f>_xlfn.RANK.EQ(AllTime1[[#This Row],[All-time score]],AllTime1[All-time score],0)</f>
        <v>300</v>
      </c>
      <c r="I522" s="56">
        <f>_xlfn.XLOOKUP(AllTime1[[#This Row],[Name]],Table16[Name],Table16[Totals],"Error",0,1)</f>
        <v>0</v>
      </c>
      <c r="J522" s="72">
        <f>IF(ISNUMBER(AllTime1[[#This Row],[All-time rank]]), AllTime1[[#This Row],[All-time rank]] + ROW(AllTime1[[#This Row],[All-time rank]])/100000, 99999 + ROW(AllTime1[[#This Row],[All-time rank]])/100000)</f>
        <v>300.00522000000001</v>
      </c>
      <c r="K522" s="70">
        <f>IF(ISNUMBER(AllTime1[[#This Row],[All-time score]]), AllTime1[[#This Row],[All-time score]] + ROW(AllTime1[[#This Row],[All-time score]])/100000000, 0 + ROW(AllTime1[[#This Row],[All-time score]])/1000000000)</f>
        <v>5.22E-6</v>
      </c>
    </row>
    <row r="523" spans="7:11" ht="16.5">
      <c r="G523" s="71" t="str">
        <f>IFERROR(Table5[[#This Row],[Full name]],"")</f>
        <v/>
      </c>
      <c r="H523" s="56">
        <f>_xlfn.RANK.EQ(AllTime1[[#This Row],[All-time score]],AllTime1[All-time score],0)</f>
        <v>300</v>
      </c>
      <c r="I523" s="56">
        <f>_xlfn.XLOOKUP(AllTime1[[#This Row],[Name]],Table16[Name],Table16[Totals],"Error",0,1)</f>
        <v>0</v>
      </c>
      <c r="J523" s="72">
        <f>IF(ISNUMBER(AllTime1[[#This Row],[All-time rank]]), AllTime1[[#This Row],[All-time rank]] + ROW(AllTime1[[#This Row],[All-time rank]])/100000, 99999 + ROW(AllTime1[[#This Row],[All-time rank]])/100000)</f>
        <v>300.00522999999998</v>
      </c>
      <c r="K523" s="70">
        <f>IF(ISNUMBER(AllTime1[[#This Row],[All-time score]]), AllTime1[[#This Row],[All-time score]] + ROW(AllTime1[[#This Row],[All-time score]])/100000000, 0 + ROW(AllTime1[[#This Row],[All-time score]])/1000000000)</f>
        <v>5.2299999999999999E-6</v>
      </c>
    </row>
    <row r="524" spans="7:11" ht="16.5">
      <c r="G524" s="71" t="str">
        <f>IFERROR(Table5[[#This Row],[Full name]],"")</f>
        <v/>
      </c>
      <c r="H524" s="56">
        <f>_xlfn.RANK.EQ(AllTime1[[#This Row],[All-time score]],AllTime1[All-time score],0)</f>
        <v>300</v>
      </c>
      <c r="I524" s="56">
        <f>_xlfn.XLOOKUP(AllTime1[[#This Row],[Name]],Table16[Name],Table16[Totals],"Error",0,1)</f>
        <v>0</v>
      </c>
      <c r="J524" s="72">
        <f>IF(ISNUMBER(AllTime1[[#This Row],[All-time rank]]), AllTime1[[#This Row],[All-time rank]] + ROW(AllTime1[[#This Row],[All-time rank]])/100000, 99999 + ROW(AllTime1[[#This Row],[All-time rank]])/100000)</f>
        <v>300.00524000000001</v>
      </c>
      <c r="K524" s="70">
        <f>IF(ISNUMBER(AllTime1[[#This Row],[All-time score]]), AllTime1[[#This Row],[All-time score]] + ROW(AllTime1[[#This Row],[All-time score]])/100000000, 0 + ROW(AllTime1[[#This Row],[All-time score]])/1000000000)</f>
        <v>5.2399999999999998E-6</v>
      </c>
    </row>
    <row r="525" spans="7:11" ht="16.5">
      <c r="G525" s="71" t="str">
        <f>IFERROR(Table5[[#This Row],[Full name]],"")</f>
        <v/>
      </c>
      <c r="H525" s="56">
        <f>_xlfn.RANK.EQ(AllTime1[[#This Row],[All-time score]],AllTime1[All-time score],0)</f>
        <v>300</v>
      </c>
      <c r="I525" s="56">
        <f>_xlfn.XLOOKUP(AllTime1[[#This Row],[Name]],Table16[Name],Table16[Totals],"Error",0,1)</f>
        <v>0</v>
      </c>
      <c r="J525" s="72">
        <f>IF(ISNUMBER(AllTime1[[#This Row],[All-time rank]]), AllTime1[[#This Row],[All-time rank]] + ROW(AllTime1[[#This Row],[All-time rank]])/100000, 99999 + ROW(AllTime1[[#This Row],[All-time rank]])/100000)</f>
        <v>300.00524999999999</v>
      </c>
      <c r="K525" s="70">
        <f>IF(ISNUMBER(AllTime1[[#This Row],[All-time score]]), AllTime1[[#This Row],[All-time score]] + ROW(AllTime1[[#This Row],[All-time score]])/100000000, 0 + ROW(AllTime1[[#This Row],[All-time score]])/1000000000)</f>
        <v>5.2499999999999997E-6</v>
      </c>
    </row>
    <row r="526" spans="7:11" ht="16.5">
      <c r="G526" s="71" t="str">
        <f>IFERROR(Table5[[#This Row],[Full name]],"")</f>
        <v/>
      </c>
      <c r="H526" s="56">
        <f>_xlfn.RANK.EQ(AllTime1[[#This Row],[All-time score]],AllTime1[All-time score],0)</f>
        <v>300</v>
      </c>
      <c r="I526" s="56">
        <f>_xlfn.XLOOKUP(AllTime1[[#This Row],[Name]],Table16[Name],Table16[Totals],"Error",0,1)</f>
        <v>0</v>
      </c>
      <c r="J526" s="72">
        <f>IF(ISNUMBER(AllTime1[[#This Row],[All-time rank]]), AllTime1[[#This Row],[All-time rank]] + ROW(AllTime1[[#This Row],[All-time rank]])/100000, 99999 + ROW(AllTime1[[#This Row],[All-time rank]])/100000)</f>
        <v>300.00526000000002</v>
      </c>
      <c r="K526" s="70">
        <f>IF(ISNUMBER(AllTime1[[#This Row],[All-time score]]), AllTime1[[#This Row],[All-time score]] + ROW(AllTime1[[#This Row],[All-time score]])/100000000, 0 + ROW(AllTime1[[#This Row],[All-time score]])/1000000000)</f>
        <v>5.2599999999999996E-6</v>
      </c>
    </row>
    <row r="527" spans="7:11" ht="16.5">
      <c r="G527" s="71" t="str">
        <f>IFERROR(Table5[[#This Row],[Full name]],"")</f>
        <v/>
      </c>
      <c r="H527" s="56">
        <f>_xlfn.RANK.EQ(AllTime1[[#This Row],[All-time score]],AllTime1[All-time score],0)</f>
        <v>300</v>
      </c>
      <c r="I527" s="56">
        <f>_xlfn.XLOOKUP(AllTime1[[#This Row],[Name]],Table16[Name],Table16[Totals],"Error",0,1)</f>
        <v>0</v>
      </c>
      <c r="J527" s="72">
        <f>IF(ISNUMBER(AllTime1[[#This Row],[All-time rank]]), AllTime1[[#This Row],[All-time rank]] + ROW(AllTime1[[#This Row],[All-time rank]])/100000, 99999 + ROW(AllTime1[[#This Row],[All-time rank]])/100000)</f>
        <v>300.00527</v>
      </c>
      <c r="K527" s="70">
        <f>IF(ISNUMBER(AllTime1[[#This Row],[All-time score]]), AllTime1[[#This Row],[All-time score]] + ROW(AllTime1[[#This Row],[All-time score]])/100000000, 0 + ROW(AllTime1[[#This Row],[All-time score]])/1000000000)</f>
        <v>5.2700000000000004E-6</v>
      </c>
    </row>
    <row r="528" spans="7:11" ht="16.5">
      <c r="G528" s="71" t="str">
        <f>IFERROR(Table5[[#This Row],[Full name]],"")</f>
        <v/>
      </c>
      <c r="H528" s="56">
        <f>_xlfn.RANK.EQ(AllTime1[[#This Row],[All-time score]],AllTime1[All-time score],0)</f>
        <v>300</v>
      </c>
      <c r="I528" s="56">
        <f>_xlfn.XLOOKUP(AllTime1[[#This Row],[Name]],Table16[Name],Table16[Totals],"Error",0,1)</f>
        <v>0</v>
      </c>
      <c r="J528" s="72">
        <f>IF(ISNUMBER(AllTime1[[#This Row],[All-time rank]]), AllTime1[[#This Row],[All-time rank]] + ROW(AllTime1[[#This Row],[All-time rank]])/100000, 99999 + ROW(AllTime1[[#This Row],[All-time rank]])/100000)</f>
        <v>300.00528000000003</v>
      </c>
      <c r="K528" s="70">
        <f>IF(ISNUMBER(AllTime1[[#This Row],[All-time score]]), AllTime1[[#This Row],[All-time score]] + ROW(AllTime1[[#This Row],[All-time score]])/100000000, 0 + ROW(AllTime1[[#This Row],[All-time score]])/1000000000)</f>
        <v>5.2800000000000003E-6</v>
      </c>
    </row>
    <row r="529" spans="7:11" ht="16.5">
      <c r="G529" s="71" t="str">
        <f>IFERROR(Table5[[#This Row],[Full name]],"")</f>
        <v/>
      </c>
      <c r="H529" s="56">
        <f>_xlfn.RANK.EQ(AllTime1[[#This Row],[All-time score]],AllTime1[All-time score],0)</f>
        <v>300</v>
      </c>
      <c r="I529" s="56">
        <f>_xlfn.XLOOKUP(AllTime1[[#This Row],[Name]],Table16[Name],Table16[Totals],"Error",0,1)</f>
        <v>0</v>
      </c>
      <c r="J529" s="72">
        <f>IF(ISNUMBER(AllTime1[[#This Row],[All-time rank]]), AllTime1[[#This Row],[All-time rank]] + ROW(AllTime1[[#This Row],[All-time rank]])/100000, 99999 + ROW(AllTime1[[#This Row],[All-time rank]])/100000)</f>
        <v>300.00529</v>
      </c>
      <c r="K529" s="70">
        <f>IF(ISNUMBER(AllTime1[[#This Row],[All-time score]]), AllTime1[[#This Row],[All-time score]] + ROW(AllTime1[[#This Row],[All-time score]])/100000000, 0 + ROW(AllTime1[[#This Row],[All-time score]])/1000000000)</f>
        <v>5.2900000000000002E-6</v>
      </c>
    </row>
    <row r="530" spans="7:11" ht="16.5">
      <c r="G530" s="71" t="str">
        <f>IFERROR(Table5[[#This Row],[Full name]],"")</f>
        <v/>
      </c>
      <c r="H530" s="56">
        <f>_xlfn.RANK.EQ(AllTime1[[#This Row],[All-time score]],AllTime1[All-time score],0)</f>
        <v>300</v>
      </c>
      <c r="I530" s="56">
        <f>_xlfn.XLOOKUP(AllTime1[[#This Row],[Name]],Table16[Name],Table16[Totals],"Error",0,1)</f>
        <v>0</v>
      </c>
      <c r="J530" s="72">
        <f>IF(ISNUMBER(AllTime1[[#This Row],[All-time rank]]), AllTime1[[#This Row],[All-time rank]] + ROW(AllTime1[[#This Row],[All-time rank]])/100000, 99999 + ROW(AllTime1[[#This Row],[All-time rank]])/100000)</f>
        <v>300.00529999999998</v>
      </c>
      <c r="K530" s="70">
        <f>IF(ISNUMBER(AllTime1[[#This Row],[All-time score]]), AllTime1[[#This Row],[All-time score]] + ROW(AllTime1[[#This Row],[All-time score]])/100000000, 0 + ROW(AllTime1[[#This Row],[All-time score]])/1000000000)</f>
        <v>5.3000000000000001E-6</v>
      </c>
    </row>
    <row r="531" spans="7:11" ht="16.5">
      <c r="G531" s="71" t="str">
        <f>IFERROR(Table5[[#This Row],[Full name]],"")</f>
        <v/>
      </c>
      <c r="H531" s="56">
        <f>_xlfn.RANK.EQ(AllTime1[[#This Row],[All-time score]],AllTime1[All-time score],0)</f>
        <v>300</v>
      </c>
      <c r="I531" s="56">
        <f>_xlfn.XLOOKUP(AllTime1[[#This Row],[Name]],Table16[Name],Table16[Totals],"Error",0,1)</f>
        <v>0</v>
      </c>
      <c r="J531" s="72">
        <f>IF(ISNUMBER(AllTime1[[#This Row],[All-time rank]]), AllTime1[[#This Row],[All-time rank]] + ROW(AllTime1[[#This Row],[All-time rank]])/100000, 99999 + ROW(AllTime1[[#This Row],[All-time rank]])/100000)</f>
        <v>300.00531000000001</v>
      </c>
      <c r="K531" s="70">
        <f>IF(ISNUMBER(AllTime1[[#This Row],[All-time score]]), AllTime1[[#This Row],[All-time score]] + ROW(AllTime1[[#This Row],[All-time score]])/100000000, 0 + ROW(AllTime1[[#This Row],[All-time score]])/1000000000)</f>
        <v>5.31E-6</v>
      </c>
    </row>
    <row r="532" spans="7:11" ht="16.5">
      <c r="G532" s="71" t="str">
        <f>IFERROR(Table5[[#This Row],[Full name]],"")</f>
        <v/>
      </c>
      <c r="H532" s="56">
        <f>_xlfn.RANK.EQ(AllTime1[[#This Row],[All-time score]],AllTime1[All-time score],0)</f>
        <v>300</v>
      </c>
      <c r="I532" s="56">
        <f>_xlfn.XLOOKUP(AllTime1[[#This Row],[Name]],Table16[Name],Table16[Totals],"Error",0,1)</f>
        <v>0</v>
      </c>
      <c r="J532" s="72">
        <f>IF(ISNUMBER(AllTime1[[#This Row],[All-time rank]]), AllTime1[[#This Row],[All-time rank]] + ROW(AllTime1[[#This Row],[All-time rank]])/100000, 99999 + ROW(AllTime1[[#This Row],[All-time rank]])/100000)</f>
        <v>300.00531999999998</v>
      </c>
      <c r="K532" s="70">
        <f>IF(ISNUMBER(AllTime1[[#This Row],[All-time score]]), AllTime1[[#This Row],[All-time score]] + ROW(AllTime1[[#This Row],[All-time score]])/100000000, 0 + ROW(AllTime1[[#This Row],[All-time score]])/1000000000)</f>
        <v>5.3199999999999999E-6</v>
      </c>
    </row>
    <row r="533" spans="7:11" ht="16.5">
      <c r="G533" s="71" t="str">
        <f>IFERROR(Table5[[#This Row],[Full name]],"")</f>
        <v/>
      </c>
      <c r="H533" s="56">
        <f>_xlfn.RANK.EQ(AllTime1[[#This Row],[All-time score]],AllTime1[All-time score],0)</f>
        <v>300</v>
      </c>
      <c r="I533" s="56">
        <f>_xlfn.XLOOKUP(AllTime1[[#This Row],[Name]],Table16[Name],Table16[Totals],"Error",0,1)</f>
        <v>0</v>
      </c>
      <c r="J533" s="72">
        <f>IF(ISNUMBER(AllTime1[[#This Row],[All-time rank]]), AllTime1[[#This Row],[All-time rank]] + ROW(AllTime1[[#This Row],[All-time rank]])/100000, 99999 + ROW(AllTime1[[#This Row],[All-time rank]])/100000)</f>
        <v>300.00533000000001</v>
      </c>
      <c r="K533" s="70">
        <f>IF(ISNUMBER(AllTime1[[#This Row],[All-time score]]), AllTime1[[#This Row],[All-time score]] + ROW(AllTime1[[#This Row],[All-time score]])/100000000, 0 + ROW(AllTime1[[#This Row],[All-time score]])/1000000000)</f>
        <v>5.3299999999999998E-6</v>
      </c>
    </row>
    <row r="534" spans="7:11" ht="16.5">
      <c r="G534" s="71" t="str">
        <f>IFERROR(Table5[[#This Row],[Full name]],"")</f>
        <v/>
      </c>
      <c r="H534" s="56">
        <f>_xlfn.RANK.EQ(AllTime1[[#This Row],[All-time score]],AllTime1[All-time score],0)</f>
        <v>300</v>
      </c>
      <c r="I534" s="56">
        <f>_xlfn.XLOOKUP(AllTime1[[#This Row],[Name]],Table16[Name],Table16[Totals],"Error",0,1)</f>
        <v>0</v>
      </c>
      <c r="J534" s="72">
        <f>IF(ISNUMBER(AllTime1[[#This Row],[All-time rank]]), AllTime1[[#This Row],[All-time rank]] + ROW(AllTime1[[#This Row],[All-time rank]])/100000, 99999 + ROW(AllTime1[[#This Row],[All-time rank]])/100000)</f>
        <v>300.00533999999999</v>
      </c>
      <c r="K534" s="70">
        <f>IF(ISNUMBER(AllTime1[[#This Row],[All-time score]]), AllTime1[[#This Row],[All-time score]] + ROW(AllTime1[[#This Row],[All-time score]])/100000000, 0 + ROW(AllTime1[[#This Row],[All-time score]])/1000000000)</f>
        <v>5.3399999999999997E-6</v>
      </c>
    </row>
    <row r="535" spans="7:11" ht="16.5">
      <c r="G535" s="71" t="str">
        <f>IFERROR(Table5[[#This Row],[Full name]],"")</f>
        <v/>
      </c>
      <c r="H535" s="56">
        <f>_xlfn.RANK.EQ(AllTime1[[#This Row],[All-time score]],AllTime1[All-time score],0)</f>
        <v>300</v>
      </c>
      <c r="I535" s="56">
        <f>_xlfn.XLOOKUP(AllTime1[[#This Row],[Name]],Table16[Name],Table16[Totals],"Error",0,1)</f>
        <v>0</v>
      </c>
      <c r="J535" s="72">
        <f>IF(ISNUMBER(AllTime1[[#This Row],[All-time rank]]), AllTime1[[#This Row],[All-time rank]] + ROW(AllTime1[[#This Row],[All-time rank]])/100000, 99999 + ROW(AllTime1[[#This Row],[All-time rank]])/100000)</f>
        <v>300.00535000000002</v>
      </c>
      <c r="K535" s="70">
        <f>IF(ISNUMBER(AllTime1[[#This Row],[All-time score]]), AllTime1[[#This Row],[All-time score]] + ROW(AllTime1[[#This Row],[All-time score]])/100000000, 0 + ROW(AllTime1[[#This Row],[All-time score]])/1000000000)</f>
        <v>5.3499999999999996E-6</v>
      </c>
    </row>
    <row r="536" spans="7:11" ht="16.5">
      <c r="G536" s="71" t="str">
        <f>IFERROR(Table5[[#This Row],[Full name]],"")</f>
        <v/>
      </c>
      <c r="H536" s="56">
        <f>_xlfn.RANK.EQ(AllTime1[[#This Row],[All-time score]],AllTime1[All-time score],0)</f>
        <v>300</v>
      </c>
      <c r="I536" s="56">
        <f>_xlfn.XLOOKUP(AllTime1[[#This Row],[Name]],Table16[Name],Table16[Totals],"Error",0,1)</f>
        <v>0</v>
      </c>
      <c r="J536" s="72">
        <f>IF(ISNUMBER(AllTime1[[#This Row],[All-time rank]]), AllTime1[[#This Row],[All-time rank]] + ROW(AllTime1[[#This Row],[All-time rank]])/100000, 99999 + ROW(AllTime1[[#This Row],[All-time rank]])/100000)</f>
        <v>300.00536</v>
      </c>
      <c r="K536" s="70">
        <f>IF(ISNUMBER(AllTime1[[#This Row],[All-time score]]), AllTime1[[#This Row],[All-time score]] + ROW(AllTime1[[#This Row],[All-time score]])/100000000, 0 + ROW(AllTime1[[#This Row],[All-time score]])/1000000000)</f>
        <v>5.3600000000000004E-6</v>
      </c>
    </row>
    <row r="537" spans="7:11" ht="16.5">
      <c r="G537" s="71" t="str">
        <f>IFERROR(Table5[[#This Row],[Full name]],"")</f>
        <v/>
      </c>
      <c r="H537" s="56">
        <f>_xlfn.RANK.EQ(AllTime1[[#This Row],[All-time score]],AllTime1[All-time score],0)</f>
        <v>300</v>
      </c>
      <c r="I537" s="56">
        <f>_xlfn.XLOOKUP(AllTime1[[#This Row],[Name]],Table16[Name],Table16[Totals],"Error",0,1)</f>
        <v>0</v>
      </c>
      <c r="J537" s="72">
        <f>IF(ISNUMBER(AllTime1[[#This Row],[All-time rank]]), AllTime1[[#This Row],[All-time rank]] + ROW(AllTime1[[#This Row],[All-time rank]])/100000, 99999 + ROW(AllTime1[[#This Row],[All-time rank]])/100000)</f>
        <v>300.00537000000003</v>
      </c>
      <c r="K537" s="70">
        <f>IF(ISNUMBER(AllTime1[[#This Row],[All-time score]]), AllTime1[[#This Row],[All-time score]] + ROW(AllTime1[[#This Row],[All-time score]])/100000000, 0 + ROW(AllTime1[[#This Row],[All-time score]])/1000000000)</f>
        <v>5.3700000000000003E-6</v>
      </c>
    </row>
    <row r="538" spans="7:11" ht="16.5">
      <c r="G538" s="71" t="str">
        <f>IFERROR(Table5[[#This Row],[Full name]],"")</f>
        <v/>
      </c>
      <c r="H538" s="56">
        <f>_xlfn.RANK.EQ(AllTime1[[#This Row],[All-time score]],AllTime1[All-time score],0)</f>
        <v>300</v>
      </c>
      <c r="I538" s="56">
        <f>_xlfn.XLOOKUP(AllTime1[[#This Row],[Name]],Table16[Name],Table16[Totals],"Error",0,1)</f>
        <v>0</v>
      </c>
      <c r="J538" s="72">
        <f>IF(ISNUMBER(AllTime1[[#This Row],[All-time rank]]), AllTime1[[#This Row],[All-time rank]] + ROW(AllTime1[[#This Row],[All-time rank]])/100000, 99999 + ROW(AllTime1[[#This Row],[All-time rank]])/100000)</f>
        <v>300.00538</v>
      </c>
      <c r="K538" s="70">
        <f>IF(ISNUMBER(AllTime1[[#This Row],[All-time score]]), AllTime1[[#This Row],[All-time score]] + ROW(AllTime1[[#This Row],[All-time score]])/100000000, 0 + ROW(AllTime1[[#This Row],[All-time score]])/1000000000)</f>
        <v>5.3800000000000002E-6</v>
      </c>
    </row>
    <row r="539" spans="7:11" ht="16.5">
      <c r="G539" s="71" t="str">
        <f>IFERROR(Table5[[#This Row],[Full name]],"")</f>
        <v/>
      </c>
      <c r="H539" s="56">
        <f>_xlfn.RANK.EQ(AllTime1[[#This Row],[All-time score]],AllTime1[All-time score],0)</f>
        <v>300</v>
      </c>
      <c r="I539" s="56">
        <f>_xlfn.XLOOKUP(AllTime1[[#This Row],[Name]],Table16[Name],Table16[Totals],"Error",0,1)</f>
        <v>0</v>
      </c>
      <c r="J539" s="72">
        <f>IF(ISNUMBER(AllTime1[[#This Row],[All-time rank]]), AllTime1[[#This Row],[All-time rank]] + ROW(AllTime1[[#This Row],[All-time rank]])/100000, 99999 + ROW(AllTime1[[#This Row],[All-time rank]])/100000)</f>
        <v>300.00538999999998</v>
      </c>
      <c r="K539" s="70">
        <f>IF(ISNUMBER(AllTime1[[#This Row],[All-time score]]), AllTime1[[#This Row],[All-time score]] + ROW(AllTime1[[#This Row],[All-time score]])/100000000, 0 + ROW(AllTime1[[#This Row],[All-time score]])/1000000000)</f>
        <v>5.3900000000000001E-6</v>
      </c>
    </row>
    <row r="540" spans="7:11" ht="16.5">
      <c r="G540" s="71" t="str">
        <f>IFERROR(Table5[[#This Row],[Full name]],"")</f>
        <v/>
      </c>
      <c r="H540" s="56">
        <f>_xlfn.RANK.EQ(AllTime1[[#This Row],[All-time score]],AllTime1[All-time score],0)</f>
        <v>300</v>
      </c>
      <c r="I540" s="56">
        <f>_xlfn.XLOOKUP(AllTime1[[#This Row],[Name]],Table16[Name],Table16[Totals],"Error",0,1)</f>
        <v>0</v>
      </c>
      <c r="J540" s="72">
        <f>IF(ISNUMBER(AllTime1[[#This Row],[All-time rank]]), AllTime1[[#This Row],[All-time rank]] + ROW(AllTime1[[#This Row],[All-time rank]])/100000, 99999 + ROW(AllTime1[[#This Row],[All-time rank]])/100000)</f>
        <v>300.00540000000001</v>
      </c>
      <c r="K540" s="70">
        <f>IF(ISNUMBER(AllTime1[[#This Row],[All-time score]]), AllTime1[[#This Row],[All-time score]] + ROW(AllTime1[[#This Row],[All-time score]])/100000000, 0 + ROW(AllTime1[[#This Row],[All-time score]])/1000000000)</f>
        <v>5.4E-6</v>
      </c>
    </row>
    <row r="541" spans="7:11" ht="16.5">
      <c r="G541" s="71" t="str">
        <f>IFERROR(Table5[[#This Row],[Full name]],"")</f>
        <v/>
      </c>
      <c r="H541" s="56">
        <f>_xlfn.RANK.EQ(AllTime1[[#This Row],[All-time score]],AllTime1[All-time score],0)</f>
        <v>300</v>
      </c>
      <c r="I541" s="56">
        <f>_xlfn.XLOOKUP(AllTime1[[#This Row],[Name]],Table16[Name],Table16[Totals],"Error",0,1)</f>
        <v>0</v>
      </c>
      <c r="J541" s="72">
        <f>IF(ISNUMBER(AllTime1[[#This Row],[All-time rank]]), AllTime1[[#This Row],[All-time rank]] + ROW(AllTime1[[#This Row],[All-time rank]])/100000, 99999 + ROW(AllTime1[[#This Row],[All-time rank]])/100000)</f>
        <v>300.00540999999998</v>
      </c>
      <c r="K541" s="70">
        <f>IF(ISNUMBER(AllTime1[[#This Row],[All-time score]]), AllTime1[[#This Row],[All-time score]] + ROW(AllTime1[[#This Row],[All-time score]])/100000000, 0 + ROW(AllTime1[[#This Row],[All-time score]])/1000000000)</f>
        <v>5.4099999999999999E-6</v>
      </c>
    </row>
    <row r="542" spans="7:11" ht="16.5">
      <c r="G542" s="71" t="str">
        <f>IFERROR(Table5[[#This Row],[Full name]],"")</f>
        <v/>
      </c>
      <c r="H542" s="56">
        <f>_xlfn.RANK.EQ(AllTime1[[#This Row],[All-time score]],AllTime1[All-time score],0)</f>
        <v>300</v>
      </c>
      <c r="I542" s="56">
        <f>_xlfn.XLOOKUP(AllTime1[[#This Row],[Name]],Table16[Name],Table16[Totals],"Error",0,1)</f>
        <v>0</v>
      </c>
      <c r="J542" s="72">
        <f>IF(ISNUMBER(AllTime1[[#This Row],[All-time rank]]), AllTime1[[#This Row],[All-time rank]] + ROW(AllTime1[[#This Row],[All-time rank]])/100000, 99999 + ROW(AllTime1[[#This Row],[All-time rank]])/100000)</f>
        <v>300.00542000000002</v>
      </c>
      <c r="K542" s="70">
        <f>IF(ISNUMBER(AllTime1[[#This Row],[All-time score]]), AllTime1[[#This Row],[All-time score]] + ROW(AllTime1[[#This Row],[All-time score]])/100000000, 0 + ROW(AllTime1[[#This Row],[All-time score]])/1000000000)</f>
        <v>5.4199999999999998E-6</v>
      </c>
    </row>
    <row r="543" spans="7:11" ht="16.5">
      <c r="G543" s="71" t="str">
        <f>IFERROR(Table5[[#This Row],[Full name]],"")</f>
        <v/>
      </c>
      <c r="H543" s="56">
        <f>_xlfn.RANK.EQ(AllTime1[[#This Row],[All-time score]],AllTime1[All-time score],0)</f>
        <v>300</v>
      </c>
      <c r="I543" s="56">
        <f>_xlfn.XLOOKUP(AllTime1[[#This Row],[Name]],Table16[Name],Table16[Totals],"Error",0,1)</f>
        <v>0</v>
      </c>
      <c r="J543" s="72">
        <f>IF(ISNUMBER(AllTime1[[#This Row],[All-time rank]]), AllTime1[[#This Row],[All-time rank]] + ROW(AllTime1[[#This Row],[All-time rank]])/100000, 99999 + ROW(AllTime1[[#This Row],[All-time rank]])/100000)</f>
        <v>300.00542999999999</v>
      </c>
      <c r="K543" s="70">
        <f>IF(ISNUMBER(AllTime1[[#This Row],[All-time score]]), AllTime1[[#This Row],[All-time score]] + ROW(AllTime1[[#This Row],[All-time score]])/100000000, 0 + ROW(AllTime1[[#This Row],[All-time score]])/1000000000)</f>
        <v>5.4299999999999997E-6</v>
      </c>
    </row>
    <row r="544" spans="7:11" ht="16.5">
      <c r="G544" s="71" t="str">
        <f>IFERROR(Table5[[#This Row],[Full name]],"")</f>
        <v/>
      </c>
      <c r="H544" s="56">
        <f>_xlfn.RANK.EQ(AllTime1[[#This Row],[All-time score]],AllTime1[All-time score],0)</f>
        <v>300</v>
      </c>
      <c r="I544" s="56">
        <f>_xlfn.XLOOKUP(AllTime1[[#This Row],[Name]],Table16[Name],Table16[Totals],"Error",0,1)</f>
        <v>0</v>
      </c>
      <c r="J544" s="72">
        <f>IF(ISNUMBER(AllTime1[[#This Row],[All-time rank]]), AllTime1[[#This Row],[All-time rank]] + ROW(AllTime1[[#This Row],[All-time rank]])/100000, 99999 + ROW(AllTime1[[#This Row],[All-time rank]])/100000)</f>
        <v>300.00544000000002</v>
      </c>
      <c r="K544" s="70">
        <f>IF(ISNUMBER(AllTime1[[#This Row],[All-time score]]), AllTime1[[#This Row],[All-time score]] + ROW(AllTime1[[#This Row],[All-time score]])/100000000, 0 + ROW(AllTime1[[#This Row],[All-time score]])/1000000000)</f>
        <v>5.4399999999999996E-6</v>
      </c>
    </row>
    <row r="545" spans="7:11" ht="16.5">
      <c r="G545" s="71" t="str">
        <f>IFERROR(Table5[[#This Row],[Full name]],"")</f>
        <v/>
      </c>
      <c r="H545" s="56">
        <f>_xlfn.RANK.EQ(AllTime1[[#This Row],[All-time score]],AllTime1[All-time score],0)</f>
        <v>300</v>
      </c>
      <c r="I545" s="56">
        <f>_xlfn.XLOOKUP(AllTime1[[#This Row],[Name]],Table16[Name],Table16[Totals],"Error",0,1)</f>
        <v>0</v>
      </c>
      <c r="J545" s="72">
        <f>IF(ISNUMBER(AllTime1[[#This Row],[All-time rank]]), AllTime1[[#This Row],[All-time rank]] + ROW(AllTime1[[#This Row],[All-time rank]])/100000, 99999 + ROW(AllTime1[[#This Row],[All-time rank]])/100000)</f>
        <v>300.00545</v>
      </c>
      <c r="K545" s="70">
        <f>IF(ISNUMBER(AllTime1[[#This Row],[All-time score]]), AllTime1[[#This Row],[All-time score]] + ROW(AllTime1[[#This Row],[All-time score]])/100000000, 0 + ROW(AllTime1[[#This Row],[All-time score]])/1000000000)</f>
        <v>5.4500000000000003E-6</v>
      </c>
    </row>
    <row r="546" spans="7:11" ht="16.5">
      <c r="G546" s="71" t="str">
        <f>IFERROR(Table5[[#This Row],[Full name]],"")</f>
        <v/>
      </c>
      <c r="H546" s="56">
        <f>_xlfn.RANK.EQ(AllTime1[[#This Row],[All-time score]],AllTime1[All-time score],0)</f>
        <v>300</v>
      </c>
      <c r="I546" s="56">
        <f>_xlfn.XLOOKUP(AllTime1[[#This Row],[Name]],Table16[Name],Table16[Totals],"Error",0,1)</f>
        <v>0</v>
      </c>
      <c r="J546" s="72">
        <f>IF(ISNUMBER(AllTime1[[#This Row],[All-time rank]]), AllTime1[[#This Row],[All-time rank]] + ROW(AllTime1[[#This Row],[All-time rank]])/100000, 99999 + ROW(AllTime1[[#This Row],[All-time rank]])/100000)</f>
        <v>300.00546000000003</v>
      </c>
      <c r="K546" s="70">
        <f>IF(ISNUMBER(AllTime1[[#This Row],[All-time score]]), AllTime1[[#This Row],[All-time score]] + ROW(AllTime1[[#This Row],[All-time score]])/100000000, 0 + ROW(AllTime1[[#This Row],[All-time score]])/1000000000)</f>
        <v>5.4600000000000002E-6</v>
      </c>
    </row>
    <row r="547" spans="7:11" ht="16.5">
      <c r="G547" s="71" t="str">
        <f>IFERROR(Table5[[#This Row],[Full name]],"")</f>
        <v/>
      </c>
      <c r="H547" s="56">
        <f>_xlfn.RANK.EQ(AllTime1[[#This Row],[All-time score]],AllTime1[All-time score],0)</f>
        <v>300</v>
      </c>
      <c r="I547" s="56">
        <f>_xlfn.XLOOKUP(AllTime1[[#This Row],[Name]],Table16[Name],Table16[Totals],"Error",0,1)</f>
        <v>0</v>
      </c>
      <c r="J547" s="72">
        <f>IF(ISNUMBER(AllTime1[[#This Row],[All-time rank]]), AllTime1[[#This Row],[All-time rank]] + ROW(AllTime1[[#This Row],[All-time rank]])/100000, 99999 + ROW(AllTime1[[#This Row],[All-time rank]])/100000)</f>
        <v>300.00547</v>
      </c>
      <c r="K547" s="70">
        <f>IF(ISNUMBER(AllTime1[[#This Row],[All-time score]]), AllTime1[[#This Row],[All-time score]] + ROW(AllTime1[[#This Row],[All-time score]])/100000000, 0 + ROW(AllTime1[[#This Row],[All-time score]])/1000000000)</f>
        <v>5.4700000000000001E-6</v>
      </c>
    </row>
    <row r="548" spans="7:11" ht="16.5">
      <c r="G548" s="71" t="str">
        <f>IFERROR(Table5[[#This Row],[Full name]],"")</f>
        <v/>
      </c>
      <c r="H548" s="56">
        <f>_xlfn.RANK.EQ(AllTime1[[#This Row],[All-time score]],AllTime1[All-time score],0)</f>
        <v>300</v>
      </c>
      <c r="I548" s="56">
        <f>_xlfn.XLOOKUP(AllTime1[[#This Row],[Name]],Table16[Name],Table16[Totals],"Error",0,1)</f>
        <v>0</v>
      </c>
      <c r="J548" s="72">
        <f>IF(ISNUMBER(AllTime1[[#This Row],[All-time rank]]), AllTime1[[#This Row],[All-time rank]] + ROW(AllTime1[[#This Row],[All-time rank]])/100000, 99999 + ROW(AllTime1[[#This Row],[All-time rank]])/100000)</f>
        <v>300.00547999999998</v>
      </c>
      <c r="K548" s="70">
        <f>IF(ISNUMBER(AllTime1[[#This Row],[All-time score]]), AllTime1[[#This Row],[All-time score]] + ROW(AllTime1[[#This Row],[All-time score]])/100000000, 0 + ROW(AllTime1[[#This Row],[All-time score]])/1000000000)</f>
        <v>5.48E-6</v>
      </c>
    </row>
    <row r="549" spans="7:11" ht="16.5">
      <c r="G549" s="71" t="str">
        <f>IFERROR(Table5[[#This Row],[Full name]],"")</f>
        <v/>
      </c>
      <c r="H549" s="56">
        <f>_xlfn.RANK.EQ(AllTime1[[#This Row],[All-time score]],AllTime1[All-time score],0)</f>
        <v>300</v>
      </c>
      <c r="I549" s="56">
        <f>_xlfn.XLOOKUP(AllTime1[[#This Row],[Name]],Table16[Name],Table16[Totals],"Error",0,1)</f>
        <v>0</v>
      </c>
      <c r="J549" s="72">
        <f>IF(ISNUMBER(AllTime1[[#This Row],[All-time rank]]), AllTime1[[#This Row],[All-time rank]] + ROW(AllTime1[[#This Row],[All-time rank]])/100000, 99999 + ROW(AllTime1[[#This Row],[All-time rank]])/100000)</f>
        <v>300.00549000000001</v>
      </c>
      <c r="K549" s="70">
        <f>IF(ISNUMBER(AllTime1[[#This Row],[All-time score]]), AllTime1[[#This Row],[All-time score]] + ROW(AllTime1[[#This Row],[All-time score]])/100000000, 0 + ROW(AllTime1[[#This Row],[All-time score]])/1000000000)</f>
        <v>5.49E-6</v>
      </c>
    </row>
    <row r="550" spans="7:11" ht="16.5">
      <c r="G550" s="71" t="str">
        <f>IFERROR(Table5[[#This Row],[Full name]],"")</f>
        <v/>
      </c>
      <c r="H550" s="56">
        <f>_xlfn.RANK.EQ(AllTime1[[#This Row],[All-time score]],AllTime1[All-time score],0)</f>
        <v>300</v>
      </c>
      <c r="I550" s="56">
        <f>_xlfn.XLOOKUP(AllTime1[[#This Row],[Name]],Table16[Name],Table16[Totals],"Error",0,1)</f>
        <v>0</v>
      </c>
      <c r="J550" s="72">
        <f>IF(ISNUMBER(AllTime1[[#This Row],[All-time rank]]), AllTime1[[#This Row],[All-time rank]] + ROW(AllTime1[[#This Row],[All-time rank]])/100000, 99999 + ROW(AllTime1[[#This Row],[All-time rank]])/100000)</f>
        <v>300.00549999999998</v>
      </c>
      <c r="K550" s="70">
        <f>IF(ISNUMBER(AllTime1[[#This Row],[All-time score]]), AllTime1[[#This Row],[All-time score]] + ROW(AllTime1[[#This Row],[All-time score]])/100000000, 0 + ROW(AllTime1[[#This Row],[All-time score]])/1000000000)</f>
        <v>5.4999999999999999E-6</v>
      </c>
    </row>
    <row r="551" spans="7:11" ht="16.5">
      <c r="G551" s="71" t="str">
        <f>IFERROR(Table5[[#This Row],[Full name]],"")</f>
        <v/>
      </c>
      <c r="H551" s="56">
        <f>_xlfn.RANK.EQ(AllTime1[[#This Row],[All-time score]],AllTime1[All-time score],0)</f>
        <v>300</v>
      </c>
      <c r="I551" s="56">
        <f>_xlfn.XLOOKUP(AllTime1[[#This Row],[Name]],Table16[Name],Table16[Totals],"Error",0,1)</f>
        <v>0</v>
      </c>
      <c r="J551" s="72">
        <f>IF(ISNUMBER(AllTime1[[#This Row],[All-time rank]]), AllTime1[[#This Row],[All-time rank]] + ROW(AllTime1[[#This Row],[All-time rank]])/100000, 99999 + ROW(AllTime1[[#This Row],[All-time rank]])/100000)</f>
        <v>300.00551000000002</v>
      </c>
      <c r="K551" s="70">
        <f>IF(ISNUMBER(AllTime1[[#This Row],[All-time score]]), AllTime1[[#This Row],[All-time score]] + ROW(AllTime1[[#This Row],[All-time score]])/100000000, 0 + ROW(AllTime1[[#This Row],[All-time score]])/1000000000)</f>
        <v>5.5099999999999998E-6</v>
      </c>
    </row>
    <row r="552" spans="7:11" ht="16.5">
      <c r="G552" s="71" t="str">
        <f>IFERROR(Table5[[#This Row],[Full name]],"")</f>
        <v/>
      </c>
      <c r="H552" s="56">
        <f>_xlfn.RANK.EQ(AllTime1[[#This Row],[All-time score]],AllTime1[All-time score],0)</f>
        <v>300</v>
      </c>
      <c r="I552" s="56">
        <f>_xlfn.XLOOKUP(AllTime1[[#This Row],[Name]],Table16[Name],Table16[Totals],"Error",0,1)</f>
        <v>0</v>
      </c>
      <c r="J552" s="72">
        <f>IF(ISNUMBER(AllTime1[[#This Row],[All-time rank]]), AllTime1[[#This Row],[All-time rank]] + ROW(AllTime1[[#This Row],[All-time rank]])/100000, 99999 + ROW(AllTime1[[#This Row],[All-time rank]])/100000)</f>
        <v>300.00551999999999</v>
      </c>
      <c r="K552" s="70">
        <f>IF(ISNUMBER(AllTime1[[#This Row],[All-time score]]), AllTime1[[#This Row],[All-time score]] + ROW(AllTime1[[#This Row],[All-time score]])/100000000, 0 + ROW(AllTime1[[#This Row],[All-time score]])/1000000000)</f>
        <v>5.5199999999999997E-6</v>
      </c>
    </row>
    <row r="553" spans="7:11" ht="16.5">
      <c r="G553" s="71" t="str">
        <f>IFERROR(Table5[[#This Row],[Full name]],"")</f>
        <v/>
      </c>
      <c r="H553" s="56">
        <f>_xlfn.RANK.EQ(AllTime1[[#This Row],[All-time score]],AllTime1[All-time score],0)</f>
        <v>300</v>
      </c>
      <c r="I553" s="56">
        <f>_xlfn.XLOOKUP(AllTime1[[#This Row],[Name]],Table16[Name],Table16[Totals],"Error",0,1)</f>
        <v>0</v>
      </c>
      <c r="J553" s="72">
        <f>IF(ISNUMBER(AllTime1[[#This Row],[All-time rank]]), AllTime1[[#This Row],[All-time rank]] + ROW(AllTime1[[#This Row],[All-time rank]])/100000, 99999 + ROW(AllTime1[[#This Row],[All-time rank]])/100000)</f>
        <v>300.00553000000002</v>
      </c>
      <c r="K553" s="70">
        <f>IF(ISNUMBER(AllTime1[[#This Row],[All-time score]]), AllTime1[[#This Row],[All-time score]] + ROW(AllTime1[[#This Row],[All-time score]])/100000000, 0 + ROW(AllTime1[[#This Row],[All-time score]])/1000000000)</f>
        <v>5.5300000000000004E-6</v>
      </c>
    </row>
    <row r="554" spans="7:11" ht="16.5">
      <c r="G554" s="71" t="str">
        <f>IFERROR(Table5[[#This Row],[Full name]],"")</f>
        <v/>
      </c>
      <c r="H554" s="56">
        <f>_xlfn.RANK.EQ(AllTime1[[#This Row],[All-time score]],AllTime1[All-time score],0)</f>
        <v>300</v>
      </c>
      <c r="I554" s="56">
        <f>_xlfn.XLOOKUP(AllTime1[[#This Row],[Name]],Table16[Name],Table16[Totals],"Error",0,1)</f>
        <v>0</v>
      </c>
      <c r="J554" s="72">
        <f>IF(ISNUMBER(AllTime1[[#This Row],[All-time rank]]), AllTime1[[#This Row],[All-time rank]] + ROW(AllTime1[[#This Row],[All-time rank]])/100000, 99999 + ROW(AllTime1[[#This Row],[All-time rank]])/100000)</f>
        <v>300.00554</v>
      </c>
      <c r="K554" s="70">
        <f>IF(ISNUMBER(AllTime1[[#This Row],[All-time score]]), AllTime1[[#This Row],[All-time score]] + ROW(AllTime1[[#This Row],[All-time score]])/100000000, 0 + ROW(AllTime1[[#This Row],[All-time score]])/1000000000)</f>
        <v>5.5400000000000003E-6</v>
      </c>
    </row>
    <row r="555" spans="7:11" ht="16.5">
      <c r="G555" s="71" t="str">
        <f>IFERROR(Table5[[#This Row],[Full name]],"")</f>
        <v/>
      </c>
      <c r="H555" s="56">
        <f>_xlfn.RANK.EQ(AllTime1[[#This Row],[All-time score]],AllTime1[All-time score],0)</f>
        <v>300</v>
      </c>
      <c r="I555" s="56">
        <f>_xlfn.XLOOKUP(AllTime1[[#This Row],[Name]],Table16[Name],Table16[Totals],"Error",0,1)</f>
        <v>0</v>
      </c>
      <c r="J555" s="72">
        <f>IF(ISNUMBER(AllTime1[[#This Row],[All-time rank]]), AllTime1[[#This Row],[All-time rank]] + ROW(AllTime1[[#This Row],[All-time rank]])/100000, 99999 + ROW(AllTime1[[#This Row],[All-time rank]])/100000)</f>
        <v>300.00555000000003</v>
      </c>
      <c r="K555" s="70">
        <f>IF(ISNUMBER(AllTime1[[#This Row],[All-time score]]), AllTime1[[#This Row],[All-time score]] + ROW(AllTime1[[#This Row],[All-time score]])/100000000, 0 + ROW(AllTime1[[#This Row],[All-time score]])/1000000000)</f>
        <v>5.5500000000000002E-6</v>
      </c>
    </row>
    <row r="556" spans="7:11" ht="16.5">
      <c r="G556" s="71" t="str">
        <f>IFERROR(Table5[[#This Row],[Full name]],"")</f>
        <v/>
      </c>
      <c r="H556" s="56">
        <f>_xlfn.RANK.EQ(AllTime1[[#This Row],[All-time score]],AllTime1[All-time score],0)</f>
        <v>300</v>
      </c>
      <c r="I556" s="56">
        <f>_xlfn.XLOOKUP(AllTime1[[#This Row],[Name]],Table16[Name],Table16[Totals],"Error",0,1)</f>
        <v>0</v>
      </c>
      <c r="J556" s="72">
        <f>IF(ISNUMBER(AllTime1[[#This Row],[All-time rank]]), AllTime1[[#This Row],[All-time rank]] + ROW(AllTime1[[#This Row],[All-time rank]])/100000, 99999 + ROW(AllTime1[[#This Row],[All-time rank]])/100000)</f>
        <v>300.00556</v>
      </c>
      <c r="K556" s="70">
        <f>IF(ISNUMBER(AllTime1[[#This Row],[All-time score]]), AllTime1[[#This Row],[All-time score]] + ROW(AllTime1[[#This Row],[All-time score]])/100000000, 0 + ROW(AllTime1[[#This Row],[All-time score]])/1000000000)</f>
        <v>5.5600000000000001E-6</v>
      </c>
    </row>
    <row r="557" spans="7:11" ht="16.5">
      <c r="G557" s="71" t="str">
        <f>IFERROR(Table5[[#This Row],[Full name]],"")</f>
        <v/>
      </c>
      <c r="H557" s="56">
        <f>_xlfn.RANK.EQ(AllTime1[[#This Row],[All-time score]],AllTime1[All-time score],0)</f>
        <v>300</v>
      </c>
      <c r="I557" s="56">
        <f>_xlfn.XLOOKUP(AllTime1[[#This Row],[Name]],Table16[Name],Table16[Totals],"Error",0,1)</f>
        <v>0</v>
      </c>
      <c r="J557" s="72">
        <f>IF(ISNUMBER(AllTime1[[#This Row],[All-time rank]]), AllTime1[[#This Row],[All-time rank]] + ROW(AllTime1[[#This Row],[All-time rank]])/100000, 99999 + ROW(AllTime1[[#This Row],[All-time rank]])/100000)</f>
        <v>300.00556999999998</v>
      </c>
      <c r="K557" s="70">
        <f>IF(ISNUMBER(AllTime1[[#This Row],[All-time score]]), AllTime1[[#This Row],[All-time score]] + ROW(AllTime1[[#This Row],[All-time score]])/100000000, 0 + ROW(AllTime1[[#This Row],[All-time score]])/1000000000)</f>
        <v>5.57E-6</v>
      </c>
    </row>
    <row r="558" spans="7:11" ht="16.5">
      <c r="G558" s="71" t="str">
        <f>IFERROR(Table5[[#This Row],[Full name]],"")</f>
        <v/>
      </c>
      <c r="H558" s="56">
        <f>_xlfn.RANK.EQ(AllTime1[[#This Row],[All-time score]],AllTime1[All-time score],0)</f>
        <v>300</v>
      </c>
      <c r="I558" s="56">
        <f>_xlfn.XLOOKUP(AllTime1[[#This Row],[Name]],Table16[Name],Table16[Totals],"Error",0,1)</f>
        <v>0</v>
      </c>
      <c r="J558" s="72">
        <f>IF(ISNUMBER(AllTime1[[#This Row],[All-time rank]]), AllTime1[[#This Row],[All-time rank]] + ROW(AllTime1[[#This Row],[All-time rank]])/100000, 99999 + ROW(AllTime1[[#This Row],[All-time rank]])/100000)</f>
        <v>300.00558000000001</v>
      </c>
      <c r="K558" s="70">
        <f>IF(ISNUMBER(AllTime1[[#This Row],[All-time score]]), AllTime1[[#This Row],[All-time score]] + ROW(AllTime1[[#This Row],[All-time score]])/100000000, 0 + ROW(AllTime1[[#This Row],[All-time score]])/1000000000)</f>
        <v>5.5799999999999999E-6</v>
      </c>
    </row>
    <row r="559" spans="7:11" ht="16.5">
      <c r="G559" s="71" t="str">
        <f>IFERROR(Table5[[#This Row],[Full name]],"")</f>
        <v/>
      </c>
      <c r="H559" s="56">
        <f>_xlfn.RANK.EQ(AllTime1[[#This Row],[All-time score]],AllTime1[All-time score],0)</f>
        <v>300</v>
      </c>
      <c r="I559" s="56">
        <f>_xlfn.XLOOKUP(AllTime1[[#This Row],[Name]],Table16[Name],Table16[Totals],"Error",0,1)</f>
        <v>0</v>
      </c>
      <c r="J559" s="72">
        <f>IF(ISNUMBER(AllTime1[[#This Row],[All-time rank]]), AllTime1[[#This Row],[All-time rank]] + ROW(AllTime1[[#This Row],[All-time rank]])/100000, 99999 + ROW(AllTime1[[#This Row],[All-time rank]])/100000)</f>
        <v>300.00558999999998</v>
      </c>
      <c r="K559" s="70">
        <f>IF(ISNUMBER(AllTime1[[#This Row],[All-time score]]), AllTime1[[#This Row],[All-time score]] + ROW(AllTime1[[#This Row],[All-time score]])/100000000, 0 + ROW(AllTime1[[#This Row],[All-time score]])/1000000000)</f>
        <v>5.5899999999999998E-6</v>
      </c>
    </row>
    <row r="560" spans="7:11" ht="16.5">
      <c r="G560" s="71" t="str">
        <f>IFERROR(Table5[[#This Row],[Full name]],"")</f>
        <v/>
      </c>
      <c r="H560" s="56">
        <f>_xlfn.RANK.EQ(AllTime1[[#This Row],[All-time score]],AllTime1[All-time score],0)</f>
        <v>300</v>
      </c>
      <c r="I560" s="56">
        <f>_xlfn.XLOOKUP(AllTime1[[#This Row],[Name]],Table16[Name],Table16[Totals],"Error",0,1)</f>
        <v>0</v>
      </c>
      <c r="J560" s="72">
        <f>IF(ISNUMBER(AllTime1[[#This Row],[All-time rank]]), AllTime1[[#This Row],[All-time rank]] + ROW(AllTime1[[#This Row],[All-time rank]])/100000, 99999 + ROW(AllTime1[[#This Row],[All-time rank]])/100000)</f>
        <v>300.00560000000002</v>
      </c>
      <c r="K560" s="70">
        <f>IF(ISNUMBER(AllTime1[[#This Row],[All-time score]]), AllTime1[[#This Row],[All-time score]] + ROW(AllTime1[[#This Row],[All-time score]])/100000000, 0 + ROW(AllTime1[[#This Row],[All-time score]])/1000000000)</f>
        <v>5.5999999999999997E-6</v>
      </c>
    </row>
    <row r="561" spans="7:11" ht="16.5">
      <c r="G561" s="71" t="str">
        <f>IFERROR(Table5[[#This Row],[Full name]],"")</f>
        <v/>
      </c>
      <c r="H561" s="56">
        <f>_xlfn.RANK.EQ(AllTime1[[#This Row],[All-time score]],AllTime1[All-time score],0)</f>
        <v>300</v>
      </c>
      <c r="I561" s="56">
        <f>_xlfn.XLOOKUP(AllTime1[[#This Row],[Name]],Table16[Name],Table16[Totals],"Error",0,1)</f>
        <v>0</v>
      </c>
      <c r="J561" s="72">
        <f>IF(ISNUMBER(AllTime1[[#This Row],[All-time rank]]), AllTime1[[#This Row],[All-time rank]] + ROW(AllTime1[[#This Row],[All-time rank]])/100000, 99999 + ROW(AllTime1[[#This Row],[All-time rank]])/100000)</f>
        <v>300.00560999999999</v>
      </c>
      <c r="K561" s="70">
        <f>IF(ISNUMBER(AllTime1[[#This Row],[All-time score]]), AllTime1[[#This Row],[All-time score]] + ROW(AllTime1[[#This Row],[All-time score]])/100000000, 0 + ROW(AllTime1[[#This Row],[All-time score]])/1000000000)</f>
        <v>5.6099999999999997E-6</v>
      </c>
    </row>
    <row r="562" spans="7:11" ht="16.5">
      <c r="G562" s="71" t="str">
        <f>IFERROR(Table5[[#This Row],[Full name]],"")</f>
        <v/>
      </c>
      <c r="H562" s="56">
        <f>_xlfn.RANK.EQ(AllTime1[[#This Row],[All-time score]],AllTime1[All-time score],0)</f>
        <v>300</v>
      </c>
      <c r="I562" s="56">
        <f>_xlfn.XLOOKUP(AllTime1[[#This Row],[Name]],Table16[Name],Table16[Totals],"Error",0,1)</f>
        <v>0</v>
      </c>
      <c r="J562" s="72">
        <f>IF(ISNUMBER(AllTime1[[#This Row],[All-time rank]]), AllTime1[[#This Row],[All-time rank]] + ROW(AllTime1[[#This Row],[All-time rank]])/100000, 99999 + ROW(AllTime1[[#This Row],[All-time rank]])/100000)</f>
        <v>300.00562000000002</v>
      </c>
      <c r="K562" s="70">
        <f>IF(ISNUMBER(AllTime1[[#This Row],[All-time score]]), AllTime1[[#This Row],[All-time score]] + ROW(AllTime1[[#This Row],[All-time score]])/100000000, 0 + ROW(AllTime1[[#This Row],[All-time score]])/1000000000)</f>
        <v>5.6200000000000004E-6</v>
      </c>
    </row>
    <row r="563" spans="7:11" ht="16.5">
      <c r="G563" s="71" t="str">
        <f>IFERROR(Table5[[#This Row],[Full name]],"")</f>
        <v/>
      </c>
      <c r="H563" s="56">
        <f>_xlfn.RANK.EQ(AllTime1[[#This Row],[All-time score]],AllTime1[All-time score],0)</f>
        <v>300</v>
      </c>
      <c r="I563" s="56">
        <f>_xlfn.XLOOKUP(AllTime1[[#This Row],[Name]],Table16[Name],Table16[Totals],"Error",0,1)</f>
        <v>0</v>
      </c>
      <c r="J563" s="72">
        <f>IF(ISNUMBER(AllTime1[[#This Row],[All-time rank]]), AllTime1[[#This Row],[All-time rank]] + ROW(AllTime1[[#This Row],[All-time rank]])/100000, 99999 + ROW(AllTime1[[#This Row],[All-time rank]])/100000)</f>
        <v>300.00563</v>
      </c>
      <c r="K563" s="70">
        <f>IF(ISNUMBER(AllTime1[[#This Row],[All-time score]]), AllTime1[[#This Row],[All-time score]] + ROW(AllTime1[[#This Row],[All-time score]])/100000000, 0 + ROW(AllTime1[[#This Row],[All-time score]])/1000000000)</f>
        <v>5.6300000000000003E-6</v>
      </c>
    </row>
    <row r="564" spans="7:11" ht="16.5">
      <c r="G564" s="71" t="str">
        <f>IFERROR(Table5[[#This Row],[Full name]],"")</f>
        <v/>
      </c>
      <c r="H564" s="56">
        <f>_xlfn.RANK.EQ(AllTime1[[#This Row],[All-time score]],AllTime1[All-time score],0)</f>
        <v>300</v>
      </c>
      <c r="I564" s="56">
        <f>_xlfn.XLOOKUP(AllTime1[[#This Row],[Name]],Table16[Name],Table16[Totals],"Error",0,1)</f>
        <v>0</v>
      </c>
      <c r="J564" s="72">
        <f>IF(ISNUMBER(AllTime1[[#This Row],[All-time rank]]), AllTime1[[#This Row],[All-time rank]] + ROW(AllTime1[[#This Row],[All-time rank]])/100000, 99999 + ROW(AllTime1[[#This Row],[All-time rank]])/100000)</f>
        <v>300.00564000000003</v>
      </c>
      <c r="K564" s="70">
        <f>IF(ISNUMBER(AllTime1[[#This Row],[All-time score]]), AllTime1[[#This Row],[All-time score]] + ROW(AllTime1[[#This Row],[All-time score]])/100000000, 0 + ROW(AllTime1[[#This Row],[All-time score]])/1000000000)</f>
        <v>5.6400000000000002E-6</v>
      </c>
    </row>
    <row r="565" spans="7:11" ht="16.5">
      <c r="G565" s="71" t="str">
        <f>IFERROR(Table5[[#This Row],[Full name]],"")</f>
        <v/>
      </c>
      <c r="H565" s="56">
        <f>_xlfn.RANK.EQ(AllTime1[[#This Row],[All-time score]],AllTime1[All-time score],0)</f>
        <v>300</v>
      </c>
      <c r="I565" s="56">
        <f>_xlfn.XLOOKUP(AllTime1[[#This Row],[Name]],Table16[Name],Table16[Totals],"Error",0,1)</f>
        <v>0</v>
      </c>
      <c r="J565" s="72">
        <f>IF(ISNUMBER(AllTime1[[#This Row],[All-time rank]]), AllTime1[[#This Row],[All-time rank]] + ROW(AllTime1[[#This Row],[All-time rank]])/100000, 99999 + ROW(AllTime1[[#This Row],[All-time rank]])/100000)</f>
        <v>300.00565</v>
      </c>
      <c r="K565" s="70">
        <f>IF(ISNUMBER(AllTime1[[#This Row],[All-time score]]), AllTime1[[#This Row],[All-time score]] + ROW(AllTime1[[#This Row],[All-time score]])/100000000, 0 + ROW(AllTime1[[#This Row],[All-time score]])/1000000000)</f>
        <v>5.6500000000000001E-6</v>
      </c>
    </row>
    <row r="566" spans="7:11" ht="16.5">
      <c r="G566" s="71" t="str">
        <f>IFERROR(Table5[[#This Row],[Full name]],"")</f>
        <v/>
      </c>
      <c r="H566" s="56">
        <f>_xlfn.RANK.EQ(AllTime1[[#This Row],[All-time score]],AllTime1[All-time score],0)</f>
        <v>300</v>
      </c>
      <c r="I566" s="56">
        <f>_xlfn.XLOOKUP(AllTime1[[#This Row],[Name]],Table16[Name],Table16[Totals],"Error",0,1)</f>
        <v>0</v>
      </c>
      <c r="J566" s="72">
        <f>IF(ISNUMBER(AllTime1[[#This Row],[All-time rank]]), AllTime1[[#This Row],[All-time rank]] + ROW(AllTime1[[#This Row],[All-time rank]])/100000, 99999 + ROW(AllTime1[[#This Row],[All-time rank]])/100000)</f>
        <v>300.00565999999998</v>
      </c>
      <c r="K566" s="70">
        <f>IF(ISNUMBER(AllTime1[[#This Row],[All-time score]]), AllTime1[[#This Row],[All-time score]] + ROW(AllTime1[[#This Row],[All-time score]])/100000000, 0 + ROW(AllTime1[[#This Row],[All-time score]])/1000000000)</f>
        <v>5.66E-6</v>
      </c>
    </row>
    <row r="567" spans="7:11" ht="16.5">
      <c r="G567" s="71" t="str">
        <f>IFERROR(Table5[[#This Row],[Full name]],"")</f>
        <v/>
      </c>
      <c r="H567" s="56">
        <f>_xlfn.RANK.EQ(AllTime1[[#This Row],[All-time score]],AllTime1[All-time score],0)</f>
        <v>300</v>
      </c>
      <c r="I567" s="56">
        <f>_xlfn.XLOOKUP(AllTime1[[#This Row],[Name]],Table16[Name],Table16[Totals],"Error",0,1)</f>
        <v>0</v>
      </c>
      <c r="J567" s="72">
        <f>IF(ISNUMBER(AllTime1[[#This Row],[All-time rank]]), AllTime1[[#This Row],[All-time rank]] + ROW(AllTime1[[#This Row],[All-time rank]])/100000, 99999 + ROW(AllTime1[[#This Row],[All-time rank]])/100000)</f>
        <v>300.00567000000001</v>
      </c>
      <c r="K567" s="70">
        <f>IF(ISNUMBER(AllTime1[[#This Row],[All-time score]]), AllTime1[[#This Row],[All-time score]] + ROW(AllTime1[[#This Row],[All-time score]])/100000000, 0 + ROW(AllTime1[[#This Row],[All-time score]])/1000000000)</f>
        <v>5.6699999999999999E-6</v>
      </c>
    </row>
    <row r="568" spans="7:11" ht="16.5">
      <c r="G568" s="71" t="str">
        <f>IFERROR(Table5[[#This Row],[Full name]],"")</f>
        <v/>
      </c>
      <c r="H568" s="56">
        <f>_xlfn.RANK.EQ(AllTime1[[#This Row],[All-time score]],AllTime1[All-time score],0)</f>
        <v>300</v>
      </c>
      <c r="I568" s="56">
        <f>_xlfn.XLOOKUP(AllTime1[[#This Row],[Name]],Table16[Name],Table16[Totals],"Error",0,1)</f>
        <v>0</v>
      </c>
      <c r="J568" s="72">
        <f>IF(ISNUMBER(AllTime1[[#This Row],[All-time rank]]), AllTime1[[#This Row],[All-time rank]] + ROW(AllTime1[[#This Row],[All-time rank]])/100000, 99999 + ROW(AllTime1[[#This Row],[All-time rank]])/100000)</f>
        <v>300.00567999999998</v>
      </c>
      <c r="K568" s="70">
        <f>IF(ISNUMBER(AllTime1[[#This Row],[All-time score]]), AllTime1[[#This Row],[All-time score]] + ROW(AllTime1[[#This Row],[All-time score]])/100000000, 0 + ROW(AllTime1[[#This Row],[All-time score]])/1000000000)</f>
        <v>5.6799999999999998E-6</v>
      </c>
    </row>
    <row r="569" spans="7:11" ht="16.5">
      <c r="G569" s="71" t="str">
        <f>IFERROR(Table5[[#This Row],[Full name]],"")</f>
        <v/>
      </c>
      <c r="H569" s="56">
        <f>_xlfn.RANK.EQ(AllTime1[[#This Row],[All-time score]],AllTime1[All-time score],0)</f>
        <v>300</v>
      </c>
      <c r="I569" s="56">
        <f>_xlfn.XLOOKUP(AllTime1[[#This Row],[Name]],Table16[Name],Table16[Totals],"Error",0,1)</f>
        <v>0</v>
      </c>
      <c r="J569" s="72">
        <f>IF(ISNUMBER(AllTime1[[#This Row],[All-time rank]]), AllTime1[[#This Row],[All-time rank]] + ROW(AllTime1[[#This Row],[All-time rank]])/100000, 99999 + ROW(AllTime1[[#This Row],[All-time rank]])/100000)</f>
        <v>300.00569000000002</v>
      </c>
      <c r="K569" s="70">
        <f>IF(ISNUMBER(AllTime1[[#This Row],[All-time score]]), AllTime1[[#This Row],[All-time score]] + ROW(AllTime1[[#This Row],[All-time score]])/100000000, 0 + ROW(AllTime1[[#This Row],[All-time score]])/1000000000)</f>
        <v>5.6899999999999997E-6</v>
      </c>
    </row>
    <row r="570" spans="7:11" ht="16.5">
      <c r="G570" s="71" t="str">
        <f>IFERROR(Table5[[#This Row],[Full name]],"")</f>
        <v/>
      </c>
      <c r="H570" s="56">
        <f>_xlfn.RANK.EQ(AllTime1[[#This Row],[All-time score]],AllTime1[All-time score],0)</f>
        <v>300</v>
      </c>
      <c r="I570" s="56">
        <f>_xlfn.XLOOKUP(AllTime1[[#This Row],[Name]],Table16[Name],Table16[Totals],"Error",0,1)</f>
        <v>0</v>
      </c>
      <c r="J570" s="72">
        <f>IF(ISNUMBER(AllTime1[[#This Row],[All-time rank]]), AllTime1[[#This Row],[All-time rank]] + ROW(AllTime1[[#This Row],[All-time rank]])/100000, 99999 + ROW(AllTime1[[#This Row],[All-time rank]])/100000)</f>
        <v>300.00569999999999</v>
      </c>
      <c r="K570" s="70">
        <f>IF(ISNUMBER(AllTime1[[#This Row],[All-time score]]), AllTime1[[#This Row],[All-time score]] + ROW(AllTime1[[#This Row],[All-time score]])/100000000, 0 + ROW(AllTime1[[#This Row],[All-time score]])/1000000000)</f>
        <v>5.6999999999999996E-6</v>
      </c>
    </row>
    <row r="571" spans="7:11" ht="16.5">
      <c r="G571" s="71" t="str">
        <f>IFERROR(Table5[[#This Row],[Full name]],"")</f>
        <v/>
      </c>
      <c r="H571" s="56">
        <f>_xlfn.RANK.EQ(AllTime1[[#This Row],[All-time score]],AllTime1[All-time score],0)</f>
        <v>300</v>
      </c>
      <c r="I571" s="56">
        <f>_xlfn.XLOOKUP(AllTime1[[#This Row],[Name]],Table16[Name],Table16[Totals],"Error",0,1)</f>
        <v>0</v>
      </c>
      <c r="J571" s="72">
        <f>IF(ISNUMBER(AllTime1[[#This Row],[All-time rank]]), AllTime1[[#This Row],[All-time rank]] + ROW(AllTime1[[#This Row],[All-time rank]])/100000, 99999 + ROW(AllTime1[[#This Row],[All-time rank]])/100000)</f>
        <v>300.00571000000002</v>
      </c>
      <c r="K571" s="70">
        <f>IF(ISNUMBER(AllTime1[[#This Row],[All-time score]]), AllTime1[[#This Row],[All-time score]] + ROW(AllTime1[[#This Row],[All-time score]])/100000000, 0 + ROW(AllTime1[[#This Row],[All-time score]])/1000000000)</f>
        <v>5.7100000000000004E-6</v>
      </c>
    </row>
    <row r="572" spans="7:11" ht="16.5">
      <c r="G572" s="71" t="str">
        <f>IFERROR(Table5[[#This Row],[Full name]],"")</f>
        <v/>
      </c>
      <c r="H572" s="56">
        <f>_xlfn.RANK.EQ(AllTime1[[#This Row],[All-time score]],AllTime1[All-time score],0)</f>
        <v>300</v>
      </c>
      <c r="I572" s="56">
        <f>_xlfn.XLOOKUP(AllTime1[[#This Row],[Name]],Table16[Name],Table16[Totals],"Error",0,1)</f>
        <v>0</v>
      </c>
      <c r="J572" s="72">
        <f>IF(ISNUMBER(AllTime1[[#This Row],[All-time rank]]), AllTime1[[#This Row],[All-time rank]] + ROW(AllTime1[[#This Row],[All-time rank]])/100000, 99999 + ROW(AllTime1[[#This Row],[All-time rank]])/100000)</f>
        <v>300.00572</v>
      </c>
      <c r="K572" s="70">
        <f>IF(ISNUMBER(AllTime1[[#This Row],[All-time score]]), AllTime1[[#This Row],[All-time score]] + ROW(AllTime1[[#This Row],[All-time score]])/100000000, 0 + ROW(AllTime1[[#This Row],[All-time score]])/1000000000)</f>
        <v>5.7200000000000003E-6</v>
      </c>
    </row>
    <row r="573" spans="7:11" ht="16.5">
      <c r="G573" s="71" t="str">
        <f>IFERROR(Table5[[#This Row],[Full name]],"")</f>
        <v/>
      </c>
      <c r="H573" s="56">
        <f>_xlfn.RANK.EQ(AllTime1[[#This Row],[All-time score]],AllTime1[All-time score],0)</f>
        <v>300</v>
      </c>
      <c r="I573" s="56">
        <f>_xlfn.XLOOKUP(AllTime1[[#This Row],[Name]],Table16[Name],Table16[Totals],"Error",0,1)</f>
        <v>0</v>
      </c>
      <c r="J573" s="72">
        <f>IF(ISNUMBER(AllTime1[[#This Row],[All-time rank]]), AllTime1[[#This Row],[All-time rank]] + ROW(AllTime1[[#This Row],[All-time rank]])/100000, 99999 + ROW(AllTime1[[#This Row],[All-time rank]])/100000)</f>
        <v>300.00573000000003</v>
      </c>
      <c r="K573" s="70">
        <f>IF(ISNUMBER(AllTime1[[#This Row],[All-time score]]), AllTime1[[#This Row],[All-time score]] + ROW(AllTime1[[#This Row],[All-time score]])/100000000, 0 + ROW(AllTime1[[#This Row],[All-time score]])/1000000000)</f>
        <v>5.7300000000000002E-6</v>
      </c>
    </row>
    <row r="574" spans="7:11" ht="16.5">
      <c r="G574" s="71" t="str">
        <f>IFERROR(Table5[[#This Row],[Full name]],"")</f>
        <v/>
      </c>
      <c r="H574" s="56">
        <f>_xlfn.RANK.EQ(AllTime1[[#This Row],[All-time score]],AllTime1[All-time score],0)</f>
        <v>300</v>
      </c>
      <c r="I574" s="56">
        <f>_xlfn.XLOOKUP(AllTime1[[#This Row],[Name]],Table16[Name],Table16[Totals],"Error",0,1)</f>
        <v>0</v>
      </c>
      <c r="J574" s="72">
        <f>IF(ISNUMBER(AllTime1[[#This Row],[All-time rank]]), AllTime1[[#This Row],[All-time rank]] + ROW(AllTime1[[#This Row],[All-time rank]])/100000, 99999 + ROW(AllTime1[[#This Row],[All-time rank]])/100000)</f>
        <v>300.00574</v>
      </c>
      <c r="K574" s="70">
        <f>IF(ISNUMBER(AllTime1[[#This Row],[All-time score]]), AllTime1[[#This Row],[All-time score]] + ROW(AllTime1[[#This Row],[All-time score]])/100000000, 0 + ROW(AllTime1[[#This Row],[All-time score]])/1000000000)</f>
        <v>5.7400000000000001E-6</v>
      </c>
    </row>
    <row r="575" spans="7:11" ht="16.5">
      <c r="G575" s="71" t="str">
        <f>IFERROR(Table5[[#This Row],[Full name]],"")</f>
        <v/>
      </c>
      <c r="H575" s="56">
        <f>_xlfn.RANK.EQ(AllTime1[[#This Row],[All-time score]],AllTime1[All-time score],0)</f>
        <v>300</v>
      </c>
      <c r="I575" s="56">
        <f>_xlfn.XLOOKUP(AllTime1[[#This Row],[Name]],Table16[Name],Table16[Totals],"Error",0,1)</f>
        <v>0</v>
      </c>
      <c r="J575" s="72">
        <f>IF(ISNUMBER(AllTime1[[#This Row],[All-time rank]]), AllTime1[[#This Row],[All-time rank]] + ROW(AllTime1[[#This Row],[All-time rank]])/100000, 99999 + ROW(AllTime1[[#This Row],[All-time rank]])/100000)</f>
        <v>300.00574999999998</v>
      </c>
      <c r="K575" s="70">
        <f>IF(ISNUMBER(AllTime1[[#This Row],[All-time score]]), AllTime1[[#This Row],[All-time score]] + ROW(AllTime1[[#This Row],[All-time score]])/100000000, 0 + ROW(AllTime1[[#This Row],[All-time score]])/1000000000)</f>
        <v>5.75E-6</v>
      </c>
    </row>
    <row r="576" spans="7:11" ht="16.5">
      <c r="G576" s="71" t="str">
        <f>IFERROR(Table5[[#This Row],[Full name]],"")</f>
        <v/>
      </c>
      <c r="H576" s="56">
        <f>_xlfn.RANK.EQ(AllTime1[[#This Row],[All-time score]],AllTime1[All-time score],0)</f>
        <v>300</v>
      </c>
      <c r="I576" s="56">
        <f>_xlfn.XLOOKUP(AllTime1[[#This Row],[Name]],Table16[Name],Table16[Totals],"Error",0,1)</f>
        <v>0</v>
      </c>
      <c r="J576" s="72">
        <f>IF(ISNUMBER(AllTime1[[#This Row],[All-time rank]]), AllTime1[[#This Row],[All-time rank]] + ROW(AllTime1[[#This Row],[All-time rank]])/100000, 99999 + ROW(AllTime1[[#This Row],[All-time rank]])/100000)</f>
        <v>300.00576000000001</v>
      </c>
      <c r="K576" s="70">
        <f>IF(ISNUMBER(AllTime1[[#This Row],[All-time score]]), AllTime1[[#This Row],[All-time score]] + ROW(AllTime1[[#This Row],[All-time score]])/100000000, 0 + ROW(AllTime1[[#This Row],[All-time score]])/1000000000)</f>
        <v>5.7599999999999999E-6</v>
      </c>
    </row>
    <row r="577" spans="7:11" ht="16.5">
      <c r="G577" s="71" t="str">
        <f>IFERROR(Table5[[#This Row],[Full name]],"")</f>
        <v/>
      </c>
      <c r="H577" s="56">
        <f>_xlfn.RANK.EQ(AllTime1[[#This Row],[All-time score]],AllTime1[All-time score],0)</f>
        <v>300</v>
      </c>
      <c r="I577" s="56">
        <f>_xlfn.XLOOKUP(AllTime1[[#This Row],[Name]],Table16[Name],Table16[Totals],"Error",0,1)</f>
        <v>0</v>
      </c>
      <c r="J577" s="72">
        <f>IF(ISNUMBER(AllTime1[[#This Row],[All-time rank]]), AllTime1[[#This Row],[All-time rank]] + ROW(AllTime1[[#This Row],[All-time rank]])/100000, 99999 + ROW(AllTime1[[#This Row],[All-time rank]])/100000)</f>
        <v>300.00576999999998</v>
      </c>
      <c r="K577" s="70">
        <f>IF(ISNUMBER(AllTime1[[#This Row],[All-time score]]), AllTime1[[#This Row],[All-time score]] + ROW(AllTime1[[#This Row],[All-time score]])/100000000, 0 + ROW(AllTime1[[#This Row],[All-time score]])/1000000000)</f>
        <v>5.7699999999999998E-6</v>
      </c>
    </row>
    <row r="578" spans="7:11" ht="16.5">
      <c r="G578" s="71" t="str">
        <f>IFERROR(Table5[[#This Row],[Full name]],"")</f>
        <v/>
      </c>
      <c r="H578" s="56">
        <f>_xlfn.RANK.EQ(AllTime1[[#This Row],[All-time score]],AllTime1[All-time score],0)</f>
        <v>300</v>
      </c>
      <c r="I578" s="56">
        <f>_xlfn.XLOOKUP(AllTime1[[#This Row],[Name]],Table16[Name],Table16[Totals],"Error",0,1)</f>
        <v>0</v>
      </c>
      <c r="J578" s="72">
        <f>IF(ISNUMBER(AllTime1[[#This Row],[All-time rank]]), AllTime1[[#This Row],[All-time rank]] + ROW(AllTime1[[#This Row],[All-time rank]])/100000, 99999 + ROW(AllTime1[[#This Row],[All-time rank]])/100000)</f>
        <v>300.00578000000002</v>
      </c>
      <c r="K578" s="70">
        <f>IF(ISNUMBER(AllTime1[[#This Row],[All-time score]]), AllTime1[[#This Row],[All-time score]] + ROW(AllTime1[[#This Row],[All-time score]])/100000000, 0 + ROW(AllTime1[[#This Row],[All-time score]])/1000000000)</f>
        <v>5.7799999999999997E-6</v>
      </c>
    </row>
    <row r="579" spans="7:11" ht="16.5">
      <c r="G579" s="71" t="str">
        <f>IFERROR(Table5[[#This Row],[Full name]],"")</f>
        <v/>
      </c>
      <c r="H579" s="56">
        <f>_xlfn.RANK.EQ(AllTime1[[#This Row],[All-time score]],AllTime1[All-time score],0)</f>
        <v>300</v>
      </c>
      <c r="I579" s="56">
        <f>_xlfn.XLOOKUP(AllTime1[[#This Row],[Name]],Table16[Name],Table16[Totals],"Error",0,1)</f>
        <v>0</v>
      </c>
      <c r="J579" s="72">
        <f>IF(ISNUMBER(AllTime1[[#This Row],[All-time rank]]), AllTime1[[#This Row],[All-time rank]] + ROW(AllTime1[[#This Row],[All-time rank]])/100000, 99999 + ROW(AllTime1[[#This Row],[All-time rank]])/100000)</f>
        <v>300.00578999999999</v>
      </c>
      <c r="K579" s="70">
        <f>IF(ISNUMBER(AllTime1[[#This Row],[All-time score]]), AllTime1[[#This Row],[All-time score]] + ROW(AllTime1[[#This Row],[All-time score]])/100000000, 0 + ROW(AllTime1[[#This Row],[All-time score]])/1000000000)</f>
        <v>5.7899999999999996E-6</v>
      </c>
    </row>
    <row r="580" spans="7:11" ht="16.5">
      <c r="G580" s="71" t="str">
        <f>IFERROR(Table5[[#This Row],[Full name]],"")</f>
        <v/>
      </c>
      <c r="H580" s="56">
        <f>_xlfn.RANK.EQ(AllTime1[[#This Row],[All-time score]],AllTime1[All-time score],0)</f>
        <v>300</v>
      </c>
      <c r="I580" s="56">
        <f>_xlfn.XLOOKUP(AllTime1[[#This Row],[Name]],Table16[Name],Table16[Totals],"Error",0,1)</f>
        <v>0</v>
      </c>
      <c r="J580" s="72">
        <f>IF(ISNUMBER(AllTime1[[#This Row],[All-time rank]]), AllTime1[[#This Row],[All-time rank]] + ROW(AllTime1[[#This Row],[All-time rank]])/100000, 99999 + ROW(AllTime1[[#This Row],[All-time rank]])/100000)</f>
        <v>300.00580000000002</v>
      </c>
      <c r="K580" s="70">
        <f>IF(ISNUMBER(AllTime1[[#This Row],[All-time score]]), AllTime1[[#This Row],[All-time score]] + ROW(AllTime1[[#This Row],[All-time score]])/100000000, 0 + ROW(AllTime1[[#This Row],[All-time score]])/1000000000)</f>
        <v>5.8000000000000004E-6</v>
      </c>
    </row>
    <row r="581" spans="7:11" ht="16.5">
      <c r="G581" s="71" t="str">
        <f>IFERROR(Table5[[#This Row],[Full name]],"")</f>
        <v/>
      </c>
      <c r="H581" s="56">
        <f>_xlfn.RANK.EQ(AllTime1[[#This Row],[All-time score]],AllTime1[All-time score],0)</f>
        <v>300</v>
      </c>
      <c r="I581" s="56">
        <f>_xlfn.XLOOKUP(AllTime1[[#This Row],[Name]],Table16[Name],Table16[Totals],"Error",0,1)</f>
        <v>0</v>
      </c>
      <c r="J581" s="72">
        <f>IF(ISNUMBER(AllTime1[[#This Row],[All-time rank]]), AllTime1[[#This Row],[All-time rank]] + ROW(AllTime1[[#This Row],[All-time rank]])/100000, 99999 + ROW(AllTime1[[#This Row],[All-time rank]])/100000)</f>
        <v>300.00581</v>
      </c>
      <c r="K581" s="70">
        <f>IF(ISNUMBER(AllTime1[[#This Row],[All-time score]]), AllTime1[[#This Row],[All-time score]] + ROW(AllTime1[[#This Row],[All-time score]])/100000000, 0 + ROW(AllTime1[[#This Row],[All-time score]])/1000000000)</f>
        <v>5.8100000000000003E-6</v>
      </c>
    </row>
    <row r="582" spans="7:11" ht="16.5">
      <c r="G582" s="71" t="str">
        <f>IFERROR(Table5[[#This Row],[Full name]],"")</f>
        <v/>
      </c>
      <c r="H582" s="56">
        <f>_xlfn.RANK.EQ(AllTime1[[#This Row],[All-time score]],AllTime1[All-time score],0)</f>
        <v>300</v>
      </c>
      <c r="I582" s="56">
        <f>_xlfn.XLOOKUP(AllTime1[[#This Row],[Name]],Table16[Name],Table16[Totals],"Error",0,1)</f>
        <v>0</v>
      </c>
      <c r="J582" s="72">
        <f>IF(ISNUMBER(AllTime1[[#This Row],[All-time rank]]), AllTime1[[#This Row],[All-time rank]] + ROW(AllTime1[[#This Row],[All-time rank]])/100000, 99999 + ROW(AllTime1[[#This Row],[All-time rank]])/100000)</f>
        <v>300.00582000000003</v>
      </c>
      <c r="K582" s="70">
        <f>IF(ISNUMBER(AllTime1[[#This Row],[All-time score]]), AllTime1[[#This Row],[All-time score]] + ROW(AllTime1[[#This Row],[All-time score]])/100000000, 0 + ROW(AllTime1[[#This Row],[All-time score]])/1000000000)</f>
        <v>5.8200000000000002E-6</v>
      </c>
    </row>
    <row r="583" spans="7:11" ht="16.5">
      <c r="G583" s="71" t="str">
        <f>IFERROR(Table5[[#This Row],[Full name]],"")</f>
        <v/>
      </c>
      <c r="H583" s="56">
        <f>_xlfn.RANK.EQ(AllTime1[[#This Row],[All-time score]],AllTime1[All-time score],0)</f>
        <v>300</v>
      </c>
      <c r="I583" s="56">
        <f>_xlfn.XLOOKUP(AllTime1[[#This Row],[Name]],Table16[Name],Table16[Totals],"Error",0,1)</f>
        <v>0</v>
      </c>
      <c r="J583" s="72">
        <f>IF(ISNUMBER(AllTime1[[#This Row],[All-time rank]]), AllTime1[[#This Row],[All-time rank]] + ROW(AllTime1[[#This Row],[All-time rank]])/100000, 99999 + ROW(AllTime1[[#This Row],[All-time rank]])/100000)</f>
        <v>300.00583</v>
      </c>
      <c r="K583" s="70">
        <f>IF(ISNUMBER(AllTime1[[#This Row],[All-time score]]), AllTime1[[#This Row],[All-time score]] + ROW(AllTime1[[#This Row],[All-time score]])/100000000, 0 + ROW(AllTime1[[#This Row],[All-time score]])/1000000000)</f>
        <v>5.8300000000000001E-6</v>
      </c>
    </row>
    <row r="584" spans="7:11" ht="16.5">
      <c r="G584" s="71" t="str">
        <f>IFERROR(Table5[[#This Row],[Full name]],"")</f>
        <v/>
      </c>
      <c r="H584" s="56">
        <f>_xlfn.RANK.EQ(AllTime1[[#This Row],[All-time score]],AllTime1[All-time score],0)</f>
        <v>300</v>
      </c>
      <c r="I584" s="56">
        <f>_xlfn.XLOOKUP(AllTime1[[#This Row],[Name]],Table16[Name],Table16[Totals],"Error",0,1)</f>
        <v>0</v>
      </c>
      <c r="J584" s="72">
        <f>IF(ISNUMBER(AllTime1[[#This Row],[All-time rank]]), AllTime1[[#This Row],[All-time rank]] + ROW(AllTime1[[#This Row],[All-time rank]])/100000, 99999 + ROW(AllTime1[[#This Row],[All-time rank]])/100000)</f>
        <v>300.00583999999998</v>
      </c>
      <c r="K584" s="70">
        <f>IF(ISNUMBER(AllTime1[[#This Row],[All-time score]]), AllTime1[[#This Row],[All-time score]] + ROW(AllTime1[[#This Row],[All-time score]])/100000000, 0 + ROW(AllTime1[[#This Row],[All-time score]])/1000000000)</f>
        <v>5.84E-6</v>
      </c>
    </row>
    <row r="585" spans="7:11" ht="16.5">
      <c r="G585" s="71" t="str">
        <f>IFERROR(Table5[[#This Row],[Full name]],"")</f>
        <v/>
      </c>
      <c r="H585" s="56">
        <f>_xlfn.RANK.EQ(AllTime1[[#This Row],[All-time score]],AllTime1[All-time score],0)</f>
        <v>300</v>
      </c>
      <c r="I585" s="56">
        <f>_xlfn.XLOOKUP(AllTime1[[#This Row],[Name]],Table16[Name],Table16[Totals],"Error",0,1)</f>
        <v>0</v>
      </c>
      <c r="J585" s="72">
        <f>IF(ISNUMBER(AllTime1[[#This Row],[All-time rank]]), AllTime1[[#This Row],[All-time rank]] + ROW(AllTime1[[#This Row],[All-time rank]])/100000, 99999 + ROW(AllTime1[[#This Row],[All-time rank]])/100000)</f>
        <v>300.00585000000001</v>
      </c>
      <c r="K585" s="70">
        <f>IF(ISNUMBER(AllTime1[[#This Row],[All-time score]]), AllTime1[[#This Row],[All-time score]] + ROW(AllTime1[[#This Row],[All-time score]])/100000000, 0 + ROW(AllTime1[[#This Row],[All-time score]])/1000000000)</f>
        <v>5.8499999999999999E-6</v>
      </c>
    </row>
    <row r="586" spans="7:11" ht="16.5">
      <c r="G586" s="71" t="str">
        <f>IFERROR(Table5[[#This Row],[Full name]],"")</f>
        <v/>
      </c>
      <c r="H586" s="56">
        <f>_xlfn.RANK.EQ(AllTime1[[#This Row],[All-time score]],AllTime1[All-time score],0)</f>
        <v>300</v>
      </c>
      <c r="I586" s="56">
        <f>_xlfn.XLOOKUP(AllTime1[[#This Row],[Name]],Table16[Name],Table16[Totals],"Error",0,1)</f>
        <v>0</v>
      </c>
      <c r="J586" s="72">
        <f>IF(ISNUMBER(AllTime1[[#This Row],[All-time rank]]), AllTime1[[#This Row],[All-time rank]] + ROW(AllTime1[[#This Row],[All-time rank]])/100000, 99999 + ROW(AllTime1[[#This Row],[All-time rank]])/100000)</f>
        <v>300.00585999999998</v>
      </c>
      <c r="K586" s="70">
        <f>IF(ISNUMBER(AllTime1[[#This Row],[All-time score]]), AllTime1[[#This Row],[All-time score]] + ROW(AllTime1[[#This Row],[All-time score]])/100000000, 0 + ROW(AllTime1[[#This Row],[All-time score]])/1000000000)</f>
        <v>5.8599999999999998E-6</v>
      </c>
    </row>
    <row r="587" spans="7:11" ht="16.5">
      <c r="G587" s="71" t="str">
        <f>IFERROR(Table5[[#This Row],[Full name]],"")</f>
        <v/>
      </c>
      <c r="H587" s="56">
        <f>_xlfn.RANK.EQ(AllTime1[[#This Row],[All-time score]],AllTime1[All-time score],0)</f>
        <v>300</v>
      </c>
      <c r="I587" s="56">
        <f>_xlfn.XLOOKUP(AllTime1[[#This Row],[Name]],Table16[Name],Table16[Totals],"Error",0,1)</f>
        <v>0</v>
      </c>
      <c r="J587" s="72">
        <f>IF(ISNUMBER(AllTime1[[#This Row],[All-time rank]]), AllTime1[[#This Row],[All-time rank]] + ROW(AllTime1[[#This Row],[All-time rank]])/100000, 99999 + ROW(AllTime1[[#This Row],[All-time rank]])/100000)</f>
        <v>300.00587000000002</v>
      </c>
      <c r="K587" s="70">
        <f>IF(ISNUMBER(AllTime1[[#This Row],[All-time score]]), AllTime1[[#This Row],[All-time score]] + ROW(AllTime1[[#This Row],[All-time score]])/100000000, 0 + ROW(AllTime1[[#This Row],[All-time score]])/1000000000)</f>
        <v>5.8699999999999997E-6</v>
      </c>
    </row>
    <row r="588" spans="7:11" ht="16.5">
      <c r="G588" s="71" t="str">
        <f>IFERROR(Table5[[#This Row],[Full name]],"")</f>
        <v/>
      </c>
      <c r="H588" s="56">
        <f>_xlfn.RANK.EQ(AllTime1[[#This Row],[All-time score]],AllTime1[All-time score],0)</f>
        <v>300</v>
      </c>
      <c r="I588" s="56">
        <f>_xlfn.XLOOKUP(AllTime1[[#This Row],[Name]],Table16[Name],Table16[Totals],"Error",0,1)</f>
        <v>0</v>
      </c>
      <c r="J588" s="72">
        <f>IF(ISNUMBER(AllTime1[[#This Row],[All-time rank]]), AllTime1[[#This Row],[All-time rank]] + ROW(AllTime1[[#This Row],[All-time rank]])/100000, 99999 + ROW(AllTime1[[#This Row],[All-time rank]])/100000)</f>
        <v>300.00587999999999</v>
      </c>
      <c r="K588" s="70">
        <f>IF(ISNUMBER(AllTime1[[#This Row],[All-time score]]), AllTime1[[#This Row],[All-time score]] + ROW(AllTime1[[#This Row],[All-time score]])/100000000, 0 + ROW(AllTime1[[#This Row],[All-time score]])/1000000000)</f>
        <v>5.8799999999999996E-6</v>
      </c>
    </row>
    <row r="589" spans="7:11" ht="16.5">
      <c r="G589" s="71" t="str">
        <f>IFERROR(Table5[[#This Row],[Full name]],"")</f>
        <v/>
      </c>
      <c r="H589" s="56">
        <f>_xlfn.RANK.EQ(AllTime1[[#This Row],[All-time score]],AllTime1[All-time score],0)</f>
        <v>300</v>
      </c>
      <c r="I589" s="56">
        <f>_xlfn.XLOOKUP(AllTime1[[#This Row],[Name]],Table16[Name],Table16[Totals],"Error",0,1)</f>
        <v>0</v>
      </c>
      <c r="J589" s="72">
        <f>IF(ISNUMBER(AllTime1[[#This Row],[All-time rank]]), AllTime1[[#This Row],[All-time rank]] + ROW(AllTime1[[#This Row],[All-time rank]])/100000, 99999 + ROW(AllTime1[[#This Row],[All-time rank]])/100000)</f>
        <v>300.00589000000002</v>
      </c>
      <c r="K589" s="70">
        <f>IF(ISNUMBER(AllTime1[[#This Row],[All-time score]]), AllTime1[[#This Row],[All-time score]] + ROW(AllTime1[[#This Row],[All-time score]])/100000000, 0 + ROW(AllTime1[[#This Row],[All-time score]])/1000000000)</f>
        <v>5.8900000000000004E-6</v>
      </c>
    </row>
    <row r="590" spans="7:11" ht="16.5">
      <c r="G590" s="71" t="str">
        <f>IFERROR(Table5[[#This Row],[Full name]],"")</f>
        <v/>
      </c>
      <c r="H590" s="56">
        <f>_xlfn.RANK.EQ(AllTime1[[#This Row],[All-time score]],AllTime1[All-time score],0)</f>
        <v>300</v>
      </c>
      <c r="I590" s="56">
        <f>_xlfn.XLOOKUP(AllTime1[[#This Row],[Name]],Table16[Name],Table16[Totals],"Error",0,1)</f>
        <v>0</v>
      </c>
      <c r="J590" s="72">
        <f>IF(ISNUMBER(AllTime1[[#This Row],[All-time rank]]), AllTime1[[#This Row],[All-time rank]] + ROW(AllTime1[[#This Row],[All-time rank]])/100000, 99999 + ROW(AllTime1[[#This Row],[All-time rank]])/100000)</f>
        <v>300.0059</v>
      </c>
      <c r="K590" s="70">
        <f>IF(ISNUMBER(AllTime1[[#This Row],[All-time score]]), AllTime1[[#This Row],[All-time score]] + ROW(AllTime1[[#This Row],[All-time score]])/100000000, 0 + ROW(AllTime1[[#This Row],[All-time score]])/1000000000)</f>
        <v>5.9000000000000003E-6</v>
      </c>
    </row>
    <row r="591" spans="7:11" ht="16.5">
      <c r="G591" s="71" t="str">
        <f>IFERROR(Table5[[#This Row],[Full name]],"")</f>
        <v/>
      </c>
      <c r="H591" s="56">
        <f>_xlfn.RANK.EQ(AllTime1[[#This Row],[All-time score]],AllTime1[All-time score],0)</f>
        <v>300</v>
      </c>
      <c r="I591" s="56">
        <f>_xlfn.XLOOKUP(AllTime1[[#This Row],[Name]],Table16[Name],Table16[Totals],"Error",0,1)</f>
        <v>0</v>
      </c>
      <c r="J591" s="72">
        <f>IF(ISNUMBER(AllTime1[[#This Row],[All-time rank]]), AllTime1[[#This Row],[All-time rank]] + ROW(AllTime1[[#This Row],[All-time rank]])/100000, 99999 + ROW(AllTime1[[#This Row],[All-time rank]])/100000)</f>
        <v>300.00590999999997</v>
      </c>
      <c r="K591" s="70">
        <f>IF(ISNUMBER(AllTime1[[#This Row],[All-time score]]), AllTime1[[#This Row],[All-time score]] + ROW(AllTime1[[#This Row],[All-time score]])/100000000, 0 + ROW(AllTime1[[#This Row],[All-time score]])/1000000000)</f>
        <v>5.9100000000000002E-6</v>
      </c>
    </row>
    <row r="592" spans="7:11" ht="16.5">
      <c r="G592" s="71" t="str">
        <f>IFERROR(Table5[[#This Row],[Full name]],"")</f>
        <v/>
      </c>
      <c r="H592" s="56">
        <f>_xlfn.RANK.EQ(AllTime1[[#This Row],[All-time score]],AllTime1[All-time score],0)</f>
        <v>300</v>
      </c>
      <c r="I592" s="56">
        <f>_xlfn.XLOOKUP(AllTime1[[#This Row],[Name]],Table16[Name],Table16[Totals],"Error",0,1)</f>
        <v>0</v>
      </c>
      <c r="J592" s="72">
        <f>IF(ISNUMBER(AllTime1[[#This Row],[All-time rank]]), AllTime1[[#This Row],[All-time rank]] + ROW(AllTime1[[#This Row],[All-time rank]])/100000, 99999 + ROW(AllTime1[[#This Row],[All-time rank]])/100000)</f>
        <v>300.00592</v>
      </c>
      <c r="K592" s="70">
        <f>IF(ISNUMBER(AllTime1[[#This Row],[All-time score]]), AllTime1[[#This Row],[All-time score]] + ROW(AllTime1[[#This Row],[All-time score]])/100000000, 0 + ROW(AllTime1[[#This Row],[All-time score]])/1000000000)</f>
        <v>5.9200000000000001E-6</v>
      </c>
    </row>
    <row r="593" spans="7:11" ht="16.5">
      <c r="G593" s="71" t="str">
        <f>IFERROR(Table5[[#This Row],[Full name]],"")</f>
        <v/>
      </c>
      <c r="H593" s="56">
        <f>_xlfn.RANK.EQ(AllTime1[[#This Row],[All-time score]],AllTime1[All-time score],0)</f>
        <v>300</v>
      </c>
      <c r="I593" s="56">
        <f>_xlfn.XLOOKUP(AllTime1[[#This Row],[Name]],Table16[Name],Table16[Totals],"Error",0,1)</f>
        <v>0</v>
      </c>
      <c r="J593" s="72">
        <f>IF(ISNUMBER(AllTime1[[#This Row],[All-time rank]]), AllTime1[[#This Row],[All-time rank]] + ROW(AllTime1[[#This Row],[All-time rank]])/100000, 99999 + ROW(AllTime1[[#This Row],[All-time rank]])/100000)</f>
        <v>300.00592999999998</v>
      </c>
      <c r="K593" s="70">
        <f>IF(ISNUMBER(AllTime1[[#This Row],[All-time score]]), AllTime1[[#This Row],[All-time score]] + ROW(AllTime1[[#This Row],[All-time score]])/100000000, 0 + ROW(AllTime1[[#This Row],[All-time score]])/1000000000)</f>
        <v>5.93E-6</v>
      </c>
    </row>
    <row r="594" spans="7:11" ht="16.5">
      <c r="G594" s="71" t="str">
        <f>IFERROR(Table5[[#This Row],[Full name]],"")</f>
        <v/>
      </c>
      <c r="H594" s="56">
        <f>_xlfn.RANK.EQ(AllTime1[[#This Row],[All-time score]],AllTime1[All-time score],0)</f>
        <v>300</v>
      </c>
      <c r="I594" s="56">
        <f>_xlfn.XLOOKUP(AllTime1[[#This Row],[Name]],Table16[Name],Table16[Totals],"Error",0,1)</f>
        <v>0</v>
      </c>
      <c r="J594" s="72">
        <f>IF(ISNUMBER(AllTime1[[#This Row],[All-time rank]]), AllTime1[[#This Row],[All-time rank]] + ROW(AllTime1[[#This Row],[All-time rank]])/100000, 99999 + ROW(AllTime1[[#This Row],[All-time rank]])/100000)</f>
        <v>300.00594000000001</v>
      </c>
      <c r="K594" s="70">
        <f>IF(ISNUMBER(AllTime1[[#This Row],[All-time score]]), AllTime1[[#This Row],[All-time score]] + ROW(AllTime1[[#This Row],[All-time score]])/100000000, 0 + ROW(AllTime1[[#This Row],[All-time score]])/1000000000)</f>
        <v>5.9399999999999999E-6</v>
      </c>
    </row>
    <row r="595" spans="7:11" ht="16.5">
      <c r="G595" s="71" t="str">
        <f>IFERROR(Table5[[#This Row],[Full name]],"")</f>
        <v/>
      </c>
      <c r="H595" s="56">
        <f>_xlfn.RANK.EQ(AllTime1[[#This Row],[All-time score]],AllTime1[All-time score],0)</f>
        <v>300</v>
      </c>
      <c r="I595" s="56">
        <f>_xlfn.XLOOKUP(AllTime1[[#This Row],[Name]],Table16[Name],Table16[Totals],"Error",0,1)</f>
        <v>0</v>
      </c>
      <c r="J595" s="72">
        <f>IF(ISNUMBER(AllTime1[[#This Row],[All-time rank]]), AllTime1[[#This Row],[All-time rank]] + ROW(AllTime1[[#This Row],[All-time rank]])/100000, 99999 + ROW(AllTime1[[#This Row],[All-time rank]])/100000)</f>
        <v>300.00594999999998</v>
      </c>
      <c r="K595" s="70">
        <f>IF(ISNUMBER(AllTime1[[#This Row],[All-time score]]), AllTime1[[#This Row],[All-time score]] + ROW(AllTime1[[#This Row],[All-time score]])/100000000, 0 + ROW(AllTime1[[#This Row],[All-time score]])/1000000000)</f>
        <v>5.9499999999999998E-6</v>
      </c>
    </row>
    <row r="596" spans="7:11" ht="16.5">
      <c r="G596" s="71" t="str">
        <f>IFERROR(Table5[[#This Row],[Full name]],"")</f>
        <v/>
      </c>
      <c r="H596" s="56">
        <f>_xlfn.RANK.EQ(AllTime1[[#This Row],[All-time score]],AllTime1[All-time score],0)</f>
        <v>300</v>
      </c>
      <c r="I596" s="56">
        <f>_xlfn.XLOOKUP(AllTime1[[#This Row],[Name]],Table16[Name],Table16[Totals],"Error",0,1)</f>
        <v>0</v>
      </c>
      <c r="J596" s="72">
        <f>IF(ISNUMBER(AllTime1[[#This Row],[All-time rank]]), AllTime1[[#This Row],[All-time rank]] + ROW(AllTime1[[#This Row],[All-time rank]])/100000, 99999 + ROW(AllTime1[[#This Row],[All-time rank]])/100000)</f>
        <v>300.00596000000002</v>
      </c>
      <c r="K596" s="70">
        <f>IF(ISNUMBER(AllTime1[[#This Row],[All-time score]]), AllTime1[[#This Row],[All-time score]] + ROW(AllTime1[[#This Row],[All-time score]])/100000000, 0 + ROW(AllTime1[[#This Row],[All-time score]])/1000000000)</f>
        <v>5.9599999999999997E-6</v>
      </c>
    </row>
    <row r="597" spans="7:11" ht="16.5">
      <c r="G597" s="71" t="str">
        <f>IFERROR(Table5[[#This Row],[Full name]],"")</f>
        <v/>
      </c>
      <c r="H597" s="56">
        <f>_xlfn.RANK.EQ(AllTime1[[#This Row],[All-time score]],AllTime1[All-time score],0)</f>
        <v>300</v>
      </c>
      <c r="I597" s="56">
        <f>_xlfn.XLOOKUP(AllTime1[[#This Row],[Name]],Table16[Name],Table16[Totals],"Error",0,1)</f>
        <v>0</v>
      </c>
      <c r="J597" s="72">
        <f>IF(ISNUMBER(AllTime1[[#This Row],[All-time rank]]), AllTime1[[#This Row],[All-time rank]] + ROW(AllTime1[[#This Row],[All-time rank]])/100000, 99999 + ROW(AllTime1[[#This Row],[All-time rank]])/100000)</f>
        <v>300.00596999999999</v>
      </c>
      <c r="K597" s="70">
        <f>IF(ISNUMBER(AllTime1[[#This Row],[All-time score]]), AllTime1[[#This Row],[All-time score]] + ROW(AllTime1[[#This Row],[All-time score]])/100000000, 0 + ROW(AllTime1[[#This Row],[All-time score]])/1000000000)</f>
        <v>5.9699999999999996E-6</v>
      </c>
    </row>
    <row r="598" spans="7:11" ht="16.5">
      <c r="G598" s="71" t="str">
        <f>IFERROR(Table5[[#This Row],[Full name]],"")</f>
        <v/>
      </c>
      <c r="H598" s="56">
        <f>_xlfn.RANK.EQ(AllTime1[[#This Row],[All-time score]],AllTime1[All-time score],0)</f>
        <v>300</v>
      </c>
      <c r="I598" s="56">
        <f>_xlfn.XLOOKUP(AllTime1[[#This Row],[Name]],Table16[Name],Table16[Totals],"Error",0,1)</f>
        <v>0</v>
      </c>
      <c r="J598" s="72">
        <f>IF(ISNUMBER(AllTime1[[#This Row],[All-time rank]]), AllTime1[[#This Row],[All-time rank]] + ROW(AllTime1[[#This Row],[All-time rank]])/100000, 99999 + ROW(AllTime1[[#This Row],[All-time rank]])/100000)</f>
        <v>300.00598000000002</v>
      </c>
      <c r="K598" s="70">
        <f>IF(ISNUMBER(AllTime1[[#This Row],[All-time score]]), AllTime1[[#This Row],[All-time score]] + ROW(AllTime1[[#This Row],[All-time score]])/100000000, 0 + ROW(AllTime1[[#This Row],[All-time score]])/1000000000)</f>
        <v>5.9800000000000003E-6</v>
      </c>
    </row>
    <row r="599" spans="7:11" ht="16.5">
      <c r="G599" s="71" t="str">
        <f>IFERROR(Table5[[#This Row],[Full name]],"")</f>
        <v/>
      </c>
      <c r="H599" s="56">
        <f>_xlfn.RANK.EQ(AllTime1[[#This Row],[All-time score]],AllTime1[All-time score],0)</f>
        <v>300</v>
      </c>
      <c r="I599" s="56">
        <f>_xlfn.XLOOKUP(AllTime1[[#This Row],[Name]],Table16[Name],Table16[Totals],"Error",0,1)</f>
        <v>0</v>
      </c>
      <c r="J599" s="72">
        <f>IF(ISNUMBER(AllTime1[[#This Row],[All-time rank]]), AllTime1[[#This Row],[All-time rank]] + ROW(AllTime1[[#This Row],[All-time rank]])/100000, 99999 + ROW(AllTime1[[#This Row],[All-time rank]])/100000)</f>
        <v>300.00599</v>
      </c>
      <c r="K599" s="70">
        <f>IF(ISNUMBER(AllTime1[[#This Row],[All-time score]]), AllTime1[[#This Row],[All-time score]] + ROW(AllTime1[[#This Row],[All-time score]])/100000000, 0 + ROW(AllTime1[[#This Row],[All-time score]])/1000000000)</f>
        <v>5.9900000000000002E-6</v>
      </c>
    </row>
    <row r="600" spans="7:11" ht="16.5">
      <c r="G600" s="71" t="str">
        <f>IFERROR(Table5[[#This Row],[Full name]],"")</f>
        <v/>
      </c>
      <c r="H600" s="56">
        <f>_xlfn.RANK.EQ(AllTime1[[#This Row],[All-time score]],AllTime1[All-time score],0)</f>
        <v>300</v>
      </c>
      <c r="I600" s="56">
        <f>_xlfn.XLOOKUP(AllTime1[[#This Row],[Name]],Table16[Name],Table16[Totals],"Error",0,1)</f>
        <v>0</v>
      </c>
      <c r="J600" s="72">
        <f>IF(ISNUMBER(AllTime1[[#This Row],[All-time rank]]), AllTime1[[#This Row],[All-time rank]] + ROW(AllTime1[[#This Row],[All-time rank]])/100000, 99999 + ROW(AllTime1[[#This Row],[All-time rank]])/100000)</f>
        <v>300.00599999999997</v>
      </c>
      <c r="K600" s="70">
        <f>IF(ISNUMBER(AllTime1[[#This Row],[All-time score]]), AllTime1[[#This Row],[All-time score]] + ROW(AllTime1[[#This Row],[All-time score]])/100000000, 0 + ROW(AllTime1[[#This Row],[All-time score]])/1000000000)</f>
        <v>6.0000000000000002E-6</v>
      </c>
    </row>
  </sheetData>
  <conditionalFormatting sqref="H6:I600 K6:K609">
    <cfRule type="expression" dxfId="355" priority="1">
      <formula>ISNUMBER(H6) =TRUE</formula>
    </cfRule>
  </conditionalFormatting>
  <pageMargins left="0.7" right="0.7" top="0.75" bottom="0.75" header="0.3" footer="0.3"/>
  <pageSetup orientation="portrait" verticalDpi="0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B63E-E664-4E67-B11D-7AF29AA543F3}">
  <sheetPr codeName="Sheet1"/>
  <dimension ref="B1:BL355"/>
  <sheetViews>
    <sheetView topLeftCell="A185" zoomScale="73" zoomScaleNormal="190" workbookViewId="0">
      <selection activeCell="Z221" sqref="Z221"/>
    </sheetView>
  </sheetViews>
  <sheetFormatPr defaultColWidth="8.85546875" defaultRowHeight="15"/>
  <cols>
    <col min="1" max="1" width="5.42578125" customWidth="1"/>
    <col min="2" max="2" width="15.140625" customWidth="1"/>
    <col min="3" max="3" width="16.140625" bestFit="1" customWidth="1"/>
    <col min="4" max="4" width="24.140625" customWidth="1"/>
    <col min="5" max="5" width="24.140625" bestFit="1" customWidth="1"/>
    <col min="6" max="6" width="18.140625" customWidth="1"/>
    <col min="7" max="7" width="15" customWidth="1"/>
    <col min="8" max="8" width="23.5703125" hidden="1" customWidth="1"/>
    <col min="9" max="10" width="19.28515625" hidden="1" customWidth="1"/>
    <col min="11" max="13" width="20.42578125" hidden="1" customWidth="1"/>
    <col min="14" max="16" width="22.7109375" hidden="1" customWidth="1"/>
    <col min="17" max="17" width="21.42578125" hidden="1" customWidth="1"/>
    <col min="18" max="20" width="19.85546875" hidden="1" customWidth="1"/>
    <col min="21" max="24" width="21.140625" hidden="1" customWidth="1"/>
    <col min="25" max="25" width="17.140625" hidden="1" customWidth="1"/>
    <col min="26" max="26" width="15.85546875" hidden="1" customWidth="1"/>
    <col min="27" max="27" width="18.28515625" customWidth="1"/>
    <col min="28" max="33" width="18.28515625" hidden="1" customWidth="1"/>
    <col min="34" max="36" width="16" hidden="1" customWidth="1"/>
    <col min="37" max="37" width="8.85546875" customWidth="1"/>
    <col min="38" max="38" width="9.140625" customWidth="1"/>
    <col min="39" max="39" width="8.85546875" customWidth="1"/>
  </cols>
  <sheetData>
    <row r="1" spans="2:38" ht="21">
      <c r="B1" s="160" t="s">
        <v>234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2:38" ht="15.75" thickBot="1">
      <c r="H2" s="122"/>
    </row>
    <row r="3" spans="2:38" s="5" customFormat="1" ht="27" customHeight="1">
      <c r="B3" s="30"/>
      <c r="C3" s="31"/>
      <c r="D3" s="31"/>
      <c r="E3" s="31"/>
      <c r="F3" s="31"/>
      <c r="G3" s="32" t="s">
        <v>235</v>
      </c>
      <c r="H3" s="32" t="s">
        <v>236</v>
      </c>
      <c r="I3" s="32" t="s">
        <v>237</v>
      </c>
      <c r="J3" s="32" t="s">
        <v>238</v>
      </c>
      <c r="K3" s="32" t="s">
        <v>239</v>
      </c>
      <c r="L3" s="32" t="s">
        <v>240</v>
      </c>
      <c r="M3" s="32" t="s">
        <v>241</v>
      </c>
      <c r="N3" s="32" t="s">
        <v>242</v>
      </c>
      <c r="O3" s="32" t="s">
        <v>243</v>
      </c>
      <c r="P3" s="32" t="s">
        <v>244</v>
      </c>
      <c r="Q3" s="32" t="s">
        <v>245</v>
      </c>
      <c r="R3" s="32" t="s">
        <v>246</v>
      </c>
      <c r="S3" s="32" t="s">
        <v>247</v>
      </c>
      <c r="T3" s="32" t="s">
        <v>248</v>
      </c>
      <c r="U3" s="32" t="s">
        <v>249</v>
      </c>
      <c r="V3" s="32" t="s">
        <v>250</v>
      </c>
      <c r="W3" s="32" t="s">
        <v>251</v>
      </c>
      <c r="X3" s="32" t="s">
        <v>252</v>
      </c>
      <c r="Y3" s="32" t="s">
        <v>253</v>
      </c>
      <c r="Z3" s="32" t="s">
        <v>254</v>
      </c>
      <c r="AA3" s="32" t="s">
        <v>255</v>
      </c>
      <c r="AB3" s="32" t="s">
        <v>256</v>
      </c>
      <c r="AC3" s="32" t="s">
        <v>257</v>
      </c>
      <c r="AD3" s="32" t="s">
        <v>258</v>
      </c>
      <c r="AE3" s="32" t="s">
        <v>259</v>
      </c>
      <c r="AF3" s="32" t="s">
        <v>260</v>
      </c>
      <c r="AG3" s="32" t="s">
        <v>261</v>
      </c>
      <c r="AH3" s="32" t="s">
        <v>262</v>
      </c>
      <c r="AI3" s="32" t="s">
        <v>263</v>
      </c>
      <c r="AJ3" s="33" t="s">
        <v>264</v>
      </c>
      <c r="AL3" s="6"/>
    </row>
    <row r="4" spans="2:38" s="5" customFormat="1" ht="27" customHeight="1" thickBot="1">
      <c r="B4" s="161" t="s">
        <v>265</v>
      </c>
      <c r="C4" s="162"/>
      <c r="D4" s="34">
        <f>COUNTA(Table5[Full name])</f>
        <v>350</v>
      </c>
      <c r="E4" s="34"/>
      <c r="F4" s="34"/>
      <c r="G4" s="35" t="s">
        <v>266</v>
      </c>
      <c r="H4" s="36">
        <v>146</v>
      </c>
      <c r="I4" s="36">
        <v>198</v>
      </c>
      <c r="J4" s="36">
        <v>221</v>
      </c>
      <c r="K4" s="36">
        <v>244</v>
      </c>
      <c r="L4" s="36">
        <v>255</v>
      </c>
      <c r="M4" s="36">
        <v>266</v>
      </c>
      <c r="N4" s="36">
        <v>272</v>
      </c>
      <c r="O4" s="36">
        <v>280</v>
      </c>
      <c r="P4" s="36">
        <v>287</v>
      </c>
      <c r="Q4" s="36">
        <v>299</v>
      </c>
      <c r="R4" s="36">
        <v>303</v>
      </c>
      <c r="S4" s="36">
        <v>318</v>
      </c>
      <c r="T4" s="36">
        <v>327</v>
      </c>
      <c r="U4" s="36"/>
      <c r="V4" s="36"/>
      <c r="W4" s="36"/>
      <c r="X4" s="36"/>
      <c r="Y4" s="36"/>
      <c r="Z4" s="36"/>
      <c r="AA4" s="36">
        <v>349</v>
      </c>
      <c r="AB4" s="36"/>
      <c r="AC4" s="36"/>
      <c r="AD4" s="36"/>
      <c r="AE4" s="36"/>
      <c r="AF4" s="36"/>
      <c r="AG4" s="36"/>
      <c r="AH4" s="36"/>
      <c r="AI4" s="36"/>
      <c r="AJ4" s="37"/>
      <c r="AL4" s="6"/>
    </row>
    <row r="5" spans="2:38">
      <c r="B5" s="28" t="s">
        <v>267</v>
      </c>
      <c r="C5" s="28" t="s">
        <v>268</v>
      </c>
      <c r="D5" s="28" t="s">
        <v>269</v>
      </c>
      <c r="E5" s="28" t="s">
        <v>270</v>
      </c>
      <c r="F5" s="28" t="s">
        <v>185</v>
      </c>
      <c r="G5" s="28" t="s">
        <v>271</v>
      </c>
      <c r="H5" s="29" t="s">
        <v>272</v>
      </c>
      <c r="I5" s="29" t="s">
        <v>273</v>
      </c>
      <c r="J5" s="29" t="s">
        <v>274</v>
      </c>
      <c r="K5" s="29" t="s">
        <v>275</v>
      </c>
      <c r="L5" s="29" t="s">
        <v>276</v>
      </c>
      <c r="M5" s="29" t="s">
        <v>277</v>
      </c>
      <c r="N5" s="29" t="s">
        <v>278</v>
      </c>
      <c r="O5" s="29" t="s">
        <v>279</v>
      </c>
      <c r="P5" s="29" t="s">
        <v>280</v>
      </c>
      <c r="Q5" s="29" t="s">
        <v>281</v>
      </c>
      <c r="R5" s="29" t="s">
        <v>282</v>
      </c>
      <c r="S5" s="29" t="s">
        <v>283</v>
      </c>
      <c r="T5" s="154" t="s">
        <v>284</v>
      </c>
      <c r="U5" s="29" t="s">
        <v>285</v>
      </c>
      <c r="V5" s="29" t="s">
        <v>286</v>
      </c>
      <c r="W5" s="29" t="s">
        <v>287</v>
      </c>
      <c r="X5" s="29" t="s">
        <v>288</v>
      </c>
      <c r="Y5" s="29" t="s">
        <v>289</v>
      </c>
      <c r="Z5" s="29" t="s">
        <v>290</v>
      </c>
      <c r="AA5" s="29" t="s">
        <v>291</v>
      </c>
      <c r="AB5" s="29" t="s">
        <v>292</v>
      </c>
      <c r="AC5" s="29" t="s">
        <v>293</v>
      </c>
      <c r="AD5" s="29" t="s">
        <v>294</v>
      </c>
      <c r="AE5" s="29" t="s">
        <v>295</v>
      </c>
      <c r="AF5" s="29" t="s">
        <v>296</v>
      </c>
      <c r="AG5" s="29" t="s">
        <v>297</v>
      </c>
      <c r="AH5" s="29" t="s">
        <v>298</v>
      </c>
      <c r="AI5" s="29" t="s">
        <v>299</v>
      </c>
      <c r="AJ5" s="29" t="s">
        <v>300</v>
      </c>
    </row>
    <row r="6" spans="2:38">
      <c r="B6" s="2" t="s">
        <v>301</v>
      </c>
      <c r="C6" s="2" t="s">
        <v>302</v>
      </c>
      <c r="D6" s="2" t="str">
        <f>Table5[[#This Row],[First name]]&amp;" "&amp;Table5[[#This Row],[Last name]]</f>
        <v>David Ribkoff</v>
      </c>
      <c r="E6" s="2" t="str">
        <f>_xlfn.XLOOKUP(Table5[[#This Row],[Full name]],Table26[Name],Table26[Role],"Member",0,1)</f>
        <v>President</v>
      </c>
      <c r="F6" s="2" t="s">
        <v>188</v>
      </c>
      <c r="G6" s="26" cm="1">
        <f t="array" aca="1" ref="G6" ca="1">COUNTIF(Table5[[#This Row],[September 30, 2025]:[April 7, 2026]],"Yes")/SUMPRODUCT(--(DATEVALUE(Table5[[#Headers],[September 30, 2025]:[April 9, 2026]])&lt;=TODAY()))</f>
        <v>0.4</v>
      </c>
      <c r="H6" t="s">
        <v>190</v>
      </c>
      <c r="I6" t="s">
        <v>190</v>
      </c>
      <c r="J6" t="s">
        <v>186</v>
      </c>
      <c r="K6" t="s">
        <v>190</v>
      </c>
      <c r="L6" t="s">
        <v>186</v>
      </c>
      <c r="M6" t="s">
        <v>186</v>
      </c>
      <c r="N6" t="s">
        <v>186</v>
      </c>
      <c r="O6" t="s">
        <v>190</v>
      </c>
      <c r="P6" t="s">
        <v>190</v>
      </c>
      <c r="Q6" t="s">
        <v>186</v>
      </c>
      <c r="R6" t="s">
        <v>186</v>
      </c>
      <c r="S6" t="s">
        <v>190</v>
      </c>
      <c r="T6" s="151" t="s">
        <v>190</v>
      </c>
      <c r="U6" t="s">
        <v>186</v>
      </c>
      <c r="V6" t="s">
        <v>190</v>
      </c>
      <c r="W6" t="s">
        <v>190</v>
      </c>
      <c r="X6" t="s">
        <v>186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</row>
    <row r="7" spans="2:38">
      <c r="B7" s="2" t="s">
        <v>303</v>
      </c>
      <c r="C7" s="2" t="s">
        <v>304</v>
      </c>
      <c r="D7" s="2" t="str">
        <f>Table5[[#This Row],[First name]]&amp;" "&amp;Table5[[#This Row],[Last name]]</f>
        <v>Ryan Chen</v>
      </c>
      <c r="E7" s="2" t="str">
        <f>_xlfn.XLOOKUP(Table5[[#This Row],[Full name]],Table26[Name],Table26[Role],"Member",0,1)</f>
        <v>VP Comms</v>
      </c>
      <c r="F7" s="2" t="s">
        <v>188</v>
      </c>
      <c r="G7" s="26" cm="1">
        <f t="array" aca="1" ref="G7" ca="1">COUNTIF(Table5[[#This Row],[September 30, 2025]:[April 7, 2026]],"Yes")/SUMPRODUCT(--(DATEVALUE(Table5[[#Headers],[September 30, 2025]:[April 9, 2026]])&lt;=TODAY()))</f>
        <v>0.7</v>
      </c>
      <c r="H7" t="s">
        <v>186</v>
      </c>
      <c r="I7" t="s">
        <v>186</v>
      </c>
      <c r="J7" t="s">
        <v>186</v>
      </c>
      <c r="K7" t="s">
        <v>190</v>
      </c>
      <c r="L7" t="s">
        <v>186</v>
      </c>
      <c r="M7" t="s">
        <v>186</v>
      </c>
      <c r="N7" t="s">
        <v>186</v>
      </c>
      <c r="O7" t="s">
        <v>186</v>
      </c>
      <c r="P7" t="s">
        <v>190</v>
      </c>
      <c r="Q7" t="s">
        <v>186</v>
      </c>
      <c r="R7" t="s">
        <v>186</v>
      </c>
      <c r="S7" t="s">
        <v>186</v>
      </c>
      <c r="T7" s="151" t="s">
        <v>186</v>
      </c>
      <c r="U7" t="s">
        <v>190</v>
      </c>
      <c r="V7" t="s">
        <v>190</v>
      </c>
      <c r="W7" t="s">
        <v>186</v>
      </c>
      <c r="X7" t="s">
        <v>190</v>
      </c>
      <c r="Y7" t="s">
        <v>186</v>
      </c>
      <c r="Z7" t="s">
        <v>186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</row>
    <row r="8" spans="2:38">
      <c r="B8" s="2" t="s">
        <v>305</v>
      </c>
      <c r="C8" s="2" t="s">
        <v>306</v>
      </c>
      <c r="D8" s="2" t="str">
        <f>Table5[[#This Row],[First name]]&amp;" "&amp;Table5[[#This Row],[Last name]]</f>
        <v>Myles MacPherson</v>
      </c>
      <c r="E8" s="2" t="str">
        <f>_xlfn.XLOOKUP(Table5[[#This Row],[Full name]],Table26[Name],Table26[Role],"Member",0,1)</f>
        <v>VP Events</v>
      </c>
      <c r="F8" s="2" t="s">
        <v>188</v>
      </c>
      <c r="G8" s="26" cm="1">
        <f t="array" aca="1" ref="G8" ca="1">COUNTIF(Table5[[#This Row],[September 30, 2025]:[April 7, 2026]],"Yes")/SUMPRODUCT(--(DATEVALUE(Table5[[#Headers],[September 30, 2025]:[April 9, 2026]])&lt;=TODAY()))</f>
        <v>0.2</v>
      </c>
      <c r="H8" t="s">
        <v>190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186</v>
      </c>
      <c r="Q8" t="s">
        <v>186</v>
      </c>
      <c r="R8" t="s">
        <v>190</v>
      </c>
      <c r="S8" t="s">
        <v>190</v>
      </c>
      <c r="T8" s="151" t="s">
        <v>190</v>
      </c>
      <c r="U8" t="s">
        <v>186</v>
      </c>
      <c r="V8" t="s">
        <v>190</v>
      </c>
      <c r="W8" t="s">
        <v>190</v>
      </c>
      <c r="X8" t="s">
        <v>190</v>
      </c>
      <c r="Y8" t="s">
        <v>186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</row>
    <row r="9" spans="2:38">
      <c r="B9" s="2" t="s">
        <v>307</v>
      </c>
      <c r="C9" s="2" t="s">
        <v>308</v>
      </c>
      <c r="D9" s="2" t="str">
        <f>Table5[[#This Row],[First name]]&amp;" "&amp;Table5[[#This Row],[Last name]]</f>
        <v>Tyler Mah</v>
      </c>
      <c r="E9" s="2" t="str">
        <f>_xlfn.XLOOKUP(Table5[[#This Row],[Full name]],Table26[Name],Table26[Role],"Member",0,1)</f>
        <v>VP External</v>
      </c>
      <c r="F9" s="2" t="s">
        <v>188</v>
      </c>
      <c r="G9" s="26" cm="1">
        <f t="array" aca="1" ref="G9" ca="1">COUNTIF(Table5[[#This Row],[September 30, 2025]:[April 7, 2026]],"Yes")/SUMPRODUCT(--(DATEVALUE(Table5[[#Headers],[September 30, 2025]:[April 9, 2026]])&lt;=TODAY()))</f>
        <v>0.25</v>
      </c>
      <c r="H9" t="s">
        <v>186</v>
      </c>
      <c r="I9" t="s">
        <v>186</v>
      </c>
      <c r="J9" t="s">
        <v>190</v>
      </c>
      <c r="K9" t="s">
        <v>190</v>
      </c>
      <c r="L9" t="s">
        <v>190</v>
      </c>
      <c r="M9" t="s">
        <v>190</v>
      </c>
      <c r="N9" t="s">
        <v>186</v>
      </c>
      <c r="O9" t="s">
        <v>190</v>
      </c>
      <c r="P9" t="s">
        <v>190</v>
      </c>
      <c r="Q9" t="s">
        <v>190</v>
      </c>
      <c r="R9" t="s">
        <v>186</v>
      </c>
      <c r="S9" t="s">
        <v>190</v>
      </c>
      <c r="T9" s="151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186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</row>
    <row r="10" spans="2:38">
      <c r="B10" s="2" t="s">
        <v>309</v>
      </c>
      <c r="C10" s="2" t="s">
        <v>310</v>
      </c>
      <c r="D10" s="2" t="str">
        <f>Table5[[#This Row],[First name]]&amp;" "&amp;Table5[[#This Row],[Last name]]</f>
        <v>Nathan Fenske</v>
      </c>
      <c r="E10" s="2" t="str">
        <f>_xlfn.XLOOKUP(Table5[[#This Row],[Full name]],Table26[Name],Table26[Role],"Member",0,1)</f>
        <v>VP Finance</v>
      </c>
      <c r="F10" s="2" t="s">
        <v>188</v>
      </c>
      <c r="G10" s="26" cm="1">
        <f t="array" aca="1" ref="G10" ca="1">COUNTIF(Table5[[#This Row],[September 30, 2025]:[April 7, 2026]],"Yes")/SUMPRODUCT(--(DATEVALUE(Table5[[#Headers],[September 30, 2025]:[April 9, 2026]])&lt;=TODAY()))</f>
        <v>0.1</v>
      </c>
      <c r="H10" t="s">
        <v>190</v>
      </c>
      <c r="I10" t="s">
        <v>190</v>
      </c>
      <c r="J10" t="s">
        <v>190</v>
      </c>
      <c r="K10" t="s">
        <v>186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186</v>
      </c>
      <c r="R10" t="s">
        <v>190</v>
      </c>
      <c r="S10" t="s">
        <v>190</v>
      </c>
      <c r="T10" s="151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</row>
    <row r="11" spans="2:38">
      <c r="B11" s="2" t="s">
        <v>311</v>
      </c>
      <c r="C11" s="2" t="s">
        <v>312</v>
      </c>
      <c r="D11" s="2" t="str">
        <f>Table5[[#This Row],[First name]]&amp;" "&amp;Table5[[#This Row],[Last name]]</f>
        <v>Jackie Cai</v>
      </c>
      <c r="E11" s="2" t="str">
        <f>_xlfn.XLOOKUP(Table5[[#This Row],[Full name]],Table26[Name],Table26[Role],"Member",0,1)</f>
        <v>VP Projects</v>
      </c>
      <c r="F11" s="2" t="s">
        <v>188</v>
      </c>
      <c r="G11" s="26" cm="1">
        <f t="array" aca="1" ref="G11" ca="1">COUNTIF(Table5[[#This Row],[September 30, 2025]:[April 7, 2026]],"Yes")/SUMPRODUCT(--(DATEVALUE(Table5[[#Headers],[September 30, 2025]:[April 9, 2026]])&lt;=TODAY()))</f>
        <v>0.3</v>
      </c>
      <c r="H11" t="s">
        <v>186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186</v>
      </c>
      <c r="O11" t="s">
        <v>190</v>
      </c>
      <c r="P11" t="s">
        <v>186</v>
      </c>
      <c r="Q11" t="s">
        <v>190</v>
      </c>
      <c r="R11" t="s">
        <v>186</v>
      </c>
      <c r="S11" t="s">
        <v>190</v>
      </c>
      <c r="T11" s="151" t="s">
        <v>186</v>
      </c>
      <c r="U11" t="s">
        <v>190</v>
      </c>
      <c r="V11" t="s">
        <v>190</v>
      </c>
      <c r="W11" t="s">
        <v>190</v>
      </c>
      <c r="X11" t="s">
        <v>190</v>
      </c>
      <c r="Y11" t="s">
        <v>186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</row>
    <row r="12" spans="2:38">
      <c r="B12" s="2" t="s">
        <v>313</v>
      </c>
      <c r="C12" s="2" t="s">
        <v>314</v>
      </c>
      <c r="D12" s="2" t="str">
        <f>Table5[[#This Row],[First name]]&amp;" "&amp;Table5[[#This Row],[Last name]]</f>
        <v>Edward Dong</v>
      </c>
      <c r="E12" s="2" t="str">
        <f>_xlfn.XLOOKUP(Table5[[#This Row],[Full name]],Table26[Name],Table26[Role],"Member",0,1)</f>
        <v>Director of Events</v>
      </c>
      <c r="F12" s="2" t="s">
        <v>188</v>
      </c>
      <c r="G12" s="26" cm="1">
        <f t="array" aca="1" ref="G12" ca="1">COUNTIF(Table5[[#This Row],[September 30, 2025]:[April 7, 2026]],"Yes")/SUMPRODUCT(--(DATEVALUE(Table5[[#Headers],[September 30, 2025]:[April 9, 2026]])&lt;=TODAY()))</f>
        <v>0.4</v>
      </c>
      <c r="H12" t="s">
        <v>186</v>
      </c>
      <c r="I12" t="s">
        <v>186</v>
      </c>
      <c r="J12" t="s">
        <v>190</v>
      </c>
      <c r="K12" t="s">
        <v>186</v>
      </c>
      <c r="L12" t="s">
        <v>190</v>
      </c>
      <c r="M12" t="s">
        <v>190</v>
      </c>
      <c r="N12" t="s">
        <v>186</v>
      </c>
      <c r="O12" t="s">
        <v>186</v>
      </c>
      <c r="P12" t="s">
        <v>186</v>
      </c>
      <c r="Q12" t="s">
        <v>186</v>
      </c>
      <c r="R12" t="s">
        <v>190</v>
      </c>
      <c r="S12" t="s">
        <v>190</v>
      </c>
      <c r="T12" s="151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186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</row>
    <row r="13" spans="2:38">
      <c r="B13" s="2" t="s">
        <v>315</v>
      </c>
      <c r="C13" s="2" t="s">
        <v>316</v>
      </c>
      <c r="D13" s="2" t="str">
        <f>Table5[[#This Row],[First name]]&amp;" "&amp;Table5[[#This Row],[Last name]]</f>
        <v>Kaden Ali</v>
      </c>
      <c r="E13" s="2" t="str">
        <f>_xlfn.XLOOKUP(Table5[[#This Row],[Full name]],Table26[Name],Table26[Role],"Member",0,1)</f>
        <v>Director of Events</v>
      </c>
      <c r="F13" s="2" t="s">
        <v>188</v>
      </c>
      <c r="G13" s="26" cm="1">
        <f t="array" aca="1" ref="G13" ca="1">COUNTIF(Table5[[#This Row],[September 30, 2025]:[April 7, 2026]],"Yes")/SUMPRODUCT(--(DATEVALUE(Table5[[#Headers],[September 30, 2025]:[April 9, 2026]])&lt;=TODAY()))</f>
        <v>0.35</v>
      </c>
      <c r="H13" t="s">
        <v>186</v>
      </c>
      <c r="I13" t="s">
        <v>190</v>
      </c>
      <c r="J13" t="s">
        <v>190</v>
      </c>
      <c r="K13" t="s">
        <v>190</v>
      </c>
      <c r="L13" t="s">
        <v>186</v>
      </c>
      <c r="M13" t="s">
        <v>186</v>
      </c>
      <c r="N13" t="s">
        <v>186</v>
      </c>
      <c r="O13" t="s">
        <v>186</v>
      </c>
      <c r="P13" t="s">
        <v>190</v>
      </c>
      <c r="Q13" t="s">
        <v>186</v>
      </c>
      <c r="R13" t="s">
        <v>190</v>
      </c>
      <c r="S13" t="s">
        <v>190</v>
      </c>
      <c r="T13" s="151" t="s">
        <v>190</v>
      </c>
      <c r="U13" t="s">
        <v>190</v>
      </c>
      <c r="V13" t="s">
        <v>190</v>
      </c>
      <c r="W13" t="s">
        <v>186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</row>
    <row r="14" spans="2:38">
      <c r="B14" s="2" t="s">
        <v>317</v>
      </c>
      <c r="C14" s="2" t="s">
        <v>318</v>
      </c>
      <c r="D14" s="2" t="str">
        <f>Table5[[#This Row],[First name]]&amp;" "&amp;Table5[[#This Row],[Last name]]</f>
        <v>Matthew Barclay</v>
      </c>
      <c r="E14" s="2" t="str">
        <f>_xlfn.XLOOKUP(Table5[[#This Row],[Full name]],Table26[Name],Table26[Role],"Member",0,1)</f>
        <v>Director of Events</v>
      </c>
      <c r="F14" s="2" t="s">
        <v>188</v>
      </c>
      <c r="G14" s="26" cm="1">
        <f t="array" aca="1" ref="G14" ca="1">COUNTIF(Table5[[#This Row],[September 30, 2025]:[April 7, 2026]],"Yes")/SUMPRODUCT(--(DATEVALUE(Table5[[#Headers],[September 30, 2025]:[April 9, 2026]])&lt;=TODAY()))</f>
        <v>0.75</v>
      </c>
      <c r="H14" t="s">
        <v>190</v>
      </c>
      <c r="I14" t="s">
        <v>186</v>
      </c>
      <c r="J14" t="s">
        <v>190</v>
      </c>
      <c r="K14" t="s">
        <v>186</v>
      </c>
      <c r="L14" t="s">
        <v>190</v>
      </c>
      <c r="M14" t="s">
        <v>186</v>
      </c>
      <c r="N14" t="s">
        <v>186</v>
      </c>
      <c r="O14" t="s">
        <v>186</v>
      </c>
      <c r="P14" t="s">
        <v>186</v>
      </c>
      <c r="Q14" t="s">
        <v>186</v>
      </c>
      <c r="R14" t="s">
        <v>186</v>
      </c>
      <c r="S14" t="s">
        <v>190</v>
      </c>
      <c r="T14" s="151" t="s">
        <v>186</v>
      </c>
      <c r="U14" t="s">
        <v>186</v>
      </c>
      <c r="V14" t="s">
        <v>186</v>
      </c>
      <c r="W14" t="s">
        <v>186</v>
      </c>
      <c r="X14" t="s">
        <v>186</v>
      </c>
      <c r="Y14" t="s">
        <v>186</v>
      </c>
      <c r="Z14" t="s">
        <v>186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</row>
    <row r="15" spans="2:38">
      <c r="B15" s="2" t="s">
        <v>319</v>
      </c>
      <c r="C15" s="2" t="s">
        <v>320</v>
      </c>
      <c r="D15" s="2" t="str">
        <f>Table5[[#This Row],[First name]]&amp;" "&amp;Table5[[#This Row],[Last name]]</f>
        <v>Pavel Zykmund</v>
      </c>
      <c r="E15" s="2" t="str">
        <f>_xlfn.XLOOKUP(Table5[[#This Row],[Full name]],Table26[Name],Table26[Role],"Member",0,1)</f>
        <v>Director of Events</v>
      </c>
      <c r="F15" s="2" t="s">
        <v>188</v>
      </c>
      <c r="G15" s="26" cm="1">
        <f t="array" aca="1" ref="G15" ca="1">COUNTIF(Table5[[#This Row],[September 30, 2025]:[April 7, 2026]],"Yes")/SUMPRODUCT(--(DATEVALUE(Table5[[#Headers],[September 30, 2025]:[April 9, 2026]])&lt;=TODAY()))</f>
        <v>0.35</v>
      </c>
      <c r="H15" t="s">
        <v>186</v>
      </c>
      <c r="I15" t="s">
        <v>186</v>
      </c>
      <c r="J15" t="s">
        <v>190</v>
      </c>
      <c r="K15" t="s">
        <v>186</v>
      </c>
      <c r="L15" t="s">
        <v>186</v>
      </c>
      <c r="M15" t="s">
        <v>190</v>
      </c>
      <c r="N15" t="s">
        <v>190</v>
      </c>
      <c r="O15" t="s">
        <v>190</v>
      </c>
      <c r="P15" t="s">
        <v>190</v>
      </c>
      <c r="Q15" t="s">
        <v>186</v>
      </c>
      <c r="R15" t="s">
        <v>186</v>
      </c>
      <c r="S15" t="s">
        <v>190</v>
      </c>
      <c r="T15" s="151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186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</row>
    <row r="16" spans="2:38">
      <c r="B16" s="2" t="s">
        <v>321</v>
      </c>
      <c r="C16" s="2" t="s">
        <v>322</v>
      </c>
      <c r="D16" s="2" t="str">
        <f>Table5[[#This Row],[First name]]&amp;" "&amp;Table5[[#This Row],[Last name]]</f>
        <v>Rita Shweihat</v>
      </c>
      <c r="E16" s="2" t="str">
        <f>_xlfn.XLOOKUP(Table5[[#This Row],[Full name]],Table26[Name],Table26[Role],"Member",0,1)</f>
        <v>Director of Events</v>
      </c>
      <c r="F16" s="2" t="s">
        <v>188</v>
      </c>
      <c r="G16" s="26" cm="1">
        <f t="array" aca="1" ref="G16" ca="1">COUNTIF(Table5[[#This Row],[September 30, 2025]:[April 7, 2026]],"Yes")/SUMPRODUCT(--(DATEVALUE(Table5[[#Headers],[September 30, 2025]:[April 9, 2026]])&lt;=TODAY()))</f>
        <v>0.55000000000000004</v>
      </c>
      <c r="H16" t="s">
        <v>186</v>
      </c>
      <c r="I16" t="s">
        <v>190</v>
      </c>
      <c r="J16" t="s">
        <v>190</v>
      </c>
      <c r="K16" t="s">
        <v>186</v>
      </c>
      <c r="L16" t="s">
        <v>186</v>
      </c>
      <c r="M16" t="s">
        <v>186</v>
      </c>
      <c r="N16" t="s">
        <v>186</v>
      </c>
      <c r="O16" t="s">
        <v>186</v>
      </c>
      <c r="P16" t="s">
        <v>186</v>
      </c>
      <c r="Q16" t="s">
        <v>186</v>
      </c>
      <c r="R16" t="s">
        <v>186</v>
      </c>
      <c r="S16" t="s">
        <v>190</v>
      </c>
      <c r="T16" s="151" t="s">
        <v>190</v>
      </c>
      <c r="U16" t="s">
        <v>190</v>
      </c>
      <c r="V16" t="s">
        <v>190</v>
      </c>
      <c r="W16" t="s">
        <v>186</v>
      </c>
      <c r="X16" t="s">
        <v>190</v>
      </c>
      <c r="Y16" t="s">
        <v>186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</row>
    <row r="17" spans="2:36">
      <c r="B17" s="2" t="s">
        <v>323</v>
      </c>
      <c r="C17" s="2" t="s">
        <v>324</v>
      </c>
      <c r="D17" s="2" t="str">
        <f>Table5[[#This Row],[First name]]&amp;" "&amp;Table5[[#This Row],[Last name]]</f>
        <v>Sam Ahn</v>
      </c>
      <c r="E17" s="2" t="str">
        <f>_xlfn.XLOOKUP(Table5[[#This Row],[Full name]],Table26[Name],Table26[Role],"Member",0,1)</f>
        <v>Director of Events</v>
      </c>
      <c r="F17" s="2" t="s">
        <v>188</v>
      </c>
      <c r="G17" s="26" cm="1">
        <f t="array" aca="1" ref="G17" ca="1">COUNTIF(Table5[[#This Row],[September 30, 2025]:[April 7, 2026]],"Yes")/SUMPRODUCT(--(DATEVALUE(Table5[[#Headers],[September 30, 2025]:[April 9, 2026]])&lt;=TODAY()))</f>
        <v>1</v>
      </c>
      <c r="H17" t="s">
        <v>186</v>
      </c>
      <c r="I17" t="s">
        <v>186</v>
      </c>
      <c r="J17" t="s">
        <v>186</v>
      </c>
      <c r="K17" t="s">
        <v>186</v>
      </c>
      <c r="L17" t="s">
        <v>186</v>
      </c>
      <c r="M17" t="s">
        <v>186</v>
      </c>
      <c r="N17" t="s">
        <v>186</v>
      </c>
      <c r="O17" t="s">
        <v>186</v>
      </c>
      <c r="P17" t="s">
        <v>186</v>
      </c>
      <c r="Q17" t="s">
        <v>186</v>
      </c>
      <c r="R17" t="s">
        <v>186</v>
      </c>
      <c r="S17" t="s">
        <v>186</v>
      </c>
      <c r="T17" s="151" t="s">
        <v>186</v>
      </c>
      <c r="U17" t="s">
        <v>186</v>
      </c>
      <c r="V17" t="s">
        <v>186</v>
      </c>
      <c r="W17" t="s">
        <v>186</v>
      </c>
      <c r="X17" t="s">
        <v>186</v>
      </c>
      <c r="Y17" t="s">
        <v>186</v>
      </c>
      <c r="Z17" t="s">
        <v>186</v>
      </c>
      <c r="AA17" t="s">
        <v>186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</row>
    <row r="18" spans="2:36">
      <c r="B18" s="2" t="s">
        <v>325</v>
      </c>
      <c r="C18" s="2" t="s">
        <v>326</v>
      </c>
      <c r="D18" s="2" t="str">
        <f>Table5[[#This Row],[First name]]&amp;" "&amp;Table5[[#This Row],[Last name]]</f>
        <v>Aidan Kwong</v>
      </c>
      <c r="E18" s="2" t="str">
        <f>_xlfn.XLOOKUP(Table5[[#This Row],[Full name]],Table26[Name],Table26[Role],"Member",0,1)</f>
        <v>Director of Finance</v>
      </c>
      <c r="F18" s="2" t="s">
        <v>188</v>
      </c>
      <c r="G18" s="26" cm="1">
        <f t="array" aca="1" ref="G18" ca="1">COUNTIF(Table5[[#This Row],[September 30, 2025]:[April 7, 2026]],"Yes")/SUMPRODUCT(--(DATEVALUE(Table5[[#Headers],[September 30, 2025]:[April 9, 2026]])&lt;=TODAY()))</f>
        <v>0.75</v>
      </c>
      <c r="H18" t="s">
        <v>186</v>
      </c>
      <c r="I18" t="s">
        <v>186</v>
      </c>
      <c r="J18" t="s">
        <v>186</v>
      </c>
      <c r="K18" t="s">
        <v>186</v>
      </c>
      <c r="L18" t="s">
        <v>190</v>
      </c>
      <c r="M18" t="s">
        <v>190</v>
      </c>
      <c r="N18" t="s">
        <v>186</v>
      </c>
      <c r="O18" t="s">
        <v>186</v>
      </c>
      <c r="P18" t="s">
        <v>186</v>
      </c>
      <c r="Q18" t="s">
        <v>186</v>
      </c>
      <c r="R18" t="s">
        <v>186</v>
      </c>
      <c r="S18" t="s">
        <v>186</v>
      </c>
      <c r="T18" s="151" t="s">
        <v>186</v>
      </c>
      <c r="U18" t="s">
        <v>186</v>
      </c>
      <c r="V18" t="s">
        <v>186</v>
      </c>
      <c r="W18" t="s">
        <v>190</v>
      </c>
      <c r="X18" t="s">
        <v>186</v>
      </c>
      <c r="Y18" t="s">
        <v>186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</row>
    <row r="19" spans="2:36">
      <c r="B19" s="2" t="s">
        <v>327</v>
      </c>
      <c r="C19" s="2" t="s">
        <v>328</v>
      </c>
      <c r="D19" s="2" t="str">
        <f>Table5[[#This Row],[First name]]&amp;" "&amp;Table5[[#This Row],[Last name]]</f>
        <v>Eduard Zavedei</v>
      </c>
      <c r="E19" s="2" t="str">
        <f>_xlfn.XLOOKUP(Table5[[#This Row],[Full name]],Table26[Name],Table26[Role],"Member",0,1)</f>
        <v>Director of Graphics</v>
      </c>
      <c r="F19" s="2" t="s">
        <v>188</v>
      </c>
      <c r="G19" s="26" cm="1">
        <f t="array" aca="1" ref="G19" ca="1">COUNTIF(Table5[[#This Row],[September 30, 2025]:[April 7, 2026]],"Yes")/SUMPRODUCT(--(DATEVALUE(Table5[[#Headers],[September 30, 2025]:[April 9, 2026]])&lt;=TODAY()))</f>
        <v>0.1</v>
      </c>
      <c r="H19" t="s">
        <v>190</v>
      </c>
      <c r="I19" t="s">
        <v>186</v>
      </c>
      <c r="J19" t="s">
        <v>186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T19" s="151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</row>
    <row r="20" spans="2:36">
      <c r="B20" s="2" t="s">
        <v>329</v>
      </c>
      <c r="C20" s="2" t="s">
        <v>330</v>
      </c>
      <c r="D20" s="2" t="str">
        <f>Table5[[#This Row],[First name]]&amp;" "&amp;Table5[[#This Row],[Last name]]</f>
        <v>Ohemaa Acheampong</v>
      </c>
      <c r="E20" s="2" t="str">
        <f>_xlfn.XLOOKUP(Table5[[#This Row],[Full name]],Table26[Name],Table26[Role],"Member",0,1)</f>
        <v>Director of Graphics</v>
      </c>
      <c r="F20" s="2" t="s">
        <v>188</v>
      </c>
      <c r="G20" s="26" cm="1">
        <f t="array" aca="1" ref="G20" ca="1">COUNTIF(Table5[[#This Row],[September 30, 2025]:[April 7, 2026]],"Yes")/SUMPRODUCT(--(DATEVALUE(Table5[[#Headers],[September 30, 2025]:[April 9, 2026]])&lt;=TODAY()))</f>
        <v>0.05</v>
      </c>
      <c r="H20" t="s">
        <v>190</v>
      </c>
      <c r="I20" t="s">
        <v>190</v>
      </c>
      <c r="J20" t="s">
        <v>190</v>
      </c>
      <c r="K20" t="s">
        <v>190</v>
      </c>
      <c r="L20" t="s">
        <v>190</v>
      </c>
      <c r="M20" t="s">
        <v>186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s="151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</row>
    <row r="21" spans="2:36">
      <c r="B21" s="2" t="s">
        <v>331</v>
      </c>
      <c r="C21" s="2" t="s">
        <v>332</v>
      </c>
      <c r="D21" s="2" t="str">
        <f>Table5[[#This Row],[First name]]&amp;" "&amp;Table5[[#This Row],[Last name]]</f>
        <v>Ben Bulyovsky</v>
      </c>
      <c r="E21" s="2" t="str">
        <f>_xlfn.XLOOKUP(Table5[[#This Row],[Full name]],Table26[Name],Table26[Role],"Member",0,1)</f>
        <v>Director of Productions</v>
      </c>
      <c r="F21" s="2" t="s">
        <v>188</v>
      </c>
      <c r="G21" s="26" cm="1">
        <f t="array" aca="1" ref="G21" ca="1">COUNTIF(Table5[[#This Row],[September 30, 2025]:[April 7, 2026]],"Yes")/SUMPRODUCT(--(DATEVALUE(Table5[[#Headers],[September 30, 2025]:[April 9, 2026]])&lt;=TODAY()))</f>
        <v>0.15</v>
      </c>
      <c r="H21" t="s">
        <v>186</v>
      </c>
      <c r="I21" t="s">
        <v>190</v>
      </c>
      <c r="J21" t="s">
        <v>190</v>
      </c>
      <c r="K21" t="s">
        <v>186</v>
      </c>
      <c r="L21" t="s">
        <v>186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s="15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</row>
    <row r="22" spans="2:36">
      <c r="B22" s="2" t="s">
        <v>333</v>
      </c>
      <c r="C22" s="2" t="s">
        <v>334</v>
      </c>
      <c r="D22" s="2" t="str">
        <f>Table5[[#This Row],[First name]]&amp;" "&amp;Table5[[#This Row],[Last name]]</f>
        <v>Brock Suidgeest</v>
      </c>
      <c r="E22" s="2" t="str">
        <f>_xlfn.XLOOKUP(Table5[[#This Row],[Full name]],Table26[Name],Table26[Role],"Member",0,1)</f>
        <v>Director of Projects</v>
      </c>
      <c r="F22" s="2" t="s">
        <v>188</v>
      </c>
      <c r="G22" s="26" cm="1">
        <f t="array" aca="1" ref="G22" ca="1">COUNTIF(Table5[[#This Row],[September 30, 2025]:[April 7, 2026]],"Yes")/SUMPRODUCT(--(DATEVALUE(Table5[[#Headers],[September 30, 2025]:[April 9, 2026]])&lt;=TODAY()))</f>
        <v>0.15</v>
      </c>
      <c r="H22" t="s">
        <v>190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186</v>
      </c>
      <c r="Q22" t="s">
        <v>190</v>
      </c>
      <c r="R22" t="s">
        <v>190</v>
      </c>
      <c r="S22" t="s">
        <v>186</v>
      </c>
      <c r="T22" s="151" t="s">
        <v>190</v>
      </c>
      <c r="U22" t="s">
        <v>190</v>
      </c>
      <c r="V22" t="s">
        <v>190</v>
      </c>
      <c r="W22" t="s">
        <v>190</v>
      </c>
      <c r="X22" t="s">
        <v>186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</row>
    <row r="23" spans="2:36">
      <c r="B23" s="2" t="s">
        <v>335</v>
      </c>
      <c r="C23" s="2" t="s">
        <v>336</v>
      </c>
      <c r="D23" s="2" t="str">
        <f>Table5[[#This Row],[First name]]&amp;" "&amp;Table5[[#This Row],[Last name]]</f>
        <v>Cyrus Bechtold</v>
      </c>
      <c r="E23" s="2" t="str">
        <f>_xlfn.XLOOKUP(Table5[[#This Row],[Full name]],Table26[Name],Table26[Role],"Member",0,1)</f>
        <v>Director of Projects</v>
      </c>
      <c r="F23" s="2" t="s">
        <v>188</v>
      </c>
      <c r="G23" s="26" cm="1">
        <f t="array" aca="1" ref="G23" ca="1">COUNTIF(Table5[[#This Row],[September 30, 2025]:[April 7, 2026]],"Yes")/SUMPRODUCT(--(DATEVALUE(Table5[[#Headers],[September 30, 2025]:[April 9, 2026]])&lt;=TODAY()))</f>
        <v>0.5</v>
      </c>
      <c r="H23" t="s">
        <v>190</v>
      </c>
      <c r="I23" t="s">
        <v>186</v>
      </c>
      <c r="J23" t="s">
        <v>186</v>
      </c>
      <c r="K23" t="s">
        <v>190</v>
      </c>
      <c r="L23" t="s">
        <v>190</v>
      </c>
      <c r="M23" t="s">
        <v>186</v>
      </c>
      <c r="N23" t="s">
        <v>190</v>
      </c>
      <c r="O23" t="s">
        <v>186</v>
      </c>
      <c r="P23" t="s">
        <v>190</v>
      </c>
      <c r="Q23" t="s">
        <v>190</v>
      </c>
      <c r="R23" t="s">
        <v>186</v>
      </c>
      <c r="S23" t="s">
        <v>186</v>
      </c>
      <c r="T23" s="151" t="s">
        <v>186</v>
      </c>
      <c r="U23" t="s">
        <v>190</v>
      </c>
      <c r="V23" t="s">
        <v>186</v>
      </c>
      <c r="W23" t="s">
        <v>190</v>
      </c>
      <c r="X23" t="s">
        <v>186</v>
      </c>
      <c r="Y23" t="s">
        <v>186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</row>
    <row r="24" spans="2:36">
      <c r="B24" s="2" t="s">
        <v>337</v>
      </c>
      <c r="C24" s="2" t="s">
        <v>338</v>
      </c>
      <c r="D24" s="2" t="str">
        <f>Table5[[#This Row],[First name]]&amp;" "&amp;Table5[[#This Row],[Last name]]</f>
        <v>Jillian Ouyang</v>
      </c>
      <c r="E24" s="2" t="str">
        <f>_xlfn.XLOOKUP(Table5[[#This Row],[Full name]],Table26[Name],Table26[Role],"Member",0,1)</f>
        <v>Director of Projects</v>
      </c>
      <c r="F24" s="2" t="s">
        <v>188</v>
      </c>
      <c r="G24" s="26" cm="1">
        <f t="array" aca="1" ref="G24" ca="1">COUNTIF(Table5[[#This Row],[September 30, 2025]:[April 7, 2026]],"Yes")/SUMPRODUCT(--(DATEVALUE(Table5[[#Headers],[September 30, 2025]:[April 9, 2026]])&lt;=TODAY()))</f>
        <v>0.3</v>
      </c>
      <c r="H24" t="s">
        <v>186</v>
      </c>
      <c r="I24" t="s">
        <v>190</v>
      </c>
      <c r="J24" t="s">
        <v>186</v>
      </c>
      <c r="K24" t="s">
        <v>190</v>
      </c>
      <c r="L24" t="s">
        <v>186</v>
      </c>
      <c r="M24" t="s">
        <v>190</v>
      </c>
      <c r="N24" t="s">
        <v>190</v>
      </c>
      <c r="O24" t="s">
        <v>190</v>
      </c>
      <c r="P24" t="s">
        <v>190</v>
      </c>
      <c r="Q24" t="s">
        <v>186</v>
      </c>
      <c r="R24" t="s">
        <v>190</v>
      </c>
      <c r="S24" t="s">
        <v>186</v>
      </c>
      <c r="T24" s="151" t="s">
        <v>190</v>
      </c>
      <c r="U24" t="s">
        <v>186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</row>
    <row r="25" spans="2:36">
      <c r="B25" s="2" t="s">
        <v>339</v>
      </c>
      <c r="C25" s="2" t="s">
        <v>340</v>
      </c>
      <c r="D25" s="2" t="str">
        <f>Table5[[#This Row],[First name]]&amp;" "&amp;Table5[[#This Row],[Last name]]</f>
        <v>Rohan Mandi</v>
      </c>
      <c r="E25" s="2" t="str">
        <f>_xlfn.XLOOKUP(Table5[[#This Row],[Full name]],Table26[Name],Table26[Role],"Member",0,1)</f>
        <v>Director of Projects</v>
      </c>
      <c r="F25" s="2" t="s">
        <v>188</v>
      </c>
      <c r="G25" s="26" cm="1">
        <f t="array" aca="1" ref="G25" ca="1">COUNTIF(Table5[[#This Row],[September 30, 2025]:[April 7, 2026]],"Yes")/SUMPRODUCT(--(DATEVALUE(Table5[[#Headers],[September 30, 2025]:[April 9, 2026]])&lt;=TODAY()))</f>
        <v>0.45</v>
      </c>
      <c r="H25" t="s">
        <v>190</v>
      </c>
      <c r="I25" t="s">
        <v>186</v>
      </c>
      <c r="J25" t="s">
        <v>190</v>
      </c>
      <c r="K25" t="s">
        <v>186</v>
      </c>
      <c r="L25" t="s">
        <v>190</v>
      </c>
      <c r="M25" t="s">
        <v>186</v>
      </c>
      <c r="N25" t="s">
        <v>190</v>
      </c>
      <c r="O25" t="s">
        <v>186</v>
      </c>
      <c r="P25" t="s">
        <v>190</v>
      </c>
      <c r="Q25" t="s">
        <v>186</v>
      </c>
      <c r="R25" t="s">
        <v>190</v>
      </c>
      <c r="S25" t="s">
        <v>190</v>
      </c>
      <c r="T25" s="151" t="s">
        <v>186</v>
      </c>
      <c r="U25" t="s">
        <v>186</v>
      </c>
      <c r="V25" t="s">
        <v>190</v>
      </c>
      <c r="W25" t="s">
        <v>190</v>
      </c>
      <c r="X25" t="s">
        <v>190</v>
      </c>
      <c r="Y25" t="s">
        <v>186</v>
      </c>
      <c r="Z25" t="s">
        <v>190</v>
      </c>
      <c r="AA25" t="s">
        <v>186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</row>
    <row r="26" spans="2:36">
      <c r="B26" s="2" t="s">
        <v>341</v>
      </c>
      <c r="C26" s="2" t="s">
        <v>342</v>
      </c>
      <c r="D26" s="2" t="str">
        <f>Table5[[#This Row],[First name]]&amp;" "&amp;Table5[[#This Row],[Last name]]</f>
        <v>Ethan Kim</v>
      </c>
      <c r="E26" s="2" t="str">
        <f>_xlfn.XLOOKUP(Table5[[#This Row],[Full name]],Table26[Name],Table26[Role],"Member",0,1)</f>
        <v>Director of Sponsorships</v>
      </c>
      <c r="F26" s="2" t="s">
        <v>188</v>
      </c>
      <c r="G26" s="26" cm="1">
        <f t="array" aca="1" ref="G26" ca="1">COUNTIF(Table5[[#This Row],[September 30, 2025]:[April 7, 2026]],"Yes")/SUMPRODUCT(--(DATEVALUE(Table5[[#Headers],[September 30, 2025]:[April 9, 2026]])&lt;=TODAY()))</f>
        <v>0.05</v>
      </c>
      <c r="N26" t="s">
        <v>186</v>
      </c>
      <c r="P26" t="s">
        <v>190</v>
      </c>
      <c r="Q26" t="s">
        <v>190</v>
      </c>
      <c r="R26" t="s">
        <v>190</v>
      </c>
      <c r="S26" t="s">
        <v>190</v>
      </c>
      <c r="T26" s="151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</row>
    <row r="27" spans="2:36">
      <c r="B27" s="2" t="s">
        <v>343</v>
      </c>
      <c r="C27" s="2" t="s">
        <v>344</v>
      </c>
      <c r="D27" s="2" t="str">
        <f>Table5[[#This Row],[First name]]&amp;" "&amp;Table5[[#This Row],[Last name]]</f>
        <v>Kyler See</v>
      </c>
      <c r="E27" s="2" t="str">
        <f>_xlfn.XLOOKUP(Table5[[#This Row],[Full name]],Table26[Name],Table26[Role],"Member",0,1)</f>
        <v>Director of Sponsorships</v>
      </c>
      <c r="F27" s="2" t="s">
        <v>188</v>
      </c>
      <c r="G27" s="26" cm="1">
        <f t="array" aca="1" ref="G27" ca="1">COUNTIF(Table5[[#This Row],[September 30, 2025]:[April 7, 2026]],"Yes")/SUMPRODUCT(--(DATEVALUE(Table5[[#Headers],[September 30, 2025]:[April 9, 2026]])&lt;=TODAY()))</f>
        <v>0.1</v>
      </c>
      <c r="H27" t="s">
        <v>186</v>
      </c>
      <c r="I27" t="s">
        <v>190</v>
      </c>
      <c r="J27" t="s">
        <v>190</v>
      </c>
      <c r="K27" t="s">
        <v>190</v>
      </c>
      <c r="L27" t="s">
        <v>186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s="151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</row>
    <row r="28" spans="2:36">
      <c r="B28" s="2" t="s">
        <v>345</v>
      </c>
      <c r="C28" s="2" t="s">
        <v>346</v>
      </c>
      <c r="D28" s="2" t="str">
        <f>Table5[[#This Row],[First name]]&amp;" "&amp;Table5[[#This Row],[Last name]]</f>
        <v>Aaron Kara</v>
      </c>
      <c r="E28" s="2" t="str">
        <f>_xlfn.XLOOKUP(Table5[[#This Row],[Full name]],Table26[Name],Table26[Role],"Member",0,1)</f>
        <v>Executive</v>
      </c>
      <c r="F28" s="2" t="s">
        <v>188</v>
      </c>
      <c r="G28" s="26" cm="1">
        <f t="array" aca="1" ref="G28" ca="1">COUNTIF(Table5[[#This Row],[September 30, 2025]:[April 7, 2026]],"Yes")/SUMPRODUCT(--(DATEVALUE(Table5[[#Headers],[September 30, 2025]:[April 9, 2026]])&lt;=TODAY()))</f>
        <v>0.15</v>
      </c>
      <c r="H28" t="s">
        <v>186</v>
      </c>
      <c r="I28" t="s">
        <v>186</v>
      </c>
      <c r="J28" t="s">
        <v>186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s="151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</row>
    <row r="29" spans="2:36">
      <c r="B29" s="2" t="s">
        <v>347</v>
      </c>
      <c r="C29" s="2" t="s">
        <v>348</v>
      </c>
      <c r="D29" s="2" t="str">
        <f>Table5[[#This Row],[First name]]&amp;" "&amp;Table5[[#This Row],[Last name]]</f>
        <v>Aiden Ko</v>
      </c>
      <c r="E29" s="2" t="str">
        <f>_xlfn.XLOOKUP(Table5[[#This Row],[Full name]],Table26[Name],Table26[Role],"Member",0,1)</f>
        <v>Executive</v>
      </c>
      <c r="F29" s="2" t="s">
        <v>188</v>
      </c>
      <c r="G29" s="26" cm="1">
        <f t="array" aca="1" ref="G29" ca="1">COUNTIF(Table5[[#This Row],[September 30, 2025]:[April 7, 2026]],"Yes")/SUMPRODUCT(--(DATEVALUE(Table5[[#Headers],[September 30, 2025]:[April 9, 2026]])&lt;=TODAY()))</f>
        <v>0</v>
      </c>
      <c r="H29" t="s">
        <v>190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s="151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</row>
    <row r="30" spans="2:36">
      <c r="B30" s="2" t="s">
        <v>349</v>
      </c>
      <c r="C30" s="2" t="s">
        <v>350</v>
      </c>
      <c r="D30" s="2" t="str">
        <f>Table5[[#This Row],[First name]]&amp;" "&amp;Table5[[#This Row],[Last name]]</f>
        <v>Allen Liu</v>
      </c>
      <c r="E30" s="2" t="str">
        <f>_xlfn.XLOOKUP(Table5[[#This Row],[Full name]],Table26[Name],Table26[Role],"Member",0,1)</f>
        <v>Executive</v>
      </c>
      <c r="F30" s="2" t="s">
        <v>188</v>
      </c>
      <c r="G30" s="26" cm="1">
        <f t="array" aca="1" ref="G30" ca="1">COUNTIF(Table5[[#This Row],[September 30, 2025]:[April 7, 2026]],"Yes")/SUMPRODUCT(--(DATEVALUE(Table5[[#Headers],[September 30, 2025]:[April 9, 2026]])&lt;=TODAY()))</f>
        <v>0.45</v>
      </c>
      <c r="Q30" t="s">
        <v>186</v>
      </c>
      <c r="R30" t="s">
        <v>186</v>
      </c>
      <c r="S30" t="s">
        <v>190</v>
      </c>
      <c r="T30" s="151" t="s">
        <v>186</v>
      </c>
      <c r="U30" t="s">
        <v>186</v>
      </c>
      <c r="V30" t="s">
        <v>186</v>
      </c>
      <c r="W30" t="s">
        <v>186</v>
      </c>
      <c r="X30" t="s">
        <v>186</v>
      </c>
      <c r="Y30" t="s">
        <v>186</v>
      </c>
      <c r="Z30" t="s">
        <v>190</v>
      </c>
      <c r="AA30" t="s">
        <v>186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</row>
    <row r="31" spans="2:36">
      <c r="B31" s="2" t="s">
        <v>351</v>
      </c>
      <c r="C31" s="2" t="s">
        <v>352</v>
      </c>
      <c r="D31" s="2" t="str">
        <f>Table5[[#This Row],[First name]]&amp;" "&amp;Table5[[#This Row],[Last name]]</f>
        <v>Aman Bains</v>
      </c>
      <c r="E31" s="2" t="str">
        <f>_xlfn.XLOOKUP(Table5[[#This Row],[Full name]],Table26[Name],Table26[Role],"Member",0,1)</f>
        <v>Executive</v>
      </c>
      <c r="F31" s="2" t="s">
        <v>188</v>
      </c>
      <c r="G31" s="26" cm="1">
        <f t="array" aca="1" ref="G31" ca="1">COUNTIF(Table5[[#This Row],[September 30, 2025]:[April 7, 2026]],"Yes")/SUMPRODUCT(--(DATEVALUE(Table5[[#Headers],[September 30, 2025]:[April 9, 2026]])&lt;=TODAY()))</f>
        <v>0.05</v>
      </c>
      <c r="H31" t="s">
        <v>186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s="15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</row>
    <row r="32" spans="2:36">
      <c r="B32" s="2" t="s">
        <v>353</v>
      </c>
      <c r="C32" s="2" t="s">
        <v>354</v>
      </c>
      <c r="D32" s="2" t="str">
        <f>Table5[[#This Row],[First name]]&amp;" "&amp;Table5[[#This Row],[Last name]]</f>
        <v>Anna Yu</v>
      </c>
      <c r="E32" s="2" t="str">
        <f>_xlfn.XLOOKUP(Table5[[#This Row],[Full name]],Table26[Name],Table26[Role],"Member",0,1)</f>
        <v>Executive</v>
      </c>
      <c r="F32" s="2" t="s">
        <v>188</v>
      </c>
      <c r="G32" s="26" cm="1">
        <f t="array" aca="1" ref="G32" ca="1">COUNTIF(Table5[[#This Row],[September 30, 2025]:[April 7, 2026]],"Yes")/SUMPRODUCT(--(DATEVALUE(Table5[[#Headers],[September 30, 2025]:[April 9, 2026]])&lt;=TODAY()))</f>
        <v>0.85</v>
      </c>
      <c r="H32" t="s">
        <v>186</v>
      </c>
      <c r="I32" t="s">
        <v>186</v>
      </c>
      <c r="J32" t="s">
        <v>186</v>
      </c>
      <c r="K32" t="s">
        <v>186</v>
      </c>
      <c r="L32" t="s">
        <v>190</v>
      </c>
      <c r="M32" t="s">
        <v>186</v>
      </c>
      <c r="N32" t="s">
        <v>186</v>
      </c>
      <c r="O32" t="s">
        <v>186</v>
      </c>
      <c r="P32" t="s">
        <v>186</v>
      </c>
      <c r="Q32" t="s">
        <v>186</v>
      </c>
      <c r="R32" t="s">
        <v>186</v>
      </c>
      <c r="S32" t="s">
        <v>186</v>
      </c>
      <c r="T32" s="151" t="s">
        <v>186</v>
      </c>
      <c r="U32" t="s">
        <v>186</v>
      </c>
      <c r="V32" t="s">
        <v>186</v>
      </c>
      <c r="W32" t="s">
        <v>190</v>
      </c>
      <c r="X32" t="s">
        <v>190</v>
      </c>
      <c r="Y32" t="s">
        <v>186</v>
      </c>
      <c r="Z32" t="s">
        <v>186</v>
      </c>
      <c r="AA32" t="s">
        <v>186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</row>
    <row r="33" spans="2:36">
      <c r="B33" s="2" t="s">
        <v>355</v>
      </c>
      <c r="C33" s="2" t="s">
        <v>356</v>
      </c>
      <c r="D33" s="2" t="str">
        <f>Table5[[#This Row],[First name]]&amp;" "&amp;Table5[[#This Row],[Last name]]</f>
        <v>Carson Cull</v>
      </c>
      <c r="E33" s="2" t="str">
        <f>_xlfn.XLOOKUP(Table5[[#This Row],[Full name]],Table26[Name],Table26[Role],"Member",0,1)</f>
        <v>Executive</v>
      </c>
      <c r="F33" s="2" t="s">
        <v>188</v>
      </c>
      <c r="G33" s="26" cm="1">
        <f t="array" aca="1" ref="G33" ca="1">COUNTIF(Table5[[#This Row],[September 30, 2025]:[April 7, 2026]],"Yes")/SUMPRODUCT(--(DATEVALUE(Table5[[#Headers],[September 30, 2025]:[April 9, 2026]])&lt;=TODAY()))</f>
        <v>0.45</v>
      </c>
      <c r="H33" t="s">
        <v>190</v>
      </c>
      <c r="I33" t="s">
        <v>190</v>
      </c>
      <c r="J33" t="s">
        <v>186</v>
      </c>
      <c r="K33" t="s">
        <v>190</v>
      </c>
      <c r="L33" t="s">
        <v>190</v>
      </c>
      <c r="M33" t="s">
        <v>190</v>
      </c>
      <c r="N33" t="s">
        <v>186</v>
      </c>
      <c r="O33" t="s">
        <v>186</v>
      </c>
      <c r="P33" t="s">
        <v>186</v>
      </c>
      <c r="Q33" t="s">
        <v>186</v>
      </c>
      <c r="R33" t="s">
        <v>190</v>
      </c>
      <c r="S33" t="s">
        <v>186</v>
      </c>
      <c r="T33" s="151" t="s">
        <v>186</v>
      </c>
      <c r="U33" t="s">
        <v>190</v>
      </c>
      <c r="V33" t="s">
        <v>190</v>
      </c>
      <c r="W33" t="s">
        <v>190</v>
      </c>
      <c r="X33" t="s">
        <v>190</v>
      </c>
      <c r="Y33" t="s">
        <v>186</v>
      </c>
      <c r="Z33" t="s">
        <v>190</v>
      </c>
      <c r="AA33" t="s">
        <v>186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</row>
    <row r="34" spans="2:36">
      <c r="B34" s="2" t="s">
        <v>357</v>
      </c>
      <c r="C34" s="2" t="s">
        <v>358</v>
      </c>
      <c r="D34" s="2" t="str">
        <f>Table5[[#This Row],[First name]]&amp;" "&amp;Table5[[#This Row],[Last name]]</f>
        <v>Cole Eisen</v>
      </c>
      <c r="E34" s="2" t="str">
        <f>_xlfn.XLOOKUP(Table5[[#This Row],[Full name]],Table26[Name],Table26[Role],"Member",0,1)</f>
        <v>Executive</v>
      </c>
      <c r="F34" s="2" t="s">
        <v>188</v>
      </c>
      <c r="G34" s="26" cm="1">
        <f t="array" aca="1" ref="G34" ca="1">COUNTIF(Table5[[#This Row],[September 30, 2025]:[April 7, 2026]],"Yes")/SUMPRODUCT(--(DATEVALUE(Table5[[#Headers],[September 30, 2025]:[April 9, 2026]])&lt;=TODAY()))</f>
        <v>0.15</v>
      </c>
      <c r="H34" t="s">
        <v>186</v>
      </c>
      <c r="I34" t="s">
        <v>186</v>
      </c>
      <c r="J34" t="s">
        <v>190</v>
      </c>
      <c r="K34" t="s">
        <v>190</v>
      </c>
      <c r="L34" t="s">
        <v>186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s="151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</row>
    <row r="35" spans="2:36">
      <c r="B35" s="2" t="s">
        <v>357</v>
      </c>
      <c r="C35" s="2" t="s">
        <v>359</v>
      </c>
      <c r="D35" s="2" t="str">
        <f>Table5[[#This Row],[First name]]&amp;" "&amp;Table5[[#This Row],[Last name]]</f>
        <v>Cole Korchinski</v>
      </c>
      <c r="E35" s="2" t="str">
        <f>_xlfn.XLOOKUP(Table5[[#This Row],[Full name]],Table26[Name],Table26[Role],"Member",0,1)</f>
        <v>Executive</v>
      </c>
      <c r="F35" s="2" t="s">
        <v>188</v>
      </c>
      <c r="G35" s="26" cm="1">
        <f t="array" aca="1" ref="G35" ca="1">COUNTIF(Table5[[#This Row],[September 30, 2025]:[April 7, 2026]],"Yes")/SUMPRODUCT(--(DATEVALUE(Table5[[#Headers],[September 30, 2025]:[April 9, 2026]])&lt;=TODAY()))</f>
        <v>0.3</v>
      </c>
      <c r="H35" t="s">
        <v>186</v>
      </c>
      <c r="I35" t="s">
        <v>186</v>
      </c>
      <c r="J35" t="s">
        <v>190</v>
      </c>
      <c r="K35" t="s">
        <v>190</v>
      </c>
      <c r="L35" t="s">
        <v>186</v>
      </c>
      <c r="M35" t="s">
        <v>190</v>
      </c>
      <c r="N35" t="s">
        <v>190</v>
      </c>
      <c r="O35" t="s">
        <v>190</v>
      </c>
      <c r="P35" t="s">
        <v>186</v>
      </c>
      <c r="Q35" t="s">
        <v>190</v>
      </c>
      <c r="R35" t="s">
        <v>190</v>
      </c>
      <c r="S35" t="s">
        <v>190</v>
      </c>
      <c r="T35" s="151" t="s">
        <v>190</v>
      </c>
      <c r="U35" t="s">
        <v>190</v>
      </c>
      <c r="V35" t="s">
        <v>190</v>
      </c>
      <c r="W35" t="s">
        <v>190</v>
      </c>
      <c r="X35" t="s">
        <v>186</v>
      </c>
      <c r="Y35" t="s">
        <v>186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</row>
    <row r="36" spans="2:36">
      <c r="B36" s="2" t="s">
        <v>360</v>
      </c>
      <c r="C36" s="2" t="s">
        <v>361</v>
      </c>
      <c r="D36" s="2" t="str">
        <f>Table5[[#This Row],[First name]]&amp;" "&amp;Table5[[#This Row],[Last name]]</f>
        <v>Damon Deng</v>
      </c>
      <c r="E36" s="2" t="str">
        <f>_xlfn.XLOOKUP(Table5[[#This Row],[Full name]],Table26[Name],Table26[Role],"Member",0,1)</f>
        <v>Executive</v>
      </c>
      <c r="F36" s="2" t="s">
        <v>188</v>
      </c>
      <c r="G36" s="26" cm="1">
        <f t="array" aca="1" ref="G36" ca="1">COUNTIF(Table5[[#This Row],[September 30, 2025]:[April 7, 2026]],"Yes")/SUMPRODUCT(--(DATEVALUE(Table5[[#Headers],[September 30, 2025]:[April 9, 2026]])&lt;=TODAY()))</f>
        <v>0.25</v>
      </c>
      <c r="H36" t="s">
        <v>186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186</v>
      </c>
      <c r="S36" t="s">
        <v>190</v>
      </c>
      <c r="T36" s="151" t="s">
        <v>190</v>
      </c>
      <c r="U36" t="s">
        <v>186</v>
      </c>
      <c r="V36" t="s">
        <v>186</v>
      </c>
      <c r="W36" t="s">
        <v>190</v>
      </c>
      <c r="X36" t="s">
        <v>190</v>
      </c>
      <c r="Y36" t="s">
        <v>190</v>
      </c>
      <c r="Z36" t="s">
        <v>186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</row>
    <row r="37" spans="2:36">
      <c r="B37" s="2" t="s">
        <v>362</v>
      </c>
      <c r="C37" s="2" t="s">
        <v>363</v>
      </c>
      <c r="D37" s="2" t="str">
        <f>Table5[[#This Row],[First name]]&amp;" "&amp;Table5[[#This Row],[Last name]]</f>
        <v>Daniel Dillabough</v>
      </c>
      <c r="E37" s="2" t="str">
        <f>_xlfn.XLOOKUP(Table5[[#This Row],[Full name]],Table26[Name],Table26[Role],"Member",0,1)</f>
        <v>Executive</v>
      </c>
      <c r="F37" s="2" t="s">
        <v>188</v>
      </c>
      <c r="G37" s="26" cm="1">
        <f t="array" aca="1" ref="G37" ca="1">COUNTIF(Table5[[#This Row],[September 30, 2025]:[April 7, 2026]],"Yes")/SUMPRODUCT(--(DATEVALUE(Table5[[#Headers],[September 30, 2025]:[April 9, 2026]])&lt;=TODAY()))</f>
        <v>0.45</v>
      </c>
      <c r="H37" t="s">
        <v>186</v>
      </c>
      <c r="I37" t="s">
        <v>186</v>
      </c>
      <c r="J37" t="s">
        <v>190</v>
      </c>
      <c r="K37" t="s">
        <v>186</v>
      </c>
      <c r="L37" t="s">
        <v>186</v>
      </c>
      <c r="M37" t="s">
        <v>190</v>
      </c>
      <c r="N37" t="s">
        <v>186</v>
      </c>
      <c r="O37" t="s">
        <v>190</v>
      </c>
      <c r="P37" t="s">
        <v>186</v>
      </c>
      <c r="Q37" t="s">
        <v>186</v>
      </c>
      <c r="R37" t="s">
        <v>190</v>
      </c>
      <c r="S37" t="s">
        <v>190</v>
      </c>
      <c r="T37" s="151" t="s">
        <v>186</v>
      </c>
      <c r="U37" t="s">
        <v>190</v>
      </c>
      <c r="V37" t="s">
        <v>186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</row>
    <row r="38" spans="2:36">
      <c r="B38" s="2" t="s">
        <v>364</v>
      </c>
      <c r="C38" s="2" t="s">
        <v>365</v>
      </c>
      <c r="D38" s="2" t="str">
        <f>Table5[[#This Row],[First name]]&amp;" "&amp;Table5[[#This Row],[Last name]]</f>
        <v>Darren Poku</v>
      </c>
      <c r="E38" s="2" t="str">
        <f>_xlfn.XLOOKUP(Table5[[#This Row],[Full name]],Table26[Name],Table26[Role],"Member",0,1)</f>
        <v>Executive</v>
      </c>
      <c r="F38" s="2" t="s">
        <v>188</v>
      </c>
      <c r="G38" s="26" cm="1">
        <f t="array" aca="1" ref="G38" ca="1">COUNTIF(Table5[[#This Row],[September 30, 2025]:[April 7, 2026]],"Yes")/SUMPRODUCT(--(DATEVALUE(Table5[[#Headers],[September 30, 2025]:[April 9, 2026]])&lt;=TODAY()))</f>
        <v>0.2</v>
      </c>
      <c r="H38" t="s">
        <v>190</v>
      </c>
      <c r="I38" t="s">
        <v>186</v>
      </c>
      <c r="J38" t="s">
        <v>186</v>
      </c>
      <c r="K38" t="s">
        <v>190</v>
      </c>
      <c r="L38" t="s">
        <v>190</v>
      </c>
      <c r="M38" t="s">
        <v>186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s="151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186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</row>
    <row r="39" spans="2:36">
      <c r="B39" s="2" t="s">
        <v>366</v>
      </c>
      <c r="C39" s="2" t="s">
        <v>367</v>
      </c>
      <c r="D39" s="2" t="str">
        <f>Table5[[#This Row],[First name]]&amp;" "&amp;Table5[[#This Row],[Last name]]</f>
        <v>Dikang Fu</v>
      </c>
      <c r="E39" s="2" t="str">
        <f>_xlfn.XLOOKUP(Table5[[#This Row],[Full name]],Table26[Name],Table26[Role],"Member",0,1)</f>
        <v>Executive</v>
      </c>
      <c r="F39" s="2" t="s">
        <v>188</v>
      </c>
      <c r="G39" s="26" cm="1">
        <f t="array" aca="1" ref="G39" ca="1">COUNTIF(Table5[[#This Row],[September 30, 2025]:[April 7, 2026]],"Yes")/SUMPRODUCT(--(DATEVALUE(Table5[[#Headers],[September 30, 2025]:[April 9, 2026]])&lt;=TODAY()))</f>
        <v>0.8</v>
      </c>
      <c r="H39" t="s">
        <v>186</v>
      </c>
      <c r="I39" t="s">
        <v>186</v>
      </c>
      <c r="J39" t="s">
        <v>186</v>
      </c>
      <c r="K39" t="s">
        <v>186</v>
      </c>
      <c r="L39" t="s">
        <v>190</v>
      </c>
      <c r="M39" t="s">
        <v>186</v>
      </c>
      <c r="N39" t="s">
        <v>186</v>
      </c>
      <c r="O39" t="s">
        <v>186</v>
      </c>
      <c r="P39" t="s">
        <v>186</v>
      </c>
      <c r="Q39" t="s">
        <v>190</v>
      </c>
      <c r="R39" t="s">
        <v>190</v>
      </c>
      <c r="S39" t="s">
        <v>186</v>
      </c>
      <c r="T39" s="151" t="s">
        <v>186</v>
      </c>
      <c r="U39" t="s">
        <v>186</v>
      </c>
      <c r="V39" t="s">
        <v>186</v>
      </c>
      <c r="W39" t="s">
        <v>186</v>
      </c>
      <c r="X39" t="s">
        <v>190</v>
      </c>
      <c r="Y39" t="s">
        <v>186</v>
      </c>
      <c r="Z39" t="s">
        <v>186</v>
      </c>
      <c r="AA39" t="s">
        <v>186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</row>
    <row r="40" spans="2:36">
      <c r="B40" s="2" t="s">
        <v>368</v>
      </c>
      <c r="C40" s="2" t="s">
        <v>369</v>
      </c>
      <c r="D40" s="2" t="str">
        <f>Table5[[#This Row],[First name]]&amp;" "&amp;Table5[[#This Row],[Last name]]</f>
        <v>Elliott Beames</v>
      </c>
      <c r="E40" s="2" t="str">
        <f>_xlfn.XLOOKUP(Table5[[#This Row],[Full name]],Table26[Name],Table26[Role],"Member",0,1)</f>
        <v>Executive</v>
      </c>
      <c r="F40" s="2" t="s">
        <v>188</v>
      </c>
      <c r="G40" s="26" cm="1">
        <f t="array" aca="1" ref="G40" ca="1">COUNTIF(Table5[[#This Row],[September 30, 2025]:[April 7, 2026]],"Yes")/SUMPRODUCT(--(DATEVALUE(Table5[[#Headers],[September 30, 2025]:[April 9, 2026]])&lt;=TODAY()))</f>
        <v>0.8</v>
      </c>
      <c r="H40" t="s">
        <v>190</v>
      </c>
      <c r="I40" t="s">
        <v>190</v>
      </c>
      <c r="J40" t="s">
        <v>190</v>
      </c>
      <c r="K40" t="s">
        <v>190</v>
      </c>
      <c r="L40" t="s">
        <v>186</v>
      </c>
      <c r="M40" t="s">
        <v>186</v>
      </c>
      <c r="N40" t="s">
        <v>186</v>
      </c>
      <c r="O40" t="s">
        <v>186</v>
      </c>
      <c r="P40" t="s">
        <v>186</v>
      </c>
      <c r="Q40" t="s">
        <v>186</v>
      </c>
      <c r="R40" t="s">
        <v>186</v>
      </c>
      <c r="S40" t="s">
        <v>186</v>
      </c>
      <c r="T40" s="151" t="s">
        <v>186</v>
      </c>
      <c r="U40" t="s">
        <v>186</v>
      </c>
      <c r="V40" t="s">
        <v>186</v>
      </c>
      <c r="W40" t="s">
        <v>186</v>
      </c>
      <c r="X40" t="s">
        <v>186</v>
      </c>
      <c r="Y40" t="s">
        <v>186</v>
      </c>
      <c r="Z40" t="s">
        <v>186</v>
      </c>
      <c r="AA40" t="s">
        <v>186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</row>
    <row r="41" spans="2:36">
      <c r="B41" s="2" t="s">
        <v>370</v>
      </c>
      <c r="C41" s="2" t="s">
        <v>371</v>
      </c>
      <c r="D41" s="2" t="str">
        <f>Table5[[#This Row],[First name]]&amp;" "&amp;Table5[[#This Row],[Last name]]</f>
        <v>Emma Sproxton</v>
      </c>
      <c r="E41" s="2" t="str">
        <f>_xlfn.XLOOKUP(Table5[[#This Row],[Full name]],Table26[Name],Table26[Role],"Member",0,1)</f>
        <v>Executive</v>
      </c>
      <c r="F41" s="2" t="s">
        <v>188</v>
      </c>
      <c r="G41" s="26" cm="1">
        <f t="array" aca="1" ref="G41" ca="1">COUNTIF(Table5[[#This Row],[September 30, 2025]:[April 7, 2026]],"Yes")/SUMPRODUCT(--(DATEVALUE(Table5[[#Headers],[September 30, 2025]:[April 9, 2026]])&lt;=TODAY()))</f>
        <v>0.4</v>
      </c>
      <c r="H41" t="s">
        <v>190</v>
      </c>
      <c r="I41" t="s">
        <v>190</v>
      </c>
      <c r="J41" t="s">
        <v>190</v>
      </c>
      <c r="K41" t="s">
        <v>186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186</v>
      </c>
      <c r="S41" t="s">
        <v>186</v>
      </c>
      <c r="T41" s="151" t="s">
        <v>186</v>
      </c>
      <c r="U41" t="s">
        <v>190</v>
      </c>
      <c r="V41" t="s">
        <v>186</v>
      </c>
      <c r="W41" t="s">
        <v>190</v>
      </c>
      <c r="X41" t="s">
        <v>186</v>
      </c>
      <c r="Y41" t="s">
        <v>186</v>
      </c>
      <c r="Z41" t="s">
        <v>186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</row>
    <row r="42" spans="2:36">
      <c r="B42" s="2" t="s">
        <v>372</v>
      </c>
      <c r="C42" s="2" t="s">
        <v>373</v>
      </c>
      <c r="D42" s="2" t="str">
        <f>Table5[[#This Row],[First name]]&amp;" "&amp;Table5[[#This Row],[Last name]]</f>
        <v>Forrest Hermary</v>
      </c>
      <c r="E42" s="2" t="str">
        <f>_xlfn.XLOOKUP(Table5[[#This Row],[Full name]],Table26[Name],Table26[Role],"Member",0,1)</f>
        <v>Executive</v>
      </c>
      <c r="F42" s="2" t="s">
        <v>188</v>
      </c>
      <c r="G42" s="26" cm="1">
        <f t="array" aca="1" ref="G42" ca="1">COUNTIF(Table5[[#This Row],[September 30, 2025]:[April 7, 2026]],"Yes")/SUMPRODUCT(--(DATEVALUE(Table5[[#Headers],[September 30, 2025]:[April 9, 2026]])&lt;=TODAY()))</f>
        <v>0.3</v>
      </c>
      <c r="H42" t="s">
        <v>186</v>
      </c>
      <c r="I42" t="s">
        <v>186</v>
      </c>
      <c r="J42" t="s">
        <v>190</v>
      </c>
      <c r="K42" t="s">
        <v>190</v>
      </c>
      <c r="L42" t="s">
        <v>186</v>
      </c>
      <c r="M42" t="s">
        <v>190</v>
      </c>
      <c r="N42" t="s">
        <v>186</v>
      </c>
      <c r="O42" t="s">
        <v>186</v>
      </c>
      <c r="P42" t="s">
        <v>190</v>
      </c>
      <c r="Q42" t="s">
        <v>186</v>
      </c>
      <c r="R42" t="s">
        <v>190</v>
      </c>
      <c r="S42" t="s">
        <v>190</v>
      </c>
      <c r="T42" s="151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</row>
    <row r="43" spans="2:36">
      <c r="B43" s="2" t="s">
        <v>374</v>
      </c>
      <c r="C43" s="2" t="s">
        <v>375</v>
      </c>
      <c r="D43" s="2" t="str">
        <f>Table5[[#This Row],[First name]]&amp;" "&amp;Table5[[#This Row],[Last name]]</f>
        <v>Hao Bai</v>
      </c>
      <c r="E43" s="2" t="str">
        <f>_xlfn.XLOOKUP(Table5[[#This Row],[Full name]],Table26[Name],Table26[Role],"Member",0,1)</f>
        <v>Executive</v>
      </c>
      <c r="F43" s="2" t="s">
        <v>188</v>
      </c>
      <c r="G43" s="26" cm="1">
        <f t="array" aca="1" ref="G43" ca="1">COUNTIF(Table5[[#This Row],[September 30, 2025]:[April 7, 2026]],"Yes")/SUMPRODUCT(--(DATEVALUE(Table5[[#Headers],[September 30, 2025]:[April 9, 2026]])&lt;=TODAY()))</f>
        <v>0.3</v>
      </c>
      <c r="H43" t="s">
        <v>190</v>
      </c>
      <c r="I43" t="s">
        <v>190</v>
      </c>
      <c r="J43" t="s">
        <v>190</v>
      </c>
      <c r="K43" t="s">
        <v>190</v>
      </c>
      <c r="L43" t="s">
        <v>186</v>
      </c>
      <c r="M43" t="s">
        <v>186</v>
      </c>
      <c r="N43" t="s">
        <v>186</v>
      </c>
      <c r="O43" t="s">
        <v>186</v>
      </c>
      <c r="P43" t="s">
        <v>186</v>
      </c>
      <c r="Q43" t="s">
        <v>186</v>
      </c>
      <c r="R43" t="s">
        <v>190</v>
      </c>
      <c r="S43" t="s">
        <v>190</v>
      </c>
      <c r="T43" s="151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</row>
    <row r="44" spans="2:36">
      <c r="B44" s="2" t="s">
        <v>376</v>
      </c>
      <c r="C44" s="2" t="s">
        <v>377</v>
      </c>
      <c r="D44" s="2" t="str">
        <f>Table5[[#This Row],[First name]]&amp;" "&amp;Table5[[#This Row],[Last name]]</f>
        <v>Himaksh Talreja</v>
      </c>
      <c r="E44" s="2" t="str">
        <f>_xlfn.XLOOKUP(Table5[[#This Row],[Full name]],Table26[Name],Table26[Role],"Member",0,1)</f>
        <v>Executive</v>
      </c>
      <c r="F44" s="2" t="s">
        <v>188</v>
      </c>
      <c r="G44" s="26" cm="1">
        <f t="array" aca="1" ref="G44" ca="1">COUNTIF(Table5[[#This Row],[September 30, 2025]:[April 7, 2026]],"Yes")/SUMPRODUCT(--(DATEVALUE(Table5[[#Headers],[September 30, 2025]:[April 9, 2026]])&lt;=TODAY()))</f>
        <v>0.25</v>
      </c>
      <c r="H44" t="s">
        <v>186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186</v>
      </c>
      <c r="O44" t="s">
        <v>190</v>
      </c>
      <c r="P44" t="s">
        <v>190</v>
      </c>
      <c r="Q44" t="s">
        <v>190</v>
      </c>
      <c r="R44" t="s">
        <v>186</v>
      </c>
      <c r="S44" t="s">
        <v>190</v>
      </c>
      <c r="T44" s="151" t="s">
        <v>190</v>
      </c>
      <c r="U44" t="s">
        <v>190</v>
      </c>
      <c r="V44" t="s">
        <v>190</v>
      </c>
      <c r="W44" t="s">
        <v>190</v>
      </c>
      <c r="X44" t="s">
        <v>186</v>
      </c>
      <c r="Y44" t="s">
        <v>186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</row>
    <row r="45" spans="2:36">
      <c r="B45" s="2" t="s">
        <v>378</v>
      </c>
      <c r="C45" s="2" t="s">
        <v>379</v>
      </c>
      <c r="D45" s="2" t="str">
        <f>Table5[[#This Row],[First name]]&amp;" "&amp;Table5[[#This Row],[Last name]]</f>
        <v>James Kilfoil</v>
      </c>
      <c r="E45" s="2" t="str">
        <f>_xlfn.XLOOKUP(Table5[[#This Row],[Full name]],Table26[Name],Table26[Role],"Member",0,1)</f>
        <v>Executive</v>
      </c>
      <c r="F45" s="2" t="s">
        <v>188</v>
      </c>
      <c r="G45" s="26" cm="1">
        <f t="array" aca="1" ref="G45" ca="1">COUNTIF(Table5[[#This Row],[September 30, 2025]:[April 7, 2026]],"Yes")/SUMPRODUCT(--(DATEVALUE(Table5[[#Headers],[September 30, 2025]:[April 9, 2026]])&lt;=TODAY()))</f>
        <v>0.2</v>
      </c>
      <c r="H45" t="s">
        <v>186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186</v>
      </c>
      <c r="O45" t="s">
        <v>190</v>
      </c>
      <c r="P45" t="s">
        <v>186</v>
      </c>
      <c r="Q45" t="s">
        <v>190</v>
      </c>
      <c r="R45" t="s">
        <v>186</v>
      </c>
      <c r="S45" t="s">
        <v>190</v>
      </c>
      <c r="T45" s="151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</row>
    <row r="46" spans="2:36">
      <c r="B46" s="2" t="s">
        <v>380</v>
      </c>
      <c r="C46" s="2" t="s">
        <v>381</v>
      </c>
      <c r="D46" s="2" t="str">
        <f>Table5[[#This Row],[First name]]&amp;" "&amp;Table5[[#This Row],[Last name]]</f>
        <v>Jared Lipski</v>
      </c>
      <c r="E46" s="2" t="str">
        <f>_xlfn.XLOOKUP(Table5[[#This Row],[Full name]],Table26[Name],Table26[Role],"Member",0,1)</f>
        <v>Executive</v>
      </c>
      <c r="F46" s="2" t="s">
        <v>188</v>
      </c>
      <c r="G46" s="26" cm="1">
        <f t="array" aca="1" ref="G46" ca="1">COUNTIF(Table5[[#This Row],[September 30, 2025]:[April 7, 2026]],"Yes")/SUMPRODUCT(--(DATEVALUE(Table5[[#Headers],[September 30, 2025]:[April 9, 2026]])&lt;=TODAY()))</f>
        <v>0.5</v>
      </c>
      <c r="H46" t="s">
        <v>186</v>
      </c>
      <c r="I46" t="s">
        <v>186</v>
      </c>
      <c r="J46" t="s">
        <v>190</v>
      </c>
      <c r="K46" t="s">
        <v>190</v>
      </c>
      <c r="L46" t="s">
        <v>190</v>
      </c>
      <c r="M46" t="s">
        <v>186</v>
      </c>
      <c r="N46" t="s">
        <v>190</v>
      </c>
      <c r="O46" t="s">
        <v>190</v>
      </c>
      <c r="P46" t="s">
        <v>186</v>
      </c>
      <c r="Q46" t="s">
        <v>190</v>
      </c>
      <c r="R46" t="s">
        <v>186</v>
      </c>
      <c r="S46" t="s">
        <v>186</v>
      </c>
      <c r="T46" s="151" t="s">
        <v>186</v>
      </c>
      <c r="U46" t="s">
        <v>190</v>
      </c>
      <c r="V46" t="s">
        <v>190</v>
      </c>
      <c r="W46" t="s">
        <v>190</v>
      </c>
      <c r="X46" t="s">
        <v>186</v>
      </c>
      <c r="Y46" t="s">
        <v>186</v>
      </c>
      <c r="Z46" t="s">
        <v>190</v>
      </c>
      <c r="AA46" t="s">
        <v>186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</row>
    <row r="47" spans="2:36">
      <c r="B47" s="2" t="s">
        <v>382</v>
      </c>
      <c r="C47" s="2" t="s">
        <v>383</v>
      </c>
      <c r="D47" s="2" t="str">
        <f>Table5[[#This Row],[First name]]&amp;" "&amp;Table5[[#This Row],[Last name]]</f>
        <v>Jayden Agarwal</v>
      </c>
      <c r="E47" s="2" t="str">
        <f>_xlfn.XLOOKUP(Table5[[#This Row],[Full name]],Table26[Name],Table26[Role],"Member",0,1)</f>
        <v>Executive</v>
      </c>
      <c r="F47" s="2" t="s">
        <v>188</v>
      </c>
      <c r="G47" s="26" cm="1">
        <f t="array" aca="1" ref="G47" ca="1">COUNTIF(Table5[[#This Row],[September 30, 2025]:[April 7, 2026]],"Yes")/SUMPRODUCT(--(DATEVALUE(Table5[[#Headers],[September 30, 2025]:[April 9, 2026]])&lt;=TODAY()))</f>
        <v>0.1</v>
      </c>
      <c r="H47" t="s">
        <v>190</v>
      </c>
      <c r="I47" t="s">
        <v>186</v>
      </c>
      <c r="J47" t="s">
        <v>190</v>
      </c>
      <c r="K47" t="s">
        <v>190</v>
      </c>
      <c r="L47" t="s">
        <v>186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s="151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</row>
    <row r="48" spans="2:36">
      <c r="B48" s="2" t="s">
        <v>384</v>
      </c>
      <c r="C48" s="2" t="s">
        <v>385</v>
      </c>
      <c r="D48" s="2" t="str">
        <f>Table5[[#This Row],[First name]]&amp;" "&amp;Table5[[#This Row],[Last name]]</f>
        <v>Marcus Athwal</v>
      </c>
      <c r="E48" s="2" t="str">
        <f>_xlfn.XLOOKUP(Table5[[#This Row],[Full name]],Table26[Name],Table26[Role],"Member",0,1)</f>
        <v>Executive</v>
      </c>
      <c r="F48" s="2" t="s">
        <v>188</v>
      </c>
      <c r="G48" s="26" cm="1">
        <f t="array" aca="1" ref="G48" ca="1">COUNTIF(Table5[[#This Row],[September 30, 2025]:[April 7, 2026]],"Yes")/SUMPRODUCT(--(DATEVALUE(Table5[[#Headers],[September 30, 2025]:[April 9, 2026]])&lt;=TODAY()))</f>
        <v>0.85</v>
      </c>
      <c r="H48" t="s">
        <v>186</v>
      </c>
      <c r="I48" t="s">
        <v>186</v>
      </c>
      <c r="J48" t="s">
        <v>186</v>
      </c>
      <c r="K48" t="s">
        <v>186</v>
      </c>
      <c r="L48" t="s">
        <v>190</v>
      </c>
      <c r="M48" t="s">
        <v>186</v>
      </c>
      <c r="N48" t="s">
        <v>186</v>
      </c>
      <c r="O48" t="s">
        <v>186</v>
      </c>
      <c r="P48" t="s">
        <v>190</v>
      </c>
      <c r="Q48" t="s">
        <v>190</v>
      </c>
      <c r="R48" t="s">
        <v>186</v>
      </c>
      <c r="S48" t="s">
        <v>186</v>
      </c>
      <c r="T48" s="151" t="s">
        <v>186</v>
      </c>
      <c r="U48" t="s">
        <v>186</v>
      </c>
      <c r="V48" t="s">
        <v>186</v>
      </c>
      <c r="W48" t="s">
        <v>186</v>
      </c>
      <c r="X48" t="s">
        <v>186</v>
      </c>
      <c r="Y48" t="s">
        <v>186</v>
      </c>
      <c r="Z48" t="s">
        <v>186</v>
      </c>
      <c r="AA48" t="s">
        <v>186</v>
      </c>
      <c r="AB48" t="s">
        <v>190</v>
      </c>
      <c r="AC48" t="s">
        <v>190</v>
      </c>
      <c r="AD48" t="s">
        <v>190</v>
      </c>
      <c r="AE48" t="s">
        <v>190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</row>
    <row r="49" spans="2:36">
      <c r="B49" s="2" t="s">
        <v>317</v>
      </c>
      <c r="C49" s="2" t="s">
        <v>386</v>
      </c>
      <c r="D49" s="2" t="str">
        <f>Table5[[#This Row],[First name]]&amp;" "&amp;Table5[[#This Row],[Last name]]</f>
        <v>Matthew Pape</v>
      </c>
      <c r="E49" s="2" t="str">
        <f>_xlfn.XLOOKUP(Table5[[#This Row],[Full name]],Table26[Name],Table26[Role],"Member",0,1)</f>
        <v>Executive</v>
      </c>
      <c r="F49" s="2" t="s">
        <v>188</v>
      </c>
      <c r="G49" s="26" cm="1">
        <f t="array" aca="1" ref="G49" ca="1">COUNTIF(Table5[[#This Row],[September 30, 2025]:[April 7, 2026]],"Yes")/SUMPRODUCT(--(DATEVALUE(Table5[[#Headers],[September 30, 2025]:[April 9, 2026]])&lt;=TODAY()))</f>
        <v>0.45</v>
      </c>
      <c r="H49" t="s">
        <v>186</v>
      </c>
      <c r="I49" t="s">
        <v>186</v>
      </c>
      <c r="J49" t="s">
        <v>190</v>
      </c>
      <c r="K49" t="s">
        <v>190</v>
      </c>
      <c r="L49" t="s">
        <v>186</v>
      </c>
      <c r="M49" t="s">
        <v>190</v>
      </c>
      <c r="N49" t="s">
        <v>186</v>
      </c>
      <c r="O49" t="s">
        <v>190</v>
      </c>
      <c r="P49" t="s">
        <v>186</v>
      </c>
      <c r="Q49" t="s">
        <v>190</v>
      </c>
      <c r="R49" t="s">
        <v>186</v>
      </c>
      <c r="S49" t="s">
        <v>186</v>
      </c>
      <c r="T49" s="151" t="s">
        <v>190</v>
      </c>
      <c r="U49" t="s">
        <v>190</v>
      </c>
      <c r="V49" t="s">
        <v>190</v>
      </c>
      <c r="W49" t="s">
        <v>186</v>
      </c>
      <c r="X49" t="s">
        <v>190</v>
      </c>
      <c r="Y49" t="s">
        <v>190</v>
      </c>
      <c r="Z49" t="s">
        <v>190</v>
      </c>
      <c r="AA49" t="s">
        <v>186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</row>
    <row r="50" spans="2:36">
      <c r="B50" s="2" t="s">
        <v>317</v>
      </c>
      <c r="C50" s="2" t="s">
        <v>387</v>
      </c>
      <c r="D50" s="2" t="str">
        <f>Table5[[#This Row],[First name]]&amp;" "&amp;Table5[[#This Row],[Last name]]</f>
        <v>Matthew Fernandes</v>
      </c>
      <c r="E50" s="2" t="str">
        <f>_xlfn.XLOOKUP(Table5[[#This Row],[Full name]],Table26[Name],Table26[Role],"Member",0,1)</f>
        <v>Executive</v>
      </c>
      <c r="F50" s="2" t="s">
        <v>188</v>
      </c>
      <c r="G50" s="26" cm="1">
        <f t="array" aca="1" ref="G50" ca="1">COUNTIF(Table5[[#This Row],[September 30, 2025]:[April 7, 2026]],"Yes")/SUMPRODUCT(--(DATEVALUE(Table5[[#Headers],[September 30, 2025]:[April 9, 2026]])&lt;=TODAY()))</f>
        <v>0.55000000000000004</v>
      </c>
      <c r="H50" t="s">
        <v>190</v>
      </c>
      <c r="I50" t="s">
        <v>190</v>
      </c>
      <c r="J50" t="s">
        <v>190</v>
      </c>
      <c r="K50" t="s">
        <v>190</v>
      </c>
      <c r="L50" t="s">
        <v>190</v>
      </c>
      <c r="M50" t="s">
        <v>186</v>
      </c>
      <c r="N50" t="s">
        <v>186</v>
      </c>
      <c r="O50" t="s">
        <v>186</v>
      </c>
      <c r="P50" t="s">
        <v>186</v>
      </c>
      <c r="Q50" t="s">
        <v>186</v>
      </c>
      <c r="R50" t="s">
        <v>186</v>
      </c>
      <c r="S50" t="s">
        <v>186</v>
      </c>
      <c r="T50" s="151" t="s">
        <v>186</v>
      </c>
      <c r="U50" t="s">
        <v>190</v>
      </c>
      <c r="V50" t="s">
        <v>190</v>
      </c>
      <c r="W50" t="s">
        <v>190</v>
      </c>
      <c r="X50" t="s">
        <v>186</v>
      </c>
      <c r="Y50" t="s">
        <v>186</v>
      </c>
      <c r="Z50" t="s">
        <v>190</v>
      </c>
      <c r="AA50" t="s">
        <v>186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</row>
    <row r="51" spans="2:36">
      <c r="B51" s="2" t="s">
        <v>388</v>
      </c>
      <c r="C51" s="2" t="s">
        <v>389</v>
      </c>
      <c r="D51" s="2" t="str">
        <f>Table5[[#This Row],[First name]]&amp;" "&amp;Table5[[#This Row],[Last name]]</f>
        <v>Medet Kazbek</v>
      </c>
      <c r="E51" s="2" t="str">
        <f>_xlfn.XLOOKUP(Table5[[#This Row],[Full name]],Table26[Name],Table26[Role],"Member",0,1)</f>
        <v>Executive</v>
      </c>
      <c r="F51" s="2" t="s">
        <v>188</v>
      </c>
      <c r="G51" s="26" cm="1">
        <f t="array" aca="1" ref="G51" ca="1">COUNTIF(Table5[[#This Row],[September 30, 2025]:[April 7, 2026]],"Yes")/SUMPRODUCT(--(DATEVALUE(Table5[[#Headers],[September 30, 2025]:[April 9, 2026]])&lt;=TODAY()))</f>
        <v>0.25</v>
      </c>
      <c r="H51" t="s">
        <v>186</v>
      </c>
      <c r="I51" t="s">
        <v>190</v>
      </c>
      <c r="J51" t="s">
        <v>186</v>
      </c>
      <c r="K51" t="s">
        <v>190</v>
      </c>
      <c r="L51" t="s">
        <v>190</v>
      </c>
      <c r="M51" t="s">
        <v>186</v>
      </c>
      <c r="N51" t="s">
        <v>186</v>
      </c>
      <c r="O51" t="s">
        <v>186</v>
      </c>
      <c r="P51" t="s">
        <v>190</v>
      </c>
      <c r="R51" t="s">
        <v>190</v>
      </c>
      <c r="S51" t="s">
        <v>190</v>
      </c>
      <c r="T51" s="1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</row>
    <row r="52" spans="2:36">
      <c r="B52" s="2" t="s">
        <v>309</v>
      </c>
      <c r="C52" s="2" t="s">
        <v>390</v>
      </c>
      <c r="D52" s="2" t="str">
        <f>Table5[[#This Row],[First name]]&amp;" "&amp;Table5[[#This Row],[Last name]]</f>
        <v>Nathan Visentin</v>
      </c>
      <c r="E52" s="2" t="str">
        <f>_xlfn.XLOOKUP(Table5[[#This Row],[Full name]],Table26[Name],Table26[Role],"Member",0,1)</f>
        <v>Executive</v>
      </c>
      <c r="F52" s="2" t="s">
        <v>188</v>
      </c>
      <c r="G52" s="26" cm="1">
        <f t="array" aca="1" ref="G52" ca="1">COUNTIF(Table5[[#This Row],[September 30, 2025]:[April 7, 2026]],"Yes")/SUMPRODUCT(--(DATEVALUE(Table5[[#Headers],[September 30, 2025]:[April 9, 2026]])&lt;=TODAY()))</f>
        <v>0.1</v>
      </c>
      <c r="H52" t="s">
        <v>186</v>
      </c>
      <c r="I52" t="s">
        <v>190</v>
      </c>
      <c r="J52" t="s">
        <v>190</v>
      </c>
      <c r="K52" t="s">
        <v>190</v>
      </c>
      <c r="L52" t="s">
        <v>186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s="151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</row>
    <row r="53" spans="2:36">
      <c r="B53" s="2" t="s">
        <v>391</v>
      </c>
      <c r="C53" s="2" t="s">
        <v>392</v>
      </c>
      <c r="D53" s="2" t="str">
        <f>Table5[[#This Row],[First name]]&amp;" "&amp;Table5[[#This Row],[Last name]]</f>
        <v>Noah George</v>
      </c>
      <c r="E53" s="2" t="str">
        <f>_xlfn.XLOOKUP(Table5[[#This Row],[Full name]],Table26[Name],Table26[Role],"Member",0,1)</f>
        <v>Executive</v>
      </c>
      <c r="F53" s="2" t="s">
        <v>188</v>
      </c>
      <c r="G53" s="26" cm="1">
        <f t="array" aca="1" ref="G53" ca="1">COUNTIF(Table5[[#This Row],[September 30, 2025]:[April 7, 2026]],"Yes")/SUMPRODUCT(--(DATEVALUE(Table5[[#Headers],[September 30, 2025]:[April 9, 2026]])&lt;=TODAY()))</f>
        <v>0.85</v>
      </c>
      <c r="H53" t="s">
        <v>186</v>
      </c>
      <c r="I53" t="s">
        <v>190</v>
      </c>
      <c r="J53" t="s">
        <v>186</v>
      </c>
      <c r="K53" t="s">
        <v>186</v>
      </c>
      <c r="L53" t="s">
        <v>186</v>
      </c>
      <c r="M53" t="s">
        <v>186</v>
      </c>
      <c r="N53" t="s">
        <v>186</v>
      </c>
      <c r="O53" t="s">
        <v>186</v>
      </c>
      <c r="P53" t="s">
        <v>186</v>
      </c>
      <c r="Q53" t="s">
        <v>186</v>
      </c>
      <c r="R53" t="s">
        <v>186</v>
      </c>
      <c r="S53" t="s">
        <v>186</v>
      </c>
      <c r="T53" s="151" t="s">
        <v>190</v>
      </c>
      <c r="U53" t="s">
        <v>186</v>
      </c>
      <c r="V53" t="s">
        <v>186</v>
      </c>
      <c r="W53" t="s">
        <v>186</v>
      </c>
      <c r="X53" t="s">
        <v>190</v>
      </c>
      <c r="Y53" t="s">
        <v>186</v>
      </c>
      <c r="Z53" t="s">
        <v>186</v>
      </c>
      <c r="AA53" t="s">
        <v>186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</row>
    <row r="54" spans="2:36">
      <c r="B54" s="2" t="s">
        <v>393</v>
      </c>
      <c r="C54" s="2" t="s">
        <v>394</v>
      </c>
      <c r="D54" s="2" t="str">
        <f>Table5[[#This Row],[First name]]&amp;" "&amp;Table5[[#This Row],[Last name]]</f>
        <v>Noella Or</v>
      </c>
      <c r="E54" s="2" t="str">
        <f>_xlfn.XLOOKUP(Table5[[#This Row],[Full name]],Table26[Name],Table26[Role],"Member",0,1)</f>
        <v>Executive</v>
      </c>
      <c r="F54" s="2" t="s">
        <v>188</v>
      </c>
      <c r="G54" s="26" cm="1">
        <f t="array" aca="1" ref="G54" ca="1">COUNTIF(Table5[[#This Row],[September 30, 2025]:[April 7, 2026]],"Yes")/SUMPRODUCT(--(DATEVALUE(Table5[[#Headers],[September 30, 2025]:[April 9, 2026]])&lt;=TODAY()))</f>
        <v>0.55000000000000004</v>
      </c>
      <c r="H54" t="s">
        <v>190</v>
      </c>
      <c r="I54" t="s">
        <v>190</v>
      </c>
      <c r="J54" t="s">
        <v>186</v>
      </c>
      <c r="K54" t="s">
        <v>190</v>
      </c>
      <c r="L54" t="s">
        <v>190</v>
      </c>
      <c r="M54" t="s">
        <v>186</v>
      </c>
      <c r="N54" t="s">
        <v>186</v>
      </c>
      <c r="O54" t="s">
        <v>186</v>
      </c>
      <c r="P54" t="s">
        <v>186</v>
      </c>
      <c r="Q54" t="s">
        <v>186</v>
      </c>
      <c r="R54" t="s">
        <v>186</v>
      </c>
      <c r="S54" t="s">
        <v>186</v>
      </c>
      <c r="T54" s="151" t="s">
        <v>190</v>
      </c>
      <c r="U54" t="s">
        <v>186</v>
      </c>
      <c r="V54" t="s">
        <v>190</v>
      </c>
      <c r="W54" t="s">
        <v>190</v>
      </c>
      <c r="X54" t="s">
        <v>190</v>
      </c>
      <c r="Y54" t="s">
        <v>186</v>
      </c>
      <c r="Z54" t="s">
        <v>190</v>
      </c>
      <c r="AA54" t="s">
        <v>186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</row>
    <row r="55" spans="2:36">
      <c r="B55" s="2" t="s">
        <v>395</v>
      </c>
      <c r="C55" s="2" t="s">
        <v>304</v>
      </c>
      <c r="D55" s="2" t="str">
        <f>Table5[[#This Row],[First name]]&amp;" "&amp;Table5[[#This Row],[Last name]]</f>
        <v>Oscar Chen</v>
      </c>
      <c r="E55" s="2" t="str">
        <f>_xlfn.XLOOKUP(Table5[[#This Row],[Full name]],Table26[Name],Table26[Role],"Member",0,1)</f>
        <v>Executive</v>
      </c>
      <c r="F55" s="2" t="s">
        <v>188</v>
      </c>
      <c r="G55" s="26" cm="1">
        <f t="array" aca="1" ref="G55" ca="1">COUNTIF(Table5[[#This Row],[September 30, 2025]:[April 7, 2026]],"Yes")/SUMPRODUCT(--(DATEVALUE(Table5[[#Headers],[September 30, 2025]:[April 9, 2026]])&lt;=TODAY()))</f>
        <v>0.5</v>
      </c>
      <c r="H55" t="s">
        <v>186</v>
      </c>
      <c r="I55" t="s">
        <v>186</v>
      </c>
      <c r="J55" t="s">
        <v>190</v>
      </c>
      <c r="K55" t="s">
        <v>186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186</v>
      </c>
      <c r="S55" t="s">
        <v>186</v>
      </c>
      <c r="T55" s="151" t="s">
        <v>186</v>
      </c>
      <c r="U55" t="s">
        <v>190</v>
      </c>
      <c r="V55" t="s">
        <v>190</v>
      </c>
      <c r="W55" t="s">
        <v>186</v>
      </c>
      <c r="X55" t="s">
        <v>186</v>
      </c>
      <c r="Y55" t="s">
        <v>190</v>
      </c>
      <c r="Z55" t="s">
        <v>186</v>
      </c>
      <c r="AA55" t="s">
        <v>186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</row>
    <row r="56" spans="2:36">
      <c r="B56" s="2" t="s">
        <v>396</v>
      </c>
      <c r="C56" s="2" t="s">
        <v>397</v>
      </c>
      <c r="D56" s="2" t="str">
        <f>Table5[[#This Row],[First name]]&amp;" "&amp;Table5[[#This Row],[Last name]]</f>
        <v>Pari Shah</v>
      </c>
      <c r="E56" s="2" t="str">
        <f>_xlfn.XLOOKUP(Table5[[#This Row],[Full name]],Table26[Name],Table26[Role],"Member",0,1)</f>
        <v>Executive</v>
      </c>
      <c r="F56" s="2" t="s">
        <v>188</v>
      </c>
      <c r="G56" s="26" cm="1">
        <f t="array" aca="1" ref="G56" ca="1">COUNTIF(Table5[[#This Row],[September 30, 2025]:[April 7, 2026]],"Yes")/SUMPRODUCT(--(DATEVALUE(Table5[[#Headers],[September 30, 2025]:[April 9, 2026]])&lt;=TODAY()))</f>
        <v>1</v>
      </c>
      <c r="H56" t="s">
        <v>186</v>
      </c>
      <c r="I56" t="s">
        <v>186</v>
      </c>
      <c r="J56" t="s">
        <v>186</v>
      </c>
      <c r="K56" t="s">
        <v>186</v>
      </c>
      <c r="L56" t="s">
        <v>186</v>
      </c>
      <c r="M56" t="s">
        <v>186</v>
      </c>
      <c r="N56" t="s">
        <v>186</v>
      </c>
      <c r="O56" t="s">
        <v>186</v>
      </c>
      <c r="P56" t="s">
        <v>186</v>
      </c>
      <c r="Q56" t="s">
        <v>186</v>
      </c>
      <c r="R56" t="s">
        <v>186</v>
      </c>
      <c r="S56" t="s">
        <v>186</v>
      </c>
      <c r="T56" s="151" t="s">
        <v>186</v>
      </c>
      <c r="U56" t="s">
        <v>186</v>
      </c>
      <c r="V56" t="s">
        <v>186</v>
      </c>
      <c r="W56" t="s">
        <v>186</v>
      </c>
      <c r="X56" t="s">
        <v>186</v>
      </c>
      <c r="Y56" t="s">
        <v>186</v>
      </c>
      <c r="Z56" t="s">
        <v>186</v>
      </c>
      <c r="AA56" t="s">
        <v>186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</row>
    <row r="57" spans="2:36">
      <c r="B57" s="2" t="s">
        <v>319</v>
      </c>
      <c r="C57" s="2" t="s">
        <v>398</v>
      </c>
      <c r="D57" s="2" t="str">
        <f>Table5[[#This Row],[First name]]&amp;" "&amp;Table5[[#This Row],[Last name]]</f>
        <v>Pavel Tsymbalyuk</v>
      </c>
      <c r="E57" s="2" t="str">
        <f>_xlfn.XLOOKUP(Table5[[#This Row],[Full name]],Table26[Name],Table26[Role],"Member",0,1)</f>
        <v>Executive</v>
      </c>
      <c r="F57" s="2" t="s">
        <v>188</v>
      </c>
      <c r="G57" s="26" cm="1">
        <f t="array" aca="1" ref="G57" ca="1">COUNTIF(Table5[[#This Row],[September 30, 2025]:[April 7, 2026]],"Yes")/SUMPRODUCT(--(DATEVALUE(Table5[[#Headers],[September 30, 2025]:[April 9, 2026]])&lt;=TODAY()))</f>
        <v>0.55000000000000004</v>
      </c>
      <c r="H57" t="s">
        <v>186</v>
      </c>
      <c r="I57" t="s">
        <v>190</v>
      </c>
      <c r="J57" t="s">
        <v>190</v>
      </c>
      <c r="K57" t="s">
        <v>186</v>
      </c>
      <c r="L57" t="s">
        <v>190</v>
      </c>
      <c r="M57" t="s">
        <v>186</v>
      </c>
      <c r="N57" t="s">
        <v>186</v>
      </c>
      <c r="O57" t="s">
        <v>186</v>
      </c>
      <c r="P57" t="s">
        <v>186</v>
      </c>
      <c r="Q57" t="s">
        <v>190</v>
      </c>
      <c r="R57" t="s">
        <v>190</v>
      </c>
      <c r="S57" t="s">
        <v>186</v>
      </c>
      <c r="T57" s="151" t="s">
        <v>186</v>
      </c>
      <c r="U57" t="s">
        <v>186</v>
      </c>
      <c r="V57" t="s">
        <v>190</v>
      </c>
      <c r="W57" t="s">
        <v>190</v>
      </c>
      <c r="X57" t="s">
        <v>190</v>
      </c>
      <c r="Y57" t="s">
        <v>190</v>
      </c>
      <c r="Z57" t="s">
        <v>186</v>
      </c>
      <c r="AA57" t="s">
        <v>186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</row>
    <row r="58" spans="2:36">
      <c r="B58" s="2" t="s">
        <v>399</v>
      </c>
      <c r="C58" s="2" t="s">
        <v>400</v>
      </c>
      <c r="D58" s="2" t="str">
        <f>Table5[[#This Row],[First name]]&amp;" "&amp;Table5[[#This Row],[Last name]]</f>
        <v>Priyansh Sharma</v>
      </c>
      <c r="E58" s="2" t="str">
        <f>_xlfn.XLOOKUP(Table5[[#This Row],[Full name]],Table26[Name],Table26[Role],"Member",0,1)</f>
        <v>Executive</v>
      </c>
      <c r="F58" s="2" t="s">
        <v>188</v>
      </c>
      <c r="G58" s="26" cm="1">
        <f t="array" aca="1" ref="G58" ca="1">COUNTIF(Table5[[#This Row],[September 30, 2025]:[April 7, 2026]],"Yes")/SUMPRODUCT(--(DATEVALUE(Table5[[#Headers],[September 30, 2025]:[April 9, 2026]])&lt;=TODAY()))</f>
        <v>0.85</v>
      </c>
      <c r="H58" t="s">
        <v>186</v>
      </c>
      <c r="I58" t="s">
        <v>186</v>
      </c>
      <c r="J58" t="s">
        <v>186</v>
      </c>
      <c r="K58" t="s">
        <v>186</v>
      </c>
      <c r="L58" t="s">
        <v>186</v>
      </c>
      <c r="M58" t="s">
        <v>186</v>
      </c>
      <c r="N58" t="s">
        <v>186</v>
      </c>
      <c r="O58" t="s">
        <v>190</v>
      </c>
      <c r="P58" t="s">
        <v>186</v>
      </c>
      <c r="Q58" t="s">
        <v>186</v>
      </c>
      <c r="R58" t="s">
        <v>190</v>
      </c>
      <c r="S58" t="s">
        <v>186</v>
      </c>
      <c r="T58" s="151" t="s">
        <v>186</v>
      </c>
      <c r="U58" t="s">
        <v>186</v>
      </c>
      <c r="V58" t="s">
        <v>186</v>
      </c>
      <c r="W58" t="s">
        <v>186</v>
      </c>
      <c r="X58" t="s">
        <v>186</v>
      </c>
      <c r="Y58" t="s">
        <v>190</v>
      </c>
      <c r="Z58" t="s">
        <v>186</v>
      </c>
      <c r="AA58" t="s">
        <v>186</v>
      </c>
      <c r="AB58" t="s">
        <v>190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</row>
    <row r="59" spans="2:36">
      <c r="B59" s="2" t="s">
        <v>401</v>
      </c>
      <c r="C59" s="2" t="s">
        <v>402</v>
      </c>
      <c r="D59" s="2" t="str">
        <f>Table5[[#This Row],[First name]]&amp;" "&amp;Table5[[#This Row],[Last name]]</f>
        <v>Quenifer Lung</v>
      </c>
      <c r="E59" s="2" t="str">
        <f>_xlfn.XLOOKUP(Table5[[#This Row],[Full name]],Table26[Name],Table26[Role],"Member",0,1)</f>
        <v>Executive</v>
      </c>
      <c r="F59" s="2" t="s">
        <v>188</v>
      </c>
      <c r="G59" s="26" cm="1">
        <f t="array" aca="1" ref="G59" ca="1">COUNTIF(Table5[[#This Row],[September 30, 2025]:[April 7, 2026]],"Yes")/SUMPRODUCT(--(DATEVALUE(Table5[[#Headers],[September 30, 2025]:[April 9, 2026]])&lt;=TODAY()))</f>
        <v>0.05</v>
      </c>
      <c r="H59" t="s">
        <v>190</v>
      </c>
      <c r="I59" t="s">
        <v>190</v>
      </c>
      <c r="J59" t="s">
        <v>190</v>
      </c>
      <c r="K59" t="s">
        <v>190</v>
      </c>
      <c r="L59" t="s">
        <v>186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s="151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</row>
    <row r="60" spans="2:36">
      <c r="B60" s="2" t="s">
        <v>403</v>
      </c>
      <c r="C60" s="2" t="s">
        <v>404</v>
      </c>
      <c r="D60" s="2" t="str">
        <f>Table5[[#This Row],[First name]]&amp;" "&amp;Table5[[#This Row],[Last name]]</f>
        <v>Rachel Xu</v>
      </c>
      <c r="E60" s="2" t="str">
        <f>_xlfn.XLOOKUP(Table5[[#This Row],[Full name]],Table26[Name],Table26[Role],"Member",0,1)</f>
        <v>Executive</v>
      </c>
      <c r="F60" s="2"/>
      <c r="G60" s="26" cm="1">
        <f t="array" aca="1" ref="G60" ca="1">COUNTIF(Table5[[#This Row],[September 30, 2025]:[April 7, 2026]],"Yes")/SUMPRODUCT(--(DATEVALUE(Table5[[#Headers],[September 30, 2025]:[April 9, 2026]])&lt;=TODAY()))</f>
        <v>0.2</v>
      </c>
      <c r="O60" t="s">
        <v>186</v>
      </c>
      <c r="P60" t="s">
        <v>190</v>
      </c>
      <c r="Q60" t="s">
        <v>190</v>
      </c>
      <c r="R60" t="s">
        <v>190</v>
      </c>
      <c r="S60" t="s">
        <v>190</v>
      </c>
      <c r="T60" s="151" t="s">
        <v>186</v>
      </c>
      <c r="U60" t="s">
        <v>186</v>
      </c>
      <c r="V60" t="s">
        <v>190</v>
      </c>
      <c r="W60" t="s">
        <v>190</v>
      </c>
      <c r="X60" t="s">
        <v>186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</row>
    <row r="61" spans="2:36">
      <c r="B61" s="2" t="s">
        <v>405</v>
      </c>
      <c r="C61" s="2" t="s">
        <v>406</v>
      </c>
      <c r="D61" s="2" t="str">
        <f>Table5[[#This Row],[First name]]&amp;" "&amp;Table5[[#This Row],[Last name]]</f>
        <v>Ray Macaulay</v>
      </c>
      <c r="E61" s="2" t="str">
        <f>_xlfn.XLOOKUP(Table5[[#This Row],[Full name]],Table26[Name],Table26[Role],"Member",0,1)</f>
        <v>Executive</v>
      </c>
      <c r="F61" s="2" t="s">
        <v>188</v>
      </c>
      <c r="G61" s="26" cm="1">
        <f t="array" aca="1" ref="G61" ca="1">COUNTIF(Table5[[#This Row],[September 30, 2025]:[April 7, 2026]],"Yes")/SUMPRODUCT(--(DATEVALUE(Table5[[#Headers],[September 30, 2025]:[April 9, 2026]])&lt;=TODAY()))</f>
        <v>0.4</v>
      </c>
      <c r="H61" t="s">
        <v>186</v>
      </c>
      <c r="I61" t="s">
        <v>186</v>
      </c>
      <c r="J61" t="s">
        <v>186</v>
      </c>
      <c r="K61" t="s">
        <v>186</v>
      </c>
      <c r="L61" t="s">
        <v>186</v>
      </c>
      <c r="M61" t="s">
        <v>190</v>
      </c>
      <c r="N61" t="s">
        <v>190</v>
      </c>
      <c r="O61" t="s">
        <v>190</v>
      </c>
      <c r="P61" t="s">
        <v>186</v>
      </c>
      <c r="Q61" t="s">
        <v>190</v>
      </c>
      <c r="R61" t="s">
        <v>190</v>
      </c>
      <c r="S61" t="s">
        <v>186</v>
      </c>
      <c r="T61" s="15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186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</row>
    <row r="62" spans="2:36">
      <c r="B62" s="2" t="s">
        <v>407</v>
      </c>
      <c r="C62" s="2" t="s">
        <v>408</v>
      </c>
      <c r="D62" s="2" t="str">
        <f>Table5[[#This Row],[First name]]&amp;" "&amp;Table5[[#This Row],[Last name]]</f>
        <v>Richard Pan</v>
      </c>
      <c r="E62" s="2" t="str">
        <f>_xlfn.XLOOKUP(Table5[[#This Row],[Full name]],Table26[Name],Table26[Role],"Member",0,1)</f>
        <v>Executive</v>
      </c>
      <c r="F62" s="2" t="s">
        <v>188</v>
      </c>
      <c r="G62" s="26" cm="1">
        <f t="array" aca="1" ref="G62" ca="1">COUNTIF(Table5[[#This Row],[September 30, 2025]:[April 7, 2026]],"Yes")/SUMPRODUCT(--(DATEVALUE(Table5[[#Headers],[September 30, 2025]:[April 9, 2026]])&lt;=TODAY()))</f>
        <v>0.8</v>
      </c>
      <c r="H62" t="s">
        <v>186</v>
      </c>
      <c r="I62" t="s">
        <v>190</v>
      </c>
      <c r="J62" t="s">
        <v>186</v>
      </c>
      <c r="K62" t="s">
        <v>186</v>
      </c>
      <c r="L62" t="s">
        <v>186</v>
      </c>
      <c r="M62" t="s">
        <v>186</v>
      </c>
      <c r="N62" t="s">
        <v>186</v>
      </c>
      <c r="O62" t="s">
        <v>186</v>
      </c>
      <c r="P62" t="s">
        <v>186</v>
      </c>
      <c r="Q62" t="s">
        <v>186</v>
      </c>
      <c r="R62" t="s">
        <v>186</v>
      </c>
      <c r="S62" t="s">
        <v>190</v>
      </c>
      <c r="T62" s="151" t="s">
        <v>186</v>
      </c>
      <c r="U62" t="s">
        <v>186</v>
      </c>
      <c r="V62" t="s">
        <v>186</v>
      </c>
      <c r="W62" t="s">
        <v>186</v>
      </c>
      <c r="X62" t="s">
        <v>186</v>
      </c>
      <c r="Y62" t="s">
        <v>186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</row>
    <row r="63" spans="2:36">
      <c r="B63" s="2" t="s">
        <v>409</v>
      </c>
      <c r="C63" s="2" t="s">
        <v>410</v>
      </c>
      <c r="D63" s="2" t="str">
        <f>Table5[[#This Row],[First name]]&amp;" "&amp;Table5[[#This Row],[Last name]]</f>
        <v>Sabrina Vong</v>
      </c>
      <c r="E63" s="2" t="str">
        <f>_xlfn.XLOOKUP(Table5[[#This Row],[Full name]],Table26[Name],Table26[Role],"Member",0,1)</f>
        <v>Executive</v>
      </c>
      <c r="F63" s="2" t="s">
        <v>188</v>
      </c>
      <c r="G63" s="26" cm="1">
        <f t="array" aca="1" ref="G63" ca="1">COUNTIF(Table5[[#This Row],[September 30, 2025]:[April 7, 2026]],"Yes")/SUMPRODUCT(--(DATEVALUE(Table5[[#Headers],[September 30, 2025]:[April 9, 2026]])&lt;=TODAY()))</f>
        <v>0.6</v>
      </c>
      <c r="H63" t="s">
        <v>190</v>
      </c>
      <c r="I63" t="s">
        <v>190</v>
      </c>
      <c r="J63" t="s">
        <v>186</v>
      </c>
      <c r="K63" t="s">
        <v>190</v>
      </c>
      <c r="L63" t="s">
        <v>186</v>
      </c>
      <c r="M63" t="s">
        <v>186</v>
      </c>
      <c r="N63" t="s">
        <v>186</v>
      </c>
      <c r="O63" t="s">
        <v>186</v>
      </c>
      <c r="P63" t="s">
        <v>186</v>
      </c>
      <c r="Q63" t="s">
        <v>186</v>
      </c>
      <c r="R63" t="s">
        <v>186</v>
      </c>
      <c r="S63" t="s">
        <v>186</v>
      </c>
      <c r="T63" s="151" t="s">
        <v>190</v>
      </c>
      <c r="U63" t="s">
        <v>186</v>
      </c>
      <c r="V63" t="s">
        <v>190</v>
      </c>
      <c r="W63" t="s">
        <v>190</v>
      </c>
      <c r="X63" t="s">
        <v>190</v>
      </c>
      <c r="Y63" t="s">
        <v>186</v>
      </c>
      <c r="Z63" t="s">
        <v>190</v>
      </c>
      <c r="AA63" t="s">
        <v>186</v>
      </c>
      <c r="AB63" t="s">
        <v>190</v>
      </c>
      <c r="AC63" t="s">
        <v>190</v>
      </c>
      <c r="AD63" t="s">
        <v>190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</row>
    <row r="64" spans="2:36">
      <c r="B64" s="2" t="s">
        <v>411</v>
      </c>
      <c r="C64" s="2" t="s">
        <v>412</v>
      </c>
      <c r="D64" s="2" t="str">
        <f>Table5[[#This Row],[First name]]&amp;" "&amp;Table5[[#This Row],[Last name]]</f>
        <v>Sanjay Snaidero</v>
      </c>
      <c r="E64" s="2" t="str">
        <f>_xlfn.XLOOKUP(Table5[[#This Row],[Full name]],Table26[Name],Table26[Role],"Member",0,1)</f>
        <v>Executive</v>
      </c>
      <c r="F64" s="2" t="s">
        <v>188</v>
      </c>
      <c r="G64" s="26" cm="1">
        <f t="array" aca="1" ref="G64" ca="1">COUNTIF(Table5[[#This Row],[September 30, 2025]:[April 7, 2026]],"Yes")/SUMPRODUCT(--(DATEVALUE(Table5[[#Headers],[September 30, 2025]:[April 9, 2026]])&lt;=TODAY()))</f>
        <v>0.1</v>
      </c>
      <c r="H64" t="s">
        <v>190</v>
      </c>
      <c r="I64" t="s">
        <v>190</v>
      </c>
      <c r="J64" t="s">
        <v>190</v>
      </c>
      <c r="K64" t="s">
        <v>186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186</v>
      </c>
      <c r="R64" t="s">
        <v>190</v>
      </c>
      <c r="S64" t="s">
        <v>190</v>
      </c>
      <c r="T64" s="151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</row>
    <row r="65" spans="2:36">
      <c r="B65" s="2" t="s">
        <v>413</v>
      </c>
      <c r="C65" s="2" t="s">
        <v>414</v>
      </c>
      <c r="D65" s="2" t="str">
        <f>Table5[[#This Row],[First name]]&amp;" "&amp;Table5[[#This Row],[Last name]]</f>
        <v>Sawyer Sanderson</v>
      </c>
      <c r="E65" s="2" t="str">
        <f>_xlfn.XLOOKUP(Table5[[#This Row],[Full name]],Table26[Name],Table26[Role],"Member",0,1)</f>
        <v>Executive</v>
      </c>
      <c r="F65" s="2" t="s">
        <v>188</v>
      </c>
      <c r="G65" s="26" cm="1">
        <f t="array" aca="1" ref="G65" ca="1">COUNTIF(Table5[[#This Row],[September 30, 2025]:[April 7, 2026]],"Yes")/SUMPRODUCT(--(DATEVALUE(Table5[[#Headers],[September 30, 2025]:[April 9, 2026]])&lt;=TODAY()))</f>
        <v>0.7</v>
      </c>
      <c r="H65" t="s">
        <v>186</v>
      </c>
      <c r="I65" t="s">
        <v>190</v>
      </c>
      <c r="J65" t="s">
        <v>186</v>
      </c>
      <c r="K65" t="s">
        <v>186</v>
      </c>
      <c r="L65" t="s">
        <v>190</v>
      </c>
      <c r="M65" t="s">
        <v>190</v>
      </c>
      <c r="N65" t="s">
        <v>186</v>
      </c>
      <c r="O65" t="s">
        <v>186</v>
      </c>
      <c r="P65" t="s">
        <v>186</v>
      </c>
      <c r="Q65" t="s">
        <v>186</v>
      </c>
      <c r="R65" t="s">
        <v>186</v>
      </c>
      <c r="S65" t="s">
        <v>186</v>
      </c>
      <c r="T65" s="151" t="s">
        <v>186</v>
      </c>
      <c r="U65" t="s">
        <v>186</v>
      </c>
      <c r="V65" t="s">
        <v>190</v>
      </c>
      <c r="W65" t="s">
        <v>190</v>
      </c>
      <c r="X65" t="s">
        <v>186</v>
      </c>
      <c r="Y65" t="s">
        <v>186</v>
      </c>
      <c r="Z65" t="s">
        <v>190</v>
      </c>
      <c r="AA65" t="s">
        <v>186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</row>
    <row r="66" spans="2:36">
      <c r="B66" s="2" t="s">
        <v>415</v>
      </c>
      <c r="C66" s="2" t="s">
        <v>350</v>
      </c>
      <c r="D66" s="2" t="str">
        <f>Table5[[#This Row],[First name]]&amp;" "&amp;Table5[[#This Row],[Last name]]</f>
        <v>Verissa Liu</v>
      </c>
      <c r="E66" s="2" t="str">
        <f>_xlfn.XLOOKUP(Table5[[#This Row],[Full name]],Table26[Name],Table26[Role],"Member",0,1)</f>
        <v>Executive</v>
      </c>
      <c r="F66" s="2" t="s">
        <v>188</v>
      </c>
      <c r="G66" s="26" cm="1">
        <f t="array" aca="1" ref="G66" ca="1">COUNTIF(Table5[[#This Row],[September 30, 2025]:[April 7, 2026]],"Yes")/SUMPRODUCT(--(DATEVALUE(Table5[[#Headers],[September 30, 2025]:[April 9, 2026]])&lt;=TODAY()))</f>
        <v>1</v>
      </c>
      <c r="H66" t="s">
        <v>186</v>
      </c>
      <c r="I66" t="s">
        <v>186</v>
      </c>
      <c r="J66" t="s">
        <v>186</v>
      </c>
      <c r="K66" t="s">
        <v>186</v>
      </c>
      <c r="L66" t="s">
        <v>186</v>
      </c>
      <c r="M66" t="s">
        <v>186</v>
      </c>
      <c r="N66" t="s">
        <v>186</v>
      </c>
      <c r="O66" t="s">
        <v>186</v>
      </c>
      <c r="P66" t="s">
        <v>186</v>
      </c>
      <c r="Q66" t="s">
        <v>186</v>
      </c>
      <c r="R66" t="s">
        <v>186</v>
      </c>
      <c r="S66" t="s">
        <v>186</v>
      </c>
      <c r="T66" s="151" t="s">
        <v>186</v>
      </c>
      <c r="U66" t="s">
        <v>186</v>
      </c>
      <c r="V66" t="s">
        <v>186</v>
      </c>
      <c r="W66" t="s">
        <v>186</v>
      </c>
      <c r="X66" t="s">
        <v>186</v>
      </c>
      <c r="Y66" t="s">
        <v>186</v>
      </c>
      <c r="Z66" t="s">
        <v>186</v>
      </c>
      <c r="AA66" t="s">
        <v>186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</row>
    <row r="67" spans="2:36">
      <c r="B67" s="2" t="s">
        <v>416</v>
      </c>
      <c r="C67" s="2" t="s">
        <v>308</v>
      </c>
      <c r="D67" s="2" t="str">
        <f>Table5[[#This Row],[First name]]&amp;" "&amp;Table5[[#This Row],[Last name]]</f>
        <v>William Mah</v>
      </c>
      <c r="E67" s="2" t="str">
        <f>_xlfn.XLOOKUP(Table5[[#This Row],[Full name]],Table26[Name],Table26[Role],"Member",0,1)</f>
        <v>Executive</v>
      </c>
      <c r="F67" s="2" t="s">
        <v>188</v>
      </c>
      <c r="G67" s="26" cm="1">
        <f t="array" aca="1" ref="G67" ca="1">COUNTIF(Table5[[#This Row],[September 30, 2025]:[April 7, 2026]],"Yes")/SUMPRODUCT(--(DATEVALUE(Table5[[#Headers],[September 30, 2025]:[April 9, 2026]])&lt;=TODAY()))</f>
        <v>0.15</v>
      </c>
      <c r="N67" t="s">
        <v>186</v>
      </c>
      <c r="P67" t="s">
        <v>186</v>
      </c>
      <c r="Q67" t="s">
        <v>190</v>
      </c>
      <c r="R67" t="s">
        <v>190</v>
      </c>
      <c r="S67" t="s">
        <v>190</v>
      </c>
      <c r="T67" s="151" t="s">
        <v>190</v>
      </c>
      <c r="U67" t="s">
        <v>190</v>
      </c>
      <c r="V67" t="s">
        <v>186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</row>
    <row r="68" spans="2:36">
      <c r="B68" s="2" t="s">
        <v>417</v>
      </c>
      <c r="C68" s="2" t="s">
        <v>418</v>
      </c>
      <c r="D68" s="2" t="str">
        <f>Table5[[#This Row],[First name]]&amp;" "&amp;Table5[[#This Row],[Last name]]</f>
        <v>Zach Brotman</v>
      </c>
      <c r="E68" s="2" t="str">
        <f>_xlfn.XLOOKUP(Table5[[#This Row],[Full name]],Table26[Name],Table26[Role],"Member",0,1)</f>
        <v>Executive</v>
      </c>
      <c r="F68" s="2" t="s">
        <v>188</v>
      </c>
      <c r="G68" s="26" cm="1">
        <f t="array" aca="1" ref="G68" ca="1">COUNTIF(Table5[[#This Row],[September 30, 2025]:[April 7, 2026]],"Yes")/SUMPRODUCT(--(DATEVALUE(Table5[[#Headers],[September 30, 2025]:[April 9, 2026]])&lt;=TODAY()))</f>
        <v>0.25</v>
      </c>
      <c r="H68" t="s">
        <v>190</v>
      </c>
      <c r="I68" t="s">
        <v>190</v>
      </c>
      <c r="J68" t="s">
        <v>186</v>
      </c>
      <c r="K68" t="s">
        <v>190</v>
      </c>
      <c r="L68" t="s">
        <v>190</v>
      </c>
      <c r="M68" t="s">
        <v>186</v>
      </c>
      <c r="N68" t="s">
        <v>190</v>
      </c>
      <c r="O68" t="s">
        <v>190</v>
      </c>
      <c r="P68" t="s">
        <v>190</v>
      </c>
      <c r="Q68" t="s">
        <v>186</v>
      </c>
      <c r="R68" t="s">
        <v>190</v>
      </c>
      <c r="S68" t="s">
        <v>186</v>
      </c>
      <c r="T68" s="151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186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</row>
    <row r="69" spans="2:36">
      <c r="B69" s="2" t="s">
        <v>419</v>
      </c>
      <c r="C69" s="2" t="s">
        <v>374</v>
      </c>
      <c r="D69" s="2" t="str">
        <f>Table5[[#This Row],[First name]]&amp;" "&amp;Table5[[#This Row],[Last name]]</f>
        <v>Zack Hao</v>
      </c>
      <c r="E69" s="2" t="str">
        <f>_xlfn.XLOOKUP(Table5[[#This Row],[Full name]],Table26[Name],Table26[Role],"Member",0,1)</f>
        <v>Executive</v>
      </c>
      <c r="F69" s="2" t="s">
        <v>188</v>
      </c>
      <c r="G69" s="26" cm="1">
        <f t="array" aca="1" ref="G69" ca="1">COUNTIF(Table5[[#This Row],[September 30, 2025]:[April 7, 2026]],"Yes")/SUMPRODUCT(--(DATEVALUE(Table5[[#Headers],[September 30, 2025]:[April 9, 2026]])&lt;=TODAY()))</f>
        <v>0.35</v>
      </c>
      <c r="H69" t="s">
        <v>186</v>
      </c>
      <c r="I69" t="s">
        <v>190</v>
      </c>
      <c r="J69" t="s">
        <v>190</v>
      </c>
      <c r="K69" t="s">
        <v>186</v>
      </c>
      <c r="L69" t="s">
        <v>190</v>
      </c>
      <c r="M69" t="s">
        <v>190</v>
      </c>
      <c r="N69" t="s">
        <v>186</v>
      </c>
      <c r="O69" t="s">
        <v>190</v>
      </c>
      <c r="P69" t="s">
        <v>420</v>
      </c>
      <c r="Q69" t="s">
        <v>190</v>
      </c>
      <c r="R69" t="s">
        <v>190</v>
      </c>
      <c r="S69" t="s">
        <v>190</v>
      </c>
      <c r="T69" s="151" t="s">
        <v>186</v>
      </c>
      <c r="U69" t="s">
        <v>190</v>
      </c>
      <c r="V69" t="s">
        <v>190</v>
      </c>
      <c r="W69" t="s">
        <v>190</v>
      </c>
      <c r="X69" t="s">
        <v>186</v>
      </c>
      <c r="Y69" t="s">
        <v>190</v>
      </c>
      <c r="Z69" t="s">
        <v>186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</row>
    <row r="70" spans="2:36">
      <c r="B70" s="2" t="s">
        <v>421</v>
      </c>
      <c r="C70" s="2" t="s">
        <v>422</v>
      </c>
      <c r="D70" s="2" t="str">
        <f>Table5[[#This Row],[First name]]&amp;" "&amp;Table5[[#This Row],[Last name]]</f>
        <v>Aadam Lakhani</v>
      </c>
      <c r="E70" s="2" t="str">
        <f>_xlfn.XLOOKUP(Table5[[#This Row],[Full name]],Table26[Name],Table26[Role],"Member",0,1)</f>
        <v>Member</v>
      </c>
      <c r="F70" s="2" t="s">
        <v>188</v>
      </c>
      <c r="G70" s="26" cm="1">
        <f t="array" aca="1" ref="G70" ca="1">COUNTIF(Table5[[#This Row],[September 30, 2025]:[April 7, 2026]],"Yes")/SUMPRODUCT(--(DATEVALUE(Table5[[#Headers],[September 30, 2025]:[April 9, 2026]])&lt;=TODAY()))</f>
        <v>0.05</v>
      </c>
      <c r="H70" t="s">
        <v>190</v>
      </c>
      <c r="I70" t="s">
        <v>190</v>
      </c>
      <c r="J70" t="s">
        <v>190</v>
      </c>
      <c r="K70" t="s">
        <v>186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s="151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</row>
    <row r="71" spans="2:36">
      <c r="B71" s="2" t="s">
        <v>423</v>
      </c>
      <c r="C71" s="2" t="s">
        <v>424</v>
      </c>
      <c r="D71" s="2" t="str">
        <f>Table5[[#This Row],[First name]]&amp;" "&amp;Table5[[#This Row],[Last name]]</f>
        <v>Aakaash Shankar</v>
      </c>
      <c r="E71" s="2" t="str">
        <f>_xlfn.XLOOKUP(Table5[[#This Row],[Full name]],Table26[Name],Table26[Role],"Member",0,1)</f>
        <v>Member</v>
      </c>
      <c r="F71" s="2" t="s">
        <v>188</v>
      </c>
      <c r="G71" s="26" cm="1">
        <f t="array" aca="1" ref="G71" ca="1">COUNTIF(Table5[[#This Row],[September 30, 2025]:[April 7, 2026]],"Yes")/SUMPRODUCT(--(DATEVALUE(Table5[[#Headers],[September 30, 2025]:[April 9, 2026]])&lt;=TODAY()))</f>
        <v>0</v>
      </c>
      <c r="H71" t="s">
        <v>190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s="15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</row>
    <row r="72" spans="2:36">
      <c r="B72" s="2" t="s">
        <v>345</v>
      </c>
      <c r="C72" s="2" t="s">
        <v>425</v>
      </c>
      <c r="D72" s="2" t="str">
        <f>Table5[[#This Row],[First name]]&amp;" "&amp;Table5[[#This Row],[Last name]]</f>
        <v>Aaron Hamilton</v>
      </c>
      <c r="E72" s="2" t="str">
        <f>_xlfn.XLOOKUP(Table5[[#This Row],[Full name]],Table26[Name],Table26[Role],"Member",0,1)</f>
        <v>Member</v>
      </c>
      <c r="F72" s="2" t="s">
        <v>188</v>
      </c>
      <c r="G72" s="26" cm="1">
        <f t="array" aca="1" ref="G72" ca="1">COUNTIF(Table5[[#This Row],[September 30, 2025]:[April 7, 2026]],"Yes")/SUMPRODUCT(--(DATEVALUE(Table5[[#Headers],[September 30, 2025]:[April 9, 2026]])&lt;=TODAY()))</f>
        <v>0.35</v>
      </c>
      <c r="O72" t="s">
        <v>420</v>
      </c>
      <c r="P72" t="s">
        <v>190</v>
      </c>
      <c r="Q72" t="s">
        <v>186</v>
      </c>
      <c r="R72" t="s">
        <v>190</v>
      </c>
      <c r="S72" t="s">
        <v>186</v>
      </c>
      <c r="T72" s="151" t="s">
        <v>186</v>
      </c>
      <c r="U72" t="s">
        <v>190</v>
      </c>
      <c r="V72" t="s">
        <v>190</v>
      </c>
      <c r="W72" t="s">
        <v>186</v>
      </c>
      <c r="X72" t="s">
        <v>190</v>
      </c>
      <c r="Y72" t="s">
        <v>190</v>
      </c>
      <c r="Z72" t="s">
        <v>186</v>
      </c>
      <c r="AA72" t="s">
        <v>186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</row>
    <row r="73" spans="2:36">
      <c r="B73" s="2" t="s">
        <v>345</v>
      </c>
      <c r="C73" s="2" t="s">
        <v>426</v>
      </c>
      <c r="D73" s="2" t="str">
        <f>Table5[[#This Row],[First name]]&amp;" "&amp;Table5[[#This Row],[Last name]]</f>
        <v>Aaron Ye</v>
      </c>
      <c r="E73" s="2" t="str">
        <f>_xlfn.XLOOKUP(Table5[[#This Row],[Full name]],Table26[Name],Table26[Role],"Member",0,1)</f>
        <v>Member</v>
      </c>
      <c r="F73" s="2" t="s">
        <v>188</v>
      </c>
      <c r="G73" s="26" cm="1">
        <f t="array" aca="1" ref="G73" ca="1">COUNTIF(Table5[[#This Row],[September 30, 2025]:[April 7, 2026]],"Yes")/SUMPRODUCT(--(DATEVALUE(Table5[[#Headers],[September 30, 2025]:[April 9, 2026]])&lt;=TODAY()))</f>
        <v>0.3</v>
      </c>
      <c r="H73" t="s">
        <v>186</v>
      </c>
      <c r="I73" t="s">
        <v>186</v>
      </c>
      <c r="J73" t="s">
        <v>186</v>
      </c>
      <c r="K73" t="s">
        <v>190</v>
      </c>
      <c r="L73" t="s">
        <v>186</v>
      </c>
      <c r="M73" t="s">
        <v>190</v>
      </c>
      <c r="N73" t="s">
        <v>186</v>
      </c>
      <c r="O73" t="s">
        <v>190</v>
      </c>
      <c r="P73" t="s">
        <v>186</v>
      </c>
      <c r="Q73" t="s">
        <v>190</v>
      </c>
      <c r="R73" t="s">
        <v>190</v>
      </c>
      <c r="S73" t="s">
        <v>190</v>
      </c>
      <c r="T73" s="151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</row>
    <row r="74" spans="2:36">
      <c r="B74" s="2" t="s">
        <v>427</v>
      </c>
      <c r="C74" s="2" t="s">
        <v>428</v>
      </c>
      <c r="D74" s="2" t="str">
        <f>Table5[[#This Row],[First name]]&amp;" "&amp;Table5[[#This Row],[Last name]]</f>
        <v>Abdullah Imran</v>
      </c>
      <c r="E74" s="2" t="str">
        <f>_xlfn.XLOOKUP(Table5[[#This Row],[Full name]],Table26[Name],Table26[Role],"Member",0,1)</f>
        <v>Member</v>
      </c>
      <c r="F74" s="2" t="s">
        <v>188</v>
      </c>
      <c r="G74" s="26" cm="1">
        <f t="array" aca="1" ref="G74" ca="1">COUNTIF(Table5[[#This Row],[September 30, 2025]:[April 7, 2026]],"Yes")/SUMPRODUCT(--(DATEVALUE(Table5[[#Headers],[September 30, 2025]:[April 9, 2026]])&lt;=TODAY()))</f>
        <v>0.4</v>
      </c>
      <c r="P74" t="s">
        <v>186</v>
      </c>
      <c r="Q74" t="s">
        <v>186</v>
      </c>
      <c r="R74" t="s">
        <v>186</v>
      </c>
      <c r="S74" t="s">
        <v>190</v>
      </c>
      <c r="T74" s="151" t="s">
        <v>186</v>
      </c>
      <c r="U74" t="s">
        <v>186</v>
      </c>
      <c r="V74" t="s">
        <v>186</v>
      </c>
      <c r="W74" t="s">
        <v>190</v>
      </c>
      <c r="X74" t="s">
        <v>190</v>
      </c>
      <c r="Y74" t="s">
        <v>186</v>
      </c>
      <c r="Z74" t="s">
        <v>190</v>
      </c>
      <c r="AA74" t="s">
        <v>186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</row>
    <row r="75" spans="2:36">
      <c r="B75" s="2" t="s">
        <v>429</v>
      </c>
      <c r="C75" s="2" t="s">
        <v>430</v>
      </c>
      <c r="D75" s="2" t="str">
        <f>Table5[[#This Row],[First name]]&amp;" "&amp;Table5[[#This Row],[Last name]]</f>
        <v>Adam Dasilva</v>
      </c>
      <c r="E75" s="2" t="str">
        <f>_xlfn.XLOOKUP(Table5[[#This Row],[Full name]],Table26[Name],Table26[Role],"Member",0,1)</f>
        <v>Member</v>
      </c>
      <c r="F75" s="2" t="s">
        <v>188</v>
      </c>
      <c r="G75" s="26" cm="1">
        <f t="array" aca="1" ref="G75" ca="1">COUNTIF(Table5[[#This Row],[September 30, 2025]:[April 7, 2026]],"Yes")/SUMPRODUCT(--(DATEVALUE(Table5[[#Headers],[September 30, 2025]:[April 9, 2026]])&lt;=TODAY()))</f>
        <v>0.05</v>
      </c>
      <c r="H75" t="s">
        <v>190</v>
      </c>
      <c r="I75" t="s">
        <v>190</v>
      </c>
      <c r="J75" t="s">
        <v>190</v>
      </c>
      <c r="K75" t="s">
        <v>190</v>
      </c>
      <c r="L75" t="s">
        <v>190</v>
      </c>
      <c r="M75" t="s">
        <v>186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s="151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</row>
    <row r="76" spans="2:36">
      <c r="B76" s="2" t="s">
        <v>431</v>
      </c>
      <c r="C76" s="2" t="s">
        <v>350</v>
      </c>
      <c r="D76" s="2" t="str">
        <f>Table5[[#This Row],[First name]]&amp;" "&amp;Table5[[#This Row],[Last name]]</f>
        <v>Adrian Liu</v>
      </c>
      <c r="E76" s="2" t="str">
        <f>_xlfn.XLOOKUP(Table5[[#This Row],[Full name]],Table26[Name],Table26[Role],"Member",0,1)</f>
        <v>Member</v>
      </c>
      <c r="F76" s="2" t="s">
        <v>188</v>
      </c>
      <c r="G76" s="26" cm="1">
        <f t="array" aca="1" ref="G76" ca="1">COUNTIF(Table5[[#This Row],[September 30, 2025]:[April 7, 2026]],"Yes")/SUMPRODUCT(--(DATEVALUE(Table5[[#Headers],[September 30, 2025]:[April 9, 2026]])&lt;=TODAY()))</f>
        <v>0.15</v>
      </c>
      <c r="N76" t="s">
        <v>186</v>
      </c>
      <c r="O76" t="s">
        <v>186</v>
      </c>
      <c r="P76" t="s">
        <v>190</v>
      </c>
      <c r="Q76" t="s">
        <v>190</v>
      </c>
      <c r="R76" t="s">
        <v>190</v>
      </c>
      <c r="S76" t="s">
        <v>190</v>
      </c>
      <c r="T76" s="151" t="s">
        <v>190</v>
      </c>
      <c r="U76" t="s">
        <v>190</v>
      </c>
      <c r="V76" t="s">
        <v>186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</row>
    <row r="77" spans="2:36">
      <c r="B77" s="2" t="s">
        <v>432</v>
      </c>
      <c r="C77" s="2" t="s">
        <v>433</v>
      </c>
      <c r="D77" s="2" t="str">
        <f>Table5[[#This Row],[First name]]&amp;" "&amp;Table5[[#This Row],[Last name]]</f>
        <v>Adrien Soupa</v>
      </c>
      <c r="E77" s="2" t="str">
        <f>_xlfn.XLOOKUP(Table5[[#This Row],[Full name]],Table26[Name],Table26[Role],"Member",0,1)</f>
        <v>Member</v>
      </c>
      <c r="F77" s="2" t="s">
        <v>188</v>
      </c>
      <c r="G77" s="152" cm="1">
        <f t="array" aca="1" ref="G77" ca="1">COUNTIF(Table5[[#This Row],[September 30, 2025]:[April 7, 2026]],"Yes")/SUMPRODUCT(--(DATEVALUE(Table5[[#Headers],[September 30, 2025]:[April 9, 2026]])&lt;=TODAY()))</f>
        <v>0.05</v>
      </c>
      <c r="T77" s="151"/>
      <c r="W77" t="s">
        <v>186</v>
      </c>
      <c r="X77" t="s">
        <v>190</v>
      </c>
      <c r="AA77" t="s">
        <v>190</v>
      </c>
    </row>
    <row r="78" spans="2:36">
      <c r="B78" s="2" t="s">
        <v>434</v>
      </c>
      <c r="C78" s="2" t="s">
        <v>435</v>
      </c>
      <c r="D78" s="2" t="str">
        <f>Table5[[#This Row],[First name]]&amp;" "&amp;Table5[[#This Row],[Last name]]</f>
        <v>Ahmed Mohammed</v>
      </c>
      <c r="E78" s="2" t="str">
        <f>_xlfn.XLOOKUP(Table5[[#This Row],[Full name]],Table26[Name],Table26[Role],"Member",0,1)</f>
        <v>Member</v>
      </c>
      <c r="F78" s="2" t="s">
        <v>188</v>
      </c>
      <c r="G78" s="26" cm="1">
        <f t="array" aca="1" ref="G78" ca="1">COUNTIF(Table5[[#This Row],[September 30, 2025]:[April 7, 2026]],"Yes")/SUMPRODUCT(--(DATEVALUE(Table5[[#Headers],[September 30, 2025]:[April 9, 2026]])&lt;=TODAY()))</f>
        <v>0.1</v>
      </c>
      <c r="H78" t="s">
        <v>190</v>
      </c>
      <c r="I78" t="s">
        <v>190</v>
      </c>
      <c r="J78" t="s">
        <v>186</v>
      </c>
      <c r="K78" t="s">
        <v>190</v>
      </c>
      <c r="L78" t="s">
        <v>190</v>
      </c>
      <c r="M78" t="s">
        <v>190</v>
      </c>
      <c r="N78" t="s">
        <v>186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s="151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</row>
    <row r="79" spans="2:36">
      <c r="B79" s="2" t="s">
        <v>347</v>
      </c>
      <c r="C79" s="2" t="s">
        <v>436</v>
      </c>
      <c r="D79" s="2" t="str">
        <f>Table5[[#This Row],[First name]]&amp;" "&amp;Table5[[#This Row],[Last name]]</f>
        <v>Aiden Gertler</v>
      </c>
      <c r="E79" s="2" t="str">
        <f>_xlfn.XLOOKUP(Table5[[#This Row],[Full name]],Table26[Name],Table26[Role],"Member",0,1)</f>
        <v>Member</v>
      </c>
      <c r="F79" s="2" t="s">
        <v>188</v>
      </c>
      <c r="G79" s="26" cm="1">
        <f t="array" aca="1" ref="G79" ca="1">COUNTIF(Table5[[#This Row],[September 30, 2025]:[April 7, 2026]],"Yes")/SUMPRODUCT(--(DATEVALUE(Table5[[#Headers],[September 30, 2025]:[April 9, 2026]])&lt;=TODAY()))</f>
        <v>0</v>
      </c>
      <c r="H79" t="s">
        <v>190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s="151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</row>
    <row r="80" spans="2:36">
      <c r="B80" s="2" t="s">
        <v>437</v>
      </c>
      <c r="C80" s="2" t="s">
        <v>438</v>
      </c>
      <c r="D80" s="2" t="str">
        <f>Table5[[#This Row],[First name]]&amp;" "&amp;Table5[[#This Row],[Last name]]</f>
        <v>Ajai Lingenfelter</v>
      </c>
      <c r="E80" s="2" t="str">
        <f>_xlfn.XLOOKUP(Table5[[#This Row],[Full name]],Table26[Name],Table26[Role],"Member",0,1)</f>
        <v>Member</v>
      </c>
      <c r="F80" s="2" t="s">
        <v>188</v>
      </c>
      <c r="G80" s="26" cm="1">
        <f t="array" aca="1" ref="G80" ca="1">COUNTIF(Table5[[#This Row],[September 30, 2025]:[April 7, 2026]],"Yes")/SUMPRODUCT(--(DATEVALUE(Table5[[#Headers],[September 30, 2025]:[April 9, 2026]])&lt;=TODAY()))</f>
        <v>0</v>
      </c>
      <c r="H80" t="s">
        <v>190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s="151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</row>
    <row r="81" spans="2:64">
      <c r="B81" s="2" t="s">
        <v>439</v>
      </c>
      <c r="C81" s="2" t="s">
        <v>440</v>
      </c>
      <c r="D81" s="2" t="str">
        <f>Table5[[#This Row],[First name]]&amp;" "&amp;Table5[[#This Row],[Last name]]</f>
        <v>Alan Long</v>
      </c>
      <c r="E81" s="2" t="str">
        <f>_xlfn.XLOOKUP(Table5[[#This Row],[Full name]],Table26[Name],Table26[Role],"Member",0,1)</f>
        <v>Member</v>
      </c>
      <c r="F81" s="2" t="s">
        <v>188</v>
      </c>
      <c r="G81" s="26" cm="1">
        <f t="array" aca="1" ref="G81" ca="1">COUNTIF(Table5[[#This Row],[September 30, 2025]:[April 7, 2026]],"Yes")/SUMPRODUCT(--(DATEVALUE(Table5[[#Headers],[September 30, 2025]:[April 9, 2026]])&lt;=TODAY()))</f>
        <v>0.15</v>
      </c>
      <c r="H81" t="s">
        <v>186</v>
      </c>
      <c r="I81" t="s">
        <v>190</v>
      </c>
      <c r="J81" t="s">
        <v>190</v>
      </c>
      <c r="K81" t="s">
        <v>190</v>
      </c>
      <c r="L81" t="s">
        <v>186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s="15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186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</row>
    <row r="82" spans="2:64">
      <c r="B82" s="2" t="s">
        <v>441</v>
      </c>
      <c r="C82" s="2" t="s">
        <v>442</v>
      </c>
      <c r="D82" s="2" t="str">
        <f>Table5[[#This Row],[First name]]&amp;" "&amp;Table5[[#This Row],[Last name]]</f>
        <v>Alex Fan-Lun</v>
      </c>
      <c r="E82" s="2" t="str">
        <f>_xlfn.XLOOKUP(Table5[[#This Row],[Full name]],Table26[Name],Table26[Role],"Member",0,1)</f>
        <v>Member</v>
      </c>
      <c r="F82" s="2" t="s">
        <v>188</v>
      </c>
      <c r="G82" s="26" cm="1">
        <f t="array" aca="1" ref="G82" ca="1">COUNTIF(Table5[[#This Row],[September 30, 2025]:[April 7, 2026]],"Yes")/SUMPRODUCT(--(DATEVALUE(Table5[[#Headers],[September 30, 2025]:[April 9, 2026]])&lt;=TODAY()))</f>
        <v>0.1</v>
      </c>
      <c r="H82" t="s">
        <v>190</v>
      </c>
      <c r="I82" t="s">
        <v>190</v>
      </c>
      <c r="J82" t="s">
        <v>190</v>
      </c>
      <c r="K82" t="s">
        <v>186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s="151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186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</row>
    <row r="83" spans="2:64">
      <c r="B83" s="2" t="s">
        <v>441</v>
      </c>
      <c r="C83" s="2" t="s">
        <v>443</v>
      </c>
      <c r="D83" s="2" t="str">
        <f>Table5[[#This Row],[First name]]&amp;" "&amp;Table5[[#This Row],[Last name]]</f>
        <v>Alex Xiao</v>
      </c>
      <c r="E83" s="2" t="str">
        <f>_xlfn.XLOOKUP(Table5[[#This Row],[Full name]],Table26[Name],Table26[Role],"Member",0,1)</f>
        <v>Member</v>
      </c>
      <c r="F83" s="2" t="s">
        <v>188</v>
      </c>
      <c r="G83" s="26" cm="1">
        <f t="array" aca="1" ref="G83" ca="1">COUNTIF(Table5[[#This Row],[September 30, 2025]:[April 7, 2026]],"Yes")/SUMPRODUCT(--(DATEVALUE(Table5[[#Headers],[September 30, 2025]:[April 9, 2026]])&lt;=TODAY()))</f>
        <v>0.15</v>
      </c>
      <c r="H83" t="s">
        <v>190</v>
      </c>
      <c r="I83" t="s">
        <v>186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186</v>
      </c>
      <c r="S83" t="s">
        <v>190</v>
      </c>
      <c r="T83" s="151" t="s">
        <v>186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BL83" t="s">
        <v>444</v>
      </c>
    </row>
    <row r="84" spans="2:64">
      <c r="B84" s="2" t="s">
        <v>441</v>
      </c>
      <c r="C84" s="2" t="s">
        <v>445</v>
      </c>
      <c r="D84" s="2" t="str">
        <f>Table5[[#This Row],[First name]]&amp;" "&amp;Table5[[#This Row],[Last name]]</f>
        <v>Alex Nguyen</v>
      </c>
      <c r="E84" s="2" t="str">
        <f>_xlfn.XLOOKUP(Table5[[#This Row],[Full name]],Table26[Name],Table26[Role],"Member",0,1)</f>
        <v>Member</v>
      </c>
      <c r="F84" s="2" t="s">
        <v>446</v>
      </c>
      <c r="G84" s="26" cm="1">
        <f t="array" aca="1" ref="G84" ca="1">COUNTIF(Table5[[#This Row],[September 30, 2025]:[April 7, 2026]],"Yes")/SUMPRODUCT(--(DATEVALUE(Table5[[#Headers],[September 30, 2025]:[April 9, 2026]])&lt;=TODAY()))</f>
        <v>0.3</v>
      </c>
      <c r="S84" t="s">
        <v>186</v>
      </c>
      <c r="T84" s="151" t="s">
        <v>186</v>
      </c>
      <c r="V84" t="s">
        <v>186</v>
      </c>
      <c r="W84" t="s">
        <v>186</v>
      </c>
      <c r="X84" t="s">
        <v>190</v>
      </c>
      <c r="Y84" t="s">
        <v>186</v>
      </c>
      <c r="AA84" t="s">
        <v>186</v>
      </c>
    </row>
    <row r="85" spans="2:64">
      <c r="B85" s="2" t="s">
        <v>441</v>
      </c>
      <c r="C85" s="2" t="s">
        <v>404</v>
      </c>
      <c r="D85" s="2" t="str">
        <f>Table5[[#This Row],[First name]]&amp;" "&amp;Table5[[#This Row],[Last name]]</f>
        <v>Alex Xu</v>
      </c>
      <c r="E85" s="2" t="str">
        <f>_xlfn.XLOOKUP(Table5[[#This Row],[Full name]],Table26[Name],Table26[Role],"Member",0,1)</f>
        <v>Member</v>
      </c>
      <c r="F85" s="2"/>
      <c r="G85" s="26" cm="1">
        <f t="array" aca="1" ref="G85" ca="1">COUNTIF(Table5[[#This Row],[September 30, 2025]:[April 7, 2026]],"Yes")/SUMPRODUCT(--(DATEVALUE(Table5[[#Headers],[September 30, 2025]:[April 9, 2026]])&lt;=TODAY()))</f>
        <v>0.1</v>
      </c>
      <c r="T85" s="151" t="s">
        <v>186</v>
      </c>
      <c r="U85" t="s">
        <v>186</v>
      </c>
      <c r="V85" t="s">
        <v>190</v>
      </c>
      <c r="X85" t="s">
        <v>190</v>
      </c>
      <c r="AA85" t="s">
        <v>190</v>
      </c>
    </row>
    <row r="86" spans="2:64">
      <c r="B86" s="2" t="s">
        <v>441</v>
      </c>
      <c r="C86" s="2" t="s">
        <v>354</v>
      </c>
      <c r="D86" s="2" t="str">
        <f>Table5[[#This Row],[First name]]&amp;" "&amp;Table5[[#This Row],[Last name]]</f>
        <v>Alex Yu</v>
      </c>
      <c r="E86" s="2" t="str">
        <f>_xlfn.XLOOKUP(Table5[[#This Row],[Full name]],Table26[Name],Table26[Role],"Member",0,1)</f>
        <v>Member</v>
      </c>
      <c r="F86" s="2"/>
      <c r="G86" s="26" cm="1">
        <f t="array" aca="1" ref="G86" ca="1">COUNTIF(Table5[[#This Row],[September 30, 2025]:[April 7, 2026]],"Yes")/SUMPRODUCT(--(DATEVALUE(Table5[[#Headers],[September 30, 2025]:[April 9, 2026]])&lt;=TODAY()))</f>
        <v>0.2</v>
      </c>
      <c r="T86" s="151" t="s">
        <v>186</v>
      </c>
      <c r="U86" t="s">
        <v>186</v>
      </c>
      <c r="V86" t="s">
        <v>190</v>
      </c>
      <c r="X86" t="s">
        <v>190</v>
      </c>
      <c r="Y86" t="s">
        <v>186</v>
      </c>
      <c r="AA86" t="s">
        <v>186</v>
      </c>
    </row>
    <row r="87" spans="2:64">
      <c r="B87" s="2" t="s">
        <v>447</v>
      </c>
      <c r="C87" s="2" t="s">
        <v>448</v>
      </c>
      <c r="D87" s="2" t="str">
        <f>Table5[[#This Row],[First name]]&amp;" "&amp;Table5[[#This Row],[Last name]]</f>
        <v>Alexander Kowalski</v>
      </c>
      <c r="E87" s="2" t="str">
        <f>_xlfn.XLOOKUP(Table5[[#This Row],[Full name]],Table26[Name],Table26[Role],"Member",0,1)</f>
        <v>Member</v>
      </c>
      <c r="F87" s="2" t="s">
        <v>188</v>
      </c>
      <c r="G87" s="26" cm="1">
        <f t="array" aca="1" ref="G87" ca="1">COUNTIF(Table5[[#This Row],[September 30, 2025]:[April 7, 2026]],"Yes")/SUMPRODUCT(--(DATEVALUE(Table5[[#Headers],[September 30, 2025]:[April 9, 2026]])&lt;=TODAY()))</f>
        <v>0.45</v>
      </c>
      <c r="H87" t="s">
        <v>190</v>
      </c>
      <c r="I87" t="s">
        <v>186</v>
      </c>
      <c r="J87" t="s">
        <v>190</v>
      </c>
      <c r="K87" t="s">
        <v>190</v>
      </c>
      <c r="L87" t="s">
        <v>186</v>
      </c>
      <c r="M87" t="s">
        <v>190</v>
      </c>
      <c r="N87" t="s">
        <v>186</v>
      </c>
      <c r="O87" t="s">
        <v>186</v>
      </c>
      <c r="P87" t="s">
        <v>186</v>
      </c>
      <c r="Q87" t="s">
        <v>190</v>
      </c>
      <c r="R87" t="s">
        <v>186</v>
      </c>
      <c r="S87" t="s">
        <v>186</v>
      </c>
      <c r="T87" s="151" t="s">
        <v>190</v>
      </c>
      <c r="U87" t="s">
        <v>186</v>
      </c>
      <c r="V87" t="s">
        <v>186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</row>
    <row r="88" spans="2:64">
      <c r="B88" s="2" t="s">
        <v>447</v>
      </c>
      <c r="C88" s="2" t="s">
        <v>449</v>
      </c>
      <c r="D88" s="2" t="str">
        <f>Table5[[#This Row],[First name]]&amp;" "&amp;Table5[[#This Row],[Last name]]</f>
        <v>Alexander Musarai</v>
      </c>
      <c r="E88" s="2" t="str">
        <f>_xlfn.XLOOKUP(Table5[[#This Row],[Full name]],Table26[Name],Table26[Role],"Member",0,1)</f>
        <v>Member</v>
      </c>
      <c r="F88" s="2" t="s">
        <v>188</v>
      </c>
      <c r="G88" s="26" cm="1">
        <f t="array" aca="1" ref="G88" ca="1">COUNTIF(Table5[[#This Row],[September 30, 2025]:[April 7, 2026]],"Yes")/SUMPRODUCT(--(DATEVALUE(Table5[[#Headers],[September 30, 2025]:[April 9, 2026]])&lt;=TODAY()))</f>
        <v>0.65</v>
      </c>
      <c r="H88" t="s">
        <v>186</v>
      </c>
      <c r="I88" t="s">
        <v>186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186</v>
      </c>
      <c r="R88" t="s">
        <v>186</v>
      </c>
      <c r="S88" t="s">
        <v>186</v>
      </c>
      <c r="T88" s="151" t="s">
        <v>186</v>
      </c>
      <c r="U88" t="s">
        <v>186</v>
      </c>
      <c r="V88" t="s">
        <v>186</v>
      </c>
      <c r="W88" t="s">
        <v>186</v>
      </c>
      <c r="X88" t="s">
        <v>186</v>
      </c>
      <c r="Y88" t="s">
        <v>186</v>
      </c>
      <c r="Z88" t="s">
        <v>186</v>
      </c>
      <c r="AA88" t="s">
        <v>186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186</v>
      </c>
    </row>
    <row r="89" spans="2:64">
      <c r="B89" s="2" t="s">
        <v>447</v>
      </c>
      <c r="C89" s="2" t="s">
        <v>450</v>
      </c>
      <c r="D89" s="2" t="str">
        <f>Table5[[#This Row],[First name]]&amp;" "&amp;Table5[[#This Row],[Last name]]</f>
        <v>Alexander Li</v>
      </c>
      <c r="E89" s="2" t="str">
        <f>_xlfn.XLOOKUP(Table5[[#This Row],[Full name]],Table26[Name],Table26[Role],"Member",0,1)</f>
        <v>Member</v>
      </c>
      <c r="F89" s="2" t="s">
        <v>188</v>
      </c>
      <c r="G89" s="26" cm="1">
        <f t="array" aca="1" ref="G89" ca="1">COUNTIF(Table5[[#This Row],[September 30, 2025]:[April 7, 2026]],"Yes")/SUMPRODUCT(--(DATEVALUE(Table5[[#Headers],[September 30, 2025]:[April 9, 2026]])&lt;=TODAY()))</f>
        <v>0.05</v>
      </c>
      <c r="S89" t="s">
        <v>186</v>
      </c>
      <c r="T89" s="151" t="s">
        <v>190</v>
      </c>
      <c r="V89" t="s">
        <v>190</v>
      </c>
      <c r="X89" t="s">
        <v>190</v>
      </c>
      <c r="AA89" t="s">
        <v>190</v>
      </c>
    </row>
    <row r="90" spans="2:64">
      <c r="B90" s="2" t="s">
        <v>316</v>
      </c>
      <c r="C90" s="2" t="s">
        <v>451</v>
      </c>
      <c r="D90" s="2" t="str">
        <f>Table5[[#This Row],[First name]]&amp;" "&amp;Table5[[#This Row],[Last name]]</f>
        <v>Ali Akinci</v>
      </c>
      <c r="E90" s="2" t="str">
        <f>_xlfn.XLOOKUP(Table5[[#This Row],[Full name]],Table26[Name],Table26[Role],"Member",0,1)</f>
        <v>Member</v>
      </c>
      <c r="F90" s="2" t="s">
        <v>188</v>
      </c>
      <c r="G90" s="26" cm="1">
        <f t="array" aca="1" ref="G90" ca="1">COUNTIF(Table5[[#This Row],[September 30, 2025]:[April 7, 2026]],"Yes")/SUMPRODUCT(--(DATEVALUE(Table5[[#Headers],[September 30, 2025]:[April 9, 2026]])&lt;=TODAY()))</f>
        <v>0.1</v>
      </c>
      <c r="N90" t="s">
        <v>186</v>
      </c>
      <c r="O90" t="s">
        <v>186</v>
      </c>
      <c r="P90" t="s">
        <v>190</v>
      </c>
      <c r="Q90" t="s">
        <v>190</v>
      </c>
      <c r="R90" t="s">
        <v>190</v>
      </c>
      <c r="S90" t="s">
        <v>190</v>
      </c>
      <c r="T90" s="151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</row>
    <row r="91" spans="2:64">
      <c r="B91" s="2" t="s">
        <v>316</v>
      </c>
      <c r="C91" s="2" t="s">
        <v>452</v>
      </c>
      <c r="D91" s="2" t="str">
        <f>Table5[[#This Row],[First name]]&amp;" "&amp;Table5[[#This Row],[Last name]]</f>
        <v>Ali Issa</v>
      </c>
      <c r="E91" s="2" t="str">
        <f>_xlfn.XLOOKUP(Table5[[#This Row],[Full name]],Table26[Name],Table26[Role],"Member",0,1)</f>
        <v>Member</v>
      </c>
      <c r="F91" s="2" t="s">
        <v>188</v>
      </c>
      <c r="G91" s="26" cm="1">
        <f t="array" aca="1" ref="G91" ca="1">COUNTIF(Table5[[#This Row],[September 30, 2025]:[April 7, 2026]],"Yes")/SUMPRODUCT(--(DATEVALUE(Table5[[#Headers],[September 30, 2025]:[April 9, 2026]])&lt;=TODAY()))</f>
        <v>0.05</v>
      </c>
      <c r="H91" t="s">
        <v>186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s="15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</row>
    <row r="92" spans="2:64">
      <c r="B92" s="2" t="s">
        <v>453</v>
      </c>
      <c r="C92" s="2" t="s">
        <v>454</v>
      </c>
      <c r="D92" s="2" t="str">
        <f>Table5[[#This Row],[First name]]&amp;" "&amp;Table5[[#This Row],[Last name]]</f>
        <v>Aliran Kadashev</v>
      </c>
      <c r="E92" s="2" t="str">
        <f>_xlfn.XLOOKUP(Table5[[#This Row],[Full name]],Table26[Name],Table26[Role],"Member",0,1)</f>
        <v>Member</v>
      </c>
      <c r="F92" s="2" t="s">
        <v>188</v>
      </c>
      <c r="G92" s="26" cm="1">
        <f t="array" aca="1" ref="G92" ca="1">COUNTIF(Table5[[#This Row],[September 30, 2025]:[April 7, 2026]],"Yes")/SUMPRODUCT(--(DATEVALUE(Table5[[#Headers],[September 30, 2025]:[April 9, 2026]])&lt;=TODAY()))</f>
        <v>0.45</v>
      </c>
      <c r="H92" t="s">
        <v>190</v>
      </c>
      <c r="I92" t="s">
        <v>186</v>
      </c>
      <c r="J92" t="s">
        <v>186</v>
      </c>
      <c r="K92" t="s">
        <v>190</v>
      </c>
      <c r="L92" t="s">
        <v>186</v>
      </c>
      <c r="M92" t="s">
        <v>186</v>
      </c>
      <c r="N92" t="s">
        <v>190</v>
      </c>
      <c r="O92" t="s">
        <v>190</v>
      </c>
      <c r="P92" t="s">
        <v>186</v>
      </c>
      <c r="Q92" t="s">
        <v>190</v>
      </c>
      <c r="R92" t="s">
        <v>190</v>
      </c>
      <c r="S92" t="s">
        <v>190</v>
      </c>
      <c r="T92" s="151" t="s">
        <v>190</v>
      </c>
      <c r="U92" t="s">
        <v>190</v>
      </c>
      <c r="V92" t="s">
        <v>190</v>
      </c>
      <c r="W92" t="s">
        <v>190</v>
      </c>
      <c r="X92" t="s">
        <v>186</v>
      </c>
      <c r="Y92" t="s">
        <v>186</v>
      </c>
      <c r="Z92" t="s">
        <v>186</v>
      </c>
      <c r="AA92" t="s">
        <v>186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</row>
    <row r="93" spans="2:64">
      <c r="B93" s="2" t="s">
        <v>349</v>
      </c>
      <c r="C93" s="2" t="s">
        <v>450</v>
      </c>
      <c r="D93" s="2" t="str">
        <f>Table5[[#This Row],[First name]]&amp;" "&amp;Table5[[#This Row],[Last name]]</f>
        <v>Allen Li</v>
      </c>
      <c r="E93" s="2" t="str">
        <f>_xlfn.XLOOKUP(Table5[[#This Row],[Full name]],Table26[Name],Table26[Role],"Member",0,1)</f>
        <v>Member</v>
      </c>
      <c r="F93" s="2" t="s">
        <v>188</v>
      </c>
      <c r="G93" s="26" cm="1">
        <f t="array" aca="1" ref="G93" ca="1">COUNTIF(Table5[[#This Row],[September 30, 2025]:[April 7, 2026]],"Yes")/SUMPRODUCT(--(DATEVALUE(Table5[[#Headers],[September 30, 2025]:[April 9, 2026]])&lt;=TODAY()))</f>
        <v>0.05</v>
      </c>
      <c r="H93" t="s">
        <v>190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186</v>
      </c>
      <c r="T93" s="151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</row>
    <row r="94" spans="2:64">
      <c r="B94" s="2" t="s">
        <v>455</v>
      </c>
      <c r="C94" s="2" t="s">
        <v>456</v>
      </c>
      <c r="D94" s="2" t="str">
        <f>Table5[[#This Row],[First name]]&amp;" "&amp;Table5[[#This Row],[Last name]]</f>
        <v>Amal Sathees</v>
      </c>
      <c r="E94" s="2" t="str">
        <f>_xlfn.XLOOKUP(Table5[[#This Row],[Full name]],Table26[Name],Table26[Role],"Member",0,1)</f>
        <v>Member</v>
      </c>
      <c r="F94" s="2" t="s">
        <v>188</v>
      </c>
      <c r="G94" s="26" cm="1">
        <f t="array" aca="1" ref="G94" ca="1">COUNTIF(Table5[[#This Row],[September 30, 2025]:[April 7, 2026]],"Yes")/SUMPRODUCT(--(DATEVALUE(Table5[[#Headers],[September 30, 2025]:[April 9, 2026]])&lt;=TODAY()))</f>
        <v>0.5</v>
      </c>
      <c r="O94" t="s">
        <v>186</v>
      </c>
      <c r="P94" t="s">
        <v>186</v>
      </c>
      <c r="Q94" t="s">
        <v>186</v>
      </c>
      <c r="R94" t="s">
        <v>186</v>
      </c>
      <c r="S94" t="s">
        <v>186</v>
      </c>
      <c r="T94" s="151" t="s">
        <v>186</v>
      </c>
      <c r="U94" t="s">
        <v>190</v>
      </c>
      <c r="V94" t="s">
        <v>190</v>
      </c>
      <c r="W94" t="s">
        <v>190</v>
      </c>
      <c r="X94" t="s">
        <v>186</v>
      </c>
      <c r="Y94" t="s">
        <v>186</v>
      </c>
      <c r="Z94" t="s">
        <v>186</v>
      </c>
      <c r="AA94" t="s">
        <v>186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</row>
    <row r="95" spans="2:64">
      <c r="B95" s="2" t="s">
        <v>457</v>
      </c>
      <c r="C95" s="2" t="s">
        <v>458</v>
      </c>
      <c r="D95" s="2" t="str">
        <f>Table5[[#This Row],[First name]]&amp;" "&amp;Table5[[#This Row],[Last name]]</f>
        <v>Amar Aggarwal</v>
      </c>
      <c r="E95" s="2" t="str">
        <f>_xlfn.XLOOKUP(Table5[[#This Row],[Full name]],Table26[Name],Table26[Role],"Member",0,1)</f>
        <v>Member</v>
      </c>
      <c r="F95" s="2" t="s">
        <v>188</v>
      </c>
      <c r="G95" s="26" cm="1">
        <f t="array" aca="1" ref="G95" ca="1">COUNTIF(Table5[[#This Row],[September 30, 2025]:[April 7, 2026]],"Yes")/SUMPRODUCT(--(DATEVALUE(Table5[[#Headers],[September 30, 2025]:[April 9, 2026]])&lt;=TODAY()))</f>
        <v>0.3</v>
      </c>
      <c r="H95" t="s">
        <v>190</v>
      </c>
      <c r="I95" t="s">
        <v>190</v>
      </c>
      <c r="J95" t="s">
        <v>186</v>
      </c>
      <c r="K95" t="s">
        <v>190</v>
      </c>
      <c r="L95" t="s">
        <v>190</v>
      </c>
      <c r="M95" t="s">
        <v>190</v>
      </c>
      <c r="N95" t="s">
        <v>190</v>
      </c>
      <c r="O95" t="s">
        <v>186</v>
      </c>
      <c r="P95" t="s">
        <v>186</v>
      </c>
      <c r="Q95" t="s">
        <v>186</v>
      </c>
      <c r="R95" t="s">
        <v>190</v>
      </c>
      <c r="S95" t="s">
        <v>186</v>
      </c>
      <c r="T95" s="151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186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</row>
    <row r="96" spans="2:64">
      <c r="B96" s="2" t="s">
        <v>459</v>
      </c>
      <c r="C96" s="2" t="s">
        <v>460</v>
      </c>
      <c r="D96" s="2" t="str">
        <f>Table5[[#This Row],[First name]]&amp;" "&amp;Table5[[#This Row],[Last name]]</f>
        <v>Anas Ahmet</v>
      </c>
      <c r="E96" s="2" t="str">
        <f>_xlfn.XLOOKUP(Table5[[#This Row],[Full name]],Table26[Name],Table26[Role],"Member",0,1)</f>
        <v>Member</v>
      </c>
      <c r="F96" s="2" t="s">
        <v>188</v>
      </c>
      <c r="G96" s="26" cm="1">
        <f t="array" aca="1" ref="G96" ca="1">COUNTIF(Table5[[#This Row],[September 30, 2025]:[April 7, 2026]],"Yes")/SUMPRODUCT(--(DATEVALUE(Table5[[#Headers],[September 30, 2025]:[April 9, 2026]])&lt;=TODAY()))</f>
        <v>0.05</v>
      </c>
      <c r="O96" t="s">
        <v>420</v>
      </c>
      <c r="P96" t="s">
        <v>190</v>
      </c>
      <c r="Q96" t="s">
        <v>190</v>
      </c>
      <c r="R96" t="s">
        <v>190</v>
      </c>
      <c r="S96" t="s">
        <v>190</v>
      </c>
      <c r="T96" s="151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</row>
    <row r="97" spans="2:36">
      <c r="B97" s="2" t="s">
        <v>461</v>
      </c>
      <c r="C97" s="2" t="s">
        <v>462</v>
      </c>
      <c r="D97" s="2" t="str">
        <f>Table5[[#This Row],[First name]]&amp;" "&amp;Table5[[#This Row],[Last name]]</f>
        <v>Andres Pedreros</v>
      </c>
      <c r="E97" s="2" t="str">
        <f>_xlfn.XLOOKUP(Table5[[#This Row],[Full name]],Table26[Name],Table26[Role],"Member",0,1)</f>
        <v>Member</v>
      </c>
      <c r="F97" s="2" t="s">
        <v>188</v>
      </c>
      <c r="G97" s="26" cm="1">
        <f t="array" aca="1" ref="G97" ca="1">COUNTIF(Table5[[#This Row],[September 30, 2025]:[April 7, 2026]],"Yes")/SUMPRODUCT(--(DATEVALUE(Table5[[#Headers],[September 30, 2025]:[April 9, 2026]])&lt;=TODAY()))</f>
        <v>0.05</v>
      </c>
      <c r="S97" t="s">
        <v>186</v>
      </c>
      <c r="T97" s="151" t="s">
        <v>190</v>
      </c>
      <c r="V97" t="s">
        <v>190</v>
      </c>
      <c r="X97" t="s">
        <v>190</v>
      </c>
      <c r="AA97" t="s">
        <v>190</v>
      </c>
    </row>
    <row r="98" spans="2:36">
      <c r="B98" s="2" t="s">
        <v>463</v>
      </c>
      <c r="C98" s="2" t="s">
        <v>350</v>
      </c>
      <c r="D98" s="2" t="str">
        <f>Table5[[#This Row],[First name]]&amp;" "&amp;Table5[[#This Row],[Last name]]</f>
        <v>Andrew Liu</v>
      </c>
      <c r="E98" s="2" t="str">
        <f>_xlfn.XLOOKUP(Table5[[#This Row],[Full name]],Table26[Name],Table26[Role],"Member",0,1)</f>
        <v>Member</v>
      </c>
      <c r="F98" s="2" t="s">
        <v>188</v>
      </c>
      <c r="G98" s="26" cm="1">
        <f t="array" aca="1" ref="G98" ca="1">COUNTIF(Table5[[#This Row],[September 30, 2025]:[April 7, 2026]],"Yes")/SUMPRODUCT(--(DATEVALUE(Table5[[#Headers],[September 30, 2025]:[April 9, 2026]])&lt;=TODAY()))</f>
        <v>0.5</v>
      </c>
      <c r="H98" t="s">
        <v>190</v>
      </c>
      <c r="I98" t="s">
        <v>190</v>
      </c>
      <c r="J98" t="s">
        <v>186</v>
      </c>
      <c r="K98" t="s">
        <v>186</v>
      </c>
      <c r="L98" t="s">
        <v>190</v>
      </c>
      <c r="M98" t="s">
        <v>186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186</v>
      </c>
      <c r="T98" s="151" t="s">
        <v>186</v>
      </c>
      <c r="U98" t="s">
        <v>186</v>
      </c>
      <c r="V98" t="s">
        <v>186</v>
      </c>
      <c r="W98" t="s">
        <v>186</v>
      </c>
      <c r="X98" t="s">
        <v>190</v>
      </c>
      <c r="Y98" t="s">
        <v>190</v>
      </c>
      <c r="Z98" t="s">
        <v>186</v>
      </c>
      <c r="AA98" t="s">
        <v>186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</row>
    <row r="99" spans="2:36">
      <c r="B99" s="2" t="s">
        <v>464</v>
      </c>
      <c r="C99" s="2" t="s">
        <v>465</v>
      </c>
      <c r="D99" s="2" t="str">
        <f>Table5[[#This Row],[First name]]&amp;" "&amp;Table5[[#This Row],[Last name]]</f>
        <v>Anil Maharaj</v>
      </c>
      <c r="E99" s="2" t="str">
        <f>_xlfn.XLOOKUP(Table5[[#This Row],[Full name]],Table26[Name],Table26[Role],"Member",0,1)</f>
        <v>Member</v>
      </c>
      <c r="F99" s="2" t="s">
        <v>188</v>
      </c>
      <c r="G99" s="26" cm="1">
        <f t="array" aca="1" ref="G99" ca="1">COUNTIF(Table5[[#This Row],[September 30, 2025]:[April 7, 2026]],"Yes")/SUMPRODUCT(--(DATEVALUE(Table5[[#Headers],[September 30, 2025]:[April 9, 2026]])&lt;=TODAY()))</f>
        <v>0.05</v>
      </c>
      <c r="H99" t="s">
        <v>190</v>
      </c>
      <c r="I99" t="s">
        <v>190</v>
      </c>
      <c r="J99" t="s">
        <v>186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s="151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</row>
    <row r="100" spans="2:36">
      <c r="B100" s="2" t="s">
        <v>466</v>
      </c>
      <c r="C100" s="2" t="s">
        <v>467</v>
      </c>
      <c r="D100" s="2" t="str">
        <f>Table5[[#This Row],[First name]]&amp;" "&amp;Table5[[#This Row],[Last name]]</f>
        <v>Anthony Braccio</v>
      </c>
      <c r="E100" s="2" t="str">
        <f>_xlfn.XLOOKUP(Table5[[#This Row],[Full name]],Table26[Name],Table26[Role],"Member",0,1)</f>
        <v>Member</v>
      </c>
      <c r="F100" s="2" t="s">
        <v>188</v>
      </c>
      <c r="G100" s="26" cm="1">
        <f t="array" aca="1" ref="G100" ca="1">COUNTIF(Table5[[#This Row],[September 30, 2025]:[April 7, 2026]],"Yes")/SUMPRODUCT(--(DATEVALUE(Table5[[#Headers],[September 30, 2025]:[April 9, 2026]])&lt;=TODAY()))</f>
        <v>0.45</v>
      </c>
      <c r="H100" t="s">
        <v>190</v>
      </c>
      <c r="I100" t="s">
        <v>190</v>
      </c>
      <c r="J100" t="s">
        <v>190</v>
      </c>
      <c r="K100" t="s">
        <v>190</v>
      </c>
      <c r="L100" t="s">
        <v>186</v>
      </c>
      <c r="M100" t="s">
        <v>186</v>
      </c>
      <c r="N100" t="s">
        <v>186</v>
      </c>
      <c r="O100" t="s">
        <v>186</v>
      </c>
      <c r="P100" t="s">
        <v>186</v>
      </c>
      <c r="Q100" t="s">
        <v>186</v>
      </c>
      <c r="R100" t="s">
        <v>186</v>
      </c>
      <c r="S100" t="s">
        <v>190</v>
      </c>
      <c r="T100" s="151" t="s">
        <v>186</v>
      </c>
      <c r="U100" t="s">
        <v>186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</row>
    <row r="101" spans="2:36">
      <c r="B101" s="2" t="s">
        <v>466</v>
      </c>
      <c r="C101" s="2" t="s">
        <v>468</v>
      </c>
      <c r="D101" s="2" t="str">
        <f>Table5[[#This Row],[First name]]&amp;" "&amp;Table5[[#This Row],[Last name]]</f>
        <v>Anthony Di Pasquale</v>
      </c>
      <c r="E101" s="2" t="str">
        <f>_xlfn.XLOOKUP(Table5[[#This Row],[Full name]],Table26[Name],Table26[Role],"Member",0,1)</f>
        <v>Member</v>
      </c>
      <c r="F101" s="2" t="s">
        <v>188</v>
      </c>
      <c r="G101" s="26" cm="1">
        <f t="array" aca="1" ref="G101" ca="1">COUNTIF(Table5[[#This Row],[September 30, 2025]:[April 7, 2026]],"Yes")/SUMPRODUCT(--(DATEVALUE(Table5[[#Headers],[September 30, 2025]:[April 9, 2026]])&lt;=TODAY()))</f>
        <v>0.35</v>
      </c>
      <c r="H101" t="s">
        <v>190</v>
      </c>
      <c r="I101" t="s">
        <v>190</v>
      </c>
      <c r="J101" t="s">
        <v>186</v>
      </c>
      <c r="K101" t="s">
        <v>186</v>
      </c>
      <c r="L101" t="s">
        <v>190</v>
      </c>
      <c r="M101" t="s">
        <v>190</v>
      </c>
      <c r="N101" t="s">
        <v>190</v>
      </c>
      <c r="O101" t="s">
        <v>186</v>
      </c>
      <c r="P101" t="s">
        <v>186</v>
      </c>
      <c r="Q101" t="s">
        <v>190</v>
      </c>
      <c r="R101" t="s">
        <v>190</v>
      </c>
      <c r="S101" t="s">
        <v>190</v>
      </c>
      <c r="T101" s="151" t="s">
        <v>190</v>
      </c>
      <c r="U101" t="s">
        <v>190</v>
      </c>
      <c r="V101" t="s">
        <v>190</v>
      </c>
      <c r="W101" t="s">
        <v>186</v>
      </c>
      <c r="X101" t="s">
        <v>186</v>
      </c>
      <c r="Y101" t="s">
        <v>186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190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</row>
    <row r="102" spans="2:36">
      <c r="B102" s="2" t="s">
        <v>469</v>
      </c>
      <c r="C102" s="2" t="s">
        <v>470</v>
      </c>
      <c r="D102" s="2" t="str">
        <f>Table5[[#This Row],[First name]]&amp;" "&amp;Table5[[#This Row],[Last name]]</f>
        <v>Anush Subasan</v>
      </c>
      <c r="E102" s="2" t="str">
        <f>_xlfn.XLOOKUP(Table5[[#This Row],[Full name]],Table26[Name],Table26[Role],"Member",0,1)</f>
        <v>Member</v>
      </c>
      <c r="F102" s="2" t="s">
        <v>188</v>
      </c>
      <c r="G102" s="26" cm="1">
        <f t="array" aca="1" ref="G102" ca="1">COUNTIF(Table5[[#This Row],[September 30, 2025]:[April 7, 2026]],"Yes")/SUMPRODUCT(--(DATEVALUE(Table5[[#Headers],[September 30, 2025]:[April 9, 2026]])&lt;=TODAY()))</f>
        <v>0.1</v>
      </c>
      <c r="H102" t="s">
        <v>190</v>
      </c>
      <c r="I102" t="s">
        <v>190</v>
      </c>
      <c r="J102" t="s">
        <v>190</v>
      </c>
      <c r="K102" t="s">
        <v>186</v>
      </c>
      <c r="L102" t="s">
        <v>186</v>
      </c>
      <c r="M102" t="s">
        <v>190</v>
      </c>
      <c r="N102" t="s">
        <v>190</v>
      </c>
      <c r="O102" t="s">
        <v>190</v>
      </c>
      <c r="P102" t="s">
        <v>190</v>
      </c>
      <c r="Q102" t="s">
        <v>190</v>
      </c>
      <c r="R102" t="s">
        <v>190</v>
      </c>
      <c r="S102" t="s">
        <v>190</v>
      </c>
      <c r="T102" s="151" t="s">
        <v>190</v>
      </c>
      <c r="U102" t="s">
        <v>190</v>
      </c>
      <c r="V102" t="s">
        <v>190</v>
      </c>
      <c r="W102" t="s">
        <v>190</v>
      </c>
      <c r="X102" t="s">
        <v>190</v>
      </c>
      <c r="Y102" t="s">
        <v>190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</row>
    <row r="103" spans="2:36">
      <c r="B103" s="2" t="s">
        <v>471</v>
      </c>
      <c r="C103" s="2" t="s">
        <v>472</v>
      </c>
      <c r="D103" s="2" t="str">
        <f>Table5[[#This Row],[First name]]&amp;" "&amp;Table5[[#This Row],[Last name]]</f>
        <v>Arad Farrahi</v>
      </c>
      <c r="E103" s="2" t="str">
        <f>_xlfn.XLOOKUP(Table5[[#This Row],[Full name]],Table26[Name],Table26[Role],"Member",0,1)</f>
        <v>Member</v>
      </c>
      <c r="F103" s="2" t="s">
        <v>188</v>
      </c>
      <c r="G103" s="26" cm="1">
        <f t="array" aca="1" ref="G103" ca="1">COUNTIF(Table5[[#This Row],[September 30, 2025]:[April 7, 2026]],"Yes")/SUMPRODUCT(--(DATEVALUE(Table5[[#Headers],[September 30, 2025]:[April 9, 2026]])&lt;=TODAY()))</f>
        <v>0.1</v>
      </c>
      <c r="H103" t="s">
        <v>190</v>
      </c>
      <c r="I103" t="s">
        <v>190</v>
      </c>
      <c r="J103" t="s">
        <v>190</v>
      </c>
      <c r="K103" t="s">
        <v>186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186</v>
      </c>
      <c r="T103" s="151" t="s">
        <v>190</v>
      </c>
      <c r="U103" t="s">
        <v>190</v>
      </c>
      <c r="V103" t="s">
        <v>190</v>
      </c>
      <c r="W103" t="s">
        <v>190</v>
      </c>
      <c r="X103" t="s">
        <v>190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</row>
    <row r="104" spans="2:36">
      <c r="B104" s="2" t="s">
        <v>471</v>
      </c>
      <c r="C104" s="2" t="s">
        <v>473</v>
      </c>
      <c r="D104" s="2" t="str">
        <f>Table5[[#This Row],[First name]]&amp;" "&amp;Table5[[#This Row],[Last name]]</f>
        <v>Arad Sahebjamei</v>
      </c>
      <c r="E104" s="2" t="str">
        <f>_xlfn.XLOOKUP(Table5[[#This Row],[Full name]],Table26[Name],Table26[Role],"Member",0,1)</f>
        <v>Member</v>
      </c>
      <c r="F104" s="2" t="s">
        <v>188</v>
      </c>
      <c r="G104" s="26" cm="1">
        <f t="array" aca="1" ref="G104" ca="1">COUNTIF(Table5[[#This Row],[September 30, 2025]:[April 7, 2026]],"Yes")/SUMPRODUCT(--(DATEVALUE(Table5[[#Headers],[September 30, 2025]:[April 9, 2026]])&lt;=TODAY()))</f>
        <v>0.1</v>
      </c>
      <c r="Q104" t="s">
        <v>186</v>
      </c>
      <c r="R104" t="s">
        <v>190</v>
      </c>
      <c r="S104" t="s">
        <v>190</v>
      </c>
      <c r="T104" s="151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186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</row>
    <row r="105" spans="2:36">
      <c r="B105" s="2" t="s">
        <v>474</v>
      </c>
      <c r="C105" s="2" t="s">
        <v>475</v>
      </c>
      <c r="D105" s="2" t="str">
        <f>Table5[[#This Row],[First name]]&amp;" "&amp;Table5[[#This Row],[Last name]]</f>
        <v>Ari Citak</v>
      </c>
      <c r="E105" s="2" t="str">
        <f>_xlfn.XLOOKUP(Table5[[#This Row],[Full name]],Table26[Name],Table26[Role],"Member",0,1)</f>
        <v>Member</v>
      </c>
      <c r="F105" s="2" t="s">
        <v>188</v>
      </c>
      <c r="G105" s="26" cm="1">
        <f t="array" aca="1" ref="G105" ca="1">COUNTIF(Table5[[#This Row],[September 30, 2025]:[April 7, 2026]],"Yes")/SUMPRODUCT(--(DATEVALUE(Table5[[#Headers],[September 30, 2025]:[April 9, 2026]])&lt;=TODAY()))</f>
        <v>0.05</v>
      </c>
      <c r="H105" t="s">
        <v>190</v>
      </c>
      <c r="I105" t="s">
        <v>186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190</v>
      </c>
      <c r="P105" t="s">
        <v>190</v>
      </c>
      <c r="Q105" t="s">
        <v>190</v>
      </c>
      <c r="R105" t="s">
        <v>190</v>
      </c>
      <c r="S105" t="s">
        <v>190</v>
      </c>
      <c r="T105" s="151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190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</row>
    <row r="106" spans="2:36">
      <c r="B106" s="2" t="s">
        <v>476</v>
      </c>
      <c r="C106" s="2" t="s">
        <v>477</v>
      </c>
      <c r="D106" s="2" t="str">
        <f>Table5[[#This Row],[First name]]&amp;" "&amp;Table5[[#This Row],[Last name]]</f>
        <v>Arianna Tan</v>
      </c>
      <c r="E106" s="2" t="str">
        <f>_xlfn.XLOOKUP(Table5[[#This Row],[Full name]],Table26[Name],Table26[Role],"Member",0,1)</f>
        <v>Member</v>
      </c>
      <c r="F106" s="2" t="s">
        <v>188</v>
      </c>
      <c r="G106" s="26" cm="1">
        <f t="array" aca="1" ref="G106" ca="1">COUNTIF(Table5[[#This Row],[September 30, 2025]:[April 7, 2026]],"Yes")/SUMPRODUCT(--(DATEVALUE(Table5[[#Headers],[September 30, 2025]:[April 9, 2026]])&lt;=TODAY()))</f>
        <v>0</v>
      </c>
      <c r="H106" t="s">
        <v>190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s="151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</row>
    <row r="107" spans="2:36">
      <c r="B107" s="2" t="s">
        <v>478</v>
      </c>
      <c r="C107" s="2" t="s">
        <v>479</v>
      </c>
      <c r="D107" s="2" t="str">
        <f>Table5[[#This Row],[First name]]&amp;" "&amp;Table5[[#This Row],[Last name]]</f>
        <v>Arion Mestanovski</v>
      </c>
      <c r="E107" s="2" t="str">
        <f>_xlfn.XLOOKUP(Table5[[#This Row],[Full name]],Table26[Name],Table26[Role],"Member",0,1)</f>
        <v>Member</v>
      </c>
      <c r="F107" s="2" t="s">
        <v>188</v>
      </c>
      <c r="G107" s="26" cm="1">
        <f t="array" aca="1" ref="G107" ca="1">COUNTIF(Table5[[#This Row],[September 30, 2025]:[April 7, 2026]],"Yes")/SUMPRODUCT(--(DATEVALUE(Table5[[#Headers],[September 30, 2025]:[April 9, 2026]])&lt;=TODAY()))</f>
        <v>0.1</v>
      </c>
      <c r="H107" t="s">
        <v>190</v>
      </c>
      <c r="I107" t="s">
        <v>190</v>
      </c>
      <c r="J107" t="s">
        <v>186</v>
      </c>
      <c r="K107" t="s">
        <v>190</v>
      </c>
      <c r="L107" t="s">
        <v>190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s="151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186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</row>
    <row r="108" spans="2:36">
      <c r="B108" s="2" t="s">
        <v>480</v>
      </c>
      <c r="C108" s="2" t="s">
        <v>481</v>
      </c>
      <c r="D108" s="2" t="str">
        <f>Table5[[#This Row],[First name]]&amp;" "&amp;Table5[[#This Row],[Last name]]</f>
        <v>Arthur Schneider</v>
      </c>
      <c r="E108" s="2" t="str">
        <f>_xlfn.XLOOKUP(Table5[[#This Row],[Full name]],Table26[Name],Table26[Role],"Member",0,1)</f>
        <v>Member</v>
      </c>
      <c r="F108" s="2" t="s">
        <v>188</v>
      </c>
      <c r="G108" s="26" cm="1">
        <f t="array" aca="1" ref="G108" ca="1">COUNTIF(Table5[[#This Row],[September 30, 2025]:[April 7, 2026]],"Yes")/SUMPRODUCT(--(DATEVALUE(Table5[[#Headers],[September 30, 2025]:[April 9, 2026]])&lt;=TODAY()))</f>
        <v>0.05</v>
      </c>
      <c r="S108" t="s">
        <v>186</v>
      </c>
      <c r="T108" s="151" t="s">
        <v>190</v>
      </c>
      <c r="V108" t="s">
        <v>190</v>
      </c>
      <c r="X108" t="s">
        <v>190</v>
      </c>
      <c r="AA108" t="s">
        <v>190</v>
      </c>
    </row>
    <row r="109" spans="2:36">
      <c r="B109" s="2" t="s">
        <v>482</v>
      </c>
      <c r="C109" s="2" t="s">
        <v>483</v>
      </c>
      <c r="D109" s="2" t="str">
        <f>Table5[[#This Row],[First name]]&amp;" "&amp;Table5[[#This Row],[Last name]]</f>
        <v>Ashley Shanthikumar</v>
      </c>
      <c r="E109" s="2" t="str">
        <f>_xlfn.XLOOKUP(Table5[[#This Row],[Full name]],Table26[Name],Table26[Role],"Member",0,1)</f>
        <v>Member</v>
      </c>
      <c r="F109" s="2" t="s">
        <v>188</v>
      </c>
      <c r="G109" s="26" cm="1">
        <f t="array" aca="1" ref="G109" ca="1">COUNTIF(Table5[[#This Row],[September 30, 2025]:[April 7, 2026]],"Yes")/SUMPRODUCT(--(DATEVALUE(Table5[[#Headers],[September 30, 2025]:[April 9, 2026]])&lt;=TODAY()))</f>
        <v>0.2</v>
      </c>
      <c r="H109" t="s">
        <v>190</v>
      </c>
      <c r="I109" t="s">
        <v>190</v>
      </c>
      <c r="J109" t="s">
        <v>186</v>
      </c>
      <c r="K109" t="s">
        <v>190</v>
      </c>
      <c r="L109" t="s">
        <v>190</v>
      </c>
      <c r="M109" t="s">
        <v>190</v>
      </c>
      <c r="N109" t="s">
        <v>186</v>
      </c>
      <c r="O109" t="s">
        <v>186</v>
      </c>
      <c r="P109" t="s">
        <v>190</v>
      </c>
      <c r="Q109" t="s">
        <v>186</v>
      </c>
      <c r="R109" t="s">
        <v>190</v>
      </c>
      <c r="S109" t="s">
        <v>190</v>
      </c>
      <c r="T109" s="151" t="s">
        <v>190</v>
      </c>
      <c r="U109" t="s">
        <v>190</v>
      </c>
      <c r="V109" t="s">
        <v>190</v>
      </c>
      <c r="W109" t="s">
        <v>190</v>
      </c>
      <c r="X109" t="s">
        <v>190</v>
      </c>
      <c r="Y109" t="s">
        <v>190</v>
      </c>
      <c r="Z109" t="s">
        <v>190</v>
      </c>
      <c r="AA109" t="s">
        <v>190</v>
      </c>
      <c r="AB109" t="s">
        <v>190</v>
      </c>
      <c r="AC109" t="s">
        <v>190</v>
      </c>
      <c r="AD109" t="s">
        <v>190</v>
      </c>
      <c r="AE109" t="s">
        <v>190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</row>
    <row r="110" spans="2:36">
      <c r="B110" s="2" t="s">
        <v>484</v>
      </c>
      <c r="C110" s="2" t="s">
        <v>485</v>
      </c>
      <c r="D110" s="2" t="str">
        <f>Table5[[#This Row],[First name]]&amp;" "&amp;Table5[[#This Row],[Last name]]</f>
        <v>Athan Kang</v>
      </c>
      <c r="E110" s="2" t="str">
        <f>_xlfn.XLOOKUP(Table5[[#This Row],[Full name]],Table26[Name],Table26[Role],"Member",0,1)</f>
        <v>Member</v>
      </c>
      <c r="F110" s="2" t="s">
        <v>188</v>
      </c>
      <c r="G110" s="26" cm="1">
        <f t="array" aca="1" ref="G110" ca="1">COUNTIF(Table5[[#This Row],[September 30, 2025]:[April 7, 2026]],"Yes")/SUMPRODUCT(--(DATEVALUE(Table5[[#Headers],[September 30, 2025]:[April 9, 2026]])&lt;=TODAY()))</f>
        <v>0.05</v>
      </c>
      <c r="H110" t="s">
        <v>190</v>
      </c>
      <c r="I110" t="s">
        <v>190</v>
      </c>
      <c r="J110" t="s">
        <v>186</v>
      </c>
      <c r="K110" t="s">
        <v>190</v>
      </c>
      <c r="L110" t="s">
        <v>190</v>
      </c>
      <c r="M110" t="s">
        <v>190</v>
      </c>
      <c r="N110" t="s">
        <v>190</v>
      </c>
      <c r="O110" t="s">
        <v>190</v>
      </c>
      <c r="P110" t="s">
        <v>190</v>
      </c>
      <c r="Q110" t="s">
        <v>190</v>
      </c>
      <c r="R110" t="s">
        <v>190</v>
      </c>
      <c r="S110" t="s">
        <v>190</v>
      </c>
      <c r="T110" s="151" t="s">
        <v>190</v>
      </c>
      <c r="U110" t="s">
        <v>190</v>
      </c>
      <c r="V110" t="s">
        <v>190</v>
      </c>
      <c r="W110" t="s">
        <v>190</v>
      </c>
      <c r="X110" t="s">
        <v>190</v>
      </c>
      <c r="Y110" t="s">
        <v>190</v>
      </c>
      <c r="Z110" t="s">
        <v>190</v>
      </c>
      <c r="AA110" t="s">
        <v>190</v>
      </c>
      <c r="AB110" t="s">
        <v>190</v>
      </c>
      <c r="AC110" t="s">
        <v>190</v>
      </c>
      <c r="AD110" t="s">
        <v>190</v>
      </c>
      <c r="AE110" t="s">
        <v>190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</row>
    <row r="111" spans="2:36">
      <c r="B111" s="2" t="s">
        <v>486</v>
      </c>
      <c r="C111" s="2" t="s">
        <v>487</v>
      </c>
      <c r="D111" s="2" t="str">
        <f>Table5[[#This Row],[First name]]&amp;" "&amp;Table5[[#This Row],[Last name]]</f>
        <v>Ayham Noor</v>
      </c>
      <c r="E111" s="2" t="str">
        <f>_xlfn.XLOOKUP(Table5[[#This Row],[Full name]],Table26[Name],Table26[Role],"Member",0,1)</f>
        <v>Member</v>
      </c>
      <c r="F111" s="2" t="s">
        <v>188</v>
      </c>
      <c r="G111" s="26" cm="1">
        <f t="array" aca="1" ref="G111" ca="1">COUNTIF(Table5[[#This Row],[September 30, 2025]:[April 7, 2026]],"Yes")/SUMPRODUCT(--(DATEVALUE(Table5[[#Headers],[September 30, 2025]:[April 9, 2026]])&lt;=TODAY()))</f>
        <v>0.1</v>
      </c>
      <c r="H111" t="s">
        <v>190</v>
      </c>
      <c r="I111" t="s">
        <v>186</v>
      </c>
      <c r="J111" t="s">
        <v>186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s="151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</row>
    <row r="112" spans="2:36">
      <c r="B112" s="2" t="s">
        <v>488</v>
      </c>
      <c r="C112" s="2" t="s">
        <v>489</v>
      </c>
      <c r="D112" s="2" t="str">
        <f>Table5[[#This Row],[First name]]&amp;" "&amp;Table5[[#This Row],[Last name]]</f>
        <v>Balthazar Plat</v>
      </c>
      <c r="E112" s="2" t="str">
        <f>_xlfn.XLOOKUP(Table5[[#This Row],[Full name]],Table26[Name],Table26[Role],"Member",0,1)</f>
        <v>Member</v>
      </c>
      <c r="F112" s="2" t="s">
        <v>188</v>
      </c>
      <c r="G112" s="26" cm="1">
        <f t="array" aca="1" ref="G112" ca="1">COUNTIF(Table5[[#This Row],[September 30, 2025]:[April 7, 2026]],"Yes")/SUMPRODUCT(--(DATEVALUE(Table5[[#Headers],[September 30, 2025]:[April 9, 2026]])&lt;=TODAY()))</f>
        <v>0.05</v>
      </c>
      <c r="R112" t="s">
        <v>186</v>
      </c>
      <c r="T112" s="151"/>
      <c r="V112" t="s">
        <v>190</v>
      </c>
      <c r="X112" t="s">
        <v>190</v>
      </c>
      <c r="AA112" t="s">
        <v>190</v>
      </c>
    </row>
    <row r="113" spans="2:36">
      <c r="B113" s="2" t="s">
        <v>490</v>
      </c>
      <c r="C113" s="2" t="s">
        <v>491</v>
      </c>
      <c r="D113" s="2" t="str">
        <f>Table5[[#This Row],[First name]]&amp;" "&amp;Table5[[#This Row],[Last name]]</f>
        <v>Barron Diao</v>
      </c>
      <c r="E113" s="2" t="str">
        <f>_xlfn.XLOOKUP(Table5[[#This Row],[Full name]],Table26[Name],Table26[Role],"Member",0,1)</f>
        <v>Member</v>
      </c>
      <c r="F113" s="2" t="s">
        <v>188</v>
      </c>
      <c r="G113" s="26" cm="1">
        <f t="array" aca="1" ref="G113" ca="1">COUNTIF(Table5[[#This Row],[September 30, 2025]:[April 7, 2026]],"Yes")/SUMPRODUCT(--(DATEVALUE(Table5[[#Headers],[September 30, 2025]:[April 9, 2026]])&lt;=TODAY()))</f>
        <v>0.05</v>
      </c>
      <c r="H113" t="s">
        <v>190</v>
      </c>
      <c r="I113" t="s">
        <v>190</v>
      </c>
      <c r="J113" t="s">
        <v>186</v>
      </c>
      <c r="K113" t="s">
        <v>190</v>
      </c>
      <c r="L113" t="s">
        <v>190</v>
      </c>
      <c r="M113" t="s">
        <v>190</v>
      </c>
      <c r="N113" t="s">
        <v>190</v>
      </c>
      <c r="O113" t="s">
        <v>190</v>
      </c>
      <c r="P113" t="s">
        <v>190</v>
      </c>
      <c r="Q113" t="s">
        <v>190</v>
      </c>
      <c r="R113" t="s">
        <v>190</v>
      </c>
      <c r="S113" t="s">
        <v>190</v>
      </c>
      <c r="T113" s="151" t="s">
        <v>190</v>
      </c>
      <c r="U113" t="s">
        <v>190</v>
      </c>
      <c r="V113" t="s">
        <v>190</v>
      </c>
      <c r="W113" t="s">
        <v>190</v>
      </c>
      <c r="X113" t="s">
        <v>190</v>
      </c>
      <c r="Y113" t="s">
        <v>190</v>
      </c>
      <c r="Z113" t="s">
        <v>190</v>
      </c>
      <c r="AA113" t="s">
        <v>190</v>
      </c>
      <c r="AB113" t="s">
        <v>190</v>
      </c>
      <c r="AC113" t="s">
        <v>190</v>
      </c>
      <c r="AD113" t="s">
        <v>190</v>
      </c>
      <c r="AE113" t="s">
        <v>190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</row>
    <row r="114" spans="2:36">
      <c r="B114" s="2" t="s">
        <v>331</v>
      </c>
      <c r="C114" s="2" t="s">
        <v>492</v>
      </c>
      <c r="D114" s="2" t="str">
        <f>Table5[[#This Row],[First name]]&amp;" "&amp;Table5[[#This Row],[Last name]]</f>
        <v>Ben Goldstein</v>
      </c>
      <c r="E114" s="2" t="str">
        <f>_xlfn.XLOOKUP(Table5[[#This Row],[Full name]],Table26[Name],Table26[Role],"Member",0,1)</f>
        <v>Member</v>
      </c>
      <c r="F114" s="2" t="s">
        <v>188</v>
      </c>
      <c r="G114" s="26" cm="1">
        <f t="array" aca="1" ref="G114" ca="1">COUNTIF(Table5[[#This Row],[September 30, 2025]:[April 7, 2026]],"Yes")/SUMPRODUCT(--(DATEVALUE(Table5[[#Headers],[September 30, 2025]:[April 9, 2026]])&lt;=TODAY()))</f>
        <v>0.1</v>
      </c>
      <c r="H114" t="s">
        <v>186</v>
      </c>
      <c r="I114" t="s">
        <v>190</v>
      </c>
      <c r="J114" t="s">
        <v>186</v>
      </c>
      <c r="K114" t="s">
        <v>190</v>
      </c>
      <c r="L114" t="s">
        <v>190</v>
      </c>
      <c r="M114" t="s">
        <v>190</v>
      </c>
      <c r="N114" t="s">
        <v>190</v>
      </c>
      <c r="O114" t="s">
        <v>190</v>
      </c>
      <c r="P114" t="s">
        <v>190</v>
      </c>
      <c r="Q114" t="s">
        <v>190</v>
      </c>
      <c r="R114" t="s">
        <v>190</v>
      </c>
      <c r="S114" t="s">
        <v>190</v>
      </c>
      <c r="T114" s="151" t="s">
        <v>190</v>
      </c>
      <c r="U114" t="s">
        <v>190</v>
      </c>
      <c r="V114" t="s">
        <v>190</v>
      </c>
      <c r="W114" t="s">
        <v>190</v>
      </c>
      <c r="X114" t="s">
        <v>190</v>
      </c>
      <c r="Y114" t="s">
        <v>190</v>
      </c>
      <c r="Z114" t="s">
        <v>190</v>
      </c>
      <c r="AA114" t="s">
        <v>190</v>
      </c>
      <c r="AB114" t="s">
        <v>190</v>
      </c>
      <c r="AC114" t="s">
        <v>190</v>
      </c>
      <c r="AD114" t="s">
        <v>190</v>
      </c>
      <c r="AE114" t="s">
        <v>190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</row>
    <row r="115" spans="2:36">
      <c r="B115" s="2" t="s">
        <v>331</v>
      </c>
      <c r="C115" s="2" t="s">
        <v>493</v>
      </c>
      <c r="D115" s="2" t="str">
        <f>Table5[[#This Row],[First name]]&amp;" "&amp;Table5[[#This Row],[Last name]]</f>
        <v>Ben Murphy</v>
      </c>
      <c r="E115" s="2" t="str">
        <f>_xlfn.XLOOKUP(Table5[[#This Row],[Full name]],Table26[Name],Table26[Role],"Member",0,1)</f>
        <v>Member</v>
      </c>
      <c r="F115" s="2" t="s">
        <v>188</v>
      </c>
      <c r="G115" s="26" cm="1">
        <f t="array" aca="1" ref="G115" ca="1">COUNTIF(Table5[[#This Row],[September 30, 2025]:[April 7, 2026]],"Yes")/SUMPRODUCT(--(DATEVALUE(Table5[[#Headers],[September 30, 2025]:[April 9, 2026]])&lt;=TODAY()))</f>
        <v>0</v>
      </c>
      <c r="H115" t="s">
        <v>190</v>
      </c>
      <c r="I115" t="s">
        <v>190</v>
      </c>
      <c r="J115" t="s">
        <v>190</v>
      </c>
      <c r="K115" t="s">
        <v>190</v>
      </c>
      <c r="L115" t="s">
        <v>190</v>
      </c>
      <c r="M115" t="s">
        <v>190</v>
      </c>
      <c r="N115" t="s">
        <v>190</v>
      </c>
      <c r="O115" t="s">
        <v>190</v>
      </c>
      <c r="P115" t="s">
        <v>190</v>
      </c>
      <c r="Q115" t="s">
        <v>190</v>
      </c>
      <c r="R115" t="s">
        <v>190</v>
      </c>
      <c r="S115" t="s">
        <v>190</v>
      </c>
      <c r="T115" s="151" t="s">
        <v>190</v>
      </c>
      <c r="U115" t="s">
        <v>190</v>
      </c>
      <c r="V115" t="s">
        <v>190</v>
      </c>
      <c r="W115" t="s">
        <v>190</v>
      </c>
      <c r="X115" t="s">
        <v>190</v>
      </c>
      <c r="Y115" t="s">
        <v>190</v>
      </c>
      <c r="Z115" t="s">
        <v>190</v>
      </c>
      <c r="AA115" t="s">
        <v>190</v>
      </c>
      <c r="AB115" t="s">
        <v>190</v>
      </c>
      <c r="AC115" t="s">
        <v>190</v>
      </c>
      <c r="AD115" t="s">
        <v>190</v>
      </c>
      <c r="AE115" t="s">
        <v>190</v>
      </c>
      <c r="AF115" t="s">
        <v>190</v>
      </c>
      <c r="AG115" t="s">
        <v>190</v>
      </c>
      <c r="AH115" t="s">
        <v>190</v>
      </c>
      <c r="AI115" t="s">
        <v>190</v>
      </c>
      <c r="AJ115" t="s">
        <v>190</v>
      </c>
    </row>
    <row r="116" spans="2:36">
      <c r="B116" s="2" t="s">
        <v>494</v>
      </c>
      <c r="C116" s="2" t="s">
        <v>495</v>
      </c>
      <c r="D116" s="2" t="str">
        <f>Table5[[#This Row],[First name]]&amp;" "&amp;Table5[[#This Row],[Last name]]</f>
        <v>Benjamin Gorospe</v>
      </c>
      <c r="E116" s="2" t="str">
        <f>_xlfn.XLOOKUP(Table5[[#This Row],[Full name]],Table26[Name],Table26[Role],"Member",0,1)</f>
        <v>Member</v>
      </c>
      <c r="F116" s="2" t="s">
        <v>188</v>
      </c>
      <c r="G116" s="26" cm="1">
        <f t="array" aca="1" ref="G116" ca="1">COUNTIF(Table5[[#This Row],[September 30, 2025]:[April 7, 2026]],"Yes")/SUMPRODUCT(--(DATEVALUE(Table5[[#Headers],[September 30, 2025]:[April 9, 2026]])&lt;=TODAY()))</f>
        <v>0.05</v>
      </c>
      <c r="H116" t="s">
        <v>190</v>
      </c>
      <c r="I116" t="s">
        <v>186</v>
      </c>
      <c r="J116" t="s">
        <v>190</v>
      </c>
      <c r="K116" t="s">
        <v>190</v>
      </c>
      <c r="L116" t="s">
        <v>190</v>
      </c>
      <c r="M116" t="s">
        <v>190</v>
      </c>
      <c r="N116" t="s">
        <v>190</v>
      </c>
      <c r="O116" t="s">
        <v>190</v>
      </c>
      <c r="P116" t="s">
        <v>190</v>
      </c>
      <c r="Q116" t="s">
        <v>190</v>
      </c>
      <c r="R116" t="s">
        <v>190</v>
      </c>
      <c r="S116" t="s">
        <v>190</v>
      </c>
      <c r="T116" s="151" t="s">
        <v>190</v>
      </c>
      <c r="U116" t="s">
        <v>190</v>
      </c>
      <c r="V116" t="s">
        <v>190</v>
      </c>
      <c r="W116" t="s">
        <v>190</v>
      </c>
      <c r="X116" t="s">
        <v>190</v>
      </c>
      <c r="Y116" t="s">
        <v>190</v>
      </c>
      <c r="Z116" t="s">
        <v>190</v>
      </c>
      <c r="AA116" t="s">
        <v>190</v>
      </c>
      <c r="AB116" t="s">
        <v>190</v>
      </c>
      <c r="AC116" t="s">
        <v>190</v>
      </c>
      <c r="AD116" t="s">
        <v>190</v>
      </c>
      <c r="AE116" t="s">
        <v>190</v>
      </c>
      <c r="AF116" t="s">
        <v>190</v>
      </c>
      <c r="AG116" t="s">
        <v>190</v>
      </c>
      <c r="AH116" t="s">
        <v>190</v>
      </c>
      <c r="AI116" t="s">
        <v>190</v>
      </c>
      <c r="AJ116" t="s">
        <v>190</v>
      </c>
    </row>
    <row r="117" spans="2:36">
      <c r="B117" s="2" t="s">
        <v>494</v>
      </c>
      <c r="C117" s="2" t="s">
        <v>496</v>
      </c>
      <c r="D117" s="2" t="str">
        <f>Table5[[#This Row],[First name]]&amp;" "&amp;Table5[[#This Row],[Last name]]</f>
        <v>Benjamin Le Brun</v>
      </c>
      <c r="E117" s="2" t="str">
        <f>_xlfn.XLOOKUP(Table5[[#This Row],[Full name]],Table26[Name],Table26[Role],"Member",0,1)</f>
        <v>Member</v>
      </c>
      <c r="F117" s="2" t="s">
        <v>188</v>
      </c>
      <c r="G117" s="26" cm="1">
        <f t="array" aca="1" ref="G117" ca="1">COUNTIF(Table5[[#This Row],[September 30, 2025]:[April 7, 2026]],"Yes")/SUMPRODUCT(--(DATEVALUE(Table5[[#Headers],[September 30, 2025]:[April 9, 2026]])&lt;=TODAY()))</f>
        <v>0</v>
      </c>
      <c r="H117" t="s">
        <v>190</v>
      </c>
      <c r="I117" t="s">
        <v>190</v>
      </c>
      <c r="J117" t="s">
        <v>190</v>
      </c>
      <c r="K117" t="s">
        <v>190</v>
      </c>
      <c r="L117" t="s">
        <v>190</v>
      </c>
      <c r="M117" t="s">
        <v>190</v>
      </c>
      <c r="N117" t="s">
        <v>190</v>
      </c>
      <c r="O117" t="s">
        <v>190</v>
      </c>
      <c r="P117" t="s">
        <v>190</v>
      </c>
      <c r="Q117" t="s">
        <v>190</v>
      </c>
      <c r="R117" t="s">
        <v>190</v>
      </c>
      <c r="S117" t="s">
        <v>190</v>
      </c>
      <c r="T117" s="151" t="s">
        <v>190</v>
      </c>
      <c r="U117" t="s">
        <v>190</v>
      </c>
      <c r="V117" t="s">
        <v>190</v>
      </c>
      <c r="W117" t="s">
        <v>190</v>
      </c>
      <c r="X117" t="s">
        <v>190</v>
      </c>
      <c r="Y117" t="s">
        <v>190</v>
      </c>
      <c r="Z117" t="s">
        <v>190</v>
      </c>
      <c r="AA117" t="s">
        <v>190</v>
      </c>
      <c r="AB117" t="s">
        <v>190</v>
      </c>
      <c r="AC117" t="s">
        <v>190</v>
      </c>
      <c r="AD117" t="s">
        <v>190</v>
      </c>
      <c r="AE117" t="s">
        <v>190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</row>
    <row r="118" spans="2:36">
      <c r="B118" s="2" t="s">
        <v>494</v>
      </c>
      <c r="C118" s="2" t="s">
        <v>497</v>
      </c>
      <c r="D118" s="2" t="str">
        <f>Table5[[#This Row],[First name]]&amp;" "&amp;Table5[[#This Row],[Last name]]</f>
        <v>Benjamin Namayandeh</v>
      </c>
      <c r="E118" s="2" t="str">
        <f>_xlfn.XLOOKUP(Table5[[#This Row],[Full name]],Table26[Name],Table26[Role],"Member",0,1)</f>
        <v>Member</v>
      </c>
      <c r="F118" s="2" t="s">
        <v>188</v>
      </c>
      <c r="G118" s="26" cm="1">
        <f t="array" aca="1" ref="G118" ca="1">COUNTIF(Table5[[#This Row],[September 30, 2025]:[April 7, 2026]],"Yes")/SUMPRODUCT(--(DATEVALUE(Table5[[#Headers],[September 30, 2025]:[April 9, 2026]])&lt;=TODAY()))</f>
        <v>0.05</v>
      </c>
      <c r="Q118" t="s">
        <v>186</v>
      </c>
      <c r="R118" t="s">
        <v>190</v>
      </c>
      <c r="S118" t="s">
        <v>190</v>
      </c>
      <c r="T118" s="151" t="s">
        <v>190</v>
      </c>
      <c r="U118" t="s">
        <v>190</v>
      </c>
      <c r="V118" t="s">
        <v>190</v>
      </c>
      <c r="W118" t="s">
        <v>190</v>
      </c>
      <c r="X118" t="s">
        <v>190</v>
      </c>
      <c r="Y118" t="s">
        <v>190</v>
      </c>
      <c r="Z118" t="s">
        <v>190</v>
      </c>
      <c r="AA118" t="s">
        <v>190</v>
      </c>
      <c r="AB118" t="s">
        <v>190</v>
      </c>
      <c r="AC118" t="s">
        <v>190</v>
      </c>
      <c r="AD118" t="s">
        <v>190</v>
      </c>
      <c r="AE118" t="s">
        <v>190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</row>
    <row r="119" spans="2:36">
      <c r="B119" s="2" t="s">
        <v>494</v>
      </c>
      <c r="C119" s="2" t="s">
        <v>498</v>
      </c>
      <c r="D119" s="2" t="str">
        <f>Table5[[#This Row],[First name]]&amp;" "&amp;Table5[[#This Row],[Last name]]</f>
        <v>Benjamin Zheng</v>
      </c>
      <c r="E119" s="2" t="str">
        <f>_xlfn.XLOOKUP(Table5[[#This Row],[Full name]],Table26[Name],Table26[Role],"Member",0,1)</f>
        <v>Member</v>
      </c>
      <c r="F119" s="2" t="s">
        <v>188</v>
      </c>
      <c r="G119" s="26" cm="1">
        <f t="array" aca="1" ref="G119" ca="1">COUNTIF(Table5[[#This Row],[September 30, 2025]:[April 7, 2026]],"Yes")/SUMPRODUCT(--(DATEVALUE(Table5[[#Headers],[September 30, 2025]:[April 9, 2026]])&lt;=TODAY()))</f>
        <v>0.3</v>
      </c>
      <c r="H119" t="s">
        <v>186</v>
      </c>
      <c r="I119" t="s">
        <v>190</v>
      </c>
      <c r="J119" t="s">
        <v>190</v>
      </c>
      <c r="K119" t="s">
        <v>190</v>
      </c>
      <c r="L119" t="s">
        <v>190</v>
      </c>
      <c r="M119" t="s">
        <v>190</v>
      </c>
      <c r="N119" t="s">
        <v>190</v>
      </c>
      <c r="O119" t="s">
        <v>186</v>
      </c>
      <c r="P119" t="s">
        <v>186</v>
      </c>
      <c r="Q119" t="s">
        <v>186</v>
      </c>
      <c r="R119" t="s">
        <v>186</v>
      </c>
      <c r="S119" t="s">
        <v>190</v>
      </c>
      <c r="T119" s="151" t="s">
        <v>190</v>
      </c>
      <c r="U119" t="s">
        <v>190</v>
      </c>
      <c r="V119" t="s">
        <v>190</v>
      </c>
      <c r="W119" t="s">
        <v>186</v>
      </c>
      <c r="X119" t="s">
        <v>190</v>
      </c>
      <c r="Y119" t="s">
        <v>190</v>
      </c>
      <c r="Z119" t="s">
        <v>190</v>
      </c>
      <c r="AA119" t="s">
        <v>190</v>
      </c>
      <c r="AB119" t="s">
        <v>190</v>
      </c>
      <c r="AC119" t="s">
        <v>190</v>
      </c>
      <c r="AD119" t="s">
        <v>190</v>
      </c>
      <c r="AE119" t="s">
        <v>190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</row>
    <row r="120" spans="2:36">
      <c r="B120" s="38" t="s">
        <v>499</v>
      </c>
      <c r="C120" t="s">
        <v>500</v>
      </c>
      <c r="D120" s="2" t="str">
        <f>Table5[[#This Row],[First name]]&amp;" "&amp;Table5[[#This Row],[Last name]]</f>
        <v>Bhargav Kandlakuti</v>
      </c>
      <c r="E120" s="2" t="str">
        <f>_xlfn.XLOOKUP(Table5[[#This Row],[Full name]],Table26[Name],Table26[Role],"Member",0,1)</f>
        <v>Member</v>
      </c>
      <c r="F120" s="2" t="s">
        <v>188</v>
      </c>
      <c r="G120" s="26" cm="1">
        <f t="array" aca="1" ref="G120" ca="1">COUNTIF(Table5[[#This Row],[September 30, 2025]:[April 7, 2026]],"Yes")/SUMPRODUCT(--(DATEVALUE(Table5[[#Headers],[September 30, 2025]:[April 9, 2026]])&lt;=TODAY()))</f>
        <v>0.45</v>
      </c>
      <c r="H120" t="s">
        <v>190</v>
      </c>
      <c r="I120" t="s">
        <v>190</v>
      </c>
      <c r="J120" t="s">
        <v>190</v>
      </c>
      <c r="K120" t="s">
        <v>190</v>
      </c>
      <c r="L120" t="s">
        <v>186</v>
      </c>
      <c r="M120" t="s">
        <v>186</v>
      </c>
      <c r="N120" t="s">
        <v>190</v>
      </c>
      <c r="O120" t="s">
        <v>190</v>
      </c>
      <c r="P120" t="s">
        <v>190</v>
      </c>
      <c r="Q120" t="s">
        <v>186</v>
      </c>
      <c r="R120" t="s">
        <v>190</v>
      </c>
      <c r="S120" t="s">
        <v>190</v>
      </c>
      <c r="T120" s="151" t="s">
        <v>190</v>
      </c>
      <c r="U120" t="s">
        <v>186</v>
      </c>
      <c r="V120" t="s">
        <v>186</v>
      </c>
      <c r="W120" t="s">
        <v>186</v>
      </c>
      <c r="X120" t="s">
        <v>190</v>
      </c>
      <c r="Y120" t="s">
        <v>186</v>
      </c>
      <c r="Z120" t="s">
        <v>186</v>
      </c>
      <c r="AA120" t="s">
        <v>186</v>
      </c>
      <c r="AB120" t="s">
        <v>190</v>
      </c>
      <c r="AC120" t="s">
        <v>190</v>
      </c>
      <c r="AD120" t="s">
        <v>190</v>
      </c>
      <c r="AE120" t="s">
        <v>190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</row>
    <row r="121" spans="2:36">
      <c r="B121" s="2" t="s">
        <v>501</v>
      </c>
      <c r="C121" s="2" t="s">
        <v>502</v>
      </c>
      <c r="D121" s="2" t="str">
        <f>Table5[[#This Row],[First name]]&amp;" "&amp;Table5[[#This Row],[Last name]]</f>
        <v>Bilal Hachem</v>
      </c>
      <c r="E121" s="2" t="str">
        <f>_xlfn.XLOOKUP(Table5[[#This Row],[Full name]],Table26[Name],Table26[Role],"Member",0,1)</f>
        <v>Member</v>
      </c>
      <c r="F121" s="2" t="s">
        <v>188</v>
      </c>
      <c r="G121" s="26" cm="1">
        <f t="array" aca="1" ref="G121" ca="1">COUNTIF(Table5[[#This Row],[September 30, 2025]:[April 7, 2026]],"Yes")/SUMPRODUCT(--(DATEVALUE(Table5[[#Headers],[September 30, 2025]:[April 9, 2026]])&lt;=TODAY()))</f>
        <v>0.05</v>
      </c>
      <c r="H121" t="s">
        <v>186</v>
      </c>
      <c r="I121" t="s">
        <v>190</v>
      </c>
      <c r="J121" t="s">
        <v>190</v>
      </c>
      <c r="K121" t="s">
        <v>190</v>
      </c>
      <c r="L121" t="s">
        <v>190</v>
      </c>
      <c r="M121" t="s">
        <v>190</v>
      </c>
      <c r="N121" t="s">
        <v>190</v>
      </c>
      <c r="O121" t="s">
        <v>190</v>
      </c>
      <c r="P121" t="s">
        <v>190</v>
      </c>
      <c r="Q121" t="s">
        <v>190</v>
      </c>
      <c r="R121" t="s">
        <v>190</v>
      </c>
      <c r="S121" t="s">
        <v>190</v>
      </c>
      <c r="T121" s="151" t="s">
        <v>190</v>
      </c>
      <c r="U121" t="s">
        <v>190</v>
      </c>
      <c r="V121" t="s">
        <v>190</v>
      </c>
      <c r="X121" t="s">
        <v>190</v>
      </c>
      <c r="Y121" t="s">
        <v>190</v>
      </c>
      <c r="Z121" t="s">
        <v>190</v>
      </c>
      <c r="AA121" t="s">
        <v>190</v>
      </c>
      <c r="AB121" t="s">
        <v>190</v>
      </c>
      <c r="AC121" t="s">
        <v>190</v>
      </c>
      <c r="AD121" t="s">
        <v>190</v>
      </c>
      <c r="AE121" t="s">
        <v>190</v>
      </c>
      <c r="AF121" t="s">
        <v>190</v>
      </c>
      <c r="AG121" t="s">
        <v>190</v>
      </c>
      <c r="AH121" t="s">
        <v>190</v>
      </c>
      <c r="AI121" t="s">
        <v>190</v>
      </c>
      <c r="AJ121" t="s">
        <v>190</v>
      </c>
    </row>
    <row r="122" spans="2:36">
      <c r="B122" s="2" t="s">
        <v>503</v>
      </c>
      <c r="C122" s="2" t="s">
        <v>504</v>
      </c>
      <c r="D122" s="2" t="str">
        <f>Table5[[#This Row],[First name]]&amp;" "&amp;Table5[[#This Row],[Last name]]</f>
        <v>Brandon Roy</v>
      </c>
      <c r="E122" s="2" t="str">
        <f>_xlfn.XLOOKUP(Table5[[#This Row],[Full name]],Table26[Name],Table26[Role],"Member",0,1)</f>
        <v>Member</v>
      </c>
      <c r="F122" s="2" t="s">
        <v>188</v>
      </c>
      <c r="G122" s="26" cm="1">
        <f t="array" aca="1" ref="G122" ca="1">COUNTIF(Table5[[#This Row],[September 30, 2025]:[April 7, 2026]],"Yes")/SUMPRODUCT(--(DATEVALUE(Table5[[#Headers],[September 30, 2025]:[April 9, 2026]])&lt;=TODAY()))</f>
        <v>0.15</v>
      </c>
      <c r="H122" t="s">
        <v>190</v>
      </c>
      <c r="I122" t="s">
        <v>190</v>
      </c>
      <c r="J122" t="s">
        <v>190</v>
      </c>
      <c r="K122" t="s">
        <v>186</v>
      </c>
      <c r="L122" t="s">
        <v>186</v>
      </c>
      <c r="M122" t="s">
        <v>190</v>
      </c>
      <c r="N122" t="s">
        <v>190</v>
      </c>
      <c r="O122" t="s">
        <v>186</v>
      </c>
      <c r="P122" t="s">
        <v>190</v>
      </c>
      <c r="Q122" t="s">
        <v>190</v>
      </c>
      <c r="R122" t="s">
        <v>190</v>
      </c>
      <c r="S122" t="s">
        <v>190</v>
      </c>
      <c r="T122" s="151" t="s">
        <v>190</v>
      </c>
      <c r="U122" t="s">
        <v>190</v>
      </c>
      <c r="V122" t="s">
        <v>190</v>
      </c>
      <c r="W122" t="s">
        <v>190</v>
      </c>
      <c r="X122" t="s">
        <v>190</v>
      </c>
      <c r="Y122" t="s">
        <v>190</v>
      </c>
      <c r="Z122" t="s">
        <v>190</v>
      </c>
      <c r="AA122" t="s">
        <v>190</v>
      </c>
      <c r="AB122" t="s">
        <v>190</v>
      </c>
      <c r="AC122" t="s">
        <v>190</v>
      </c>
      <c r="AD122" t="s">
        <v>190</v>
      </c>
      <c r="AE122" t="s">
        <v>190</v>
      </c>
      <c r="AF122" t="s">
        <v>190</v>
      </c>
      <c r="AG122" t="s">
        <v>190</v>
      </c>
      <c r="AH122" t="s">
        <v>190</v>
      </c>
      <c r="AI122" t="s">
        <v>190</v>
      </c>
      <c r="AJ122" t="s">
        <v>190</v>
      </c>
    </row>
    <row r="123" spans="2:36">
      <c r="B123" s="2" t="s">
        <v>505</v>
      </c>
      <c r="C123" s="2" t="s">
        <v>506</v>
      </c>
      <c r="D123" s="2" t="str">
        <f>Table5[[#This Row],[First name]]&amp;" "&amp;Table5[[#This Row],[Last name]]</f>
        <v>Brayden Nykamp</v>
      </c>
      <c r="E123" s="2" t="str">
        <f>_xlfn.XLOOKUP(Table5[[#This Row],[Full name]],Table26[Name],Table26[Role],"Member",0,1)</f>
        <v>Member</v>
      </c>
      <c r="F123" s="2" t="s">
        <v>188</v>
      </c>
      <c r="G123" s="26" cm="1">
        <f t="array" aca="1" ref="G123" ca="1">COUNTIF(Table5[[#This Row],[September 30, 2025]:[April 7, 2026]],"Yes")/SUMPRODUCT(--(DATEVALUE(Table5[[#Headers],[September 30, 2025]:[April 9, 2026]])&lt;=TODAY()))</f>
        <v>0.05</v>
      </c>
      <c r="H123" t="s">
        <v>190</v>
      </c>
      <c r="I123" t="s">
        <v>190</v>
      </c>
      <c r="J123" t="s">
        <v>190</v>
      </c>
      <c r="K123" t="s">
        <v>190</v>
      </c>
      <c r="L123" t="s">
        <v>190</v>
      </c>
      <c r="M123" t="s">
        <v>190</v>
      </c>
      <c r="N123" t="s">
        <v>190</v>
      </c>
      <c r="O123" t="s">
        <v>190</v>
      </c>
      <c r="P123" t="s">
        <v>190</v>
      </c>
      <c r="Q123" t="s">
        <v>190</v>
      </c>
      <c r="R123" t="s">
        <v>190</v>
      </c>
      <c r="S123" t="s">
        <v>190</v>
      </c>
      <c r="T123" s="151" t="s">
        <v>190</v>
      </c>
      <c r="U123" t="s">
        <v>190</v>
      </c>
      <c r="V123" t="s">
        <v>190</v>
      </c>
      <c r="W123" t="s">
        <v>190</v>
      </c>
      <c r="X123" t="s">
        <v>186</v>
      </c>
      <c r="Y123" t="s">
        <v>190</v>
      </c>
      <c r="Z123" t="s">
        <v>190</v>
      </c>
      <c r="AA123" t="s">
        <v>190</v>
      </c>
      <c r="AB123" t="s">
        <v>190</v>
      </c>
      <c r="AC123" t="s">
        <v>190</v>
      </c>
      <c r="AD123" t="s">
        <v>190</v>
      </c>
      <c r="AE123" t="s">
        <v>190</v>
      </c>
      <c r="AF123" t="s">
        <v>190</v>
      </c>
      <c r="AG123" t="s">
        <v>190</v>
      </c>
      <c r="AH123" t="s">
        <v>190</v>
      </c>
      <c r="AI123" t="s">
        <v>190</v>
      </c>
      <c r="AJ123" t="s">
        <v>190</v>
      </c>
    </row>
    <row r="124" spans="2:36">
      <c r="B124" s="2" t="s">
        <v>507</v>
      </c>
      <c r="C124" s="2" t="s">
        <v>508</v>
      </c>
      <c r="D124" s="2" t="str">
        <f>Table5[[#This Row],[First name]]&amp;" "&amp;Table5[[#This Row],[Last name]]</f>
        <v>Bryce Ector</v>
      </c>
      <c r="E124" s="2" t="str">
        <f>_xlfn.XLOOKUP(Table5[[#This Row],[Full name]],Table26[Name],Table26[Role],"Member",0,1)</f>
        <v>Member</v>
      </c>
      <c r="F124" s="2" t="s">
        <v>188</v>
      </c>
      <c r="G124" s="26" cm="1">
        <f t="array" aca="1" ref="G124" ca="1">COUNTIF(Table5[[#This Row],[September 30, 2025]:[April 7, 2026]],"Yes")/SUMPRODUCT(--(DATEVALUE(Table5[[#Headers],[September 30, 2025]:[April 9, 2026]])&lt;=TODAY()))</f>
        <v>0.05</v>
      </c>
      <c r="H124" t="s">
        <v>190</v>
      </c>
      <c r="I124" t="s">
        <v>186</v>
      </c>
      <c r="J124" t="s">
        <v>190</v>
      </c>
      <c r="K124" t="s">
        <v>190</v>
      </c>
      <c r="L124" t="s">
        <v>190</v>
      </c>
      <c r="M124" t="s">
        <v>190</v>
      </c>
      <c r="N124" t="s">
        <v>190</v>
      </c>
      <c r="O124" t="s">
        <v>190</v>
      </c>
      <c r="P124" t="s">
        <v>190</v>
      </c>
      <c r="Q124" t="s">
        <v>190</v>
      </c>
      <c r="R124" t="s">
        <v>190</v>
      </c>
      <c r="S124" t="s">
        <v>190</v>
      </c>
      <c r="T124" s="151" t="s">
        <v>190</v>
      </c>
      <c r="U124" t="s">
        <v>190</v>
      </c>
      <c r="V124" t="s">
        <v>190</v>
      </c>
      <c r="W124" t="s">
        <v>190</v>
      </c>
      <c r="X124" t="s">
        <v>190</v>
      </c>
      <c r="Y124" t="s">
        <v>190</v>
      </c>
      <c r="Z124" t="s">
        <v>190</v>
      </c>
      <c r="AA124" t="s">
        <v>190</v>
      </c>
      <c r="AB124" t="s">
        <v>190</v>
      </c>
      <c r="AC124" t="s">
        <v>190</v>
      </c>
      <c r="AD124" t="s">
        <v>190</v>
      </c>
      <c r="AE124" t="s">
        <v>190</v>
      </c>
      <c r="AF124" t="s">
        <v>190</v>
      </c>
      <c r="AG124" t="s">
        <v>190</v>
      </c>
      <c r="AH124" t="s">
        <v>190</v>
      </c>
      <c r="AI124" t="s">
        <v>190</v>
      </c>
      <c r="AJ124" t="s">
        <v>190</v>
      </c>
    </row>
    <row r="125" spans="2:36">
      <c r="B125" s="2" t="s">
        <v>509</v>
      </c>
      <c r="C125" s="2" t="s">
        <v>510</v>
      </c>
      <c r="D125" s="2" t="str">
        <f>Table5[[#This Row],[First name]]&amp;" "&amp;Table5[[#This Row],[Last name]]</f>
        <v>Bupa Zhang</v>
      </c>
      <c r="E125" s="2" t="str">
        <f>_xlfn.XLOOKUP(Table5[[#This Row],[Full name]],Table26[Name],Table26[Role],"Member",0,1)</f>
        <v>Member</v>
      </c>
      <c r="F125" s="2" t="s">
        <v>188</v>
      </c>
      <c r="G125" s="26" cm="1">
        <f t="array" aca="1" ref="G125" ca="1">COUNTIF(Table5[[#This Row],[September 30, 2025]:[April 7, 2026]],"Yes")/SUMPRODUCT(--(DATEVALUE(Table5[[#Headers],[September 30, 2025]:[April 9, 2026]])&lt;=TODAY()))</f>
        <v>0.05</v>
      </c>
      <c r="H125" t="s">
        <v>190</v>
      </c>
      <c r="I125" t="s">
        <v>190</v>
      </c>
      <c r="J125" t="s">
        <v>190</v>
      </c>
      <c r="K125" t="s">
        <v>186</v>
      </c>
      <c r="L125" t="s">
        <v>190</v>
      </c>
      <c r="M125" t="s">
        <v>190</v>
      </c>
      <c r="N125" t="s">
        <v>190</v>
      </c>
      <c r="O125" t="s">
        <v>190</v>
      </c>
      <c r="P125" t="s">
        <v>190</v>
      </c>
      <c r="Q125" t="s">
        <v>190</v>
      </c>
      <c r="R125" t="s">
        <v>190</v>
      </c>
      <c r="S125" t="s">
        <v>190</v>
      </c>
      <c r="T125" s="151" t="s">
        <v>190</v>
      </c>
      <c r="U125" t="s">
        <v>190</v>
      </c>
      <c r="V125" t="s">
        <v>190</v>
      </c>
      <c r="W125" t="s">
        <v>190</v>
      </c>
      <c r="X125" t="s">
        <v>190</v>
      </c>
      <c r="Y125" t="s">
        <v>190</v>
      </c>
      <c r="Z125" t="s">
        <v>190</v>
      </c>
      <c r="AA125" t="s">
        <v>190</v>
      </c>
      <c r="AB125" t="s">
        <v>190</v>
      </c>
      <c r="AC125" t="s">
        <v>190</v>
      </c>
      <c r="AD125" t="s">
        <v>190</v>
      </c>
      <c r="AE125" t="s">
        <v>190</v>
      </c>
      <c r="AF125" t="s">
        <v>190</v>
      </c>
      <c r="AG125" t="s">
        <v>190</v>
      </c>
      <c r="AH125" t="s">
        <v>190</v>
      </c>
      <c r="AI125" t="s">
        <v>190</v>
      </c>
      <c r="AJ125" t="s">
        <v>190</v>
      </c>
    </row>
    <row r="126" spans="2:36">
      <c r="B126" s="2" t="s">
        <v>511</v>
      </c>
      <c r="C126" s="2" t="s">
        <v>512</v>
      </c>
      <c r="D126" s="2" t="str">
        <f>Table5[[#This Row],[First name]]&amp;" "&amp;Table5[[#This Row],[Last name]]</f>
        <v>Cameron Tran</v>
      </c>
      <c r="E126" s="2" t="str">
        <f>_xlfn.XLOOKUP(Table5[[#This Row],[Full name]],Table26[Name],Table26[Role],"Member",0,1)</f>
        <v>Member</v>
      </c>
      <c r="F126" s="2" t="s">
        <v>188</v>
      </c>
      <c r="G126" s="26" cm="1">
        <f t="array" aca="1" ref="G126" ca="1">COUNTIF(Table5[[#This Row],[September 30, 2025]:[April 7, 2026]],"Yes")/SUMPRODUCT(--(DATEVALUE(Table5[[#Headers],[September 30, 2025]:[April 9, 2026]])&lt;=TODAY()))</f>
        <v>0</v>
      </c>
      <c r="H126" t="s">
        <v>190</v>
      </c>
      <c r="I126" t="s">
        <v>190</v>
      </c>
      <c r="J126" t="s">
        <v>190</v>
      </c>
      <c r="K126" t="s">
        <v>190</v>
      </c>
      <c r="L126" t="s">
        <v>190</v>
      </c>
      <c r="M126" t="s">
        <v>190</v>
      </c>
      <c r="N126" t="s">
        <v>190</v>
      </c>
      <c r="O126" t="s">
        <v>190</v>
      </c>
      <c r="P126" t="s">
        <v>190</v>
      </c>
      <c r="Q126" t="s">
        <v>190</v>
      </c>
      <c r="R126" t="s">
        <v>190</v>
      </c>
      <c r="S126" t="s">
        <v>190</v>
      </c>
      <c r="T126" s="151" t="s">
        <v>190</v>
      </c>
      <c r="U126" t="s">
        <v>190</v>
      </c>
      <c r="V126" t="s">
        <v>190</v>
      </c>
      <c r="W126" t="s">
        <v>190</v>
      </c>
      <c r="X126" t="s">
        <v>190</v>
      </c>
      <c r="Y126" t="s">
        <v>190</v>
      </c>
      <c r="Z126" t="s">
        <v>190</v>
      </c>
      <c r="AA126" t="s">
        <v>190</v>
      </c>
      <c r="AB126" t="s">
        <v>190</v>
      </c>
      <c r="AC126" t="s">
        <v>190</v>
      </c>
      <c r="AD126" t="s">
        <v>190</v>
      </c>
      <c r="AE126" t="s">
        <v>190</v>
      </c>
      <c r="AF126" t="s">
        <v>190</v>
      </c>
      <c r="AG126" t="s">
        <v>190</v>
      </c>
      <c r="AH126" t="s">
        <v>190</v>
      </c>
      <c r="AI126" t="s">
        <v>190</v>
      </c>
      <c r="AJ126" t="s">
        <v>190</v>
      </c>
    </row>
    <row r="127" spans="2:36">
      <c r="B127" s="2" t="s">
        <v>511</v>
      </c>
      <c r="C127" s="2" t="s">
        <v>513</v>
      </c>
      <c r="D127" s="2" t="str">
        <f>Table5[[#This Row],[First name]]&amp;" "&amp;Table5[[#This Row],[Last name]]</f>
        <v>Cameron Minol</v>
      </c>
      <c r="E127" s="2" t="str">
        <f>_xlfn.XLOOKUP(Table5[[#This Row],[Full name]],Table26[Name],Table26[Role],"Member",0,1)</f>
        <v>Member</v>
      </c>
      <c r="F127" s="2" t="s">
        <v>188</v>
      </c>
      <c r="G127" s="152" cm="1">
        <f t="array" aca="1" ref="G127" ca="1">COUNTIF(Table5[[#This Row],[September 30, 2025]:[April 7, 2026]],"Yes")/SUMPRODUCT(--(DATEVALUE(Table5[[#Headers],[September 30, 2025]:[April 9, 2026]])&lt;=TODAY()))</f>
        <v>0.05</v>
      </c>
      <c r="T127" s="151"/>
      <c r="W127" t="s">
        <v>186</v>
      </c>
      <c r="X127" t="s">
        <v>190</v>
      </c>
      <c r="AA127" t="s">
        <v>190</v>
      </c>
    </row>
    <row r="128" spans="2:36">
      <c r="B128" s="2" t="s">
        <v>514</v>
      </c>
      <c r="C128" s="2" t="s">
        <v>515</v>
      </c>
      <c r="D128" s="2" t="str">
        <f>Table5[[#This Row],[First name]]&amp;" "&amp;Table5[[#This Row],[Last name]]</f>
        <v>Carter Hollingsworth</v>
      </c>
      <c r="E128" s="2" t="str">
        <f>_xlfn.XLOOKUP(Table5[[#This Row],[Full name]],Table26[Name],Table26[Role],"Member",0,1)</f>
        <v>Member</v>
      </c>
      <c r="F128" s="2"/>
      <c r="G128" s="26" cm="1">
        <f t="array" aca="1" ref="G128" ca="1">COUNTIF(Table5[[#This Row],[September 30, 2025]:[April 7, 2026]],"Yes")/SUMPRODUCT(--(DATEVALUE(Table5[[#Headers],[September 30, 2025]:[April 9, 2026]])&lt;=TODAY()))</f>
        <v>0.15</v>
      </c>
      <c r="T128" s="151" t="s">
        <v>186</v>
      </c>
      <c r="U128" t="s">
        <v>186</v>
      </c>
      <c r="V128" t="s">
        <v>186</v>
      </c>
      <c r="X128" t="s">
        <v>190</v>
      </c>
      <c r="AA128" t="s">
        <v>190</v>
      </c>
    </row>
    <row r="129" spans="2:36">
      <c r="B129" s="2" t="s">
        <v>516</v>
      </c>
      <c r="C129" s="2" t="s">
        <v>517</v>
      </c>
      <c r="D129" s="2" t="str">
        <f>Table5[[#This Row],[First name]]&amp;" "&amp;Table5[[#This Row],[Last name]]</f>
        <v>Charlie Kernaghan</v>
      </c>
      <c r="E129" s="2" t="str">
        <f>_xlfn.XLOOKUP(Table5[[#This Row],[Full name]],Table26[Name],Table26[Role],"Member",0,1)</f>
        <v>Member</v>
      </c>
      <c r="F129" s="2" t="s">
        <v>188</v>
      </c>
      <c r="G129" s="26" cm="1">
        <f t="array" aca="1" ref="G129" ca="1">COUNTIF(Table5[[#This Row],[September 30, 2025]:[April 7, 2026]],"Yes")/SUMPRODUCT(--(DATEVALUE(Table5[[#Headers],[September 30, 2025]:[April 9, 2026]])&lt;=TODAY()))</f>
        <v>0.2</v>
      </c>
      <c r="H129" t="s">
        <v>190</v>
      </c>
      <c r="I129" t="s">
        <v>186</v>
      </c>
      <c r="J129" t="s">
        <v>190</v>
      </c>
      <c r="K129" t="s">
        <v>186</v>
      </c>
      <c r="L129" t="s">
        <v>190</v>
      </c>
      <c r="M129" t="s">
        <v>190</v>
      </c>
      <c r="N129" t="s">
        <v>186</v>
      </c>
      <c r="O129" t="s">
        <v>190</v>
      </c>
      <c r="P129" t="s">
        <v>190</v>
      </c>
      <c r="Q129" t="s">
        <v>190</v>
      </c>
      <c r="R129" t="s">
        <v>186</v>
      </c>
      <c r="S129" t="s">
        <v>190</v>
      </c>
      <c r="T129" s="151" t="s">
        <v>190</v>
      </c>
      <c r="U129" t="s">
        <v>190</v>
      </c>
      <c r="V129" t="s">
        <v>190</v>
      </c>
      <c r="W129" t="s">
        <v>190</v>
      </c>
      <c r="X129" t="s">
        <v>190</v>
      </c>
      <c r="Y129" t="s">
        <v>190</v>
      </c>
      <c r="Z129" t="s">
        <v>190</v>
      </c>
      <c r="AA129" t="s">
        <v>190</v>
      </c>
      <c r="AB129" t="s">
        <v>190</v>
      </c>
      <c r="AC129" t="s">
        <v>190</v>
      </c>
      <c r="AD129" t="s">
        <v>190</v>
      </c>
      <c r="AE129" t="s">
        <v>190</v>
      </c>
      <c r="AF129" t="s">
        <v>190</v>
      </c>
      <c r="AG129" t="s">
        <v>190</v>
      </c>
      <c r="AH129" t="s">
        <v>190</v>
      </c>
      <c r="AI129" t="s">
        <v>190</v>
      </c>
      <c r="AJ129" t="s">
        <v>190</v>
      </c>
    </row>
    <row r="130" spans="2:36">
      <c r="B130" s="2" t="s">
        <v>516</v>
      </c>
      <c r="C130" s="2" t="s">
        <v>518</v>
      </c>
      <c r="D130" s="2" t="str">
        <f>Table5[[#This Row],[First name]]&amp;" "&amp;Table5[[#This Row],[Last name]]</f>
        <v>Charlie Fry</v>
      </c>
      <c r="E130" s="2" t="str">
        <f>_xlfn.XLOOKUP(Table5[[#This Row],[Full name]],Table26[Name],Table26[Role],"Member",0,1)</f>
        <v>Member</v>
      </c>
      <c r="F130" s="2" t="s">
        <v>188</v>
      </c>
      <c r="G130" s="26" cm="1">
        <f t="array" aca="1" ref="G130" ca="1">COUNTIF(Table5[[#This Row],[September 30, 2025]:[April 7, 2026]],"Yes")/SUMPRODUCT(--(DATEVALUE(Table5[[#Headers],[September 30, 2025]:[April 9, 2026]])&lt;=TODAY()))</f>
        <v>0.05</v>
      </c>
      <c r="H130" t="s">
        <v>190</v>
      </c>
      <c r="I130" t="s">
        <v>186</v>
      </c>
      <c r="J130" t="s">
        <v>190</v>
      </c>
      <c r="K130" t="s">
        <v>190</v>
      </c>
      <c r="L130" t="s">
        <v>190</v>
      </c>
      <c r="M130" t="s">
        <v>190</v>
      </c>
      <c r="N130" t="s">
        <v>190</v>
      </c>
      <c r="O130" t="s">
        <v>190</v>
      </c>
      <c r="P130" t="s">
        <v>190</v>
      </c>
      <c r="Q130" t="s">
        <v>190</v>
      </c>
      <c r="R130" t="s">
        <v>190</v>
      </c>
      <c r="S130" t="s">
        <v>190</v>
      </c>
      <c r="T130" s="151" t="s">
        <v>190</v>
      </c>
      <c r="U130" t="s">
        <v>190</v>
      </c>
      <c r="V130" t="s">
        <v>190</v>
      </c>
      <c r="W130" t="s">
        <v>190</v>
      </c>
      <c r="X130" t="s">
        <v>190</v>
      </c>
      <c r="Y130" t="s">
        <v>190</v>
      </c>
      <c r="Z130" t="s">
        <v>190</v>
      </c>
      <c r="AA130" t="s">
        <v>190</v>
      </c>
      <c r="AB130" t="s">
        <v>190</v>
      </c>
      <c r="AC130" t="s">
        <v>190</v>
      </c>
      <c r="AD130" t="s">
        <v>190</v>
      </c>
      <c r="AE130" t="s">
        <v>190</v>
      </c>
      <c r="AF130" t="s">
        <v>190</v>
      </c>
      <c r="AG130" t="s">
        <v>190</v>
      </c>
      <c r="AH130" t="s">
        <v>190</v>
      </c>
      <c r="AI130" t="s">
        <v>190</v>
      </c>
      <c r="AJ130" t="s">
        <v>190</v>
      </c>
    </row>
    <row r="131" spans="2:36">
      <c r="B131" s="2" t="s">
        <v>519</v>
      </c>
      <c r="C131" s="2" t="s">
        <v>342</v>
      </c>
      <c r="D131" s="2" t="str">
        <f>Table5[[#This Row],[First name]]&amp;" "&amp;Table5[[#This Row],[Last name]]</f>
        <v>Chris Kim</v>
      </c>
      <c r="E131" s="2" t="str">
        <f>_xlfn.XLOOKUP(Table5[[#This Row],[Full name]],Table26[Name],Table26[Role],"Member",0,1)</f>
        <v>Member</v>
      </c>
      <c r="F131" s="2" t="s">
        <v>188</v>
      </c>
      <c r="G131" s="26" cm="1">
        <f t="array" aca="1" ref="G131" ca="1">COUNTIF(Table5[[#This Row],[September 30, 2025]:[April 7, 2026]],"Yes")/SUMPRODUCT(--(DATEVALUE(Table5[[#Headers],[September 30, 2025]:[April 9, 2026]])&lt;=TODAY()))</f>
        <v>0.4</v>
      </c>
      <c r="H131" t="s">
        <v>190</v>
      </c>
      <c r="I131" t="s">
        <v>190</v>
      </c>
      <c r="J131" t="s">
        <v>186</v>
      </c>
      <c r="K131" t="s">
        <v>190</v>
      </c>
      <c r="L131" t="s">
        <v>186</v>
      </c>
      <c r="M131" t="s">
        <v>186</v>
      </c>
      <c r="N131" t="s">
        <v>186</v>
      </c>
      <c r="O131" t="s">
        <v>190</v>
      </c>
      <c r="P131" t="s">
        <v>186</v>
      </c>
      <c r="Q131" t="s">
        <v>190</v>
      </c>
      <c r="R131" t="s">
        <v>190</v>
      </c>
      <c r="S131" t="s">
        <v>186</v>
      </c>
      <c r="T131" s="151" t="s">
        <v>186</v>
      </c>
      <c r="U131" t="s">
        <v>190</v>
      </c>
      <c r="V131" t="s">
        <v>190</v>
      </c>
      <c r="W131" t="s">
        <v>190</v>
      </c>
      <c r="X131" t="s">
        <v>186</v>
      </c>
      <c r="Y131" t="s">
        <v>190</v>
      </c>
      <c r="Z131" t="s">
        <v>190</v>
      </c>
      <c r="AA131" t="s">
        <v>190</v>
      </c>
      <c r="AB131" t="s">
        <v>190</v>
      </c>
      <c r="AC131" t="s">
        <v>190</v>
      </c>
      <c r="AD131" t="s">
        <v>190</v>
      </c>
      <c r="AE131" t="s">
        <v>190</v>
      </c>
      <c r="AF131" t="s">
        <v>190</v>
      </c>
      <c r="AG131" t="s">
        <v>190</v>
      </c>
      <c r="AH131" t="s">
        <v>190</v>
      </c>
      <c r="AI131" t="s">
        <v>190</v>
      </c>
      <c r="AJ131" t="s">
        <v>190</v>
      </c>
    </row>
    <row r="132" spans="2:36">
      <c r="B132" s="2" t="s">
        <v>520</v>
      </c>
      <c r="C132" s="2" t="s">
        <v>521</v>
      </c>
      <c r="D132" s="2" t="str">
        <f>Table5[[#This Row],[First name]]&amp;" "&amp;Table5[[#This Row],[Last name]]</f>
        <v>Christopher Grieve</v>
      </c>
      <c r="E132" s="2" t="str">
        <f>_xlfn.XLOOKUP(Table5[[#This Row],[Full name]],Table26[Name],Table26[Role],"Member",0,1)</f>
        <v>Member</v>
      </c>
      <c r="F132" s="2" t="s">
        <v>188</v>
      </c>
      <c r="G132" s="26" cm="1">
        <f t="array" aca="1" ref="G132" ca="1">COUNTIF(Table5[[#This Row],[September 30, 2025]:[April 7, 2026]],"Yes")/SUMPRODUCT(--(DATEVALUE(Table5[[#Headers],[September 30, 2025]:[April 9, 2026]])&lt;=TODAY()))</f>
        <v>0</v>
      </c>
      <c r="H132" t="s">
        <v>190</v>
      </c>
      <c r="I132" t="s">
        <v>190</v>
      </c>
      <c r="J132" t="s">
        <v>190</v>
      </c>
      <c r="K132" t="s">
        <v>190</v>
      </c>
      <c r="L132" t="s">
        <v>190</v>
      </c>
      <c r="M132" t="s">
        <v>190</v>
      </c>
      <c r="N132" t="s">
        <v>190</v>
      </c>
      <c r="O132" t="s">
        <v>190</v>
      </c>
      <c r="P132" t="s">
        <v>190</v>
      </c>
      <c r="Q132" t="s">
        <v>190</v>
      </c>
      <c r="R132" t="s">
        <v>190</v>
      </c>
      <c r="S132" t="s">
        <v>190</v>
      </c>
      <c r="T132" s="151" t="s">
        <v>190</v>
      </c>
      <c r="U132" t="s">
        <v>190</v>
      </c>
      <c r="V132" t="s">
        <v>190</v>
      </c>
      <c r="W132" t="s">
        <v>190</v>
      </c>
      <c r="X132" t="s">
        <v>190</v>
      </c>
      <c r="Y132" t="s">
        <v>190</v>
      </c>
      <c r="Z132" t="s">
        <v>190</v>
      </c>
      <c r="AA132" t="s">
        <v>190</v>
      </c>
      <c r="AB132" t="s">
        <v>190</v>
      </c>
      <c r="AC132" t="s">
        <v>190</v>
      </c>
      <c r="AD132" t="s">
        <v>190</v>
      </c>
      <c r="AE132" t="s">
        <v>190</v>
      </c>
      <c r="AF132" t="s">
        <v>190</v>
      </c>
      <c r="AG132" t="s">
        <v>190</v>
      </c>
      <c r="AH132" t="s">
        <v>190</v>
      </c>
      <c r="AI132" t="s">
        <v>190</v>
      </c>
      <c r="AJ132" t="s">
        <v>190</v>
      </c>
    </row>
    <row r="133" spans="2:36">
      <c r="B133" s="2" t="s">
        <v>522</v>
      </c>
      <c r="C133" s="2" t="s">
        <v>304</v>
      </c>
      <c r="D133" s="2" t="str">
        <f>Table5[[#This Row],[First name]]&amp;" "&amp;Table5[[#This Row],[Last name]]</f>
        <v>Clara Chen</v>
      </c>
      <c r="E133" s="2" t="str">
        <f>_xlfn.XLOOKUP(Table5[[#This Row],[Full name]],Table26[Name],Table26[Role],"Member",0,1)</f>
        <v>Member</v>
      </c>
      <c r="F133" s="2" t="s">
        <v>188</v>
      </c>
      <c r="G133" s="26" cm="1">
        <f t="array" aca="1" ref="G133" ca="1">COUNTIF(Table5[[#This Row],[September 30, 2025]:[April 7, 2026]],"Yes")/SUMPRODUCT(--(DATEVALUE(Table5[[#Headers],[September 30, 2025]:[April 9, 2026]])&lt;=TODAY()))</f>
        <v>0.15</v>
      </c>
      <c r="N133" t="s">
        <v>186</v>
      </c>
      <c r="P133" t="s">
        <v>190</v>
      </c>
      <c r="Q133" t="s">
        <v>190</v>
      </c>
      <c r="R133" t="s">
        <v>190</v>
      </c>
      <c r="S133" t="s">
        <v>190</v>
      </c>
      <c r="T133" s="151" t="s">
        <v>190</v>
      </c>
      <c r="U133" t="s">
        <v>190</v>
      </c>
      <c r="V133" t="s">
        <v>186</v>
      </c>
      <c r="W133" t="s">
        <v>190</v>
      </c>
      <c r="X133" t="s">
        <v>190</v>
      </c>
      <c r="Y133" t="s">
        <v>186</v>
      </c>
      <c r="Z133" t="s">
        <v>190</v>
      </c>
      <c r="AA133" t="s">
        <v>190</v>
      </c>
      <c r="AB133" t="s">
        <v>190</v>
      </c>
      <c r="AC133" t="s">
        <v>190</v>
      </c>
      <c r="AD133" t="s">
        <v>190</v>
      </c>
      <c r="AE133" t="s">
        <v>190</v>
      </c>
      <c r="AF133" t="s">
        <v>190</v>
      </c>
      <c r="AG133" t="s">
        <v>190</v>
      </c>
      <c r="AH133" t="s">
        <v>190</v>
      </c>
      <c r="AI133" t="s">
        <v>190</v>
      </c>
      <c r="AJ133" t="s">
        <v>190</v>
      </c>
    </row>
    <row r="134" spans="2:36">
      <c r="B134" s="2" t="s">
        <v>523</v>
      </c>
      <c r="C134" s="2" t="s">
        <v>524</v>
      </c>
      <c r="D134" s="2" t="str">
        <f>Table5[[#This Row],[First name]]&amp;" "&amp;Table5[[#This Row],[Last name]]</f>
        <v>Connor Hung</v>
      </c>
      <c r="E134" s="2" t="str">
        <f>_xlfn.XLOOKUP(Table5[[#This Row],[Full name]],Table26[Name],Table26[Role],"Member",0,1)</f>
        <v>Member</v>
      </c>
      <c r="F134" s="2" t="s">
        <v>188</v>
      </c>
      <c r="G134" s="26" cm="1">
        <f t="array" aca="1" ref="G134" ca="1">COUNTIF(Table5[[#This Row],[September 30, 2025]:[April 7, 2026]],"Yes")/SUMPRODUCT(--(DATEVALUE(Table5[[#Headers],[September 30, 2025]:[April 9, 2026]])&lt;=TODAY()))</f>
        <v>0</v>
      </c>
      <c r="H134" t="s">
        <v>190</v>
      </c>
      <c r="I134" t="s">
        <v>190</v>
      </c>
      <c r="J134" t="s">
        <v>190</v>
      </c>
      <c r="K134" t="s">
        <v>190</v>
      </c>
      <c r="L134" t="s">
        <v>190</v>
      </c>
      <c r="M134" t="s">
        <v>190</v>
      </c>
      <c r="N134" t="s">
        <v>190</v>
      </c>
      <c r="O134" t="s">
        <v>190</v>
      </c>
      <c r="P134" t="s">
        <v>190</v>
      </c>
      <c r="Q134" t="s">
        <v>190</v>
      </c>
      <c r="R134" t="s">
        <v>190</v>
      </c>
      <c r="S134" t="s">
        <v>190</v>
      </c>
      <c r="T134" s="151" t="s">
        <v>190</v>
      </c>
      <c r="U134" t="s">
        <v>190</v>
      </c>
      <c r="V134" t="s">
        <v>190</v>
      </c>
      <c r="W134" t="s">
        <v>190</v>
      </c>
      <c r="X134" t="s">
        <v>190</v>
      </c>
      <c r="Y134" t="s">
        <v>190</v>
      </c>
      <c r="Z134" t="s">
        <v>190</v>
      </c>
      <c r="AA134" t="s">
        <v>190</v>
      </c>
      <c r="AB134" t="s">
        <v>190</v>
      </c>
      <c r="AC134" t="s">
        <v>190</v>
      </c>
      <c r="AD134" t="s">
        <v>190</v>
      </c>
      <c r="AE134" t="s">
        <v>190</v>
      </c>
      <c r="AF134" t="s">
        <v>190</v>
      </c>
      <c r="AG134" t="s">
        <v>190</v>
      </c>
      <c r="AH134" t="s">
        <v>190</v>
      </c>
      <c r="AI134" t="s">
        <v>190</v>
      </c>
      <c r="AJ134" t="s">
        <v>190</v>
      </c>
    </row>
    <row r="135" spans="2:36">
      <c r="B135" s="2" t="s">
        <v>525</v>
      </c>
      <c r="C135" s="2" t="s">
        <v>526</v>
      </c>
      <c r="D135" s="2" t="str">
        <f>Table5[[#This Row],[First name]]&amp;" "&amp;Table5[[#This Row],[Last name]]</f>
        <v>Curtis Elve</v>
      </c>
      <c r="E135" s="2" t="str">
        <f>_xlfn.XLOOKUP(Table5[[#This Row],[Full name]],Table26[Name],Table26[Role],"Member",0,1)</f>
        <v>Member</v>
      </c>
      <c r="F135" s="2" t="s">
        <v>188</v>
      </c>
      <c r="G135" s="26" cm="1">
        <f t="array" aca="1" ref="G135" ca="1">COUNTIF(Table5[[#This Row],[September 30, 2025]:[April 7, 2026]],"Yes")/SUMPRODUCT(--(DATEVALUE(Table5[[#Headers],[September 30, 2025]:[April 9, 2026]])&lt;=TODAY()))</f>
        <v>0.35</v>
      </c>
      <c r="S135" t="s">
        <v>186</v>
      </c>
      <c r="T135" s="151" t="s">
        <v>190</v>
      </c>
      <c r="V135" t="s">
        <v>186</v>
      </c>
      <c r="W135" t="s">
        <v>186</v>
      </c>
      <c r="X135" t="s">
        <v>186</v>
      </c>
      <c r="Y135" t="s">
        <v>186</v>
      </c>
      <c r="Z135" t="s">
        <v>186</v>
      </c>
      <c r="AA135" t="s">
        <v>186</v>
      </c>
      <c r="AJ135" t="s">
        <v>186</v>
      </c>
    </row>
    <row r="136" spans="2:36">
      <c r="B136" s="2" t="s">
        <v>527</v>
      </c>
      <c r="C136" s="2" t="s">
        <v>528</v>
      </c>
      <c r="D136" s="2" t="str">
        <f>Table5[[#This Row],[First name]]&amp;" "&amp;Table5[[#This Row],[Last name]]</f>
        <v>Dami Oyefeso</v>
      </c>
      <c r="E136" s="2" t="str">
        <f>_xlfn.XLOOKUP(Table5[[#This Row],[Full name]],Table26[Name],Table26[Role],"Member",0,1)</f>
        <v>Member</v>
      </c>
      <c r="F136" s="2" t="s">
        <v>188</v>
      </c>
      <c r="G136" s="26" cm="1">
        <f t="array" aca="1" ref="G136" ca="1">COUNTIF(Table5[[#This Row],[September 30, 2025]:[April 7, 2026]],"Yes")/SUMPRODUCT(--(DATEVALUE(Table5[[#Headers],[September 30, 2025]:[April 9, 2026]])&lt;=TODAY()))</f>
        <v>0.1</v>
      </c>
      <c r="H136" t="s">
        <v>190</v>
      </c>
      <c r="I136" t="s">
        <v>186</v>
      </c>
      <c r="J136" t="s">
        <v>190</v>
      </c>
      <c r="K136" t="s">
        <v>190</v>
      </c>
      <c r="L136" t="s">
        <v>190</v>
      </c>
      <c r="M136" t="s">
        <v>186</v>
      </c>
      <c r="N136" t="s">
        <v>190</v>
      </c>
      <c r="O136" t="s">
        <v>190</v>
      </c>
      <c r="P136" t="s">
        <v>190</v>
      </c>
      <c r="Q136" t="s">
        <v>190</v>
      </c>
      <c r="R136" t="s">
        <v>190</v>
      </c>
      <c r="S136" t="s">
        <v>190</v>
      </c>
      <c r="T136" s="151" t="s">
        <v>190</v>
      </c>
      <c r="U136" t="s">
        <v>190</v>
      </c>
      <c r="V136" t="s">
        <v>190</v>
      </c>
      <c r="W136" t="s">
        <v>190</v>
      </c>
      <c r="X136" t="s">
        <v>190</v>
      </c>
      <c r="Y136" t="s">
        <v>190</v>
      </c>
      <c r="Z136" t="s">
        <v>190</v>
      </c>
      <c r="AA136" t="s">
        <v>190</v>
      </c>
      <c r="AB136" t="s">
        <v>190</v>
      </c>
      <c r="AC136" t="s">
        <v>190</v>
      </c>
      <c r="AD136" t="s">
        <v>190</v>
      </c>
      <c r="AE136" t="s">
        <v>190</v>
      </c>
      <c r="AF136" t="s">
        <v>190</v>
      </c>
      <c r="AG136" t="s">
        <v>190</v>
      </c>
      <c r="AH136" t="s">
        <v>190</v>
      </c>
      <c r="AI136" t="s">
        <v>190</v>
      </c>
      <c r="AJ136" t="s">
        <v>190</v>
      </c>
    </row>
    <row r="137" spans="2:36">
      <c r="B137" s="2" t="s">
        <v>529</v>
      </c>
      <c r="C137" s="2" t="s">
        <v>530</v>
      </c>
      <c r="D137" s="2" t="str">
        <f>Table5[[#This Row],[First name]]&amp;" "&amp;Table5[[#This Row],[Last name]]</f>
        <v xml:space="preserve">Dan De Leary </v>
      </c>
      <c r="E137" s="2" t="str">
        <f>_xlfn.XLOOKUP(Table5[[#This Row],[Full name]],Table26[Name],Table26[Role],"Member",0,1)</f>
        <v>Member</v>
      </c>
      <c r="F137" s="2" t="s">
        <v>188</v>
      </c>
      <c r="G137" s="26" cm="1">
        <f t="array" aca="1" ref="G137" ca="1">COUNTIF(Table5[[#This Row],[September 30, 2025]:[April 7, 2026]],"Yes")/SUMPRODUCT(--(DATEVALUE(Table5[[#Headers],[September 30, 2025]:[April 9, 2026]])&lt;=TODAY()))</f>
        <v>0.9</v>
      </c>
      <c r="H137" t="s">
        <v>190</v>
      </c>
      <c r="I137" t="s">
        <v>190</v>
      </c>
      <c r="J137" t="s">
        <v>186</v>
      </c>
      <c r="K137" t="s">
        <v>186</v>
      </c>
      <c r="L137" t="s">
        <v>186</v>
      </c>
      <c r="M137" t="s">
        <v>186</v>
      </c>
      <c r="N137" t="s">
        <v>186</v>
      </c>
      <c r="O137" t="s">
        <v>186</v>
      </c>
      <c r="P137" t="s">
        <v>186</v>
      </c>
      <c r="Q137" t="s">
        <v>186</v>
      </c>
      <c r="R137" t="s">
        <v>186</v>
      </c>
      <c r="S137" t="s">
        <v>186</v>
      </c>
      <c r="T137" s="151" t="s">
        <v>186</v>
      </c>
      <c r="U137" t="s">
        <v>186</v>
      </c>
      <c r="V137" t="s">
        <v>186</v>
      </c>
      <c r="W137" t="s">
        <v>186</v>
      </c>
      <c r="X137" t="s">
        <v>186</v>
      </c>
      <c r="Y137" t="s">
        <v>186</v>
      </c>
      <c r="Z137" t="s">
        <v>186</v>
      </c>
      <c r="AA137" t="s">
        <v>186</v>
      </c>
      <c r="AB137" t="s">
        <v>190</v>
      </c>
      <c r="AC137" t="s">
        <v>190</v>
      </c>
      <c r="AD137" t="s">
        <v>190</v>
      </c>
      <c r="AE137" t="s">
        <v>190</v>
      </c>
      <c r="AF137" t="s">
        <v>190</v>
      </c>
      <c r="AG137" t="s">
        <v>190</v>
      </c>
      <c r="AH137" t="s">
        <v>190</v>
      </c>
      <c r="AI137" t="s">
        <v>190</v>
      </c>
      <c r="AJ137" t="s">
        <v>190</v>
      </c>
    </row>
    <row r="138" spans="2:36">
      <c r="B138" s="2" t="s">
        <v>529</v>
      </c>
      <c r="C138" s="2" t="s">
        <v>531</v>
      </c>
      <c r="D138" s="2" t="str">
        <f>Table5[[#This Row],[First name]]&amp;" "&amp;Table5[[#This Row],[Last name]]</f>
        <v>Dan Qiai</v>
      </c>
      <c r="E138" s="2" t="str">
        <f>_xlfn.XLOOKUP(Table5[[#This Row],[Full name]],Table26[Name],Table26[Role],"Member",0,1)</f>
        <v>Member</v>
      </c>
      <c r="F138" s="2" t="s">
        <v>188</v>
      </c>
      <c r="G138" s="26" cm="1">
        <f t="array" aca="1" ref="G138" ca="1">COUNTIF(Table5[[#This Row],[September 30, 2025]:[April 7, 2026]],"Yes")/SUMPRODUCT(--(DATEVALUE(Table5[[#Headers],[September 30, 2025]:[April 9, 2026]])&lt;=TODAY()))</f>
        <v>0</v>
      </c>
      <c r="H138" t="s">
        <v>190</v>
      </c>
      <c r="I138" t="s">
        <v>190</v>
      </c>
      <c r="J138" t="s">
        <v>190</v>
      </c>
      <c r="K138" t="s">
        <v>190</v>
      </c>
      <c r="L138" t="s">
        <v>190</v>
      </c>
      <c r="M138" t="s">
        <v>190</v>
      </c>
      <c r="N138" t="s">
        <v>190</v>
      </c>
      <c r="O138" t="s">
        <v>190</v>
      </c>
      <c r="P138" t="s">
        <v>190</v>
      </c>
      <c r="Q138" t="s">
        <v>190</v>
      </c>
      <c r="R138" t="s">
        <v>190</v>
      </c>
      <c r="S138" t="s">
        <v>190</v>
      </c>
      <c r="T138" s="151" t="s">
        <v>190</v>
      </c>
      <c r="U138" t="s">
        <v>190</v>
      </c>
      <c r="V138" t="s">
        <v>190</v>
      </c>
      <c r="W138" t="s">
        <v>190</v>
      </c>
      <c r="X138" t="s">
        <v>190</v>
      </c>
      <c r="Y138" t="s">
        <v>190</v>
      </c>
      <c r="Z138" t="s">
        <v>190</v>
      </c>
      <c r="AA138" t="s">
        <v>190</v>
      </c>
      <c r="AB138" t="s">
        <v>190</v>
      </c>
      <c r="AC138" t="s">
        <v>190</v>
      </c>
      <c r="AD138" t="s">
        <v>190</v>
      </c>
      <c r="AE138" t="s">
        <v>190</v>
      </c>
      <c r="AF138" t="s">
        <v>190</v>
      </c>
      <c r="AG138" t="s">
        <v>190</v>
      </c>
      <c r="AH138" t="s">
        <v>190</v>
      </c>
      <c r="AI138" t="s">
        <v>190</v>
      </c>
      <c r="AJ138" t="s">
        <v>190</v>
      </c>
    </row>
    <row r="139" spans="2:36">
      <c r="B139" s="2" t="s">
        <v>529</v>
      </c>
      <c r="C139" s="11" t="s">
        <v>532</v>
      </c>
      <c r="D139" s="2" t="str">
        <f>Table5[[#This Row],[First name]]&amp;" "&amp;Table5[[#This Row],[Last name]]</f>
        <v>Dan Qiao</v>
      </c>
      <c r="E139" s="2" t="str">
        <f>_xlfn.XLOOKUP(Table5[[#This Row],[Full name]],Table26[Name],Table26[Role],"Member",0,1)</f>
        <v>Member</v>
      </c>
      <c r="F139" s="2" t="s">
        <v>188</v>
      </c>
      <c r="G139" s="26" cm="1">
        <f t="array" aca="1" ref="G139" ca="1">COUNTIF(Table5[[#This Row],[September 30, 2025]:[April 7, 2026]],"Yes")/SUMPRODUCT(--(DATEVALUE(Table5[[#Headers],[September 30, 2025]:[April 9, 2026]])&lt;=TODAY()))</f>
        <v>0.05</v>
      </c>
      <c r="H139" t="s">
        <v>190</v>
      </c>
      <c r="I139" t="s">
        <v>190</v>
      </c>
      <c r="J139" t="s">
        <v>186</v>
      </c>
      <c r="K139" t="s">
        <v>190</v>
      </c>
      <c r="L139" t="s">
        <v>190</v>
      </c>
      <c r="M139" t="s">
        <v>190</v>
      </c>
      <c r="N139" t="s">
        <v>190</v>
      </c>
      <c r="O139" t="s">
        <v>190</v>
      </c>
      <c r="P139" t="s">
        <v>190</v>
      </c>
      <c r="Q139" t="s">
        <v>190</v>
      </c>
      <c r="R139" t="s">
        <v>190</v>
      </c>
      <c r="S139" t="s">
        <v>190</v>
      </c>
      <c r="T139" s="151" t="s">
        <v>190</v>
      </c>
      <c r="U139" t="s">
        <v>190</v>
      </c>
      <c r="V139" t="s">
        <v>190</v>
      </c>
      <c r="W139" t="s">
        <v>190</v>
      </c>
      <c r="X139" t="s">
        <v>190</v>
      </c>
      <c r="Y139" t="s">
        <v>190</v>
      </c>
      <c r="Z139" t="s">
        <v>190</v>
      </c>
      <c r="AA139" t="s">
        <v>190</v>
      </c>
      <c r="AB139" t="s">
        <v>190</v>
      </c>
      <c r="AC139" t="s">
        <v>190</v>
      </c>
      <c r="AD139" t="s">
        <v>190</v>
      </c>
      <c r="AE139" t="s">
        <v>190</v>
      </c>
      <c r="AF139" t="s">
        <v>190</v>
      </c>
      <c r="AG139" t="s">
        <v>190</v>
      </c>
      <c r="AH139" t="s">
        <v>190</v>
      </c>
      <c r="AI139" t="s">
        <v>190</v>
      </c>
      <c r="AJ139" t="s">
        <v>190</v>
      </c>
    </row>
    <row r="140" spans="2:36">
      <c r="B140" s="2" t="s">
        <v>362</v>
      </c>
      <c r="C140" s="2" t="s">
        <v>450</v>
      </c>
      <c r="D140" s="2" t="str">
        <f>Table5[[#This Row],[First name]]&amp;" "&amp;Table5[[#This Row],[Last name]]</f>
        <v>Daniel Li</v>
      </c>
      <c r="E140" s="2" t="str">
        <f>_xlfn.XLOOKUP(Table5[[#This Row],[Full name]],Table26[Name],Table26[Role],"Member",0,1)</f>
        <v>Member</v>
      </c>
      <c r="F140" s="2" t="s">
        <v>188</v>
      </c>
      <c r="G140" s="26" cm="1">
        <f t="array" aca="1" ref="G140" ca="1">COUNTIF(Table5[[#This Row],[September 30, 2025]:[April 7, 2026]],"Yes")/SUMPRODUCT(--(DATEVALUE(Table5[[#Headers],[September 30, 2025]:[April 9, 2026]])&lt;=TODAY()))</f>
        <v>0.85</v>
      </c>
      <c r="H140" t="s">
        <v>186</v>
      </c>
      <c r="I140" t="s">
        <v>186</v>
      </c>
      <c r="J140" t="s">
        <v>186</v>
      </c>
      <c r="K140" t="s">
        <v>186</v>
      </c>
      <c r="L140" t="s">
        <v>186</v>
      </c>
      <c r="M140" t="s">
        <v>186</v>
      </c>
      <c r="N140" t="s">
        <v>190</v>
      </c>
      <c r="O140" t="s">
        <v>186</v>
      </c>
      <c r="P140" t="s">
        <v>186</v>
      </c>
      <c r="Q140" t="s">
        <v>186</v>
      </c>
      <c r="R140" t="s">
        <v>186</v>
      </c>
      <c r="S140" t="s">
        <v>186</v>
      </c>
      <c r="T140" s="151" t="s">
        <v>186</v>
      </c>
      <c r="U140" t="s">
        <v>186</v>
      </c>
      <c r="V140" t="s">
        <v>190</v>
      </c>
      <c r="W140" t="s">
        <v>186</v>
      </c>
      <c r="X140" t="s">
        <v>186</v>
      </c>
      <c r="Y140" t="s">
        <v>186</v>
      </c>
      <c r="Z140" t="s">
        <v>186</v>
      </c>
      <c r="AA140" t="s">
        <v>190</v>
      </c>
      <c r="AB140" t="s">
        <v>190</v>
      </c>
      <c r="AC140" t="s">
        <v>190</v>
      </c>
      <c r="AD140" t="s">
        <v>190</v>
      </c>
      <c r="AE140" t="s">
        <v>190</v>
      </c>
      <c r="AF140" t="s">
        <v>190</v>
      </c>
      <c r="AG140" t="s">
        <v>190</v>
      </c>
      <c r="AH140" t="s">
        <v>190</v>
      </c>
      <c r="AI140" t="s">
        <v>190</v>
      </c>
      <c r="AJ140" t="s">
        <v>190</v>
      </c>
    </row>
    <row r="141" spans="2:36">
      <c r="B141" s="2" t="s">
        <v>362</v>
      </c>
      <c r="C141" s="2" t="s">
        <v>533</v>
      </c>
      <c r="D141" s="2" t="str">
        <f>Table5[[#This Row],[First name]]&amp;" "&amp;Table5[[#This Row],[Last name]]</f>
        <v>Daniel Musoni</v>
      </c>
      <c r="E141" s="2" t="str">
        <f>_xlfn.XLOOKUP(Table5[[#This Row],[Full name]],Table26[Name],Table26[Role],"Member",0,1)</f>
        <v>Member</v>
      </c>
      <c r="F141" s="2" t="s">
        <v>188</v>
      </c>
      <c r="G141" s="26" cm="1">
        <f t="array" aca="1" ref="G141" ca="1">COUNTIF(Table5[[#This Row],[September 30, 2025]:[April 7, 2026]],"Yes")/SUMPRODUCT(--(DATEVALUE(Table5[[#Headers],[September 30, 2025]:[April 9, 2026]])&lt;=TODAY()))</f>
        <v>0.5</v>
      </c>
      <c r="H141" t="s">
        <v>186</v>
      </c>
      <c r="I141" t="s">
        <v>186</v>
      </c>
      <c r="J141" t="s">
        <v>186</v>
      </c>
      <c r="K141" t="s">
        <v>186</v>
      </c>
      <c r="L141" t="s">
        <v>190</v>
      </c>
      <c r="M141" t="s">
        <v>186</v>
      </c>
      <c r="N141" t="s">
        <v>186</v>
      </c>
      <c r="O141" t="s">
        <v>190</v>
      </c>
      <c r="P141" t="s">
        <v>190</v>
      </c>
      <c r="Q141" t="s">
        <v>190</v>
      </c>
      <c r="R141" t="s">
        <v>186</v>
      </c>
      <c r="S141" t="s">
        <v>190</v>
      </c>
      <c r="T141" s="151" t="s">
        <v>190</v>
      </c>
      <c r="U141" t="s">
        <v>186</v>
      </c>
      <c r="V141" t="s">
        <v>186</v>
      </c>
      <c r="W141" t="s">
        <v>190</v>
      </c>
      <c r="X141" t="s">
        <v>190</v>
      </c>
      <c r="Y141" t="s">
        <v>190</v>
      </c>
      <c r="Z141" t="s">
        <v>186</v>
      </c>
      <c r="AA141" t="s">
        <v>190</v>
      </c>
      <c r="AB141" t="s">
        <v>190</v>
      </c>
      <c r="AC141" t="s">
        <v>190</v>
      </c>
      <c r="AD141" t="s">
        <v>190</v>
      </c>
      <c r="AE141" t="s">
        <v>190</v>
      </c>
      <c r="AF141" t="s">
        <v>190</v>
      </c>
      <c r="AG141" t="s">
        <v>190</v>
      </c>
      <c r="AH141" t="s">
        <v>190</v>
      </c>
      <c r="AI141" t="s">
        <v>190</v>
      </c>
      <c r="AJ141" t="s">
        <v>190</v>
      </c>
    </row>
    <row r="142" spans="2:36">
      <c r="B142" s="2" t="s">
        <v>362</v>
      </c>
      <c r="C142" s="2" t="s">
        <v>534</v>
      </c>
      <c r="D142" s="2" t="str">
        <f>Table5[[#This Row],[First name]]&amp;" "&amp;Table5[[#This Row],[Last name]]</f>
        <v>Daniel Solesa</v>
      </c>
      <c r="E142" s="2" t="str">
        <f>_xlfn.XLOOKUP(Table5[[#This Row],[Full name]],Table26[Name],Table26[Role],"Member",0,1)</f>
        <v>Member</v>
      </c>
      <c r="F142" s="2" t="s">
        <v>188</v>
      </c>
      <c r="G142" s="26" cm="1">
        <f t="array" aca="1" ref="G142" ca="1">COUNTIF(Table5[[#This Row],[September 30, 2025]:[April 7, 2026]],"Yes")/SUMPRODUCT(--(DATEVALUE(Table5[[#Headers],[September 30, 2025]:[April 9, 2026]])&lt;=TODAY()))</f>
        <v>0.05</v>
      </c>
      <c r="Q142" t="s">
        <v>186</v>
      </c>
      <c r="R142" t="s">
        <v>190</v>
      </c>
      <c r="S142" t="s">
        <v>190</v>
      </c>
      <c r="T142" s="151" t="s">
        <v>190</v>
      </c>
      <c r="U142" t="s">
        <v>190</v>
      </c>
      <c r="V142" t="s">
        <v>190</v>
      </c>
      <c r="W142" t="s">
        <v>190</v>
      </c>
      <c r="X142" t="s">
        <v>190</v>
      </c>
      <c r="Y142" t="s">
        <v>190</v>
      </c>
      <c r="Z142" t="s">
        <v>190</v>
      </c>
      <c r="AA142" t="s">
        <v>190</v>
      </c>
      <c r="AB142" t="s">
        <v>190</v>
      </c>
      <c r="AC142" t="s">
        <v>190</v>
      </c>
      <c r="AD142" t="s">
        <v>190</v>
      </c>
      <c r="AE142" t="s">
        <v>190</v>
      </c>
      <c r="AF142" t="s">
        <v>190</v>
      </c>
      <c r="AG142" t="s">
        <v>190</v>
      </c>
      <c r="AH142" t="s">
        <v>190</v>
      </c>
      <c r="AI142" t="s">
        <v>190</v>
      </c>
      <c r="AJ142" t="s">
        <v>190</v>
      </c>
    </row>
    <row r="143" spans="2:36">
      <c r="B143" s="2" t="s">
        <v>362</v>
      </c>
      <c r="C143" s="2" t="s">
        <v>498</v>
      </c>
      <c r="D143" s="2" t="str">
        <f>Table5[[#This Row],[First name]]&amp;" "&amp;Table5[[#This Row],[Last name]]</f>
        <v>Daniel Zheng</v>
      </c>
      <c r="E143" s="2" t="str">
        <f>_xlfn.XLOOKUP(Table5[[#This Row],[Full name]],Table26[Name],Table26[Role],"Member",0,1)</f>
        <v>Member</v>
      </c>
      <c r="F143" s="2" t="s">
        <v>188</v>
      </c>
      <c r="G143" s="26" cm="1">
        <f t="array" aca="1" ref="G143" ca="1">COUNTIF(Table5[[#This Row],[September 30, 2025]:[April 7, 2026]],"Yes")/SUMPRODUCT(--(DATEVALUE(Table5[[#Headers],[September 30, 2025]:[April 9, 2026]])&lt;=TODAY()))</f>
        <v>0.4</v>
      </c>
      <c r="H143" t="s">
        <v>190</v>
      </c>
      <c r="I143" t="s">
        <v>190</v>
      </c>
      <c r="J143" t="s">
        <v>190</v>
      </c>
      <c r="K143" t="s">
        <v>186</v>
      </c>
      <c r="L143" t="s">
        <v>190</v>
      </c>
      <c r="M143" t="s">
        <v>190</v>
      </c>
      <c r="N143" t="s">
        <v>190</v>
      </c>
      <c r="O143" t="s">
        <v>186</v>
      </c>
      <c r="P143" t="s">
        <v>190</v>
      </c>
      <c r="Q143" t="s">
        <v>190</v>
      </c>
      <c r="R143" t="s">
        <v>186</v>
      </c>
      <c r="S143" t="s">
        <v>186</v>
      </c>
      <c r="T143" s="151" t="s">
        <v>186</v>
      </c>
      <c r="U143" t="s">
        <v>186</v>
      </c>
      <c r="V143" t="s">
        <v>186</v>
      </c>
      <c r="W143" t="s">
        <v>186</v>
      </c>
      <c r="X143" t="s">
        <v>190</v>
      </c>
      <c r="Y143" t="s">
        <v>190</v>
      </c>
      <c r="Z143" t="s">
        <v>190</v>
      </c>
      <c r="AA143" t="s">
        <v>190</v>
      </c>
      <c r="AB143" t="s">
        <v>190</v>
      </c>
      <c r="AC143" t="s">
        <v>190</v>
      </c>
      <c r="AD143" t="s">
        <v>190</v>
      </c>
      <c r="AE143" t="s">
        <v>190</v>
      </c>
      <c r="AF143" t="s">
        <v>190</v>
      </c>
      <c r="AG143" t="s">
        <v>190</v>
      </c>
      <c r="AH143" t="s">
        <v>190</v>
      </c>
      <c r="AI143" t="s">
        <v>190</v>
      </c>
      <c r="AJ143" t="s">
        <v>190</v>
      </c>
    </row>
    <row r="144" spans="2:36">
      <c r="B144" s="2" t="s">
        <v>535</v>
      </c>
      <c r="C144" s="25" t="s">
        <v>536</v>
      </c>
      <c r="D144" s="2" t="str">
        <f>Table5[[#This Row],[First name]]&amp;" "&amp;Table5[[#This Row],[Last name]]</f>
        <v>Dara Shokouhian</v>
      </c>
      <c r="E144" s="2" t="str">
        <f>_xlfn.XLOOKUP(Table5[[#This Row],[Full name]],Table26[Name],Table26[Role],"Member",0,1)</f>
        <v>Member</v>
      </c>
      <c r="F144" s="2" t="s">
        <v>188</v>
      </c>
      <c r="G144" s="26" cm="1">
        <f t="array" aca="1" ref="G144" ca="1">COUNTIF(Table5[[#This Row],[September 30, 2025]:[April 7, 2026]],"Yes")/SUMPRODUCT(--(DATEVALUE(Table5[[#Headers],[September 30, 2025]:[April 9, 2026]])&lt;=TODAY()))</f>
        <v>0.05</v>
      </c>
      <c r="H144" t="s">
        <v>190</v>
      </c>
      <c r="I144" t="s">
        <v>190</v>
      </c>
      <c r="J144" t="s">
        <v>190</v>
      </c>
      <c r="K144" t="s">
        <v>190</v>
      </c>
      <c r="L144" t="s">
        <v>186</v>
      </c>
      <c r="M144" t="s">
        <v>190</v>
      </c>
      <c r="N144" t="s">
        <v>190</v>
      </c>
      <c r="O144" t="s">
        <v>190</v>
      </c>
      <c r="P144" t="s">
        <v>190</v>
      </c>
      <c r="Q144" t="s">
        <v>190</v>
      </c>
      <c r="R144" t="s">
        <v>190</v>
      </c>
      <c r="S144" t="s">
        <v>190</v>
      </c>
      <c r="T144" s="151" t="s">
        <v>190</v>
      </c>
      <c r="U144" t="s">
        <v>190</v>
      </c>
      <c r="V144" t="s">
        <v>190</v>
      </c>
      <c r="W144" t="s">
        <v>190</v>
      </c>
      <c r="X144" t="s">
        <v>190</v>
      </c>
      <c r="Y144" t="s">
        <v>190</v>
      </c>
      <c r="Z144" t="s">
        <v>190</v>
      </c>
      <c r="AA144" t="s">
        <v>190</v>
      </c>
      <c r="AB144" t="s">
        <v>190</v>
      </c>
      <c r="AC144" t="s">
        <v>190</v>
      </c>
      <c r="AD144" t="s">
        <v>190</v>
      </c>
      <c r="AE144" t="s">
        <v>190</v>
      </c>
      <c r="AF144" t="s">
        <v>190</v>
      </c>
      <c r="AG144" t="s">
        <v>190</v>
      </c>
      <c r="AH144" t="s">
        <v>190</v>
      </c>
      <c r="AI144" t="s">
        <v>190</v>
      </c>
      <c r="AJ144" t="s">
        <v>190</v>
      </c>
    </row>
    <row r="145" spans="2:36">
      <c r="B145" s="2" t="s">
        <v>301</v>
      </c>
      <c r="C145" s="2" t="s">
        <v>537</v>
      </c>
      <c r="D145" s="2" t="str">
        <f>Table5[[#This Row],[First name]]&amp;" "&amp;Table5[[#This Row],[Last name]]</f>
        <v>David Fuentes</v>
      </c>
      <c r="E145" s="2" t="str">
        <f>_xlfn.XLOOKUP(Table5[[#This Row],[Full name]],Table26[Name],Table26[Role],"Member",0,1)</f>
        <v>Member</v>
      </c>
      <c r="F145" s="2" t="s">
        <v>188</v>
      </c>
      <c r="G145" s="26" cm="1">
        <f t="array" aca="1" ref="G145" ca="1">COUNTIF(Table5[[#This Row],[September 30, 2025]:[April 7, 2026]],"Yes")/SUMPRODUCT(--(DATEVALUE(Table5[[#Headers],[September 30, 2025]:[April 9, 2026]])&lt;=TODAY()))</f>
        <v>0.15</v>
      </c>
      <c r="R145" t="s">
        <v>186</v>
      </c>
      <c r="S145" t="s">
        <v>186</v>
      </c>
      <c r="T145" s="151" t="s">
        <v>186</v>
      </c>
      <c r="V145" t="s">
        <v>190</v>
      </c>
      <c r="X145" t="s">
        <v>190</v>
      </c>
      <c r="AA145" t="s">
        <v>190</v>
      </c>
    </row>
    <row r="146" spans="2:36">
      <c r="B146" s="2" t="s">
        <v>538</v>
      </c>
      <c r="C146" s="2" t="s">
        <v>539</v>
      </c>
      <c r="D146" s="2" t="str">
        <f>Table5[[#This Row],[First name]]&amp;" "&amp;Table5[[#This Row],[Last name]]</f>
        <v>Dehou Kong</v>
      </c>
      <c r="E146" s="2" t="str">
        <f>_xlfn.XLOOKUP(Table5[[#This Row],[Full name]],Table26[Name],Table26[Role],"Member",0,1)</f>
        <v>Member</v>
      </c>
      <c r="F146" s="2" t="s">
        <v>188</v>
      </c>
      <c r="G146" s="26" cm="1">
        <f t="array" aca="1" ref="G146" ca="1">COUNTIF(Table5[[#This Row],[September 30, 2025]:[April 7, 2026]],"Yes")/SUMPRODUCT(--(DATEVALUE(Table5[[#Headers],[September 30, 2025]:[April 9, 2026]])&lt;=TODAY()))</f>
        <v>0.15</v>
      </c>
      <c r="H146" t="s">
        <v>186</v>
      </c>
      <c r="I146" t="s">
        <v>190</v>
      </c>
      <c r="J146" t="s">
        <v>186</v>
      </c>
      <c r="K146" t="s">
        <v>190</v>
      </c>
      <c r="L146" t="s">
        <v>190</v>
      </c>
      <c r="M146" t="s">
        <v>190</v>
      </c>
      <c r="N146" t="s">
        <v>186</v>
      </c>
      <c r="O146" t="s">
        <v>190</v>
      </c>
      <c r="P146" t="s">
        <v>190</v>
      </c>
      <c r="Q146" t="s">
        <v>190</v>
      </c>
      <c r="R146" t="s">
        <v>190</v>
      </c>
      <c r="S146" t="s">
        <v>190</v>
      </c>
      <c r="T146" s="151" t="s">
        <v>190</v>
      </c>
      <c r="U146" t="s">
        <v>190</v>
      </c>
      <c r="V146" t="s">
        <v>190</v>
      </c>
      <c r="W146" t="s">
        <v>190</v>
      </c>
      <c r="X146" t="s">
        <v>190</v>
      </c>
      <c r="Y146" t="s">
        <v>190</v>
      </c>
      <c r="Z146" t="s">
        <v>190</v>
      </c>
      <c r="AA146" t="s">
        <v>190</v>
      </c>
      <c r="AB146" t="s">
        <v>190</v>
      </c>
      <c r="AC146" t="s">
        <v>190</v>
      </c>
      <c r="AD146" t="s">
        <v>190</v>
      </c>
      <c r="AE146" t="s">
        <v>190</v>
      </c>
      <c r="AF146" t="s">
        <v>190</v>
      </c>
      <c r="AG146" t="s">
        <v>190</v>
      </c>
      <c r="AH146" t="s">
        <v>190</v>
      </c>
      <c r="AI146" t="s">
        <v>190</v>
      </c>
      <c r="AJ146" t="s">
        <v>190</v>
      </c>
    </row>
    <row r="147" spans="2:36">
      <c r="B147" s="2" t="s">
        <v>540</v>
      </c>
      <c r="C147" s="2" t="s">
        <v>541</v>
      </c>
      <c r="D147" s="2" t="str">
        <f>Table5[[#This Row],[First name]]&amp;" "&amp;Table5[[#This Row],[Last name]]</f>
        <v>Deniz Shelica</v>
      </c>
      <c r="E147" s="2" t="str">
        <f>_xlfn.XLOOKUP(Table5[[#This Row],[Full name]],Table26[Name],Table26[Role],"Member",0,1)</f>
        <v>Member</v>
      </c>
      <c r="F147" s="2" t="s">
        <v>188</v>
      </c>
      <c r="G147" s="152" cm="1">
        <f t="array" aca="1" ref="G147" ca="1">COUNTIF(Table5[[#This Row],[September 30, 2025]:[April 7, 2026]],"Yes")/SUMPRODUCT(--(DATEVALUE(Table5[[#Headers],[September 30, 2025]:[April 9, 2026]])&lt;=TODAY()))</f>
        <v>0.05</v>
      </c>
      <c r="T147" s="151"/>
      <c r="W147" t="s">
        <v>186</v>
      </c>
      <c r="X147" t="s">
        <v>190</v>
      </c>
      <c r="AA147" t="s">
        <v>190</v>
      </c>
    </row>
    <row r="148" spans="2:36">
      <c r="B148" s="2" t="s">
        <v>542</v>
      </c>
      <c r="C148" s="2" t="s">
        <v>543</v>
      </c>
      <c r="D148" s="2" t="str">
        <f>Table5[[#This Row],[First name]]&amp;" "&amp;Table5[[#This Row],[Last name]]</f>
        <v>Dipraman Ghosh</v>
      </c>
      <c r="E148" s="2" t="str">
        <f>_xlfn.XLOOKUP(Table5[[#This Row],[Full name]],Table26[Name],Table26[Role],"Member",0,1)</f>
        <v>Member</v>
      </c>
      <c r="F148" s="2" t="s">
        <v>188</v>
      </c>
      <c r="G148" s="26" cm="1">
        <f t="array" aca="1" ref="G148" ca="1">COUNTIF(Table5[[#This Row],[September 30, 2025]:[April 7, 2026]],"Yes")/SUMPRODUCT(--(DATEVALUE(Table5[[#Headers],[September 30, 2025]:[April 9, 2026]])&lt;=TODAY()))</f>
        <v>0.4</v>
      </c>
      <c r="R148" t="s">
        <v>186</v>
      </c>
      <c r="S148" t="s">
        <v>186</v>
      </c>
      <c r="T148" s="151" t="s">
        <v>186</v>
      </c>
      <c r="U148" t="s">
        <v>186</v>
      </c>
      <c r="V148" t="s">
        <v>190</v>
      </c>
      <c r="W148" t="s">
        <v>186</v>
      </c>
      <c r="X148" t="s">
        <v>190</v>
      </c>
      <c r="Y148" t="s">
        <v>186</v>
      </c>
      <c r="Z148" t="s">
        <v>186</v>
      </c>
      <c r="AA148" t="s">
        <v>186</v>
      </c>
    </row>
    <row r="149" spans="2:36">
      <c r="B149" s="2" t="s">
        <v>544</v>
      </c>
      <c r="C149" s="2" t="s">
        <v>545</v>
      </c>
      <c r="D149" s="2" t="str">
        <f>Table5[[#This Row],[First name]]&amp;" "&amp;Table5[[#This Row],[Last name]]</f>
        <v>Dominic Chiera</v>
      </c>
      <c r="E149" s="2" t="str">
        <f>_xlfn.XLOOKUP(Table5[[#This Row],[Full name]],Table26[Name],Table26[Role],"Member",0,1)</f>
        <v>Member</v>
      </c>
      <c r="F149" s="2" t="s">
        <v>188</v>
      </c>
      <c r="G149" s="26" cm="1">
        <f t="array" aca="1" ref="G149" ca="1">COUNTIF(Table5[[#This Row],[September 30, 2025]:[April 7, 2026]],"Yes")/SUMPRODUCT(--(DATEVALUE(Table5[[#Headers],[September 30, 2025]:[April 9, 2026]])&lt;=TODAY()))</f>
        <v>0.8</v>
      </c>
      <c r="H149" t="s">
        <v>186</v>
      </c>
      <c r="I149" t="s">
        <v>186</v>
      </c>
      <c r="J149" t="s">
        <v>186</v>
      </c>
      <c r="K149" t="s">
        <v>186</v>
      </c>
      <c r="L149" t="s">
        <v>186</v>
      </c>
      <c r="M149" t="s">
        <v>190</v>
      </c>
      <c r="N149" t="s">
        <v>186</v>
      </c>
      <c r="O149" t="s">
        <v>186</v>
      </c>
      <c r="P149" t="s">
        <v>186</v>
      </c>
      <c r="Q149" t="s">
        <v>190</v>
      </c>
      <c r="R149" t="s">
        <v>186</v>
      </c>
      <c r="S149" t="s">
        <v>186</v>
      </c>
      <c r="T149" s="151" t="s">
        <v>186</v>
      </c>
      <c r="U149" t="s">
        <v>190</v>
      </c>
      <c r="V149" t="s">
        <v>190</v>
      </c>
      <c r="W149" t="s">
        <v>186</v>
      </c>
      <c r="X149" t="s">
        <v>186</v>
      </c>
      <c r="Y149" t="s">
        <v>186</v>
      </c>
      <c r="Z149" t="s">
        <v>186</v>
      </c>
      <c r="AA149" t="s">
        <v>186</v>
      </c>
      <c r="AB149" t="s">
        <v>190</v>
      </c>
      <c r="AC149" t="s">
        <v>190</v>
      </c>
      <c r="AD149" t="s">
        <v>190</v>
      </c>
      <c r="AE149" t="s">
        <v>190</v>
      </c>
      <c r="AF149" t="s">
        <v>190</v>
      </c>
      <c r="AG149" t="s">
        <v>190</v>
      </c>
      <c r="AH149" t="s">
        <v>190</v>
      </c>
      <c r="AI149" t="s">
        <v>190</v>
      </c>
      <c r="AJ149" t="s">
        <v>190</v>
      </c>
    </row>
    <row r="150" spans="2:36">
      <c r="B150" s="2" t="s">
        <v>546</v>
      </c>
      <c r="C150" s="2" t="s">
        <v>547</v>
      </c>
      <c r="D150" s="2" t="str">
        <f>Table5[[#This Row],[First name]]&amp;" "&amp;Table5[[#This Row],[Last name]]</f>
        <v>Dominik Nowakowski</v>
      </c>
      <c r="E150" s="2" t="str">
        <f>_xlfn.XLOOKUP(Table5[[#This Row],[Full name]],Table26[Name],Table26[Role],"Member",0,1)</f>
        <v>Member</v>
      </c>
      <c r="F150" s="2" t="s">
        <v>188</v>
      </c>
      <c r="G150" s="26" cm="1">
        <f t="array" aca="1" ref="G150" ca="1">COUNTIF(Table5[[#This Row],[September 30, 2025]:[April 7, 2026]],"Yes")/SUMPRODUCT(--(DATEVALUE(Table5[[#Headers],[September 30, 2025]:[April 9, 2026]])&lt;=TODAY()))</f>
        <v>0.05</v>
      </c>
      <c r="Q150" t="s">
        <v>186</v>
      </c>
      <c r="R150" t="s">
        <v>190</v>
      </c>
      <c r="S150" t="s">
        <v>190</v>
      </c>
      <c r="T150" s="151" t="s">
        <v>190</v>
      </c>
      <c r="U150" t="s">
        <v>190</v>
      </c>
      <c r="V150" t="s">
        <v>190</v>
      </c>
      <c r="W150" t="s">
        <v>190</v>
      </c>
      <c r="X150" t="s">
        <v>190</v>
      </c>
      <c r="Y150" t="s">
        <v>190</v>
      </c>
      <c r="Z150" t="s">
        <v>190</v>
      </c>
      <c r="AA150" t="s">
        <v>190</v>
      </c>
      <c r="AB150" t="s">
        <v>190</v>
      </c>
      <c r="AC150" t="s">
        <v>190</v>
      </c>
      <c r="AD150" t="s">
        <v>190</v>
      </c>
      <c r="AE150" t="s">
        <v>190</v>
      </c>
      <c r="AF150" t="s">
        <v>190</v>
      </c>
      <c r="AG150" t="s">
        <v>190</v>
      </c>
      <c r="AH150" t="s">
        <v>190</v>
      </c>
      <c r="AI150" t="s">
        <v>190</v>
      </c>
      <c r="AJ150" t="s">
        <v>190</v>
      </c>
    </row>
    <row r="151" spans="2:36">
      <c r="B151" s="2" t="s">
        <v>548</v>
      </c>
      <c r="C151" s="2" t="s">
        <v>549</v>
      </c>
      <c r="D151" s="2" t="str">
        <f>Table5[[#This Row],[First name]]&amp;" "&amp;Table5[[#This Row],[Last name]]</f>
        <v>Echo Bao</v>
      </c>
      <c r="E151" s="2" t="str">
        <f>_xlfn.XLOOKUP(Table5[[#This Row],[Full name]],Table26[Name],Table26[Role],"Member",0,1)</f>
        <v>Member</v>
      </c>
      <c r="F151" s="2" t="s">
        <v>188</v>
      </c>
      <c r="G151" s="26" cm="1">
        <f t="array" aca="1" ref="G151" ca="1">COUNTIF(Table5[[#This Row],[September 30, 2025]:[April 7, 2026]],"Yes")/SUMPRODUCT(--(DATEVALUE(Table5[[#Headers],[September 30, 2025]:[April 9, 2026]])&lt;=TODAY()))</f>
        <v>0</v>
      </c>
      <c r="H151" t="s">
        <v>190</v>
      </c>
      <c r="I151" t="s">
        <v>190</v>
      </c>
      <c r="J151" t="s">
        <v>190</v>
      </c>
      <c r="K151" t="s">
        <v>190</v>
      </c>
      <c r="L151" t="s">
        <v>190</v>
      </c>
      <c r="M151" t="s">
        <v>190</v>
      </c>
      <c r="N151" t="s">
        <v>190</v>
      </c>
      <c r="O151" t="s">
        <v>190</v>
      </c>
      <c r="P151" t="s">
        <v>190</v>
      </c>
      <c r="Q151" t="s">
        <v>190</v>
      </c>
      <c r="R151" t="s">
        <v>190</v>
      </c>
      <c r="S151" t="s">
        <v>190</v>
      </c>
      <c r="T151" s="151" t="s">
        <v>190</v>
      </c>
      <c r="U151" t="s">
        <v>190</v>
      </c>
      <c r="V151" t="s">
        <v>190</v>
      </c>
      <c r="W151" t="s">
        <v>190</v>
      </c>
      <c r="X151" t="s">
        <v>190</v>
      </c>
      <c r="Y151" t="s">
        <v>190</v>
      </c>
      <c r="Z151" t="s">
        <v>190</v>
      </c>
      <c r="AA151" t="s">
        <v>190</v>
      </c>
      <c r="AB151" t="s">
        <v>190</v>
      </c>
      <c r="AC151" t="s">
        <v>190</v>
      </c>
      <c r="AD151" t="s">
        <v>190</v>
      </c>
      <c r="AE151" t="s">
        <v>190</v>
      </c>
      <c r="AF151" t="s">
        <v>190</v>
      </c>
      <c r="AG151" t="s">
        <v>190</v>
      </c>
      <c r="AH151" t="s">
        <v>190</v>
      </c>
      <c r="AI151" t="s">
        <v>190</v>
      </c>
      <c r="AJ151" t="s">
        <v>190</v>
      </c>
    </row>
    <row r="152" spans="2:36">
      <c r="B152" s="2" t="s">
        <v>550</v>
      </c>
      <c r="C152" s="2" t="s">
        <v>450</v>
      </c>
      <c r="D152" s="2" t="str">
        <f>Table5[[#This Row],[First name]]&amp;" "&amp;Table5[[#This Row],[Last name]]</f>
        <v>Edison Li</v>
      </c>
      <c r="E152" s="2" t="str">
        <f>_xlfn.XLOOKUP(Table5[[#This Row],[Full name]],Table26[Name],Table26[Role],"Member",0,1)</f>
        <v>Member</v>
      </c>
      <c r="F152" s="2" t="s">
        <v>188</v>
      </c>
      <c r="G152" s="26" cm="1">
        <f t="array" aca="1" ref="G152" ca="1">COUNTIF(Table5[[#This Row],[September 30, 2025]:[April 7, 2026]],"Yes")/SUMPRODUCT(--(DATEVALUE(Table5[[#Headers],[September 30, 2025]:[April 9, 2026]])&lt;=TODAY()))</f>
        <v>0.25</v>
      </c>
      <c r="H152" t="s">
        <v>186</v>
      </c>
      <c r="I152" t="s">
        <v>190</v>
      </c>
      <c r="J152" t="s">
        <v>186</v>
      </c>
      <c r="K152" t="s">
        <v>190</v>
      </c>
      <c r="L152" t="s">
        <v>186</v>
      </c>
      <c r="M152" t="s">
        <v>190</v>
      </c>
      <c r="N152" t="s">
        <v>186</v>
      </c>
      <c r="O152" t="s">
        <v>190</v>
      </c>
      <c r="P152" t="s">
        <v>186</v>
      </c>
      <c r="Q152" t="s">
        <v>190</v>
      </c>
      <c r="R152" t="s">
        <v>190</v>
      </c>
      <c r="S152" t="s">
        <v>190</v>
      </c>
      <c r="T152" s="151" t="s">
        <v>190</v>
      </c>
      <c r="U152" t="s">
        <v>190</v>
      </c>
      <c r="V152" t="s">
        <v>190</v>
      </c>
      <c r="W152" t="s">
        <v>190</v>
      </c>
      <c r="X152" t="s">
        <v>190</v>
      </c>
      <c r="Y152" t="s">
        <v>190</v>
      </c>
      <c r="Z152" t="s">
        <v>190</v>
      </c>
      <c r="AA152" t="s">
        <v>190</v>
      </c>
      <c r="AB152" t="s">
        <v>190</v>
      </c>
      <c r="AC152" t="s">
        <v>190</v>
      </c>
      <c r="AD152" t="s">
        <v>190</v>
      </c>
      <c r="AE152" t="s">
        <v>190</v>
      </c>
      <c r="AF152" t="s">
        <v>190</v>
      </c>
      <c r="AG152" t="s">
        <v>190</v>
      </c>
      <c r="AH152" t="s">
        <v>190</v>
      </c>
      <c r="AI152" t="s">
        <v>190</v>
      </c>
      <c r="AJ152" t="s">
        <v>190</v>
      </c>
    </row>
    <row r="153" spans="2:36">
      <c r="B153" s="2" t="s">
        <v>313</v>
      </c>
      <c r="C153" s="2" t="s">
        <v>551</v>
      </c>
      <c r="D153" s="2" t="str">
        <f>Table5[[#This Row],[First name]]&amp;" "&amp;Table5[[#This Row],[Last name]]</f>
        <v>Edward Yang</v>
      </c>
      <c r="E153" s="2" t="str">
        <f>_xlfn.XLOOKUP(Table5[[#This Row],[Full name]],Table26[Name],Table26[Role],"Member",0,1)</f>
        <v>Member</v>
      </c>
      <c r="F153" s="2" t="s">
        <v>188</v>
      </c>
      <c r="G153" s="26" cm="1">
        <f t="array" aca="1" ref="G153" ca="1">COUNTIF(Table5[[#This Row],[September 30, 2025]:[April 7, 2026]],"Yes")/SUMPRODUCT(--(DATEVALUE(Table5[[#Headers],[September 30, 2025]:[April 9, 2026]])&lt;=TODAY()))</f>
        <v>0.05</v>
      </c>
      <c r="P153" t="s">
        <v>186</v>
      </c>
      <c r="Q153" t="s">
        <v>190</v>
      </c>
      <c r="R153" t="s">
        <v>190</v>
      </c>
      <c r="S153" t="s">
        <v>190</v>
      </c>
      <c r="T153" s="151" t="s">
        <v>190</v>
      </c>
      <c r="U153" t="s">
        <v>190</v>
      </c>
      <c r="V153" t="s">
        <v>190</v>
      </c>
      <c r="W153" t="s">
        <v>190</v>
      </c>
      <c r="X153" t="s">
        <v>190</v>
      </c>
      <c r="Y153" t="s">
        <v>190</v>
      </c>
      <c r="Z153" t="s">
        <v>190</v>
      </c>
      <c r="AA153" t="s">
        <v>190</v>
      </c>
      <c r="AB153" t="s">
        <v>190</v>
      </c>
      <c r="AC153" t="s">
        <v>190</v>
      </c>
      <c r="AD153" t="s">
        <v>190</v>
      </c>
      <c r="AE153" t="s">
        <v>190</v>
      </c>
      <c r="AF153" t="s">
        <v>190</v>
      </c>
      <c r="AG153" t="s">
        <v>190</v>
      </c>
      <c r="AH153" t="s">
        <v>190</v>
      </c>
      <c r="AI153" t="s">
        <v>190</v>
      </c>
      <c r="AJ153" t="s">
        <v>190</v>
      </c>
    </row>
    <row r="154" spans="2:36">
      <c r="B154" s="2" t="s">
        <v>552</v>
      </c>
      <c r="C154" s="2" t="s">
        <v>553</v>
      </c>
      <c r="D154" s="2" t="str">
        <f>Table5[[#This Row],[First name]]&amp;" "&amp;Table5[[#This Row],[Last name]]</f>
        <v>Eesa Huq</v>
      </c>
      <c r="E154" s="2" t="str">
        <f>_xlfn.XLOOKUP(Table5[[#This Row],[Full name]],Table26[Name],Table26[Role],"Member",0,1)</f>
        <v>Member</v>
      </c>
      <c r="F154" s="2" t="s">
        <v>188</v>
      </c>
      <c r="G154" s="26" cm="1">
        <f t="array" aca="1" ref="G154" ca="1">COUNTIF(Table5[[#This Row],[September 30, 2025]:[April 7, 2026]],"Yes")/SUMPRODUCT(--(DATEVALUE(Table5[[#Headers],[September 30, 2025]:[April 9, 2026]])&lt;=TODAY()))</f>
        <v>0.05</v>
      </c>
      <c r="H154" t="s">
        <v>190</v>
      </c>
      <c r="I154" t="s">
        <v>190</v>
      </c>
      <c r="J154" t="s">
        <v>190</v>
      </c>
      <c r="K154" t="s">
        <v>190</v>
      </c>
      <c r="L154" t="s">
        <v>186</v>
      </c>
      <c r="M154" t="s">
        <v>190</v>
      </c>
      <c r="N154" t="s">
        <v>190</v>
      </c>
      <c r="O154" t="s">
        <v>190</v>
      </c>
      <c r="P154" t="s">
        <v>190</v>
      </c>
      <c r="Q154" t="s">
        <v>190</v>
      </c>
      <c r="R154" t="s">
        <v>190</v>
      </c>
      <c r="S154" t="s">
        <v>190</v>
      </c>
      <c r="T154" s="151" t="s">
        <v>190</v>
      </c>
      <c r="U154" t="s">
        <v>190</v>
      </c>
      <c r="V154" t="s">
        <v>190</v>
      </c>
      <c r="W154" t="s">
        <v>190</v>
      </c>
      <c r="X154" t="s">
        <v>190</v>
      </c>
      <c r="Y154" t="s">
        <v>190</v>
      </c>
      <c r="Z154" t="s">
        <v>190</v>
      </c>
      <c r="AA154" t="s">
        <v>190</v>
      </c>
      <c r="AB154" t="s">
        <v>190</v>
      </c>
      <c r="AC154" t="s">
        <v>190</v>
      </c>
      <c r="AD154" t="s">
        <v>190</v>
      </c>
      <c r="AE154" t="s">
        <v>190</v>
      </c>
      <c r="AF154" t="s">
        <v>190</v>
      </c>
      <c r="AG154" t="s">
        <v>190</v>
      </c>
      <c r="AH154" t="s">
        <v>190</v>
      </c>
      <c r="AI154" t="s">
        <v>190</v>
      </c>
      <c r="AJ154" t="s">
        <v>190</v>
      </c>
    </row>
    <row r="155" spans="2:36">
      <c r="B155" s="2" t="s">
        <v>554</v>
      </c>
      <c r="C155" s="2" t="s">
        <v>555</v>
      </c>
      <c r="D155" s="2" t="str">
        <f>Table5[[#This Row],[First name]]&amp;" "&amp;Table5[[#This Row],[Last name]]</f>
        <v>Elbrus Gadmaliyev</v>
      </c>
      <c r="E155" s="2" t="str">
        <f>_xlfn.XLOOKUP(Table5[[#This Row],[Full name]],Table26[Name],Table26[Role],"Member",0,1)</f>
        <v>Member</v>
      </c>
      <c r="F155" s="2" t="s">
        <v>188</v>
      </c>
      <c r="G155" s="26" cm="1">
        <f t="array" aca="1" ref="G155" ca="1">COUNTIF(Table5[[#This Row],[September 30, 2025]:[April 7, 2026]],"Yes")/SUMPRODUCT(--(DATEVALUE(Table5[[#Headers],[September 30, 2025]:[April 9, 2026]])&lt;=TODAY()))</f>
        <v>0.05</v>
      </c>
      <c r="H155" t="s">
        <v>190</v>
      </c>
      <c r="I155" t="s">
        <v>190</v>
      </c>
      <c r="J155" t="s">
        <v>190</v>
      </c>
      <c r="K155" t="s">
        <v>190</v>
      </c>
      <c r="L155" t="s">
        <v>190</v>
      </c>
      <c r="M155" t="s">
        <v>190</v>
      </c>
      <c r="N155" t="s">
        <v>190</v>
      </c>
      <c r="O155" t="s">
        <v>190</v>
      </c>
      <c r="P155" t="s">
        <v>190</v>
      </c>
      <c r="Q155" t="s">
        <v>190</v>
      </c>
      <c r="R155" t="s">
        <v>190</v>
      </c>
      <c r="S155" t="s">
        <v>190</v>
      </c>
      <c r="T155" s="151" t="s">
        <v>186</v>
      </c>
      <c r="U155" t="s">
        <v>190</v>
      </c>
      <c r="V155" t="s">
        <v>190</v>
      </c>
      <c r="W155" t="s">
        <v>190</v>
      </c>
      <c r="X155" t="s">
        <v>190</v>
      </c>
      <c r="Y155" t="s">
        <v>190</v>
      </c>
      <c r="Z155" t="s">
        <v>190</v>
      </c>
      <c r="AA155" t="s">
        <v>190</v>
      </c>
      <c r="AB155" t="s">
        <v>190</v>
      </c>
      <c r="AC155" t="s">
        <v>190</v>
      </c>
      <c r="AD155" t="s">
        <v>190</v>
      </c>
      <c r="AE155" t="s">
        <v>190</v>
      </c>
      <c r="AF155" t="s">
        <v>190</v>
      </c>
      <c r="AG155" t="s">
        <v>190</v>
      </c>
      <c r="AH155" t="s">
        <v>190</v>
      </c>
      <c r="AI155" t="s">
        <v>190</v>
      </c>
      <c r="AJ155" t="s">
        <v>190</v>
      </c>
    </row>
    <row r="156" spans="2:36">
      <c r="B156" s="2" t="s">
        <v>370</v>
      </c>
      <c r="C156" s="2" t="s">
        <v>556</v>
      </c>
      <c r="D156" s="2" t="str">
        <f>Table5[[#This Row],[First name]]&amp;" "&amp;Table5[[#This Row],[Last name]]</f>
        <v>Emma Scott</v>
      </c>
      <c r="E156" s="2" t="str">
        <f>_xlfn.XLOOKUP(Table5[[#This Row],[Full name]],Table26[Name],Table26[Role],"Member",0,1)</f>
        <v>Member</v>
      </c>
      <c r="F156" s="2" t="s">
        <v>188</v>
      </c>
      <c r="G156" s="26" cm="1">
        <f t="array" aca="1" ref="G156" ca="1">COUNTIF(Table5[[#This Row],[September 30, 2025]:[April 7, 2026]],"Yes")/SUMPRODUCT(--(DATEVALUE(Table5[[#Headers],[September 30, 2025]:[April 9, 2026]])&lt;=TODAY()))</f>
        <v>0.1</v>
      </c>
      <c r="H156" t="s">
        <v>190</v>
      </c>
      <c r="I156" t="s">
        <v>190</v>
      </c>
      <c r="J156" t="s">
        <v>190</v>
      </c>
      <c r="K156" t="s">
        <v>190</v>
      </c>
      <c r="L156" t="s">
        <v>190</v>
      </c>
      <c r="M156" t="s">
        <v>190</v>
      </c>
      <c r="N156" t="s">
        <v>190</v>
      </c>
      <c r="O156" t="s">
        <v>190</v>
      </c>
      <c r="P156" t="s">
        <v>190</v>
      </c>
      <c r="Q156" t="s">
        <v>190</v>
      </c>
      <c r="R156" t="s">
        <v>186</v>
      </c>
      <c r="S156" t="s">
        <v>190</v>
      </c>
      <c r="T156" s="151" t="s">
        <v>186</v>
      </c>
      <c r="U156" t="s">
        <v>190</v>
      </c>
      <c r="V156" t="s">
        <v>190</v>
      </c>
      <c r="W156" t="s">
        <v>190</v>
      </c>
      <c r="X156" t="s">
        <v>190</v>
      </c>
      <c r="Y156" t="s">
        <v>190</v>
      </c>
      <c r="Z156" t="s">
        <v>190</v>
      </c>
      <c r="AA156" t="s">
        <v>190</v>
      </c>
      <c r="AB156" t="s">
        <v>190</v>
      </c>
      <c r="AC156" t="s">
        <v>190</v>
      </c>
      <c r="AD156" t="s">
        <v>190</v>
      </c>
      <c r="AE156" t="s">
        <v>190</v>
      </c>
      <c r="AF156" t="s">
        <v>190</v>
      </c>
      <c r="AG156" t="s">
        <v>190</v>
      </c>
      <c r="AH156" t="s">
        <v>190</v>
      </c>
      <c r="AI156" t="s">
        <v>190</v>
      </c>
      <c r="AJ156" t="s">
        <v>190</v>
      </c>
    </row>
    <row r="157" spans="2:36">
      <c r="B157" s="2" t="s">
        <v>557</v>
      </c>
      <c r="C157" s="2" t="s">
        <v>558</v>
      </c>
      <c r="D157" s="2" t="str">
        <f>Table5[[#This Row],[First name]]&amp;" "&amp;Table5[[#This Row],[Last name]]</f>
        <v>Emre Gulyurt</v>
      </c>
      <c r="E157" s="2" t="str">
        <f>_xlfn.XLOOKUP(Table5[[#This Row],[Full name]],Table26[Name],Table26[Role],"Member",0,1)</f>
        <v>Member</v>
      </c>
      <c r="F157" s="2" t="s">
        <v>188</v>
      </c>
      <c r="G157" s="26" cm="1">
        <f t="array" aca="1" ref="G157" ca="1">COUNTIF(Table5[[#This Row],[September 30, 2025]:[April 7, 2026]],"Yes")/SUMPRODUCT(--(DATEVALUE(Table5[[#Headers],[September 30, 2025]:[April 9, 2026]])&lt;=TODAY()))</f>
        <v>0</v>
      </c>
      <c r="H157" t="s">
        <v>190</v>
      </c>
      <c r="I157" t="s">
        <v>190</v>
      </c>
      <c r="J157" t="s">
        <v>190</v>
      </c>
      <c r="K157" t="s">
        <v>190</v>
      </c>
      <c r="L157" t="s">
        <v>190</v>
      </c>
      <c r="M157" t="s">
        <v>190</v>
      </c>
      <c r="N157" t="s">
        <v>190</v>
      </c>
      <c r="O157" t="s">
        <v>190</v>
      </c>
      <c r="P157" t="s">
        <v>190</v>
      </c>
      <c r="Q157" t="s">
        <v>190</v>
      </c>
      <c r="R157" t="s">
        <v>190</v>
      </c>
      <c r="S157" t="s">
        <v>190</v>
      </c>
      <c r="T157" s="151" t="s">
        <v>190</v>
      </c>
      <c r="U157" t="s">
        <v>190</v>
      </c>
      <c r="V157" t="s">
        <v>190</v>
      </c>
      <c r="W157" t="s">
        <v>190</v>
      </c>
      <c r="X157" t="s">
        <v>190</v>
      </c>
      <c r="Y157" t="s">
        <v>190</v>
      </c>
      <c r="Z157" t="s">
        <v>190</v>
      </c>
      <c r="AA157" t="s">
        <v>190</v>
      </c>
      <c r="AB157" t="s">
        <v>190</v>
      </c>
      <c r="AC157" t="s">
        <v>190</v>
      </c>
      <c r="AD157" t="s">
        <v>190</v>
      </c>
      <c r="AE157" t="s">
        <v>190</v>
      </c>
      <c r="AF157" t="s">
        <v>190</v>
      </c>
      <c r="AG157" t="s">
        <v>190</v>
      </c>
      <c r="AH157" t="s">
        <v>190</v>
      </c>
      <c r="AI157" t="s">
        <v>190</v>
      </c>
      <c r="AJ157" t="s">
        <v>190</v>
      </c>
    </row>
    <row r="158" spans="2:36">
      <c r="B158" s="2" t="s">
        <v>559</v>
      </c>
      <c r="C158" s="2" t="s">
        <v>560</v>
      </c>
      <c r="D158" s="2" t="str">
        <f>Table5[[#This Row],[First name]]&amp;" "&amp;Table5[[#This Row],[Last name]]</f>
        <v>Erfan Zarenia</v>
      </c>
      <c r="E158" s="2" t="str">
        <f>_xlfn.XLOOKUP(Table5[[#This Row],[Full name]],Table26[Name],Table26[Role],"Member",0,1)</f>
        <v>Member</v>
      </c>
      <c r="F158" s="2" t="s">
        <v>188</v>
      </c>
      <c r="G158" s="26" cm="1">
        <f t="array" aca="1" ref="G158" ca="1">COUNTIF(Table5[[#This Row],[September 30, 2025]:[April 7, 2026]],"Yes")/SUMPRODUCT(--(DATEVALUE(Table5[[#Headers],[September 30, 2025]:[April 9, 2026]])&lt;=TODAY()))</f>
        <v>0.35</v>
      </c>
      <c r="H158" t="s">
        <v>190</v>
      </c>
      <c r="I158" t="s">
        <v>186</v>
      </c>
      <c r="J158" t="s">
        <v>186</v>
      </c>
      <c r="K158" t="s">
        <v>190</v>
      </c>
      <c r="L158" t="s">
        <v>190</v>
      </c>
      <c r="M158" t="s">
        <v>190</v>
      </c>
      <c r="N158" t="s">
        <v>190</v>
      </c>
      <c r="O158" t="s">
        <v>190</v>
      </c>
      <c r="P158" t="s">
        <v>190</v>
      </c>
      <c r="Q158" t="s">
        <v>186</v>
      </c>
      <c r="R158" t="s">
        <v>186</v>
      </c>
      <c r="S158" t="s">
        <v>186</v>
      </c>
      <c r="T158" s="151" t="s">
        <v>186</v>
      </c>
      <c r="U158" t="s">
        <v>190</v>
      </c>
      <c r="V158" t="s">
        <v>190</v>
      </c>
      <c r="W158" t="s">
        <v>190</v>
      </c>
      <c r="X158" t="s">
        <v>190</v>
      </c>
      <c r="Y158" t="s">
        <v>186</v>
      </c>
      <c r="Z158" t="s">
        <v>190</v>
      </c>
      <c r="AA158" t="s">
        <v>190</v>
      </c>
      <c r="AB158" t="s">
        <v>190</v>
      </c>
      <c r="AC158" t="s">
        <v>190</v>
      </c>
      <c r="AD158" t="s">
        <v>190</v>
      </c>
      <c r="AE158" t="s">
        <v>190</v>
      </c>
      <c r="AF158" t="s">
        <v>190</v>
      </c>
      <c r="AG158" t="s">
        <v>190</v>
      </c>
      <c r="AH158" t="s">
        <v>190</v>
      </c>
      <c r="AI158" t="s">
        <v>190</v>
      </c>
      <c r="AJ158" t="s">
        <v>190</v>
      </c>
    </row>
    <row r="159" spans="2:36">
      <c r="B159" s="2" t="s">
        <v>561</v>
      </c>
      <c r="C159" s="2" t="s">
        <v>562</v>
      </c>
      <c r="D159" s="2" t="str">
        <f>Table5[[#This Row],[First name]]&amp;" "&amp;Table5[[#This Row],[Last name]]</f>
        <v>Eric Song</v>
      </c>
      <c r="E159" s="2" t="str">
        <f>_xlfn.XLOOKUP(Table5[[#This Row],[Full name]],Table26[Name],Table26[Role],"Member",0,1)</f>
        <v>Member</v>
      </c>
      <c r="F159" s="2" t="s">
        <v>188</v>
      </c>
      <c r="G159" s="26" cm="1">
        <f t="array" aca="1" ref="G159" ca="1">COUNTIF(Table5[[#This Row],[September 30, 2025]:[April 7, 2026]],"Yes")/SUMPRODUCT(--(DATEVALUE(Table5[[#Headers],[September 30, 2025]:[April 9, 2026]])&lt;=TODAY()))</f>
        <v>0.7</v>
      </c>
      <c r="H159" t="s">
        <v>186</v>
      </c>
      <c r="I159" t="s">
        <v>186</v>
      </c>
      <c r="J159" t="s">
        <v>186</v>
      </c>
      <c r="K159" t="s">
        <v>186</v>
      </c>
      <c r="L159" t="s">
        <v>190</v>
      </c>
      <c r="M159" t="s">
        <v>186</v>
      </c>
      <c r="N159" t="s">
        <v>186</v>
      </c>
      <c r="O159" t="s">
        <v>186</v>
      </c>
      <c r="P159" t="s">
        <v>186</v>
      </c>
      <c r="Q159" t="s">
        <v>186</v>
      </c>
      <c r="R159" t="s">
        <v>186</v>
      </c>
      <c r="S159" t="s">
        <v>186</v>
      </c>
      <c r="T159" s="151" t="s">
        <v>186</v>
      </c>
      <c r="U159" t="s">
        <v>190</v>
      </c>
      <c r="V159" t="s">
        <v>190</v>
      </c>
      <c r="W159" t="s">
        <v>190</v>
      </c>
      <c r="X159" t="s">
        <v>190</v>
      </c>
      <c r="Y159" t="s">
        <v>186</v>
      </c>
      <c r="Z159" t="s">
        <v>190</v>
      </c>
      <c r="AA159" t="s">
        <v>186</v>
      </c>
      <c r="AB159" t="s">
        <v>190</v>
      </c>
      <c r="AC159" t="s">
        <v>190</v>
      </c>
      <c r="AD159" t="s">
        <v>190</v>
      </c>
      <c r="AE159" t="s">
        <v>190</v>
      </c>
      <c r="AF159" t="s">
        <v>190</v>
      </c>
      <c r="AG159" t="s">
        <v>190</v>
      </c>
      <c r="AH159" t="s">
        <v>190</v>
      </c>
      <c r="AI159" t="s">
        <v>190</v>
      </c>
      <c r="AJ159" t="s">
        <v>190</v>
      </c>
    </row>
    <row r="160" spans="2:36">
      <c r="B160" s="2" t="s">
        <v>341</v>
      </c>
      <c r="C160" s="2" t="s">
        <v>563</v>
      </c>
      <c r="D160" s="2" t="str">
        <f>Table5[[#This Row],[First name]]&amp;" "&amp;Table5[[#This Row],[Last name]]</f>
        <v>Ethan Zhao</v>
      </c>
      <c r="E160" s="2" t="str">
        <f>_xlfn.XLOOKUP(Table5[[#This Row],[Full name]],Table26[Name],Table26[Role],"Member",0,1)</f>
        <v>Member</v>
      </c>
      <c r="F160" s="2" t="s">
        <v>188</v>
      </c>
      <c r="G160" s="26" cm="1">
        <f t="array" aca="1" ref="G160" ca="1">COUNTIF(Table5[[#This Row],[September 30, 2025]:[April 7, 2026]],"Yes")/SUMPRODUCT(--(DATEVALUE(Table5[[#Headers],[September 30, 2025]:[April 9, 2026]])&lt;=TODAY()))</f>
        <v>0.1</v>
      </c>
      <c r="R160" t="s">
        <v>186</v>
      </c>
      <c r="T160" s="151" t="s">
        <v>190</v>
      </c>
      <c r="V160" t="s">
        <v>190</v>
      </c>
      <c r="X160" t="s">
        <v>190</v>
      </c>
      <c r="AA160" t="s">
        <v>186</v>
      </c>
    </row>
    <row r="161" spans="2:36">
      <c r="B161" s="2" t="s">
        <v>341</v>
      </c>
      <c r="C161" s="2" t="s">
        <v>564</v>
      </c>
      <c r="D161" s="2" t="str">
        <f>Table5[[#This Row],[First name]]&amp;" "&amp;Table5[[#This Row],[Last name]]</f>
        <v>Ethan Schmidt</v>
      </c>
      <c r="E161" s="2" t="str">
        <f>_xlfn.XLOOKUP(Table5[[#This Row],[Full name]],Table26[Name],Table26[Role],"Member",0,1)</f>
        <v>Member</v>
      </c>
      <c r="F161" s="2" t="s">
        <v>188</v>
      </c>
      <c r="G161" s="152" cm="1">
        <f t="array" aca="1" ref="G161" ca="1">COUNTIF(Table5[[#This Row],[September 30, 2025]:[April 7, 2026]],"Yes")/SUMPRODUCT(--(DATEVALUE(Table5[[#Headers],[September 30, 2025]:[April 9, 2026]])&lt;=TODAY()))</f>
        <v>0.05</v>
      </c>
      <c r="T161" s="151"/>
      <c r="W161" t="s">
        <v>186</v>
      </c>
      <c r="X161" t="s">
        <v>190</v>
      </c>
      <c r="AA161" t="s">
        <v>190</v>
      </c>
    </row>
    <row r="162" spans="2:36">
      <c r="B162" s="2" t="s">
        <v>565</v>
      </c>
      <c r="C162" s="2" t="s">
        <v>566</v>
      </c>
      <c r="D162" s="2" t="str">
        <f>Table5[[#This Row],[First name]]&amp;" "&amp;Table5[[#This Row],[Last name]]</f>
        <v>Evan Sahadeo</v>
      </c>
      <c r="E162" s="2" t="str">
        <f>_xlfn.XLOOKUP(Table5[[#This Row],[Full name]],Table26[Name],Table26[Role],"Member",0,1)</f>
        <v>Member</v>
      </c>
      <c r="F162" s="2" t="s">
        <v>188</v>
      </c>
      <c r="G162" s="26" cm="1">
        <f t="array" aca="1" ref="G162" ca="1">COUNTIF(Table5[[#This Row],[September 30, 2025]:[April 7, 2026]],"Yes")/SUMPRODUCT(--(DATEVALUE(Table5[[#Headers],[September 30, 2025]:[April 9, 2026]])&lt;=TODAY()))</f>
        <v>0.1</v>
      </c>
      <c r="H162" t="s">
        <v>190</v>
      </c>
      <c r="I162" t="s">
        <v>190</v>
      </c>
      <c r="J162" t="s">
        <v>186</v>
      </c>
      <c r="K162" t="s">
        <v>190</v>
      </c>
      <c r="L162" t="s">
        <v>190</v>
      </c>
      <c r="M162" t="s">
        <v>190</v>
      </c>
      <c r="N162" t="s">
        <v>190</v>
      </c>
      <c r="O162" t="s">
        <v>190</v>
      </c>
      <c r="P162" t="s">
        <v>190</v>
      </c>
      <c r="Q162" t="s">
        <v>190</v>
      </c>
      <c r="R162" t="s">
        <v>190</v>
      </c>
      <c r="S162" t="s">
        <v>190</v>
      </c>
      <c r="T162" s="151" t="s">
        <v>190</v>
      </c>
      <c r="U162" t="s">
        <v>190</v>
      </c>
      <c r="V162" t="s">
        <v>190</v>
      </c>
      <c r="W162" t="s">
        <v>190</v>
      </c>
      <c r="X162" t="s">
        <v>190</v>
      </c>
      <c r="Y162" t="s">
        <v>186</v>
      </c>
      <c r="Z162" t="s">
        <v>190</v>
      </c>
      <c r="AA162" t="s">
        <v>190</v>
      </c>
      <c r="AB162" t="s">
        <v>190</v>
      </c>
      <c r="AC162" t="s">
        <v>190</v>
      </c>
      <c r="AD162" t="s">
        <v>190</v>
      </c>
      <c r="AE162" t="s">
        <v>190</v>
      </c>
      <c r="AF162" t="s">
        <v>190</v>
      </c>
      <c r="AG162" t="s">
        <v>190</v>
      </c>
      <c r="AH162" t="s">
        <v>190</v>
      </c>
      <c r="AI162" t="s">
        <v>190</v>
      </c>
      <c r="AJ162" t="s">
        <v>190</v>
      </c>
    </row>
    <row r="163" spans="2:36">
      <c r="B163" s="2" t="s">
        <v>567</v>
      </c>
      <c r="C163" s="2" t="s">
        <v>510</v>
      </c>
      <c r="D163" s="2" t="str">
        <f>Table5[[#This Row],[First name]]&amp;" "&amp;Table5[[#This Row],[Last name]]</f>
        <v>Evelyn Zhang</v>
      </c>
      <c r="E163" s="2" t="str">
        <f>_xlfn.XLOOKUP(Table5[[#This Row],[Full name]],Table26[Name],Table26[Role],"Member",0,1)</f>
        <v>Member</v>
      </c>
      <c r="F163" s="2" t="s">
        <v>188</v>
      </c>
      <c r="G163" s="26" cm="1">
        <f t="array" aca="1" ref="G163" ca="1">COUNTIF(Table5[[#This Row],[September 30, 2025]:[April 7, 2026]],"Yes")/SUMPRODUCT(--(DATEVALUE(Table5[[#Headers],[September 30, 2025]:[April 9, 2026]])&lt;=TODAY()))</f>
        <v>0.1</v>
      </c>
      <c r="H163" t="s">
        <v>186</v>
      </c>
      <c r="I163" t="s">
        <v>186</v>
      </c>
      <c r="J163" t="s">
        <v>190</v>
      </c>
      <c r="K163" t="s">
        <v>190</v>
      </c>
      <c r="L163" t="s">
        <v>190</v>
      </c>
      <c r="M163" t="s">
        <v>190</v>
      </c>
      <c r="N163" t="s">
        <v>190</v>
      </c>
      <c r="O163" t="s">
        <v>190</v>
      </c>
      <c r="P163" t="s">
        <v>190</v>
      </c>
      <c r="Q163" t="s">
        <v>190</v>
      </c>
      <c r="R163" t="s">
        <v>190</v>
      </c>
      <c r="S163" t="s">
        <v>190</v>
      </c>
      <c r="T163" s="151" t="s">
        <v>190</v>
      </c>
      <c r="U163" t="s">
        <v>190</v>
      </c>
      <c r="V163" t="s">
        <v>190</v>
      </c>
      <c r="W163" t="s">
        <v>190</v>
      </c>
      <c r="X163" t="s">
        <v>190</v>
      </c>
      <c r="Y163" t="s">
        <v>190</v>
      </c>
      <c r="Z163" t="s">
        <v>190</v>
      </c>
      <c r="AA163" t="s">
        <v>190</v>
      </c>
      <c r="AB163" t="s">
        <v>190</v>
      </c>
      <c r="AC163" t="s">
        <v>190</v>
      </c>
      <c r="AD163" t="s">
        <v>190</v>
      </c>
      <c r="AE163" t="s">
        <v>190</v>
      </c>
      <c r="AF163" t="s">
        <v>190</v>
      </c>
      <c r="AG163" t="s">
        <v>190</v>
      </c>
      <c r="AH163" t="s">
        <v>190</v>
      </c>
      <c r="AI163" t="s">
        <v>190</v>
      </c>
      <c r="AJ163" t="s">
        <v>190</v>
      </c>
    </row>
    <row r="164" spans="2:36">
      <c r="B164" s="2" t="s">
        <v>568</v>
      </c>
      <c r="C164" s="2" t="s">
        <v>569</v>
      </c>
      <c r="D164" s="2" t="str">
        <f>Table5[[#This Row],[First name]]&amp;" "&amp;Table5[[#This Row],[Last name]]</f>
        <v>Everett McEwen</v>
      </c>
      <c r="E164" s="2" t="str">
        <f>_xlfn.XLOOKUP(Table5[[#This Row],[Full name]],Table26[Name],Table26[Role],"Member",0,1)</f>
        <v>Member</v>
      </c>
      <c r="F164" s="2"/>
      <c r="G164" s="152" cm="1">
        <f t="array" aca="1" ref="G164" ca="1">COUNTIF(Table5[[#This Row],[September 30, 2025]:[April 7, 2026]],"Yes")/SUMPRODUCT(--(DATEVALUE(Table5[[#Headers],[September 30, 2025]:[April 9, 2026]])&lt;=TODAY()))</f>
        <v>0.15</v>
      </c>
      <c r="T164" s="151"/>
      <c r="X164" t="s">
        <v>186</v>
      </c>
      <c r="Y164" t="s">
        <v>186</v>
      </c>
      <c r="Z164" t="s">
        <v>186</v>
      </c>
      <c r="AA164" t="s">
        <v>190</v>
      </c>
    </row>
    <row r="165" spans="2:36">
      <c r="B165" s="2" t="s">
        <v>570</v>
      </c>
      <c r="C165" s="2" t="s">
        <v>571</v>
      </c>
      <c r="D165" s="2" t="str">
        <f>Table5[[#This Row],[First name]]&amp;" "&amp;Table5[[#This Row],[Last name]]</f>
        <v>Ewan Reid</v>
      </c>
      <c r="E165" s="2" t="str">
        <f>_xlfn.XLOOKUP(Table5[[#This Row],[Full name]],Table26[Name],Table26[Role],"Member",0,1)</f>
        <v>Member</v>
      </c>
      <c r="F165" s="2" t="s">
        <v>188</v>
      </c>
      <c r="G165" s="26" cm="1">
        <f t="array" aca="1" ref="G165" ca="1">COUNTIF(Table5[[#This Row],[September 30, 2025]:[April 7, 2026]],"Yes")/SUMPRODUCT(--(DATEVALUE(Table5[[#Headers],[September 30, 2025]:[April 9, 2026]])&lt;=TODAY()))</f>
        <v>0.05</v>
      </c>
      <c r="H165" t="s">
        <v>190</v>
      </c>
      <c r="I165" t="s">
        <v>190</v>
      </c>
      <c r="J165" t="s">
        <v>190</v>
      </c>
      <c r="K165" t="s">
        <v>186</v>
      </c>
      <c r="L165" t="s">
        <v>190</v>
      </c>
      <c r="M165" t="s">
        <v>190</v>
      </c>
      <c r="N165" t="s">
        <v>190</v>
      </c>
      <c r="O165" t="s">
        <v>190</v>
      </c>
      <c r="P165" t="s">
        <v>190</v>
      </c>
      <c r="Q165" t="s">
        <v>190</v>
      </c>
      <c r="R165" t="s">
        <v>190</v>
      </c>
      <c r="S165" t="s">
        <v>190</v>
      </c>
      <c r="T165" s="151" t="s">
        <v>190</v>
      </c>
      <c r="U165" t="s">
        <v>190</v>
      </c>
      <c r="V165" t="s">
        <v>190</v>
      </c>
      <c r="W165" t="s">
        <v>190</v>
      </c>
      <c r="X165" t="s">
        <v>190</v>
      </c>
      <c r="Y165" t="s">
        <v>190</v>
      </c>
      <c r="Z165" t="s">
        <v>190</v>
      </c>
      <c r="AA165" t="s">
        <v>190</v>
      </c>
      <c r="AB165" t="s">
        <v>190</v>
      </c>
      <c r="AC165" t="s">
        <v>190</v>
      </c>
      <c r="AD165" t="s">
        <v>190</v>
      </c>
      <c r="AE165" t="s">
        <v>190</v>
      </c>
      <c r="AF165" t="s">
        <v>190</v>
      </c>
      <c r="AG165" t="s">
        <v>190</v>
      </c>
      <c r="AH165" t="s">
        <v>190</v>
      </c>
      <c r="AI165" t="s">
        <v>190</v>
      </c>
      <c r="AJ165" t="s">
        <v>190</v>
      </c>
    </row>
    <row r="166" spans="2:36">
      <c r="B166" s="2" t="s">
        <v>572</v>
      </c>
      <c r="C166" s="2" t="s">
        <v>573</v>
      </c>
      <c r="D166" s="2" t="str">
        <f>Table5[[#This Row],[First name]]&amp;" "&amp;Table5[[#This Row],[Last name]]</f>
        <v>Gabe Mclellan</v>
      </c>
      <c r="E166" s="2" t="str">
        <f>_xlfn.XLOOKUP(Table5[[#This Row],[Full name]],Table26[Name],Table26[Role],"Member",0,1)</f>
        <v>Member</v>
      </c>
      <c r="F166" s="2" t="s">
        <v>188</v>
      </c>
      <c r="G166" s="26" cm="1">
        <f t="array" aca="1" ref="G166" ca="1">COUNTIF(Table5[[#This Row],[September 30, 2025]:[April 7, 2026]],"Yes")/SUMPRODUCT(--(DATEVALUE(Table5[[#Headers],[September 30, 2025]:[April 9, 2026]])&lt;=TODAY()))</f>
        <v>0.3</v>
      </c>
      <c r="H166" t="s">
        <v>190</v>
      </c>
      <c r="I166" t="s">
        <v>186</v>
      </c>
      <c r="J166" t="s">
        <v>190</v>
      </c>
      <c r="K166" t="s">
        <v>186</v>
      </c>
      <c r="L166" t="s">
        <v>190</v>
      </c>
      <c r="M166" t="s">
        <v>186</v>
      </c>
      <c r="N166" t="s">
        <v>190</v>
      </c>
      <c r="O166" t="s">
        <v>190</v>
      </c>
      <c r="P166" t="s">
        <v>186</v>
      </c>
      <c r="Q166" t="s">
        <v>190</v>
      </c>
      <c r="R166" t="s">
        <v>190</v>
      </c>
      <c r="S166" t="s">
        <v>190</v>
      </c>
      <c r="T166" s="151" t="s">
        <v>190</v>
      </c>
      <c r="U166" t="s">
        <v>186</v>
      </c>
      <c r="V166" t="s">
        <v>190</v>
      </c>
      <c r="W166" t="s">
        <v>190</v>
      </c>
      <c r="X166" t="s">
        <v>190</v>
      </c>
      <c r="Y166" t="s">
        <v>190</v>
      </c>
      <c r="Z166" t="s">
        <v>190</v>
      </c>
      <c r="AA166" t="s">
        <v>186</v>
      </c>
      <c r="AB166" t="s">
        <v>190</v>
      </c>
      <c r="AC166" t="s">
        <v>190</v>
      </c>
      <c r="AD166" t="s">
        <v>190</v>
      </c>
      <c r="AE166" t="s">
        <v>190</v>
      </c>
      <c r="AF166" t="s">
        <v>190</v>
      </c>
      <c r="AG166" t="s">
        <v>190</v>
      </c>
      <c r="AH166" t="s">
        <v>190</v>
      </c>
      <c r="AI166" t="s">
        <v>190</v>
      </c>
      <c r="AJ166" t="s">
        <v>190</v>
      </c>
    </row>
    <row r="167" spans="2:36">
      <c r="B167" s="2" t="s">
        <v>574</v>
      </c>
      <c r="C167" s="2" t="s">
        <v>575</v>
      </c>
      <c r="D167" s="2" t="str">
        <f>Table5[[#This Row],[First name]]&amp;" "&amp;Table5[[#This Row],[Last name]]</f>
        <v>Gabriel Casiero</v>
      </c>
      <c r="E167" s="2" t="str">
        <f>_xlfn.XLOOKUP(Table5[[#This Row],[Full name]],Table26[Name],Table26[Role],"Member",0,1)</f>
        <v>Member</v>
      </c>
      <c r="F167" s="2" t="s">
        <v>188</v>
      </c>
      <c r="G167" s="26" cm="1">
        <f t="array" aca="1" ref="G167" ca="1">COUNTIF(Table5[[#This Row],[September 30, 2025]:[April 7, 2026]],"Yes")/SUMPRODUCT(--(DATEVALUE(Table5[[#Headers],[September 30, 2025]:[April 9, 2026]])&lt;=TODAY()))</f>
        <v>0</v>
      </c>
      <c r="H167" t="s">
        <v>190</v>
      </c>
      <c r="I167" t="s">
        <v>190</v>
      </c>
      <c r="J167" t="s">
        <v>190</v>
      </c>
      <c r="K167" t="s">
        <v>190</v>
      </c>
      <c r="L167" t="s">
        <v>190</v>
      </c>
      <c r="M167" t="s">
        <v>190</v>
      </c>
      <c r="N167" t="s">
        <v>190</v>
      </c>
      <c r="O167" t="s">
        <v>190</v>
      </c>
      <c r="P167" t="s">
        <v>190</v>
      </c>
      <c r="Q167" t="s">
        <v>190</v>
      </c>
      <c r="R167" t="s">
        <v>190</v>
      </c>
      <c r="S167" t="s">
        <v>190</v>
      </c>
      <c r="T167" s="151" t="s">
        <v>190</v>
      </c>
      <c r="U167" t="s">
        <v>190</v>
      </c>
      <c r="V167" t="s">
        <v>190</v>
      </c>
      <c r="W167" t="s">
        <v>190</v>
      </c>
      <c r="X167" t="s">
        <v>190</v>
      </c>
      <c r="Y167" t="s">
        <v>190</v>
      </c>
      <c r="Z167" t="s">
        <v>190</v>
      </c>
      <c r="AA167" t="s">
        <v>190</v>
      </c>
      <c r="AB167" t="s">
        <v>190</v>
      </c>
      <c r="AC167" t="s">
        <v>190</v>
      </c>
      <c r="AD167" t="s">
        <v>190</v>
      </c>
      <c r="AE167" t="s">
        <v>190</v>
      </c>
      <c r="AF167" t="s">
        <v>190</v>
      </c>
      <c r="AG167" t="s">
        <v>190</v>
      </c>
      <c r="AH167" t="s">
        <v>190</v>
      </c>
      <c r="AI167" t="s">
        <v>190</v>
      </c>
      <c r="AJ167" t="s">
        <v>190</v>
      </c>
    </row>
    <row r="168" spans="2:36">
      <c r="B168" s="2" t="s">
        <v>576</v>
      </c>
      <c r="C168" s="2" t="s">
        <v>577</v>
      </c>
      <c r="D168" s="2" t="str">
        <f>Table5[[#This Row],[First name]]&amp;" "&amp;Table5[[#This Row],[Last name]]</f>
        <v>Gary Chung</v>
      </c>
      <c r="E168" s="2" t="str">
        <f>_xlfn.XLOOKUP(Table5[[#This Row],[Full name]],Table26[Name],Table26[Role],"Member",0,1)</f>
        <v>Member</v>
      </c>
      <c r="F168" s="2" t="s">
        <v>188</v>
      </c>
      <c r="G168" s="26" cm="1">
        <f t="array" aca="1" ref="G168" ca="1">COUNTIF(Table5[[#This Row],[September 30, 2025]:[April 7, 2026]],"Yes")/SUMPRODUCT(--(DATEVALUE(Table5[[#Headers],[September 30, 2025]:[April 9, 2026]])&lt;=TODAY()))</f>
        <v>0.2</v>
      </c>
      <c r="P168" t="s">
        <v>186</v>
      </c>
      <c r="Q168" t="s">
        <v>190</v>
      </c>
      <c r="R168" t="s">
        <v>186</v>
      </c>
      <c r="S168" t="s">
        <v>186</v>
      </c>
      <c r="T168" s="151" t="s">
        <v>190</v>
      </c>
      <c r="U168" t="s">
        <v>190</v>
      </c>
      <c r="V168" t="s">
        <v>190</v>
      </c>
      <c r="W168" t="s">
        <v>190</v>
      </c>
      <c r="X168" t="s">
        <v>190</v>
      </c>
      <c r="Y168" t="s">
        <v>190</v>
      </c>
      <c r="Z168" t="s">
        <v>186</v>
      </c>
      <c r="AA168" t="s">
        <v>190</v>
      </c>
      <c r="AB168" t="s">
        <v>190</v>
      </c>
      <c r="AC168" t="s">
        <v>190</v>
      </c>
      <c r="AD168" t="s">
        <v>190</v>
      </c>
      <c r="AE168" t="s">
        <v>190</v>
      </c>
      <c r="AF168" t="s">
        <v>190</v>
      </c>
      <c r="AG168" t="s">
        <v>190</v>
      </c>
      <c r="AH168" t="s">
        <v>190</v>
      </c>
      <c r="AI168" t="s">
        <v>190</v>
      </c>
      <c r="AJ168" t="s">
        <v>190</v>
      </c>
    </row>
    <row r="169" spans="2:36">
      <c r="B169" s="2" t="s">
        <v>578</v>
      </c>
      <c r="C169" s="2" t="s">
        <v>579</v>
      </c>
      <c r="D169" s="2" t="str">
        <f>Table5[[#This Row],[First name]]&amp;" "&amp;Table5[[#This Row],[Last name]]</f>
        <v>Gavin Nichols</v>
      </c>
      <c r="E169" s="2" t="str">
        <f>_xlfn.XLOOKUP(Table5[[#This Row],[Full name]],Table26[Name],Table26[Role],"Member",0,1)</f>
        <v>Member</v>
      </c>
      <c r="F169" s="2" t="s">
        <v>188</v>
      </c>
      <c r="G169" s="26" cm="1">
        <f t="array" aca="1" ref="G169" ca="1">COUNTIF(Table5[[#This Row],[September 30, 2025]:[April 7, 2026]],"Yes")/SUMPRODUCT(--(DATEVALUE(Table5[[#Headers],[September 30, 2025]:[April 9, 2026]])&lt;=TODAY()))</f>
        <v>0</v>
      </c>
      <c r="H169" t="s">
        <v>190</v>
      </c>
      <c r="I169" t="s">
        <v>190</v>
      </c>
      <c r="J169" t="s">
        <v>190</v>
      </c>
      <c r="K169" t="s">
        <v>190</v>
      </c>
      <c r="L169" t="s">
        <v>190</v>
      </c>
      <c r="M169" t="s">
        <v>190</v>
      </c>
      <c r="N169" t="s">
        <v>190</v>
      </c>
      <c r="O169" t="s">
        <v>190</v>
      </c>
      <c r="P169" t="s">
        <v>190</v>
      </c>
      <c r="Q169" t="s">
        <v>190</v>
      </c>
      <c r="R169" t="s">
        <v>190</v>
      </c>
      <c r="S169" t="s">
        <v>190</v>
      </c>
      <c r="T169" s="151" t="s">
        <v>190</v>
      </c>
      <c r="U169" t="s">
        <v>190</v>
      </c>
      <c r="V169" t="s">
        <v>190</v>
      </c>
      <c r="W169" t="s">
        <v>190</v>
      </c>
      <c r="X169" t="s">
        <v>190</v>
      </c>
      <c r="Y169" t="s">
        <v>190</v>
      </c>
      <c r="Z169" t="s">
        <v>190</v>
      </c>
      <c r="AA169" t="s">
        <v>190</v>
      </c>
      <c r="AB169" t="s">
        <v>190</v>
      </c>
      <c r="AC169" t="s">
        <v>190</v>
      </c>
      <c r="AD169" t="s">
        <v>190</v>
      </c>
      <c r="AE169" t="s">
        <v>190</v>
      </c>
      <c r="AF169" t="s">
        <v>190</v>
      </c>
      <c r="AG169" t="s">
        <v>190</v>
      </c>
      <c r="AH169" t="s">
        <v>190</v>
      </c>
      <c r="AI169" t="s">
        <v>190</v>
      </c>
      <c r="AJ169" t="s">
        <v>190</v>
      </c>
    </row>
    <row r="170" spans="2:36">
      <c r="B170" s="2" t="s">
        <v>392</v>
      </c>
      <c r="C170" s="2" t="s">
        <v>580</v>
      </c>
      <c r="D170" s="2" t="str">
        <f>Table5[[#This Row],[First name]]&amp;" "&amp;Table5[[#This Row],[Last name]]</f>
        <v>George Florea</v>
      </c>
      <c r="E170" s="2" t="str">
        <f>_xlfn.XLOOKUP(Table5[[#This Row],[Full name]],Table26[Name],Table26[Role],"Member",0,1)</f>
        <v>Member</v>
      </c>
      <c r="F170" s="2" t="s">
        <v>188</v>
      </c>
      <c r="G170" s="26" cm="1">
        <f t="array" aca="1" ref="G170" ca="1">COUNTIF(Table5[[#This Row],[September 30, 2025]:[April 7, 2026]],"Yes")/SUMPRODUCT(--(DATEVALUE(Table5[[#Headers],[September 30, 2025]:[April 9, 2026]])&lt;=TODAY()))</f>
        <v>0</v>
      </c>
      <c r="H170" t="s">
        <v>190</v>
      </c>
      <c r="I170" t="s">
        <v>190</v>
      </c>
      <c r="J170" t="s">
        <v>190</v>
      </c>
      <c r="K170" t="s">
        <v>190</v>
      </c>
      <c r="L170" t="s">
        <v>190</v>
      </c>
      <c r="M170" t="s">
        <v>190</v>
      </c>
      <c r="N170" t="s">
        <v>190</v>
      </c>
      <c r="O170" t="s">
        <v>190</v>
      </c>
      <c r="P170" t="s">
        <v>190</v>
      </c>
      <c r="Q170" t="s">
        <v>190</v>
      </c>
      <c r="R170" t="s">
        <v>190</v>
      </c>
      <c r="S170" t="s">
        <v>190</v>
      </c>
      <c r="T170" s="151" t="s">
        <v>190</v>
      </c>
      <c r="U170" t="s">
        <v>190</v>
      </c>
      <c r="V170" t="s">
        <v>190</v>
      </c>
      <c r="W170" t="s">
        <v>190</v>
      </c>
      <c r="X170" t="s">
        <v>190</v>
      </c>
      <c r="Y170" t="s">
        <v>190</v>
      </c>
      <c r="Z170" t="s">
        <v>190</v>
      </c>
      <c r="AA170" t="s">
        <v>190</v>
      </c>
      <c r="AB170" t="s">
        <v>190</v>
      </c>
      <c r="AC170" t="s">
        <v>190</v>
      </c>
      <c r="AD170" t="s">
        <v>190</v>
      </c>
      <c r="AE170" t="s">
        <v>190</v>
      </c>
      <c r="AF170" t="s">
        <v>190</v>
      </c>
      <c r="AG170" t="s">
        <v>190</v>
      </c>
      <c r="AH170" t="s">
        <v>190</v>
      </c>
      <c r="AI170" t="s">
        <v>190</v>
      </c>
      <c r="AJ170" t="s">
        <v>190</v>
      </c>
    </row>
    <row r="171" spans="2:36">
      <c r="B171" s="2" t="s">
        <v>581</v>
      </c>
      <c r="C171" s="2" t="s">
        <v>582</v>
      </c>
      <c r="D171" s="2" t="str">
        <f>Table5[[#This Row],[First name]]&amp;" "&amp;Table5[[#This Row],[Last name]]</f>
        <v>Grayson Adams</v>
      </c>
      <c r="E171" s="2" t="str">
        <f>_xlfn.XLOOKUP(Table5[[#This Row],[Full name]],Table26[Name],Table26[Role],"Member",0,1)</f>
        <v>Member</v>
      </c>
      <c r="F171" s="2" t="s">
        <v>188</v>
      </c>
      <c r="G171" s="26" cm="1">
        <f t="array" aca="1" ref="G171" ca="1">COUNTIF(Table5[[#This Row],[September 30, 2025]:[April 7, 2026]],"Yes")/SUMPRODUCT(--(DATEVALUE(Table5[[#Headers],[September 30, 2025]:[April 9, 2026]])&lt;=TODAY()))</f>
        <v>0.1</v>
      </c>
      <c r="R171" t="s">
        <v>186</v>
      </c>
      <c r="T171" s="151" t="s">
        <v>190</v>
      </c>
      <c r="V171" t="s">
        <v>186</v>
      </c>
      <c r="X171" t="s">
        <v>190</v>
      </c>
      <c r="AA171" t="s">
        <v>190</v>
      </c>
    </row>
    <row r="172" spans="2:36">
      <c r="B172" s="2" t="s">
        <v>583</v>
      </c>
      <c r="C172" s="2" t="s">
        <v>584</v>
      </c>
      <c r="D172" s="2" t="str">
        <f>Table5[[#This Row],[First name]]&amp;" "&amp;Table5[[#This Row],[Last name]]</f>
        <v>Hafsah Sikandar</v>
      </c>
      <c r="E172" s="2" t="str">
        <f>_xlfn.XLOOKUP(Table5[[#This Row],[Full name]],Table26[Name],Table26[Role],"Member",0,1)</f>
        <v>Member</v>
      </c>
      <c r="F172" s="2" t="s">
        <v>188</v>
      </c>
      <c r="G172" s="152" cm="1">
        <f t="array" aca="1" ref="G172" ca="1">COUNTIF(Table5[[#This Row],[September 30, 2025]:[April 7, 2026]],"Yes")/SUMPRODUCT(--(DATEVALUE(Table5[[#Headers],[September 30, 2025]:[April 9, 2026]])&lt;=TODAY()))</f>
        <v>0.05</v>
      </c>
      <c r="T172" s="151"/>
      <c r="V172" t="s">
        <v>186</v>
      </c>
      <c r="AA172" t="s">
        <v>190</v>
      </c>
    </row>
    <row r="173" spans="2:36">
      <c r="B173" s="2" t="s">
        <v>585</v>
      </c>
      <c r="C173" s="2" t="s">
        <v>586</v>
      </c>
      <c r="D173" s="2" t="str">
        <f>Table5[[#This Row],[First name]]&amp;" "&amp;Table5[[#This Row],[Last name]]</f>
        <v>Hamza Khamissa</v>
      </c>
      <c r="E173" s="2" t="str">
        <f>_xlfn.XLOOKUP(Table5[[#This Row],[Full name]],Table26[Name],Table26[Role],"Member",0,1)</f>
        <v>Member</v>
      </c>
      <c r="F173" s="2" t="s">
        <v>188</v>
      </c>
      <c r="G173" s="26" cm="1">
        <f t="array" aca="1" ref="G173" ca="1">COUNTIF(Table5[[#This Row],[September 30, 2025]:[April 7, 2026]],"Yes")/SUMPRODUCT(--(DATEVALUE(Table5[[#Headers],[September 30, 2025]:[April 9, 2026]])&lt;=TODAY()))</f>
        <v>0.25</v>
      </c>
      <c r="H173" t="s">
        <v>186</v>
      </c>
      <c r="I173" t="s">
        <v>190</v>
      </c>
      <c r="J173" t="s">
        <v>186</v>
      </c>
      <c r="K173" t="s">
        <v>186</v>
      </c>
      <c r="L173" t="s">
        <v>190</v>
      </c>
      <c r="M173" t="s">
        <v>190</v>
      </c>
      <c r="N173" t="s">
        <v>186</v>
      </c>
      <c r="O173" t="s">
        <v>186</v>
      </c>
      <c r="P173" t="s">
        <v>190</v>
      </c>
      <c r="Q173" t="s">
        <v>190</v>
      </c>
      <c r="R173" t="s">
        <v>190</v>
      </c>
      <c r="S173" t="s">
        <v>190</v>
      </c>
      <c r="T173" s="151" t="s">
        <v>190</v>
      </c>
      <c r="U173" t="s">
        <v>190</v>
      </c>
      <c r="V173" t="s">
        <v>190</v>
      </c>
      <c r="W173" t="s">
        <v>190</v>
      </c>
      <c r="X173" t="s">
        <v>190</v>
      </c>
      <c r="Y173" t="s">
        <v>190</v>
      </c>
      <c r="Z173" t="s">
        <v>190</v>
      </c>
      <c r="AA173" t="s">
        <v>190</v>
      </c>
      <c r="AB173" t="s">
        <v>190</v>
      </c>
      <c r="AC173" t="s">
        <v>190</v>
      </c>
      <c r="AD173" t="s">
        <v>190</v>
      </c>
      <c r="AE173" t="s">
        <v>190</v>
      </c>
      <c r="AF173" t="s">
        <v>190</v>
      </c>
      <c r="AG173" t="s">
        <v>190</v>
      </c>
      <c r="AH173" t="s">
        <v>190</v>
      </c>
      <c r="AI173" t="s">
        <v>190</v>
      </c>
      <c r="AJ173" t="s">
        <v>190</v>
      </c>
    </row>
    <row r="174" spans="2:36">
      <c r="B174" s="2" t="s">
        <v>587</v>
      </c>
      <c r="C174" s="2" t="s">
        <v>588</v>
      </c>
      <c r="D174" s="2" t="str">
        <f>Table5[[#This Row],[First name]]&amp;" "&amp;Table5[[#This Row],[Last name]]</f>
        <v>Haoyi Wang</v>
      </c>
      <c r="E174" s="2" t="str">
        <f>_xlfn.XLOOKUP(Table5[[#This Row],[Full name]],Table26[Name],Table26[Role],"Member",0,1)</f>
        <v>Member</v>
      </c>
      <c r="F174" s="2" t="s">
        <v>188</v>
      </c>
      <c r="G174" s="26" cm="1">
        <f t="array" aca="1" ref="G174" ca="1">COUNTIF(Table5[[#This Row],[September 30, 2025]:[April 7, 2026]],"Yes")/SUMPRODUCT(--(DATEVALUE(Table5[[#Headers],[September 30, 2025]:[April 9, 2026]])&lt;=TODAY()))</f>
        <v>0</v>
      </c>
      <c r="H174" t="s">
        <v>190</v>
      </c>
      <c r="I174" t="s">
        <v>190</v>
      </c>
      <c r="J174" t="s">
        <v>190</v>
      </c>
      <c r="K174" t="s">
        <v>190</v>
      </c>
      <c r="L174" t="s">
        <v>190</v>
      </c>
      <c r="M174" t="s">
        <v>190</v>
      </c>
      <c r="N174" t="s">
        <v>190</v>
      </c>
      <c r="O174" t="s">
        <v>190</v>
      </c>
      <c r="P174" t="s">
        <v>190</v>
      </c>
      <c r="Q174" t="s">
        <v>190</v>
      </c>
      <c r="R174" t="s">
        <v>190</v>
      </c>
      <c r="S174" t="s">
        <v>190</v>
      </c>
      <c r="T174" s="151" t="s">
        <v>190</v>
      </c>
      <c r="U174" t="s">
        <v>190</v>
      </c>
      <c r="V174" t="s">
        <v>190</v>
      </c>
      <c r="W174" t="s">
        <v>190</v>
      </c>
      <c r="X174" t="s">
        <v>190</v>
      </c>
      <c r="Y174" t="s">
        <v>190</v>
      </c>
      <c r="Z174" t="s">
        <v>190</v>
      </c>
      <c r="AA174" t="s">
        <v>190</v>
      </c>
      <c r="AB174" t="s">
        <v>190</v>
      </c>
      <c r="AC174" t="s">
        <v>190</v>
      </c>
      <c r="AD174" t="s">
        <v>190</v>
      </c>
      <c r="AE174" t="s">
        <v>190</v>
      </c>
      <c r="AF174" t="s">
        <v>190</v>
      </c>
      <c r="AG174" t="s">
        <v>190</v>
      </c>
      <c r="AH174" t="s">
        <v>190</v>
      </c>
      <c r="AI174" t="s">
        <v>190</v>
      </c>
      <c r="AJ174" t="s">
        <v>190</v>
      </c>
    </row>
    <row r="175" spans="2:36">
      <c r="B175" s="2" t="s">
        <v>589</v>
      </c>
      <c r="C175" s="2" t="s">
        <v>510</v>
      </c>
      <c r="D175" s="2" t="str">
        <f>Table5[[#This Row],[First name]]&amp;" "&amp;Table5[[#This Row],[Last name]]</f>
        <v>Harold Zhang</v>
      </c>
      <c r="E175" s="2" t="str">
        <f>_xlfn.XLOOKUP(Table5[[#This Row],[Full name]],Table26[Name],Table26[Role],"Member",0,1)</f>
        <v>Member</v>
      </c>
      <c r="F175" s="2" t="s">
        <v>188</v>
      </c>
      <c r="G175" s="26" cm="1">
        <f t="array" aca="1" ref="G175" ca="1">COUNTIF(Table5[[#This Row],[September 30, 2025]:[April 7, 2026]],"Yes")/SUMPRODUCT(--(DATEVALUE(Table5[[#Headers],[September 30, 2025]:[April 9, 2026]])&lt;=TODAY()))</f>
        <v>0.4</v>
      </c>
      <c r="H175" t="s">
        <v>190</v>
      </c>
      <c r="I175" t="s">
        <v>190</v>
      </c>
      <c r="J175" t="s">
        <v>190</v>
      </c>
      <c r="K175" t="s">
        <v>190</v>
      </c>
      <c r="L175" t="s">
        <v>186</v>
      </c>
      <c r="M175" t="s">
        <v>186</v>
      </c>
      <c r="N175" t="s">
        <v>186</v>
      </c>
      <c r="O175" t="s">
        <v>186</v>
      </c>
      <c r="P175" t="s">
        <v>190</v>
      </c>
      <c r="Q175" t="s">
        <v>186</v>
      </c>
      <c r="R175" t="s">
        <v>190</v>
      </c>
      <c r="S175" t="s">
        <v>186</v>
      </c>
      <c r="T175" s="151" t="s">
        <v>190</v>
      </c>
      <c r="U175" t="s">
        <v>190</v>
      </c>
      <c r="V175" t="s">
        <v>186</v>
      </c>
      <c r="W175" t="s">
        <v>190</v>
      </c>
      <c r="X175" t="s">
        <v>190</v>
      </c>
      <c r="Y175" t="s">
        <v>190</v>
      </c>
      <c r="Z175" t="s">
        <v>190</v>
      </c>
      <c r="AA175" t="s">
        <v>186</v>
      </c>
      <c r="AB175" t="s">
        <v>190</v>
      </c>
      <c r="AC175" t="s">
        <v>190</v>
      </c>
      <c r="AD175" t="s">
        <v>190</v>
      </c>
      <c r="AE175" t="s">
        <v>190</v>
      </c>
      <c r="AF175" t="s">
        <v>190</v>
      </c>
      <c r="AG175" t="s">
        <v>190</v>
      </c>
      <c r="AH175" t="s">
        <v>190</v>
      </c>
      <c r="AI175" t="s">
        <v>190</v>
      </c>
      <c r="AJ175" t="s">
        <v>190</v>
      </c>
    </row>
    <row r="176" spans="2:36">
      <c r="B176" s="2" t="s">
        <v>590</v>
      </c>
      <c r="C176" s="2" t="s">
        <v>591</v>
      </c>
      <c r="D176" s="2" t="str">
        <f>Table5[[#This Row],[First name]]&amp;" "&amp;Table5[[#This Row],[Last name]]</f>
        <v>Haroun Elamin</v>
      </c>
      <c r="E176" s="2" t="str">
        <f>_xlfn.XLOOKUP(Table5[[#This Row],[Full name]],Table26[Name],Table26[Role],"Member",0,1)</f>
        <v>Member</v>
      </c>
      <c r="F176" s="2" t="s">
        <v>188</v>
      </c>
      <c r="G176" s="26" cm="1">
        <f t="array" aca="1" ref="G176" ca="1">COUNTIF(Table5[[#This Row],[September 30, 2025]:[April 7, 2026]],"Yes")/SUMPRODUCT(--(DATEVALUE(Table5[[#Headers],[September 30, 2025]:[April 9, 2026]])&lt;=TODAY()))</f>
        <v>0.05</v>
      </c>
      <c r="H176" t="s">
        <v>190</v>
      </c>
      <c r="I176" t="s">
        <v>190</v>
      </c>
      <c r="J176" t="s">
        <v>190</v>
      </c>
      <c r="K176" t="s">
        <v>190</v>
      </c>
      <c r="L176" t="s">
        <v>186</v>
      </c>
      <c r="M176" t="s">
        <v>190</v>
      </c>
      <c r="N176" t="s">
        <v>190</v>
      </c>
      <c r="O176" t="s">
        <v>190</v>
      </c>
      <c r="P176" t="s">
        <v>190</v>
      </c>
      <c r="Q176" t="s">
        <v>190</v>
      </c>
      <c r="R176" t="s">
        <v>190</v>
      </c>
      <c r="S176" t="s">
        <v>190</v>
      </c>
      <c r="T176" s="151" t="s">
        <v>190</v>
      </c>
      <c r="U176" t="s">
        <v>190</v>
      </c>
      <c r="V176" t="s">
        <v>190</v>
      </c>
      <c r="W176" t="s">
        <v>190</v>
      </c>
      <c r="X176" t="s">
        <v>190</v>
      </c>
      <c r="Y176" t="s">
        <v>190</v>
      </c>
      <c r="Z176" t="s">
        <v>190</v>
      </c>
      <c r="AA176" t="s">
        <v>190</v>
      </c>
      <c r="AB176" t="s">
        <v>190</v>
      </c>
      <c r="AC176" t="s">
        <v>190</v>
      </c>
      <c r="AD176" t="s">
        <v>190</v>
      </c>
      <c r="AE176" t="s">
        <v>190</v>
      </c>
      <c r="AF176" t="s">
        <v>190</v>
      </c>
      <c r="AG176" t="s">
        <v>190</v>
      </c>
      <c r="AH176" t="s">
        <v>190</v>
      </c>
      <c r="AI176" t="s">
        <v>190</v>
      </c>
      <c r="AJ176" t="s">
        <v>190</v>
      </c>
    </row>
    <row r="177" spans="2:36">
      <c r="B177" s="2" t="s">
        <v>592</v>
      </c>
      <c r="C177" s="2" t="s">
        <v>593</v>
      </c>
      <c r="D177" s="2" t="str">
        <f>Table5[[#This Row],[First name]]&amp;" "&amp;Table5[[#This Row],[Last name]]</f>
        <v>Hatim Adamjee</v>
      </c>
      <c r="E177" s="2" t="str">
        <f>_xlfn.XLOOKUP(Table5[[#This Row],[Full name]],Table26[Name],Table26[Role],"Member",0,1)</f>
        <v>Member</v>
      </c>
      <c r="F177" s="2" t="s">
        <v>188</v>
      </c>
      <c r="G177" s="26" cm="1">
        <f t="array" aca="1" ref="G177" ca="1">COUNTIF(Table5[[#This Row],[September 30, 2025]:[April 7, 2026]],"Yes")/SUMPRODUCT(--(DATEVALUE(Table5[[#Headers],[September 30, 2025]:[April 9, 2026]])&lt;=TODAY()))</f>
        <v>0.9</v>
      </c>
      <c r="H177" t="s">
        <v>186</v>
      </c>
      <c r="I177" t="s">
        <v>186</v>
      </c>
      <c r="J177" t="s">
        <v>186</v>
      </c>
      <c r="K177" t="s">
        <v>186</v>
      </c>
      <c r="L177" t="s">
        <v>186</v>
      </c>
      <c r="M177" t="s">
        <v>186</v>
      </c>
      <c r="N177" t="s">
        <v>186</v>
      </c>
      <c r="O177" t="s">
        <v>186</v>
      </c>
      <c r="P177" t="s">
        <v>186</v>
      </c>
      <c r="Q177" t="s">
        <v>186</v>
      </c>
      <c r="R177" t="s">
        <v>186</v>
      </c>
      <c r="S177" t="s">
        <v>186</v>
      </c>
      <c r="T177" s="151" t="s">
        <v>186</v>
      </c>
      <c r="U177" t="s">
        <v>186</v>
      </c>
      <c r="V177" t="s">
        <v>190</v>
      </c>
      <c r="W177" t="s">
        <v>186</v>
      </c>
      <c r="X177" t="s">
        <v>186</v>
      </c>
      <c r="Y177" t="s">
        <v>186</v>
      </c>
      <c r="Z177" t="s">
        <v>186</v>
      </c>
      <c r="AA177" t="s">
        <v>190</v>
      </c>
      <c r="AB177" t="s">
        <v>190</v>
      </c>
      <c r="AC177" t="s">
        <v>190</v>
      </c>
      <c r="AD177" t="s">
        <v>190</v>
      </c>
      <c r="AE177" t="s">
        <v>190</v>
      </c>
      <c r="AF177" t="s">
        <v>190</v>
      </c>
      <c r="AG177" t="s">
        <v>190</v>
      </c>
      <c r="AH177" t="s">
        <v>190</v>
      </c>
      <c r="AI177" t="s">
        <v>190</v>
      </c>
      <c r="AJ177" t="s">
        <v>190</v>
      </c>
    </row>
    <row r="178" spans="2:36">
      <c r="B178" s="2" t="s">
        <v>594</v>
      </c>
      <c r="C178" s="2" t="s">
        <v>595</v>
      </c>
      <c r="D178" s="2" t="str">
        <f>Table5[[#This Row],[First name]]&amp;" "&amp;Table5[[#This Row],[Last name]]</f>
        <v>Hiram Lee</v>
      </c>
      <c r="E178" s="2" t="str">
        <f>_xlfn.XLOOKUP(Table5[[#This Row],[Full name]],Table26[Name],Table26[Role],"Member",0,1)</f>
        <v>Member</v>
      </c>
      <c r="F178" s="2" t="s">
        <v>188</v>
      </c>
      <c r="G178" s="26" cm="1">
        <f t="array" aca="1" ref="G178" ca="1">COUNTIF(Table5[[#This Row],[September 30, 2025]:[April 7, 2026]],"Yes")/SUMPRODUCT(--(DATEVALUE(Table5[[#Headers],[September 30, 2025]:[April 9, 2026]])&lt;=TODAY()))</f>
        <v>0.1</v>
      </c>
      <c r="H178" t="s">
        <v>186</v>
      </c>
      <c r="I178" t="s">
        <v>186</v>
      </c>
      <c r="J178" t="s">
        <v>190</v>
      </c>
      <c r="K178" t="s">
        <v>190</v>
      </c>
      <c r="L178" t="s">
        <v>190</v>
      </c>
      <c r="M178" t="s">
        <v>190</v>
      </c>
      <c r="N178" t="s">
        <v>190</v>
      </c>
      <c r="O178" t="s">
        <v>190</v>
      </c>
      <c r="P178" t="s">
        <v>190</v>
      </c>
      <c r="Q178" t="s">
        <v>190</v>
      </c>
      <c r="R178" t="s">
        <v>190</v>
      </c>
      <c r="S178" t="s">
        <v>190</v>
      </c>
      <c r="T178" s="151" t="s">
        <v>190</v>
      </c>
      <c r="U178" t="s">
        <v>190</v>
      </c>
      <c r="V178" t="s">
        <v>190</v>
      </c>
      <c r="W178" t="s">
        <v>190</v>
      </c>
      <c r="X178" t="s">
        <v>190</v>
      </c>
      <c r="Y178" t="s">
        <v>190</v>
      </c>
      <c r="Z178" t="s">
        <v>190</v>
      </c>
      <c r="AA178" t="s">
        <v>190</v>
      </c>
      <c r="AB178" t="s">
        <v>190</v>
      </c>
      <c r="AC178" t="s">
        <v>190</v>
      </c>
      <c r="AD178" t="s">
        <v>190</v>
      </c>
      <c r="AE178" t="s">
        <v>190</v>
      </c>
      <c r="AF178" t="s">
        <v>190</v>
      </c>
      <c r="AG178" t="s">
        <v>190</v>
      </c>
      <c r="AH178" t="s">
        <v>190</v>
      </c>
      <c r="AI178" t="s">
        <v>190</v>
      </c>
      <c r="AJ178" t="s">
        <v>190</v>
      </c>
    </row>
    <row r="179" spans="2:36">
      <c r="B179" s="2" t="s">
        <v>596</v>
      </c>
      <c r="C179" s="2" t="s">
        <v>597</v>
      </c>
      <c r="D179" s="2" t="str">
        <f>Table5[[#This Row],[First name]]&amp;" "&amp;Table5[[#This Row],[Last name]]</f>
        <v>Hooman Nozari</v>
      </c>
      <c r="E179" s="2" t="str">
        <f>_xlfn.XLOOKUP(Table5[[#This Row],[Full name]],Table26[Name],Table26[Role],"Member",0,1)</f>
        <v>Member</v>
      </c>
      <c r="F179" s="2" t="s">
        <v>188</v>
      </c>
      <c r="G179" s="26" cm="1">
        <f t="array" aca="1" ref="G179" ca="1">COUNTIF(Table5[[#This Row],[September 30, 2025]:[April 7, 2026]],"Yes")/SUMPRODUCT(--(DATEVALUE(Table5[[#Headers],[September 30, 2025]:[April 9, 2026]])&lt;=TODAY()))</f>
        <v>0.3</v>
      </c>
      <c r="H179" t="s">
        <v>190</v>
      </c>
      <c r="I179" t="s">
        <v>190</v>
      </c>
      <c r="J179" t="s">
        <v>186</v>
      </c>
      <c r="K179" t="s">
        <v>186</v>
      </c>
      <c r="L179" t="s">
        <v>186</v>
      </c>
      <c r="M179" t="s">
        <v>186</v>
      </c>
      <c r="N179" t="s">
        <v>186</v>
      </c>
      <c r="O179" t="s">
        <v>190</v>
      </c>
      <c r="P179" t="s">
        <v>190</v>
      </c>
      <c r="Q179" t="s">
        <v>190</v>
      </c>
      <c r="R179" t="s">
        <v>190</v>
      </c>
      <c r="S179" t="s">
        <v>190</v>
      </c>
      <c r="T179" s="151" t="s">
        <v>190</v>
      </c>
      <c r="U179" t="s">
        <v>190</v>
      </c>
      <c r="V179" t="s">
        <v>190</v>
      </c>
      <c r="W179" t="s">
        <v>190</v>
      </c>
      <c r="X179" t="s">
        <v>190</v>
      </c>
      <c r="Y179" t="s">
        <v>190</v>
      </c>
      <c r="Z179" t="s">
        <v>190</v>
      </c>
      <c r="AA179" t="s">
        <v>186</v>
      </c>
      <c r="AB179" t="s">
        <v>190</v>
      </c>
      <c r="AC179" t="s">
        <v>190</v>
      </c>
      <c r="AD179" t="s">
        <v>190</v>
      </c>
      <c r="AE179" t="s">
        <v>190</v>
      </c>
      <c r="AF179" t="s">
        <v>190</v>
      </c>
      <c r="AG179" t="s">
        <v>190</v>
      </c>
      <c r="AH179" t="s">
        <v>190</v>
      </c>
      <c r="AI179" t="s">
        <v>190</v>
      </c>
      <c r="AJ179" t="s">
        <v>190</v>
      </c>
    </row>
    <row r="180" spans="2:36">
      <c r="B180" s="2" t="s">
        <v>598</v>
      </c>
      <c r="C180" s="2" t="s">
        <v>599</v>
      </c>
      <c r="D180" s="2" t="str">
        <f>Table5[[#This Row],[First name]]&amp;" "&amp;Table5[[#This Row],[Last name]]</f>
        <v>Ian Imrie</v>
      </c>
      <c r="E180" s="2" t="str">
        <f>_xlfn.XLOOKUP(Table5[[#This Row],[Full name]],Table26[Name],Table26[Role],"Member",0,1)</f>
        <v>Member</v>
      </c>
      <c r="F180" s="2" t="s">
        <v>188</v>
      </c>
      <c r="G180" s="26" cm="1">
        <f t="array" aca="1" ref="G180" ca="1">COUNTIF(Table5[[#This Row],[September 30, 2025]:[April 7, 2026]],"Yes")/SUMPRODUCT(--(DATEVALUE(Table5[[#Headers],[September 30, 2025]:[April 9, 2026]])&lt;=TODAY()))</f>
        <v>0.8</v>
      </c>
      <c r="H180" t="s">
        <v>186</v>
      </c>
      <c r="I180" t="s">
        <v>186</v>
      </c>
      <c r="J180" t="s">
        <v>186</v>
      </c>
      <c r="K180" t="s">
        <v>186</v>
      </c>
      <c r="L180" t="s">
        <v>186</v>
      </c>
      <c r="M180" t="s">
        <v>186</v>
      </c>
      <c r="N180" t="s">
        <v>186</v>
      </c>
      <c r="O180" t="s">
        <v>186</v>
      </c>
      <c r="P180" t="s">
        <v>190</v>
      </c>
      <c r="Q180" t="s">
        <v>186</v>
      </c>
      <c r="R180" t="s">
        <v>190</v>
      </c>
      <c r="S180" t="s">
        <v>186</v>
      </c>
      <c r="T180" s="151" t="s">
        <v>186</v>
      </c>
      <c r="U180" t="s">
        <v>190</v>
      </c>
      <c r="V180" t="s">
        <v>186</v>
      </c>
      <c r="W180" t="s">
        <v>190</v>
      </c>
      <c r="X180" t="s">
        <v>186</v>
      </c>
      <c r="Y180" t="s">
        <v>186</v>
      </c>
      <c r="Z180" t="s">
        <v>186</v>
      </c>
      <c r="AA180" t="s">
        <v>186</v>
      </c>
      <c r="AB180" t="s">
        <v>190</v>
      </c>
      <c r="AC180" t="s">
        <v>190</v>
      </c>
      <c r="AD180" t="s">
        <v>190</v>
      </c>
      <c r="AE180" t="s">
        <v>190</v>
      </c>
      <c r="AF180" t="s">
        <v>190</v>
      </c>
      <c r="AG180" t="s">
        <v>190</v>
      </c>
      <c r="AH180" t="s">
        <v>190</v>
      </c>
      <c r="AI180" t="s">
        <v>190</v>
      </c>
      <c r="AJ180" t="s">
        <v>190</v>
      </c>
    </row>
    <row r="181" spans="2:36">
      <c r="B181" s="2" t="s">
        <v>598</v>
      </c>
      <c r="C181" s="2" t="s">
        <v>600</v>
      </c>
      <c r="D181" s="2" t="str">
        <f>Table5[[#This Row],[First name]]&amp;" "&amp;Table5[[#This Row],[Last name]]</f>
        <v>Ian Johnson</v>
      </c>
      <c r="E181" s="2" t="str">
        <f>_xlfn.XLOOKUP(Table5[[#This Row],[Full name]],Table26[Name],Table26[Role],"Member",0,1)</f>
        <v>Member</v>
      </c>
      <c r="F181" s="2" t="s">
        <v>188</v>
      </c>
      <c r="G181" s="26" cm="1">
        <f t="array" aca="1" ref="G181" ca="1">COUNTIF(Table5[[#This Row],[September 30, 2025]:[April 7, 2026]],"Yes")/SUMPRODUCT(--(DATEVALUE(Table5[[#Headers],[September 30, 2025]:[April 9, 2026]])&lt;=TODAY()))</f>
        <v>0</v>
      </c>
      <c r="H181" t="s">
        <v>190</v>
      </c>
      <c r="I181" t="s">
        <v>190</v>
      </c>
      <c r="J181" t="s">
        <v>190</v>
      </c>
      <c r="K181" t="s">
        <v>190</v>
      </c>
      <c r="L181" t="s">
        <v>190</v>
      </c>
      <c r="M181" t="s">
        <v>190</v>
      </c>
      <c r="N181" t="s">
        <v>190</v>
      </c>
      <c r="O181" t="s">
        <v>190</v>
      </c>
      <c r="P181" t="s">
        <v>190</v>
      </c>
      <c r="Q181" t="s">
        <v>190</v>
      </c>
      <c r="R181" t="s">
        <v>190</v>
      </c>
      <c r="S181" t="s">
        <v>190</v>
      </c>
      <c r="T181" s="151" t="s">
        <v>190</v>
      </c>
      <c r="U181" t="s">
        <v>190</v>
      </c>
      <c r="V181" t="s">
        <v>190</v>
      </c>
      <c r="W181" t="s">
        <v>190</v>
      </c>
      <c r="X181" t="s">
        <v>190</v>
      </c>
      <c r="Y181" t="s">
        <v>190</v>
      </c>
      <c r="Z181" t="s">
        <v>190</v>
      </c>
      <c r="AA181" t="s">
        <v>190</v>
      </c>
      <c r="AB181" t="s">
        <v>190</v>
      </c>
      <c r="AC181" t="s">
        <v>190</v>
      </c>
      <c r="AD181" t="s">
        <v>190</v>
      </c>
      <c r="AE181" t="s">
        <v>190</v>
      </c>
      <c r="AF181" t="s">
        <v>190</v>
      </c>
      <c r="AG181" t="s">
        <v>190</v>
      </c>
      <c r="AH181" t="s">
        <v>190</v>
      </c>
      <c r="AI181" t="s">
        <v>190</v>
      </c>
      <c r="AJ181" t="s">
        <v>190</v>
      </c>
    </row>
    <row r="182" spans="2:36">
      <c r="B182" s="2" t="s">
        <v>601</v>
      </c>
      <c r="C182" s="2" t="s">
        <v>602</v>
      </c>
      <c r="D182" s="2" t="str">
        <f>Table5[[#This Row],[First name]]&amp;" "&amp;Table5[[#This Row],[Last name]]</f>
        <v>Ilya Beuermann</v>
      </c>
      <c r="E182" s="2" t="str">
        <f>_xlfn.XLOOKUP(Table5[[#This Row],[Full name]],Table26[Name],Table26[Role],"Member",0,1)</f>
        <v>Member</v>
      </c>
      <c r="F182" s="2" t="s">
        <v>188</v>
      </c>
      <c r="G182" s="26" cm="1">
        <f t="array" aca="1" ref="G182" ca="1">COUNTIF(Table5[[#This Row],[September 30, 2025]:[April 7, 2026]],"Yes")/SUMPRODUCT(--(DATEVALUE(Table5[[#Headers],[September 30, 2025]:[April 9, 2026]])&lt;=TODAY()))</f>
        <v>1</v>
      </c>
      <c r="H182" t="s">
        <v>186</v>
      </c>
      <c r="I182" t="s">
        <v>186</v>
      </c>
      <c r="J182" t="s">
        <v>186</v>
      </c>
      <c r="K182" t="s">
        <v>186</v>
      </c>
      <c r="L182" t="s">
        <v>186</v>
      </c>
      <c r="M182" t="s">
        <v>186</v>
      </c>
      <c r="N182" t="s">
        <v>186</v>
      </c>
      <c r="O182" t="s">
        <v>186</v>
      </c>
      <c r="P182" t="s">
        <v>186</v>
      </c>
      <c r="Q182" t="s">
        <v>186</v>
      </c>
      <c r="R182" t="s">
        <v>186</v>
      </c>
      <c r="S182" t="s">
        <v>186</v>
      </c>
      <c r="T182" s="151" t="s">
        <v>186</v>
      </c>
      <c r="U182" t="s">
        <v>186</v>
      </c>
      <c r="V182" t="s">
        <v>186</v>
      </c>
      <c r="W182" t="s">
        <v>186</v>
      </c>
      <c r="X182" t="s">
        <v>186</v>
      </c>
      <c r="Y182" t="s">
        <v>186</v>
      </c>
      <c r="Z182" t="s">
        <v>186</v>
      </c>
      <c r="AA182" t="s">
        <v>186</v>
      </c>
      <c r="AB182" t="s">
        <v>190</v>
      </c>
      <c r="AC182" t="s">
        <v>190</v>
      </c>
      <c r="AD182" t="s">
        <v>190</v>
      </c>
      <c r="AE182" t="s">
        <v>190</v>
      </c>
      <c r="AF182" t="s">
        <v>190</v>
      </c>
      <c r="AG182" t="s">
        <v>190</v>
      </c>
      <c r="AH182" t="s">
        <v>190</v>
      </c>
      <c r="AI182" t="s">
        <v>190</v>
      </c>
      <c r="AJ182" t="s">
        <v>190</v>
      </c>
    </row>
    <row r="183" spans="2:36">
      <c r="B183" s="2" t="s">
        <v>603</v>
      </c>
      <c r="C183" s="2" t="s">
        <v>604</v>
      </c>
      <c r="D183" s="2" t="str">
        <f>Table5[[#This Row],[First name]]&amp;" "&amp;Table5[[#This Row],[Last name]]</f>
        <v>Ivan Zhou</v>
      </c>
      <c r="E183" s="2" t="str">
        <f>_xlfn.XLOOKUP(Table5[[#This Row],[Full name]],Table26[Name],Table26[Role],"Member",0,1)</f>
        <v>Member</v>
      </c>
      <c r="F183" s="2" t="s">
        <v>188</v>
      </c>
      <c r="G183" s="26" cm="1">
        <f t="array" aca="1" ref="G183" ca="1">COUNTIF(Table5[[#This Row],[September 30, 2025]:[April 7, 2026]],"Yes")/SUMPRODUCT(--(DATEVALUE(Table5[[#Headers],[September 30, 2025]:[April 9, 2026]])&lt;=TODAY()))</f>
        <v>0.05</v>
      </c>
      <c r="H183" t="s">
        <v>190</v>
      </c>
      <c r="I183" t="s">
        <v>190</v>
      </c>
      <c r="J183" t="s">
        <v>186</v>
      </c>
      <c r="K183" t="s">
        <v>190</v>
      </c>
      <c r="L183" t="s">
        <v>190</v>
      </c>
      <c r="M183" t="s">
        <v>190</v>
      </c>
      <c r="N183" t="s">
        <v>190</v>
      </c>
      <c r="O183" t="s">
        <v>190</v>
      </c>
      <c r="P183" t="s">
        <v>190</v>
      </c>
      <c r="Q183" t="s">
        <v>190</v>
      </c>
      <c r="R183" t="s">
        <v>190</v>
      </c>
      <c r="S183" t="s">
        <v>190</v>
      </c>
      <c r="T183" s="151" t="s">
        <v>190</v>
      </c>
      <c r="U183" t="s">
        <v>190</v>
      </c>
      <c r="V183" t="s">
        <v>190</v>
      </c>
      <c r="W183" t="s">
        <v>190</v>
      </c>
      <c r="X183" t="s">
        <v>190</v>
      </c>
      <c r="Y183" t="s">
        <v>190</v>
      </c>
      <c r="Z183" t="s">
        <v>190</v>
      </c>
      <c r="AA183" t="s">
        <v>190</v>
      </c>
      <c r="AB183" t="s">
        <v>190</v>
      </c>
      <c r="AC183" t="s">
        <v>190</v>
      </c>
      <c r="AD183" t="s">
        <v>190</v>
      </c>
      <c r="AE183" t="s">
        <v>190</v>
      </c>
      <c r="AF183" t="s">
        <v>190</v>
      </c>
      <c r="AG183" t="s">
        <v>190</v>
      </c>
      <c r="AH183" t="s">
        <v>190</v>
      </c>
      <c r="AI183" t="s">
        <v>190</v>
      </c>
      <c r="AJ183" t="s">
        <v>190</v>
      </c>
    </row>
    <row r="184" spans="2:36">
      <c r="B184" s="2" t="s">
        <v>605</v>
      </c>
      <c r="C184" s="2" t="s">
        <v>606</v>
      </c>
      <c r="D184" s="2" t="str">
        <f>Table5[[#This Row],[First name]]&amp;" "&amp;Table5[[#This Row],[Last name]]</f>
        <v>Jack Watson</v>
      </c>
      <c r="E184" s="2" t="str">
        <f>_xlfn.XLOOKUP(Table5[[#This Row],[Full name]],Table26[Name],Table26[Role],"Member",0,1)</f>
        <v>Member</v>
      </c>
      <c r="F184" s="2" t="s">
        <v>188</v>
      </c>
      <c r="G184" s="26" cm="1">
        <f t="array" aca="1" ref="G184" ca="1">COUNTIF(Table5[[#This Row],[September 30, 2025]:[April 7, 2026]],"Yes")/SUMPRODUCT(--(DATEVALUE(Table5[[#Headers],[September 30, 2025]:[April 9, 2026]])&lt;=TODAY()))</f>
        <v>0.45</v>
      </c>
      <c r="H184" t="s">
        <v>186</v>
      </c>
      <c r="I184" t="s">
        <v>190</v>
      </c>
      <c r="J184" t="s">
        <v>190</v>
      </c>
      <c r="K184" t="s">
        <v>190</v>
      </c>
      <c r="L184" t="s">
        <v>190</v>
      </c>
      <c r="M184" t="s">
        <v>186</v>
      </c>
      <c r="N184" t="s">
        <v>186</v>
      </c>
      <c r="O184" t="s">
        <v>186</v>
      </c>
      <c r="P184" t="s">
        <v>186</v>
      </c>
      <c r="Q184" t="s">
        <v>186</v>
      </c>
      <c r="R184" t="s">
        <v>190</v>
      </c>
      <c r="S184" t="s">
        <v>190</v>
      </c>
      <c r="T184" s="151" t="s">
        <v>186</v>
      </c>
      <c r="U184" t="s">
        <v>190</v>
      </c>
      <c r="V184" t="s">
        <v>190</v>
      </c>
      <c r="W184" t="s">
        <v>186</v>
      </c>
      <c r="X184" t="s">
        <v>190</v>
      </c>
      <c r="Y184" t="s">
        <v>186</v>
      </c>
      <c r="Z184" t="s">
        <v>190</v>
      </c>
      <c r="AA184" t="s">
        <v>190</v>
      </c>
      <c r="AB184" t="s">
        <v>190</v>
      </c>
      <c r="AC184" t="s">
        <v>190</v>
      </c>
      <c r="AD184" t="s">
        <v>190</v>
      </c>
      <c r="AE184" t="s">
        <v>190</v>
      </c>
      <c r="AF184" t="s">
        <v>190</v>
      </c>
      <c r="AG184" t="s">
        <v>190</v>
      </c>
      <c r="AH184" t="s">
        <v>190</v>
      </c>
      <c r="AI184" t="s">
        <v>190</v>
      </c>
      <c r="AJ184" t="s">
        <v>190</v>
      </c>
    </row>
    <row r="185" spans="2:36">
      <c r="B185" s="2" t="s">
        <v>607</v>
      </c>
      <c r="C185" s="2" t="s">
        <v>608</v>
      </c>
      <c r="D185" s="2" t="str">
        <f>Table5[[#This Row],[First name]]&amp;" "&amp;Table5[[#This Row],[Last name]]</f>
        <v>Jacob Bailey</v>
      </c>
      <c r="E185" s="2" t="str">
        <f>_xlfn.XLOOKUP(Table5[[#This Row],[Full name]],Table26[Name],Table26[Role],"Member",0,1)</f>
        <v>Member</v>
      </c>
      <c r="F185" s="2" t="s">
        <v>188</v>
      </c>
      <c r="G185" s="26" cm="1">
        <f t="array" aca="1" ref="G185" ca="1">COUNTIF(Table5[[#This Row],[September 30, 2025]:[April 7, 2026]],"Yes")/SUMPRODUCT(--(DATEVALUE(Table5[[#Headers],[September 30, 2025]:[April 9, 2026]])&lt;=TODAY()))</f>
        <v>0</v>
      </c>
      <c r="H185" t="s">
        <v>190</v>
      </c>
      <c r="I185" t="s">
        <v>190</v>
      </c>
      <c r="J185" t="s">
        <v>190</v>
      </c>
      <c r="K185" t="s">
        <v>190</v>
      </c>
      <c r="L185" t="s">
        <v>190</v>
      </c>
      <c r="M185" t="s">
        <v>190</v>
      </c>
      <c r="N185" t="s">
        <v>190</v>
      </c>
      <c r="O185" t="s">
        <v>190</v>
      </c>
      <c r="P185" t="s">
        <v>190</v>
      </c>
      <c r="Q185" t="s">
        <v>190</v>
      </c>
      <c r="R185" t="s">
        <v>190</v>
      </c>
      <c r="S185" t="s">
        <v>190</v>
      </c>
      <c r="T185" s="151" t="s">
        <v>190</v>
      </c>
      <c r="U185" t="s">
        <v>190</v>
      </c>
      <c r="V185" t="s">
        <v>190</v>
      </c>
      <c r="W185" t="s">
        <v>190</v>
      </c>
      <c r="X185" t="s">
        <v>190</v>
      </c>
      <c r="Y185" t="s">
        <v>190</v>
      </c>
      <c r="Z185" t="s">
        <v>190</v>
      </c>
      <c r="AA185" t="s">
        <v>190</v>
      </c>
      <c r="AB185" t="s">
        <v>190</v>
      </c>
      <c r="AC185" t="s">
        <v>190</v>
      </c>
      <c r="AD185" t="s">
        <v>190</v>
      </c>
      <c r="AE185" t="s">
        <v>190</v>
      </c>
      <c r="AF185" t="s">
        <v>190</v>
      </c>
      <c r="AG185" t="s">
        <v>190</v>
      </c>
      <c r="AH185" t="s">
        <v>190</v>
      </c>
      <c r="AI185" t="s">
        <v>190</v>
      </c>
      <c r="AJ185" t="s">
        <v>190</v>
      </c>
    </row>
    <row r="186" spans="2:36">
      <c r="B186" s="2" t="s">
        <v>607</v>
      </c>
      <c r="C186" s="2" t="s">
        <v>609</v>
      </c>
      <c r="D186" s="2" t="str">
        <f>Table5[[#This Row],[First name]]&amp;" "&amp;Table5[[#This Row],[Last name]]</f>
        <v>Jacob Crowley</v>
      </c>
      <c r="E186" s="2" t="str">
        <f>_xlfn.XLOOKUP(Table5[[#This Row],[Full name]],Table26[Name],Table26[Role],"Member",0,1)</f>
        <v>Member</v>
      </c>
      <c r="F186" s="2" t="s">
        <v>188</v>
      </c>
      <c r="G186" s="26" cm="1">
        <f t="array" aca="1" ref="G186" ca="1">COUNTIF(Table5[[#This Row],[September 30, 2025]:[April 7, 2026]],"Yes")/SUMPRODUCT(--(DATEVALUE(Table5[[#Headers],[September 30, 2025]:[April 9, 2026]])&lt;=TODAY()))</f>
        <v>0</v>
      </c>
      <c r="H186" t="s">
        <v>190</v>
      </c>
      <c r="I186" t="s">
        <v>190</v>
      </c>
      <c r="J186" t="s">
        <v>190</v>
      </c>
      <c r="K186" t="s">
        <v>190</v>
      </c>
      <c r="L186" t="s">
        <v>190</v>
      </c>
      <c r="M186" t="s">
        <v>190</v>
      </c>
      <c r="N186" t="s">
        <v>190</v>
      </c>
      <c r="O186" t="s">
        <v>190</v>
      </c>
      <c r="P186" t="s">
        <v>190</v>
      </c>
      <c r="Q186" t="s">
        <v>190</v>
      </c>
      <c r="R186" t="s">
        <v>190</v>
      </c>
      <c r="S186" t="s">
        <v>190</v>
      </c>
      <c r="T186" s="151" t="s">
        <v>190</v>
      </c>
      <c r="U186" t="s">
        <v>190</v>
      </c>
      <c r="V186" t="s">
        <v>190</v>
      </c>
      <c r="W186" t="s">
        <v>190</v>
      </c>
      <c r="X186" t="s">
        <v>190</v>
      </c>
      <c r="Y186" t="s">
        <v>190</v>
      </c>
      <c r="Z186" t="s">
        <v>190</v>
      </c>
      <c r="AA186" t="s">
        <v>190</v>
      </c>
      <c r="AB186" t="s">
        <v>190</v>
      </c>
      <c r="AC186" t="s">
        <v>190</v>
      </c>
      <c r="AD186" t="s">
        <v>190</v>
      </c>
      <c r="AE186" t="s">
        <v>190</v>
      </c>
      <c r="AF186" t="s">
        <v>190</v>
      </c>
      <c r="AG186" t="s">
        <v>190</v>
      </c>
      <c r="AH186" t="s">
        <v>190</v>
      </c>
      <c r="AI186" t="s">
        <v>190</v>
      </c>
      <c r="AJ186" t="s">
        <v>190</v>
      </c>
    </row>
    <row r="187" spans="2:36">
      <c r="B187" s="2" t="s">
        <v>607</v>
      </c>
      <c r="C187" s="2" t="s">
        <v>610</v>
      </c>
      <c r="D187" s="2" t="str">
        <f>Table5[[#This Row],[First name]]&amp;" "&amp;Table5[[#This Row],[Last name]]</f>
        <v>Jacob Dusza</v>
      </c>
      <c r="E187" s="2" t="str">
        <f>_xlfn.XLOOKUP(Table5[[#This Row],[Full name]],Table26[Name],Table26[Role],"Member",0,1)</f>
        <v>Member</v>
      </c>
      <c r="F187" s="2" t="s">
        <v>188</v>
      </c>
      <c r="G187" s="26" cm="1">
        <f t="array" aca="1" ref="G187" ca="1">COUNTIF(Table5[[#This Row],[September 30, 2025]:[April 7, 2026]],"Yes")/SUMPRODUCT(--(DATEVALUE(Table5[[#Headers],[September 30, 2025]:[April 9, 2026]])&lt;=TODAY()))</f>
        <v>0.3</v>
      </c>
      <c r="R187" t="s">
        <v>186</v>
      </c>
      <c r="S187" t="s">
        <v>186</v>
      </c>
      <c r="T187" s="151" t="s">
        <v>186</v>
      </c>
      <c r="U187" t="s">
        <v>186</v>
      </c>
      <c r="V187" t="s">
        <v>190</v>
      </c>
      <c r="X187" t="s">
        <v>190</v>
      </c>
      <c r="Y187" t="s">
        <v>186</v>
      </c>
      <c r="AA187" t="s">
        <v>186</v>
      </c>
    </row>
    <row r="188" spans="2:36">
      <c r="B188" s="2" t="s">
        <v>611</v>
      </c>
      <c r="C188" s="2" t="s">
        <v>612</v>
      </c>
      <c r="D188" s="2" t="str">
        <f>Table5[[#This Row],[First name]]&amp;" "&amp;Table5[[#This Row],[Last name]]</f>
        <v>Jaebin Shin</v>
      </c>
      <c r="E188" s="2" t="str">
        <f>_xlfn.XLOOKUP(Table5[[#This Row],[Full name]],Table26[Name],Table26[Role],"Member",0,1)</f>
        <v>Member</v>
      </c>
      <c r="F188" s="2" t="s">
        <v>188</v>
      </c>
      <c r="G188" s="26" cm="1">
        <f t="array" aca="1" ref="G188" ca="1">COUNTIF(Table5[[#This Row],[September 30, 2025]:[April 7, 2026]],"Yes")/SUMPRODUCT(--(DATEVALUE(Table5[[#Headers],[September 30, 2025]:[April 9, 2026]])&lt;=TODAY()))</f>
        <v>0.15</v>
      </c>
      <c r="H188" t="s">
        <v>190</v>
      </c>
      <c r="I188" t="s">
        <v>190</v>
      </c>
      <c r="J188" t="s">
        <v>190</v>
      </c>
      <c r="K188" t="s">
        <v>190</v>
      </c>
      <c r="L188" t="s">
        <v>190</v>
      </c>
      <c r="M188" t="s">
        <v>186</v>
      </c>
      <c r="N188" t="s">
        <v>190</v>
      </c>
      <c r="O188" t="s">
        <v>186</v>
      </c>
      <c r="P188" t="s">
        <v>186</v>
      </c>
      <c r="Q188" t="s">
        <v>190</v>
      </c>
      <c r="R188" t="s">
        <v>190</v>
      </c>
      <c r="S188" t="s">
        <v>190</v>
      </c>
      <c r="T188" s="151" t="s">
        <v>190</v>
      </c>
      <c r="U188" t="s">
        <v>190</v>
      </c>
      <c r="V188" t="s">
        <v>190</v>
      </c>
      <c r="W188" t="s">
        <v>190</v>
      </c>
      <c r="X188" t="s">
        <v>190</v>
      </c>
      <c r="Y188" t="s">
        <v>190</v>
      </c>
      <c r="Z188" t="s">
        <v>190</v>
      </c>
      <c r="AA188" t="s">
        <v>190</v>
      </c>
      <c r="AB188" t="s">
        <v>190</v>
      </c>
      <c r="AC188" t="s">
        <v>190</v>
      </c>
      <c r="AD188" t="s">
        <v>190</v>
      </c>
      <c r="AE188" t="s">
        <v>190</v>
      </c>
      <c r="AF188" t="s">
        <v>190</v>
      </c>
      <c r="AG188" t="s">
        <v>190</v>
      </c>
      <c r="AH188" t="s">
        <v>190</v>
      </c>
      <c r="AI188" t="s">
        <v>190</v>
      </c>
      <c r="AJ188" t="s">
        <v>190</v>
      </c>
    </row>
    <row r="189" spans="2:36">
      <c r="B189" s="2" t="s">
        <v>613</v>
      </c>
      <c r="C189" s="2" t="s">
        <v>614</v>
      </c>
      <c r="D189" s="2" t="str">
        <f>Table5[[#This Row],[First name]]&amp;" "&amp;Table5[[#This Row],[Last name]]</f>
        <v>Jahangir Abdullayev</v>
      </c>
      <c r="E189" s="2" t="str">
        <f>_xlfn.XLOOKUP(Table5[[#This Row],[Full name]],Table26[Name],Table26[Role],"Member",0,1)</f>
        <v>Member</v>
      </c>
      <c r="F189" s="2" t="s">
        <v>188</v>
      </c>
      <c r="G189" s="26" cm="1">
        <f t="array" aca="1" ref="G189" ca="1">COUNTIF(Table5[[#This Row],[September 30, 2025]:[April 7, 2026]],"Yes")/SUMPRODUCT(--(DATEVALUE(Table5[[#Headers],[September 30, 2025]:[April 9, 2026]])&lt;=TODAY()))</f>
        <v>0.3</v>
      </c>
      <c r="H189" t="s">
        <v>186</v>
      </c>
      <c r="I189" t="s">
        <v>186</v>
      </c>
      <c r="J189" t="s">
        <v>190</v>
      </c>
      <c r="K189" t="s">
        <v>186</v>
      </c>
      <c r="L189" t="s">
        <v>190</v>
      </c>
      <c r="M189" t="s">
        <v>190</v>
      </c>
      <c r="N189" t="s">
        <v>190</v>
      </c>
      <c r="O189" t="s">
        <v>186</v>
      </c>
      <c r="P189" t="s">
        <v>186</v>
      </c>
      <c r="Q189" t="s">
        <v>190</v>
      </c>
      <c r="R189" t="s">
        <v>190</v>
      </c>
      <c r="S189" t="s">
        <v>190</v>
      </c>
      <c r="T189" s="151" t="s">
        <v>190</v>
      </c>
      <c r="U189" t="s">
        <v>190</v>
      </c>
      <c r="V189" t="s">
        <v>190</v>
      </c>
      <c r="W189" t="s">
        <v>190</v>
      </c>
      <c r="X189" t="s">
        <v>190</v>
      </c>
      <c r="Y189" t="s">
        <v>190</v>
      </c>
      <c r="Z189" t="s">
        <v>190</v>
      </c>
      <c r="AA189" t="s">
        <v>186</v>
      </c>
      <c r="AB189" t="s">
        <v>190</v>
      </c>
      <c r="AC189" t="s">
        <v>190</v>
      </c>
      <c r="AD189" t="s">
        <v>190</v>
      </c>
      <c r="AE189" t="s">
        <v>190</v>
      </c>
      <c r="AF189" t="s">
        <v>190</v>
      </c>
      <c r="AG189" t="s">
        <v>190</v>
      </c>
      <c r="AH189" t="s">
        <v>190</v>
      </c>
      <c r="AI189" t="s">
        <v>190</v>
      </c>
      <c r="AJ189" t="s">
        <v>190</v>
      </c>
    </row>
    <row r="190" spans="2:36">
      <c r="B190" s="2" t="s">
        <v>615</v>
      </c>
      <c r="C190" s="2" t="s">
        <v>616</v>
      </c>
      <c r="D190" s="2" t="str">
        <f>Table5[[#This Row],[First name]]&amp;" "&amp;Table5[[#This Row],[Last name]]</f>
        <v>Jakob Smintich</v>
      </c>
      <c r="E190" s="2" t="str">
        <f>_xlfn.XLOOKUP(Table5[[#This Row],[Full name]],Table26[Name],Table26[Role],"Member",0,1)</f>
        <v>Member</v>
      </c>
      <c r="F190" s="2" t="s">
        <v>188</v>
      </c>
      <c r="G190" s="26" cm="1">
        <f t="array" aca="1" ref="G190" ca="1">COUNTIF(Table5[[#This Row],[September 30, 2025]:[April 7, 2026]],"Yes")/SUMPRODUCT(--(DATEVALUE(Table5[[#Headers],[September 30, 2025]:[April 9, 2026]])&lt;=TODAY()))</f>
        <v>0</v>
      </c>
      <c r="H190" t="s">
        <v>190</v>
      </c>
      <c r="I190" t="s">
        <v>190</v>
      </c>
      <c r="J190" t="s">
        <v>190</v>
      </c>
      <c r="K190" t="s">
        <v>190</v>
      </c>
      <c r="L190" t="s">
        <v>190</v>
      </c>
      <c r="M190" t="s">
        <v>190</v>
      </c>
      <c r="N190" t="s">
        <v>190</v>
      </c>
      <c r="O190" t="s">
        <v>190</v>
      </c>
      <c r="P190" t="s">
        <v>190</v>
      </c>
      <c r="Q190" t="s">
        <v>190</v>
      </c>
      <c r="R190" t="s">
        <v>190</v>
      </c>
      <c r="S190" t="s">
        <v>190</v>
      </c>
      <c r="T190" s="151" t="s">
        <v>190</v>
      </c>
      <c r="U190" t="s">
        <v>190</v>
      </c>
      <c r="V190" t="s">
        <v>190</v>
      </c>
      <c r="W190" t="s">
        <v>190</v>
      </c>
      <c r="X190" t="s">
        <v>190</v>
      </c>
      <c r="Y190" t="s">
        <v>190</v>
      </c>
      <c r="Z190" t="s">
        <v>190</v>
      </c>
      <c r="AA190" t="s">
        <v>190</v>
      </c>
      <c r="AB190" t="s">
        <v>190</v>
      </c>
      <c r="AC190" t="s">
        <v>190</v>
      </c>
      <c r="AD190" t="s">
        <v>190</v>
      </c>
      <c r="AE190" t="s">
        <v>190</v>
      </c>
      <c r="AF190" t="s">
        <v>190</v>
      </c>
      <c r="AG190" t="s">
        <v>190</v>
      </c>
      <c r="AH190" t="s">
        <v>190</v>
      </c>
      <c r="AI190" t="s">
        <v>190</v>
      </c>
      <c r="AJ190" t="s">
        <v>190</v>
      </c>
    </row>
    <row r="191" spans="2:36">
      <c r="B191" s="2" t="s">
        <v>378</v>
      </c>
      <c r="C191" s="2" t="s">
        <v>372</v>
      </c>
      <c r="D191" s="2" t="str">
        <f>Table5[[#This Row],[First name]]&amp;" "&amp;Table5[[#This Row],[Last name]]</f>
        <v>James Forrest</v>
      </c>
      <c r="E191" s="2" t="str">
        <f>_xlfn.XLOOKUP(Table5[[#This Row],[Full name]],Table26[Name],Table26[Role],"Member",0,1)</f>
        <v>Member</v>
      </c>
      <c r="F191" s="2" t="s">
        <v>188</v>
      </c>
      <c r="G191" s="26" cm="1">
        <f t="array" aca="1" ref="G191" ca="1">COUNTIF(Table5[[#This Row],[September 30, 2025]:[April 7, 2026]],"Yes")/SUMPRODUCT(--(DATEVALUE(Table5[[#Headers],[September 30, 2025]:[April 9, 2026]])&lt;=TODAY()))</f>
        <v>0.05</v>
      </c>
      <c r="H191" t="s">
        <v>186</v>
      </c>
      <c r="I191" t="s">
        <v>190</v>
      </c>
      <c r="J191" t="s">
        <v>190</v>
      </c>
      <c r="K191" t="s">
        <v>190</v>
      </c>
      <c r="L191" t="s">
        <v>190</v>
      </c>
      <c r="M191" t="s">
        <v>190</v>
      </c>
      <c r="N191" t="s">
        <v>190</v>
      </c>
      <c r="O191" t="s">
        <v>190</v>
      </c>
      <c r="P191" t="s">
        <v>190</v>
      </c>
      <c r="Q191" t="s">
        <v>190</v>
      </c>
      <c r="R191" t="s">
        <v>190</v>
      </c>
      <c r="S191" t="s">
        <v>190</v>
      </c>
      <c r="T191" s="151" t="s">
        <v>190</v>
      </c>
      <c r="U191" t="s">
        <v>190</v>
      </c>
      <c r="V191" t="s">
        <v>190</v>
      </c>
      <c r="W191" t="s">
        <v>190</v>
      </c>
      <c r="X191" t="s">
        <v>190</v>
      </c>
      <c r="Y191" t="s">
        <v>190</v>
      </c>
      <c r="Z191" t="s">
        <v>190</v>
      </c>
      <c r="AA191" t="s">
        <v>190</v>
      </c>
      <c r="AB191" t="s">
        <v>190</v>
      </c>
      <c r="AC191" t="s">
        <v>190</v>
      </c>
      <c r="AD191" t="s">
        <v>190</v>
      </c>
      <c r="AE191" t="s">
        <v>190</v>
      </c>
      <c r="AF191" t="s">
        <v>190</v>
      </c>
      <c r="AG191" t="s">
        <v>190</v>
      </c>
      <c r="AH191" t="s">
        <v>190</v>
      </c>
      <c r="AI191" t="s">
        <v>190</v>
      </c>
      <c r="AJ191" t="s">
        <v>190</v>
      </c>
    </row>
    <row r="192" spans="2:36">
      <c r="B192" s="2" t="s">
        <v>378</v>
      </c>
      <c r="C192" s="2" t="s">
        <v>617</v>
      </c>
      <c r="D192" s="2" t="str">
        <f>Table5[[#This Row],[First name]]&amp;" "&amp;Table5[[#This Row],[Last name]]</f>
        <v>James Kendel</v>
      </c>
      <c r="E192" s="2" t="str">
        <f>_xlfn.XLOOKUP(Table5[[#This Row],[Full name]],Table26[Name],Table26[Role],"Member",0,1)</f>
        <v>Member</v>
      </c>
      <c r="F192" s="2" t="s">
        <v>188</v>
      </c>
      <c r="G192" s="26" cm="1">
        <f t="array" aca="1" ref="G192" ca="1">COUNTIF(Table5[[#This Row],[September 30, 2025]:[April 7, 2026]],"Yes")/SUMPRODUCT(--(DATEVALUE(Table5[[#Headers],[September 30, 2025]:[April 9, 2026]])&lt;=TODAY()))</f>
        <v>0.2</v>
      </c>
      <c r="H192" t="s">
        <v>190</v>
      </c>
      <c r="I192" t="s">
        <v>186</v>
      </c>
      <c r="J192" t="s">
        <v>190</v>
      </c>
      <c r="K192" t="s">
        <v>190</v>
      </c>
      <c r="L192" t="s">
        <v>190</v>
      </c>
      <c r="M192" t="s">
        <v>190</v>
      </c>
      <c r="N192" t="s">
        <v>186</v>
      </c>
      <c r="O192" t="s">
        <v>190</v>
      </c>
      <c r="P192" t="s">
        <v>186</v>
      </c>
      <c r="Q192" t="s">
        <v>190</v>
      </c>
      <c r="R192" t="s">
        <v>190</v>
      </c>
      <c r="S192" t="s">
        <v>186</v>
      </c>
      <c r="T192" s="151" t="s">
        <v>190</v>
      </c>
      <c r="U192" t="s">
        <v>190</v>
      </c>
      <c r="V192" t="s">
        <v>190</v>
      </c>
      <c r="W192" t="s">
        <v>190</v>
      </c>
      <c r="X192" t="s">
        <v>190</v>
      </c>
      <c r="Y192" t="s">
        <v>190</v>
      </c>
      <c r="Z192" t="s">
        <v>190</v>
      </c>
      <c r="AA192" t="s">
        <v>190</v>
      </c>
      <c r="AB192" t="s">
        <v>190</v>
      </c>
      <c r="AC192" t="s">
        <v>190</v>
      </c>
      <c r="AD192" t="s">
        <v>190</v>
      </c>
      <c r="AE192" t="s">
        <v>190</v>
      </c>
      <c r="AF192" t="s">
        <v>190</v>
      </c>
      <c r="AG192" t="s">
        <v>190</v>
      </c>
      <c r="AH192" t="s">
        <v>190</v>
      </c>
      <c r="AI192" t="s">
        <v>190</v>
      </c>
      <c r="AJ192" t="s">
        <v>190</v>
      </c>
    </row>
    <row r="193" spans="2:36">
      <c r="B193" s="2" t="s">
        <v>378</v>
      </c>
      <c r="C193" s="2" t="s">
        <v>618</v>
      </c>
      <c r="D193" s="2" t="str">
        <f>Table5[[#This Row],[First name]]&amp;" "&amp;Table5[[#This Row],[Last name]]</f>
        <v>James Juo</v>
      </c>
      <c r="E193" s="2" t="str">
        <f>_xlfn.XLOOKUP(Table5[[#This Row],[Full name]],Table26[Name],Table26[Role],"Member",0,1)</f>
        <v>Member</v>
      </c>
      <c r="F193" s="2" t="s">
        <v>188</v>
      </c>
      <c r="G193" s="152" cm="1">
        <f t="array" aca="1" ref="G193" ca="1">COUNTIF(Table5[[#This Row],[September 30, 2025]:[April 7, 2026]],"Yes")/SUMPRODUCT(--(DATEVALUE(Table5[[#Headers],[September 30, 2025]:[April 9, 2026]])&lt;=TODAY()))</f>
        <v>0.1</v>
      </c>
      <c r="T193" s="151"/>
      <c r="V193" t="s">
        <v>186</v>
      </c>
      <c r="X193" t="s">
        <v>190</v>
      </c>
      <c r="Y193" t="s">
        <v>186</v>
      </c>
      <c r="AA193" t="s">
        <v>190</v>
      </c>
    </row>
    <row r="194" spans="2:36">
      <c r="B194" s="2" t="s">
        <v>619</v>
      </c>
      <c r="C194" s="2" t="s">
        <v>620</v>
      </c>
      <c r="D194" s="2" t="str">
        <f>Table5[[#This Row],[First name]]&amp;" "&amp;Table5[[#This Row],[Last name]]</f>
        <v>Jasmin Gu</v>
      </c>
      <c r="E194" s="2" t="str">
        <f>_xlfn.XLOOKUP(Table5[[#This Row],[Full name]],Table26[Name],Table26[Role],"Member",0,1)</f>
        <v>Member</v>
      </c>
      <c r="F194" s="2" t="s">
        <v>188</v>
      </c>
      <c r="G194" s="26" cm="1">
        <f t="array" aca="1" ref="G194" ca="1">COUNTIF(Table5[[#This Row],[September 30, 2025]:[April 7, 2026]],"Yes")/SUMPRODUCT(--(DATEVALUE(Table5[[#Headers],[September 30, 2025]:[April 9, 2026]])&lt;=TODAY()))</f>
        <v>0.05</v>
      </c>
      <c r="O194" t="s">
        <v>420</v>
      </c>
      <c r="P194" t="s">
        <v>190</v>
      </c>
      <c r="Q194" t="s">
        <v>190</v>
      </c>
      <c r="R194" t="s">
        <v>190</v>
      </c>
      <c r="S194" t="s">
        <v>190</v>
      </c>
      <c r="T194" s="151" t="s">
        <v>190</v>
      </c>
      <c r="U194" t="s">
        <v>190</v>
      </c>
      <c r="V194" t="s">
        <v>190</v>
      </c>
      <c r="W194" t="s">
        <v>190</v>
      </c>
      <c r="X194" t="s">
        <v>190</v>
      </c>
      <c r="Y194" t="s">
        <v>190</v>
      </c>
      <c r="Z194" t="s">
        <v>190</v>
      </c>
      <c r="AA194" t="s">
        <v>190</v>
      </c>
      <c r="AB194" t="s">
        <v>190</v>
      </c>
      <c r="AC194" t="s">
        <v>190</v>
      </c>
      <c r="AD194" t="s">
        <v>190</v>
      </c>
      <c r="AE194" t="s">
        <v>190</v>
      </c>
      <c r="AF194" t="s">
        <v>190</v>
      </c>
      <c r="AG194" t="s">
        <v>190</v>
      </c>
      <c r="AH194" t="s">
        <v>190</v>
      </c>
      <c r="AI194" t="s">
        <v>190</v>
      </c>
      <c r="AJ194" t="s">
        <v>190</v>
      </c>
    </row>
    <row r="195" spans="2:36">
      <c r="B195" s="2" t="s">
        <v>621</v>
      </c>
      <c r="C195" s="2" t="s">
        <v>404</v>
      </c>
      <c r="D195" s="2" t="str">
        <f>Table5[[#This Row],[First name]]&amp;" "&amp;Table5[[#This Row],[Last name]]</f>
        <v>Jasmine Xu</v>
      </c>
      <c r="E195" s="2" t="str">
        <f>_xlfn.XLOOKUP(Table5[[#This Row],[Full name]],Table26[Name],Table26[Role],"Member",0,1)</f>
        <v>Member</v>
      </c>
      <c r="F195" s="2" t="s">
        <v>188</v>
      </c>
      <c r="G195" s="26" cm="1">
        <f t="array" aca="1" ref="G195" ca="1">COUNTIF(Table5[[#This Row],[September 30, 2025]:[April 7, 2026]],"Yes")/SUMPRODUCT(--(DATEVALUE(Table5[[#Headers],[September 30, 2025]:[April 9, 2026]])&lt;=TODAY()))</f>
        <v>0.1</v>
      </c>
      <c r="H195" t="s">
        <v>186</v>
      </c>
      <c r="I195" t="s">
        <v>190</v>
      </c>
      <c r="J195" t="s">
        <v>190</v>
      </c>
      <c r="K195" t="s">
        <v>190</v>
      </c>
      <c r="L195" t="s">
        <v>190</v>
      </c>
      <c r="M195" t="s">
        <v>190</v>
      </c>
      <c r="N195" t="s">
        <v>190</v>
      </c>
      <c r="O195" t="s">
        <v>190</v>
      </c>
      <c r="P195" t="s">
        <v>190</v>
      </c>
      <c r="Q195" t="s">
        <v>190</v>
      </c>
      <c r="R195" t="s">
        <v>186</v>
      </c>
      <c r="S195" t="s">
        <v>190</v>
      </c>
      <c r="T195" s="151" t="s">
        <v>190</v>
      </c>
      <c r="U195" t="s">
        <v>190</v>
      </c>
      <c r="V195" t="s">
        <v>190</v>
      </c>
      <c r="W195" t="s">
        <v>190</v>
      </c>
      <c r="X195" t="s">
        <v>190</v>
      </c>
      <c r="Y195" t="s">
        <v>190</v>
      </c>
      <c r="Z195" t="s">
        <v>190</v>
      </c>
      <c r="AA195" t="s">
        <v>190</v>
      </c>
      <c r="AB195" t="s">
        <v>190</v>
      </c>
      <c r="AC195" t="s">
        <v>190</v>
      </c>
      <c r="AD195" t="s">
        <v>190</v>
      </c>
      <c r="AE195" t="s">
        <v>190</v>
      </c>
      <c r="AF195" t="s">
        <v>190</v>
      </c>
      <c r="AG195" t="s">
        <v>190</v>
      </c>
      <c r="AH195" t="s">
        <v>190</v>
      </c>
      <c r="AI195" t="s">
        <v>190</v>
      </c>
      <c r="AJ195" t="s">
        <v>190</v>
      </c>
    </row>
    <row r="196" spans="2:36">
      <c r="B196" s="2" t="s">
        <v>622</v>
      </c>
      <c r="C196" s="2" t="s">
        <v>485</v>
      </c>
      <c r="D196" s="2" t="str">
        <f>Table5[[#This Row],[First name]]&amp;" "&amp;Table5[[#This Row],[Last name]]</f>
        <v>Jason Kang</v>
      </c>
      <c r="E196" s="2" t="str">
        <f>_xlfn.XLOOKUP(Table5[[#This Row],[Full name]],Table26[Name],Table26[Role],"Member",0,1)</f>
        <v>Member</v>
      </c>
      <c r="F196" s="2" t="s">
        <v>188</v>
      </c>
      <c r="G196" s="26" cm="1">
        <f t="array" aca="1" ref="G196" ca="1">COUNTIF(Table5[[#This Row],[September 30, 2025]:[April 7, 2026]],"Yes")/SUMPRODUCT(--(DATEVALUE(Table5[[#Headers],[September 30, 2025]:[April 9, 2026]])&lt;=TODAY()))</f>
        <v>0.05</v>
      </c>
      <c r="H196" t="s">
        <v>186</v>
      </c>
      <c r="I196" t="s">
        <v>190</v>
      </c>
      <c r="J196" t="s">
        <v>190</v>
      </c>
      <c r="K196" t="s">
        <v>190</v>
      </c>
      <c r="L196" t="s">
        <v>190</v>
      </c>
      <c r="M196" t="s">
        <v>190</v>
      </c>
      <c r="N196" t="s">
        <v>190</v>
      </c>
      <c r="O196" t="s">
        <v>190</v>
      </c>
      <c r="P196" t="s">
        <v>190</v>
      </c>
      <c r="Q196" t="s">
        <v>190</v>
      </c>
      <c r="R196" t="s">
        <v>190</v>
      </c>
      <c r="S196" t="s">
        <v>190</v>
      </c>
      <c r="T196" s="151" t="s">
        <v>190</v>
      </c>
      <c r="U196" t="s">
        <v>190</v>
      </c>
      <c r="V196" t="s">
        <v>190</v>
      </c>
      <c r="W196" t="s">
        <v>190</v>
      </c>
      <c r="X196" t="s">
        <v>190</v>
      </c>
      <c r="Y196" t="s">
        <v>190</v>
      </c>
      <c r="Z196" t="s">
        <v>190</v>
      </c>
      <c r="AA196" t="s">
        <v>190</v>
      </c>
      <c r="AB196" t="s">
        <v>190</v>
      </c>
      <c r="AC196" t="s">
        <v>190</v>
      </c>
      <c r="AD196" t="s">
        <v>190</v>
      </c>
      <c r="AE196" t="s">
        <v>190</v>
      </c>
      <c r="AF196" t="s">
        <v>190</v>
      </c>
      <c r="AG196" t="s">
        <v>190</v>
      </c>
      <c r="AH196" t="s">
        <v>190</v>
      </c>
      <c r="AI196" t="s">
        <v>190</v>
      </c>
      <c r="AJ196" t="s">
        <v>190</v>
      </c>
    </row>
    <row r="197" spans="2:36">
      <c r="B197" s="2" t="s">
        <v>623</v>
      </c>
      <c r="C197" s="2" t="s">
        <v>375</v>
      </c>
      <c r="D197" s="2" t="str">
        <f>Table5[[#This Row],[First name]]&amp;" "&amp;Table5[[#This Row],[Last name]]</f>
        <v>Jiawei Bai</v>
      </c>
      <c r="E197" s="2" t="str">
        <f>_xlfn.XLOOKUP(Table5[[#This Row],[Full name]],Table26[Name],Table26[Role],"Member",0,1)</f>
        <v>Member</v>
      </c>
      <c r="F197" s="2" t="s">
        <v>188</v>
      </c>
      <c r="G197" s="26" cm="1">
        <f t="array" aca="1" ref="G197" ca="1">COUNTIF(Table5[[#This Row],[September 30, 2025]:[April 7, 2026]],"Yes")/SUMPRODUCT(--(DATEVALUE(Table5[[#Headers],[September 30, 2025]:[April 9, 2026]])&lt;=TODAY()))</f>
        <v>0.6</v>
      </c>
      <c r="H197" t="s">
        <v>186</v>
      </c>
      <c r="I197" t="s">
        <v>186</v>
      </c>
      <c r="J197" t="s">
        <v>186</v>
      </c>
      <c r="K197" t="s">
        <v>186</v>
      </c>
      <c r="L197" t="s">
        <v>186</v>
      </c>
      <c r="M197" t="s">
        <v>186</v>
      </c>
      <c r="N197" t="s">
        <v>190</v>
      </c>
      <c r="O197" t="s">
        <v>186</v>
      </c>
      <c r="P197" t="s">
        <v>186</v>
      </c>
      <c r="Q197" t="s">
        <v>186</v>
      </c>
      <c r="R197" t="s">
        <v>186</v>
      </c>
      <c r="S197" t="s">
        <v>190</v>
      </c>
      <c r="T197" s="151" t="s">
        <v>190</v>
      </c>
      <c r="U197" t="s">
        <v>190</v>
      </c>
      <c r="V197" t="s">
        <v>190</v>
      </c>
      <c r="W197" t="s">
        <v>190</v>
      </c>
      <c r="X197" t="s">
        <v>190</v>
      </c>
      <c r="Y197" t="s">
        <v>190</v>
      </c>
      <c r="Z197" t="s">
        <v>186</v>
      </c>
      <c r="AA197" t="s">
        <v>186</v>
      </c>
      <c r="AB197" t="s">
        <v>190</v>
      </c>
      <c r="AC197" t="s">
        <v>190</v>
      </c>
      <c r="AD197" t="s">
        <v>190</v>
      </c>
      <c r="AE197" t="s">
        <v>190</v>
      </c>
      <c r="AF197" t="s">
        <v>190</v>
      </c>
      <c r="AG197" t="s">
        <v>190</v>
      </c>
      <c r="AH197" t="s">
        <v>190</v>
      </c>
      <c r="AI197" t="s">
        <v>190</v>
      </c>
      <c r="AJ197" t="s">
        <v>190</v>
      </c>
    </row>
    <row r="198" spans="2:36">
      <c r="B198" s="2" t="s">
        <v>624</v>
      </c>
      <c r="C198" s="2" t="s">
        <v>625</v>
      </c>
      <c r="D198" s="2" t="str">
        <f>Table5[[#This Row],[First name]]&amp;" "&amp;Table5[[#This Row],[Last name]]</f>
        <v>Jincheng Jiang</v>
      </c>
      <c r="E198" s="2" t="str">
        <f>_xlfn.XLOOKUP(Table5[[#This Row],[Full name]],Table26[Name],Table26[Role],"Member",0,1)</f>
        <v>Member</v>
      </c>
      <c r="F198" s="2" t="s">
        <v>188</v>
      </c>
      <c r="G198" s="152" cm="1">
        <f t="array" aca="1" ref="G198" ca="1">COUNTIF(Table5[[#This Row],[September 30, 2025]:[April 7, 2026]],"Yes")/SUMPRODUCT(--(DATEVALUE(Table5[[#Headers],[September 30, 2025]:[April 9, 2026]])&lt;=TODAY()))</f>
        <v>0.15</v>
      </c>
      <c r="T198" s="151"/>
      <c r="W198" t="s">
        <v>186</v>
      </c>
      <c r="X198" t="s">
        <v>190</v>
      </c>
      <c r="Y198" t="s">
        <v>186</v>
      </c>
      <c r="AA198" t="s">
        <v>186</v>
      </c>
    </row>
    <row r="199" spans="2:36">
      <c r="B199" s="10" t="s">
        <v>626</v>
      </c>
      <c r="C199" s="2" t="s">
        <v>627</v>
      </c>
      <c r="D199" s="2" t="str">
        <f>Table5[[#This Row],[First name]]&amp;" "&amp;Table5[[#This Row],[Last name]]</f>
        <v>Jinglang Sun</v>
      </c>
      <c r="E199" s="2" t="str">
        <f>_xlfn.XLOOKUP(Table5[[#This Row],[Full name]],Table26[Name],Table26[Role],"Member",0,1)</f>
        <v>Member</v>
      </c>
      <c r="F199" s="2" t="s">
        <v>188</v>
      </c>
      <c r="G199" s="26" cm="1">
        <f t="array" aca="1" ref="G199" ca="1">COUNTIF(Table5[[#This Row],[September 30, 2025]:[April 7, 2026]],"Yes")/SUMPRODUCT(--(DATEVALUE(Table5[[#Headers],[September 30, 2025]:[April 9, 2026]])&lt;=TODAY()))</f>
        <v>0.15</v>
      </c>
      <c r="H199" t="s">
        <v>190</v>
      </c>
      <c r="I199" t="s">
        <v>190</v>
      </c>
      <c r="J199" t="s">
        <v>186</v>
      </c>
      <c r="K199" t="s">
        <v>190</v>
      </c>
      <c r="L199" t="s">
        <v>190</v>
      </c>
      <c r="M199" t="s">
        <v>186</v>
      </c>
      <c r="N199" t="s">
        <v>190</v>
      </c>
      <c r="O199" t="s">
        <v>190</v>
      </c>
      <c r="P199" t="s">
        <v>186</v>
      </c>
      <c r="Q199" t="s">
        <v>190</v>
      </c>
      <c r="R199" t="s">
        <v>190</v>
      </c>
      <c r="S199" t="s">
        <v>190</v>
      </c>
      <c r="T199" s="151" t="s">
        <v>190</v>
      </c>
      <c r="U199" t="s">
        <v>190</v>
      </c>
      <c r="V199" t="s">
        <v>190</v>
      </c>
      <c r="W199" t="s">
        <v>190</v>
      </c>
      <c r="X199" t="s">
        <v>190</v>
      </c>
      <c r="Y199" t="s">
        <v>190</v>
      </c>
      <c r="Z199" t="s">
        <v>190</v>
      </c>
      <c r="AA199" t="s">
        <v>190</v>
      </c>
      <c r="AB199" t="s">
        <v>190</v>
      </c>
      <c r="AC199" t="s">
        <v>190</v>
      </c>
      <c r="AD199" t="s">
        <v>190</v>
      </c>
      <c r="AE199" t="s">
        <v>190</v>
      </c>
      <c r="AF199" t="s">
        <v>190</v>
      </c>
      <c r="AG199" t="s">
        <v>190</v>
      </c>
      <c r="AH199" t="s">
        <v>190</v>
      </c>
      <c r="AI199" t="s">
        <v>190</v>
      </c>
      <c r="AJ199" t="s">
        <v>190</v>
      </c>
    </row>
    <row r="200" spans="2:36">
      <c r="B200" s="2" t="s">
        <v>628</v>
      </c>
      <c r="C200" s="2" t="s">
        <v>551</v>
      </c>
      <c r="D200" s="2" t="str">
        <f>Table5[[#This Row],[First name]]&amp;" "&amp;Table5[[#This Row],[Last name]]</f>
        <v>Johnny Yang</v>
      </c>
      <c r="E200" s="2" t="str">
        <f>_xlfn.XLOOKUP(Table5[[#This Row],[Full name]],Table26[Name],Table26[Role],"Member",0,1)</f>
        <v>Member</v>
      </c>
      <c r="F200" s="2" t="s">
        <v>188</v>
      </c>
      <c r="G200" s="26" cm="1">
        <f t="array" aca="1" ref="G200" ca="1">COUNTIF(Table5[[#This Row],[September 30, 2025]:[April 7, 2026]],"Yes")/SUMPRODUCT(--(DATEVALUE(Table5[[#Headers],[September 30, 2025]:[April 9, 2026]])&lt;=TODAY()))</f>
        <v>0.1</v>
      </c>
      <c r="H200" t="s">
        <v>190</v>
      </c>
      <c r="I200" t="s">
        <v>186</v>
      </c>
      <c r="J200" t="s">
        <v>186</v>
      </c>
      <c r="K200" t="s">
        <v>190</v>
      </c>
      <c r="L200" t="s">
        <v>190</v>
      </c>
      <c r="M200" t="s">
        <v>190</v>
      </c>
      <c r="N200" t="s">
        <v>190</v>
      </c>
      <c r="O200" t="s">
        <v>190</v>
      </c>
      <c r="P200" t="s">
        <v>190</v>
      </c>
      <c r="Q200" t="s">
        <v>190</v>
      </c>
      <c r="R200" t="s">
        <v>190</v>
      </c>
      <c r="S200" t="s">
        <v>190</v>
      </c>
      <c r="T200" s="151" t="s">
        <v>190</v>
      </c>
      <c r="U200" t="s">
        <v>190</v>
      </c>
      <c r="V200" t="s">
        <v>190</v>
      </c>
      <c r="W200" t="s">
        <v>190</v>
      </c>
      <c r="X200" t="s">
        <v>190</v>
      </c>
      <c r="Y200" t="s">
        <v>190</v>
      </c>
      <c r="Z200" t="s">
        <v>190</v>
      </c>
      <c r="AA200" t="s">
        <v>190</v>
      </c>
      <c r="AB200" t="s">
        <v>190</v>
      </c>
      <c r="AC200" t="s">
        <v>190</v>
      </c>
      <c r="AD200" t="s">
        <v>190</v>
      </c>
      <c r="AE200" t="s">
        <v>190</v>
      </c>
      <c r="AF200" t="s">
        <v>190</v>
      </c>
      <c r="AG200" t="s">
        <v>190</v>
      </c>
      <c r="AH200" t="s">
        <v>190</v>
      </c>
      <c r="AI200" t="s">
        <v>190</v>
      </c>
      <c r="AJ200" t="s">
        <v>190</v>
      </c>
    </row>
    <row r="201" spans="2:36">
      <c r="B201" s="2" t="s">
        <v>629</v>
      </c>
      <c r="C201" s="2" t="s">
        <v>630</v>
      </c>
      <c r="D201" s="2" t="str">
        <f>Table5[[#This Row],[First name]]&amp;" "&amp;Table5[[#This Row],[Last name]]</f>
        <v>Jonas Neumann</v>
      </c>
      <c r="E201" s="2" t="str">
        <f>_xlfn.XLOOKUP(Table5[[#This Row],[Full name]],Table26[Name],Table26[Role],"Member",0,1)</f>
        <v>Member</v>
      </c>
      <c r="F201" s="2" t="s">
        <v>188</v>
      </c>
      <c r="G201" s="26" cm="1">
        <f t="array" aca="1" ref="G201" ca="1">COUNTIF(Table5[[#This Row],[September 30, 2025]:[April 7, 2026]],"Yes")/SUMPRODUCT(--(DATEVALUE(Table5[[#Headers],[September 30, 2025]:[April 9, 2026]])&lt;=TODAY()))</f>
        <v>0.05</v>
      </c>
      <c r="P201" t="s">
        <v>186</v>
      </c>
      <c r="Q201" t="s">
        <v>190</v>
      </c>
      <c r="R201" t="s">
        <v>190</v>
      </c>
      <c r="S201" t="s">
        <v>190</v>
      </c>
      <c r="T201" s="151" t="s">
        <v>190</v>
      </c>
      <c r="U201" t="s">
        <v>190</v>
      </c>
      <c r="V201" t="s">
        <v>190</v>
      </c>
      <c r="W201" t="s">
        <v>190</v>
      </c>
      <c r="X201" t="s">
        <v>190</v>
      </c>
      <c r="Y201" t="s">
        <v>190</v>
      </c>
      <c r="Z201" t="s">
        <v>190</v>
      </c>
      <c r="AA201" t="s">
        <v>190</v>
      </c>
      <c r="AB201" t="s">
        <v>190</v>
      </c>
      <c r="AC201" t="s">
        <v>190</v>
      </c>
      <c r="AD201" t="s">
        <v>190</v>
      </c>
      <c r="AE201" t="s">
        <v>190</v>
      </c>
      <c r="AF201" t="s">
        <v>190</v>
      </c>
      <c r="AG201" t="s">
        <v>190</v>
      </c>
      <c r="AH201" t="s">
        <v>190</v>
      </c>
      <c r="AI201" t="s">
        <v>190</v>
      </c>
      <c r="AJ201" t="s">
        <v>190</v>
      </c>
    </row>
    <row r="202" spans="2:36">
      <c r="B202" s="2" t="s">
        <v>631</v>
      </c>
      <c r="C202" s="2" t="s">
        <v>445</v>
      </c>
      <c r="D202" s="2" t="str">
        <f>Table5[[#This Row],[First name]]&amp;" "&amp;Table5[[#This Row],[Last name]]</f>
        <v>Jordan Nguyen</v>
      </c>
      <c r="E202" s="2" t="str">
        <f>_xlfn.XLOOKUP(Table5[[#This Row],[Full name]],Table26[Name],Table26[Role],"Member",0,1)</f>
        <v>Member</v>
      </c>
      <c r="F202" s="2" t="s">
        <v>188</v>
      </c>
      <c r="G202" s="26" cm="1">
        <f t="array" aca="1" ref="G202" ca="1">COUNTIF(Table5[[#This Row],[September 30, 2025]:[April 7, 2026]],"Yes")/SUMPRODUCT(--(DATEVALUE(Table5[[#Headers],[September 30, 2025]:[April 9, 2026]])&lt;=TODAY()))</f>
        <v>0.1</v>
      </c>
      <c r="P202" t="s">
        <v>186</v>
      </c>
      <c r="Q202" t="s">
        <v>190</v>
      </c>
      <c r="R202" t="s">
        <v>186</v>
      </c>
      <c r="S202" t="s">
        <v>190</v>
      </c>
      <c r="T202" s="151" t="s">
        <v>190</v>
      </c>
      <c r="U202" t="s">
        <v>190</v>
      </c>
      <c r="V202" t="s">
        <v>190</v>
      </c>
      <c r="W202" t="s">
        <v>190</v>
      </c>
      <c r="X202" t="s">
        <v>190</v>
      </c>
      <c r="Y202" t="s">
        <v>190</v>
      </c>
      <c r="Z202" t="s">
        <v>190</v>
      </c>
      <c r="AA202" t="s">
        <v>190</v>
      </c>
      <c r="AB202" t="s">
        <v>190</v>
      </c>
      <c r="AC202" t="s">
        <v>190</v>
      </c>
      <c r="AD202" t="s">
        <v>190</v>
      </c>
      <c r="AE202" t="s">
        <v>190</v>
      </c>
      <c r="AF202" t="s">
        <v>190</v>
      </c>
      <c r="AG202" t="s">
        <v>190</v>
      </c>
      <c r="AH202" t="s">
        <v>190</v>
      </c>
      <c r="AI202" t="s">
        <v>190</v>
      </c>
      <c r="AJ202" t="s">
        <v>190</v>
      </c>
    </row>
    <row r="203" spans="2:36">
      <c r="B203" s="2" t="s">
        <v>632</v>
      </c>
      <c r="C203" s="2" t="s">
        <v>633</v>
      </c>
      <c r="D203" s="2" t="str">
        <f>Table5[[#This Row],[First name]]&amp;" "&amp;Table5[[#This Row],[Last name]]</f>
        <v>Joseph Liao</v>
      </c>
      <c r="E203" s="2" t="str">
        <f>_xlfn.XLOOKUP(Table5[[#This Row],[Full name]],Table26[Name],Table26[Role],"Member",0,1)</f>
        <v>Member</v>
      </c>
      <c r="F203" s="2" t="s">
        <v>188</v>
      </c>
      <c r="G203" s="26" cm="1">
        <f t="array" aca="1" ref="G203" ca="1">COUNTIF(Table5[[#This Row],[September 30, 2025]:[April 7, 2026]],"Yes")/SUMPRODUCT(--(DATEVALUE(Table5[[#Headers],[September 30, 2025]:[April 9, 2026]])&lt;=TODAY()))</f>
        <v>0.05</v>
      </c>
      <c r="H203" t="s">
        <v>190</v>
      </c>
      <c r="I203" t="s">
        <v>190</v>
      </c>
      <c r="J203" t="s">
        <v>190</v>
      </c>
      <c r="K203" t="s">
        <v>190</v>
      </c>
      <c r="L203" t="s">
        <v>190</v>
      </c>
      <c r="M203" t="s">
        <v>186</v>
      </c>
      <c r="N203" t="s">
        <v>190</v>
      </c>
      <c r="O203" t="s">
        <v>190</v>
      </c>
      <c r="P203" t="s">
        <v>190</v>
      </c>
      <c r="Q203" t="s">
        <v>190</v>
      </c>
      <c r="R203" t="s">
        <v>190</v>
      </c>
      <c r="S203" t="s">
        <v>190</v>
      </c>
      <c r="T203" s="151" t="s">
        <v>190</v>
      </c>
      <c r="U203" t="s">
        <v>190</v>
      </c>
      <c r="V203" t="s">
        <v>190</v>
      </c>
      <c r="W203" t="s">
        <v>190</v>
      </c>
      <c r="X203" t="s">
        <v>190</v>
      </c>
      <c r="Y203" t="s">
        <v>190</v>
      </c>
      <c r="Z203" t="s">
        <v>190</v>
      </c>
      <c r="AA203" t="s">
        <v>190</v>
      </c>
      <c r="AB203" t="s">
        <v>190</v>
      </c>
      <c r="AC203" t="s">
        <v>190</v>
      </c>
      <c r="AD203" t="s">
        <v>190</v>
      </c>
      <c r="AE203" t="s">
        <v>190</v>
      </c>
      <c r="AF203" t="s">
        <v>190</v>
      </c>
      <c r="AG203" t="s">
        <v>190</v>
      </c>
      <c r="AH203" t="s">
        <v>190</v>
      </c>
      <c r="AI203" t="s">
        <v>190</v>
      </c>
      <c r="AJ203" t="s">
        <v>190</v>
      </c>
    </row>
    <row r="204" spans="2:36">
      <c r="B204" s="2" t="s">
        <v>634</v>
      </c>
      <c r="C204" s="2" t="s">
        <v>635</v>
      </c>
      <c r="D204" s="2" t="str">
        <f>Table5[[#This Row],[First name]]&amp;" "&amp;Table5[[#This Row],[Last name]]</f>
        <v>Josh Sandler</v>
      </c>
      <c r="E204" s="2" t="str">
        <f>_xlfn.XLOOKUP(Table5[[#This Row],[Full name]],Table26[Name],Table26[Role],"Member",0,1)</f>
        <v>Member</v>
      </c>
      <c r="F204" s="2" t="s">
        <v>188</v>
      </c>
      <c r="G204" s="26" cm="1">
        <f t="array" aca="1" ref="G204" ca="1">COUNTIF(Table5[[#This Row],[September 30, 2025]:[April 7, 2026]],"Yes")/SUMPRODUCT(--(DATEVALUE(Table5[[#Headers],[September 30, 2025]:[April 9, 2026]])&lt;=TODAY()))</f>
        <v>0.15</v>
      </c>
      <c r="H204" t="s">
        <v>186</v>
      </c>
      <c r="I204" t="s">
        <v>190</v>
      </c>
      <c r="J204" t="s">
        <v>186</v>
      </c>
      <c r="K204" t="s">
        <v>190</v>
      </c>
      <c r="L204" t="s">
        <v>190</v>
      </c>
      <c r="M204" t="s">
        <v>190</v>
      </c>
      <c r="N204" t="s">
        <v>190</v>
      </c>
      <c r="O204" t="s">
        <v>190</v>
      </c>
      <c r="P204" t="s">
        <v>190</v>
      </c>
      <c r="Q204" t="s">
        <v>190</v>
      </c>
      <c r="R204" t="s">
        <v>190</v>
      </c>
      <c r="S204" t="s">
        <v>190</v>
      </c>
      <c r="T204" s="151" t="s">
        <v>190</v>
      </c>
      <c r="U204" t="s">
        <v>190</v>
      </c>
      <c r="V204" t="s">
        <v>190</v>
      </c>
      <c r="W204" t="s">
        <v>190</v>
      </c>
      <c r="X204" t="s">
        <v>190</v>
      </c>
      <c r="Y204" t="s">
        <v>186</v>
      </c>
      <c r="Z204" t="s">
        <v>190</v>
      </c>
      <c r="AA204" t="s">
        <v>190</v>
      </c>
      <c r="AB204" t="s">
        <v>190</v>
      </c>
      <c r="AC204" t="s">
        <v>190</v>
      </c>
      <c r="AD204" t="s">
        <v>190</v>
      </c>
      <c r="AE204" t="s">
        <v>190</v>
      </c>
      <c r="AF204" t="s">
        <v>190</v>
      </c>
      <c r="AG204" t="s">
        <v>190</v>
      </c>
      <c r="AH204" t="s">
        <v>190</v>
      </c>
      <c r="AI204" t="s">
        <v>190</v>
      </c>
      <c r="AJ204" t="s">
        <v>190</v>
      </c>
    </row>
    <row r="205" spans="2:36">
      <c r="B205" s="2" t="s">
        <v>636</v>
      </c>
      <c r="C205" s="2" t="s">
        <v>637</v>
      </c>
      <c r="D205" s="2" t="str">
        <f>Table5[[#This Row],[First name]]&amp;" "&amp;Table5[[#This Row],[Last name]]</f>
        <v>Joshua Pascazi</v>
      </c>
      <c r="E205" s="2" t="str">
        <f>_xlfn.XLOOKUP(Table5[[#This Row],[Full name]],Table26[Name],Table26[Role],"Member",0,1)</f>
        <v>Member</v>
      </c>
      <c r="F205" s="2" t="s">
        <v>188</v>
      </c>
      <c r="G205" s="26" cm="1">
        <f t="array" aca="1" ref="G205" ca="1">COUNTIF(Table5[[#This Row],[September 30, 2025]:[April 7, 2026]],"Yes")/SUMPRODUCT(--(DATEVALUE(Table5[[#Headers],[September 30, 2025]:[April 9, 2026]])&lt;=TODAY()))</f>
        <v>0</v>
      </c>
      <c r="H205" t="s">
        <v>190</v>
      </c>
      <c r="I205" t="s">
        <v>190</v>
      </c>
      <c r="J205" t="s">
        <v>190</v>
      </c>
      <c r="K205" t="s">
        <v>190</v>
      </c>
      <c r="L205" t="s">
        <v>190</v>
      </c>
      <c r="M205" t="s">
        <v>190</v>
      </c>
      <c r="N205" t="s">
        <v>190</v>
      </c>
      <c r="O205" t="s">
        <v>190</v>
      </c>
      <c r="P205" t="s">
        <v>190</v>
      </c>
      <c r="Q205" t="s">
        <v>190</v>
      </c>
      <c r="R205" t="s">
        <v>190</v>
      </c>
      <c r="S205" t="s">
        <v>190</v>
      </c>
      <c r="T205" s="151" t="s">
        <v>190</v>
      </c>
      <c r="U205" t="s">
        <v>190</v>
      </c>
      <c r="V205" t="s">
        <v>190</v>
      </c>
      <c r="W205" t="s">
        <v>190</v>
      </c>
      <c r="X205" t="s">
        <v>190</v>
      </c>
      <c r="Y205" t="s">
        <v>190</v>
      </c>
      <c r="Z205" t="s">
        <v>190</v>
      </c>
      <c r="AA205" t="s">
        <v>190</v>
      </c>
      <c r="AB205" t="s">
        <v>190</v>
      </c>
      <c r="AC205" t="s">
        <v>190</v>
      </c>
      <c r="AD205" t="s">
        <v>190</v>
      </c>
      <c r="AE205" t="s">
        <v>190</v>
      </c>
      <c r="AF205" t="s">
        <v>190</v>
      </c>
      <c r="AG205" t="s">
        <v>190</v>
      </c>
      <c r="AH205" t="s">
        <v>190</v>
      </c>
      <c r="AI205" t="s">
        <v>190</v>
      </c>
      <c r="AJ205" t="s">
        <v>190</v>
      </c>
    </row>
    <row r="206" spans="2:36">
      <c r="B206" s="2" t="s">
        <v>638</v>
      </c>
      <c r="C206" s="2" t="s">
        <v>639</v>
      </c>
      <c r="D206" s="2" t="str">
        <f>Table5[[#This Row],[First name]]&amp;" "&amp;Table5[[#This Row],[Last name]]</f>
        <v>Julian Pawchuk</v>
      </c>
      <c r="E206" s="2" t="str">
        <f>_xlfn.XLOOKUP(Table5[[#This Row],[Full name]],Table26[Name],Table26[Role],"Member",0,1)</f>
        <v>Member</v>
      </c>
      <c r="F206" s="2" t="s">
        <v>188</v>
      </c>
      <c r="G206" s="26" cm="1">
        <f t="array" aca="1" ref="G206" ca="1">COUNTIF(Table5[[#This Row],[September 30, 2025]:[April 7, 2026]],"Yes")/SUMPRODUCT(--(DATEVALUE(Table5[[#Headers],[September 30, 2025]:[April 9, 2026]])&lt;=TODAY()))</f>
        <v>0.05</v>
      </c>
      <c r="H206" t="s">
        <v>186</v>
      </c>
      <c r="I206" t="s">
        <v>190</v>
      </c>
      <c r="J206" t="s">
        <v>190</v>
      </c>
      <c r="K206" t="s">
        <v>190</v>
      </c>
      <c r="L206" t="s">
        <v>190</v>
      </c>
      <c r="M206" t="s">
        <v>190</v>
      </c>
      <c r="N206" t="s">
        <v>190</v>
      </c>
      <c r="O206" t="s">
        <v>190</v>
      </c>
      <c r="P206" t="s">
        <v>190</v>
      </c>
      <c r="Q206" t="s">
        <v>190</v>
      </c>
      <c r="R206" t="s">
        <v>190</v>
      </c>
      <c r="S206" t="s">
        <v>190</v>
      </c>
      <c r="T206" s="151" t="s">
        <v>190</v>
      </c>
      <c r="U206" t="s">
        <v>190</v>
      </c>
      <c r="V206" t="s">
        <v>190</v>
      </c>
      <c r="W206" t="s">
        <v>190</v>
      </c>
      <c r="X206" t="s">
        <v>190</v>
      </c>
      <c r="Y206" t="s">
        <v>190</v>
      </c>
      <c r="Z206" t="s">
        <v>190</v>
      </c>
      <c r="AA206" t="s">
        <v>190</v>
      </c>
      <c r="AB206" t="s">
        <v>190</v>
      </c>
      <c r="AC206" t="s">
        <v>190</v>
      </c>
      <c r="AD206" t="s">
        <v>190</v>
      </c>
      <c r="AE206" t="s">
        <v>190</v>
      </c>
      <c r="AF206" t="s">
        <v>190</v>
      </c>
      <c r="AG206" t="s">
        <v>190</v>
      </c>
      <c r="AH206" t="s">
        <v>190</v>
      </c>
      <c r="AI206" t="s">
        <v>190</v>
      </c>
      <c r="AJ206" t="s">
        <v>190</v>
      </c>
    </row>
    <row r="207" spans="2:36">
      <c r="B207" s="2" t="s">
        <v>638</v>
      </c>
      <c r="C207" s="2"/>
      <c r="D207" s="2" t="str">
        <f>Table5[[#This Row],[First name]]&amp;" "&amp;Table5[[#This Row],[Last name]]</f>
        <v xml:space="preserve">Julian </v>
      </c>
      <c r="E207" s="2" t="str">
        <f>_xlfn.XLOOKUP(Table5[[#This Row],[Full name]],Table26[Name],Table26[Role],"Member",0,1)</f>
        <v>Member</v>
      </c>
      <c r="F207" s="2" t="s">
        <v>188</v>
      </c>
      <c r="G207" s="26" cm="1">
        <f t="array" aca="1" ref="G207" ca="1">COUNTIF(Table5[[#This Row],[September 30, 2025]:[April 7, 2026]],"Yes")/SUMPRODUCT(--(DATEVALUE(Table5[[#Headers],[September 30, 2025]:[April 9, 2026]])&lt;=TODAY()))</f>
        <v>0.05</v>
      </c>
      <c r="H207" t="s">
        <v>186</v>
      </c>
      <c r="I207" t="s">
        <v>190</v>
      </c>
      <c r="J207" t="s">
        <v>190</v>
      </c>
      <c r="K207" t="s">
        <v>190</v>
      </c>
      <c r="L207" t="s">
        <v>190</v>
      </c>
      <c r="M207" t="s">
        <v>190</v>
      </c>
      <c r="N207" t="s">
        <v>190</v>
      </c>
      <c r="O207" t="s">
        <v>190</v>
      </c>
      <c r="P207" t="s">
        <v>190</v>
      </c>
      <c r="Q207" t="s">
        <v>190</v>
      </c>
      <c r="R207" t="s">
        <v>190</v>
      </c>
      <c r="S207" t="s">
        <v>190</v>
      </c>
      <c r="T207" s="151" t="s">
        <v>190</v>
      </c>
      <c r="U207" t="s">
        <v>190</v>
      </c>
      <c r="V207" t="s">
        <v>190</v>
      </c>
      <c r="W207" t="s">
        <v>190</v>
      </c>
      <c r="X207" t="s">
        <v>190</v>
      </c>
      <c r="Y207" t="s">
        <v>190</v>
      </c>
      <c r="Z207" t="s">
        <v>190</v>
      </c>
      <c r="AA207" t="s">
        <v>190</v>
      </c>
      <c r="AB207" t="s">
        <v>190</v>
      </c>
      <c r="AC207" t="s">
        <v>190</v>
      </c>
      <c r="AD207" t="s">
        <v>190</v>
      </c>
      <c r="AE207" t="s">
        <v>190</v>
      </c>
      <c r="AF207" t="s">
        <v>190</v>
      </c>
      <c r="AG207" t="s">
        <v>190</v>
      </c>
      <c r="AH207" t="s">
        <v>190</v>
      </c>
      <c r="AI207" t="s">
        <v>190</v>
      </c>
      <c r="AJ207" t="s">
        <v>190</v>
      </c>
    </row>
    <row r="208" spans="2:36">
      <c r="B208" s="2" t="s">
        <v>640</v>
      </c>
      <c r="C208" s="2" t="s">
        <v>641</v>
      </c>
      <c r="D208" s="2" t="str">
        <f>Table5[[#This Row],[First name]]&amp;" "&amp;Table5[[#This Row],[Last name]]</f>
        <v>Justin Chow</v>
      </c>
      <c r="E208" s="2" t="str">
        <f>_xlfn.XLOOKUP(Table5[[#This Row],[Full name]],Table26[Name],Table26[Role],"Member",0,1)</f>
        <v>Member</v>
      </c>
      <c r="F208" s="2" t="s">
        <v>188</v>
      </c>
      <c r="G208" s="26" cm="1">
        <f t="array" aca="1" ref="G208" ca="1">COUNTIF(Table5[[#This Row],[September 30, 2025]:[April 7, 2026]],"Yes")/SUMPRODUCT(--(DATEVALUE(Table5[[#Headers],[September 30, 2025]:[April 9, 2026]])&lt;=TODAY()))</f>
        <v>0.5</v>
      </c>
      <c r="H208" t="s">
        <v>186</v>
      </c>
      <c r="I208" t="s">
        <v>186</v>
      </c>
      <c r="J208" t="s">
        <v>190</v>
      </c>
      <c r="K208" t="s">
        <v>186</v>
      </c>
      <c r="L208" t="s">
        <v>190</v>
      </c>
      <c r="M208" t="s">
        <v>190</v>
      </c>
      <c r="N208" t="s">
        <v>190</v>
      </c>
      <c r="O208" t="s">
        <v>186</v>
      </c>
      <c r="P208" t="s">
        <v>190</v>
      </c>
      <c r="Q208" t="s">
        <v>190</v>
      </c>
      <c r="R208" t="s">
        <v>186</v>
      </c>
      <c r="S208" t="s">
        <v>186</v>
      </c>
      <c r="T208" s="151" t="s">
        <v>190</v>
      </c>
      <c r="U208" t="s">
        <v>186</v>
      </c>
      <c r="V208" t="s">
        <v>186</v>
      </c>
      <c r="W208" t="s">
        <v>190</v>
      </c>
      <c r="X208" t="s">
        <v>190</v>
      </c>
      <c r="Y208" t="s">
        <v>186</v>
      </c>
      <c r="Z208" t="s">
        <v>190</v>
      </c>
      <c r="AA208" t="s">
        <v>186</v>
      </c>
      <c r="AB208" t="s">
        <v>190</v>
      </c>
      <c r="AC208" t="s">
        <v>190</v>
      </c>
      <c r="AD208" t="s">
        <v>190</v>
      </c>
      <c r="AE208" t="s">
        <v>190</v>
      </c>
      <c r="AF208" t="s">
        <v>190</v>
      </c>
      <c r="AG208" t="s">
        <v>190</v>
      </c>
      <c r="AH208" t="s">
        <v>190</v>
      </c>
      <c r="AI208" t="s">
        <v>190</v>
      </c>
      <c r="AJ208" t="s">
        <v>190</v>
      </c>
    </row>
    <row r="209" spans="2:36">
      <c r="B209" s="2" t="s">
        <v>642</v>
      </c>
      <c r="C209" s="2" t="s">
        <v>643</v>
      </c>
      <c r="D209" s="2" t="str">
        <f>Table5[[#This Row],[First name]]&amp;" "&amp;Table5[[#This Row],[Last name]]</f>
        <v>Kadin Broomhead</v>
      </c>
      <c r="E209" s="2" t="str">
        <f>_xlfn.XLOOKUP(Table5[[#This Row],[Full name]],Table26[Name],Table26[Role],"Member",0,1)</f>
        <v>Member</v>
      </c>
      <c r="F209" s="2" t="s">
        <v>188</v>
      </c>
      <c r="G209" s="26" cm="1">
        <f t="array" aca="1" ref="G209" ca="1">COUNTIF(Table5[[#This Row],[September 30, 2025]:[April 7, 2026]],"Yes")/SUMPRODUCT(--(DATEVALUE(Table5[[#Headers],[September 30, 2025]:[April 9, 2026]])&lt;=TODAY()))</f>
        <v>0</v>
      </c>
      <c r="H209" t="s">
        <v>190</v>
      </c>
      <c r="I209" t="s">
        <v>190</v>
      </c>
      <c r="J209" t="s">
        <v>190</v>
      </c>
      <c r="K209" t="s">
        <v>190</v>
      </c>
      <c r="L209" t="s">
        <v>190</v>
      </c>
      <c r="M209" t="s">
        <v>190</v>
      </c>
      <c r="N209" t="s">
        <v>190</v>
      </c>
      <c r="O209" t="s">
        <v>190</v>
      </c>
      <c r="P209" t="s">
        <v>190</v>
      </c>
      <c r="Q209" t="s">
        <v>190</v>
      </c>
      <c r="R209" t="s">
        <v>190</v>
      </c>
      <c r="S209" t="s">
        <v>190</v>
      </c>
      <c r="T209" s="151" t="s">
        <v>190</v>
      </c>
      <c r="U209" t="s">
        <v>190</v>
      </c>
      <c r="V209" t="s">
        <v>190</v>
      </c>
      <c r="W209" t="s">
        <v>190</v>
      </c>
      <c r="X209" t="s">
        <v>190</v>
      </c>
      <c r="Y209" t="s">
        <v>190</v>
      </c>
      <c r="Z209" t="s">
        <v>190</v>
      </c>
      <c r="AA209" t="s">
        <v>190</v>
      </c>
      <c r="AB209" t="s">
        <v>190</v>
      </c>
      <c r="AC209" t="s">
        <v>190</v>
      </c>
      <c r="AD209" t="s">
        <v>190</v>
      </c>
      <c r="AE209" t="s">
        <v>190</v>
      </c>
      <c r="AF209" t="s">
        <v>190</v>
      </c>
      <c r="AG209" t="s">
        <v>190</v>
      </c>
      <c r="AH209" t="s">
        <v>190</v>
      </c>
      <c r="AI209" t="s">
        <v>190</v>
      </c>
      <c r="AJ209" t="s">
        <v>190</v>
      </c>
    </row>
    <row r="210" spans="2:36">
      <c r="B210" s="2" t="s">
        <v>644</v>
      </c>
      <c r="C210" s="2" t="s">
        <v>645</v>
      </c>
      <c r="D210" s="2" t="str">
        <f>Table5[[#This Row],[First name]]&amp;" "&amp;Table5[[#This Row],[Last name]]</f>
        <v>Kalundi Serumaga</v>
      </c>
      <c r="E210" s="2" t="str">
        <f>_xlfn.XLOOKUP(Table5[[#This Row],[Full name]],Table26[Name],Table26[Role],"Member",0,1)</f>
        <v>Member</v>
      </c>
      <c r="F210" s="2" t="s">
        <v>188</v>
      </c>
      <c r="G210" s="26" cm="1">
        <f t="array" aca="1" ref="G210" ca="1">COUNTIF(Table5[[#This Row],[September 30, 2025]:[April 7, 2026]],"Yes")/SUMPRODUCT(--(DATEVALUE(Table5[[#Headers],[September 30, 2025]:[April 9, 2026]])&lt;=TODAY()))</f>
        <v>0.15</v>
      </c>
      <c r="R210" t="s">
        <v>186</v>
      </c>
      <c r="S210" t="s">
        <v>186</v>
      </c>
      <c r="T210" s="151" t="s">
        <v>186</v>
      </c>
      <c r="V210" t="s">
        <v>190</v>
      </c>
      <c r="X210" t="s">
        <v>190</v>
      </c>
      <c r="AA210" t="s">
        <v>190</v>
      </c>
    </row>
    <row r="211" spans="2:36">
      <c r="B211" s="2" t="s">
        <v>646</v>
      </c>
      <c r="C211" s="2" t="s">
        <v>647</v>
      </c>
      <c r="D211" s="2" t="str">
        <f>Table5[[#This Row],[First name]]&amp;" "&amp;Table5[[#This Row],[Last name]]</f>
        <v>Kalyan Jande</v>
      </c>
      <c r="E211" s="2" t="str">
        <f>_xlfn.XLOOKUP(Table5[[#This Row],[Full name]],Table26[Name],Table26[Role],"Member",0,1)</f>
        <v>Member</v>
      </c>
      <c r="F211" s="2" t="s">
        <v>188</v>
      </c>
      <c r="G211" s="26" cm="1">
        <f t="array" aca="1" ref="G211" ca="1">COUNTIF(Table5[[#This Row],[September 30, 2025]:[April 7, 2026]],"Yes")/SUMPRODUCT(--(DATEVALUE(Table5[[#Headers],[September 30, 2025]:[April 9, 2026]])&lt;=TODAY()))</f>
        <v>0.6</v>
      </c>
      <c r="H211" t="s">
        <v>190</v>
      </c>
      <c r="I211" t="s">
        <v>190</v>
      </c>
      <c r="J211" t="s">
        <v>186</v>
      </c>
      <c r="K211" t="s">
        <v>186</v>
      </c>
      <c r="L211" t="s">
        <v>190</v>
      </c>
      <c r="M211" t="s">
        <v>190</v>
      </c>
      <c r="N211" t="s">
        <v>186</v>
      </c>
      <c r="O211" t="s">
        <v>186</v>
      </c>
      <c r="P211" t="s">
        <v>186</v>
      </c>
      <c r="Q211" t="s">
        <v>186</v>
      </c>
      <c r="R211" t="s">
        <v>186</v>
      </c>
      <c r="S211" t="s">
        <v>186</v>
      </c>
      <c r="T211" s="151" t="s">
        <v>190</v>
      </c>
      <c r="U211" t="s">
        <v>186</v>
      </c>
      <c r="V211" t="s">
        <v>190</v>
      </c>
      <c r="W211" t="s">
        <v>190</v>
      </c>
      <c r="X211" t="s">
        <v>186</v>
      </c>
      <c r="Y211" t="s">
        <v>186</v>
      </c>
      <c r="Z211" t="s">
        <v>190</v>
      </c>
      <c r="AA211" t="s">
        <v>186</v>
      </c>
      <c r="AB211" t="s">
        <v>190</v>
      </c>
      <c r="AC211" t="s">
        <v>190</v>
      </c>
      <c r="AD211" t="s">
        <v>190</v>
      </c>
      <c r="AE211" t="s">
        <v>190</v>
      </c>
      <c r="AF211" t="s">
        <v>190</v>
      </c>
      <c r="AG211" t="s">
        <v>190</v>
      </c>
      <c r="AH211" t="s">
        <v>190</v>
      </c>
      <c r="AI211" t="s">
        <v>190</v>
      </c>
      <c r="AJ211" t="s">
        <v>190</v>
      </c>
    </row>
    <row r="212" spans="2:36">
      <c r="B212" s="2" t="s">
        <v>648</v>
      </c>
      <c r="C212" s="2" t="s">
        <v>350</v>
      </c>
      <c r="D212" s="2" t="str">
        <f>Table5[[#This Row],[First name]]&amp;" "&amp;Table5[[#This Row],[Last name]]</f>
        <v>Kenneth Liu</v>
      </c>
      <c r="E212" s="2" t="str">
        <f>_xlfn.XLOOKUP(Table5[[#This Row],[Full name]],Table26[Name],Table26[Role],"Member",0,1)</f>
        <v>Member</v>
      </c>
      <c r="F212" s="2" t="s">
        <v>188</v>
      </c>
      <c r="G212" s="26" cm="1">
        <f t="array" aca="1" ref="G212" ca="1">COUNTIF(Table5[[#This Row],[September 30, 2025]:[April 7, 2026]],"Yes")/SUMPRODUCT(--(DATEVALUE(Table5[[#Headers],[September 30, 2025]:[April 9, 2026]])&lt;=TODAY()))</f>
        <v>0.65</v>
      </c>
      <c r="H212" t="s">
        <v>186</v>
      </c>
      <c r="I212" t="s">
        <v>186</v>
      </c>
      <c r="J212" t="s">
        <v>186</v>
      </c>
      <c r="K212" t="s">
        <v>186</v>
      </c>
      <c r="L212" t="s">
        <v>190</v>
      </c>
      <c r="M212" t="s">
        <v>186</v>
      </c>
      <c r="N212" t="s">
        <v>186</v>
      </c>
      <c r="O212" t="s">
        <v>186</v>
      </c>
      <c r="P212" t="s">
        <v>190</v>
      </c>
      <c r="Q212" t="s">
        <v>190</v>
      </c>
      <c r="R212" t="s">
        <v>186</v>
      </c>
      <c r="S212" t="s">
        <v>186</v>
      </c>
      <c r="T212" s="151" t="s">
        <v>186</v>
      </c>
      <c r="U212" t="s">
        <v>190</v>
      </c>
      <c r="V212" t="s">
        <v>190</v>
      </c>
      <c r="W212" t="s">
        <v>190</v>
      </c>
      <c r="X212" t="s">
        <v>190</v>
      </c>
      <c r="Y212" t="s">
        <v>186</v>
      </c>
      <c r="Z212" t="s">
        <v>186</v>
      </c>
      <c r="AA212" t="s">
        <v>186</v>
      </c>
      <c r="AB212" t="s">
        <v>190</v>
      </c>
      <c r="AC212" t="s">
        <v>190</v>
      </c>
      <c r="AD212" t="s">
        <v>190</v>
      </c>
      <c r="AE212" t="s">
        <v>190</v>
      </c>
      <c r="AF212" t="s">
        <v>190</v>
      </c>
      <c r="AG212" t="s">
        <v>190</v>
      </c>
      <c r="AH212" t="s">
        <v>190</v>
      </c>
      <c r="AI212" t="s">
        <v>190</v>
      </c>
      <c r="AJ212" t="s">
        <v>190</v>
      </c>
    </row>
    <row r="213" spans="2:36">
      <c r="B213" s="2" t="s">
        <v>649</v>
      </c>
      <c r="C213" s="2" t="s">
        <v>650</v>
      </c>
      <c r="D213" s="2" t="str">
        <f>Table5[[#This Row],[First name]]&amp;" "&amp;Table5[[#This Row],[Last name]]</f>
        <v>Kenodh Ekanayake</v>
      </c>
      <c r="E213" s="2" t="str">
        <f>_xlfn.XLOOKUP(Table5[[#This Row],[Full name]],Table26[Name],Table26[Role],"Member",0,1)</f>
        <v>Member</v>
      </c>
      <c r="F213" s="2" t="s">
        <v>188</v>
      </c>
      <c r="G213" s="26" cm="1">
        <f t="array" aca="1" ref="G213" ca="1">COUNTIF(Table5[[#This Row],[September 30, 2025]:[April 7, 2026]],"Yes")/SUMPRODUCT(--(DATEVALUE(Table5[[#Headers],[September 30, 2025]:[April 9, 2026]])&lt;=TODAY()))</f>
        <v>0</v>
      </c>
      <c r="H213" t="s">
        <v>190</v>
      </c>
      <c r="I213" t="s">
        <v>190</v>
      </c>
      <c r="J213" t="s">
        <v>190</v>
      </c>
      <c r="K213" t="s">
        <v>190</v>
      </c>
      <c r="L213" t="s">
        <v>190</v>
      </c>
      <c r="M213" t="s">
        <v>190</v>
      </c>
      <c r="N213" t="s">
        <v>190</v>
      </c>
      <c r="O213" t="s">
        <v>190</v>
      </c>
      <c r="P213" t="s">
        <v>190</v>
      </c>
      <c r="Q213" t="s">
        <v>190</v>
      </c>
      <c r="R213" t="s">
        <v>190</v>
      </c>
      <c r="S213" t="s">
        <v>190</v>
      </c>
      <c r="T213" s="151" t="s">
        <v>190</v>
      </c>
      <c r="U213" t="s">
        <v>190</v>
      </c>
      <c r="V213" t="s">
        <v>190</v>
      </c>
      <c r="W213" t="s">
        <v>190</v>
      </c>
      <c r="X213" t="s">
        <v>190</v>
      </c>
      <c r="Y213" t="s">
        <v>190</v>
      </c>
      <c r="Z213" t="s">
        <v>190</v>
      </c>
      <c r="AA213" t="s">
        <v>190</v>
      </c>
      <c r="AB213" t="s">
        <v>190</v>
      </c>
      <c r="AC213" t="s">
        <v>190</v>
      </c>
      <c r="AD213" t="s">
        <v>190</v>
      </c>
      <c r="AE213" t="s">
        <v>190</v>
      </c>
      <c r="AF213" t="s">
        <v>190</v>
      </c>
      <c r="AG213" t="s">
        <v>190</v>
      </c>
      <c r="AH213" t="s">
        <v>190</v>
      </c>
      <c r="AI213" t="s">
        <v>190</v>
      </c>
      <c r="AJ213" t="s">
        <v>190</v>
      </c>
    </row>
    <row r="214" spans="2:36">
      <c r="B214" s="2" t="s">
        <v>651</v>
      </c>
      <c r="C214" s="2" t="s">
        <v>304</v>
      </c>
      <c r="D214" s="2" t="str">
        <f>Table5[[#This Row],[First name]]&amp;" "&amp;Table5[[#This Row],[Last name]]</f>
        <v>Kevin Chen</v>
      </c>
      <c r="E214" s="2" t="str">
        <f>_xlfn.XLOOKUP(Table5[[#This Row],[Full name]],Table26[Name],Table26[Role],"Member",0,1)</f>
        <v>Member</v>
      </c>
      <c r="F214" s="2" t="s">
        <v>188</v>
      </c>
      <c r="G214" s="26" cm="1">
        <f t="array" aca="1" ref="G214" ca="1">COUNTIF(Table5[[#This Row],[September 30, 2025]:[April 7, 2026]],"Yes")/SUMPRODUCT(--(DATEVALUE(Table5[[#Headers],[September 30, 2025]:[April 9, 2026]])&lt;=TODAY()))</f>
        <v>0</v>
      </c>
      <c r="H214" t="s">
        <v>190</v>
      </c>
      <c r="I214" t="s">
        <v>190</v>
      </c>
      <c r="J214" t="s">
        <v>190</v>
      </c>
      <c r="K214" t="s">
        <v>190</v>
      </c>
      <c r="L214" t="s">
        <v>190</v>
      </c>
      <c r="M214" t="s">
        <v>190</v>
      </c>
      <c r="N214" t="s">
        <v>190</v>
      </c>
      <c r="O214" t="s">
        <v>190</v>
      </c>
      <c r="P214" t="s">
        <v>190</v>
      </c>
      <c r="Q214" t="s">
        <v>190</v>
      </c>
      <c r="R214" t="s">
        <v>190</v>
      </c>
      <c r="S214" t="s">
        <v>190</v>
      </c>
      <c r="T214" s="151" t="s">
        <v>190</v>
      </c>
      <c r="U214" t="s">
        <v>190</v>
      </c>
      <c r="V214" t="s">
        <v>190</v>
      </c>
      <c r="W214" t="s">
        <v>190</v>
      </c>
      <c r="X214" t="s">
        <v>190</v>
      </c>
      <c r="Y214" t="s">
        <v>190</v>
      </c>
      <c r="Z214" t="s">
        <v>190</v>
      </c>
      <c r="AA214" t="s">
        <v>190</v>
      </c>
      <c r="AB214" t="s">
        <v>190</v>
      </c>
      <c r="AC214" t="s">
        <v>190</v>
      </c>
      <c r="AD214" t="s">
        <v>190</v>
      </c>
      <c r="AE214" t="s">
        <v>190</v>
      </c>
      <c r="AF214" t="s">
        <v>190</v>
      </c>
      <c r="AG214" t="s">
        <v>190</v>
      </c>
      <c r="AH214" t="s">
        <v>190</v>
      </c>
      <c r="AI214" t="s">
        <v>190</v>
      </c>
      <c r="AJ214" t="s">
        <v>190</v>
      </c>
    </row>
    <row r="215" spans="2:36">
      <c r="B215" s="2" t="s">
        <v>651</v>
      </c>
      <c r="C215" s="2" t="s">
        <v>652</v>
      </c>
      <c r="D215" s="2" t="str">
        <f>Table5[[#This Row],[First name]]&amp;" "&amp;Table5[[#This Row],[Last name]]</f>
        <v>Kevin Mehrzad</v>
      </c>
      <c r="E215" s="2" t="str">
        <f>_xlfn.XLOOKUP(Table5[[#This Row],[Full name]],Table26[Name],Table26[Role],"Member",0,1)</f>
        <v>Member</v>
      </c>
      <c r="F215" s="2" t="s">
        <v>188</v>
      </c>
      <c r="G215" s="26" cm="1">
        <f t="array" aca="1" ref="G215" ca="1">COUNTIF(Table5[[#This Row],[September 30, 2025]:[April 7, 2026]],"Yes")/SUMPRODUCT(--(DATEVALUE(Table5[[#Headers],[September 30, 2025]:[April 9, 2026]])&lt;=TODAY()))</f>
        <v>0.05</v>
      </c>
      <c r="H215" t="s">
        <v>190</v>
      </c>
      <c r="I215" t="s">
        <v>186</v>
      </c>
      <c r="J215" t="s">
        <v>190</v>
      </c>
      <c r="K215" t="s">
        <v>190</v>
      </c>
      <c r="L215" t="s">
        <v>190</v>
      </c>
      <c r="M215" t="s">
        <v>190</v>
      </c>
      <c r="N215" t="s">
        <v>190</v>
      </c>
      <c r="O215" t="s">
        <v>190</v>
      </c>
      <c r="P215" t="s">
        <v>190</v>
      </c>
      <c r="Q215" t="s">
        <v>190</v>
      </c>
      <c r="R215" t="s">
        <v>190</v>
      </c>
      <c r="S215" t="s">
        <v>190</v>
      </c>
      <c r="T215" s="151" t="s">
        <v>190</v>
      </c>
      <c r="U215" t="s">
        <v>190</v>
      </c>
      <c r="V215" t="s">
        <v>190</v>
      </c>
      <c r="W215" t="s">
        <v>190</v>
      </c>
      <c r="X215" t="s">
        <v>190</v>
      </c>
      <c r="Y215" t="s">
        <v>190</v>
      </c>
      <c r="Z215" t="s">
        <v>190</v>
      </c>
      <c r="AA215" t="s">
        <v>190</v>
      </c>
      <c r="AB215" t="s">
        <v>190</v>
      </c>
      <c r="AC215" t="s">
        <v>190</v>
      </c>
      <c r="AD215" t="s">
        <v>190</v>
      </c>
      <c r="AE215" t="s">
        <v>190</v>
      </c>
      <c r="AF215" t="s">
        <v>190</v>
      </c>
      <c r="AG215" t="s">
        <v>190</v>
      </c>
      <c r="AH215" t="s">
        <v>190</v>
      </c>
      <c r="AI215" t="s">
        <v>190</v>
      </c>
      <c r="AJ215" t="s">
        <v>190</v>
      </c>
    </row>
    <row r="216" spans="2:36">
      <c r="B216" s="2" t="s">
        <v>653</v>
      </c>
      <c r="C216" s="2" t="s">
        <v>654</v>
      </c>
      <c r="D216" s="2" t="str">
        <f>Table5[[#This Row],[First name]]&amp;" "&amp;Table5[[#This Row],[Last name]]</f>
        <v>Khoi Luu</v>
      </c>
      <c r="E216" s="2" t="str">
        <f>_xlfn.XLOOKUP(Table5[[#This Row],[Full name]],Table26[Name],Table26[Role],"Member",0,1)</f>
        <v>Member</v>
      </c>
      <c r="F216" s="2" t="s">
        <v>188</v>
      </c>
      <c r="G216" s="26" cm="1">
        <f t="array" aca="1" ref="G216" ca="1">COUNTIF(Table5[[#This Row],[September 30, 2025]:[April 7, 2026]],"Yes")/SUMPRODUCT(--(DATEVALUE(Table5[[#Headers],[September 30, 2025]:[April 9, 2026]])&lt;=TODAY()))</f>
        <v>0.2</v>
      </c>
      <c r="H216" t="s">
        <v>186</v>
      </c>
      <c r="I216" t="s">
        <v>190</v>
      </c>
      <c r="J216" t="s">
        <v>190</v>
      </c>
      <c r="K216" t="s">
        <v>190</v>
      </c>
      <c r="L216" t="s">
        <v>190</v>
      </c>
      <c r="M216" t="s">
        <v>190</v>
      </c>
      <c r="N216" t="s">
        <v>186</v>
      </c>
      <c r="O216" t="s">
        <v>190</v>
      </c>
      <c r="P216" t="s">
        <v>190</v>
      </c>
      <c r="Q216" t="s">
        <v>190</v>
      </c>
      <c r="R216" t="s">
        <v>190</v>
      </c>
      <c r="S216" t="s">
        <v>186</v>
      </c>
      <c r="T216" s="151" t="s">
        <v>186</v>
      </c>
      <c r="U216" t="s">
        <v>190</v>
      </c>
      <c r="V216" t="s">
        <v>190</v>
      </c>
      <c r="W216" t="s">
        <v>190</v>
      </c>
      <c r="X216" t="s">
        <v>190</v>
      </c>
      <c r="Y216" t="s">
        <v>190</v>
      </c>
      <c r="Z216" t="s">
        <v>190</v>
      </c>
      <c r="AA216" t="s">
        <v>190</v>
      </c>
      <c r="AB216" t="s">
        <v>190</v>
      </c>
      <c r="AC216" t="s">
        <v>190</v>
      </c>
      <c r="AD216" t="s">
        <v>190</v>
      </c>
      <c r="AE216" t="s">
        <v>190</v>
      </c>
      <c r="AF216" t="s">
        <v>190</v>
      </c>
      <c r="AG216" t="s">
        <v>190</v>
      </c>
      <c r="AH216" t="s">
        <v>190</v>
      </c>
      <c r="AI216" t="s">
        <v>190</v>
      </c>
      <c r="AJ216" t="s">
        <v>190</v>
      </c>
    </row>
    <row r="217" spans="2:36">
      <c r="B217" s="2" t="s">
        <v>655</v>
      </c>
      <c r="C217" s="2" t="s">
        <v>326</v>
      </c>
      <c r="D217" s="2" t="str">
        <f>Table5[[#This Row],[First name]]&amp;" "&amp;Table5[[#This Row],[Last name]]</f>
        <v>Kieran Kwong</v>
      </c>
      <c r="E217" s="2" t="str">
        <f>_xlfn.XLOOKUP(Table5[[#This Row],[Full name]],Table26[Name],Table26[Role],"Member",0,1)</f>
        <v>Member</v>
      </c>
      <c r="F217" s="2" t="s">
        <v>188</v>
      </c>
      <c r="G217" s="26" cm="1">
        <f t="array" aca="1" ref="G217" ca="1">COUNTIF(Table5[[#This Row],[September 30, 2025]:[April 7, 2026]],"Yes")/SUMPRODUCT(--(DATEVALUE(Table5[[#Headers],[September 30, 2025]:[April 9, 2026]])&lt;=TODAY()))</f>
        <v>0.25</v>
      </c>
      <c r="H217" t="s">
        <v>190</v>
      </c>
      <c r="I217" t="s">
        <v>190</v>
      </c>
      <c r="J217" t="s">
        <v>186</v>
      </c>
      <c r="K217" t="s">
        <v>186</v>
      </c>
      <c r="L217" t="s">
        <v>190</v>
      </c>
      <c r="M217" t="s">
        <v>190</v>
      </c>
      <c r="N217" t="s">
        <v>186</v>
      </c>
      <c r="O217" t="s">
        <v>190</v>
      </c>
      <c r="P217" t="s">
        <v>190</v>
      </c>
      <c r="Q217" t="s">
        <v>190</v>
      </c>
      <c r="R217" t="s">
        <v>190</v>
      </c>
      <c r="S217" t="s">
        <v>190</v>
      </c>
      <c r="T217" s="151" t="s">
        <v>190</v>
      </c>
      <c r="U217" t="s">
        <v>190</v>
      </c>
      <c r="V217" t="s">
        <v>186</v>
      </c>
      <c r="W217" t="s">
        <v>190</v>
      </c>
      <c r="X217" t="s">
        <v>186</v>
      </c>
      <c r="Y217" t="s">
        <v>190</v>
      </c>
      <c r="Z217" t="s">
        <v>190</v>
      </c>
      <c r="AA217" t="s">
        <v>190</v>
      </c>
      <c r="AB217" t="s">
        <v>190</v>
      </c>
      <c r="AC217" t="s">
        <v>190</v>
      </c>
      <c r="AD217" t="s">
        <v>190</v>
      </c>
      <c r="AE217" t="s">
        <v>190</v>
      </c>
      <c r="AF217" t="s">
        <v>190</v>
      </c>
      <c r="AG217" t="s">
        <v>190</v>
      </c>
      <c r="AH217" t="s">
        <v>190</v>
      </c>
      <c r="AI217" t="s">
        <v>190</v>
      </c>
      <c r="AJ217" t="s">
        <v>190</v>
      </c>
    </row>
    <row r="218" spans="2:36">
      <c r="B218" s="2" t="s">
        <v>656</v>
      </c>
      <c r="C218" s="2" t="s">
        <v>657</v>
      </c>
      <c r="D218" s="2" t="str">
        <f>Table5[[#This Row],[First name]]&amp;" "&amp;Table5[[#This Row],[Last name]]</f>
        <v>Kimia Azizi Mehr</v>
      </c>
      <c r="E218" s="2" t="str">
        <f>_xlfn.XLOOKUP(Table5[[#This Row],[Full name]],Table26[Name],Table26[Role],"Member",0,1)</f>
        <v>Member</v>
      </c>
      <c r="F218" s="2" t="s">
        <v>188</v>
      </c>
      <c r="G218" s="26" cm="1">
        <f t="array" aca="1" ref="G218" ca="1">COUNTIF(Table5[[#This Row],[September 30, 2025]:[April 7, 2026]],"Yes")/SUMPRODUCT(--(DATEVALUE(Table5[[#Headers],[September 30, 2025]:[April 9, 2026]])&lt;=TODAY()))</f>
        <v>0</v>
      </c>
      <c r="H218" t="s">
        <v>190</v>
      </c>
      <c r="I218" t="s">
        <v>190</v>
      </c>
      <c r="J218" t="s">
        <v>190</v>
      </c>
      <c r="K218" t="s">
        <v>190</v>
      </c>
      <c r="L218" t="s">
        <v>190</v>
      </c>
      <c r="M218" t="s">
        <v>190</v>
      </c>
      <c r="N218" t="s">
        <v>190</v>
      </c>
      <c r="O218" t="s">
        <v>190</v>
      </c>
      <c r="P218" t="s">
        <v>190</v>
      </c>
      <c r="Q218" t="s">
        <v>190</v>
      </c>
      <c r="R218" t="s">
        <v>190</v>
      </c>
      <c r="S218" t="s">
        <v>190</v>
      </c>
      <c r="T218" s="151" t="s">
        <v>190</v>
      </c>
      <c r="U218" t="s">
        <v>190</v>
      </c>
      <c r="V218" t="s">
        <v>190</v>
      </c>
      <c r="W218" t="s">
        <v>190</v>
      </c>
      <c r="X218" t="s">
        <v>190</v>
      </c>
      <c r="Y218" t="s">
        <v>190</v>
      </c>
      <c r="Z218" t="s">
        <v>190</v>
      </c>
      <c r="AA218" t="s">
        <v>190</v>
      </c>
      <c r="AB218" t="s">
        <v>190</v>
      </c>
      <c r="AC218" t="s">
        <v>190</v>
      </c>
      <c r="AD218" t="s">
        <v>190</v>
      </c>
      <c r="AE218" t="s">
        <v>190</v>
      </c>
      <c r="AF218" t="s">
        <v>190</v>
      </c>
      <c r="AG218" t="s">
        <v>190</v>
      </c>
      <c r="AH218" t="s">
        <v>190</v>
      </c>
      <c r="AI218" t="s">
        <v>190</v>
      </c>
      <c r="AJ218" t="s">
        <v>190</v>
      </c>
    </row>
    <row r="219" spans="2:36">
      <c r="B219" s="2" t="s">
        <v>658</v>
      </c>
      <c r="C219" s="2" t="s">
        <v>659</v>
      </c>
      <c r="D219" s="2" t="str">
        <f>Table5[[#This Row],[First name]]&amp;" "&amp;Table5[[#This Row],[Last name]]</f>
        <v>Kiran Shu</v>
      </c>
      <c r="E219" s="2" t="str">
        <f>_xlfn.XLOOKUP(Table5[[#This Row],[Full name]],Table26[Name],Table26[Role],"Member",0,1)</f>
        <v>Member</v>
      </c>
      <c r="F219" s="2" t="s">
        <v>188</v>
      </c>
      <c r="G219" s="26" cm="1">
        <f t="array" aca="1" ref="G219" ca="1">COUNTIF(Table5[[#This Row],[September 30, 2025]:[April 7, 2026]],"Yes")/SUMPRODUCT(--(DATEVALUE(Table5[[#Headers],[September 30, 2025]:[April 9, 2026]])&lt;=TODAY()))</f>
        <v>0.05</v>
      </c>
      <c r="R219" t="s">
        <v>186</v>
      </c>
      <c r="T219" s="151" t="s">
        <v>190</v>
      </c>
      <c r="V219" t="s">
        <v>190</v>
      </c>
      <c r="X219" t="s">
        <v>190</v>
      </c>
      <c r="AA219" t="s">
        <v>190</v>
      </c>
    </row>
    <row r="220" spans="2:36">
      <c r="B220" s="2" t="s">
        <v>660</v>
      </c>
      <c r="C220" s="2" t="s">
        <v>450</v>
      </c>
      <c r="D220" s="2" t="str">
        <f>Table5[[#This Row],[First name]]&amp;" "&amp;Table5[[#This Row],[Last name]]</f>
        <v>Kongduo Li</v>
      </c>
      <c r="E220" s="2" t="str">
        <f>_xlfn.XLOOKUP(Table5[[#This Row],[Full name]],Table26[Name],Table26[Role],"Member",0,1)</f>
        <v>Member</v>
      </c>
      <c r="F220" s="2" t="s">
        <v>188</v>
      </c>
      <c r="G220" s="26" cm="1">
        <f t="array" aca="1" ref="G220" ca="1">COUNTIF(Table5[[#This Row],[September 30, 2025]:[April 7, 2026]],"Yes")/SUMPRODUCT(--(DATEVALUE(Table5[[#Headers],[September 30, 2025]:[April 9, 2026]])&lt;=TODAY()))</f>
        <v>0.7</v>
      </c>
      <c r="H220" t="s">
        <v>186</v>
      </c>
      <c r="I220" t="s">
        <v>186</v>
      </c>
      <c r="J220" t="s">
        <v>186</v>
      </c>
      <c r="K220" t="s">
        <v>186</v>
      </c>
      <c r="L220" t="s">
        <v>186</v>
      </c>
      <c r="M220" t="s">
        <v>186</v>
      </c>
      <c r="N220" t="s">
        <v>190</v>
      </c>
      <c r="O220" t="s">
        <v>186</v>
      </c>
      <c r="P220" t="s">
        <v>186</v>
      </c>
      <c r="Q220" t="s">
        <v>186</v>
      </c>
      <c r="R220" t="s">
        <v>186</v>
      </c>
      <c r="S220" t="s">
        <v>190</v>
      </c>
      <c r="T220" s="151" t="s">
        <v>186</v>
      </c>
      <c r="U220" t="s">
        <v>190</v>
      </c>
      <c r="V220" t="s">
        <v>190</v>
      </c>
      <c r="W220" t="s">
        <v>190</v>
      </c>
      <c r="X220" t="s">
        <v>190</v>
      </c>
      <c r="Y220" t="s">
        <v>186</v>
      </c>
      <c r="Z220" t="s">
        <v>186</v>
      </c>
      <c r="AA220" t="s">
        <v>186</v>
      </c>
      <c r="AB220" t="s">
        <v>190</v>
      </c>
      <c r="AC220" t="s">
        <v>190</v>
      </c>
      <c r="AD220" t="s">
        <v>190</v>
      </c>
      <c r="AE220" t="s">
        <v>190</v>
      </c>
      <c r="AF220" t="s">
        <v>190</v>
      </c>
      <c r="AG220" t="s">
        <v>190</v>
      </c>
      <c r="AH220" t="s">
        <v>190</v>
      </c>
      <c r="AI220" t="s">
        <v>190</v>
      </c>
      <c r="AJ220" t="s">
        <v>190</v>
      </c>
    </row>
    <row r="221" spans="2:36">
      <c r="B221" s="2" t="s">
        <v>661</v>
      </c>
      <c r="C221" s="2" t="s">
        <v>662</v>
      </c>
      <c r="D221" s="2" t="str">
        <f>Table5[[#This Row],[First name]]&amp;" "&amp;Table5[[#This Row],[Last name]]</f>
        <v>Konrad Zawadzki</v>
      </c>
      <c r="E221" s="2" t="str">
        <f>_xlfn.XLOOKUP(Table5[[#This Row],[Full name]],Table26[Name],Table26[Role],"Member",0,1)</f>
        <v>Member</v>
      </c>
      <c r="F221" s="2"/>
      <c r="G221" s="152" cm="1">
        <f t="array" aca="1" ref="G221" ca="1">COUNTIF(Table5[[#This Row],[September 30, 2025]:[April 7, 2026]],"Yes")/SUMPRODUCT(--(DATEVALUE(Table5[[#Headers],[September 30, 2025]:[April 9, 2026]])&lt;=TODAY()))</f>
        <v>0.2</v>
      </c>
      <c r="T221" s="151"/>
      <c r="X221" t="s">
        <v>186</v>
      </c>
      <c r="Y221" t="s">
        <v>186</v>
      </c>
      <c r="Z221" t="s">
        <v>186</v>
      </c>
      <c r="AA221" t="s">
        <v>186</v>
      </c>
    </row>
    <row r="222" spans="2:36">
      <c r="B222" s="2" t="s">
        <v>663</v>
      </c>
      <c r="C222" s="2" t="s">
        <v>664</v>
      </c>
      <c r="D222" s="2" t="str">
        <f>Table5[[#This Row],[First name]]&amp;" "&amp;Table5[[#This Row],[Last name]]</f>
        <v>Krish Chandola</v>
      </c>
      <c r="E222" s="2" t="str">
        <f>_xlfn.XLOOKUP(Table5[[#This Row],[Full name]],Table26[Name],Table26[Role],"Member",0,1)</f>
        <v>Member</v>
      </c>
      <c r="F222" s="2" t="s">
        <v>188</v>
      </c>
      <c r="G222" s="26" cm="1">
        <f t="array" aca="1" ref="G222" ca="1">COUNTIF(Table5[[#This Row],[September 30, 2025]:[April 7, 2026]],"Yes")/SUMPRODUCT(--(DATEVALUE(Table5[[#Headers],[September 30, 2025]:[April 9, 2026]])&lt;=TODAY()))</f>
        <v>0.75</v>
      </c>
      <c r="H222" t="s">
        <v>186</v>
      </c>
      <c r="I222" t="s">
        <v>186</v>
      </c>
      <c r="J222" t="s">
        <v>186</v>
      </c>
      <c r="K222" t="s">
        <v>186</v>
      </c>
      <c r="L222" t="s">
        <v>190</v>
      </c>
      <c r="M222" t="s">
        <v>190</v>
      </c>
      <c r="N222" t="s">
        <v>186</v>
      </c>
      <c r="O222" t="s">
        <v>186</v>
      </c>
      <c r="P222" t="s">
        <v>186</v>
      </c>
      <c r="Q222" t="s">
        <v>190</v>
      </c>
      <c r="R222" t="s">
        <v>186</v>
      </c>
      <c r="S222" t="s">
        <v>186</v>
      </c>
      <c r="T222" s="151" t="s">
        <v>186</v>
      </c>
      <c r="U222" t="s">
        <v>190</v>
      </c>
      <c r="V222" t="s">
        <v>186</v>
      </c>
      <c r="W222" t="s">
        <v>186</v>
      </c>
      <c r="X222" t="s">
        <v>186</v>
      </c>
      <c r="Y222" t="s">
        <v>186</v>
      </c>
      <c r="Z222" t="s">
        <v>186</v>
      </c>
      <c r="AA222" t="s">
        <v>190</v>
      </c>
      <c r="AB222" t="s">
        <v>190</v>
      </c>
      <c r="AC222" t="s">
        <v>190</v>
      </c>
      <c r="AD222" t="s">
        <v>190</v>
      </c>
      <c r="AE222" t="s">
        <v>190</v>
      </c>
      <c r="AF222" t="s">
        <v>190</v>
      </c>
      <c r="AG222" t="s">
        <v>190</v>
      </c>
      <c r="AH222" t="s">
        <v>190</v>
      </c>
      <c r="AI222" t="s">
        <v>190</v>
      </c>
      <c r="AJ222" t="s">
        <v>190</v>
      </c>
    </row>
    <row r="223" spans="2:36">
      <c r="B223" s="2" t="s">
        <v>665</v>
      </c>
      <c r="C223" s="2" t="s">
        <v>666</v>
      </c>
      <c r="D223" s="2" t="str">
        <f>Table5[[#This Row],[First name]]&amp;" "&amp;Table5[[#This Row],[Last name]]</f>
        <v>Krish  Mehta</v>
      </c>
      <c r="E223" s="2" t="str">
        <f>_xlfn.XLOOKUP(Table5[[#This Row],[Full name]],Table26[Name],Table26[Role],"Member",0,1)</f>
        <v>Member</v>
      </c>
      <c r="F223" s="2" t="s">
        <v>188</v>
      </c>
      <c r="G223" s="152" cm="1">
        <f t="array" aca="1" ref="G223" ca="1">COUNTIF(Table5[[#This Row],[September 30, 2025]:[April 7, 2026]],"Yes")/SUMPRODUCT(--(DATEVALUE(Table5[[#Headers],[September 30, 2025]:[April 9, 2026]])&lt;=TODAY()))</f>
        <v>0.05</v>
      </c>
      <c r="T223" s="151"/>
      <c r="V223" t="s">
        <v>186</v>
      </c>
      <c r="X223" t="s">
        <v>190</v>
      </c>
      <c r="AA223" t="s">
        <v>190</v>
      </c>
    </row>
    <row r="224" spans="2:36">
      <c r="B224" s="2" t="s">
        <v>667</v>
      </c>
      <c r="C224" s="2" t="s">
        <v>304</v>
      </c>
      <c r="D224" s="2" t="str">
        <f>Table5[[#This Row],[First name]]&amp;" "&amp;Table5[[#This Row],[Last name]]</f>
        <v>Kyle  Chen</v>
      </c>
      <c r="E224" s="2" t="str">
        <f>_xlfn.XLOOKUP(Table5[[#This Row],[Full name]],Table26[Name],Table26[Role],"Member",0,1)</f>
        <v>Member</v>
      </c>
      <c r="F224" s="2" t="s">
        <v>188</v>
      </c>
      <c r="G224" s="26" cm="1">
        <f t="array" aca="1" ref="G224" ca="1">COUNTIF(Table5[[#This Row],[September 30, 2025]:[April 7, 2026]],"Yes")/SUMPRODUCT(--(DATEVALUE(Table5[[#Headers],[September 30, 2025]:[April 9, 2026]])&lt;=TODAY()))</f>
        <v>0.4</v>
      </c>
      <c r="R224" t="s">
        <v>186</v>
      </c>
      <c r="S224" t="s">
        <v>186</v>
      </c>
      <c r="T224" s="151" t="s">
        <v>186</v>
      </c>
      <c r="U224" t="s">
        <v>186</v>
      </c>
      <c r="V224" t="s">
        <v>190</v>
      </c>
      <c r="W224" t="s">
        <v>186</v>
      </c>
      <c r="X224" t="s">
        <v>186</v>
      </c>
      <c r="Y224" t="s">
        <v>186</v>
      </c>
      <c r="AA224" t="s">
        <v>186</v>
      </c>
    </row>
    <row r="225" spans="2:36">
      <c r="B225" s="2" t="s">
        <v>668</v>
      </c>
      <c r="C225" s="2" t="s">
        <v>669</v>
      </c>
      <c r="D225" s="2" t="str">
        <f>Table5[[#This Row],[First name]]&amp;" "&amp;Table5[[#This Row],[Last name]]</f>
        <v>Lawrence Alvarez-Smith</v>
      </c>
      <c r="E225" s="2" t="str">
        <f>_xlfn.XLOOKUP(Table5[[#This Row],[Full name]],Table26[Name],Table26[Role],"Member",0,1)</f>
        <v>Member</v>
      </c>
      <c r="F225" s="2" t="s">
        <v>188</v>
      </c>
      <c r="G225" s="26" cm="1">
        <f t="array" aca="1" ref="G225" ca="1">COUNTIF(Table5[[#This Row],[September 30, 2025]:[April 7, 2026]],"Yes")/SUMPRODUCT(--(DATEVALUE(Table5[[#Headers],[September 30, 2025]:[April 9, 2026]])&lt;=TODAY()))</f>
        <v>0.05</v>
      </c>
      <c r="H225" t="s">
        <v>190</v>
      </c>
      <c r="I225" t="s">
        <v>186</v>
      </c>
      <c r="J225" t="s">
        <v>190</v>
      </c>
      <c r="K225" t="s">
        <v>190</v>
      </c>
      <c r="L225" t="s">
        <v>190</v>
      </c>
      <c r="M225" t="s">
        <v>190</v>
      </c>
      <c r="N225" t="s">
        <v>190</v>
      </c>
      <c r="O225" t="s">
        <v>190</v>
      </c>
      <c r="P225" t="s">
        <v>190</v>
      </c>
      <c r="Q225" t="s">
        <v>190</v>
      </c>
      <c r="R225" t="s">
        <v>190</v>
      </c>
      <c r="S225" t="s">
        <v>190</v>
      </c>
      <c r="T225" s="151" t="s">
        <v>190</v>
      </c>
      <c r="U225" t="s">
        <v>190</v>
      </c>
      <c r="V225" t="s">
        <v>190</v>
      </c>
      <c r="W225" t="s">
        <v>190</v>
      </c>
      <c r="X225" t="s">
        <v>190</v>
      </c>
      <c r="Y225" t="s">
        <v>190</v>
      </c>
      <c r="Z225" t="s">
        <v>190</v>
      </c>
      <c r="AA225" t="s">
        <v>190</v>
      </c>
      <c r="AB225" t="s">
        <v>190</v>
      </c>
      <c r="AC225" t="s">
        <v>190</v>
      </c>
      <c r="AD225" t="s">
        <v>190</v>
      </c>
      <c r="AE225" t="s">
        <v>190</v>
      </c>
      <c r="AF225" t="s">
        <v>190</v>
      </c>
      <c r="AG225" t="s">
        <v>190</v>
      </c>
      <c r="AH225" t="s">
        <v>190</v>
      </c>
      <c r="AI225" t="s">
        <v>190</v>
      </c>
      <c r="AJ225" t="s">
        <v>190</v>
      </c>
    </row>
    <row r="226" spans="2:36">
      <c r="B226" s="2" t="s">
        <v>668</v>
      </c>
      <c r="C226" s="2" t="s">
        <v>404</v>
      </c>
      <c r="D226" s="2" t="str">
        <f>Table5[[#This Row],[First name]]&amp;" "&amp;Table5[[#This Row],[Last name]]</f>
        <v>Lawrence Xu</v>
      </c>
      <c r="E226" s="2" t="str">
        <f>_xlfn.XLOOKUP(Table5[[#This Row],[Full name]],Table26[Name],Table26[Role],"Member",0,1)</f>
        <v>Member</v>
      </c>
      <c r="F226" s="2" t="s">
        <v>188</v>
      </c>
      <c r="G226" s="26" cm="1">
        <f t="array" aca="1" ref="G226" ca="1">COUNTIF(Table5[[#This Row],[September 30, 2025]:[April 7, 2026]],"Yes")/SUMPRODUCT(--(DATEVALUE(Table5[[#Headers],[September 30, 2025]:[April 9, 2026]])&lt;=TODAY()))</f>
        <v>0.3</v>
      </c>
      <c r="H226" t="s">
        <v>186</v>
      </c>
      <c r="I226" t="s">
        <v>190</v>
      </c>
      <c r="J226" t="s">
        <v>190</v>
      </c>
      <c r="K226" t="s">
        <v>190</v>
      </c>
      <c r="L226" t="s">
        <v>190</v>
      </c>
      <c r="M226" t="s">
        <v>190</v>
      </c>
      <c r="N226" t="s">
        <v>190</v>
      </c>
      <c r="O226" t="s">
        <v>186</v>
      </c>
      <c r="P226" t="s">
        <v>186</v>
      </c>
      <c r="Q226" t="s">
        <v>186</v>
      </c>
      <c r="R226" t="s">
        <v>186</v>
      </c>
      <c r="S226" t="s">
        <v>190</v>
      </c>
      <c r="T226" s="151" t="s">
        <v>190</v>
      </c>
      <c r="U226" t="s">
        <v>190</v>
      </c>
      <c r="V226" t="s">
        <v>190</v>
      </c>
      <c r="W226" t="s">
        <v>186</v>
      </c>
      <c r="X226" t="s">
        <v>190</v>
      </c>
      <c r="Y226" t="s">
        <v>190</v>
      </c>
      <c r="Z226" t="s">
        <v>190</v>
      </c>
      <c r="AA226" t="s">
        <v>190</v>
      </c>
      <c r="AB226" t="s">
        <v>190</v>
      </c>
      <c r="AC226" t="s">
        <v>190</v>
      </c>
      <c r="AD226" t="s">
        <v>190</v>
      </c>
      <c r="AE226" t="s">
        <v>190</v>
      </c>
      <c r="AF226" t="s">
        <v>190</v>
      </c>
      <c r="AG226" t="s">
        <v>190</v>
      </c>
      <c r="AH226" t="s">
        <v>190</v>
      </c>
      <c r="AI226" t="s">
        <v>190</v>
      </c>
      <c r="AJ226" t="s">
        <v>190</v>
      </c>
    </row>
    <row r="227" spans="2:36">
      <c r="B227" s="2" t="s">
        <v>595</v>
      </c>
      <c r="C227" s="2" t="s">
        <v>450</v>
      </c>
      <c r="D227" s="2" t="str">
        <f>Table5[[#This Row],[First name]]&amp;" "&amp;Table5[[#This Row],[Last name]]</f>
        <v>Lee Li</v>
      </c>
      <c r="E227" s="2" t="str">
        <f>_xlfn.XLOOKUP(Table5[[#This Row],[Full name]],Table26[Name],Table26[Role],"Member",0,1)</f>
        <v>Member</v>
      </c>
      <c r="F227" s="2" t="s">
        <v>188</v>
      </c>
      <c r="G227" s="26" cm="1">
        <f t="array" aca="1" ref="G227" ca="1">COUNTIF(Table5[[#This Row],[September 30, 2025]:[April 7, 2026]],"Yes")/SUMPRODUCT(--(DATEVALUE(Table5[[#Headers],[September 30, 2025]:[April 9, 2026]])&lt;=TODAY()))</f>
        <v>0.05</v>
      </c>
      <c r="H227" t="s">
        <v>190</v>
      </c>
      <c r="I227" t="s">
        <v>190</v>
      </c>
      <c r="J227" t="s">
        <v>186</v>
      </c>
      <c r="K227" t="s">
        <v>190</v>
      </c>
      <c r="L227" t="s">
        <v>190</v>
      </c>
      <c r="M227" t="s">
        <v>190</v>
      </c>
      <c r="N227" t="s">
        <v>190</v>
      </c>
      <c r="O227" t="s">
        <v>190</v>
      </c>
      <c r="P227" t="s">
        <v>190</v>
      </c>
      <c r="Q227" t="s">
        <v>190</v>
      </c>
      <c r="R227" t="s">
        <v>190</v>
      </c>
      <c r="S227" t="s">
        <v>190</v>
      </c>
      <c r="T227" s="151" t="s">
        <v>190</v>
      </c>
      <c r="U227" t="s">
        <v>190</v>
      </c>
      <c r="V227" t="s">
        <v>190</v>
      </c>
      <c r="W227" t="s">
        <v>190</v>
      </c>
      <c r="X227" t="s">
        <v>190</v>
      </c>
      <c r="Y227" t="s">
        <v>190</v>
      </c>
      <c r="Z227" t="s">
        <v>190</v>
      </c>
      <c r="AA227" t="s">
        <v>190</v>
      </c>
      <c r="AB227" t="s">
        <v>190</v>
      </c>
      <c r="AC227" t="s">
        <v>190</v>
      </c>
      <c r="AD227" t="s">
        <v>190</v>
      </c>
      <c r="AE227" t="s">
        <v>190</v>
      </c>
      <c r="AF227" t="s">
        <v>190</v>
      </c>
      <c r="AG227" t="s">
        <v>190</v>
      </c>
      <c r="AH227" t="s">
        <v>190</v>
      </c>
      <c r="AI227" t="s">
        <v>190</v>
      </c>
      <c r="AJ227" t="s">
        <v>190</v>
      </c>
    </row>
    <row r="228" spans="2:36">
      <c r="B228" s="2" t="s">
        <v>670</v>
      </c>
      <c r="C228" s="2" t="s">
        <v>551</v>
      </c>
      <c r="D228" s="2" t="str">
        <f>Table5[[#This Row],[First name]]&amp;" "&amp;Table5[[#This Row],[Last name]]</f>
        <v>Leo Yang</v>
      </c>
      <c r="E228" s="2" t="str">
        <f>_xlfn.XLOOKUP(Table5[[#This Row],[Full name]],Table26[Name],Table26[Role],"Member",0,1)</f>
        <v>Member</v>
      </c>
      <c r="F228" s="2" t="s">
        <v>188</v>
      </c>
      <c r="G228" s="26" cm="1">
        <f t="array" aca="1" ref="G228" ca="1">COUNTIF(Table5[[#This Row],[September 30, 2025]:[April 7, 2026]],"Yes")/SUMPRODUCT(--(DATEVALUE(Table5[[#Headers],[September 30, 2025]:[April 9, 2026]])&lt;=TODAY()))</f>
        <v>0.15</v>
      </c>
      <c r="P228" t="s">
        <v>186</v>
      </c>
      <c r="Q228" t="s">
        <v>190</v>
      </c>
      <c r="R228" t="s">
        <v>190</v>
      </c>
      <c r="S228" t="s">
        <v>190</v>
      </c>
      <c r="T228" s="151" t="s">
        <v>190</v>
      </c>
      <c r="U228" t="s">
        <v>190</v>
      </c>
      <c r="V228" t="s">
        <v>190</v>
      </c>
      <c r="W228" t="s">
        <v>190</v>
      </c>
      <c r="X228" t="s">
        <v>190</v>
      </c>
      <c r="Y228" t="s">
        <v>186</v>
      </c>
      <c r="Z228" t="s">
        <v>190</v>
      </c>
      <c r="AA228" t="s">
        <v>186</v>
      </c>
      <c r="AB228" t="s">
        <v>190</v>
      </c>
      <c r="AC228" t="s">
        <v>190</v>
      </c>
      <c r="AD228" t="s">
        <v>190</v>
      </c>
      <c r="AE228" t="s">
        <v>190</v>
      </c>
      <c r="AF228" t="s">
        <v>190</v>
      </c>
      <c r="AG228" t="s">
        <v>190</v>
      </c>
      <c r="AH228" t="s">
        <v>190</v>
      </c>
      <c r="AI228" t="s">
        <v>190</v>
      </c>
      <c r="AJ228" t="s">
        <v>190</v>
      </c>
    </row>
    <row r="229" spans="2:36">
      <c r="B229" s="2" t="s">
        <v>671</v>
      </c>
      <c r="C229" s="2" t="s">
        <v>672</v>
      </c>
      <c r="D229" s="2" t="str">
        <f>Table5[[#This Row],[First name]]&amp;" "&amp;Table5[[#This Row],[Last name]]</f>
        <v>Leonardo Panarello</v>
      </c>
      <c r="E229" s="2" t="str">
        <f>_xlfn.XLOOKUP(Table5[[#This Row],[Full name]],Table26[Name],Table26[Role],"Member",0,1)</f>
        <v>Member</v>
      </c>
      <c r="F229" s="2" t="s">
        <v>188</v>
      </c>
      <c r="G229" s="26" cm="1">
        <f t="array" aca="1" ref="G229" ca="1">COUNTIF(Table5[[#This Row],[September 30, 2025]:[April 7, 2026]],"Yes")/SUMPRODUCT(--(DATEVALUE(Table5[[#Headers],[September 30, 2025]:[April 9, 2026]])&lt;=TODAY()))</f>
        <v>0.2</v>
      </c>
      <c r="H229" t="s">
        <v>186</v>
      </c>
      <c r="I229" t="s">
        <v>190</v>
      </c>
      <c r="J229" t="s">
        <v>190</v>
      </c>
      <c r="K229" t="s">
        <v>190</v>
      </c>
      <c r="L229" t="s">
        <v>186</v>
      </c>
      <c r="M229" t="s">
        <v>190</v>
      </c>
      <c r="N229" t="s">
        <v>190</v>
      </c>
      <c r="O229" t="s">
        <v>186</v>
      </c>
      <c r="P229" t="s">
        <v>190</v>
      </c>
      <c r="Q229" t="s">
        <v>186</v>
      </c>
      <c r="R229" t="s">
        <v>190</v>
      </c>
      <c r="S229" t="s">
        <v>190</v>
      </c>
      <c r="T229" s="151" t="s">
        <v>190</v>
      </c>
      <c r="U229" t="s">
        <v>190</v>
      </c>
      <c r="V229" t="s">
        <v>190</v>
      </c>
      <c r="W229" t="s">
        <v>190</v>
      </c>
      <c r="X229" t="s">
        <v>190</v>
      </c>
      <c r="Y229" t="s">
        <v>190</v>
      </c>
      <c r="Z229" t="s">
        <v>190</v>
      </c>
      <c r="AA229" t="s">
        <v>190</v>
      </c>
      <c r="AB229" t="s">
        <v>190</v>
      </c>
      <c r="AC229" t="s">
        <v>190</v>
      </c>
      <c r="AD229" t="s">
        <v>190</v>
      </c>
      <c r="AE229" t="s">
        <v>190</v>
      </c>
      <c r="AF229" t="s">
        <v>190</v>
      </c>
      <c r="AG229" t="s">
        <v>190</v>
      </c>
      <c r="AH229" t="s">
        <v>190</v>
      </c>
      <c r="AI229" t="s">
        <v>190</v>
      </c>
      <c r="AJ229" t="s">
        <v>190</v>
      </c>
    </row>
    <row r="230" spans="2:36">
      <c r="B230" s="2" t="s">
        <v>673</v>
      </c>
      <c r="C230" s="2" t="s">
        <v>514</v>
      </c>
      <c r="D230" s="2" t="str">
        <f>Table5[[#This Row],[First name]]&amp;" "&amp;Table5[[#This Row],[Last name]]</f>
        <v>Liam Carter</v>
      </c>
      <c r="E230" s="2" t="str">
        <f>_xlfn.XLOOKUP(Table5[[#This Row],[Full name]],Table26[Name],Table26[Role],"Member",0,1)</f>
        <v>Member</v>
      </c>
      <c r="F230" s="2" t="s">
        <v>188</v>
      </c>
      <c r="G230" s="26" cm="1">
        <f t="array" aca="1" ref="G230" ca="1">COUNTIF(Table5[[#This Row],[September 30, 2025]:[April 7, 2026]],"Yes")/SUMPRODUCT(--(DATEVALUE(Table5[[#Headers],[September 30, 2025]:[April 9, 2026]])&lt;=TODAY()))</f>
        <v>0.65</v>
      </c>
      <c r="H230" t="s">
        <v>186</v>
      </c>
      <c r="I230" t="s">
        <v>186</v>
      </c>
      <c r="J230" t="s">
        <v>190</v>
      </c>
      <c r="K230" t="s">
        <v>186</v>
      </c>
      <c r="L230" t="s">
        <v>186</v>
      </c>
      <c r="M230" t="s">
        <v>190</v>
      </c>
      <c r="N230" t="s">
        <v>190</v>
      </c>
      <c r="O230" t="s">
        <v>190</v>
      </c>
      <c r="P230" t="s">
        <v>190</v>
      </c>
      <c r="Q230" t="s">
        <v>186</v>
      </c>
      <c r="R230" t="s">
        <v>186</v>
      </c>
      <c r="S230" t="s">
        <v>190</v>
      </c>
      <c r="T230" s="151" t="s">
        <v>186</v>
      </c>
      <c r="U230" t="s">
        <v>186</v>
      </c>
      <c r="V230" t="s">
        <v>186</v>
      </c>
      <c r="W230" t="s">
        <v>186</v>
      </c>
      <c r="X230" t="s">
        <v>190</v>
      </c>
      <c r="Y230" t="s">
        <v>186</v>
      </c>
      <c r="Z230" t="s">
        <v>186</v>
      </c>
      <c r="AA230" t="s">
        <v>186</v>
      </c>
      <c r="AB230" t="s">
        <v>190</v>
      </c>
      <c r="AC230" t="s">
        <v>190</v>
      </c>
      <c r="AD230" t="s">
        <v>190</v>
      </c>
      <c r="AE230" t="s">
        <v>190</v>
      </c>
      <c r="AF230" t="s">
        <v>190</v>
      </c>
      <c r="AG230" t="s">
        <v>190</v>
      </c>
      <c r="AH230" t="s">
        <v>190</v>
      </c>
      <c r="AI230" t="s">
        <v>190</v>
      </c>
      <c r="AJ230" t="s">
        <v>190</v>
      </c>
    </row>
    <row r="231" spans="2:36">
      <c r="B231" s="2" t="s">
        <v>673</v>
      </c>
      <c r="C231" s="2" t="s">
        <v>674</v>
      </c>
      <c r="D231" s="2" t="str">
        <f>Table5[[#This Row],[First name]]&amp;" "&amp;Table5[[#This Row],[Last name]]</f>
        <v>Liam Surka</v>
      </c>
      <c r="E231" s="2" t="str">
        <f>_xlfn.XLOOKUP(Table5[[#This Row],[Full name]],Table26[Name],Table26[Role],"Member",0,1)</f>
        <v>Member</v>
      </c>
      <c r="F231" s="2" t="s">
        <v>188</v>
      </c>
      <c r="G231" s="26" cm="1">
        <f t="array" aca="1" ref="G231" ca="1">COUNTIF(Table5[[#This Row],[September 30, 2025]:[April 7, 2026]],"Yes")/SUMPRODUCT(--(DATEVALUE(Table5[[#Headers],[September 30, 2025]:[April 9, 2026]])&lt;=TODAY()))</f>
        <v>0</v>
      </c>
      <c r="H231" t="s">
        <v>190</v>
      </c>
      <c r="I231" t="s">
        <v>190</v>
      </c>
      <c r="J231" t="s">
        <v>190</v>
      </c>
      <c r="K231" t="s">
        <v>190</v>
      </c>
      <c r="L231" t="s">
        <v>190</v>
      </c>
      <c r="M231" t="s">
        <v>190</v>
      </c>
      <c r="N231" t="s">
        <v>190</v>
      </c>
      <c r="O231" t="s">
        <v>190</v>
      </c>
      <c r="P231" t="s">
        <v>190</v>
      </c>
      <c r="Q231" t="s">
        <v>190</v>
      </c>
      <c r="R231" t="s">
        <v>190</v>
      </c>
      <c r="S231" t="s">
        <v>190</v>
      </c>
      <c r="T231" s="151" t="s">
        <v>190</v>
      </c>
      <c r="U231" t="s">
        <v>190</v>
      </c>
      <c r="V231" t="s">
        <v>190</v>
      </c>
      <c r="W231" t="s">
        <v>190</v>
      </c>
      <c r="X231" t="s">
        <v>190</v>
      </c>
      <c r="Y231" t="s">
        <v>190</v>
      </c>
      <c r="Z231" t="s">
        <v>190</v>
      </c>
      <c r="AA231" t="s">
        <v>190</v>
      </c>
      <c r="AB231" t="s">
        <v>190</v>
      </c>
      <c r="AC231" t="s">
        <v>190</v>
      </c>
      <c r="AD231" t="s">
        <v>190</v>
      </c>
      <c r="AE231" t="s">
        <v>190</v>
      </c>
      <c r="AF231" t="s">
        <v>190</v>
      </c>
      <c r="AG231" t="s">
        <v>190</v>
      </c>
      <c r="AH231" t="s">
        <v>190</v>
      </c>
      <c r="AI231" t="s">
        <v>190</v>
      </c>
      <c r="AJ231" t="s">
        <v>190</v>
      </c>
    </row>
    <row r="232" spans="2:36">
      <c r="B232" s="2" t="s">
        <v>675</v>
      </c>
      <c r="C232" s="2" t="s">
        <v>676</v>
      </c>
      <c r="D232" s="2" t="str">
        <f>Table5[[#This Row],[First name]]&amp;" "&amp;Table5[[#This Row],[Last name]]</f>
        <v>Lidia Permia</v>
      </c>
      <c r="E232" s="2" t="str">
        <f>_xlfn.XLOOKUP(Table5[[#This Row],[Full name]],Table26[Name],Table26[Role],"Member",0,1)</f>
        <v>Member</v>
      </c>
      <c r="F232" s="2" t="s">
        <v>188</v>
      </c>
      <c r="G232" s="26" cm="1">
        <f t="array" aca="1" ref="G232" ca="1">COUNTIF(Table5[[#This Row],[September 30, 2025]:[April 7, 2026]],"Yes")/SUMPRODUCT(--(DATEVALUE(Table5[[#Headers],[September 30, 2025]:[April 9, 2026]])&lt;=TODAY()))</f>
        <v>0.05</v>
      </c>
      <c r="N232" t="s">
        <v>186</v>
      </c>
      <c r="P232" t="s">
        <v>190</v>
      </c>
      <c r="Q232" t="s">
        <v>190</v>
      </c>
      <c r="R232" t="s">
        <v>190</v>
      </c>
      <c r="S232" t="s">
        <v>190</v>
      </c>
      <c r="T232" s="151" t="s">
        <v>190</v>
      </c>
      <c r="U232" t="s">
        <v>190</v>
      </c>
      <c r="V232" t="s">
        <v>190</v>
      </c>
      <c r="W232" t="s">
        <v>190</v>
      </c>
      <c r="X232" t="s">
        <v>190</v>
      </c>
      <c r="Y232" t="s">
        <v>190</v>
      </c>
      <c r="Z232" t="s">
        <v>190</v>
      </c>
      <c r="AA232" t="s">
        <v>190</v>
      </c>
      <c r="AB232" t="s">
        <v>190</v>
      </c>
      <c r="AC232" t="s">
        <v>190</v>
      </c>
      <c r="AD232" t="s">
        <v>190</v>
      </c>
      <c r="AE232" t="s">
        <v>190</v>
      </c>
      <c r="AF232" t="s">
        <v>190</v>
      </c>
      <c r="AG232" t="s">
        <v>190</v>
      </c>
      <c r="AH232" t="s">
        <v>190</v>
      </c>
      <c r="AI232" t="s">
        <v>190</v>
      </c>
      <c r="AJ232" t="s">
        <v>190</v>
      </c>
    </row>
    <row r="233" spans="2:36">
      <c r="B233" s="2" t="s">
        <v>677</v>
      </c>
      <c r="C233" s="2" t="s">
        <v>678</v>
      </c>
      <c r="D233" s="2" t="str">
        <f>Table5[[#This Row],[First name]]&amp;" "&amp;Table5[[#This Row],[Last name]]</f>
        <v>Louis Vaupotic</v>
      </c>
      <c r="E233" s="2" t="str">
        <f>_xlfn.XLOOKUP(Table5[[#This Row],[Full name]],Table26[Name],Table26[Role],"Member",0,1)</f>
        <v>Member</v>
      </c>
      <c r="F233" s="2" t="s">
        <v>188</v>
      </c>
      <c r="G233" s="26" cm="1">
        <f t="array" aca="1" ref="G233" ca="1">COUNTIF(Table5[[#This Row],[September 30, 2025]:[April 7, 2026]],"Yes")/SUMPRODUCT(--(DATEVALUE(Table5[[#Headers],[September 30, 2025]:[April 9, 2026]])&lt;=TODAY()))</f>
        <v>0</v>
      </c>
      <c r="H233" t="s">
        <v>190</v>
      </c>
      <c r="I233" t="s">
        <v>190</v>
      </c>
      <c r="J233" t="s">
        <v>190</v>
      </c>
      <c r="K233" t="s">
        <v>190</v>
      </c>
      <c r="L233" t="s">
        <v>190</v>
      </c>
      <c r="M233" t="s">
        <v>190</v>
      </c>
      <c r="N233" t="s">
        <v>190</v>
      </c>
      <c r="O233" t="s">
        <v>190</v>
      </c>
      <c r="P233" t="s">
        <v>190</v>
      </c>
      <c r="Q233" t="s">
        <v>190</v>
      </c>
      <c r="R233" t="s">
        <v>190</v>
      </c>
      <c r="S233" t="s">
        <v>190</v>
      </c>
      <c r="T233" s="151" t="s">
        <v>190</v>
      </c>
      <c r="U233" t="s">
        <v>190</v>
      </c>
      <c r="V233" t="s">
        <v>190</v>
      </c>
      <c r="W233" t="s">
        <v>190</v>
      </c>
      <c r="X233" t="s">
        <v>190</v>
      </c>
      <c r="Y233" t="s">
        <v>190</v>
      </c>
      <c r="Z233" t="s">
        <v>190</v>
      </c>
      <c r="AA233" t="s">
        <v>190</v>
      </c>
      <c r="AB233" t="s">
        <v>190</v>
      </c>
      <c r="AC233" t="s">
        <v>190</v>
      </c>
      <c r="AD233" t="s">
        <v>190</v>
      </c>
      <c r="AE233" t="s">
        <v>190</v>
      </c>
      <c r="AF233" t="s">
        <v>190</v>
      </c>
      <c r="AG233" t="s">
        <v>190</v>
      </c>
      <c r="AH233" t="s">
        <v>190</v>
      </c>
      <c r="AI233" t="s">
        <v>190</v>
      </c>
      <c r="AJ233" t="s">
        <v>190</v>
      </c>
    </row>
    <row r="234" spans="2:36">
      <c r="B234" s="2" t="s">
        <v>679</v>
      </c>
      <c r="C234" s="2" t="s">
        <v>680</v>
      </c>
      <c r="D234" s="2" t="str">
        <f>Table5[[#This Row],[First name]]&amp;" "&amp;Table5[[#This Row],[Last name]]</f>
        <v>Luckshane Imparaza</v>
      </c>
      <c r="E234" s="2" t="str">
        <f>_xlfn.XLOOKUP(Table5[[#This Row],[Full name]],Table26[Name],Table26[Role],"Member",0,1)</f>
        <v>Member</v>
      </c>
      <c r="F234" s="2" t="s">
        <v>188</v>
      </c>
      <c r="G234" s="26" cm="1">
        <f t="array" aca="1" ref="G234" ca="1">COUNTIF(Table5[[#This Row],[September 30, 2025]:[April 7, 2026]],"Yes")/SUMPRODUCT(--(DATEVALUE(Table5[[#Headers],[September 30, 2025]:[April 9, 2026]])&lt;=TODAY()))</f>
        <v>0.55000000000000004</v>
      </c>
      <c r="H234" t="s">
        <v>186</v>
      </c>
      <c r="I234" t="s">
        <v>190</v>
      </c>
      <c r="J234" t="s">
        <v>186</v>
      </c>
      <c r="K234" t="s">
        <v>186</v>
      </c>
      <c r="L234" t="s">
        <v>190</v>
      </c>
      <c r="M234" t="s">
        <v>186</v>
      </c>
      <c r="N234" t="s">
        <v>186</v>
      </c>
      <c r="O234" t="s">
        <v>186</v>
      </c>
      <c r="P234" t="s">
        <v>186</v>
      </c>
      <c r="Q234" t="s">
        <v>186</v>
      </c>
      <c r="R234" t="s">
        <v>190</v>
      </c>
      <c r="S234" t="s">
        <v>186</v>
      </c>
      <c r="T234" s="151" t="s">
        <v>190</v>
      </c>
      <c r="U234" t="s">
        <v>186</v>
      </c>
      <c r="V234" t="s">
        <v>190</v>
      </c>
      <c r="W234" t="s">
        <v>190</v>
      </c>
      <c r="X234" t="s">
        <v>190</v>
      </c>
      <c r="Y234" t="s">
        <v>190</v>
      </c>
      <c r="Z234" t="s">
        <v>190</v>
      </c>
      <c r="AA234" t="s">
        <v>186</v>
      </c>
      <c r="AB234" t="s">
        <v>190</v>
      </c>
      <c r="AC234" t="s">
        <v>190</v>
      </c>
      <c r="AD234" t="s">
        <v>190</v>
      </c>
      <c r="AE234" t="s">
        <v>190</v>
      </c>
      <c r="AF234" t="s">
        <v>190</v>
      </c>
      <c r="AG234" t="s">
        <v>190</v>
      </c>
      <c r="AH234" t="s">
        <v>190</v>
      </c>
      <c r="AI234" t="s">
        <v>190</v>
      </c>
      <c r="AJ234" t="s">
        <v>190</v>
      </c>
    </row>
    <row r="235" spans="2:36">
      <c r="B235" s="2" t="s">
        <v>681</v>
      </c>
      <c r="C235" s="2" t="s">
        <v>342</v>
      </c>
      <c r="D235" s="2" t="str">
        <f>Table5[[#This Row],[First name]]&amp;" "&amp;Table5[[#This Row],[Last name]]</f>
        <v>Lucy Kim</v>
      </c>
      <c r="E235" s="2" t="str">
        <f>_xlfn.XLOOKUP(Table5[[#This Row],[Full name]],Table26[Name],Table26[Role],"Member",0,1)</f>
        <v>Member</v>
      </c>
      <c r="F235" s="2" t="s">
        <v>188</v>
      </c>
      <c r="G235" s="26" cm="1">
        <f t="array" aca="1" ref="G235" ca="1">COUNTIF(Table5[[#This Row],[September 30, 2025]:[April 7, 2026]],"Yes")/SUMPRODUCT(--(DATEVALUE(Table5[[#Headers],[September 30, 2025]:[April 9, 2026]])&lt;=TODAY()))</f>
        <v>0.8</v>
      </c>
      <c r="H235" t="s">
        <v>190</v>
      </c>
      <c r="I235" t="s">
        <v>186</v>
      </c>
      <c r="J235" t="s">
        <v>190</v>
      </c>
      <c r="K235" t="s">
        <v>186</v>
      </c>
      <c r="L235" t="s">
        <v>186</v>
      </c>
      <c r="M235" t="s">
        <v>186</v>
      </c>
      <c r="N235" t="s">
        <v>186</v>
      </c>
      <c r="O235" t="s">
        <v>186</v>
      </c>
      <c r="P235" t="s">
        <v>186</v>
      </c>
      <c r="Q235" t="s">
        <v>186</v>
      </c>
      <c r="R235" t="s">
        <v>186</v>
      </c>
      <c r="S235" t="s">
        <v>186</v>
      </c>
      <c r="T235" s="151" t="s">
        <v>186</v>
      </c>
      <c r="U235" t="s">
        <v>190</v>
      </c>
      <c r="V235" t="s">
        <v>186</v>
      </c>
      <c r="W235" t="s">
        <v>186</v>
      </c>
      <c r="X235" t="s">
        <v>190</v>
      </c>
      <c r="Y235" t="s">
        <v>186</v>
      </c>
      <c r="Z235" t="s">
        <v>186</v>
      </c>
      <c r="AA235" t="s">
        <v>186</v>
      </c>
      <c r="AB235" t="s">
        <v>190</v>
      </c>
      <c r="AC235" t="s">
        <v>190</v>
      </c>
      <c r="AD235" t="s">
        <v>190</v>
      </c>
      <c r="AE235" t="s">
        <v>190</v>
      </c>
      <c r="AF235" t="s">
        <v>190</v>
      </c>
      <c r="AG235" t="s">
        <v>190</v>
      </c>
      <c r="AH235" t="s">
        <v>190</v>
      </c>
      <c r="AI235" t="s">
        <v>190</v>
      </c>
      <c r="AJ235" t="s">
        <v>190</v>
      </c>
    </row>
    <row r="236" spans="2:36">
      <c r="B236" s="2" t="s">
        <v>682</v>
      </c>
      <c r="C236" s="2" t="s">
        <v>683</v>
      </c>
      <c r="D236" s="2" t="str">
        <f>Table5[[#This Row],[First name]]&amp;" "&amp;Table5[[#This Row],[Last name]]</f>
        <v>Luke Bannan</v>
      </c>
      <c r="E236" s="2" t="str">
        <f>_xlfn.XLOOKUP(Table5[[#This Row],[Full name]],Table26[Name],Table26[Role],"Member",0,1)</f>
        <v>Member</v>
      </c>
      <c r="F236" s="2" t="s">
        <v>188</v>
      </c>
      <c r="G236" s="26" cm="1">
        <f t="array" aca="1" ref="G236" ca="1">COUNTIF(Table5[[#This Row],[September 30, 2025]:[April 7, 2026]],"Yes")/SUMPRODUCT(--(DATEVALUE(Table5[[#Headers],[September 30, 2025]:[April 9, 2026]])&lt;=TODAY()))</f>
        <v>0.2</v>
      </c>
      <c r="H236" t="s">
        <v>186</v>
      </c>
      <c r="I236" t="s">
        <v>186</v>
      </c>
      <c r="J236" t="s">
        <v>190</v>
      </c>
      <c r="K236" t="s">
        <v>186</v>
      </c>
      <c r="L236" t="s">
        <v>190</v>
      </c>
      <c r="M236" t="s">
        <v>190</v>
      </c>
      <c r="N236" t="s">
        <v>190</v>
      </c>
      <c r="O236" t="s">
        <v>186</v>
      </c>
      <c r="P236" t="s">
        <v>190</v>
      </c>
      <c r="Q236" t="s">
        <v>190</v>
      </c>
      <c r="R236" t="s">
        <v>190</v>
      </c>
      <c r="S236" t="s">
        <v>190</v>
      </c>
      <c r="T236" s="151" t="s">
        <v>190</v>
      </c>
      <c r="U236" t="s">
        <v>190</v>
      </c>
      <c r="V236" t="s">
        <v>190</v>
      </c>
      <c r="W236" t="s">
        <v>190</v>
      </c>
      <c r="X236" t="s">
        <v>190</v>
      </c>
      <c r="Y236" t="s">
        <v>190</v>
      </c>
      <c r="Z236" t="s">
        <v>190</v>
      </c>
      <c r="AA236" t="s">
        <v>190</v>
      </c>
      <c r="AB236" t="s">
        <v>190</v>
      </c>
      <c r="AC236" t="s">
        <v>190</v>
      </c>
      <c r="AD236" t="s">
        <v>190</v>
      </c>
      <c r="AE236" t="s">
        <v>190</v>
      </c>
      <c r="AF236" t="s">
        <v>190</v>
      </c>
      <c r="AG236" t="s">
        <v>190</v>
      </c>
      <c r="AH236" t="s">
        <v>190</v>
      </c>
      <c r="AI236" t="s">
        <v>190</v>
      </c>
      <c r="AJ236" t="s">
        <v>190</v>
      </c>
    </row>
    <row r="237" spans="2:36">
      <c r="B237" s="2" t="s">
        <v>684</v>
      </c>
      <c r="C237" s="2" t="s">
        <v>685</v>
      </c>
      <c r="D237" s="2" t="str">
        <f>Table5[[#This Row],[First name]]&amp;" "&amp;Table5[[#This Row],[Last name]]</f>
        <v>Mahbod Miraly</v>
      </c>
      <c r="E237" s="2" t="str">
        <f>_xlfn.XLOOKUP(Table5[[#This Row],[Full name]],Table26[Name],Table26[Role],"Member",0,1)</f>
        <v>Member</v>
      </c>
      <c r="F237" s="2" t="s">
        <v>188</v>
      </c>
      <c r="G237" s="26" cm="1">
        <f t="array" aca="1" ref="G237" ca="1">COUNTIF(Table5[[#This Row],[September 30, 2025]:[April 7, 2026]],"Yes")/SUMPRODUCT(--(DATEVALUE(Table5[[#Headers],[September 30, 2025]:[April 9, 2026]])&lt;=TODAY()))</f>
        <v>0.35</v>
      </c>
      <c r="H237" t="s">
        <v>190</v>
      </c>
      <c r="I237" t="s">
        <v>190</v>
      </c>
      <c r="J237" t="s">
        <v>186</v>
      </c>
      <c r="K237" t="s">
        <v>186</v>
      </c>
      <c r="L237" t="s">
        <v>190</v>
      </c>
      <c r="M237" t="s">
        <v>190</v>
      </c>
      <c r="N237" t="s">
        <v>190</v>
      </c>
      <c r="O237" t="s">
        <v>186</v>
      </c>
      <c r="P237" t="s">
        <v>186</v>
      </c>
      <c r="Q237" t="s">
        <v>190</v>
      </c>
      <c r="R237" t="s">
        <v>190</v>
      </c>
      <c r="S237" t="s">
        <v>190</v>
      </c>
      <c r="T237" s="151" t="s">
        <v>190</v>
      </c>
      <c r="U237" t="s">
        <v>190</v>
      </c>
      <c r="V237" t="s">
        <v>190</v>
      </c>
      <c r="W237" t="s">
        <v>186</v>
      </c>
      <c r="X237" t="s">
        <v>190</v>
      </c>
      <c r="Y237" t="s">
        <v>186</v>
      </c>
      <c r="Z237" t="s">
        <v>190</v>
      </c>
      <c r="AA237" t="s">
        <v>186</v>
      </c>
      <c r="AB237" t="s">
        <v>190</v>
      </c>
      <c r="AC237" t="s">
        <v>190</v>
      </c>
      <c r="AD237" t="s">
        <v>190</v>
      </c>
      <c r="AE237" t="s">
        <v>190</v>
      </c>
      <c r="AF237" t="s">
        <v>190</v>
      </c>
      <c r="AG237" t="s">
        <v>190</v>
      </c>
      <c r="AH237" t="s">
        <v>190</v>
      </c>
      <c r="AI237" t="s">
        <v>190</v>
      </c>
      <c r="AJ237" t="s">
        <v>190</v>
      </c>
    </row>
    <row r="238" spans="2:36">
      <c r="B238" s="2" t="s">
        <v>686</v>
      </c>
      <c r="C238" s="2" t="s">
        <v>687</v>
      </c>
      <c r="D238" s="2" t="str">
        <f>Table5[[#This Row],[First name]]&amp;" "&amp;Table5[[#This Row],[Last name]]</f>
        <v>Marcel Cannan La France</v>
      </c>
      <c r="E238" s="2" t="str">
        <f>_xlfn.XLOOKUP(Table5[[#This Row],[Full name]],Table26[Name],Table26[Role],"Member",0,1)</f>
        <v>Member</v>
      </c>
      <c r="F238" s="2" t="s">
        <v>188</v>
      </c>
      <c r="G238" s="26" cm="1">
        <f t="array" aca="1" ref="G238" ca="1">COUNTIF(Table5[[#This Row],[September 30, 2025]:[April 7, 2026]],"Yes")/SUMPRODUCT(--(DATEVALUE(Table5[[#Headers],[September 30, 2025]:[April 9, 2026]])&lt;=TODAY()))</f>
        <v>0.25</v>
      </c>
      <c r="H238" t="s">
        <v>190</v>
      </c>
      <c r="I238" t="s">
        <v>186</v>
      </c>
      <c r="J238" t="s">
        <v>186</v>
      </c>
      <c r="K238" t="s">
        <v>190</v>
      </c>
      <c r="L238" t="s">
        <v>186</v>
      </c>
      <c r="M238" t="s">
        <v>190</v>
      </c>
      <c r="N238" t="s">
        <v>190</v>
      </c>
      <c r="O238" t="s">
        <v>186</v>
      </c>
      <c r="P238" t="s">
        <v>190</v>
      </c>
      <c r="Q238" t="s">
        <v>190</v>
      </c>
      <c r="R238" t="s">
        <v>186</v>
      </c>
      <c r="S238" t="s">
        <v>190</v>
      </c>
      <c r="T238" s="151" t="s">
        <v>190</v>
      </c>
      <c r="U238" t="s">
        <v>190</v>
      </c>
      <c r="V238" t="s">
        <v>190</v>
      </c>
      <c r="W238" t="s">
        <v>190</v>
      </c>
      <c r="X238" t="s">
        <v>190</v>
      </c>
      <c r="Y238" t="s">
        <v>190</v>
      </c>
      <c r="Z238" t="s">
        <v>190</v>
      </c>
      <c r="AA238" t="s">
        <v>190</v>
      </c>
      <c r="AB238" t="s">
        <v>190</v>
      </c>
      <c r="AC238" t="s">
        <v>190</v>
      </c>
      <c r="AD238" t="s">
        <v>190</v>
      </c>
      <c r="AE238" t="s">
        <v>190</v>
      </c>
      <c r="AF238" t="s">
        <v>190</v>
      </c>
      <c r="AG238" t="s">
        <v>190</v>
      </c>
      <c r="AH238" t="s">
        <v>190</v>
      </c>
      <c r="AI238" t="s">
        <v>190</v>
      </c>
      <c r="AJ238" t="s">
        <v>190</v>
      </c>
    </row>
    <row r="239" spans="2:36">
      <c r="B239" s="2" t="s">
        <v>688</v>
      </c>
      <c r="C239" s="2" t="s">
        <v>625</v>
      </c>
      <c r="D239" s="2" t="str">
        <f>Table5[[#This Row],[First name]]&amp;" "&amp;Table5[[#This Row],[Last name]]</f>
        <v>Marco Jiang</v>
      </c>
      <c r="E239" s="2" t="str">
        <f>_xlfn.XLOOKUP(Table5[[#This Row],[Full name]],Table26[Name],Table26[Role],"Member",0,1)</f>
        <v>Member</v>
      </c>
      <c r="F239" s="2" t="s">
        <v>188</v>
      </c>
      <c r="G239" s="26" cm="1">
        <f t="array" aca="1" ref="G239" ca="1">COUNTIF(Table5[[#This Row],[September 30, 2025]:[April 7, 2026]],"Yes")/SUMPRODUCT(--(DATEVALUE(Table5[[#Headers],[September 30, 2025]:[April 9, 2026]])&lt;=TODAY()))</f>
        <v>0.15</v>
      </c>
      <c r="H239" t="s">
        <v>190</v>
      </c>
      <c r="I239" t="s">
        <v>190</v>
      </c>
      <c r="J239" t="s">
        <v>190</v>
      </c>
      <c r="K239" t="s">
        <v>186</v>
      </c>
      <c r="L239" t="s">
        <v>190</v>
      </c>
      <c r="M239" t="s">
        <v>190</v>
      </c>
      <c r="N239" t="s">
        <v>186</v>
      </c>
      <c r="O239" t="s">
        <v>186</v>
      </c>
      <c r="P239" t="s">
        <v>190</v>
      </c>
      <c r="Q239" t="s">
        <v>190</v>
      </c>
      <c r="R239" t="s">
        <v>190</v>
      </c>
      <c r="S239" t="s">
        <v>190</v>
      </c>
      <c r="T239" s="151" t="s">
        <v>190</v>
      </c>
      <c r="U239" t="s">
        <v>190</v>
      </c>
      <c r="V239" t="s">
        <v>190</v>
      </c>
      <c r="W239" t="s">
        <v>190</v>
      </c>
      <c r="X239" t="s">
        <v>190</v>
      </c>
      <c r="Y239" t="s">
        <v>190</v>
      </c>
      <c r="Z239" t="s">
        <v>190</v>
      </c>
      <c r="AA239" t="s">
        <v>190</v>
      </c>
      <c r="AB239" t="s">
        <v>190</v>
      </c>
      <c r="AC239" t="s">
        <v>190</v>
      </c>
      <c r="AD239" t="s">
        <v>190</v>
      </c>
      <c r="AE239" t="s">
        <v>190</v>
      </c>
      <c r="AF239" t="s">
        <v>190</v>
      </c>
      <c r="AG239" t="s">
        <v>190</v>
      </c>
      <c r="AH239" t="s">
        <v>190</v>
      </c>
      <c r="AI239" t="s">
        <v>190</v>
      </c>
      <c r="AJ239" t="s">
        <v>190</v>
      </c>
    </row>
    <row r="240" spans="2:36">
      <c r="B240" s="2" t="s">
        <v>384</v>
      </c>
      <c r="C240" s="2" t="s">
        <v>511</v>
      </c>
      <c r="D240" s="2" t="str">
        <f>Table5[[#This Row],[First name]]&amp;" "&amp;Table5[[#This Row],[Last name]]</f>
        <v>Marcus Cameron</v>
      </c>
      <c r="E240" s="2" t="str">
        <f>_xlfn.XLOOKUP(Table5[[#This Row],[Full name]],Table26[Name],Table26[Role],"Member",0,1)</f>
        <v>Member</v>
      </c>
      <c r="F240" s="2" t="s">
        <v>188</v>
      </c>
      <c r="G240" s="26" cm="1">
        <f t="array" aca="1" ref="G240" ca="1">COUNTIF(Table5[[#This Row],[September 30, 2025]:[April 7, 2026]],"Yes")/SUMPRODUCT(--(DATEVALUE(Table5[[#Headers],[September 30, 2025]:[April 9, 2026]])&lt;=TODAY()))</f>
        <v>0.1</v>
      </c>
      <c r="H240" t="s">
        <v>190</v>
      </c>
      <c r="I240" t="s">
        <v>186</v>
      </c>
      <c r="J240" t="s">
        <v>190</v>
      </c>
      <c r="K240" t="s">
        <v>190</v>
      </c>
      <c r="L240" t="s">
        <v>190</v>
      </c>
      <c r="M240" t="s">
        <v>186</v>
      </c>
      <c r="N240" t="s">
        <v>190</v>
      </c>
      <c r="O240" t="s">
        <v>190</v>
      </c>
      <c r="P240" t="s">
        <v>190</v>
      </c>
      <c r="Q240" t="s">
        <v>190</v>
      </c>
      <c r="R240" t="s">
        <v>190</v>
      </c>
      <c r="S240" t="s">
        <v>190</v>
      </c>
      <c r="T240" s="151" t="s">
        <v>190</v>
      </c>
      <c r="U240" t="s">
        <v>190</v>
      </c>
      <c r="V240" t="s">
        <v>190</v>
      </c>
      <c r="W240" t="s">
        <v>190</v>
      </c>
      <c r="X240" t="s">
        <v>190</v>
      </c>
      <c r="Y240" t="s">
        <v>190</v>
      </c>
      <c r="Z240" t="s">
        <v>190</v>
      </c>
      <c r="AA240" t="s">
        <v>190</v>
      </c>
      <c r="AB240" t="s">
        <v>190</v>
      </c>
      <c r="AC240" t="s">
        <v>190</v>
      </c>
      <c r="AD240" t="s">
        <v>190</v>
      </c>
      <c r="AE240" t="s">
        <v>190</v>
      </c>
      <c r="AF240" t="s">
        <v>190</v>
      </c>
      <c r="AG240" t="s">
        <v>190</v>
      </c>
      <c r="AH240" t="s">
        <v>190</v>
      </c>
      <c r="AI240" t="s">
        <v>190</v>
      </c>
      <c r="AJ240" t="s">
        <v>190</v>
      </c>
    </row>
    <row r="241" spans="2:36">
      <c r="B241" s="2" t="s">
        <v>689</v>
      </c>
      <c r="C241" s="2" t="s">
        <v>690</v>
      </c>
      <c r="D241" s="2" t="str">
        <f>Table5[[#This Row],[First name]]&amp;" "&amp;Table5[[#This Row],[Last name]]</f>
        <v>Marissa Vu</v>
      </c>
      <c r="E241" s="2" t="str">
        <f>_xlfn.XLOOKUP(Table5[[#This Row],[Full name]],Table26[Name],Table26[Role],"Member",0,1)</f>
        <v>Member</v>
      </c>
      <c r="F241" s="2" t="s">
        <v>188</v>
      </c>
      <c r="G241" s="26" cm="1">
        <f t="array" aca="1" ref="G241" ca="1">COUNTIF(Table5[[#This Row],[September 30, 2025]:[April 7, 2026]],"Yes")/SUMPRODUCT(--(DATEVALUE(Table5[[#Headers],[September 30, 2025]:[April 9, 2026]])&lt;=TODAY()))</f>
        <v>0.05</v>
      </c>
      <c r="H241" t="s">
        <v>190</v>
      </c>
      <c r="I241" t="s">
        <v>190</v>
      </c>
      <c r="J241" t="s">
        <v>190</v>
      </c>
      <c r="K241" t="s">
        <v>190</v>
      </c>
      <c r="L241" t="s">
        <v>190</v>
      </c>
      <c r="M241" t="s">
        <v>186</v>
      </c>
      <c r="N241" t="s">
        <v>190</v>
      </c>
      <c r="O241" t="s">
        <v>190</v>
      </c>
      <c r="P241" t="s">
        <v>190</v>
      </c>
      <c r="Q241" t="s">
        <v>190</v>
      </c>
      <c r="R241" t="s">
        <v>190</v>
      </c>
      <c r="S241" t="s">
        <v>190</v>
      </c>
      <c r="T241" s="151" t="s">
        <v>190</v>
      </c>
      <c r="U241" t="s">
        <v>190</v>
      </c>
      <c r="V241" t="s">
        <v>190</v>
      </c>
      <c r="W241" t="s">
        <v>190</v>
      </c>
      <c r="X241" t="s">
        <v>190</v>
      </c>
      <c r="Y241" t="s">
        <v>190</v>
      </c>
      <c r="Z241" t="s">
        <v>190</v>
      </c>
      <c r="AA241" t="s">
        <v>190</v>
      </c>
      <c r="AB241" t="s">
        <v>190</v>
      </c>
      <c r="AC241" t="s">
        <v>190</v>
      </c>
      <c r="AD241" t="s">
        <v>190</v>
      </c>
      <c r="AE241" t="s">
        <v>190</v>
      </c>
      <c r="AF241" t="s">
        <v>190</v>
      </c>
      <c r="AG241" t="s">
        <v>190</v>
      </c>
      <c r="AH241" t="s">
        <v>190</v>
      </c>
      <c r="AI241" t="s">
        <v>190</v>
      </c>
      <c r="AJ241" t="s">
        <v>190</v>
      </c>
    </row>
    <row r="242" spans="2:36">
      <c r="B242" s="2" t="s">
        <v>691</v>
      </c>
      <c r="C242" s="2" t="s">
        <v>692</v>
      </c>
      <c r="D242" s="2" t="str">
        <f>Table5[[#This Row],[First name]]&amp;" "&amp;Table5[[#This Row],[Last name]]</f>
        <v>Mark Ejakpomewhe</v>
      </c>
      <c r="E242" s="2" t="str">
        <f>_xlfn.XLOOKUP(Table5[[#This Row],[Full name]],Table26[Name],Table26[Role],"Member",0,1)</f>
        <v>Member</v>
      </c>
      <c r="F242" s="2" t="s">
        <v>188</v>
      </c>
      <c r="G242" s="26" cm="1">
        <f t="array" aca="1" ref="G242" ca="1">COUNTIF(Table5[[#This Row],[September 30, 2025]:[April 7, 2026]],"Yes")/SUMPRODUCT(--(DATEVALUE(Table5[[#Headers],[September 30, 2025]:[April 9, 2026]])&lt;=TODAY()))</f>
        <v>0.45</v>
      </c>
      <c r="R242" t="s">
        <v>186</v>
      </c>
      <c r="S242" t="s">
        <v>186</v>
      </c>
      <c r="T242" s="151" t="s">
        <v>186</v>
      </c>
      <c r="U242" t="s">
        <v>186</v>
      </c>
      <c r="V242" t="s">
        <v>186</v>
      </c>
      <c r="W242" t="s">
        <v>186</v>
      </c>
      <c r="X242" t="s">
        <v>186</v>
      </c>
      <c r="Y242" t="s">
        <v>186</v>
      </c>
      <c r="AA242" t="s">
        <v>186</v>
      </c>
    </row>
    <row r="243" spans="2:36">
      <c r="B243" s="2" t="s">
        <v>693</v>
      </c>
      <c r="C243" s="2" t="s">
        <v>694</v>
      </c>
      <c r="D243" s="2" t="str">
        <f>Table5[[#This Row],[First name]]&amp;" "&amp;Table5[[#This Row],[Last name]]</f>
        <v>Marko Mladenovic</v>
      </c>
      <c r="E243" s="2" t="str">
        <f>_xlfn.XLOOKUP(Table5[[#This Row],[Full name]],Table26[Name],Table26[Role],"Member",0,1)</f>
        <v>Member</v>
      </c>
      <c r="F243" s="2" t="s">
        <v>188</v>
      </c>
      <c r="G243" s="26" cm="1">
        <f t="array" aca="1" ref="G243" ca="1">COUNTIF(Table5[[#This Row],[September 30, 2025]:[April 7, 2026]],"Yes")/SUMPRODUCT(--(DATEVALUE(Table5[[#Headers],[September 30, 2025]:[April 9, 2026]])&lt;=TODAY()))</f>
        <v>0.1</v>
      </c>
      <c r="H243" t="s">
        <v>190</v>
      </c>
      <c r="I243" t="s">
        <v>190</v>
      </c>
      <c r="J243" t="s">
        <v>190</v>
      </c>
      <c r="K243" t="s">
        <v>186</v>
      </c>
      <c r="L243" t="s">
        <v>190</v>
      </c>
      <c r="M243" t="s">
        <v>190</v>
      </c>
      <c r="N243" t="s">
        <v>190</v>
      </c>
      <c r="O243" t="s">
        <v>190</v>
      </c>
      <c r="P243" t="s">
        <v>186</v>
      </c>
      <c r="Q243" t="s">
        <v>190</v>
      </c>
      <c r="R243" t="s">
        <v>190</v>
      </c>
      <c r="S243" t="s">
        <v>190</v>
      </c>
      <c r="T243" s="151" t="s">
        <v>190</v>
      </c>
      <c r="U243" t="s">
        <v>190</v>
      </c>
      <c r="V243" t="s">
        <v>190</v>
      </c>
      <c r="W243" t="s">
        <v>190</v>
      </c>
      <c r="X243" t="s">
        <v>190</v>
      </c>
      <c r="Y243" t="s">
        <v>190</v>
      </c>
      <c r="Z243" t="s">
        <v>190</v>
      </c>
      <c r="AA243" t="s">
        <v>190</v>
      </c>
      <c r="AB243" t="s">
        <v>190</v>
      </c>
      <c r="AC243" t="s">
        <v>190</v>
      </c>
      <c r="AD243" t="s">
        <v>190</v>
      </c>
      <c r="AE243" t="s">
        <v>190</v>
      </c>
      <c r="AF243" t="s">
        <v>190</v>
      </c>
      <c r="AG243" t="s">
        <v>190</v>
      </c>
      <c r="AH243" t="s">
        <v>190</v>
      </c>
      <c r="AI243" t="s">
        <v>190</v>
      </c>
      <c r="AJ243" t="s">
        <v>190</v>
      </c>
    </row>
    <row r="244" spans="2:36">
      <c r="B244" s="2" t="s">
        <v>693</v>
      </c>
      <c r="C244" s="2" t="s">
        <v>445</v>
      </c>
      <c r="D244" s="2" t="str">
        <f>Table5[[#This Row],[First name]]&amp;" "&amp;Table5[[#This Row],[Last name]]</f>
        <v>Marko Nguyen</v>
      </c>
      <c r="E244" s="2" t="str">
        <f>_xlfn.XLOOKUP(Table5[[#This Row],[Full name]],Table26[Name],Table26[Role],"Member",0,1)</f>
        <v>Member</v>
      </c>
      <c r="F244" s="2" t="s">
        <v>188</v>
      </c>
      <c r="G244" s="26" cm="1">
        <f t="array" aca="1" ref="G244" ca="1">COUNTIF(Table5[[#This Row],[September 30, 2025]:[April 7, 2026]],"Yes")/SUMPRODUCT(--(DATEVALUE(Table5[[#Headers],[September 30, 2025]:[April 9, 2026]])&lt;=TODAY()))</f>
        <v>0.15</v>
      </c>
      <c r="H244" t="s">
        <v>190</v>
      </c>
      <c r="I244" t="s">
        <v>190</v>
      </c>
      <c r="J244" t="s">
        <v>190</v>
      </c>
      <c r="K244" t="s">
        <v>190</v>
      </c>
      <c r="L244" t="s">
        <v>190</v>
      </c>
      <c r="M244" t="s">
        <v>190</v>
      </c>
      <c r="N244" t="s">
        <v>190</v>
      </c>
      <c r="O244" t="s">
        <v>190</v>
      </c>
      <c r="P244" t="s">
        <v>186</v>
      </c>
      <c r="Q244" t="s">
        <v>190</v>
      </c>
      <c r="R244" t="s">
        <v>190</v>
      </c>
      <c r="S244" t="s">
        <v>190</v>
      </c>
      <c r="T244" s="151" t="s">
        <v>190</v>
      </c>
      <c r="U244" t="s">
        <v>190</v>
      </c>
      <c r="V244" t="s">
        <v>190</v>
      </c>
      <c r="W244" t="s">
        <v>190</v>
      </c>
      <c r="X244" t="s">
        <v>190</v>
      </c>
      <c r="Y244" t="s">
        <v>186</v>
      </c>
      <c r="Z244" t="s">
        <v>186</v>
      </c>
      <c r="AA244" t="s">
        <v>190</v>
      </c>
      <c r="AB244" t="s">
        <v>190</v>
      </c>
      <c r="AC244" t="s">
        <v>190</v>
      </c>
      <c r="AD244" t="s">
        <v>190</v>
      </c>
      <c r="AE244" t="s">
        <v>190</v>
      </c>
      <c r="AF244" t="s">
        <v>190</v>
      </c>
      <c r="AG244" t="s">
        <v>190</v>
      </c>
      <c r="AH244" t="s">
        <v>190</v>
      </c>
      <c r="AI244" t="s">
        <v>190</v>
      </c>
      <c r="AJ244" t="s">
        <v>190</v>
      </c>
    </row>
    <row r="245" spans="2:36">
      <c r="B245" s="2" t="s">
        <v>695</v>
      </c>
      <c r="C245" s="2" t="s">
        <v>696</v>
      </c>
      <c r="D245" s="2" t="str">
        <f>Table5[[#This Row],[First name]]&amp;" "&amp;Table5[[#This Row],[Last name]]</f>
        <v>Marko  Damjanovic</v>
      </c>
      <c r="E245" s="2" t="str">
        <f>_xlfn.XLOOKUP(Table5[[#This Row],[Full name]],Table26[Name],Table26[Role],"Member",0,1)</f>
        <v>Member</v>
      </c>
      <c r="F245" s="2" t="s">
        <v>697</v>
      </c>
      <c r="G245" s="152" cm="1">
        <f t="array" aca="1" ref="G245" ca="1">COUNTIF(Table5[[#This Row],[September 30, 2025]:[April 7, 2026]],"Yes")/SUMPRODUCT(--(DATEVALUE(Table5[[#Headers],[September 30, 2025]:[April 9, 2026]])&lt;=TODAY()))</f>
        <v>0.05</v>
      </c>
      <c r="T245" s="151"/>
      <c r="V245" t="s">
        <v>186</v>
      </c>
      <c r="X245" t="s">
        <v>190</v>
      </c>
      <c r="AA245" t="s">
        <v>190</v>
      </c>
    </row>
    <row r="246" spans="2:36">
      <c r="B246" s="2" t="s">
        <v>698</v>
      </c>
      <c r="C246" s="2" t="s">
        <v>699</v>
      </c>
      <c r="D246" s="2" t="str">
        <f>Table5[[#This Row],[First name]]&amp;" "&amp;Table5[[#This Row],[Last name]]</f>
        <v>Martin Gomez</v>
      </c>
      <c r="E246" s="2" t="str">
        <f>_xlfn.XLOOKUP(Table5[[#This Row],[Full name]],Table26[Name],Table26[Role],"Member",0,1)</f>
        <v>Member</v>
      </c>
      <c r="F246" s="2" t="s">
        <v>188</v>
      </c>
      <c r="G246" s="26" cm="1">
        <f t="array" aca="1" ref="G246" ca="1">COUNTIF(Table5[[#This Row],[September 30, 2025]:[April 7, 2026]],"Yes")/SUMPRODUCT(--(DATEVALUE(Table5[[#Headers],[September 30, 2025]:[April 9, 2026]])&lt;=TODAY()))</f>
        <v>0.05</v>
      </c>
      <c r="H246" t="s">
        <v>186</v>
      </c>
      <c r="I246" t="s">
        <v>190</v>
      </c>
      <c r="J246" t="s">
        <v>190</v>
      </c>
      <c r="K246" t="s">
        <v>190</v>
      </c>
      <c r="L246" t="s">
        <v>190</v>
      </c>
      <c r="M246" t="s">
        <v>190</v>
      </c>
      <c r="N246" t="s">
        <v>190</v>
      </c>
      <c r="O246" t="s">
        <v>190</v>
      </c>
      <c r="P246" t="s">
        <v>190</v>
      </c>
      <c r="Q246" t="s">
        <v>190</v>
      </c>
      <c r="R246" t="s">
        <v>190</v>
      </c>
      <c r="S246" t="s">
        <v>190</v>
      </c>
      <c r="T246" s="151" t="s">
        <v>190</v>
      </c>
      <c r="U246" t="s">
        <v>190</v>
      </c>
      <c r="V246" t="s">
        <v>190</v>
      </c>
      <c r="W246" t="s">
        <v>190</v>
      </c>
      <c r="X246" t="s">
        <v>190</v>
      </c>
      <c r="Y246" t="s">
        <v>190</v>
      </c>
      <c r="Z246" t="s">
        <v>190</v>
      </c>
      <c r="AA246" t="s">
        <v>190</v>
      </c>
      <c r="AB246" t="s">
        <v>190</v>
      </c>
      <c r="AC246" t="s">
        <v>190</v>
      </c>
      <c r="AD246" t="s">
        <v>190</v>
      </c>
      <c r="AE246" t="s">
        <v>190</v>
      </c>
      <c r="AF246" t="s">
        <v>190</v>
      </c>
      <c r="AG246" t="s">
        <v>190</v>
      </c>
      <c r="AH246" t="s">
        <v>190</v>
      </c>
      <c r="AI246" t="s">
        <v>190</v>
      </c>
      <c r="AJ246" t="s">
        <v>190</v>
      </c>
    </row>
    <row r="247" spans="2:36">
      <c r="B247" s="2" t="s">
        <v>700</v>
      </c>
      <c r="C247" s="2" t="s">
        <v>701</v>
      </c>
      <c r="D247" s="2" t="str">
        <f>Table5[[#This Row],[First name]]&amp;" "&amp;Table5[[#This Row],[Last name]]</f>
        <v>Marzouq Mohsin</v>
      </c>
      <c r="E247" s="2" t="str">
        <f>_xlfn.XLOOKUP(Table5[[#This Row],[Full name]],Table26[Name],Table26[Role],"Member",0,1)</f>
        <v>Member</v>
      </c>
      <c r="F247" s="2" t="s">
        <v>188</v>
      </c>
      <c r="G247" s="26" cm="1">
        <f t="array" aca="1" ref="G247" ca="1">COUNTIF(Table5[[#This Row],[September 30, 2025]:[April 7, 2026]],"Yes")/SUMPRODUCT(--(DATEVALUE(Table5[[#Headers],[September 30, 2025]:[April 9, 2026]])&lt;=TODAY()))</f>
        <v>0.05</v>
      </c>
      <c r="H247" t="s">
        <v>186</v>
      </c>
      <c r="I247" t="s">
        <v>190</v>
      </c>
      <c r="J247" t="s">
        <v>190</v>
      </c>
      <c r="K247" t="s">
        <v>190</v>
      </c>
      <c r="L247" t="s">
        <v>190</v>
      </c>
      <c r="M247" t="s">
        <v>190</v>
      </c>
      <c r="N247" t="s">
        <v>190</v>
      </c>
      <c r="O247" t="s">
        <v>190</v>
      </c>
      <c r="P247" t="s">
        <v>190</v>
      </c>
      <c r="Q247" t="s">
        <v>190</v>
      </c>
      <c r="R247" t="s">
        <v>190</v>
      </c>
      <c r="S247" t="s">
        <v>190</v>
      </c>
      <c r="T247" s="151" t="s">
        <v>190</v>
      </c>
      <c r="U247" t="s">
        <v>190</v>
      </c>
      <c r="V247" t="s">
        <v>190</v>
      </c>
      <c r="W247" t="s">
        <v>190</v>
      </c>
      <c r="X247" t="s">
        <v>190</v>
      </c>
      <c r="Y247" t="s">
        <v>190</v>
      </c>
      <c r="Z247" t="s">
        <v>190</v>
      </c>
      <c r="AA247" t="s">
        <v>190</v>
      </c>
      <c r="AB247" t="s">
        <v>190</v>
      </c>
      <c r="AC247" t="s">
        <v>190</v>
      </c>
      <c r="AD247" t="s">
        <v>190</v>
      </c>
      <c r="AE247" t="s">
        <v>190</v>
      </c>
      <c r="AF247" t="s">
        <v>190</v>
      </c>
      <c r="AG247" t="s">
        <v>190</v>
      </c>
      <c r="AH247" t="s">
        <v>190</v>
      </c>
      <c r="AI247" t="s">
        <v>190</v>
      </c>
      <c r="AJ247" t="s">
        <v>190</v>
      </c>
    </row>
    <row r="248" spans="2:36">
      <c r="B248" s="2" t="s">
        <v>702</v>
      </c>
      <c r="C248" s="2" t="s">
        <v>703</v>
      </c>
      <c r="D248" s="2" t="str">
        <f>Table5[[#This Row],[First name]]&amp;" "&amp;Table5[[#This Row],[Last name]]</f>
        <v>Mason Doshi</v>
      </c>
      <c r="E248" s="2" t="str">
        <f>_xlfn.XLOOKUP(Table5[[#This Row],[Full name]],Table26[Name],Table26[Role],"Member",0,1)</f>
        <v>Member</v>
      </c>
      <c r="F248" s="2" t="s">
        <v>188</v>
      </c>
      <c r="G248" s="26" cm="1">
        <f t="array" aca="1" ref="G248" ca="1">COUNTIF(Table5[[#This Row],[September 30, 2025]:[April 7, 2026]],"Yes")/SUMPRODUCT(--(DATEVALUE(Table5[[#Headers],[September 30, 2025]:[April 9, 2026]])&lt;=TODAY()))</f>
        <v>0</v>
      </c>
      <c r="H248" t="s">
        <v>190</v>
      </c>
      <c r="I248" t="s">
        <v>190</v>
      </c>
      <c r="J248" t="s">
        <v>190</v>
      </c>
      <c r="K248" t="s">
        <v>190</v>
      </c>
      <c r="L248" t="s">
        <v>190</v>
      </c>
      <c r="M248" t="s">
        <v>190</v>
      </c>
      <c r="N248" t="s">
        <v>190</v>
      </c>
      <c r="O248" t="s">
        <v>190</v>
      </c>
      <c r="P248" t="s">
        <v>190</v>
      </c>
      <c r="Q248" t="s">
        <v>190</v>
      </c>
      <c r="R248" t="s">
        <v>190</v>
      </c>
      <c r="S248" t="s">
        <v>190</v>
      </c>
      <c r="T248" s="151" t="s">
        <v>190</v>
      </c>
      <c r="U248" t="s">
        <v>190</v>
      </c>
      <c r="V248" t="s">
        <v>190</v>
      </c>
      <c r="W248" t="s">
        <v>190</v>
      </c>
      <c r="X248" t="s">
        <v>190</v>
      </c>
      <c r="Y248" t="s">
        <v>190</v>
      </c>
      <c r="Z248" t="s">
        <v>190</v>
      </c>
      <c r="AA248" t="s">
        <v>190</v>
      </c>
      <c r="AB248" t="s">
        <v>190</v>
      </c>
      <c r="AC248" t="s">
        <v>190</v>
      </c>
      <c r="AD248" t="s">
        <v>190</v>
      </c>
      <c r="AE248" t="s">
        <v>190</v>
      </c>
      <c r="AF248" t="s">
        <v>190</v>
      </c>
      <c r="AG248" t="s">
        <v>190</v>
      </c>
      <c r="AH248" t="s">
        <v>190</v>
      </c>
      <c r="AI248" t="s">
        <v>190</v>
      </c>
      <c r="AJ248" t="s">
        <v>190</v>
      </c>
    </row>
    <row r="249" spans="2:36">
      <c r="B249" s="2" t="s">
        <v>704</v>
      </c>
      <c r="C249" s="2" t="s">
        <v>705</v>
      </c>
      <c r="D249" s="2" t="str">
        <f>Table5[[#This Row],[First name]]&amp;" "&amp;Table5[[#This Row],[Last name]]</f>
        <v>Mateen Mahdavian</v>
      </c>
      <c r="E249" s="2" t="str">
        <f>_xlfn.XLOOKUP(Table5[[#This Row],[Full name]],Table26[Name],Table26[Role],"Member",0,1)</f>
        <v>Member</v>
      </c>
      <c r="F249" s="2" t="s">
        <v>188</v>
      </c>
      <c r="G249" s="26" cm="1">
        <f t="array" aca="1" ref="G249" ca="1">COUNTIF(Table5[[#This Row],[September 30, 2025]:[April 7, 2026]],"Yes")/SUMPRODUCT(--(DATEVALUE(Table5[[#Headers],[September 30, 2025]:[April 9, 2026]])&lt;=TODAY()))</f>
        <v>0.05</v>
      </c>
      <c r="S249" t="s">
        <v>186</v>
      </c>
      <c r="T249" s="151" t="s">
        <v>190</v>
      </c>
      <c r="V249" t="s">
        <v>190</v>
      </c>
      <c r="X249" t="s">
        <v>190</v>
      </c>
      <c r="AA249" t="s">
        <v>190</v>
      </c>
    </row>
    <row r="250" spans="2:36">
      <c r="B250" s="2" t="s">
        <v>317</v>
      </c>
      <c r="C250" s="2" t="s">
        <v>706</v>
      </c>
      <c r="D250" s="2" t="str">
        <f>Table5[[#This Row],[First name]]&amp;" "&amp;Table5[[#This Row],[Last name]]</f>
        <v>Matthew Ji</v>
      </c>
      <c r="E250" s="2" t="str">
        <f>_xlfn.XLOOKUP(Table5[[#This Row],[Full name]],Table26[Name],Table26[Role],"Member",0,1)</f>
        <v>Member</v>
      </c>
      <c r="F250" s="2" t="s">
        <v>188</v>
      </c>
      <c r="G250" s="26" cm="1">
        <f t="array" aca="1" ref="G250" ca="1">COUNTIF(Table5[[#This Row],[September 30, 2025]:[April 7, 2026]],"Yes")/SUMPRODUCT(--(DATEVALUE(Table5[[#Headers],[September 30, 2025]:[April 9, 2026]])&lt;=TODAY()))</f>
        <v>0.5</v>
      </c>
      <c r="H250" t="s">
        <v>190</v>
      </c>
      <c r="I250" t="s">
        <v>186</v>
      </c>
      <c r="J250" t="s">
        <v>186</v>
      </c>
      <c r="K250" t="s">
        <v>186</v>
      </c>
      <c r="L250" t="s">
        <v>186</v>
      </c>
      <c r="M250" t="s">
        <v>190</v>
      </c>
      <c r="N250" t="s">
        <v>186</v>
      </c>
      <c r="O250" t="s">
        <v>190</v>
      </c>
      <c r="P250" t="s">
        <v>190</v>
      </c>
      <c r="Q250" t="s">
        <v>186</v>
      </c>
      <c r="R250" t="s">
        <v>190</v>
      </c>
      <c r="S250" t="s">
        <v>190</v>
      </c>
      <c r="T250" s="151" t="s">
        <v>186</v>
      </c>
      <c r="U250" t="s">
        <v>190</v>
      </c>
      <c r="V250" t="s">
        <v>190</v>
      </c>
      <c r="W250" t="s">
        <v>190</v>
      </c>
      <c r="X250" t="s">
        <v>190</v>
      </c>
      <c r="Y250" t="s">
        <v>186</v>
      </c>
      <c r="Z250" t="s">
        <v>186</v>
      </c>
      <c r="AA250" t="s">
        <v>186</v>
      </c>
      <c r="AB250" t="s">
        <v>190</v>
      </c>
      <c r="AC250" t="s">
        <v>190</v>
      </c>
      <c r="AD250" t="s">
        <v>190</v>
      </c>
      <c r="AE250" t="s">
        <v>190</v>
      </c>
      <c r="AF250" t="s">
        <v>190</v>
      </c>
      <c r="AG250" t="s">
        <v>190</v>
      </c>
      <c r="AH250" t="s">
        <v>190</v>
      </c>
      <c r="AI250" t="s">
        <v>190</v>
      </c>
      <c r="AJ250" t="s">
        <v>190</v>
      </c>
    </row>
    <row r="251" spans="2:36">
      <c r="B251" s="2" t="s">
        <v>317</v>
      </c>
      <c r="C251" s="2" t="s">
        <v>707</v>
      </c>
      <c r="D251" s="2" t="str">
        <f>Table5[[#This Row],[First name]]&amp;" "&amp;Table5[[#This Row],[Last name]]</f>
        <v>Matthew Nazaruk</v>
      </c>
      <c r="E251" s="2" t="str">
        <f>_xlfn.XLOOKUP(Table5[[#This Row],[Full name]],Table26[Name],Table26[Role],"Member",0,1)</f>
        <v>Member</v>
      </c>
      <c r="F251" s="2" t="s">
        <v>188</v>
      </c>
      <c r="G251" s="26" cm="1">
        <f t="array" aca="1" ref="G251" ca="1">COUNTIF(Table5[[#This Row],[September 30, 2025]:[April 7, 2026]],"Yes")/SUMPRODUCT(--(DATEVALUE(Table5[[#Headers],[September 30, 2025]:[April 9, 2026]])&lt;=TODAY()))</f>
        <v>0.4</v>
      </c>
      <c r="H251" t="s">
        <v>186</v>
      </c>
      <c r="I251" t="s">
        <v>186</v>
      </c>
      <c r="J251" t="s">
        <v>190</v>
      </c>
      <c r="K251" t="s">
        <v>186</v>
      </c>
      <c r="L251" t="s">
        <v>190</v>
      </c>
      <c r="M251" t="s">
        <v>190</v>
      </c>
      <c r="N251" t="s">
        <v>186</v>
      </c>
      <c r="O251" t="s">
        <v>186</v>
      </c>
      <c r="P251" t="s">
        <v>190</v>
      </c>
      <c r="Q251" t="s">
        <v>186</v>
      </c>
      <c r="R251" t="s">
        <v>190</v>
      </c>
      <c r="S251" t="s">
        <v>186</v>
      </c>
      <c r="T251" s="151" t="s">
        <v>190</v>
      </c>
      <c r="U251" t="s">
        <v>186</v>
      </c>
      <c r="V251" t="s">
        <v>190</v>
      </c>
      <c r="W251" t="s">
        <v>190</v>
      </c>
      <c r="X251" t="s">
        <v>190</v>
      </c>
      <c r="Y251" t="s">
        <v>190</v>
      </c>
      <c r="Z251" t="s">
        <v>190</v>
      </c>
      <c r="AA251" t="s">
        <v>190</v>
      </c>
      <c r="AB251" t="s">
        <v>190</v>
      </c>
      <c r="AC251" t="s">
        <v>190</v>
      </c>
      <c r="AD251" t="s">
        <v>190</v>
      </c>
      <c r="AE251" t="s">
        <v>190</v>
      </c>
      <c r="AF251" t="s">
        <v>190</v>
      </c>
      <c r="AG251" t="s">
        <v>190</v>
      </c>
      <c r="AH251" t="s">
        <v>190</v>
      </c>
      <c r="AI251" t="s">
        <v>190</v>
      </c>
      <c r="AJ251" t="s">
        <v>190</v>
      </c>
    </row>
    <row r="252" spans="2:36">
      <c r="B252" s="2" t="s">
        <v>317</v>
      </c>
      <c r="C252" s="2" t="s">
        <v>708</v>
      </c>
      <c r="D252" s="2" t="str">
        <f>Table5[[#This Row],[First name]]&amp;" "&amp;Table5[[#This Row],[Last name]]</f>
        <v>Matthew Pealow</v>
      </c>
      <c r="E252" s="2" t="str">
        <f>_xlfn.XLOOKUP(Table5[[#This Row],[Full name]],Table26[Name],Table26[Role],"Member",0,1)</f>
        <v>Member</v>
      </c>
      <c r="F252" s="2" t="s">
        <v>188</v>
      </c>
      <c r="G252" s="26" cm="1">
        <f t="array" aca="1" ref="G252" ca="1">COUNTIF(Table5[[#This Row],[September 30, 2025]:[April 7, 2026]],"Yes")/SUMPRODUCT(--(DATEVALUE(Table5[[#Headers],[September 30, 2025]:[April 9, 2026]])&lt;=TODAY()))</f>
        <v>0</v>
      </c>
      <c r="H252" t="s">
        <v>190</v>
      </c>
      <c r="I252" t="s">
        <v>190</v>
      </c>
      <c r="J252" t="s">
        <v>190</v>
      </c>
      <c r="K252" t="s">
        <v>190</v>
      </c>
      <c r="L252" t="s">
        <v>190</v>
      </c>
      <c r="M252" t="s">
        <v>190</v>
      </c>
      <c r="N252" t="s">
        <v>190</v>
      </c>
      <c r="O252" t="s">
        <v>190</v>
      </c>
      <c r="P252" t="s">
        <v>190</v>
      </c>
      <c r="Q252" t="s">
        <v>190</v>
      </c>
      <c r="R252" t="s">
        <v>190</v>
      </c>
      <c r="S252" t="s">
        <v>190</v>
      </c>
      <c r="T252" s="151" t="s">
        <v>190</v>
      </c>
      <c r="U252" t="s">
        <v>190</v>
      </c>
      <c r="V252" t="s">
        <v>190</v>
      </c>
      <c r="W252" t="s">
        <v>190</v>
      </c>
      <c r="X252" t="s">
        <v>190</v>
      </c>
      <c r="Y252" t="s">
        <v>190</v>
      </c>
      <c r="Z252" t="s">
        <v>190</v>
      </c>
      <c r="AA252" t="s">
        <v>190</v>
      </c>
      <c r="AB252" t="s">
        <v>190</v>
      </c>
      <c r="AC252" t="s">
        <v>190</v>
      </c>
      <c r="AD252" t="s">
        <v>190</v>
      </c>
      <c r="AE252" t="s">
        <v>190</v>
      </c>
      <c r="AF252" t="s">
        <v>190</v>
      </c>
      <c r="AG252" t="s">
        <v>190</v>
      </c>
      <c r="AH252" t="s">
        <v>190</v>
      </c>
      <c r="AI252" t="s">
        <v>190</v>
      </c>
      <c r="AJ252" t="s">
        <v>190</v>
      </c>
    </row>
    <row r="253" spans="2:36">
      <c r="B253" s="2" t="s">
        <v>317</v>
      </c>
      <c r="C253" s="2" t="s">
        <v>709</v>
      </c>
      <c r="D253" s="2" t="str">
        <f>Table5[[#This Row],[First name]]&amp;" "&amp;Table5[[#This Row],[Last name]]</f>
        <v>Matthew Tubrett</v>
      </c>
      <c r="E253" s="2" t="str">
        <f>_xlfn.XLOOKUP(Table5[[#This Row],[Full name]],Table26[Name],Table26[Role],"Member",0,1)</f>
        <v>Member</v>
      </c>
      <c r="F253" s="2" t="s">
        <v>188</v>
      </c>
      <c r="G253" s="152" cm="1">
        <f t="array" aca="1" ref="G253" ca="1">COUNTIF(Table5[[#This Row],[September 30, 2025]:[April 7, 2026]],"Yes")/SUMPRODUCT(--(DATEVALUE(Table5[[#Headers],[September 30, 2025]:[April 9, 2026]])&lt;=TODAY()))</f>
        <v>0.05</v>
      </c>
      <c r="T253" s="151"/>
      <c r="Y253" t="s">
        <v>186</v>
      </c>
      <c r="AA253" t="s">
        <v>190</v>
      </c>
    </row>
    <row r="254" spans="2:36">
      <c r="B254" s="2" t="s">
        <v>317</v>
      </c>
      <c r="C254" s="2" t="s">
        <v>710</v>
      </c>
      <c r="D254" s="2" t="str">
        <f>Table5[[#This Row],[First name]]&amp;" "&amp;Table5[[#This Row],[Last name]]</f>
        <v>Matthew Choi</v>
      </c>
      <c r="E254" s="2" t="str">
        <f>_xlfn.XLOOKUP(Table5[[#This Row],[Full name]],Table26[Name],Table26[Role],"Member",0,1)</f>
        <v>Member</v>
      </c>
      <c r="F254" s="2" t="s">
        <v>188</v>
      </c>
      <c r="G254" s="152" cm="1">
        <f t="array" aca="1" ref="G254" ca="1">COUNTIF(Table5[[#This Row],[September 30, 2025]:[April 7, 2026]],"Yes")/SUMPRODUCT(--(DATEVALUE(Table5[[#Headers],[September 30, 2025]:[April 9, 2026]])&lt;=TODAY()))</f>
        <v>0.05</v>
      </c>
      <c r="T254" s="151"/>
      <c r="Y254" t="s">
        <v>186</v>
      </c>
      <c r="AA254" t="s">
        <v>190</v>
      </c>
    </row>
    <row r="255" spans="2:36">
      <c r="B255" s="2" t="s">
        <v>711</v>
      </c>
      <c r="C255" s="2" t="s">
        <v>712</v>
      </c>
      <c r="D255" s="2" t="str">
        <f>Table5[[#This Row],[First name]]&amp;" "&amp;Table5[[#This Row],[Last name]]</f>
        <v>Max Gavric</v>
      </c>
      <c r="E255" s="2" t="str">
        <f>_xlfn.XLOOKUP(Table5[[#This Row],[Full name]],Table26[Name],Table26[Role],"Member",0,1)</f>
        <v>Member</v>
      </c>
      <c r="F255" s="2" t="s">
        <v>188</v>
      </c>
      <c r="G255" s="26" cm="1">
        <f t="array" aca="1" ref="G255" ca="1">COUNTIF(Table5[[#This Row],[September 30, 2025]:[April 7, 2026]],"Yes")/SUMPRODUCT(--(DATEVALUE(Table5[[#Headers],[September 30, 2025]:[April 9, 2026]])&lt;=TODAY()))</f>
        <v>0.15</v>
      </c>
      <c r="H255" t="s">
        <v>186</v>
      </c>
      <c r="I255" t="s">
        <v>186</v>
      </c>
      <c r="J255" t="s">
        <v>186</v>
      </c>
      <c r="K255" t="s">
        <v>190</v>
      </c>
      <c r="L255" t="s">
        <v>190</v>
      </c>
      <c r="M255" t="s">
        <v>190</v>
      </c>
      <c r="N255" t="s">
        <v>190</v>
      </c>
      <c r="O255" t="s">
        <v>190</v>
      </c>
      <c r="P255" t="s">
        <v>190</v>
      </c>
      <c r="Q255" t="s">
        <v>190</v>
      </c>
      <c r="R255" t="s">
        <v>190</v>
      </c>
      <c r="S255" t="s">
        <v>190</v>
      </c>
      <c r="T255" s="151" t="s">
        <v>190</v>
      </c>
      <c r="U255" t="s">
        <v>190</v>
      </c>
      <c r="V255" t="s">
        <v>190</v>
      </c>
      <c r="W255" t="s">
        <v>190</v>
      </c>
      <c r="X255" t="s">
        <v>190</v>
      </c>
      <c r="Y255" t="s">
        <v>190</v>
      </c>
      <c r="Z255" t="s">
        <v>190</v>
      </c>
      <c r="AA255" t="s">
        <v>190</v>
      </c>
      <c r="AB255" t="s">
        <v>190</v>
      </c>
      <c r="AC255" t="s">
        <v>190</v>
      </c>
      <c r="AD255" t="s">
        <v>190</v>
      </c>
      <c r="AE255" t="s">
        <v>190</v>
      </c>
      <c r="AF255" t="s">
        <v>190</v>
      </c>
      <c r="AG255" t="s">
        <v>190</v>
      </c>
      <c r="AH255" t="s">
        <v>190</v>
      </c>
      <c r="AI255" t="s">
        <v>190</v>
      </c>
      <c r="AJ255" t="s">
        <v>190</v>
      </c>
    </row>
    <row r="256" spans="2:36">
      <c r="B256" s="2" t="s">
        <v>713</v>
      </c>
      <c r="C256" s="2" t="s">
        <v>714</v>
      </c>
      <c r="D256" s="2" t="str">
        <f>Table5[[#This Row],[First name]]&amp;" "&amp;Table5[[#This Row],[Last name]]</f>
        <v>Maxim Skubitsky</v>
      </c>
      <c r="E256" s="2" t="str">
        <f>_xlfn.XLOOKUP(Table5[[#This Row],[Full name]],Table26[Name],Table26[Role],"Member",0,1)</f>
        <v>Member</v>
      </c>
      <c r="F256" s="2"/>
      <c r="G256" s="26" cm="1">
        <f t="array" aca="1" ref="G256" ca="1">COUNTIF(Table5[[#This Row],[September 30, 2025]:[April 7, 2026]],"Yes")/SUMPRODUCT(--(DATEVALUE(Table5[[#Headers],[September 30, 2025]:[April 9, 2026]])&lt;=TODAY()))</f>
        <v>0.3</v>
      </c>
      <c r="T256" s="151" t="s">
        <v>186</v>
      </c>
      <c r="U256" t="s">
        <v>186</v>
      </c>
      <c r="V256" t="s">
        <v>190</v>
      </c>
      <c r="W256" t="s">
        <v>186</v>
      </c>
      <c r="X256" t="s">
        <v>190</v>
      </c>
      <c r="Y256" t="s">
        <v>186</v>
      </c>
      <c r="Z256" t="s">
        <v>186</v>
      </c>
      <c r="AA256" t="s">
        <v>186</v>
      </c>
    </row>
    <row r="257" spans="2:36">
      <c r="B257" s="2" t="s">
        <v>715</v>
      </c>
      <c r="C257" s="2" t="s">
        <v>716</v>
      </c>
      <c r="D257" s="2" t="str">
        <f>Table5[[#This Row],[First name]]&amp;" "&amp;Table5[[#This Row],[Last name]]</f>
        <v>Mekayel Qureshi</v>
      </c>
      <c r="E257" s="2" t="str">
        <f>_xlfn.XLOOKUP(Table5[[#This Row],[Full name]],Table26[Name],Table26[Role],"Member",0,1)</f>
        <v>Member</v>
      </c>
      <c r="F257" s="2" t="s">
        <v>188</v>
      </c>
      <c r="G257" s="26" cm="1">
        <f t="array" aca="1" ref="G257" ca="1">COUNTIF(Table5[[#This Row],[September 30, 2025]:[April 7, 2026]],"Yes")/SUMPRODUCT(--(DATEVALUE(Table5[[#Headers],[September 30, 2025]:[April 9, 2026]])&lt;=TODAY()))</f>
        <v>0</v>
      </c>
      <c r="H257" t="s">
        <v>190</v>
      </c>
      <c r="I257" t="s">
        <v>190</v>
      </c>
      <c r="J257" t="s">
        <v>190</v>
      </c>
      <c r="K257" t="s">
        <v>190</v>
      </c>
      <c r="L257" t="s">
        <v>190</v>
      </c>
      <c r="M257" t="s">
        <v>190</v>
      </c>
      <c r="N257" t="s">
        <v>190</v>
      </c>
      <c r="O257" t="s">
        <v>190</v>
      </c>
      <c r="P257" t="s">
        <v>190</v>
      </c>
      <c r="Q257" t="s">
        <v>190</v>
      </c>
      <c r="R257" t="s">
        <v>190</v>
      </c>
      <c r="S257" t="s">
        <v>190</v>
      </c>
      <c r="T257" s="151" t="s">
        <v>190</v>
      </c>
      <c r="U257" t="s">
        <v>190</v>
      </c>
      <c r="V257" t="s">
        <v>190</v>
      </c>
      <c r="W257" t="s">
        <v>190</v>
      </c>
      <c r="X257" t="s">
        <v>190</v>
      </c>
      <c r="Y257" t="s">
        <v>190</v>
      </c>
      <c r="Z257" t="s">
        <v>190</v>
      </c>
      <c r="AA257" t="s">
        <v>190</v>
      </c>
      <c r="AB257" t="s">
        <v>190</v>
      </c>
      <c r="AC257" t="s">
        <v>190</v>
      </c>
      <c r="AD257" t="s">
        <v>190</v>
      </c>
      <c r="AE257" t="s">
        <v>190</v>
      </c>
      <c r="AF257" t="s">
        <v>190</v>
      </c>
      <c r="AG257" t="s">
        <v>190</v>
      </c>
      <c r="AH257" t="s">
        <v>190</v>
      </c>
      <c r="AI257" t="s">
        <v>190</v>
      </c>
      <c r="AJ257" t="s">
        <v>190</v>
      </c>
    </row>
    <row r="258" spans="2:36">
      <c r="B258" s="2" t="s">
        <v>717</v>
      </c>
      <c r="C258" s="2" t="s">
        <v>718</v>
      </c>
      <c r="D258" s="2" t="str">
        <f>Table5[[#This Row],[First name]]&amp;" "&amp;Table5[[#This Row],[Last name]]</f>
        <v>Mia Szavo</v>
      </c>
      <c r="E258" s="2" t="str">
        <f>_xlfn.XLOOKUP(Table5[[#This Row],[Full name]],Table26[Name],Table26[Role],"Member",0,1)</f>
        <v>Member</v>
      </c>
      <c r="F258" s="2" t="s">
        <v>188</v>
      </c>
      <c r="G258" s="26" cm="1">
        <f t="array" aca="1" ref="G258" ca="1">COUNTIF(Table5[[#This Row],[September 30, 2025]:[April 7, 2026]],"Yes")/SUMPRODUCT(--(DATEVALUE(Table5[[#Headers],[September 30, 2025]:[April 9, 2026]])&lt;=TODAY()))</f>
        <v>0</v>
      </c>
      <c r="H258" t="s">
        <v>190</v>
      </c>
      <c r="I258" t="s">
        <v>190</v>
      </c>
      <c r="J258" t="s">
        <v>190</v>
      </c>
      <c r="K258" t="s">
        <v>190</v>
      </c>
      <c r="L258" t="s">
        <v>190</v>
      </c>
      <c r="M258" t="s">
        <v>190</v>
      </c>
      <c r="N258" t="s">
        <v>190</v>
      </c>
      <c r="O258" t="s">
        <v>190</v>
      </c>
      <c r="P258" t="s">
        <v>190</v>
      </c>
      <c r="Q258" t="s">
        <v>190</v>
      </c>
      <c r="R258" t="s">
        <v>190</v>
      </c>
      <c r="S258" t="s">
        <v>190</v>
      </c>
      <c r="T258" s="151" t="s">
        <v>190</v>
      </c>
      <c r="U258" t="s">
        <v>190</v>
      </c>
      <c r="V258" t="s">
        <v>190</v>
      </c>
      <c r="W258" t="s">
        <v>190</v>
      </c>
      <c r="X258" t="s">
        <v>190</v>
      </c>
      <c r="Y258" t="s">
        <v>190</v>
      </c>
      <c r="Z258" t="s">
        <v>190</v>
      </c>
      <c r="AA258" t="s">
        <v>190</v>
      </c>
      <c r="AB258" t="s">
        <v>190</v>
      </c>
      <c r="AC258" t="s">
        <v>190</v>
      </c>
      <c r="AD258" t="s">
        <v>190</v>
      </c>
      <c r="AE258" t="s">
        <v>190</v>
      </c>
      <c r="AF258" t="s">
        <v>190</v>
      </c>
      <c r="AG258" t="s">
        <v>190</v>
      </c>
      <c r="AH258" t="s">
        <v>190</v>
      </c>
      <c r="AI258" t="s">
        <v>190</v>
      </c>
      <c r="AJ258" t="s">
        <v>190</v>
      </c>
    </row>
    <row r="259" spans="2:36">
      <c r="B259" s="2" t="s">
        <v>719</v>
      </c>
      <c r="C259" s="2" t="s">
        <v>720</v>
      </c>
      <c r="D259" s="2" t="str">
        <f>Table5[[#This Row],[First name]]&amp;" "&amp;Table5[[#This Row],[Last name]]</f>
        <v>Michael Ng</v>
      </c>
      <c r="E259" s="2" t="str">
        <f>_xlfn.XLOOKUP(Table5[[#This Row],[Full name]],Table26[Name],Table26[Role],"Member",0,1)</f>
        <v>Member</v>
      </c>
      <c r="F259" s="2" t="s">
        <v>188</v>
      </c>
      <c r="G259" s="26" cm="1">
        <f t="array" aca="1" ref="G259" ca="1">COUNTIF(Table5[[#This Row],[September 30, 2025]:[April 7, 2026]],"Yes")/SUMPRODUCT(--(DATEVALUE(Table5[[#Headers],[September 30, 2025]:[April 9, 2026]])&lt;=TODAY()))</f>
        <v>0.1</v>
      </c>
      <c r="H259" t="s">
        <v>186</v>
      </c>
      <c r="I259" t="s">
        <v>190</v>
      </c>
      <c r="J259" t="s">
        <v>190</v>
      </c>
      <c r="K259" t="s">
        <v>190</v>
      </c>
      <c r="L259" t="s">
        <v>190</v>
      </c>
      <c r="M259" t="s">
        <v>190</v>
      </c>
      <c r="N259" t="s">
        <v>190</v>
      </c>
      <c r="O259" t="s">
        <v>186</v>
      </c>
      <c r="P259" t="s">
        <v>190</v>
      </c>
      <c r="Q259" t="s">
        <v>190</v>
      </c>
      <c r="R259" t="s">
        <v>190</v>
      </c>
      <c r="S259" t="s">
        <v>190</v>
      </c>
      <c r="T259" s="151" t="s">
        <v>190</v>
      </c>
      <c r="U259" t="s">
        <v>190</v>
      </c>
      <c r="V259" t="s">
        <v>190</v>
      </c>
      <c r="W259" t="s">
        <v>190</v>
      </c>
      <c r="X259" t="s">
        <v>190</v>
      </c>
      <c r="Y259" t="s">
        <v>190</v>
      </c>
      <c r="Z259" t="s">
        <v>190</v>
      </c>
      <c r="AA259" t="s">
        <v>190</v>
      </c>
      <c r="AB259" t="s">
        <v>190</v>
      </c>
      <c r="AC259" t="s">
        <v>190</v>
      </c>
      <c r="AD259" t="s">
        <v>190</v>
      </c>
      <c r="AE259" t="s">
        <v>190</v>
      </c>
      <c r="AF259" t="s">
        <v>190</v>
      </c>
      <c r="AG259" t="s">
        <v>190</v>
      </c>
      <c r="AH259" t="s">
        <v>190</v>
      </c>
      <c r="AI259" t="s">
        <v>190</v>
      </c>
      <c r="AJ259" t="s">
        <v>190</v>
      </c>
    </row>
    <row r="260" spans="2:36">
      <c r="B260" s="2" t="s">
        <v>719</v>
      </c>
      <c r="C260" s="2" t="s">
        <v>721</v>
      </c>
      <c r="D260" s="2" t="str">
        <f>Table5[[#This Row],[First name]]&amp;" "&amp;Table5[[#This Row],[Last name]]</f>
        <v>Michael Salazar</v>
      </c>
      <c r="E260" s="2" t="str">
        <f>_xlfn.XLOOKUP(Table5[[#This Row],[Full name]],Table26[Name],Table26[Role],"Member",0,1)</f>
        <v>Member</v>
      </c>
      <c r="F260" s="2" t="s">
        <v>188</v>
      </c>
      <c r="G260" s="26" cm="1">
        <f t="array" aca="1" ref="G260" ca="1">COUNTIF(Table5[[#This Row],[September 30, 2025]:[April 7, 2026]],"Yes")/SUMPRODUCT(--(DATEVALUE(Table5[[#Headers],[September 30, 2025]:[April 9, 2026]])&lt;=TODAY()))</f>
        <v>0.3</v>
      </c>
      <c r="H260" t="s">
        <v>190</v>
      </c>
      <c r="I260" t="s">
        <v>190</v>
      </c>
      <c r="J260" t="s">
        <v>186</v>
      </c>
      <c r="K260" t="s">
        <v>186</v>
      </c>
      <c r="L260" t="s">
        <v>186</v>
      </c>
      <c r="M260" t="s">
        <v>186</v>
      </c>
      <c r="N260" t="s">
        <v>186</v>
      </c>
      <c r="O260" t="s">
        <v>186</v>
      </c>
      <c r="P260" t="s">
        <v>190</v>
      </c>
      <c r="Q260" t="s">
        <v>190</v>
      </c>
      <c r="R260" t="s">
        <v>190</v>
      </c>
      <c r="S260" t="s">
        <v>190</v>
      </c>
      <c r="T260" s="151" t="s">
        <v>190</v>
      </c>
      <c r="U260" t="s">
        <v>190</v>
      </c>
      <c r="V260" t="s">
        <v>190</v>
      </c>
      <c r="W260" t="s">
        <v>190</v>
      </c>
      <c r="X260" t="s">
        <v>190</v>
      </c>
      <c r="Y260" t="s">
        <v>190</v>
      </c>
      <c r="Z260" t="s">
        <v>190</v>
      </c>
      <c r="AA260" t="s">
        <v>190</v>
      </c>
      <c r="AB260" t="s">
        <v>190</v>
      </c>
      <c r="AC260" t="s">
        <v>190</v>
      </c>
      <c r="AD260" t="s">
        <v>190</v>
      </c>
      <c r="AE260" t="s">
        <v>190</v>
      </c>
      <c r="AF260" t="s">
        <v>190</v>
      </c>
      <c r="AG260" t="s">
        <v>190</v>
      </c>
      <c r="AH260" t="s">
        <v>190</v>
      </c>
      <c r="AI260" t="s">
        <v>190</v>
      </c>
      <c r="AJ260" t="s">
        <v>190</v>
      </c>
    </row>
    <row r="261" spans="2:36">
      <c r="B261" s="2" t="s">
        <v>719</v>
      </c>
      <c r="C261" s="2" t="s">
        <v>404</v>
      </c>
      <c r="D261" s="2" t="str">
        <f>Table5[[#This Row],[First name]]&amp;" "&amp;Table5[[#This Row],[Last name]]</f>
        <v>Michael Xu</v>
      </c>
      <c r="E261" s="2" t="str">
        <f>_xlfn.XLOOKUP(Table5[[#This Row],[Full name]],Table26[Name],Table26[Role],"Member",0,1)</f>
        <v>Member</v>
      </c>
      <c r="F261" s="2" t="s">
        <v>188</v>
      </c>
      <c r="G261" s="26" cm="1">
        <f t="array" aca="1" ref="G261" ca="1">COUNTIF(Table5[[#This Row],[September 30, 2025]:[April 7, 2026]],"Yes")/SUMPRODUCT(--(DATEVALUE(Table5[[#Headers],[September 30, 2025]:[April 9, 2026]])&lt;=TODAY()))</f>
        <v>0</v>
      </c>
      <c r="H261" t="s">
        <v>190</v>
      </c>
      <c r="I261" t="s">
        <v>190</v>
      </c>
      <c r="J261" t="s">
        <v>190</v>
      </c>
      <c r="K261" t="s">
        <v>190</v>
      </c>
      <c r="L261" t="s">
        <v>190</v>
      </c>
      <c r="M261" t="s">
        <v>190</v>
      </c>
      <c r="N261" t="s">
        <v>190</v>
      </c>
      <c r="O261" t="s">
        <v>190</v>
      </c>
      <c r="P261" t="s">
        <v>190</v>
      </c>
      <c r="Q261" t="s">
        <v>190</v>
      </c>
      <c r="R261" t="s">
        <v>190</v>
      </c>
      <c r="S261" t="s">
        <v>190</v>
      </c>
      <c r="T261" s="151" t="s">
        <v>190</v>
      </c>
      <c r="U261" t="s">
        <v>190</v>
      </c>
      <c r="V261" t="s">
        <v>190</v>
      </c>
      <c r="W261" t="s">
        <v>190</v>
      </c>
      <c r="X261" t="s">
        <v>190</v>
      </c>
      <c r="Y261" t="s">
        <v>190</v>
      </c>
      <c r="Z261" t="s">
        <v>190</v>
      </c>
      <c r="AA261" t="s">
        <v>190</v>
      </c>
      <c r="AB261" t="s">
        <v>190</v>
      </c>
      <c r="AC261" t="s">
        <v>190</v>
      </c>
      <c r="AD261" t="s">
        <v>190</v>
      </c>
      <c r="AE261" t="s">
        <v>190</v>
      </c>
      <c r="AF261" t="s">
        <v>190</v>
      </c>
      <c r="AG261" t="s">
        <v>190</v>
      </c>
      <c r="AH261" t="s">
        <v>190</v>
      </c>
      <c r="AI261" t="s">
        <v>190</v>
      </c>
      <c r="AJ261" t="s">
        <v>190</v>
      </c>
    </row>
    <row r="262" spans="2:36">
      <c r="B262" s="2" t="s">
        <v>722</v>
      </c>
      <c r="C262" s="2" t="s">
        <v>723</v>
      </c>
      <c r="D262" s="2" t="str">
        <f>Table5[[#This Row],[First name]]&amp;" "&amp;Table5[[#This Row],[Last name]]</f>
        <v>Mirkomil Oblokulov</v>
      </c>
      <c r="E262" s="2" t="str">
        <f>_xlfn.XLOOKUP(Table5[[#This Row],[Full name]],Table26[Name],Table26[Role],"Member",0,1)</f>
        <v>Member</v>
      </c>
      <c r="F262" s="2" t="s">
        <v>188</v>
      </c>
      <c r="G262" s="26" cm="1">
        <f t="array" aca="1" ref="G262" ca="1">COUNTIF(Table5[[#This Row],[September 30, 2025]:[April 7, 2026]],"Yes")/SUMPRODUCT(--(DATEVALUE(Table5[[#Headers],[September 30, 2025]:[April 9, 2026]])&lt;=TODAY()))</f>
        <v>0.15</v>
      </c>
      <c r="S262" t="s">
        <v>186</v>
      </c>
      <c r="T262" s="151" t="s">
        <v>186</v>
      </c>
      <c r="U262" t="s">
        <v>186</v>
      </c>
      <c r="V262" t="s">
        <v>190</v>
      </c>
      <c r="X262" t="s">
        <v>190</v>
      </c>
      <c r="AA262" t="s">
        <v>190</v>
      </c>
    </row>
    <row r="263" spans="2:36">
      <c r="B263" s="2" t="s">
        <v>724</v>
      </c>
      <c r="C263" s="2" t="s">
        <v>397</v>
      </c>
      <c r="D263" s="2" t="str">
        <f>Table5[[#This Row],[First name]]&amp;" "&amp;Table5[[#This Row],[Last name]]</f>
        <v>Moksh Shah</v>
      </c>
      <c r="E263" s="2" t="str">
        <f>_xlfn.XLOOKUP(Table5[[#This Row],[Full name]],Table26[Name],Table26[Role],"Member",0,1)</f>
        <v>Member</v>
      </c>
      <c r="F263" s="2" t="s">
        <v>188</v>
      </c>
      <c r="G263" s="26" cm="1">
        <f t="array" aca="1" ref="G263" ca="1">COUNTIF(Table5[[#This Row],[September 30, 2025]:[April 7, 2026]],"Yes")/SUMPRODUCT(--(DATEVALUE(Table5[[#Headers],[September 30, 2025]:[April 9, 2026]])&lt;=TODAY()))</f>
        <v>0.15</v>
      </c>
      <c r="H263" t="s">
        <v>186</v>
      </c>
      <c r="I263" t="s">
        <v>186</v>
      </c>
      <c r="J263" t="s">
        <v>190</v>
      </c>
      <c r="K263" t="s">
        <v>190</v>
      </c>
      <c r="L263" t="s">
        <v>190</v>
      </c>
      <c r="M263" t="s">
        <v>190</v>
      </c>
      <c r="N263" t="s">
        <v>190</v>
      </c>
      <c r="O263" t="s">
        <v>186</v>
      </c>
      <c r="P263" t="s">
        <v>190</v>
      </c>
      <c r="Q263" t="s">
        <v>190</v>
      </c>
      <c r="R263" t="s">
        <v>190</v>
      </c>
      <c r="S263" t="s">
        <v>190</v>
      </c>
      <c r="T263" s="151" t="s">
        <v>190</v>
      </c>
      <c r="U263" t="s">
        <v>190</v>
      </c>
      <c r="V263" t="s">
        <v>190</v>
      </c>
      <c r="W263" t="s">
        <v>190</v>
      </c>
      <c r="X263" t="s">
        <v>190</v>
      </c>
      <c r="Y263" t="s">
        <v>190</v>
      </c>
      <c r="Z263" t="s">
        <v>190</v>
      </c>
      <c r="AA263" t="s">
        <v>190</v>
      </c>
      <c r="AB263" t="s">
        <v>190</v>
      </c>
      <c r="AC263" t="s">
        <v>190</v>
      </c>
      <c r="AD263" t="s">
        <v>190</v>
      </c>
      <c r="AE263" t="s">
        <v>190</v>
      </c>
      <c r="AF263" t="s">
        <v>190</v>
      </c>
      <c r="AG263" t="s">
        <v>190</v>
      </c>
      <c r="AH263" t="s">
        <v>190</v>
      </c>
      <c r="AI263" t="s">
        <v>190</v>
      </c>
      <c r="AJ263" t="s">
        <v>190</v>
      </c>
    </row>
    <row r="264" spans="2:36">
      <c r="B264" s="2" t="s">
        <v>725</v>
      </c>
      <c r="C264" s="2" t="s">
        <v>427</v>
      </c>
      <c r="D264" s="2" t="str">
        <f>Table5[[#This Row],[First name]]&amp;" "&amp;Table5[[#This Row],[Last name]]</f>
        <v>Muhammad Abdullah</v>
      </c>
      <c r="E264" s="2" t="str">
        <f>_xlfn.XLOOKUP(Table5[[#This Row],[Full name]],Table26[Name],Table26[Role],"Member",0,1)</f>
        <v>Member</v>
      </c>
      <c r="F264" s="2" t="s">
        <v>188</v>
      </c>
      <c r="G264" s="26" cm="1">
        <f t="array" aca="1" ref="G264" ca="1">COUNTIF(Table5[[#This Row],[September 30, 2025]:[April 7, 2026]],"Yes")/SUMPRODUCT(--(DATEVALUE(Table5[[#Headers],[September 30, 2025]:[April 9, 2026]])&lt;=TODAY()))</f>
        <v>0.5</v>
      </c>
      <c r="P264" t="s">
        <v>186</v>
      </c>
      <c r="Q264" t="s">
        <v>186</v>
      </c>
      <c r="R264" t="s">
        <v>186</v>
      </c>
      <c r="S264" t="s">
        <v>186</v>
      </c>
      <c r="T264" s="151" t="s">
        <v>186</v>
      </c>
      <c r="U264" t="s">
        <v>186</v>
      </c>
      <c r="V264" t="s">
        <v>190</v>
      </c>
      <c r="W264" t="s">
        <v>186</v>
      </c>
      <c r="X264" t="s">
        <v>190</v>
      </c>
      <c r="Y264" t="s">
        <v>186</v>
      </c>
      <c r="Z264" t="s">
        <v>186</v>
      </c>
      <c r="AA264" t="s">
        <v>186</v>
      </c>
      <c r="AB264" t="s">
        <v>190</v>
      </c>
      <c r="AC264" t="s">
        <v>190</v>
      </c>
      <c r="AD264" t="s">
        <v>190</v>
      </c>
      <c r="AE264" t="s">
        <v>190</v>
      </c>
      <c r="AF264" t="s">
        <v>190</v>
      </c>
      <c r="AG264" t="s">
        <v>190</v>
      </c>
      <c r="AH264" t="s">
        <v>190</v>
      </c>
      <c r="AI264" t="s">
        <v>190</v>
      </c>
      <c r="AJ264" t="s">
        <v>190</v>
      </c>
    </row>
    <row r="265" spans="2:36">
      <c r="B265" s="2" t="s">
        <v>726</v>
      </c>
      <c r="C265" s="2" t="s">
        <v>727</v>
      </c>
      <c r="D265" s="2" t="str">
        <f>Table5[[#This Row],[First name]]&amp;" "&amp;Table5[[#This Row],[Last name]]</f>
        <v>Mukund Gupta</v>
      </c>
      <c r="E265" s="2" t="str">
        <f>_xlfn.XLOOKUP(Table5[[#This Row],[Full name]],Table26[Name],Table26[Role],"Member",0,1)</f>
        <v>Member</v>
      </c>
      <c r="F265" s="2" t="s">
        <v>188</v>
      </c>
      <c r="G265" s="26" cm="1">
        <f t="array" aca="1" ref="G265" ca="1">COUNTIF(Table5[[#This Row],[September 30, 2025]:[April 7, 2026]],"Yes")/SUMPRODUCT(--(DATEVALUE(Table5[[#Headers],[September 30, 2025]:[April 9, 2026]])&lt;=TODAY()))</f>
        <v>0.45</v>
      </c>
      <c r="H265" t="s">
        <v>186</v>
      </c>
      <c r="I265" t="s">
        <v>186</v>
      </c>
      <c r="J265" t="s">
        <v>186</v>
      </c>
      <c r="K265" t="s">
        <v>186</v>
      </c>
      <c r="L265" t="s">
        <v>190</v>
      </c>
      <c r="M265" t="s">
        <v>186</v>
      </c>
      <c r="N265" t="s">
        <v>190</v>
      </c>
      <c r="O265" t="s">
        <v>186</v>
      </c>
      <c r="P265" t="s">
        <v>190</v>
      </c>
      <c r="Q265" t="s">
        <v>190</v>
      </c>
      <c r="R265" t="s">
        <v>190</v>
      </c>
      <c r="S265" t="s">
        <v>190</v>
      </c>
      <c r="T265" s="151" t="s">
        <v>190</v>
      </c>
      <c r="U265" t="s">
        <v>190</v>
      </c>
      <c r="V265" t="s">
        <v>190</v>
      </c>
      <c r="W265" t="s">
        <v>190</v>
      </c>
      <c r="X265" t="s">
        <v>186</v>
      </c>
      <c r="Y265" t="s">
        <v>186</v>
      </c>
      <c r="Z265" t="s">
        <v>186</v>
      </c>
      <c r="AA265" t="s">
        <v>190</v>
      </c>
      <c r="AB265" t="s">
        <v>190</v>
      </c>
      <c r="AC265" t="s">
        <v>190</v>
      </c>
      <c r="AD265" t="s">
        <v>190</v>
      </c>
      <c r="AE265" t="s">
        <v>190</v>
      </c>
      <c r="AF265" t="s">
        <v>190</v>
      </c>
      <c r="AG265" t="s">
        <v>190</v>
      </c>
      <c r="AH265" t="s">
        <v>190</v>
      </c>
      <c r="AI265" t="s">
        <v>190</v>
      </c>
      <c r="AJ265" t="s">
        <v>190</v>
      </c>
    </row>
    <row r="266" spans="2:36">
      <c r="B266" s="2" t="s">
        <v>728</v>
      </c>
      <c r="C266" s="2" t="s">
        <v>729</v>
      </c>
      <c r="D266" s="2" t="str">
        <f>Table5[[#This Row],[First name]]&amp;" "&amp;Table5[[#This Row],[Last name]]</f>
        <v>Nasir Ghaibi</v>
      </c>
      <c r="E266" s="2" t="str">
        <f>_xlfn.XLOOKUP(Table5[[#This Row],[Full name]],Table26[Name],Table26[Role],"Member",0,1)</f>
        <v>Member</v>
      </c>
      <c r="F266" s="2" t="s">
        <v>188</v>
      </c>
      <c r="G266" s="26" cm="1">
        <f t="array" aca="1" ref="G266" ca="1">COUNTIF(Table5[[#This Row],[September 30, 2025]:[April 7, 2026]],"Yes")/SUMPRODUCT(--(DATEVALUE(Table5[[#Headers],[September 30, 2025]:[April 9, 2026]])&lt;=TODAY()))</f>
        <v>0.55000000000000004</v>
      </c>
      <c r="H266" t="s">
        <v>186</v>
      </c>
      <c r="I266" t="s">
        <v>190</v>
      </c>
      <c r="J266" t="s">
        <v>186</v>
      </c>
      <c r="K266" t="s">
        <v>186</v>
      </c>
      <c r="L266" t="s">
        <v>190</v>
      </c>
      <c r="M266" t="s">
        <v>186</v>
      </c>
      <c r="N266" t="s">
        <v>186</v>
      </c>
      <c r="O266" t="s">
        <v>186</v>
      </c>
      <c r="P266" t="s">
        <v>186</v>
      </c>
      <c r="Q266" t="s">
        <v>186</v>
      </c>
      <c r="R266" t="s">
        <v>190</v>
      </c>
      <c r="S266" t="s">
        <v>186</v>
      </c>
      <c r="T266" s="151" t="s">
        <v>190</v>
      </c>
      <c r="U266" t="s">
        <v>186</v>
      </c>
      <c r="V266" t="s">
        <v>190</v>
      </c>
      <c r="W266" t="s">
        <v>190</v>
      </c>
      <c r="X266" t="s">
        <v>190</v>
      </c>
      <c r="Y266" t="s">
        <v>190</v>
      </c>
      <c r="Z266" t="s">
        <v>190</v>
      </c>
      <c r="AA266" t="s">
        <v>186</v>
      </c>
      <c r="AB266" t="s">
        <v>190</v>
      </c>
      <c r="AC266" t="s">
        <v>190</v>
      </c>
      <c r="AD266" t="s">
        <v>190</v>
      </c>
      <c r="AE266" t="s">
        <v>190</v>
      </c>
      <c r="AF266" t="s">
        <v>190</v>
      </c>
      <c r="AG266" t="s">
        <v>190</v>
      </c>
      <c r="AH266" t="s">
        <v>190</v>
      </c>
      <c r="AI266" t="s">
        <v>190</v>
      </c>
      <c r="AJ266" t="s">
        <v>190</v>
      </c>
    </row>
    <row r="267" spans="2:36">
      <c r="B267" s="2" t="s">
        <v>309</v>
      </c>
      <c r="C267" s="2" t="s">
        <v>730</v>
      </c>
      <c r="D267" s="2" t="str">
        <f>Table5[[#This Row],[First name]]&amp;" "&amp;Table5[[#This Row],[Last name]]</f>
        <v>Nathan Byers</v>
      </c>
      <c r="E267" s="2" t="str">
        <f>_xlfn.XLOOKUP(Table5[[#This Row],[Full name]],Table26[Name],Table26[Role],"Member",0,1)</f>
        <v>Member</v>
      </c>
      <c r="F267" s="2" t="s">
        <v>188</v>
      </c>
      <c r="G267" s="26" cm="1">
        <f t="array" aca="1" ref="G267" ca="1">COUNTIF(Table5[[#This Row],[September 30, 2025]:[April 7, 2026]],"Yes")/SUMPRODUCT(--(DATEVALUE(Table5[[#Headers],[September 30, 2025]:[April 9, 2026]])&lt;=TODAY()))</f>
        <v>0.05</v>
      </c>
      <c r="H267" t="s">
        <v>190</v>
      </c>
      <c r="I267" t="s">
        <v>186</v>
      </c>
      <c r="J267" t="s">
        <v>190</v>
      </c>
      <c r="K267" t="s">
        <v>190</v>
      </c>
      <c r="L267" t="s">
        <v>190</v>
      </c>
      <c r="M267" t="s">
        <v>190</v>
      </c>
      <c r="N267" t="s">
        <v>190</v>
      </c>
      <c r="O267" t="s">
        <v>190</v>
      </c>
      <c r="P267" t="s">
        <v>190</v>
      </c>
      <c r="Q267" t="s">
        <v>190</v>
      </c>
      <c r="R267" t="s">
        <v>190</v>
      </c>
      <c r="S267" t="s">
        <v>190</v>
      </c>
      <c r="T267" s="151" t="s">
        <v>190</v>
      </c>
      <c r="U267" t="s">
        <v>190</v>
      </c>
      <c r="V267" t="s">
        <v>190</v>
      </c>
      <c r="W267" t="s">
        <v>190</v>
      </c>
      <c r="X267" t="s">
        <v>190</v>
      </c>
      <c r="Y267" t="s">
        <v>190</v>
      </c>
      <c r="Z267" t="s">
        <v>190</v>
      </c>
      <c r="AA267" t="s">
        <v>190</v>
      </c>
      <c r="AB267" t="s">
        <v>190</v>
      </c>
      <c r="AC267" t="s">
        <v>190</v>
      </c>
      <c r="AD267" t="s">
        <v>190</v>
      </c>
      <c r="AE267" t="s">
        <v>190</v>
      </c>
      <c r="AF267" t="s">
        <v>190</v>
      </c>
      <c r="AG267" t="s">
        <v>190</v>
      </c>
      <c r="AH267" t="s">
        <v>190</v>
      </c>
      <c r="AI267" t="s">
        <v>190</v>
      </c>
      <c r="AJ267" t="s">
        <v>190</v>
      </c>
    </row>
    <row r="268" spans="2:36">
      <c r="B268" s="2" t="s">
        <v>309</v>
      </c>
      <c r="C268" s="2" t="s">
        <v>731</v>
      </c>
      <c r="D268" s="2" t="str">
        <f>Table5[[#This Row],[First name]]&amp;" "&amp;Table5[[#This Row],[Last name]]</f>
        <v>Nathan Konotopsky</v>
      </c>
      <c r="E268" s="2" t="str">
        <f>_xlfn.XLOOKUP(Table5[[#This Row],[Full name]],Table26[Name],Table26[Role],"Member",0,1)</f>
        <v>Member</v>
      </c>
      <c r="F268" s="2" t="s">
        <v>188</v>
      </c>
      <c r="G268" s="26" cm="1">
        <f t="array" aca="1" ref="G268" ca="1">COUNTIF(Table5[[#This Row],[September 30, 2025]:[April 7, 2026]],"Yes")/SUMPRODUCT(--(DATEVALUE(Table5[[#Headers],[September 30, 2025]:[April 9, 2026]])&lt;=TODAY()))</f>
        <v>0.5</v>
      </c>
      <c r="N268" t="s">
        <v>186</v>
      </c>
      <c r="P268" t="s">
        <v>186</v>
      </c>
      <c r="Q268" t="s">
        <v>186</v>
      </c>
      <c r="R268" t="s">
        <v>186</v>
      </c>
      <c r="S268" t="s">
        <v>186</v>
      </c>
      <c r="T268" s="151" t="s">
        <v>186</v>
      </c>
      <c r="U268" t="s">
        <v>186</v>
      </c>
      <c r="V268" t="s">
        <v>190</v>
      </c>
      <c r="W268" t="s">
        <v>190</v>
      </c>
      <c r="X268" t="s">
        <v>186</v>
      </c>
      <c r="Y268" t="s">
        <v>186</v>
      </c>
      <c r="Z268" t="s">
        <v>190</v>
      </c>
      <c r="AA268" t="s">
        <v>186</v>
      </c>
      <c r="AB268" t="s">
        <v>190</v>
      </c>
      <c r="AC268" t="s">
        <v>190</v>
      </c>
      <c r="AD268" t="s">
        <v>190</v>
      </c>
      <c r="AE268" t="s">
        <v>190</v>
      </c>
      <c r="AF268" t="s">
        <v>190</v>
      </c>
      <c r="AG268" t="s">
        <v>190</v>
      </c>
      <c r="AH268" t="s">
        <v>190</v>
      </c>
      <c r="AI268" t="s">
        <v>190</v>
      </c>
      <c r="AJ268" t="s">
        <v>190</v>
      </c>
    </row>
    <row r="269" spans="2:36">
      <c r="B269" s="2" t="s">
        <v>732</v>
      </c>
      <c r="C269" s="2" t="s">
        <v>733</v>
      </c>
      <c r="D269" s="2" t="str">
        <f>Table5[[#This Row],[First name]]&amp;" "&amp;Table5[[#This Row],[Last name]]</f>
        <v>Nickon Askari</v>
      </c>
      <c r="E269" s="2" t="str">
        <f>_xlfn.XLOOKUP(Table5[[#This Row],[Full name]],Table26[Name],Table26[Role],"Member",0,1)</f>
        <v>Member</v>
      </c>
      <c r="F269" s="2" t="s">
        <v>188</v>
      </c>
      <c r="G269" s="26" cm="1">
        <f t="array" aca="1" ref="G269" ca="1">COUNTIF(Table5[[#This Row],[September 30, 2025]:[April 7, 2026]],"Yes")/SUMPRODUCT(--(DATEVALUE(Table5[[#Headers],[September 30, 2025]:[April 9, 2026]])&lt;=TODAY()))</f>
        <v>0</v>
      </c>
      <c r="H269" t="s">
        <v>190</v>
      </c>
      <c r="I269" t="s">
        <v>190</v>
      </c>
      <c r="J269" t="s">
        <v>190</v>
      </c>
      <c r="K269" t="s">
        <v>190</v>
      </c>
      <c r="L269" t="s">
        <v>190</v>
      </c>
      <c r="M269" t="s">
        <v>190</v>
      </c>
      <c r="N269" t="s">
        <v>190</v>
      </c>
      <c r="O269" t="s">
        <v>190</v>
      </c>
      <c r="P269" t="s">
        <v>190</v>
      </c>
      <c r="Q269" t="s">
        <v>190</v>
      </c>
      <c r="R269" t="s">
        <v>190</v>
      </c>
      <c r="S269" t="s">
        <v>190</v>
      </c>
      <c r="T269" s="151" t="s">
        <v>190</v>
      </c>
      <c r="U269" t="s">
        <v>190</v>
      </c>
      <c r="V269" t="s">
        <v>190</v>
      </c>
      <c r="W269" t="s">
        <v>190</v>
      </c>
      <c r="X269" t="s">
        <v>190</v>
      </c>
      <c r="Y269" t="s">
        <v>190</v>
      </c>
      <c r="Z269" t="s">
        <v>190</v>
      </c>
      <c r="AA269" t="s">
        <v>190</v>
      </c>
      <c r="AB269" t="s">
        <v>190</v>
      </c>
      <c r="AC269" t="s">
        <v>190</v>
      </c>
      <c r="AD269" t="s">
        <v>190</v>
      </c>
      <c r="AE269" t="s">
        <v>190</v>
      </c>
      <c r="AF269" t="s">
        <v>190</v>
      </c>
      <c r="AG269" t="s">
        <v>190</v>
      </c>
      <c r="AH269" t="s">
        <v>190</v>
      </c>
      <c r="AI269" t="s">
        <v>190</v>
      </c>
      <c r="AJ269" t="s">
        <v>190</v>
      </c>
    </row>
    <row r="270" spans="2:36">
      <c r="B270" s="2" t="s">
        <v>734</v>
      </c>
      <c r="C270" s="2" t="s">
        <v>735</v>
      </c>
      <c r="D270" s="2" t="str">
        <f>Table5[[#This Row],[First name]]&amp;" "&amp;Table5[[#This Row],[Last name]]</f>
        <v>Nihal Gill</v>
      </c>
      <c r="E270" s="2" t="str">
        <f>_xlfn.XLOOKUP(Table5[[#This Row],[Full name]],Table26[Name],Table26[Role],"Member",0,1)</f>
        <v>Member</v>
      </c>
      <c r="F270" s="2"/>
      <c r="G270" s="26" cm="1">
        <f t="array" aca="1" ref="G270" ca="1">COUNTIF(Table5[[#This Row],[September 30, 2025]:[April 7, 2026]],"Yes")/SUMPRODUCT(--(DATEVALUE(Table5[[#Headers],[September 30, 2025]:[April 9, 2026]])&lt;=TODAY()))</f>
        <v>0.3</v>
      </c>
      <c r="T270" s="151" t="s">
        <v>186</v>
      </c>
      <c r="U270" t="s">
        <v>186</v>
      </c>
      <c r="V270" t="s">
        <v>186</v>
      </c>
      <c r="X270" t="s">
        <v>190</v>
      </c>
      <c r="Y270" t="s">
        <v>186</v>
      </c>
      <c r="Z270" t="s">
        <v>186</v>
      </c>
      <c r="AA270" t="s">
        <v>186</v>
      </c>
    </row>
    <row r="271" spans="2:36">
      <c r="B271" s="2" t="s">
        <v>736</v>
      </c>
      <c r="C271" s="2" t="s">
        <v>737</v>
      </c>
      <c r="D271" s="2" t="str">
        <f>Table5[[#This Row],[First name]]&amp;" "&amp;Table5[[#This Row],[Last name]]</f>
        <v>Nikola Dora</v>
      </c>
      <c r="E271" s="2" t="str">
        <f>_xlfn.XLOOKUP(Table5[[#This Row],[Full name]],Table26[Name],Table26[Role],"Member",0,1)</f>
        <v>Member</v>
      </c>
      <c r="F271" s="2" t="s">
        <v>188</v>
      </c>
      <c r="G271" s="26" cm="1">
        <f t="array" aca="1" ref="G271" ca="1">COUNTIF(Table5[[#This Row],[September 30, 2025]:[April 7, 2026]],"Yes")/SUMPRODUCT(--(DATEVALUE(Table5[[#Headers],[September 30, 2025]:[April 9, 2026]])&lt;=TODAY()))</f>
        <v>0.15</v>
      </c>
      <c r="H271" t="s">
        <v>190</v>
      </c>
      <c r="I271" t="s">
        <v>190</v>
      </c>
      <c r="J271" t="s">
        <v>190</v>
      </c>
      <c r="K271" t="s">
        <v>186</v>
      </c>
      <c r="L271" t="s">
        <v>186</v>
      </c>
      <c r="M271" t="s">
        <v>190</v>
      </c>
      <c r="N271" t="s">
        <v>186</v>
      </c>
      <c r="O271" t="s">
        <v>190</v>
      </c>
      <c r="P271" t="s">
        <v>190</v>
      </c>
      <c r="Q271" t="s">
        <v>190</v>
      </c>
      <c r="R271" t="s">
        <v>190</v>
      </c>
      <c r="S271" t="s">
        <v>190</v>
      </c>
      <c r="T271" s="151" t="s">
        <v>190</v>
      </c>
      <c r="U271" t="s">
        <v>190</v>
      </c>
      <c r="V271" t="s">
        <v>190</v>
      </c>
      <c r="W271" t="s">
        <v>190</v>
      </c>
      <c r="X271" t="s">
        <v>190</v>
      </c>
      <c r="Y271" t="s">
        <v>190</v>
      </c>
      <c r="Z271" t="s">
        <v>190</v>
      </c>
      <c r="AA271" t="s">
        <v>190</v>
      </c>
      <c r="AB271" t="s">
        <v>190</v>
      </c>
      <c r="AC271" t="s">
        <v>190</v>
      </c>
      <c r="AD271" t="s">
        <v>190</v>
      </c>
      <c r="AE271" t="s">
        <v>190</v>
      </c>
      <c r="AF271" t="s">
        <v>190</v>
      </c>
      <c r="AG271" t="s">
        <v>190</v>
      </c>
      <c r="AH271" t="s">
        <v>190</v>
      </c>
      <c r="AI271" t="s">
        <v>190</v>
      </c>
      <c r="AJ271" t="s">
        <v>190</v>
      </c>
    </row>
    <row r="272" spans="2:36">
      <c r="B272" s="2" t="s">
        <v>391</v>
      </c>
      <c r="C272" s="2" t="s">
        <v>595</v>
      </c>
      <c r="D272" s="2" t="str">
        <f>Table5[[#This Row],[First name]]&amp;" "&amp;Table5[[#This Row],[Last name]]</f>
        <v>Noah Lee</v>
      </c>
      <c r="E272" s="2" t="str">
        <f>_xlfn.XLOOKUP(Table5[[#This Row],[Full name]],Table26[Name],Table26[Role],"Member",0,1)</f>
        <v>Member</v>
      </c>
      <c r="F272" s="2" t="s">
        <v>188</v>
      </c>
      <c r="G272" s="26" cm="1">
        <f t="array" aca="1" ref="G272" ca="1">COUNTIF(Table5[[#This Row],[September 30, 2025]:[April 7, 2026]],"Yes")/SUMPRODUCT(--(DATEVALUE(Table5[[#Headers],[September 30, 2025]:[April 9, 2026]])&lt;=TODAY()))</f>
        <v>0.25</v>
      </c>
      <c r="H272" t="s">
        <v>186</v>
      </c>
      <c r="I272" t="s">
        <v>190</v>
      </c>
      <c r="J272" t="s">
        <v>190</v>
      </c>
      <c r="K272" t="s">
        <v>190</v>
      </c>
      <c r="L272" t="s">
        <v>186</v>
      </c>
      <c r="M272" t="s">
        <v>186</v>
      </c>
      <c r="N272" t="s">
        <v>190</v>
      </c>
      <c r="O272" t="s">
        <v>190</v>
      </c>
      <c r="P272" t="s">
        <v>190</v>
      </c>
      <c r="Q272" t="s">
        <v>186</v>
      </c>
      <c r="R272" t="s">
        <v>190</v>
      </c>
      <c r="S272" t="s">
        <v>190</v>
      </c>
      <c r="T272" s="151" t="s">
        <v>190</v>
      </c>
      <c r="U272" t="s">
        <v>186</v>
      </c>
      <c r="V272" t="s">
        <v>190</v>
      </c>
      <c r="W272" t="s">
        <v>190</v>
      </c>
      <c r="X272" t="s">
        <v>190</v>
      </c>
      <c r="Y272" t="s">
        <v>190</v>
      </c>
      <c r="Z272" t="s">
        <v>190</v>
      </c>
      <c r="AA272" t="s">
        <v>190</v>
      </c>
      <c r="AB272" t="s">
        <v>190</v>
      </c>
      <c r="AC272" t="s">
        <v>190</v>
      </c>
      <c r="AD272" t="s">
        <v>190</v>
      </c>
      <c r="AE272" t="s">
        <v>190</v>
      </c>
      <c r="AF272" t="s">
        <v>190</v>
      </c>
      <c r="AG272" t="s">
        <v>190</v>
      </c>
      <c r="AH272" t="s">
        <v>190</v>
      </c>
      <c r="AI272" t="s">
        <v>190</v>
      </c>
      <c r="AJ272" t="s">
        <v>190</v>
      </c>
    </row>
    <row r="273" spans="2:36">
      <c r="B273" s="2" t="s">
        <v>738</v>
      </c>
      <c r="C273" s="2" t="s">
        <v>739</v>
      </c>
      <c r="D273" s="2" t="str">
        <f>Table5[[#This Row],[First name]]&amp;" "&amp;Table5[[#This Row],[Last name]]</f>
        <v>Oliver Good</v>
      </c>
      <c r="E273" s="2" t="str">
        <f>_xlfn.XLOOKUP(Table5[[#This Row],[Full name]],Table26[Name],Table26[Role],"Member",0,1)</f>
        <v>Member</v>
      </c>
      <c r="F273" s="2"/>
      <c r="G273" s="152" cm="1">
        <f t="array" aca="1" ref="G273" ca="1">COUNTIF(Table5[[#This Row],[September 30, 2025]:[April 7, 2026]],"Yes")/SUMPRODUCT(--(DATEVALUE(Table5[[#Headers],[September 30, 2025]:[April 9, 2026]])&lt;=TODAY()))</f>
        <v>0.15</v>
      </c>
      <c r="T273" s="151" t="s">
        <v>186</v>
      </c>
      <c r="U273" t="s">
        <v>186</v>
      </c>
      <c r="V273" t="s">
        <v>190</v>
      </c>
      <c r="X273" t="s">
        <v>190</v>
      </c>
      <c r="Y273" t="s">
        <v>186</v>
      </c>
      <c r="AA273" t="s">
        <v>190</v>
      </c>
    </row>
    <row r="274" spans="2:36">
      <c r="B274" s="2" t="s">
        <v>740</v>
      </c>
      <c r="C274" s="2" t="s">
        <v>741</v>
      </c>
      <c r="D274" s="2" t="str">
        <f>Table5[[#This Row],[First name]]&amp;" "&amp;Table5[[#This Row],[Last name]]</f>
        <v>Olly West</v>
      </c>
      <c r="E274" s="2" t="str">
        <f>_xlfn.XLOOKUP(Table5[[#This Row],[Full name]],Table26[Name],Table26[Role],"Member",0,1)</f>
        <v>Member</v>
      </c>
      <c r="F274" s="2" t="s">
        <v>188</v>
      </c>
      <c r="G274" s="26" cm="1">
        <f t="array" aca="1" ref="G274" ca="1">COUNTIF(Table5[[#This Row],[September 30, 2025]:[April 7, 2026]],"Yes")/SUMPRODUCT(--(DATEVALUE(Table5[[#Headers],[September 30, 2025]:[April 9, 2026]])&lt;=TODAY()))</f>
        <v>0.25</v>
      </c>
      <c r="H274" t="s">
        <v>186</v>
      </c>
      <c r="I274" t="s">
        <v>186</v>
      </c>
      <c r="J274" t="s">
        <v>186</v>
      </c>
      <c r="K274" t="s">
        <v>190</v>
      </c>
      <c r="L274" t="s">
        <v>190</v>
      </c>
      <c r="M274" t="s">
        <v>190</v>
      </c>
      <c r="N274" t="s">
        <v>186</v>
      </c>
      <c r="O274" t="s">
        <v>190</v>
      </c>
      <c r="P274" t="s">
        <v>190</v>
      </c>
      <c r="Q274" t="s">
        <v>190</v>
      </c>
      <c r="R274" t="s">
        <v>190</v>
      </c>
      <c r="S274" t="s">
        <v>190</v>
      </c>
      <c r="T274" s="151" t="s">
        <v>186</v>
      </c>
      <c r="U274" t="s">
        <v>190</v>
      </c>
      <c r="V274" t="s">
        <v>190</v>
      </c>
      <c r="W274" t="s">
        <v>190</v>
      </c>
      <c r="X274" t="s">
        <v>190</v>
      </c>
      <c r="Y274" t="s">
        <v>190</v>
      </c>
      <c r="Z274" t="s">
        <v>190</v>
      </c>
      <c r="AA274" t="s">
        <v>190</v>
      </c>
      <c r="AB274" t="s">
        <v>190</v>
      </c>
      <c r="AC274" t="s">
        <v>190</v>
      </c>
      <c r="AD274" t="s">
        <v>190</v>
      </c>
      <c r="AE274" t="s">
        <v>190</v>
      </c>
      <c r="AF274" t="s">
        <v>190</v>
      </c>
      <c r="AG274" t="s">
        <v>190</v>
      </c>
      <c r="AH274" t="s">
        <v>190</v>
      </c>
      <c r="AI274" t="s">
        <v>190</v>
      </c>
      <c r="AJ274" t="s">
        <v>190</v>
      </c>
    </row>
    <row r="275" spans="2:36">
      <c r="B275" s="2" t="s">
        <v>742</v>
      </c>
      <c r="C275" s="2" t="s">
        <v>743</v>
      </c>
      <c r="D275" s="2" t="str">
        <f>Table5[[#This Row],[First name]]&amp;" "&amp;Table5[[#This Row],[Last name]]</f>
        <v>Owen Hu</v>
      </c>
      <c r="E275" s="2" t="str">
        <f>_xlfn.XLOOKUP(Table5[[#This Row],[Full name]],Table26[Name],Table26[Role],"Member",0,1)</f>
        <v>Member</v>
      </c>
      <c r="F275" s="2" t="s">
        <v>188</v>
      </c>
      <c r="G275" s="26" cm="1">
        <f t="array" aca="1" ref="G275" ca="1">COUNTIF(Table5[[#This Row],[September 30, 2025]:[April 7, 2026]],"Yes")/SUMPRODUCT(--(DATEVALUE(Table5[[#Headers],[September 30, 2025]:[April 9, 2026]])&lt;=TODAY()))</f>
        <v>0.25</v>
      </c>
      <c r="H275" t="s">
        <v>186</v>
      </c>
      <c r="I275" t="s">
        <v>190</v>
      </c>
      <c r="J275" t="s">
        <v>190</v>
      </c>
      <c r="K275" t="s">
        <v>190</v>
      </c>
      <c r="L275" t="s">
        <v>190</v>
      </c>
      <c r="M275" t="s">
        <v>190</v>
      </c>
      <c r="N275" t="s">
        <v>190</v>
      </c>
      <c r="O275" t="s">
        <v>186</v>
      </c>
      <c r="P275" t="s">
        <v>186</v>
      </c>
      <c r="Q275" t="s">
        <v>186</v>
      </c>
      <c r="R275" t="s">
        <v>190</v>
      </c>
      <c r="S275" t="s">
        <v>190</v>
      </c>
      <c r="T275" s="151" t="s">
        <v>190</v>
      </c>
      <c r="U275" t="s">
        <v>190</v>
      </c>
      <c r="V275" t="s">
        <v>190</v>
      </c>
      <c r="W275" t="s">
        <v>186</v>
      </c>
      <c r="X275" t="s">
        <v>190</v>
      </c>
      <c r="Y275" t="s">
        <v>190</v>
      </c>
      <c r="Z275" t="s">
        <v>190</v>
      </c>
      <c r="AA275" t="s">
        <v>190</v>
      </c>
      <c r="AB275" t="s">
        <v>190</v>
      </c>
      <c r="AC275" t="s">
        <v>190</v>
      </c>
      <c r="AD275" t="s">
        <v>190</v>
      </c>
      <c r="AE275" t="s">
        <v>190</v>
      </c>
      <c r="AF275" t="s">
        <v>190</v>
      </c>
      <c r="AG275" t="s">
        <v>190</v>
      </c>
      <c r="AH275" t="s">
        <v>190</v>
      </c>
      <c r="AI275" t="s">
        <v>190</v>
      </c>
      <c r="AJ275" t="s">
        <v>190</v>
      </c>
    </row>
    <row r="276" spans="2:36">
      <c r="B276" s="2" t="s">
        <v>744</v>
      </c>
      <c r="C276" s="2" t="s">
        <v>383</v>
      </c>
      <c r="D276" s="2" t="str">
        <f>Table5[[#This Row],[First name]]&amp;" "&amp;Table5[[#This Row],[Last name]]</f>
        <v>Param Agarwal</v>
      </c>
      <c r="E276" s="2" t="str">
        <f>_xlfn.XLOOKUP(Table5[[#This Row],[Full name]],Table26[Name],Table26[Role],"Member",0,1)</f>
        <v>Member</v>
      </c>
      <c r="F276" s="2" t="s">
        <v>188</v>
      </c>
      <c r="G276" s="26" cm="1">
        <f t="array" aca="1" ref="G276" ca="1">COUNTIF(Table5[[#This Row],[September 30, 2025]:[April 7, 2026]],"Yes")/SUMPRODUCT(--(DATEVALUE(Table5[[#Headers],[September 30, 2025]:[April 9, 2026]])&lt;=TODAY()))</f>
        <v>0.2</v>
      </c>
      <c r="H276" t="s">
        <v>186</v>
      </c>
      <c r="I276" t="s">
        <v>190</v>
      </c>
      <c r="J276" t="s">
        <v>190</v>
      </c>
      <c r="K276" t="s">
        <v>190</v>
      </c>
      <c r="L276" t="s">
        <v>190</v>
      </c>
      <c r="M276" t="s">
        <v>186</v>
      </c>
      <c r="N276" t="s">
        <v>190</v>
      </c>
      <c r="O276" t="s">
        <v>190</v>
      </c>
      <c r="P276" t="s">
        <v>190</v>
      </c>
      <c r="Q276" t="s">
        <v>186</v>
      </c>
      <c r="R276" t="s">
        <v>190</v>
      </c>
      <c r="S276" t="s">
        <v>190</v>
      </c>
      <c r="T276" s="151" t="s">
        <v>190</v>
      </c>
      <c r="U276" t="s">
        <v>190</v>
      </c>
      <c r="V276" t="s">
        <v>190</v>
      </c>
      <c r="W276" t="s">
        <v>190</v>
      </c>
      <c r="X276" t="s">
        <v>190</v>
      </c>
      <c r="Y276" t="s">
        <v>186</v>
      </c>
      <c r="Z276" t="s">
        <v>190</v>
      </c>
      <c r="AA276" t="s">
        <v>190</v>
      </c>
      <c r="AB276" t="s">
        <v>190</v>
      </c>
      <c r="AC276" t="s">
        <v>190</v>
      </c>
      <c r="AD276" t="s">
        <v>190</v>
      </c>
      <c r="AE276" t="s">
        <v>190</v>
      </c>
      <c r="AF276" t="s">
        <v>190</v>
      </c>
      <c r="AG276" t="s">
        <v>190</v>
      </c>
      <c r="AH276" t="s">
        <v>190</v>
      </c>
      <c r="AI276" t="s">
        <v>190</v>
      </c>
      <c r="AJ276" t="s">
        <v>190</v>
      </c>
    </row>
    <row r="277" spans="2:36">
      <c r="B277" s="2" t="s">
        <v>745</v>
      </c>
      <c r="C277" s="2" t="s">
        <v>746</v>
      </c>
      <c r="D277" s="2" t="str">
        <f>Table5[[#This Row],[First name]]&amp;" "&amp;Table5[[#This Row],[Last name]]</f>
        <v>Parum Patel</v>
      </c>
      <c r="E277" s="2" t="str">
        <f>_xlfn.XLOOKUP(Table5[[#This Row],[Full name]],Table26[Name],Table26[Role],"Member",0,1)</f>
        <v>Member</v>
      </c>
      <c r="F277" s="2" t="s">
        <v>188</v>
      </c>
      <c r="G277" s="26" cm="1">
        <f t="array" aca="1" ref="G277" ca="1">COUNTIF(Table5[[#This Row],[September 30, 2025]:[April 7, 2026]],"Yes")/SUMPRODUCT(--(DATEVALUE(Table5[[#Headers],[September 30, 2025]:[April 9, 2026]])&lt;=TODAY()))</f>
        <v>0.05</v>
      </c>
      <c r="P277" t="s">
        <v>186</v>
      </c>
      <c r="Q277" t="s">
        <v>190</v>
      </c>
      <c r="R277" t="s">
        <v>190</v>
      </c>
      <c r="S277" t="s">
        <v>190</v>
      </c>
      <c r="T277" s="151" t="s">
        <v>190</v>
      </c>
      <c r="U277" t="s">
        <v>190</v>
      </c>
      <c r="V277" t="s">
        <v>190</v>
      </c>
      <c r="W277" t="s">
        <v>190</v>
      </c>
      <c r="X277" t="s">
        <v>190</v>
      </c>
      <c r="Y277" t="s">
        <v>190</v>
      </c>
      <c r="Z277" t="s">
        <v>190</v>
      </c>
      <c r="AA277" t="s">
        <v>190</v>
      </c>
      <c r="AB277" t="s">
        <v>190</v>
      </c>
      <c r="AC277" t="s">
        <v>190</v>
      </c>
      <c r="AD277" t="s">
        <v>190</v>
      </c>
      <c r="AE277" t="s">
        <v>190</v>
      </c>
      <c r="AF277" t="s">
        <v>190</v>
      </c>
      <c r="AG277" t="s">
        <v>190</v>
      </c>
      <c r="AH277" t="s">
        <v>190</v>
      </c>
      <c r="AI277" t="s">
        <v>190</v>
      </c>
      <c r="AJ277" t="s">
        <v>190</v>
      </c>
    </row>
    <row r="278" spans="2:36">
      <c r="B278" s="2" t="s">
        <v>747</v>
      </c>
      <c r="C278" s="2" t="s">
        <v>748</v>
      </c>
      <c r="D278" s="2" t="str">
        <f>Table5[[#This Row],[First name]]&amp;" "&amp;Table5[[#This Row],[Last name]]</f>
        <v xml:space="preserve">Patrick Tendon </v>
      </c>
      <c r="E278" s="2" t="str">
        <f>_xlfn.XLOOKUP(Table5[[#This Row],[Full name]],Table26[Name],Table26[Role],"Member",0,1)</f>
        <v>Member</v>
      </c>
      <c r="F278" s="2" t="s">
        <v>188</v>
      </c>
      <c r="G278" s="26" cm="1">
        <f t="array" aca="1" ref="G278" ca="1">COUNTIF(Table5[[#This Row],[September 30, 2025]:[April 7, 2026]],"Yes")/SUMPRODUCT(--(DATEVALUE(Table5[[#Headers],[September 30, 2025]:[April 9, 2026]])&lt;=TODAY()))</f>
        <v>0.55000000000000004</v>
      </c>
      <c r="H278" t="s">
        <v>190</v>
      </c>
      <c r="I278" t="s">
        <v>190</v>
      </c>
      <c r="J278" t="s">
        <v>190</v>
      </c>
      <c r="K278" t="s">
        <v>190</v>
      </c>
      <c r="L278" t="s">
        <v>190</v>
      </c>
      <c r="M278" t="s">
        <v>186</v>
      </c>
      <c r="N278" t="s">
        <v>190</v>
      </c>
      <c r="O278" t="s">
        <v>190</v>
      </c>
      <c r="P278" t="s">
        <v>186</v>
      </c>
      <c r="Q278" t="s">
        <v>190</v>
      </c>
      <c r="R278" t="s">
        <v>186</v>
      </c>
      <c r="S278" t="s">
        <v>186</v>
      </c>
      <c r="T278" s="151" t="s">
        <v>186</v>
      </c>
      <c r="U278" t="s">
        <v>186</v>
      </c>
      <c r="V278" t="s">
        <v>190</v>
      </c>
      <c r="W278" t="s">
        <v>186</v>
      </c>
      <c r="X278" t="s">
        <v>186</v>
      </c>
      <c r="Y278" t="s">
        <v>186</v>
      </c>
      <c r="Z278" t="s">
        <v>186</v>
      </c>
      <c r="AA278" t="s">
        <v>186</v>
      </c>
      <c r="AB278" t="s">
        <v>190</v>
      </c>
      <c r="AC278" t="s">
        <v>190</v>
      </c>
      <c r="AD278" t="s">
        <v>190</v>
      </c>
      <c r="AE278" t="s">
        <v>190</v>
      </c>
      <c r="AF278" t="s">
        <v>190</v>
      </c>
      <c r="AG278" t="s">
        <v>190</v>
      </c>
      <c r="AH278" t="s">
        <v>190</v>
      </c>
      <c r="AI278" t="s">
        <v>190</v>
      </c>
      <c r="AJ278" t="s">
        <v>186</v>
      </c>
    </row>
    <row r="279" spans="2:36">
      <c r="B279" s="2" t="s">
        <v>749</v>
      </c>
      <c r="C279" s="2" t="s">
        <v>750</v>
      </c>
      <c r="D279" s="2" t="str">
        <f>Table5[[#This Row],[First name]]&amp;" "&amp;Table5[[#This Row],[Last name]]</f>
        <v>Pratyush Singh</v>
      </c>
      <c r="E279" s="2" t="str">
        <f>_xlfn.XLOOKUP(Table5[[#This Row],[Full name]],Table26[Name],Table26[Role],"Member",0,1)</f>
        <v>Member</v>
      </c>
      <c r="F279" s="2" t="s">
        <v>188</v>
      </c>
      <c r="G279" s="152" cm="1">
        <f t="array" aca="1" ref="G279" ca="1">COUNTIF(Table5[[#This Row],[September 30, 2025]:[April 7, 2026]],"Yes")/SUMPRODUCT(--(DATEVALUE(Table5[[#Headers],[September 30, 2025]:[April 9, 2026]])&lt;=TODAY()))</f>
        <v>0.05</v>
      </c>
      <c r="T279" s="151"/>
      <c r="V279" t="s">
        <v>186</v>
      </c>
      <c r="AA279" t="s">
        <v>190</v>
      </c>
    </row>
    <row r="280" spans="2:36">
      <c r="B280" s="2" t="s">
        <v>751</v>
      </c>
      <c r="C280" s="2" t="s">
        <v>752</v>
      </c>
      <c r="D280" s="2" t="str">
        <f>Table5[[#This Row],[First name]]&amp;" "&amp;Table5[[#This Row],[Last name]]</f>
        <v>Punit Guddeti</v>
      </c>
      <c r="E280" s="2" t="str">
        <f>_xlfn.XLOOKUP(Table5[[#This Row],[Full name]],Table26[Name],Table26[Role],"Member",0,1)</f>
        <v>Member</v>
      </c>
      <c r="F280" s="2" t="s">
        <v>188</v>
      </c>
      <c r="G280" s="26" cm="1">
        <f t="array" aca="1" ref="G280" ca="1">COUNTIF(Table5[[#This Row],[September 30, 2025]:[April 7, 2026]],"Yes")/SUMPRODUCT(--(DATEVALUE(Table5[[#Headers],[September 30, 2025]:[April 9, 2026]])&lt;=TODAY()))</f>
        <v>0.6</v>
      </c>
      <c r="H280" t="s">
        <v>186</v>
      </c>
      <c r="I280" t="s">
        <v>186</v>
      </c>
      <c r="J280" t="s">
        <v>186</v>
      </c>
      <c r="K280" t="s">
        <v>186</v>
      </c>
      <c r="L280" t="s">
        <v>186</v>
      </c>
      <c r="M280" t="s">
        <v>190</v>
      </c>
      <c r="N280" t="s">
        <v>190</v>
      </c>
      <c r="O280" t="s">
        <v>186</v>
      </c>
      <c r="P280" t="s">
        <v>186</v>
      </c>
      <c r="Q280" t="s">
        <v>190</v>
      </c>
      <c r="R280" t="s">
        <v>186</v>
      </c>
      <c r="S280" t="s">
        <v>186</v>
      </c>
      <c r="T280" s="151" t="s">
        <v>186</v>
      </c>
      <c r="U280" t="s">
        <v>190</v>
      </c>
      <c r="V280" t="s">
        <v>190</v>
      </c>
      <c r="W280" t="s">
        <v>190</v>
      </c>
      <c r="X280" t="s">
        <v>190</v>
      </c>
      <c r="Y280" t="s">
        <v>186</v>
      </c>
      <c r="Z280" t="s">
        <v>186</v>
      </c>
      <c r="AA280" t="s">
        <v>190</v>
      </c>
      <c r="AB280" t="s">
        <v>190</v>
      </c>
      <c r="AC280" t="s">
        <v>190</v>
      </c>
      <c r="AD280" t="s">
        <v>190</v>
      </c>
      <c r="AE280" t="s">
        <v>190</v>
      </c>
      <c r="AF280" t="s">
        <v>190</v>
      </c>
      <c r="AG280" t="s">
        <v>190</v>
      </c>
      <c r="AH280" t="s">
        <v>190</v>
      </c>
      <c r="AI280" t="s">
        <v>190</v>
      </c>
      <c r="AJ280" t="s">
        <v>190</v>
      </c>
    </row>
    <row r="281" spans="2:36">
      <c r="B281" s="2" t="s">
        <v>753</v>
      </c>
      <c r="C281" s="2" t="s">
        <v>743</v>
      </c>
      <c r="D281" s="2" t="str">
        <f>Table5[[#This Row],[First name]]&amp;" "&amp;Table5[[#This Row],[Last name]]</f>
        <v>Qingtong Hu</v>
      </c>
      <c r="E281" s="2" t="str">
        <f>_xlfn.XLOOKUP(Table5[[#This Row],[Full name]],Table26[Name],Table26[Role],"Member",0,1)</f>
        <v>Member</v>
      </c>
      <c r="F281" s="2" t="s">
        <v>188</v>
      </c>
      <c r="G281" s="26" cm="1">
        <f t="array" aca="1" ref="G281" ca="1">COUNTIF(Table5[[#This Row],[September 30, 2025]:[April 7, 2026]],"Yes")/SUMPRODUCT(--(DATEVALUE(Table5[[#Headers],[September 30, 2025]:[April 9, 2026]])&lt;=TODAY()))</f>
        <v>0.75</v>
      </c>
      <c r="H281" t="s">
        <v>186</v>
      </c>
      <c r="I281" t="s">
        <v>186</v>
      </c>
      <c r="J281" t="s">
        <v>186</v>
      </c>
      <c r="K281" t="s">
        <v>186</v>
      </c>
      <c r="L281" t="s">
        <v>186</v>
      </c>
      <c r="M281" t="s">
        <v>186</v>
      </c>
      <c r="N281" t="s">
        <v>186</v>
      </c>
      <c r="O281" t="s">
        <v>186</v>
      </c>
      <c r="P281" t="s">
        <v>186</v>
      </c>
      <c r="Q281" t="s">
        <v>186</v>
      </c>
      <c r="R281" t="s">
        <v>186</v>
      </c>
      <c r="S281" t="s">
        <v>186</v>
      </c>
      <c r="T281" s="151" t="s">
        <v>186</v>
      </c>
      <c r="U281" t="s">
        <v>190</v>
      </c>
      <c r="V281" t="s">
        <v>190</v>
      </c>
      <c r="W281" t="s">
        <v>190</v>
      </c>
      <c r="X281" t="s">
        <v>190</v>
      </c>
      <c r="Y281" t="s">
        <v>186</v>
      </c>
      <c r="Z281" t="s">
        <v>186</v>
      </c>
      <c r="AA281" t="s">
        <v>190</v>
      </c>
      <c r="AB281" t="s">
        <v>190</v>
      </c>
      <c r="AC281" t="s">
        <v>190</v>
      </c>
      <c r="AD281" t="s">
        <v>190</v>
      </c>
      <c r="AE281" t="s">
        <v>190</v>
      </c>
      <c r="AF281" t="s">
        <v>190</v>
      </c>
      <c r="AG281" t="s">
        <v>190</v>
      </c>
      <c r="AH281" t="s">
        <v>190</v>
      </c>
      <c r="AI281" t="s">
        <v>190</v>
      </c>
      <c r="AJ281" t="s">
        <v>190</v>
      </c>
    </row>
    <row r="282" spans="2:36">
      <c r="B282" s="2" t="s">
        <v>754</v>
      </c>
      <c r="C282" s="2" t="s">
        <v>755</v>
      </c>
      <c r="D282" s="2" t="str">
        <f>Table5[[#This Row],[First name]]&amp;" "&amp;Table5[[#This Row],[Last name]]</f>
        <v>Rahil Kochhar</v>
      </c>
      <c r="E282" s="2" t="str">
        <f>_xlfn.XLOOKUP(Table5[[#This Row],[Full name]],Table26[Name],Table26[Role],"Member",0,1)</f>
        <v>Member</v>
      </c>
      <c r="F282" s="2" t="s">
        <v>188</v>
      </c>
      <c r="G282" s="26" cm="1">
        <f t="array" aca="1" ref="G282" ca="1">COUNTIF(Table5[[#This Row],[September 30, 2025]:[April 7, 2026]],"Yes")/SUMPRODUCT(--(DATEVALUE(Table5[[#Headers],[September 30, 2025]:[April 9, 2026]])&lt;=TODAY()))</f>
        <v>0.45</v>
      </c>
      <c r="H282" t="s">
        <v>190</v>
      </c>
      <c r="I282" t="s">
        <v>190</v>
      </c>
      <c r="J282" t="s">
        <v>186</v>
      </c>
      <c r="K282" t="s">
        <v>190</v>
      </c>
      <c r="L282" t="s">
        <v>186</v>
      </c>
      <c r="M282" t="s">
        <v>190</v>
      </c>
      <c r="N282" t="s">
        <v>190</v>
      </c>
      <c r="O282" t="s">
        <v>186</v>
      </c>
      <c r="P282" t="s">
        <v>186</v>
      </c>
      <c r="Q282" t="s">
        <v>186</v>
      </c>
      <c r="R282" t="s">
        <v>190</v>
      </c>
      <c r="S282" t="s">
        <v>186</v>
      </c>
      <c r="T282" s="151" t="s">
        <v>186</v>
      </c>
      <c r="U282" t="s">
        <v>190</v>
      </c>
      <c r="V282" t="s">
        <v>190</v>
      </c>
      <c r="W282" t="s">
        <v>186</v>
      </c>
      <c r="X282" t="s">
        <v>190</v>
      </c>
      <c r="Y282" t="s">
        <v>190</v>
      </c>
      <c r="Z282" t="s">
        <v>190</v>
      </c>
      <c r="AA282" t="s">
        <v>186</v>
      </c>
      <c r="AB282" t="s">
        <v>190</v>
      </c>
      <c r="AC282" t="s">
        <v>190</v>
      </c>
      <c r="AD282" t="s">
        <v>190</v>
      </c>
      <c r="AE282" t="s">
        <v>190</v>
      </c>
      <c r="AF282" t="s">
        <v>190</v>
      </c>
      <c r="AG282" t="s">
        <v>190</v>
      </c>
      <c r="AH282" t="s">
        <v>190</v>
      </c>
      <c r="AI282" t="s">
        <v>190</v>
      </c>
      <c r="AJ282" t="s">
        <v>190</v>
      </c>
    </row>
    <row r="283" spans="2:36">
      <c r="B283" s="2" t="s">
        <v>756</v>
      </c>
      <c r="C283" t="s">
        <v>757</v>
      </c>
      <c r="D283" s="2" t="str">
        <f>Table5[[#This Row],[First name]]&amp;" "&amp;Table5[[#This Row],[Last name]]</f>
        <v>Rami Shafikov</v>
      </c>
      <c r="E283" s="2" t="str">
        <f>_xlfn.XLOOKUP(Table5[[#This Row],[Full name]],Table26[Name],Table26[Role],"Member",0,1)</f>
        <v>Member</v>
      </c>
      <c r="F283" s="2" t="s">
        <v>188</v>
      </c>
      <c r="G283" s="26" cm="1">
        <f t="array" aca="1" ref="G283" ca="1">COUNTIF(Table5[[#This Row],[September 30, 2025]:[April 7, 2026]],"Yes")/SUMPRODUCT(--(DATEVALUE(Table5[[#Headers],[September 30, 2025]:[April 9, 2026]])&lt;=TODAY()))</f>
        <v>0.2</v>
      </c>
      <c r="H283" t="s">
        <v>190</v>
      </c>
      <c r="I283" t="s">
        <v>190</v>
      </c>
      <c r="J283" t="s">
        <v>186</v>
      </c>
      <c r="K283" t="s">
        <v>186</v>
      </c>
      <c r="L283" t="s">
        <v>186</v>
      </c>
      <c r="M283" t="s">
        <v>190</v>
      </c>
      <c r="N283" t="s">
        <v>186</v>
      </c>
      <c r="O283" t="s">
        <v>190</v>
      </c>
      <c r="P283" t="s">
        <v>190</v>
      </c>
      <c r="Q283" t="s">
        <v>190</v>
      </c>
      <c r="R283" t="s">
        <v>190</v>
      </c>
      <c r="S283" t="s">
        <v>190</v>
      </c>
      <c r="T283" s="151" t="s">
        <v>190</v>
      </c>
      <c r="U283" t="s">
        <v>190</v>
      </c>
      <c r="V283" t="s">
        <v>190</v>
      </c>
      <c r="W283" t="s">
        <v>190</v>
      </c>
      <c r="X283" t="s">
        <v>190</v>
      </c>
      <c r="Y283" t="s">
        <v>190</v>
      </c>
      <c r="Z283" t="s">
        <v>190</v>
      </c>
      <c r="AA283" t="s">
        <v>190</v>
      </c>
      <c r="AB283" t="s">
        <v>190</v>
      </c>
      <c r="AC283" t="s">
        <v>190</v>
      </c>
      <c r="AD283" t="s">
        <v>190</v>
      </c>
      <c r="AE283" t="s">
        <v>190</v>
      </c>
      <c r="AF283" t="s">
        <v>190</v>
      </c>
      <c r="AG283" t="s">
        <v>190</v>
      </c>
      <c r="AH283" t="s">
        <v>190</v>
      </c>
      <c r="AI283" t="s">
        <v>190</v>
      </c>
      <c r="AJ283" t="s">
        <v>190</v>
      </c>
    </row>
    <row r="284" spans="2:36">
      <c r="B284" s="2" t="s">
        <v>758</v>
      </c>
      <c r="C284" s="2" t="s">
        <v>759</v>
      </c>
      <c r="D284" s="2" t="str">
        <f>Table5[[#This Row],[First name]]&amp;" "&amp;Table5[[#This Row],[Last name]]</f>
        <v>Ravekpal  Chahal</v>
      </c>
      <c r="E284" s="2" t="str">
        <f>_xlfn.XLOOKUP(Table5[[#This Row],[Full name]],Table26[Name],Table26[Role],"Member",0,1)</f>
        <v>Member</v>
      </c>
      <c r="F284" s="2"/>
      <c r="G284" s="26" cm="1">
        <f t="array" aca="1" ref="G284" ca="1">COUNTIF(Table5[[#This Row],[September 30, 2025]:[April 7, 2026]],"Yes")/SUMPRODUCT(--(DATEVALUE(Table5[[#Headers],[September 30, 2025]:[April 9, 2026]])&lt;=TODAY()))</f>
        <v>0.15</v>
      </c>
      <c r="T284" s="151" t="s">
        <v>186</v>
      </c>
      <c r="U284" t="s">
        <v>186</v>
      </c>
      <c r="V284" t="s">
        <v>190</v>
      </c>
      <c r="X284" t="s">
        <v>190</v>
      </c>
      <c r="Z284" t="s">
        <v>186</v>
      </c>
      <c r="AA284" t="s">
        <v>190</v>
      </c>
    </row>
    <row r="285" spans="2:36">
      <c r="B285" s="2" t="s">
        <v>571</v>
      </c>
      <c r="C285" s="2" t="s">
        <v>760</v>
      </c>
      <c r="D285" s="2" t="str">
        <f>Table5[[#This Row],[First name]]&amp;" "&amp;Table5[[#This Row],[Last name]]</f>
        <v>Reid Giasson</v>
      </c>
      <c r="E285" s="2" t="str">
        <f>_xlfn.XLOOKUP(Table5[[#This Row],[Full name]],Table26[Name],Table26[Role],"Member",0,1)</f>
        <v>Member</v>
      </c>
      <c r="F285" s="2" t="s">
        <v>188</v>
      </c>
      <c r="G285" s="26" cm="1">
        <f t="array" aca="1" ref="G285" ca="1">COUNTIF(Table5[[#This Row],[September 30, 2025]:[April 7, 2026]],"Yes")/SUMPRODUCT(--(DATEVALUE(Table5[[#Headers],[September 30, 2025]:[April 9, 2026]])&lt;=TODAY()))</f>
        <v>0</v>
      </c>
      <c r="H285" t="s">
        <v>190</v>
      </c>
      <c r="I285" t="s">
        <v>190</v>
      </c>
      <c r="J285" t="s">
        <v>190</v>
      </c>
      <c r="K285" t="s">
        <v>190</v>
      </c>
      <c r="L285" t="s">
        <v>190</v>
      </c>
      <c r="M285" t="s">
        <v>190</v>
      </c>
      <c r="N285" t="s">
        <v>190</v>
      </c>
      <c r="O285" t="s">
        <v>190</v>
      </c>
      <c r="P285" t="s">
        <v>190</v>
      </c>
      <c r="Q285" t="s">
        <v>190</v>
      </c>
      <c r="R285" t="s">
        <v>190</v>
      </c>
      <c r="S285" t="s">
        <v>190</v>
      </c>
      <c r="T285" s="151" t="s">
        <v>190</v>
      </c>
      <c r="U285" t="s">
        <v>190</v>
      </c>
      <c r="V285" t="s">
        <v>190</v>
      </c>
      <c r="W285" t="s">
        <v>190</v>
      </c>
      <c r="X285" t="s">
        <v>190</v>
      </c>
      <c r="Y285" t="s">
        <v>190</v>
      </c>
      <c r="Z285" t="s">
        <v>190</v>
      </c>
      <c r="AA285" t="s">
        <v>190</v>
      </c>
      <c r="AB285" t="s">
        <v>190</v>
      </c>
      <c r="AC285" t="s">
        <v>190</v>
      </c>
      <c r="AD285" t="s">
        <v>190</v>
      </c>
      <c r="AE285" t="s">
        <v>190</v>
      </c>
      <c r="AF285" t="s">
        <v>190</v>
      </c>
      <c r="AG285" t="s">
        <v>190</v>
      </c>
      <c r="AH285" t="s">
        <v>190</v>
      </c>
      <c r="AI285" t="s">
        <v>190</v>
      </c>
      <c r="AJ285" t="s">
        <v>190</v>
      </c>
    </row>
    <row r="286" spans="2:36">
      <c r="B286" s="2" t="s">
        <v>407</v>
      </c>
      <c r="C286" s="2" t="s">
        <v>761</v>
      </c>
      <c r="D286" s="2" t="str">
        <f>Table5[[#This Row],[First name]]&amp;" "&amp;Table5[[#This Row],[Last name]]</f>
        <v>Richard Ge</v>
      </c>
      <c r="E286" s="2" t="str">
        <f>_xlfn.XLOOKUP(Table5[[#This Row],[Full name]],Table26[Name],Table26[Role],"Member",0,1)</f>
        <v>Member</v>
      </c>
      <c r="F286" s="2" t="s">
        <v>188</v>
      </c>
      <c r="G286" s="26" cm="1">
        <f t="array" aca="1" ref="G286" ca="1">COUNTIF(Table5[[#This Row],[September 30, 2025]:[April 7, 2026]],"Yes")/SUMPRODUCT(--(DATEVALUE(Table5[[#Headers],[September 30, 2025]:[April 9, 2026]])&lt;=TODAY()))</f>
        <v>0.15</v>
      </c>
      <c r="H286" t="s">
        <v>186</v>
      </c>
      <c r="I286" t="s">
        <v>190</v>
      </c>
      <c r="J286" t="s">
        <v>186</v>
      </c>
      <c r="K286" t="s">
        <v>190</v>
      </c>
      <c r="L286" t="s">
        <v>190</v>
      </c>
      <c r="M286" t="s">
        <v>190</v>
      </c>
      <c r="N286" t="s">
        <v>186</v>
      </c>
      <c r="O286" t="s">
        <v>190</v>
      </c>
      <c r="P286" t="s">
        <v>190</v>
      </c>
      <c r="Q286" t="s">
        <v>190</v>
      </c>
      <c r="R286" t="s">
        <v>190</v>
      </c>
      <c r="S286" t="s">
        <v>190</v>
      </c>
      <c r="T286" s="151" t="s">
        <v>190</v>
      </c>
      <c r="U286" t="s">
        <v>190</v>
      </c>
      <c r="V286" t="s">
        <v>190</v>
      </c>
      <c r="W286" t="s">
        <v>190</v>
      </c>
      <c r="X286" t="s">
        <v>190</v>
      </c>
      <c r="Y286" t="s">
        <v>190</v>
      </c>
      <c r="Z286" t="s">
        <v>190</v>
      </c>
      <c r="AA286" t="s">
        <v>190</v>
      </c>
      <c r="AB286" t="s">
        <v>190</v>
      </c>
      <c r="AC286" t="s">
        <v>190</v>
      </c>
      <c r="AD286" t="s">
        <v>190</v>
      </c>
      <c r="AE286" t="s">
        <v>190</v>
      </c>
      <c r="AF286" t="s">
        <v>190</v>
      </c>
      <c r="AG286" t="s">
        <v>190</v>
      </c>
      <c r="AH286" t="s">
        <v>190</v>
      </c>
      <c r="AI286" t="s">
        <v>190</v>
      </c>
      <c r="AJ286" t="s">
        <v>190</v>
      </c>
    </row>
    <row r="287" spans="2:36">
      <c r="B287" s="2" t="s">
        <v>407</v>
      </c>
      <c r="C287" s="2" t="s">
        <v>762</v>
      </c>
      <c r="D287" s="2" t="str">
        <f>Table5[[#This Row],[First name]]&amp;" "&amp;Table5[[#This Row],[Last name]]</f>
        <v>Richard Sonibare</v>
      </c>
      <c r="E287" s="2" t="str">
        <f>_xlfn.XLOOKUP(Table5[[#This Row],[Full name]],Table26[Name],Table26[Role],"Member",0,1)</f>
        <v>Member</v>
      </c>
      <c r="F287" s="2" t="s">
        <v>188</v>
      </c>
      <c r="G287" s="26" cm="1">
        <f t="array" aca="1" ref="G287" ca="1">COUNTIF(Table5[[#This Row],[September 30, 2025]:[April 7, 2026]],"Yes")/SUMPRODUCT(--(DATEVALUE(Table5[[#Headers],[September 30, 2025]:[April 9, 2026]])&lt;=TODAY()))</f>
        <v>0.05</v>
      </c>
      <c r="H287" t="s">
        <v>190</v>
      </c>
      <c r="I287" t="s">
        <v>190</v>
      </c>
      <c r="J287" t="s">
        <v>186</v>
      </c>
      <c r="K287" t="s">
        <v>190</v>
      </c>
      <c r="L287" t="s">
        <v>190</v>
      </c>
      <c r="M287" t="s">
        <v>190</v>
      </c>
      <c r="N287" t="s">
        <v>190</v>
      </c>
      <c r="O287" t="s">
        <v>190</v>
      </c>
      <c r="P287" t="s">
        <v>190</v>
      </c>
      <c r="Q287" t="s">
        <v>190</v>
      </c>
      <c r="R287" t="s">
        <v>190</v>
      </c>
      <c r="S287" t="s">
        <v>190</v>
      </c>
      <c r="T287" s="151" t="s">
        <v>190</v>
      </c>
      <c r="U287" t="s">
        <v>190</v>
      </c>
      <c r="V287" t="s">
        <v>190</v>
      </c>
      <c r="W287" t="s">
        <v>190</v>
      </c>
      <c r="X287" t="s">
        <v>190</v>
      </c>
      <c r="Y287" t="s">
        <v>190</v>
      </c>
      <c r="Z287" t="s">
        <v>190</v>
      </c>
      <c r="AA287" t="s">
        <v>190</v>
      </c>
      <c r="AB287" t="s">
        <v>190</v>
      </c>
      <c r="AC287" t="s">
        <v>190</v>
      </c>
      <c r="AD287" t="s">
        <v>190</v>
      </c>
      <c r="AE287" t="s">
        <v>190</v>
      </c>
      <c r="AF287" t="s">
        <v>190</v>
      </c>
      <c r="AG287" t="s">
        <v>190</v>
      </c>
      <c r="AH287" t="s">
        <v>190</v>
      </c>
      <c r="AI287" t="s">
        <v>190</v>
      </c>
      <c r="AJ287" t="s">
        <v>190</v>
      </c>
    </row>
    <row r="288" spans="2:36">
      <c r="B288" s="2" t="s">
        <v>763</v>
      </c>
      <c r="C288" s="2" t="s">
        <v>764</v>
      </c>
      <c r="D288" s="2" t="str">
        <f>Table5[[#This Row],[First name]]&amp;" "&amp;Table5[[#This Row],[Last name]]</f>
        <v>Rishi Bhaskara</v>
      </c>
      <c r="E288" s="2" t="str">
        <f>_xlfn.XLOOKUP(Table5[[#This Row],[Full name]],Table26[Name],Table26[Role],"Member",0,1)</f>
        <v>Member</v>
      </c>
      <c r="F288" s="2" t="s">
        <v>188</v>
      </c>
      <c r="G288" s="26" cm="1">
        <f t="array" aca="1" ref="G288" ca="1">COUNTIF(Table5[[#This Row],[September 30, 2025]:[April 7, 2026]],"Yes")/SUMPRODUCT(--(DATEVALUE(Table5[[#Headers],[September 30, 2025]:[April 9, 2026]])&lt;=TODAY()))</f>
        <v>0.05</v>
      </c>
      <c r="H288" t="s">
        <v>186</v>
      </c>
      <c r="I288" t="s">
        <v>190</v>
      </c>
      <c r="J288" t="s">
        <v>190</v>
      </c>
      <c r="K288" t="s">
        <v>190</v>
      </c>
      <c r="L288" t="s">
        <v>190</v>
      </c>
      <c r="M288" t="s">
        <v>190</v>
      </c>
      <c r="N288" t="s">
        <v>190</v>
      </c>
      <c r="O288" t="s">
        <v>190</v>
      </c>
      <c r="P288" t="s">
        <v>190</v>
      </c>
      <c r="Q288" t="s">
        <v>190</v>
      </c>
      <c r="R288" t="s">
        <v>190</v>
      </c>
      <c r="S288" t="s">
        <v>190</v>
      </c>
      <c r="T288" s="151" t="s">
        <v>190</v>
      </c>
      <c r="U288" t="s">
        <v>190</v>
      </c>
      <c r="V288" t="s">
        <v>190</v>
      </c>
      <c r="W288" t="s">
        <v>190</v>
      </c>
      <c r="X288" t="s">
        <v>190</v>
      </c>
      <c r="Y288" t="s">
        <v>190</v>
      </c>
      <c r="Z288" t="s">
        <v>190</v>
      </c>
      <c r="AA288" t="s">
        <v>190</v>
      </c>
      <c r="AB288" t="s">
        <v>190</v>
      </c>
      <c r="AC288" t="s">
        <v>190</v>
      </c>
      <c r="AD288" t="s">
        <v>190</v>
      </c>
      <c r="AE288" t="s">
        <v>190</v>
      </c>
      <c r="AF288" t="s">
        <v>190</v>
      </c>
      <c r="AG288" t="s">
        <v>190</v>
      </c>
      <c r="AH288" t="s">
        <v>190</v>
      </c>
      <c r="AI288" t="s">
        <v>190</v>
      </c>
      <c r="AJ288" t="s">
        <v>190</v>
      </c>
    </row>
    <row r="289" spans="2:36">
      <c r="B289" s="2" t="s">
        <v>765</v>
      </c>
      <c r="C289" s="2" t="s">
        <v>625</v>
      </c>
      <c r="D289" s="2" t="str">
        <f>Table5[[#This Row],[First name]]&amp;" "&amp;Table5[[#This Row],[Last name]]</f>
        <v>River Jiang</v>
      </c>
      <c r="E289" s="2" t="str">
        <f>_xlfn.XLOOKUP(Table5[[#This Row],[Full name]],Table26[Name],Table26[Role],"Member",0,1)</f>
        <v>Member</v>
      </c>
      <c r="F289" s="2" t="s">
        <v>188</v>
      </c>
      <c r="G289" s="26" cm="1">
        <f t="array" aca="1" ref="G289" ca="1">COUNTIF(Table5[[#This Row],[September 30, 2025]:[April 7, 2026]],"Yes")/SUMPRODUCT(--(DATEVALUE(Table5[[#Headers],[September 30, 2025]:[April 9, 2026]])&lt;=TODAY()))</f>
        <v>0.75</v>
      </c>
      <c r="H289" t="s">
        <v>186</v>
      </c>
      <c r="I289" t="s">
        <v>186</v>
      </c>
      <c r="J289" t="s">
        <v>186</v>
      </c>
      <c r="K289" t="s">
        <v>190</v>
      </c>
      <c r="L289" t="s">
        <v>186</v>
      </c>
      <c r="M289" t="s">
        <v>186</v>
      </c>
      <c r="N289" t="s">
        <v>186</v>
      </c>
      <c r="O289" t="s">
        <v>186</v>
      </c>
      <c r="P289" t="s">
        <v>186</v>
      </c>
      <c r="Q289" t="s">
        <v>186</v>
      </c>
      <c r="R289" t="s">
        <v>186</v>
      </c>
      <c r="S289" t="s">
        <v>190</v>
      </c>
      <c r="T289" s="151" t="s">
        <v>186</v>
      </c>
      <c r="U289" t="s">
        <v>186</v>
      </c>
      <c r="V289" t="s">
        <v>186</v>
      </c>
      <c r="W289" t="s">
        <v>190</v>
      </c>
      <c r="X289" t="s">
        <v>186</v>
      </c>
      <c r="Y289" t="s">
        <v>186</v>
      </c>
      <c r="Z289" t="s">
        <v>190</v>
      </c>
      <c r="AA289" t="s">
        <v>190</v>
      </c>
      <c r="AB289" t="s">
        <v>190</v>
      </c>
      <c r="AC289" t="s">
        <v>190</v>
      </c>
      <c r="AD289" t="s">
        <v>190</v>
      </c>
      <c r="AE289" t="s">
        <v>190</v>
      </c>
      <c r="AF289" t="s">
        <v>190</v>
      </c>
      <c r="AG289" t="s">
        <v>190</v>
      </c>
      <c r="AH289" t="s">
        <v>190</v>
      </c>
      <c r="AI289" t="s">
        <v>190</v>
      </c>
      <c r="AJ289" t="s">
        <v>190</v>
      </c>
    </row>
    <row r="290" spans="2:36">
      <c r="B290" s="2" t="s">
        <v>766</v>
      </c>
      <c r="C290" s="2" t="s">
        <v>767</v>
      </c>
      <c r="D290" s="2" t="str">
        <f>Table5[[#This Row],[First name]]&amp;" "&amp;Table5[[#This Row],[Last name]]</f>
        <v>Robert Tomicic II</v>
      </c>
      <c r="E290" s="2" t="str">
        <f>_xlfn.XLOOKUP(Table5[[#This Row],[Full name]],Table26[Name],Table26[Role],"Member",0,1)</f>
        <v>Member</v>
      </c>
      <c r="F290" s="2" t="s">
        <v>188</v>
      </c>
      <c r="G290" s="26" cm="1">
        <f t="array" aca="1" ref="G290" ca="1">COUNTIF(Table5[[#This Row],[September 30, 2025]:[April 7, 2026]],"Yes")/SUMPRODUCT(--(DATEVALUE(Table5[[#Headers],[September 30, 2025]:[April 9, 2026]])&lt;=TODAY()))</f>
        <v>0.15</v>
      </c>
      <c r="H290" t="s">
        <v>186</v>
      </c>
      <c r="I290" t="s">
        <v>186</v>
      </c>
      <c r="J290" t="s">
        <v>190</v>
      </c>
      <c r="K290" t="s">
        <v>186</v>
      </c>
      <c r="L290" t="s">
        <v>190</v>
      </c>
      <c r="M290" t="s">
        <v>190</v>
      </c>
      <c r="N290" t="s">
        <v>190</v>
      </c>
      <c r="O290" t="s">
        <v>190</v>
      </c>
      <c r="P290" t="s">
        <v>190</v>
      </c>
      <c r="Q290" t="s">
        <v>190</v>
      </c>
      <c r="R290" t="s">
        <v>190</v>
      </c>
      <c r="S290" t="s">
        <v>190</v>
      </c>
      <c r="T290" s="151" t="s">
        <v>190</v>
      </c>
      <c r="U290" t="s">
        <v>190</v>
      </c>
      <c r="V290" t="s">
        <v>190</v>
      </c>
      <c r="W290" t="s">
        <v>190</v>
      </c>
      <c r="X290" t="s">
        <v>190</v>
      </c>
      <c r="Y290" t="s">
        <v>190</v>
      </c>
      <c r="Z290" t="s">
        <v>190</v>
      </c>
      <c r="AA290" t="s">
        <v>190</v>
      </c>
      <c r="AB290" t="s">
        <v>190</v>
      </c>
      <c r="AC290" t="s">
        <v>190</v>
      </c>
      <c r="AD290" t="s">
        <v>190</v>
      </c>
      <c r="AE290" t="s">
        <v>190</v>
      </c>
      <c r="AF290" t="s">
        <v>190</v>
      </c>
      <c r="AG290" t="s">
        <v>190</v>
      </c>
      <c r="AH290" t="s">
        <v>190</v>
      </c>
      <c r="AI290" t="s">
        <v>190</v>
      </c>
      <c r="AJ290" t="s">
        <v>190</v>
      </c>
    </row>
    <row r="291" spans="2:36">
      <c r="B291" s="2" t="s">
        <v>768</v>
      </c>
      <c r="C291" s="2" t="s">
        <v>769</v>
      </c>
      <c r="D291" s="2" t="str">
        <f>Table5[[#This Row],[First name]]&amp;" "&amp;Table5[[#This Row],[Last name]]</f>
        <v>Rocco Le Donne</v>
      </c>
      <c r="E291" s="2" t="str">
        <f>_xlfn.XLOOKUP(Table5[[#This Row],[Full name]],Table26[Name],Table26[Role],"Member",0,1)</f>
        <v>Member</v>
      </c>
      <c r="F291" s="2" t="s">
        <v>188</v>
      </c>
      <c r="G291" s="26" cm="1">
        <f t="array" aca="1" ref="G291" ca="1">COUNTIF(Table5[[#This Row],[September 30, 2025]:[April 7, 2026]],"Yes")/SUMPRODUCT(--(DATEVALUE(Table5[[#Headers],[September 30, 2025]:[April 9, 2026]])&lt;=TODAY()))</f>
        <v>0</v>
      </c>
      <c r="H291" t="s">
        <v>190</v>
      </c>
      <c r="I291" t="s">
        <v>190</v>
      </c>
      <c r="J291" t="s">
        <v>190</v>
      </c>
      <c r="K291" t="s">
        <v>190</v>
      </c>
      <c r="L291" t="s">
        <v>190</v>
      </c>
      <c r="M291" t="s">
        <v>190</v>
      </c>
      <c r="N291" t="s">
        <v>190</v>
      </c>
      <c r="O291" t="s">
        <v>190</v>
      </c>
      <c r="P291" t="s">
        <v>190</v>
      </c>
      <c r="Q291" t="s">
        <v>190</v>
      </c>
      <c r="R291" t="s">
        <v>190</v>
      </c>
      <c r="S291" t="s">
        <v>190</v>
      </c>
      <c r="T291" s="151" t="s">
        <v>190</v>
      </c>
      <c r="U291" t="s">
        <v>190</v>
      </c>
      <c r="V291" t="s">
        <v>190</v>
      </c>
      <c r="W291" t="s">
        <v>190</v>
      </c>
      <c r="X291" t="s">
        <v>190</v>
      </c>
      <c r="Y291" t="s">
        <v>190</v>
      </c>
      <c r="Z291" t="s">
        <v>190</v>
      </c>
      <c r="AA291" t="s">
        <v>190</v>
      </c>
      <c r="AB291" t="s">
        <v>190</v>
      </c>
      <c r="AC291" t="s">
        <v>190</v>
      </c>
      <c r="AD291" t="s">
        <v>190</v>
      </c>
      <c r="AE291" t="s">
        <v>190</v>
      </c>
      <c r="AF291" t="s">
        <v>190</v>
      </c>
      <c r="AG291" t="s">
        <v>190</v>
      </c>
      <c r="AH291" t="s">
        <v>190</v>
      </c>
      <c r="AI291" t="s">
        <v>190</v>
      </c>
      <c r="AJ291" t="s">
        <v>190</v>
      </c>
    </row>
    <row r="292" spans="2:36">
      <c r="B292" s="2" t="s">
        <v>339</v>
      </c>
      <c r="C292" s="2" t="s">
        <v>666</v>
      </c>
      <c r="D292" s="2" t="str">
        <f>Table5[[#This Row],[First name]]&amp;" "&amp;Table5[[#This Row],[Last name]]</f>
        <v>Rohan Mehta</v>
      </c>
      <c r="E292" s="2" t="str">
        <f>_xlfn.XLOOKUP(Table5[[#This Row],[Full name]],Table26[Name],Table26[Role],"Member",0,1)</f>
        <v>Member</v>
      </c>
      <c r="F292" s="2" t="s">
        <v>188</v>
      </c>
      <c r="G292" s="26" cm="1">
        <f t="array" aca="1" ref="G292" ca="1">COUNTIF(Table5[[#This Row],[September 30, 2025]:[April 7, 2026]],"Yes")/SUMPRODUCT(--(DATEVALUE(Table5[[#Headers],[September 30, 2025]:[April 9, 2026]])&lt;=TODAY()))</f>
        <v>0.05</v>
      </c>
      <c r="H292" t="s">
        <v>190</v>
      </c>
      <c r="I292" t="s">
        <v>190</v>
      </c>
      <c r="J292" t="s">
        <v>190</v>
      </c>
      <c r="K292" t="s">
        <v>190</v>
      </c>
      <c r="L292" t="s">
        <v>190</v>
      </c>
      <c r="M292" t="s">
        <v>190</v>
      </c>
      <c r="N292" t="s">
        <v>190</v>
      </c>
      <c r="O292" t="s">
        <v>190</v>
      </c>
      <c r="P292" t="s">
        <v>186</v>
      </c>
      <c r="Q292" t="s">
        <v>190</v>
      </c>
      <c r="R292" t="s">
        <v>190</v>
      </c>
      <c r="S292" t="s">
        <v>190</v>
      </c>
      <c r="T292" s="151" t="s">
        <v>190</v>
      </c>
      <c r="U292" t="s">
        <v>190</v>
      </c>
      <c r="V292" t="s">
        <v>190</v>
      </c>
      <c r="W292" t="s">
        <v>190</v>
      </c>
      <c r="X292" t="s">
        <v>190</v>
      </c>
      <c r="Y292" t="s">
        <v>190</v>
      </c>
      <c r="Z292" t="s">
        <v>190</v>
      </c>
      <c r="AA292" t="s">
        <v>190</v>
      </c>
      <c r="AB292" t="s">
        <v>190</v>
      </c>
      <c r="AC292" t="s">
        <v>190</v>
      </c>
      <c r="AD292" t="s">
        <v>190</v>
      </c>
      <c r="AE292" t="s">
        <v>190</v>
      </c>
      <c r="AF292" t="s">
        <v>190</v>
      </c>
      <c r="AG292" t="s">
        <v>190</v>
      </c>
      <c r="AH292" t="s">
        <v>190</v>
      </c>
      <c r="AI292" t="s">
        <v>190</v>
      </c>
      <c r="AJ292" t="s">
        <v>190</v>
      </c>
    </row>
    <row r="293" spans="2:36">
      <c r="B293" s="2" t="s">
        <v>770</v>
      </c>
      <c r="C293" s="2" t="s">
        <v>771</v>
      </c>
      <c r="D293" s="2" t="str">
        <f>Table5[[#This Row],[First name]]&amp;" "&amp;Table5[[#This Row],[Last name]]</f>
        <v>Rohum Zaman</v>
      </c>
      <c r="E293" s="2" t="str">
        <f>_xlfn.XLOOKUP(Table5[[#This Row],[Full name]],Table26[Name],Table26[Role],"Member",0,1)</f>
        <v>Member</v>
      </c>
      <c r="F293" s="2" t="s">
        <v>188</v>
      </c>
      <c r="G293" s="26" cm="1">
        <f t="array" aca="1" ref="G293" ca="1">COUNTIF(Table5[[#This Row],[September 30, 2025]:[April 7, 2026]],"Yes")/SUMPRODUCT(--(DATEVALUE(Table5[[#Headers],[September 30, 2025]:[April 9, 2026]])&lt;=TODAY()))</f>
        <v>0</v>
      </c>
      <c r="H293" t="s">
        <v>190</v>
      </c>
      <c r="I293" t="s">
        <v>190</v>
      </c>
      <c r="J293" t="s">
        <v>190</v>
      </c>
      <c r="K293" t="s">
        <v>190</v>
      </c>
      <c r="L293" t="s">
        <v>190</v>
      </c>
      <c r="M293" t="s">
        <v>190</v>
      </c>
      <c r="N293" t="s">
        <v>190</v>
      </c>
      <c r="O293" t="s">
        <v>190</v>
      </c>
      <c r="P293" t="s">
        <v>190</v>
      </c>
      <c r="Q293" t="s">
        <v>190</v>
      </c>
      <c r="R293" t="s">
        <v>190</v>
      </c>
      <c r="S293" t="s">
        <v>190</v>
      </c>
      <c r="T293" s="151" t="s">
        <v>190</v>
      </c>
      <c r="U293" t="s">
        <v>190</v>
      </c>
      <c r="V293" t="s">
        <v>190</v>
      </c>
      <c r="W293" t="s">
        <v>190</v>
      </c>
      <c r="X293" t="s">
        <v>190</v>
      </c>
      <c r="Y293" t="s">
        <v>190</v>
      </c>
      <c r="Z293" t="s">
        <v>190</v>
      </c>
      <c r="AA293" t="s">
        <v>190</v>
      </c>
      <c r="AB293" t="s">
        <v>190</v>
      </c>
      <c r="AC293" t="s">
        <v>190</v>
      </c>
      <c r="AD293" t="s">
        <v>190</v>
      </c>
      <c r="AE293" t="s">
        <v>190</v>
      </c>
      <c r="AF293" t="s">
        <v>190</v>
      </c>
      <c r="AG293" t="s">
        <v>190</v>
      </c>
      <c r="AH293" t="s">
        <v>190</v>
      </c>
      <c r="AI293" t="s">
        <v>190</v>
      </c>
      <c r="AJ293" t="s">
        <v>190</v>
      </c>
    </row>
    <row r="294" spans="2:36">
      <c r="B294" s="2" t="s">
        <v>772</v>
      </c>
      <c r="C294" s="2" t="s">
        <v>773</v>
      </c>
      <c r="D294" s="2" t="str">
        <f>Table5[[#This Row],[First name]]&amp;" "&amp;Table5[[#This Row],[Last name]]</f>
        <v>Romina Tabesh</v>
      </c>
      <c r="E294" s="2" t="str">
        <f>_xlfn.XLOOKUP(Table5[[#This Row],[Full name]],Table26[Name],Table26[Role],"Member",0,1)</f>
        <v>Member</v>
      </c>
      <c r="F294" s="2" t="s">
        <v>188</v>
      </c>
      <c r="G294" s="26" cm="1">
        <f t="array" aca="1" ref="G294" ca="1">COUNTIF(Table5[[#This Row],[September 30, 2025]:[April 7, 2026]],"Yes")/SUMPRODUCT(--(DATEVALUE(Table5[[#Headers],[September 30, 2025]:[April 9, 2026]])&lt;=TODAY()))</f>
        <v>0.05</v>
      </c>
      <c r="H294" t="s">
        <v>190</v>
      </c>
      <c r="I294" t="s">
        <v>186</v>
      </c>
      <c r="J294" t="s">
        <v>190</v>
      </c>
      <c r="K294" t="s">
        <v>190</v>
      </c>
      <c r="L294" t="s">
        <v>190</v>
      </c>
      <c r="M294" t="s">
        <v>190</v>
      </c>
      <c r="N294" t="s">
        <v>190</v>
      </c>
      <c r="O294" t="s">
        <v>190</v>
      </c>
      <c r="P294" t="s">
        <v>190</v>
      </c>
      <c r="Q294" t="s">
        <v>190</v>
      </c>
      <c r="R294" t="s">
        <v>190</v>
      </c>
      <c r="S294" t="s">
        <v>190</v>
      </c>
      <c r="T294" s="151" t="s">
        <v>190</v>
      </c>
      <c r="U294" t="s">
        <v>190</v>
      </c>
      <c r="V294" t="s">
        <v>190</v>
      </c>
      <c r="W294" t="s">
        <v>190</v>
      </c>
      <c r="X294" t="s">
        <v>190</v>
      </c>
      <c r="Y294" t="s">
        <v>190</v>
      </c>
      <c r="Z294" t="s">
        <v>190</v>
      </c>
      <c r="AA294" t="s">
        <v>190</v>
      </c>
      <c r="AB294" t="s">
        <v>190</v>
      </c>
      <c r="AC294" t="s">
        <v>190</v>
      </c>
      <c r="AD294" t="s">
        <v>190</v>
      </c>
      <c r="AE294" t="s">
        <v>190</v>
      </c>
      <c r="AF294" t="s">
        <v>190</v>
      </c>
      <c r="AG294" t="s">
        <v>190</v>
      </c>
      <c r="AH294" t="s">
        <v>190</v>
      </c>
      <c r="AI294" t="s">
        <v>190</v>
      </c>
      <c r="AJ294" t="s">
        <v>190</v>
      </c>
    </row>
    <row r="295" spans="2:36">
      <c r="B295" s="2" t="s">
        <v>774</v>
      </c>
      <c r="C295" s="2" t="s">
        <v>775</v>
      </c>
      <c r="D295" s="2" t="str">
        <f>Table5[[#This Row],[First name]]&amp;" "&amp;Table5[[#This Row],[Last name]]</f>
        <v>Rui Xi Qiu</v>
      </c>
      <c r="E295" s="2" t="str">
        <f>_xlfn.XLOOKUP(Table5[[#This Row],[Full name]],Table26[Name],Table26[Role],"Member",0,1)</f>
        <v>Member</v>
      </c>
      <c r="F295" s="2" t="s">
        <v>188</v>
      </c>
      <c r="G295" s="26" cm="1">
        <f t="array" aca="1" ref="G295" ca="1">COUNTIF(Table5[[#This Row],[September 30, 2025]:[April 7, 2026]],"Yes")/SUMPRODUCT(--(DATEVALUE(Table5[[#Headers],[September 30, 2025]:[April 9, 2026]])&lt;=TODAY()))</f>
        <v>0.2</v>
      </c>
      <c r="H295" t="s">
        <v>186</v>
      </c>
      <c r="I295" t="s">
        <v>190</v>
      </c>
      <c r="J295" t="s">
        <v>190</v>
      </c>
      <c r="K295" t="s">
        <v>190</v>
      </c>
      <c r="L295" t="s">
        <v>190</v>
      </c>
      <c r="M295" t="s">
        <v>190</v>
      </c>
      <c r="N295" t="s">
        <v>190</v>
      </c>
      <c r="O295" t="s">
        <v>186</v>
      </c>
      <c r="P295" t="s">
        <v>186</v>
      </c>
      <c r="Q295" t="s">
        <v>190</v>
      </c>
      <c r="R295" t="s">
        <v>186</v>
      </c>
      <c r="S295" t="s">
        <v>190</v>
      </c>
      <c r="T295" s="151" t="s">
        <v>190</v>
      </c>
      <c r="U295" t="s">
        <v>190</v>
      </c>
      <c r="V295" t="s">
        <v>190</v>
      </c>
      <c r="W295" t="s">
        <v>190</v>
      </c>
      <c r="X295" t="s">
        <v>190</v>
      </c>
      <c r="Y295" t="s">
        <v>190</v>
      </c>
      <c r="Z295" t="s">
        <v>190</v>
      </c>
      <c r="AA295" t="s">
        <v>190</v>
      </c>
      <c r="AB295" t="s">
        <v>190</v>
      </c>
      <c r="AC295" t="s">
        <v>190</v>
      </c>
      <c r="AD295" t="s">
        <v>190</v>
      </c>
      <c r="AE295" t="s">
        <v>190</v>
      </c>
      <c r="AF295" t="s">
        <v>190</v>
      </c>
      <c r="AG295" t="s">
        <v>190</v>
      </c>
      <c r="AH295" t="s">
        <v>190</v>
      </c>
      <c r="AI295" t="s">
        <v>190</v>
      </c>
      <c r="AJ295" t="s">
        <v>190</v>
      </c>
    </row>
    <row r="296" spans="2:36">
      <c r="B296" s="2" t="s">
        <v>303</v>
      </c>
      <c r="C296" s="2" t="s">
        <v>776</v>
      </c>
      <c r="D296" s="2" t="str">
        <f>Table5[[#This Row],[First name]]&amp;" "&amp;Table5[[#This Row],[Last name]]</f>
        <v>Ryan Morrison</v>
      </c>
      <c r="E296" s="2" t="str">
        <f>_xlfn.XLOOKUP(Table5[[#This Row],[Full name]],Table26[Name],Table26[Role],"Member",0,1)</f>
        <v>Member</v>
      </c>
      <c r="F296" s="2" t="s">
        <v>188</v>
      </c>
      <c r="G296" s="26" cm="1">
        <f t="array" aca="1" ref="G296" ca="1">COUNTIF(Table5[[#This Row],[September 30, 2025]:[April 7, 2026]],"Yes")/SUMPRODUCT(--(DATEVALUE(Table5[[#Headers],[September 30, 2025]:[April 9, 2026]])&lt;=TODAY()))</f>
        <v>0.1</v>
      </c>
      <c r="H296" t="s">
        <v>190</v>
      </c>
      <c r="I296" t="s">
        <v>190</v>
      </c>
      <c r="J296" t="s">
        <v>186</v>
      </c>
      <c r="K296" t="s">
        <v>190</v>
      </c>
      <c r="L296" t="s">
        <v>190</v>
      </c>
      <c r="M296" t="s">
        <v>190</v>
      </c>
      <c r="N296" t="s">
        <v>190</v>
      </c>
      <c r="O296" t="s">
        <v>190</v>
      </c>
      <c r="P296" t="s">
        <v>190</v>
      </c>
      <c r="Q296" t="s">
        <v>190</v>
      </c>
      <c r="R296" t="s">
        <v>190</v>
      </c>
      <c r="S296" t="s">
        <v>190</v>
      </c>
      <c r="T296" s="151" t="s">
        <v>190</v>
      </c>
      <c r="U296" t="s">
        <v>190</v>
      </c>
      <c r="V296" t="s">
        <v>190</v>
      </c>
      <c r="W296" t="s">
        <v>190</v>
      </c>
      <c r="X296" t="s">
        <v>190</v>
      </c>
      <c r="Y296" t="s">
        <v>186</v>
      </c>
      <c r="Z296" t="s">
        <v>190</v>
      </c>
      <c r="AA296" t="s">
        <v>190</v>
      </c>
      <c r="AB296" t="s">
        <v>190</v>
      </c>
      <c r="AC296" t="s">
        <v>190</v>
      </c>
      <c r="AD296" t="s">
        <v>190</v>
      </c>
      <c r="AE296" t="s">
        <v>190</v>
      </c>
      <c r="AF296" t="s">
        <v>190</v>
      </c>
      <c r="AG296" t="s">
        <v>190</v>
      </c>
      <c r="AH296" t="s">
        <v>190</v>
      </c>
      <c r="AI296" t="s">
        <v>190</v>
      </c>
      <c r="AJ296" t="s">
        <v>190</v>
      </c>
    </row>
    <row r="297" spans="2:36">
      <c r="B297" s="2" t="s">
        <v>303</v>
      </c>
      <c r="C297" s="2" t="s">
        <v>777</v>
      </c>
      <c r="D297" s="2" t="str">
        <f>Table5[[#This Row],[First name]]&amp;" "&amp;Table5[[#This Row],[Last name]]</f>
        <v>Ryan Qian</v>
      </c>
      <c r="E297" s="2" t="str">
        <f>_xlfn.XLOOKUP(Table5[[#This Row],[Full name]],Table26[Name],Table26[Role],"Member",0,1)</f>
        <v>Member</v>
      </c>
      <c r="F297" s="2" t="s">
        <v>188</v>
      </c>
      <c r="G297" s="26" cm="1">
        <f t="array" aca="1" ref="G297" ca="1">COUNTIF(Table5[[#This Row],[September 30, 2025]:[April 7, 2026]],"Yes")/SUMPRODUCT(--(DATEVALUE(Table5[[#Headers],[September 30, 2025]:[April 9, 2026]])&lt;=TODAY()))</f>
        <v>0.15</v>
      </c>
      <c r="N297" t="s">
        <v>186</v>
      </c>
      <c r="P297" t="s">
        <v>190</v>
      </c>
      <c r="Q297" t="s">
        <v>190</v>
      </c>
      <c r="R297" t="s">
        <v>190</v>
      </c>
      <c r="S297" t="s">
        <v>190</v>
      </c>
      <c r="T297" s="151" t="s">
        <v>190</v>
      </c>
      <c r="U297" t="s">
        <v>190</v>
      </c>
      <c r="V297" t="s">
        <v>186</v>
      </c>
      <c r="W297" t="s">
        <v>190</v>
      </c>
      <c r="X297" t="s">
        <v>190</v>
      </c>
      <c r="Y297" t="s">
        <v>186</v>
      </c>
      <c r="Z297" t="s">
        <v>190</v>
      </c>
      <c r="AA297" t="s">
        <v>190</v>
      </c>
      <c r="AB297" t="s">
        <v>190</v>
      </c>
      <c r="AC297" t="s">
        <v>190</v>
      </c>
      <c r="AD297" t="s">
        <v>190</v>
      </c>
      <c r="AE297" t="s">
        <v>190</v>
      </c>
      <c r="AF297" t="s">
        <v>190</v>
      </c>
      <c r="AG297" t="s">
        <v>190</v>
      </c>
      <c r="AH297" t="s">
        <v>190</v>
      </c>
      <c r="AI297" t="s">
        <v>190</v>
      </c>
      <c r="AJ297" t="s">
        <v>190</v>
      </c>
    </row>
    <row r="298" spans="2:36">
      <c r="B298" s="2" t="s">
        <v>303</v>
      </c>
      <c r="C298" s="2" t="s">
        <v>778</v>
      </c>
      <c r="D298" s="2" t="str">
        <f>Table5[[#This Row],[First name]]&amp;" "&amp;Table5[[#This Row],[Last name]]</f>
        <v>Ryan Sale</v>
      </c>
      <c r="E298" s="2" t="str">
        <f>_xlfn.XLOOKUP(Table5[[#This Row],[Full name]],Table26[Name],Table26[Role],"Member",0,1)</f>
        <v>Member</v>
      </c>
      <c r="F298" s="2" t="s">
        <v>188</v>
      </c>
      <c r="G298" s="26" cm="1">
        <f t="array" aca="1" ref="G298" ca="1">COUNTIF(Table5[[#This Row],[September 30, 2025]:[April 7, 2026]],"Yes")/SUMPRODUCT(--(DATEVALUE(Table5[[#Headers],[September 30, 2025]:[April 9, 2026]])&lt;=TODAY()))</f>
        <v>0.4</v>
      </c>
      <c r="H298" t="s">
        <v>186</v>
      </c>
      <c r="I298" t="s">
        <v>190</v>
      </c>
      <c r="J298" t="s">
        <v>186</v>
      </c>
      <c r="K298" t="s">
        <v>190</v>
      </c>
      <c r="L298" t="s">
        <v>186</v>
      </c>
      <c r="M298" t="s">
        <v>190</v>
      </c>
      <c r="N298" t="s">
        <v>190</v>
      </c>
      <c r="O298" t="s">
        <v>186</v>
      </c>
      <c r="P298" t="s">
        <v>190</v>
      </c>
      <c r="Q298" t="s">
        <v>186</v>
      </c>
      <c r="R298" t="s">
        <v>190</v>
      </c>
      <c r="S298" t="s">
        <v>190</v>
      </c>
      <c r="T298" s="151" t="s">
        <v>190</v>
      </c>
      <c r="U298" t="s">
        <v>186</v>
      </c>
      <c r="V298" t="s">
        <v>186</v>
      </c>
      <c r="W298" t="s">
        <v>186</v>
      </c>
      <c r="X298" t="s">
        <v>190</v>
      </c>
      <c r="Y298" t="s">
        <v>190</v>
      </c>
      <c r="Z298" t="s">
        <v>190</v>
      </c>
      <c r="AA298" t="s">
        <v>190</v>
      </c>
      <c r="AB298" t="s">
        <v>190</v>
      </c>
      <c r="AC298" t="s">
        <v>190</v>
      </c>
      <c r="AD298" t="s">
        <v>190</v>
      </c>
      <c r="AE298" t="s">
        <v>190</v>
      </c>
      <c r="AF298" t="s">
        <v>190</v>
      </c>
      <c r="AG298" t="s">
        <v>190</v>
      </c>
      <c r="AH298" t="s">
        <v>190</v>
      </c>
      <c r="AI298" t="s">
        <v>190</v>
      </c>
      <c r="AJ298" t="s">
        <v>190</v>
      </c>
    </row>
    <row r="299" spans="2:36">
      <c r="B299" s="2" t="s">
        <v>303</v>
      </c>
      <c r="C299" s="2" t="s">
        <v>562</v>
      </c>
      <c r="D299" s="2" t="str">
        <f>Table5[[#This Row],[First name]]&amp;" "&amp;Table5[[#This Row],[Last name]]</f>
        <v>Ryan Song</v>
      </c>
      <c r="E299" s="2" t="str">
        <f>_xlfn.XLOOKUP(Table5[[#This Row],[Full name]],Table26[Name],Table26[Role],"Member",0,1)</f>
        <v>Member</v>
      </c>
      <c r="F299" s="2" t="s">
        <v>188</v>
      </c>
      <c r="G299" s="26" cm="1">
        <f t="array" aca="1" ref="G299" ca="1">COUNTIF(Table5[[#This Row],[September 30, 2025]:[April 7, 2026]],"Yes")/SUMPRODUCT(--(DATEVALUE(Table5[[#Headers],[September 30, 2025]:[April 9, 2026]])&lt;=TODAY()))</f>
        <v>0</v>
      </c>
      <c r="H299" t="s">
        <v>190</v>
      </c>
      <c r="I299" t="s">
        <v>190</v>
      </c>
      <c r="J299" t="s">
        <v>190</v>
      </c>
      <c r="K299" t="s">
        <v>190</v>
      </c>
      <c r="L299" t="s">
        <v>190</v>
      </c>
      <c r="M299" t="s">
        <v>190</v>
      </c>
      <c r="N299" t="s">
        <v>190</v>
      </c>
      <c r="O299" t="s">
        <v>190</v>
      </c>
      <c r="P299" t="s">
        <v>190</v>
      </c>
      <c r="Q299" t="s">
        <v>190</v>
      </c>
      <c r="R299" t="s">
        <v>190</v>
      </c>
      <c r="S299" t="s">
        <v>190</v>
      </c>
      <c r="T299" s="151" t="s">
        <v>190</v>
      </c>
      <c r="U299" t="s">
        <v>190</v>
      </c>
      <c r="V299" t="s">
        <v>190</v>
      </c>
      <c r="W299" t="s">
        <v>190</v>
      </c>
      <c r="X299" t="s">
        <v>190</v>
      </c>
      <c r="Y299" t="s">
        <v>190</v>
      </c>
      <c r="Z299" t="s">
        <v>190</v>
      </c>
      <c r="AA299" t="s">
        <v>190</v>
      </c>
      <c r="AB299" t="s">
        <v>190</v>
      </c>
      <c r="AC299" t="s">
        <v>190</v>
      </c>
      <c r="AD299" t="s">
        <v>190</v>
      </c>
      <c r="AE299" t="s">
        <v>190</v>
      </c>
      <c r="AF299" t="s">
        <v>190</v>
      </c>
      <c r="AG299" t="s">
        <v>190</v>
      </c>
      <c r="AH299" t="s">
        <v>190</v>
      </c>
      <c r="AI299" t="s">
        <v>190</v>
      </c>
      <c r="AJ299" t="s">
        <v>190</v>
      </c>
    </row>
    <row r="300" spans="2:36">
      <c r="B300" s="2" t="s">
        <v>303</v>
      </c>
      <c r="C300" s="2" t="s">
        <v>779</v>
      </c>
      <c r="D300" s="2" t="str">
        <f>Table5[[#This Row],[First name]]&amp;" "&amp;Table5[[#This Row],[Last name]]</f>
        <v>Ryan Jouhere</v>
      </c>
      <c r="E300" s="2" t="str">
        <f>_xlfn.XLOOKUP(Table5[[#This Row],[Full name]],Table26[Name],Table26[Role],"Member",0,1)</f>
        <v>Member</v>
      </c>
      <c r="F300" s="2" t="s">
        <v>188</v>
      </c>
      <c r="G300" s="26" cm="1">
        <f t="array" aca="1" ref="G300" ca="1">COUNTIF(Table5[[#This Row],[September 30, 2025]:[April 7, 2026]],"Yes")/SUMPRODUCT(--(DATEVALUE(Table5[[#Headers],[September 30, 2025]:[April 9, 2026]])&lt;=TODAY()))</f>
        <v>0.05</v>
      </c>
      <c r="S300" t="s">
        <v>186</v>
      </c>
      <c r="T300" s="151" t="s">
        <v>190</v>
      </c>
      <c r="V300" t="s">
        <v>190</v>
      </c>
      <c r="X300" t="s">
        <v>190</v>
      </c>
      <c r="AA300" t="s">
        <v>190</v>
      </c>
    </row>
    <row r="301" spans="2:36">
      <c r="B301" s="2" t="s">
        <v>780</v>
      </c>
      <c r="C301" s="2" t="s">
        <v>316</v>
      </c>
      <c r="D301" s="2" t="str">
        <f>Table5[[#This Row],[First name]]&amp;" "&amp;Table5[[#This Row],[Last name]]</f>
        <v>Salaar Ali</v>
      </c>
      <c r="E301" s="2" t="str">
        <f>_xlfn.XLOOKUP(Table5[[#This Row],[Full name]],Table26[Name],Table26[Role],"Member",0,1)</f>
        <v>Member</v>
      </c>
      <c r="F301" s="2" t="s">
        <v>188</v>
      </c>
      <c r="G301" s="26" cm="1">
        <f t="array" aca="1" ref="G301" ca="1">COUNTIF(Table5[[#This Row],[September 30, 2025]:[April 7, 2026]],"Yes")/SUMPRODUCT(--(DATEVALUE(Table5[[#Headers],[September 30, 2025]:[April 9, 2026]])&lt;=TODAY()))</f>
        <v>0.1</v>
      </c>
      <c r="H301" t="s">
        <v>190</v>
      </c>
      <c r="I301" t="s">
        <v>190</v>
      </c>
      <c r="J301" t="s">
        <v>190</v>
      </c>
      <c r="K301" t="s">
        <v>186</v>
      </c>
      <c r="L301" t="s">
        <v>190</v>
      </c>
      <c r="M301" t="s">
        <v>186</v>
      </c>
      <c r="N301" t="s">
        <v>190</v>
      </c>
      <c r="O301" t="s">
        <v>190</v>
      </c>
      <c r="P301" t="s">
        <v>190</v>
      </c>
      <c r="Q301" t="s">
        <v>190</v>
      </c>
      <c r="R301" t="s">
        <v>190</v>
      </c>
      <c r="S301" t="s">
        <v>190</v>
      </c>
      <c r="T301" s="151" t="s">
        <v>190</v>
      </c>
      <c r="U301" t="s">
        <v>190</v>
      </c>
      <c r="V301" t="s">
        <v>190</v>
      </c>
      <c r="W301" t="s">
        <v>190</v>
      </c>
      <c r="X301" t="s">
        <v>190</v>
      </c>
      <c r="Y301" t="s">
        <v>190</v>
      </c>
      <c r="Z301" t="s">
        <v>190</v>
      </c>
      <c r="AA301" t="s">
        <v>190</v>
      </c>
      <c r="AB301" t="s">
        <v>190</v>
      </c>
      <c r="AC301" t="s">
        <v>190</v>
      </c>
      <c r="AD301" t="s">
        <v>190</v>
      </c>
      <c r="AE301" t="s">
        <v>190</v>
      </c>
      <c r="AF301" t="s">
        <v>190</v>
      </c>
      <c r="AG301" t="s">
        <v>190</v>
      </c>
      <c r="AH301" t="s">
        <v>190</v>
      </c>
      <c r="AI301" t="s">
        <v>190</v>
      </c>
      <c r="AJ301" t="s">
        <v>190</v>
      </c>
    </row>
    <row r="302" spans="2:36">
      <c r="B302" s="2" t="s">
        <v>323</v>
      </c>
      <c r="C302" s="2" t="s">
        <v>781</v>
      </c>
      <c r="D302" s="2" t="str">
        <f>Table5[[#This Row],[First name]]&amp;" "&amp;Table5[[#This Row],[Last name]]</f>
        <v>Sam Das</v>
      </c>
      <c r="E302" s="2" t="str">
        <f>_xlfn.XLOOKUP(Table5[[#This Row],[Full name]],Table26[Name],Table26[Role],"Member",0,1)</f>
        <v>Member</v>
      </c>
      <c r="F302" s="2" t="s">
        <v>188</v>
      </c>
      <c r="G302" s="26" cm="1">
        <f t="array" aca="1" ref="G302" ca="1">COUNTIF(Table5[[#This Row],[September 30, 2025]:[April 7, 2026]],"Yes")/SUMPRODUCT(--(DATEVALUE(Table5[[#Headers],[September 30, 2025]:[April 9, 2026]])&lt;=TODAY()))</f>
        <v>0.1</v>
      </c>
      <c r="R302" t="s">
        <v>186</v>
      </c>
      <c r="T302" s="151" t="s">
        <v>190</v>
      </c>
      <c r="V302" t="s">
        <v>190</v>
      </c>
      <c r="W302" t="s">
        <v>186</v>
      </c>
      <c r="X302" t="s">
        <v>190</v>
      </c>
      <c r="AA302" t="s">
        <v>190</v>
      </c>
    </row>
    <row r="303" spans="2:36">
      <c r="B303" s="2" t="s">
        <v>782</v>
      </c>
      <c r="C303" s="2" t="s">
        <v>783</v>
      </c>
      <c r="D303" s="2" t="str">
        <f>Table5[[#This Row],[First name]]&amp;" "&amp;Table5[[#This Row],[Last name]]</f>
        <v>Sameer Aziz</v>
      </c>
      <c r="E303" s="2" t="str">
        <f>_xlfn.XLOOKUP(Table5[[#This Row],[Full name]],Table26[Name],Table26[Role],"Member",0,1)</f>
        <v>Member</v>
      </c>
      <c r="F303" s="2" t="s">
        <v>188</v>
      </c>
      <c r="G303" s="26" cm="1">
        <f t="array" aca="1" ref="G303" ca="1">COUNTIF(Table5[[#This Row],[September 30, 2025]:[April 7, 2026]],"Yes")/SUMPRODUCT(--(DATEVALUE(Table5[[#Headers],[September 30, 2025]:[April 9, 2026]])&lt;=TODAY()))</f>
        <v>0.35</v>
      </c>
      <c r="H303" t="s">
        <v>190</v>
      </c>
      <c r="I303" t="s">
        <v>190</v>
      </c>
      <c r="J303" t="s">
        <v>186</v>
      </c>
      <c r="K303" t="s">
        <v>190</v>
      </c>
      <c r="L303" t="s">
        <v>190</v>
      </c>
      <c r="M303" t="s">
        <v>186</v>
      </c>
      <c r="N303" t="s">
        <v>186</v>
      </c>
      <c r="O303" t="s">
        <v>186</v>
      </c>
      <c r="P303" t="s">
        <v>190</v>
      </c>
      <c r="Q303" t="s">
        <v>190</v>
      </c>
      <c r="R303" t="s">
        <v>190</v>
      </c>
      <c r="S303" t="s">
        <v>186</v>
      </c>
      <c r="T303" s="151" t="s">
        <v>190</v>
      </c>
      <c r="U303" t="s">
        <v>186</v>
      </c>
      <c r="V303" t="s">
        <v>190</v>
      </c>
      <c r="W303" t="s">
        <v>190</v>
      </c>
      <c r="X303" t="s">
        <v>190</v>
      </c>
      <c r="Y303" t="s">
        <v>190</v>
      </c>
      <c r="Z303" t="s">
        <v>190</v>
      </c>
      <c r="AA303" t="s">
        <v>186</v>
      </c>
      <c r="AB303" t="s">
        <v>190</v>
      </c>
      <c r="AC303" t="s">
        <v>190</v>
      </c>
      <c r="AD303" t="s">
        <v>190</v>
      </c>
      <c r="AE303" t="s">
        <v>190</v>
      </c>
      <c r="AF303" t="s">
        <v>190</v>
      </c>
      <c r="AG303" t="s">
        <v>190</v>
      </c>
      <c r="AH303" t="s">
        <v>190</v>
      </c>
      <c r="AI303" t="s">
        <v>190</v>
      </c>
      <c r="AJ303" t="s">
        <v>190</v>
      </c>
    </row>
    <row r="304" spans="2:36">
      <c r="B304" s="2" t="s">
        <v>784</v>
      </c>
      <c r="C304" s="2" t="s">
        <v>785</v>
      </c>
      <c r="D304" s="2" t="str">
        <f>Table5[[#This Row],[First name]]&amp;" "&amp;Table5[[#This Row],[Last name]]</f>
        <v>Samuel Lu</v>
      </c>
      <c r="E304" s="2" t="str">
        <f>_xlfn.XLOOKUP(Table5[[#This Row],[Full name]],Table26[Name],Table26[Role],"Member",0,1)</f>
        <v>Member</v>
      </c>
      <c r="F304" s="2" t="s">
        <v>188</v>
      </c>
      <c r="G304" s="26" cm="1">
        <f t="array" aca="1" ref="G304" ca="1">COUNTIF(Table5[[#This Row],[September 30, 2025]:[April 7, 2026]],"Yes")/SUMPRODUCT(--(DATEVALUE(Table5[[#Headers],[September 30, 2025]:[April 9, 2026]])&lt;=TODAY()))</f>
        <v>0.4</v>
      </c>
      <c r="H304" t="s">
        <v>190</v>
      </c>
      <c r="I304" t="s">
        <v>186</v>
      </c>
      <c r="J304" t="s">
        <v>186</v>
      </c>
      <c r="K304" t="s">
        <v>190</v>
      </c>
      <c r="L304" t="s">
        <v>186</v>
      </c>
      <c r="M304" t="s">
        <v>190</v>
      </c>
      <c r="N304" t="s">
        <v>186</v>
      </c>
      <c r="O304" t="s">
        <v>190</v>
      </c>
      <c r="P304" t="s">
        <v>186</v>
      </c>
      <c r="Q304" t="s">
        <v>190</v>
      </c>
      <c r="R304" t="s">
        <v>190</v>
      </c>
      <c r="S304" t="s">
        <v>190</v>
      </c>
      <c r="T304" s="151" t="s">
        <v>190</v>
      </c>
      <c r="U304" t="s">
        <v>190</v>
      </c>
      <c r="V304" t="s">
        <v>186</v>
      </c>
      <c r="W304" t="s">
        <v>190</v>
      </c>
      <c r="X304" t="s">
        <v>186</v>
      </c>
      <c r="Y304" t="s">
        <v>190</v>
      </c>
      <c r="Z304" t="s">
        <v>186</v>
      </c>
      <c r="AA304" t="s">
        <v>190</v>
      </c>
      <c r="AB304" t="s">
        <v>190</v>
      </c>
      <c r="AC304" t="s">
        <v>190</v>
      </c>
      <c r="AD304" t="s">
        <v>190</v>
      </c>
      <c r="AE304" t="s">
        <v>190</v>
      </c>
      <c r="AF304" t="s">
        <v>190</v>
      </c>
      <c r="AG304" t="s">
        <v>190</v>
      </c>
      <c r="AH304" t="s">
        <v>190</v>
      </c>
      <c r="AI304" t="s">
        <v>190</v>
      </c>
      <c r="AJ304" t="s">
        <v>190</v>
      </c>
    </row>
    <row r="305" spans="2:36">
      <c r="B305" s="2" t="s">
        <v>784</v>
      </c>
      <c r="C305" s="2" t="s">
        <v>786</v>
      </c>
      <c r="D305" s="2" t="str">
        <f>Table5[[#This Row],[First name]]&amp;" "&amp;Table5[[#This Row],[Last name]]</f>
        <v>Samuel Sax-Marton</v>
      </c>
      <c r="E305" s="2" t="str">
        <f>_xlfn.XLOOKUP(Table5[[#This Row],[Full name]],Table26[Name],Table26[Role],"Member",0,1)</f>
        <v>Member</v>
      </c>
      <c r="F305" s="2" t="s">
        <v>188</v>
      </c>
      <c r="G305" s="26" cm="1">
        <f t="array" aca="1" ref="G305" ca="1">COUNTIF(Table5[[#This Row],[September 30, 2025]:[April 7, 2026]],"Yes")/SUMPRODUCT(--(DATEVALUE(Table5[[#Headers],[September 30, 2025]:[April 9, 2026]])&lt;=TODAY()))</f>
        <v>0.9</v>
      </c>
      <c r="H305" t="s">
        <v>186</v>
      </c>
      <c r="I305" t="s">
        <v>186</v>
      </c>
      <c r="J305" t="s">
        <v>190</v>
      </c>
      <c r="K305" t="s">
        <v>186</v>
      </c>
      <c r="L305" t="s">
        <v>186</v>
      </c>
      <c r="M305" t="s">
        <v>186</v>
      </c>
      <c r="N305" t="s">
        <v>186</v>
      </c>
      <c r="O305" t="s">
        <v>186</v>
      </c>
      <c r="P305" t="s">
        <v>186</v>
      </c>
      <c r="Q305" t="s">
        <v>186</v>
      </c>
      <c r="R305" t="s">
        <v>190</v>
      </c>
      <c r="S305" t="s">
        <v>186</v>
      </c>
      <c r="T305" s="151" t="s">
        <v>186</v>
      </c>
      <c r="U305" t="s">
        <v>186</v>
      </c>
      <c r="V305" t="s">
        <v>186</v>
      </c>
      <c r="W305" t="s">
        <v>186</v>
      </c>
      <c r="X305" t="s">
        <v>186</v>
      </c>
      <c r="Y305" t="s">
        <v>186</v>
      </c>
      <c r="Z305" t="s">
        <v>186</v>
      </c>
      <c r="AA305" t="s">
        <v>186</v>
      </c>
      <c r="AB305" t="s">
        <v>190</v>
      </c>
      <c r="AC305" t="s">
        <v>190</v>
      </c>
      <c r="AD305" t="s">
        <v>190</v>
      </c>
      <c r="AE305" t="s">
        <v>190</v>
      </c>
      <c r="AF305" t="s">
        <v>190</v>
      </c>
      <c r="AG305" t="s">
        <v>190</v>
      </c>
      <c r="AH305" t="s">
        <v>190</v>
      </c>
      <c r="AI305" t="s">
        <v>190</v>
      </c>
      <c r="AJ305" t="s">
        <v>190</v>
      </c>
    </row>
    <row r="306" spans="2:36">
      <c r="B306" s="2" t="s">
        <v>787</v>
      </c>
      <c r="C306" s="2" t="s">
        <v>788</v>
      </c>
      <c r="D306" s="2" t="str">
        <f>Table5[[#This Row],[First name]]&amp;" "&amp;Table5[[#This Row],[Last name]]</f>
        <v>Sarmad Siddiqui</v>
      </c>
      <c r="E306" s="2" t="str">
        <f>_xlfn.XLOOKUP(Table5[[#This Row],[Full name]],Table26[Name],Table26[Role],"Member",0,1)</f>
        <v>Member</v>
      </c>
      <c r="F306" s="2" t="s">
        <v>188</v>
      </c>
      <c r="G306" s="26" cm="1">
        <f t="array" aca="1" ref="G306" ca="1">COUNTIF(Table5[[#This Row],[September 30, 2025]:[April 7, 2026]],"Yes")/SUMPRODUCT(--(DATEVALUE(Table5[[#Headers],[September 30, 2025]:[April 9, 2026]])&lt;=TODAY()))</f>
        <v>0.1</v>
      </c>
      <c r="H306" t="s">
        <v>186</v>
      </c>
      <c r="I306" t="s">
        <v>190</v>
      </c>
      <c r="J306" t="s">
        <v>190</v>
      </c>
      <c r="K306" t="s">
        <v>190</v>
      </c>
      <c r="L306" t="s">
        <v>190</v>
      </c>
      <c r="M306" t="s">
        <v>190</v>
      </c>
      <c r="N306" t="s">
        <v>190</v>
      </c>
      <c r="O306" t="s">
        <v>190</v>
      </c>
      <c r="P306" t="s">
        <v>190</v>
      </c>
      <c r="Q306" t="s">
        <v>186</v>
      </c>
      <c r="R306" t="s">
        <v>190</v>
      </c>
      <c r="S306" t="s">
        <v>190</v>
      </c>
      <c r="T306" s="151" t="s">
        <v>190</v>
      </c>
      <c r="U306" t="s">
        <v>190</v>
      </c>
      <c r="V306" t="s">
        <v>190</v>
      </c>
      <c r="W306" t="s">
        <v>190</v>
      </c>
      <c r="X306" t="s">
        <v>190</v>
      </c>
      <c r="Y306" t="s">
        <v>190</v>
      </c>
      <c r="Z306" t="s">
        <v>190</v>
      </c>
      <c r="AA306" t="s">
        <v>190</v>
      </c>
      <c r="AB306" t="s">
        <v>190</v>
      </c>
      <c r="AC306" t="s">
        <v>190</v>
      </c>
      <c r="AD306" t="s">
        <v>190</v>
      </c>
      <c r="AE306" t="s">
        <v>190</v>
      </c>
      <c r="AF306" t="s">
        <v>190</v>
      </c>
      <c r="AG306" t="s">
        <v>190</v>
      </c>
      <c r="AH306" t="s">
        <v>190</v>
      </c>
      <c r="AI306" t="s">
        <v>190</v>
      </c>
      <c r="AJ306" t="s">
        <v>190</v>
      </c>
    </row>
    <row r="307" spans="2:36">
      <c r="B307" s="2" t="s">
        <v>789</v>
      </c>
      <c r="C307" s="2" t="s">
        <v>425</v>
      </c>
      <c r="D307" s="2" t="str">
        <f>Table5[[#This Row],[First name]]&amp;" "&amp;Table5[[#This Row],[Last name]]</f>
        <v>Sebastian Hamilton</v>
      </c>
      <c r="E307" s="2" t="str">
        <f>_xlfn.XLOOKUP(Table5[[#This Row],[Full name]],Table26[Name],Table26[Role],"Member",0,1)</f>
        <v>Member</v>
      </c>
      <c r="F307" s="2" t="s">
        <v>188</v>
      </c>
      <c r="G307" s="26" cm="1">
        <f t="array" aca="1" ref="G307" ca="1">COUNTIF(Table5[[#This Row],[September 30, 2025]:[April 7, 2026]],"Yes")/SUMPRODUCT(--(DATEVALUE(Table5[[#Headers],[September 30, 2025]:[April 9, 2026]])&lt;=TODAY()))</f>
        <v>0</v>
      </c>
      <c r="H307" t="s">
        <v>190</v>
      </c>
      <c r="I307" t="s">
        <v>190</v>
      </c>
      <c r="J307" t="s">
        <v>190</v>
      </c>
      <c r="K307" t="s">
        <v>190</v>
      </c>
      <c r="L307" t="s">
        <v>190</v>
      </c>
      <c r="M307" t="s">
        <v>190</v>
      </c>
      <c r="N307" t="s">
        <v>190</v>
      </c>
      <c r="O307" t="s">
        <v>190</v>
      </c>
      <c r="P307" t="s">
        <v>190</v>
      </c>
      <c r="Q307" t="s">
        <v>190</v>
      </c>
      <c r="R307" t="s">
        <v>190</v>
      </c>
      <c r="S307" t="s">
        <v>190</v>
      </c>
      <c r="T307" s="151" t="s">
        <v>190</v>
      </c>
      <c r="U307" t="s">
        <v>190</v>
      </c>
      <c r="V307" t="s">
        <v>190</v>
      </c>
      <c r="W307" t="s">
        <v>190</v>
      </c>
      <c r="X307" t="s">
        <v>190</v>
      </c>
      <c r="Y307" t="s">
        <v>190</v>
      </c>
      <c r="Z307" t="s">
        <v>190</v>
      </c>
      <c r="AA307" t="s">
        <v>190</v>
      </c>
      <c r="AB307" t="s">
        <v>190</v>
      </c>
      <c r="AC307" t="s">
        <v>190</v>
      </c>
      <c r="AD307" t="s">
        <v>190</v>
      </c>
      <c r="AE307" t="s">
        <v>190</v>
      </c>
      <c r="AF307" t="s">
        <v>190</v>
      </c>
      <c r="AG307" t="s">
        <v>190</v>
      </c>
      <c r="AH307" t="s">
        <v>190</v>
      </c>
      <c r="AI307" t="s">
        <v>190</v>
      </c>
      <c r="AJ307" t="s">
        <v>190</v>
      </c>
    </row>
    <row r="308" spans="2:36">
      <c r="B308" s="2" t="s">
        <v>790</v>
      </c>
      <c r="C308" s="2" t="s">
        <v>791</v>
      </c>
      <c r="D308" s="2" t="str">
        <f>Table5[[#This Row],[First name]]&amp;" "&amp;Table5[[#This Row],[Last name]]</f>
        <v>Seren Kalfa</v>
      </c>
      <c r="E308" s="2" t="str">
        <f>_xlfn.XLOOKUP(Table5[[#This Row],[Full name]],Table26[Name],Table26[Role],"Member",0,1)</f>
        <v>Member</v>
      </c>
      <c r="F308" s="2" t="s">
        <v>188</v>
      </c>
      <c r="G308" s="26" cm="1">
        <f t="array" aca="1" ref="G308" ca="1">COUNTIF(Table5[[#This Row],[September 30, 2025]:[April 7, 2026]],"Yes")/SUMPRODUCT(--(DATEVALUE(Table5[[#Headers],[September 30, 2025]:[April 9, 2026]])&lt;=TODAY()))</f>
        <v>0.1</v>
      </c>
      <c r="S308" t="s">
        <v>186</v>
      </c>
      <c r="T308" s="151" t="s">
        <v>186</v>
      </c>
      <c r="V308" t="s">
        <v>190</v>
      </c>
      <c r="X308" t="s">
        <v>190</v>
      </c>
      <c r="AA308" t="s">
        <v>190</v>
      </c>
    </row>
    <row r="309" spans="2:36">
      <c r="B309" s="2" t="s">
        <v>792</v>
      </c>
      <c r="C309" s="2" t="s">
        <v>793</v>
      </c>
      <c r="D309" s="2" t="str">
        <f>Table5[[#This Row],[First name]]&amp;" "&amp;Table5[[#This Row],[Last name]]</f>
        <v>Shanbir Hira</v>
      </c>
      <c r="E309" s="2" t="str">
        <f>_xlfn.XLOOKUP(Table5[[#This Row],[Full name]],Table26[Name],Table26[Role],"Member",0,1)</f>
        <v>Member</v>
      </c>
      <c r="F309" s="2" t="s">
        <v>188</v>
      </c>
      <c r="G309" s="26" cm="1">
        <f t="array" aca="1" ref="G309" ca="1">COUNTIF(Table5[[#This Row],[September 30, 2025]:[April 7, 2026]],"Yes")/SUMPRODUCT(--(DATEVALUE(Table5[[#Headers],[September 30, 2025]:[April 9, 2026]])&lt;=TODAY()))</f>
        <v>0.1</v>
      </c>
      <c r="H309" t="s">
        <v>190</v>
      </c>
      <c r="I309" t="s">
        <v>190</v>
      </c>
      <c r="J309" t="s">
        <v>190</v>
      </c>
      <c r="K309" t="s">
        <v>190</v>
      </c>
      <c r="L309" t="s">
        <v>190</v>
      </c>
      <c r="M309" t="s">
        <v>186</v>
      </c>
      <c r="N309" t="s">
        <v>186</v>
      </c>
      <c r="O309" t="s">
        <v>190</v>
      </c>
      <c r="P309" t="s">
        <v>190</v>
      </c>
      <c r="Q309" t="s">
        <v>190</v>
      </c>
      <c r="R309" t="s">
        <v>190</v>
      </c>
      <c r="S309" t="s">
        <v>190</v>
      </c>
      <c r="T309" s="151" t="s">
        <v>190</v>
      </c>
      <c r="U309" t="s">
        <v>190</v>
      </c>
      <c r="V309" t="s">
        <v>190</v>
      </c>
      <c r="W309" t="s">
        <v>190</v>
      </c>
      <c r="X309" t="s">
        <v>190</v>
      </c>
      <c r="Y309" t="s">
        <v>190</v>
      </c>
      <c r="Z309" t="s">
        <v>190</v>
      </c>
      <c r="AA309" t="s">
        <v>190</v>
      </c>
      <c r="AB309" t="s">
        <v>190</v>
      </c>
      <c r="AC309" t="s">
        <v>190</v>
      </c>
      <c r="AD309" t="s">
        <v>190</v>
      </c>
      <c r="AE309" t="s">
        <v>190</v>
      </c>
      <c r="AF309" t="s">
        <v>190</v>
      </c>
      <c r="AG309" t="s">
        <v>190</v>
      </c>
      <c r="AH309" t="s">
        <v>190</v>
      </c>
      <c r="AI309" t="s">
        <v>190</v>
      </c>
      <c r="AJ309" t="s">
        <v>190</v>
      </c>
    </row>
    <row r="310" spans="2:36">
      <c r="B310" s="2" t="s">
        <v>794</v>
      </c>
      <c r="C310" s="2" t="s">
        <v>795</v>
      </c>
      <c r="D310" s="2" t="str">
        <f>Table5[[#This Row],[First name]]&amp;" "&amp;Table5[[#This Row],[Last name]]</f>
        <v>Shayaan Tanvir</v>
      </c>
      <c r="E310" s="2" t="str">
        <f>_xlfn.XLOOKUP(Table5[[#This Row],[Full name]],Table26[Name],Table26[Role],"Member",0,1)</f>
        <v>Member</v>
      </c>
      <c r="F310" s="2" t="s">
        <v>188</v>
      </c>
      <c r="G310" s="26" cm="1">
        <f t="array" aca="1" ref="G310" ca="1">COUNTIF(Table5[[#This Row],[September 30, 2025]:[April 7, 2026]],"Yes")/SUMPRODUCT(--(DATEVALUE(Table5[[#Headers],[September 30, 2025]:[April 9, 2026]])&lt;=TODAY()))</f>
        <v>0.5</v>
      </c>
      <c r="P310" t="s">
        <v>186</v>
      </c>
      <c r="Q310" t="s">
        <v>186</v>
      </c>
      <c r="R310" t="s">
        <v>186</v>
      </c>
      <c r="S310" t="s">
        <v>186</v>
      </c>
      <c r="T310" s="151" t="s">
        <v>186</v>
      </c>
      <c r="U310" t="s">
        <v>186</v>
      </c>
      <c r="V310" t="s">
        <v>186</v>
      </c>
      <c r="W310" t="s">
        <v>190</v>
      </c>
      <c r="X310" t="s">
        <v>190</v>
      </c>
      <c r="Y310" t="s">
        <v>186</v>
      </c>
      <c r="Z310" t="s">
        <v>186</v>
      </c>
      <c r="AA310" t="s">
        <v>186</v>
      </c>
      <c r="AB310" t="s">
        <v>190</v>
      </c>
      <c r="AC310" t="s">
        <v>190</v>
      </c>
      <c r="AD310" t="s">
        <v>190</v>
      </c>
      <c r="AE310" t="s">
        <v>190</v>
      </c>
      <c r="AF310" t="s">
        <v>190</v>
      </c>
      <c r="AG310" t="s">
        <v>190</v>
      </c>
      <c r="AH310" t="s">
        <v>190</v>
      </c>
      <c r="AI310" t="s">
        <v>190</v>
      </c>
      <c r="AJ310" t="s">
        <v>190</v>
      </c>
    </row>
    <row r="311" spans="2:36">
      <c r="B311" s="2" t="s">
        <v>796</v>
      </c>
      <c r="C311" s="2" t="s">
        <v>434</v>
      </c>
      <c r="D311" s="2" t="str">
        <f>Table5[[#This Row],[First name]]&amp;" "&amp;Table5[[#This Row],[Last name]]</f>
        <v>Shayan Ahmed</v>
      </c>
      <c r="E311" s="2" t="str">
        <f>_xlfn.XLOOKUP(Table5[[#This Row],[Full name]],Table26[Name],Table26[Role],"Member",0,1)</f>
        <v>Member</v>
      </c>
      <c r="F311" s="2" t="s">
        <v>188</v>
      </c>
      <c r="G311" s="26" cm="1">
        <f t="array" aca="1" ref="G311" ca="1">COUNTIF(Table5[[#This Row],[September 30, 2025]:[April 7, 2026]],"Yes")/SUMPRODUCT(--(DATEVALUE(Table5[[#Headers],[September 30, 2025]:[April 9, 2026]])&lt;=TODAY()))</f>
        <v>0.2</v>
      </c>
      <c r="H311" t="s">
        <v>186</v>
      </c>
      <c r="I311" t="s">
        <v>190</v>
      </c>
      <c r="J311" t="s">
        <v>186</v>
      </c>
      <c r="K311" t="s">
        <v>186</v>
      </c>
      <c r="L311" t="s">
        <v>190</v>
      </c>
      <c r="M311" t="s">
        <v>190</v>
      </c>
      <c r="N311" t="s">
        <v>190</v>
      </c>
      <c r="O311" t="s">
        <v>190</v>
      </c>
      <c r="P311" t="s">
        <v>190</v>
      </c>
      <c r="Q311" t="s">
        <v>190</v>
      </c>
      <c r="R311" t="s">
        <v>190</v>
      </c>
      <c r="S311" t="s">
        <v>190</v>
      </c>
      <c r="T311" s="151" t="s">
        <v>186</v>
      </c>
      <c r="U311" t="s">
        <v>190</v>
      </c>
      <c r="V311" t="s">
        <v>190</v>
      </c>
      <c r="W311" t="s">
        <v>190</v>
      </c>
      <c r="X311" t="s">
        <v>190</v>
      </c>
      <c r="Y311" t="s">
        <v>190</v>
      </c>
      <c r="Z311" t="s">
        <v>190</v>
      </c>
      <c r="AA311" t="s">
        <v>190</v>
      </c>
      <c r="AB311" t="s">
        <v>190</v>
      </c>
      <c r="AC311" t="s">
        <v>190</v>
      </c>
      <c r="AD311" t="s">
        <v>190</v>
      </c>
      <c r="AE311" t="s">
        <v>190</v>
      </c>
      <c r="AF311" t="s">
        <v>190</v>
      </c>
      <c r="AG311" t="s">
        <v>190</v>
      </c>
      <c r="AH311" t="s">
        <v>190</v>
      </c>
      <c r="AI311" t="s">
        <v>190</v>
      </c>
      <c r="AJ311" t="s">
        <v>190</v>
      </c>
    </row>
    <row r="312" spans="2:36">
      <c r="B312" s="2" t="s">
        <v>797</v>
      </c>
      <c r="C312" s="2" t="s">
        <v>627</v>
      </c>
      <c r="D312" s="2" t="str">
        <f>Table5[[#This Row],[First name]]&amp;" "&amp;Table5[[#This Row],[Last name]]</f>
        <v>Shiyu Sun</v>
      </c>
      <c r="E312" s="2" t="str">
        <f>_xlfn.XLOOKUP(Table5[[#This Row],[Full name]],Table26[Name],Table26[Role],"Member",0,1)</f>
        <v>Member</v>
      </c>
      <c r="F312" s="2" t="s">
        <v>188</v>
      </c>
      <c r="G312" s="26" cm="1">
        <f t="array" aca="1" ref="G312" ca="1">COUNTIF(Table5[[#This Row],[September 30, 2025]:[April 7, 2026]],"Yes")/SUMPRODUCT(--(DATEVALUE(Table5[[#Headers],[September 30, 2025]:[April 9, 2026]])&lt;=TODAY()))</f>
        <v>0.05</v>
      </c>
      <c r="H312" t="s">
        <v>190</v>
      </c>
      <c r="I312" t="s">
        <v>190</v>
      </c>
      <c r="J312" t="s">
        <v>190</v>
      </c>
      <c r="K312" t="s">
        <v>190</v>
      </c>
      <c r="L312" t="s">
        <v>190</v>
      </c>
      <c r="M312" t="s">
        <v>190</v>
      </c>
      <c r="N312" t="s">
        <v>190</v>
      </c>
      <c r="O312" t="s">
        <v>186</v>
      </c>
      <c r="P312" t="s">
        <v>190</v>
      </c>
      <c r="Q312" t="s">
        <v>190</v>
      </c>
      <c r="R312" t="s">
        <v>190</v>
      </c>
      <c r="S312" t="s">
        <v>190</v>
      </c>
      <c r="T312" s="151" t="s">
        <v>190</v>
      </c>
      <c r="U312" t="s">
        <v>190</v>
      </c>
      <c r="V312" t="s">
        <v>190</v>
      </c>
      <c r="W312" t="s">
        <v>190</v>
      </c>
      <c r="X312" t="s">
        <v>190</v>
      </c>
      <c r="Y312" t="s">
        <v>190</v>
      </c>
      <c r="Z312" t="s">
        <v>190</v>
      </c>
      <c r="AA312" t="s">
        <v>190</v>
      </c>
      <c r="AB312" t="s">
        <v>190</v>
      </c>
      <c r="AC312" t="s">
        <v>190</v>
      </c>
      <c r="AD312" t="s">
        <v>190</v>
      </c>
      <c r="AE312" t="s">
        <v>190</v>
      </c>
      <c r="AF312" t="s">
        <v>190</v>
      </c>
      <c r="AG312" t="s">
        <v>190</v>
      </c>
      <c r="AH312" t="s">
        <v>190</v>
      </c>
      <c r="AI312" t="s">
        <v>190</v>
      </c>
      <c r="AJ312" t="s">
        <v>190</v>
      </c>
    </row>
    <row r="313" spans="2:36">
      <c r="B313" s="2" t="s">
        <v>798</v>
      </c>
      <c r="C313" s="2" t="s">
        <v>373</v>
      </c>
      <c r="D313" s="2" t="str">
        <f>Table5[[#This Row],[First name]]&amp;" "&amp;Table5[[#This Row],[Last name]]</f>
        <v>Sierra Hermary</v>
      </c>
      <c r="E313" s="2" t="str">
        <f>_xlfn.XLOOKUP(Table5[[#This Row],[Full name]],Table26[Name],Table26[Role],"Member",0,1)</f>
        <v>Member</v>
      </c>
      <c r="F313" s="2" t="s">
        <v>188</v>
      </c>
      <c r="G313" s="26" cm="1">
        <f t="array" aca="1" ref="G313" ca="1">COUNTIF(Table5[[#This Row],[September 30, 2025]:[April 7, 2026]],"Yes")/SUMPRODUCT(--(DATEVALUE(Table5[[#Headers],[September 30, 2025]:[April 9, 2026]])&lt;=TODAY()))</f>
        <v>0</v>
      </c>
      <c r="O313" t="s">
        <v>190</v>
      </c>
      <c r="P313" t="s">
        <v>190</v>
      </c>
      <c r="Q313" t="s">
        <v>190</v>
      </c>
      <c r="R313" t="s">
        <v>190</v>
      </c>
      <c r="S313" t="s">
        <v>190</v>
      </c>
      <c r="T313" s="151" t="s">
        <v>190</v>
      </c>
      <c r="U313" t="s">
        <v>190</v>
      </c>
      <c r="V313" t="s">
        <v>190</v>
      </c>
      <c r="W313" t="s">
        <v>190</v>
      </c>
      <c r="X313" t="s">
        <v>190</v>
      </c>
      <c r="Y313" t="s">
        <v>190</v>
      </c>
      <c r="Z313" t="s">
        <v>190</v>
      </c>
      <c r="AA313" t="s">
        <v>190</v>
      </c>
      <c r="AB313" t="s">
        <v>190</v>
      </c>
      <c r="AC313" t="s">
        <v>190</v>
      </c>
      <c r="AD313" t="s">
        <v>190</v>
      </c>
      <c r="AE313" t="s">
        <v>190</v>
      </c>
      <c r="AF313" t="s">
        <v>190</v>
      </c>
      <c r="AG313" t="s">
        <v>190</v>
      </c>
      <c r="AH313" t="s">
        <v>190</v>
      </c>
      <c r="AI313" t="s">
        <v>190</v>
      </c>
      <c r="AJ313" t="s">
        <v>190</v>
      </c>
    </row>
    <row r="314" spans="2:36">
      <c r="B314" s="2" t="s">
        <v>799</v>
      </c>
      <c r="C314" s="2" t="s">
        <v>800</v>
      </c>
      <c r="D314" s="2" t="str">
        <f>Table5[[#This Row],[First name]]&amp;" "&amp;Table5[[#This Row],[Last name]]</f>
        <v>Spencer Bulley</v>
      </c>
      <c r="E314" s="2" t="str">
        <f>_xlfn.XLOOKUP(Table5[[#This Row],[Full name]],Table26[Name],Table26[Role],"Member",0,1)</f>
        <v>Member</v>
      </c>
      <c r="F314" s="2" t="s">
        <v>188</v>
      </c>
      <c r="G314" s="26" cm="1">
        <f t="array" aca="1" ref="G314" ca="1">COUNTIF(Table5[[#This Row],[September 30, 2025]:[April 7, 2026]],"Yes")/SUMPRODUCT(--(DATEVALUE(Table5[[#Headers],[September 30, 2025]:[April 9, 2026]])&lt;=TODAY()))</f>
        <v>0.05</v>
      </c>
      <c r="H314" t="s">
        <v>190</v>
      </c>
      <c r="I314" t="s">
        <v>190</v>
      </c>
      <c r="J314" t="s">
        <v>186</v>
      </c>
      <c r="K314" t="s">
        <v>190</v>
      </c>
      <c r="L314" t="s">
        <v>190</v>
      </c>
      <c r="M314" t="s">
        <v>190</v>
      </c>
      <c r="N314" t="s">
        <v>190</v>
      </c>
      <c r="O314" t="s">
        <v>190</v>
      </c>
      <c r="P314" t="s">
        <v>190</v>
      </c>
      <c r="Q314" t="s">
        <v>190</v>
      </c>
      <c r="R314" t="s">
        <v>190</v>
      </c>
      <c r="S314" t="s">
        <v>190</v>
      </c>
      <c r="T314" s="151" t="s">
        <v>190</v>
      </c>
      <c r="U314" t="s">
        <v>190</v>
      </c>
      <c r="V314" t="s">
        <v>190</v>
      </c>
      <c r="W314" t="s">
        <v>190</v>
      </c>
      <c r="X314" t="s">
        <v>190</v>
      </c>
      <c r="Y314" t="s">
        <v>190</v>
      </c>
      <c r="Z314" t="s">
        <v>190</v>
      </c>
      <c r="AA314" t="s">
        <v>190</v>
      </c>
      <c r="AB314" t="s">
        <v>190</v>
      </c>
      <c r="AC314" t="s">
        <v>190</v>
      </c>
      <c r="AD314" t="s">
        <v>190</v>
      </c>
      <c r="AE314" t="s">
        <v>190</v>
      </c>
      <c r="AF314" t="s">
        <v>190</v>
      </c>
      <c r="AG314" t="s">
        <v>190</v>
      </c>
      <c r="AH314" t="s">
        <v>190</v>
      </c>
      <c r="AI314" t="s">
        <v>190</v>
      </c>
      <c r="AJ314" t="s">
        <v>190</v>
      </c>
    </row>
    <row r="315" spans="2:36">
      <c r="B315" s="2" t="s">
        <v>801</v>
      </c>
      <c r="C315" s="2" t="s">
        <v>802</v>
      </c>
      <c r="D315" s="2" t="str">
        <f>Table5[[#This Row],[First name]]&amp;" "&amp;Table5[[#This Row],[Last name]]</f>
        <v>Steven Kom</v>
      </c>
      <c r="E315" s="2" t="str">
        <f>_xlfn.XLOOKUP(Table5[[#This Row],[Full name]],Table26[Name],Table26[Role],"Member",0,1)</f>
        <v>Member</v>
      </c>
      <c r="F315" s="2" t="s">
        <v>188</v>
      </c>
      <c r="G315" s="26" cm="1">
        <f t="array" aca="1" ref="G315" ca="1">COUNTIF(Table5[[#This Row],[September 30, 2025]:[April 7, 2026]],"Yes")/SUMPRODUCT(--(DATEVALUE(Table5[[#Headers],[September 30, 2025]:[April 9, 2026]])&lt;=TODAY()))</f>
        <v>0.15</v>
      </c>
      <c r="H315" t="s">
        <v>190</v>
      </c>
      <c r="I315" t="s">
        <v>186</v>
      </c>
      <c r="J315" t="s">
        <v>186</v>
      </c>
      <c r="K315" t="s">
        <v>190</v>
      </c>
      <c r="L315" t="s">
        <v>190</v>
      </c>
      <c r="M315" t="s">
        <v>190</v>
      </c>
      <c r="N315" t="s">
        <v>190</v>
      </c>
      <c r="O315" t="s">
        <v>190</v>
      </c>
      <c r="P315" t="s">
        <v>190</v>
      </c>
      <c r="Q315" t="s">
        <v>190</v>
      </c>
      <c r="R315" t="s">
        <v>190</v>
      </c>
      <c r="S315" t="s">
        <v>190</v>
      </c>
      <c r="T315" s="151" t="s">
        <v>186</v>
      </c>
      <c r="U315" t="s">
        <v>190</v>
      </c>
      <c r="V315" t="s">
        <v>190</v>
      </c>
      <c r="W315" t="s">
        <v>190</v>
      </c>
      <c r="X315" t="s">
        <v>190</v>
      </c>
      <c r="Y315" t="s">
        <v>190</v>
      </c>
      <c r="Z315" t="s">
        <v>190</v>
      </c>
      <c r="AA315" t="s">
        <v>190</v>
      </c>
      <c r="AB315" t="s">
        <v>190</v>
      </c>
      <c r="AC315" t="s">
        <v>190</v>
      </c>
      <c r="AD315" t="s">
        <v>190</v>
      </c>
      <c r="AE315" t="s">
        <v>190</v>
      </c>
      <c r="AF315" t="s">
        <v>190</v>
      </c>
      <c r="AG315" t="s">
        <v>190</v>
      </c>
      <c r="AH315" t="s">
        <v>190</v>
      </c>
      <c r="AI315" t="s">
        <v>190</v>
      </c>
      <c r="AJ315" t="s">
        <v>190</v>
      </c>
    </row>
    <row r="316" spans="2:36">
      <c r="B316" s="2" t="s">
        <v>801</v>
      </c>
      <c r="C316" s="2" t="s">
        <v>803</v>
      </c>
      <c r="D316" s="2" t="str">
        <f>Table5[[#This Row],[First name]]&amp;" "&amp;Table5[[#This Row],[Last name]]</f>
        <v>Steven Luo</v>
      </c>
      <c r="E316" s="2" t="str">
        <f>_xlfn.XLOOKUP(Table5[[#This Row],[Full name]],Table26[Name],Table26[Role],"Member",0,1)</f>
        <v>Member</v>
      </c>
      <c r="F316" s="2" t="s">
        <v>188</v>
      </c>
      <c r="G316" s="26" cm="1">
        <f t="array" aca="1" ref="G316" ca="1">COUNTIF(Table5[[#This Row],[September 30, 2025]:[April 7, 2026]],"Yes")/SUMPRODUCT(--(DATEVALUE(Table5[[#Headers],[September 30, 2025]:[April 9, 2026]])&lt;=TODAY()))</f>
        <v>0.05</v>
      </c>
      <c r="H316" t="s">
        <v>190</v>
      </c>
      <c r="I316" t="s">
        <v>190</v>
      </c>
      <c r="J316" t="s">
        <v>190</v>
      </c>
      <c r="K316" t="s">
        <v>190</v>
      </c>
      <c r="L316" t="s">
        <v>186</v>
      </c>
      <c r="M316" t="s">
        <v>190</v>
      </c>
      <c r="N316" t="s">
        <v>190</v>
      </c>
      <c r="O316" t="s">
        <v>190</v>
      </c>
      <c r="P316" t="s">
        <v>190</v>
      </c>
      <c r="Q316" t="s">
        <v>190</v>
      </c>
      <c r="R316" t="s">
        <v>190</v>
      </c>
      <c r="S316" t="s">
        <v>190</v>
      </c>
      <c r="T316" s="151" t="s">
        <v>190</v>
      </c>
      <c r="U316" t="s">
        <v>190</v>
      </c>
      <c r="V316" t="s">
        <v>190</v>
      </c>
      <c r="W316" t="s">
        <v>190</v>
      </c>
      <c r="X316" t="s">
        <v>190</v>
      </c>
      <c r="Y316" t="s">
        <v>190</v>
      </c>
      <c r="Z316" t="s">
        <v>190</v>
      </c>
      <c r="AA316" t="s">
        <v>190</v>
      </c>
      <c r="AB316" t="s">
        <v>190</v>
      </c>
      <c r="AC316" t="s">
        <v>190</v>
      </c>
      <c r="AD316" t="s">
        <v>190</v>
      </c>
      <c r="AE316" t="s">
        <v>190</v>
      </c>
      <c r="AF316" t="s">
        <v>190</v>
      </c>
      <c r="AG316" t="s">
        <v>190</v>
      </c>
      <c r="AH316" t="s">
        <v>190</v>
      </c>
      <c r="AI316" t="s">
        <v>190</v>
      </c>
      <c r="AJ316" t="s">
        <v>190</v>
      </c>
    </row>
    <row r="317" spans="2:36" ht="19.5" customHeight="1">
      <c r="B317" s="2" t="s">
        <v>804</v>
      </c>
      <c r="C317" s="2" t="s">
        <v>805</v>
      </c>
      <c r="D317" s="2" t="str">
        <f>Table5[[#This Row],[First name]]&amp;" "&amp;Table5[[#This Row],[Last name]]</f>
        <v>Sulang Hou</v>
      </c>
      <c r="E317" s="2" t="str">
        <f>_xlfn.XLOOKUP(Table5[[#This Row],[Full name]],Table26[Name],Table26[Role],"Member",0,1)</f>
        <v>Member</v>
      </c>
      <c r="F317" s="2" t="s">
        <v>188</v>
      </c>
      <c r="G317" s="26" cm="1">
        <f t="array" aca="1" ref="G317" ca="1">COUNTIF(Table5[[#This Row],[September 30, 2025]:[April 7, 2026]],"Yes")/SUMPRODUCT(--(DATEVALUE(Table5[[#Headers],[September 30, 2025]:[April 9, 2026]])&lt;=TODAY()))</f>
        <v>0.05</v>
      </c>
      <c r="H317" t="s">
        <v>190</v>
      </c>
      <c r="I317" t="s">
        <v>190</v>
      </c>
      <c r="J317" t="s">
        <v>186</v>
      </c>
      <c r="K317" t="s">
        <v>190</v>
      </c>
      <c r="L317" t="s">
        <v>190</v>
      </c>
      <c r="M317" t="s">
        <v>190</v>
      </c>
      <c r="N317" t="s">
        <v>190</v>
      </c>
      <c r="O317" t="s">
        <v>190</v>
      </c>
      <c r="P317" t="s">
        <v>190</v>
      </c>
      <c r="Q317" t="s">
        <v>190</v>
      </c>
      <c r="R317" t="s">
        <v>190</v>
      </c>
      <c r="S317" t="s">
        <v>190</v>
      </c>
      <c r="T317" s="151" t="s">
        <v>190</v>
      </c>
      <c r="U317" t="s">
        <v>190</v>
      </c>
      <c r="V317" t="s">
        <v>190</v>
      </c>
      <c r="W317" t="s">
        <v>190</v>
      </c>
      <c r="X317" t="s">
        <v>190</v>
      </c>
      <c r="Y317" t="s">
        <v>190</v>
      </c>
      <c r="Z317" t="s">
        <v>190</v>
      </c>
      <c r="AA317" t="s">
        <v>190</v>
      </c>
      <c r="AB317" t="s">
        <v>190</v>
      </c>
      <c r="AC317" t="s">
        <v>190</v>
      </c>
      <c r="AD317" t="s">
        <v>190</v>
      </c>
      <c r="AE317" t="s">
        <v>190</v>
      </c>
      <c r="AF317" t="s">
        <v>190</v>
      </c>
      <c r="AG317" t="s">
        <v>190</v>
      </c>
      <c r="AH317" t="s">
        <v>190</v>
      </c>
      <c r="AI317" t="s">
        <v>190</v>
      </c>
      <c r="AJ317" t="s">
        <v>190</v>
      </c>
    </row>
    <row r="318" spans="2:36">
      <c r="B318" s="2" t="s">
        <v>806</v>
      </c>
      <c r="C318" s="2" t="s">
        <v>563</v>
      </c>
      <c r="D318" s="2" t="str">
        <f>Table5[[#This Row],[First name]]&amp;" "&amp;Table5[[#This Row],[Last name]]</f>
        <v>Sunny Zhao</v>
      </c>
      <c r="E318" s="2" t="str">
        <f>_xlfn.XLOOKUP(Table5[[#This Row],[Full name]],Table26[Name],Table26[Role],"Member",0,1)</f>
        <v>Member</v>
      </c>
      <c r="F318" s="2" t="s">
        <v>188</v>
      </c>
      <c r="G318" s="26" cm="1">
        <f t="array" aca="1" ref="G318" ca="1">COUNTIF(Table5[[#This Row],[September 30, 2025]:[April 7, 2026]],"Yes")/SUMPRODUCT(--(DATEVALUE(Table5[[#Headers],[September 30, 2025]:[April 9, 2026]])&lt;=TODAY()))</f>
        <v>0.1</v>
      </c>
      <c r="H318" t="s">
        <v>186</v>
      </c>
      <c r="I318" t="s">
        <v>190</v>
      </c>
      <c r="J318" t="s">
        <v>190</v>
      </c>
      <c r="K318" t="s">
        <v>186</v>
      </c>
      <c r="L318" t="s">
        <v>190</v>
      </c>
      <c r="M318" t="s">
        <v>190</v>
      </c>
      <c r="N318" t="s">
        <v>190</v>
      </c>
      <c r="O318" t="s">
        <v>190</v>
      </c>
      <c r="P318" t="s">
        <v>190</v>
      </c>
      <c r="Q318" t="s">
        <v>190</v>
      </c>
      <c r="R318" t="s">
        <v>190</v>
      </c>
      <c r="S318" t="s">
        <v>190</v>
      </c>
      <c r="T318" s="151" t="s">
        <v>190</v>
      </c>
      <c r="U318" t="s">
        <v>190</v>
      </c>
      <c r="V318" t="s">
        <v>190</v>
      </c>
      <c r="W318" t="s">
        <v>190</v>
      </c>
      <c r="X318" t="s">
        <v>190</v>
      </c>
      <c r="Y318" t="s">
        <v>190</v>
      </c>
      <c r="Z318" t="s">
        <v>190</v>
      </c>
      <c r="AA318" t="s">
        <v>190</v>
      </c>
      <c r="AB318" t="s">
        <v>190</v>
      </c>
      <c r="AC318" t="s">
        <v>190</v>
      </c>
      <c r="AD318" t="s">
        <v>190</v>
      </c>
      <c r="AE318" t="s">
        <v>190</v>
      </c>
      <c r="AF318" t="s">
        <v>190</v>
      </c>
      <c r="AG318" t="s">
        <v>190</v>
      </c>
      <c r="AH318" t="s">
        <v>190</v>
      </c>
      <c r="AI318" t="s">
        <v>190</v>
      </c>
      <c r="AJ318" t="s">
        <v>190</v>
      </c>
    </row>
    <row r="319" spans="2:36">
      <c r="B319" s="2" t="s">
        <v>807</v>
      </c>
      <c r="C319" s="2" t="s">
        <v>808</v>
      </c>
      <c r="D319" s="2" t="str">
        <f>Table5[[#This Row],[First name]]&amp;" "&amp;Table5[[#This Row],[Last name]]</f>
        <v>Sydney Xie</v>
      </c>
      <c r="E319" s="2" t="str">
        <f>_xlfn.XLOOKUP(Table5[[#This Row],[Full name]],Table26[Name],Table26[Role],"Member",0,1)</f>
        <v>Member</v>
      </c>
      <c r="F319" s="2" t="s">
        <v>188</v>
      </c>
      <c r="G319" s="26" cm="1">
        <f t="array" aca="1" ref="G319" ca="1">COUNTIF(Table5[[#This Row],[September 30, 2025]:[April 7, 2026]],"Yes")/SUMPRODUCT(--(DATEVALUE(Table5[[#Headers],[September 30, 2025]:[April 9, 2026]])&lt;=TODAY()))</f>
        <v>0.3</v>
      </c>
      <c r="R319" t="s">
        <v>186</v>
      </c>
      <c r="S319" t="s">
        <v>186</v>
      </c>
      <c r="T319" s="151" t="s">
        <v>186</v>
      </c>
      <c r="V319" t="s">
        <v>190</v>
      </c>
      <c r="X319" t="s">
        <v>190</v>
      </c>
      <c r="Y319" t="s">
        <v>186</v>
      </c>
      <c r="Z319" t="s">
        <v>186</v>
      </c>
      <c r="AA319" t="s">
        <v>186</v>
      </c>
    </row>
    <row r="320" spans="2:36">
      <c r="B320" s="2" t="s">
        <v>809</v>
      </c>
      <c r="C320" s="2" t="s">
        <v>501</v>
      </c>
      <c r="D320" s="2" t="str">
        <f>Table5[[#This Row],[First name]]&amp;" "&amp;Table5[[#This Row],[Last name]]</f>
        <v>Syed Bilal</v>
      </c>
      <c r="E320" s="2" t="str">
        <f>_xlfn.XLOOKUP(Table5[[#This Row],[Full name]],Table26[Name],Table26[Role],"Member",0,1)</f>
        <v>Member</v>
      </c>
      <c r="F320" s="2" t="s">
        <v>188</v>
      </c>
      <c r="G320" s="26" cm="1">
        <f t="array" aca="1" ref="G320" ca="1">COUNTIF(Table5[[#This Row],[September 30, 2025]:[April 7, 2026]],"Yes")/SUMPRODUCT(--(DATEVALUE(Table5[[#Headers],[September 30, 2025]:[April 9, 2026]])&lt;=TODAY()))</f>
        <v>0.05</v>
      </c>
      <c r="H320" t="s">
        <v>190</v>
      </c>
      <c r="I320" t="s">
        <v>190</v>
      </c>
      <c r="J320" t="s">
        <v>190</v>
      </c>
      <c r="K320" t="s">
        <v>190</v>
      </c>
      <c r="L320" t="s">
        <v>186</v>
      </c>
      <c r="M320" t="s">
        <v>190</v>
      </c>
      <c r="N320" t="s">
        <v>190</v>
      </c>
      <c r="O320" t="s">
        <v>190</v>
      </c>
      <c r="P320" t="s">
        <v>190</v>
      </c>
      <c r="Q320" t="s">
        <v>190</v>
      </c>
      <c r="R320" t="s">
        <v>190</v>
      </c>
      <c r="S320" t="s">
        <v>190</v>
      </c>
      <c r="T320" s="151" t="s">
        <v>190</v>
      </c>
      <c r="U320" t="s">
        <v>190</v>
      </c>
      <c r="V320" t="s">
        <v>190</v>
      </c>
      <c r="W320" t="s">
        <v>190</v>
      </c>
      <c r="X320" t="s">
        <v>190</v>
      </c>
      <c r="Y320" t="s">
        <v>190</v>
      </c>
      <c r="Z320" t="s">
        <v>190</v>
      </c>
      <c r="AA320" t="s">
        <v>190</v>
      </c>
      <c r="AB320" t="s">
        <v>190</v>
      </c>
      <c r="AC320" t="s">
        <v>190</v>
      </c>
      <c r="AD320" t="s">
        <v>190</v>
      </c>
      <c r="AE320" t="s">
        <v>190</v>
      </c>
      <c r="AF320" t="s">
        <v>190</v>
      </c>
      <c r="AG320" t="s">
        <v>190</v>
      </c>
      <c r="AH320" t="s">
        <v>190</v>
      </c>
      <c r="AI320" t="s">
        <v>190</v>
      </c>
      <c r="AJ320" t="s">
        <v>190</v>
      </c>
    </row>
    <row r="321" spans="2:36">
      <c r="B321" s="2" t="s">
        <v>810</v>
      </c>
      <c r="C321" s="2" t="s">
        <v>788</v>
      </c>
      <c r="D321" s="2" t="str">
        <f>Table5[[#This Row],[First name]]&amp;" "&amp;Table5[[#This Row],[Last name]]</f>
        <v>Taha Siddiqui</v>
      </c>
      <c r="E321" s="2" t="str">
        <f>_xlfn.XLOOKUP(Table5[[#This Row],[Full name]],Table26[Name],Table26[Role],"Member",0,1)</f>
        <v>Member</v>
      </c>
      <c r="F321" s="2" t="s">
        <v>188</v>
      </c>
      <c r="G321" s="26" cm="1">
        <f t="array" aca="1" ref="G321" ca="1">COUNTIF(Table5[[#This Row],[September 30, 2025]:[April 7, 2026]],"Yes")/SUMPRODUCT(--(DATEVALUE(Table5[[#Headers],[September 30, 2025]:[April 9, 2026]])&lt;=TODAY()))</f>
        <v>0.2</v>
      </c>
      <c r="H321" t="s">
        <v>186</v>
      </c>
      <c r="I321" t="s">
        <v>190</v>
      </c>
      <c r="J321" t="s">
        <v>190</v>
      </c>
      <c r="K321" t="s">
        <v>190</v>
      </c>
      <c r="L321" t="s">
        <v>190</v>
      </c>
      <c r="M321" t="s">
        <v>190</v>
      </c>
      <c r="N321" t="s">
        <v>190</v>
      </c>
      <c r="O321" t="s">
        <v>186</v>
      </c>
      <c r="P321" t="s">
        <v>186</v>
      </c>
      <c r="Q321" t="s">
        <v>186</v>
      </c>
      <c r="R321" t="s">
        <v>190</v>
      </c>
      <c r="S321" t="s">
        <v>190</v>
      </c>
      <c r="T321" s="151" t="s">
        <v>190</v>
      </c>
      <c r="U321" t="s">
        <v>190</v>
      </c>
      <c r="V321" t="s">
        <v>190</v>
      </c>
      <c r="W321" t="s">
        <v>190</v>
      </c>
      <c r="X321" t="s">
        <v>190</v>
      </c>
      <c r="Y321" t="s">
        <v>190</v>
      </c>
      <c r="Z321" t="s">
        <v>190</v>
      </c>
      <c r="AA321" t="s">
        <v>190</v>
      </c>
      <c r="AB321" t="s">
        <v>190</v>
      </c>
      <c r="AC321" t="s">
        <v>190</v>
      </c>
      <c r="AD321" t="s">
        <v>190</v>
      </c>
      <c r="AE321" t="s">
        <v>190</v>
      </c>
      <c r="AF321" t="s">
        <v>190</v>
      </c>
      <c r="AG321" t="s">
        <v>190</v>
      </c>
      <c r="AH321" t="s">
        <v>190</v>
      </c>
      <c r="AI321" t="s">
        <v>190</v>
      </c>
      <c r="AJ321" t="s">
        <v>190</v>
      </c>
    </row>
    <row r="322" spans="2:36">
      <c r="B322" s="2" t="s">
        <v>811</v>
      </c>
      <c r="C322" s="2" t="s">
        <v>812</v>
      </c>
      <c r="D322" s="2" t="str">
        <f>Table5[[#This Row],[First name]]&amp;" "&amp;Table5[[#This Row],[Last name]]</f>
        <v>Taidhg Tajalli</v>
      </c>
      <c r="E322" s="2" t="str">
        <f>_xlfn.XLOOKUP(Table5[[#This Row],[Full name]],Table26[Name],Table26[Role],"Member",0,1)</f>
        <v>Member</v>
      </c>
      <c r="F322" s="2" t="s">
        <v>188</v>
      </c>
      <c r="G322" s="26" cm="1">
        <f t="array" aca="1" ref="G322" ca="1">COUNTIF(Table5[[#This Row],[September 30, 2025]:[April 7, 2026]],"Yes")/SUMPRODUCT(--(DATEVALUE(Table5[[#Headers],[September 30, 2025]:[April 9, 2026]])&lt;=TODAY()))</f>
        <v>0.75</v>
      </c>
      <c r="H322" t="s">
        <v>186</v>
      </c>
      <c r="I322" t="s">
        <v>186</v>
      </c>
      <c r="J322" t="s">
        <v>186</v>
      </c>
      <c r="K322" t="s">
        <v>190</v>
      </c>
      <c r="L322" t="s">
        <v>186</v>
      </c>
      <c r="M322" t="s">
        <v>186</v>
      </c>
      <c r="N322" t="s">
        <v>186</v>
      </c>
      <c r="O322" t="s">
        <v>186</v>
      </c>
      <c r="P322" t="s">
        <v>190</v>
      </c>
      <c r="Q322" t="s">
        <v>186</v>
      </c>
      <c r="R322" t="s">
        <v>186</v>
      </c>
      <c r="S322" t="s">
        <v>186</v>
      </c>
      <c r="T322" s="151" t="s">
        <v>186</v>
      </c>
      <c r="U322" t="s">
        <v>186</v>
      </c>
      <c r="V322" t="s">
        <v>190</v>
      </c>
      <c r="W322" t="s">
        <v>186</v>
      </c>
      <c r="X322" t="s">
        <v>186</v>
      </c>
      <c r="Y322" t="s">
        <v>186</v>
      </c>
      <c r="Z322" t="s">
        <v>190</v>
      </c>
      <c r="AA322" t="s">
        <v>190</v>
      </c>
      <c r="AB322" t="s">
        <v>190</v>
      </c>
      <c r="AC322" t="s">
        <v>190</v>
      </c>
      <c r="AD322" t="s">
        <v>190</v>
      </c>
      <c r="AE322" t="s">
        <v>190</v>
      </c>
      <c r="AF322" t="s">
        <v>190</v>
      </c>
      <c r="AG322" t="s">
        <v>190</v>
      </c>
      <c r="AH322" t="s">
        <v>190</v>
      </c>
      <c r="AI322" t="s">
        <v>190</v>
      </c>
      <c r="AJ322" t="s">
        <v>190</v>
      </c>
    </row>
    <row r="323" spans="2:36">
      <c r="B323" s="2" t="s">
        <v>813</v>
      </c>
      <c r="C323" s="2" t="s">
        <v>510</v>
      </c>
      <c r="D323" s="2" t="str">
        <f>Table5[[#This Row],[First name]]&amp;" "&amp;Table5[[#This Row],[Last name]]</f>
        <v>Taige Zhang</v>
      </c>
      <c r="E323" s="2" t="str">
        <f>_xlfn.XLOOKUP(Table5[[#This Row],[Full name]],Table26[Name],Table26[Role],"Member",0,1)</f>
        <v>Member</v>
      </c>
      <c r="F323" s="2" t="s">
        <v>188</v>
      </c>
      <c r="G323" s="26" cm="1">
        <f t="array" aca="1" ref="G323" ca="1">COUNTIF(Table5[[#This Row],[September 30, 2025]:[April 7, 2026]],"Yes")/SUMPRODUCT(--(DATEVALUE(Table5[[#Headers],[September 30, 2025]:[April 9, 2026]])&lt;=TODAY()))</f>
        <v>0.1</v>
      </c>
      <c r="H323" t="s">
        <v>190</v>
      </c>
      <c r="I323" t="s">
        <v>190</v>
      </c>
      <c r="J323" t="s">
        <v>190</v>
      </c>
      <c r="K323" t="s">
        <v>190</v>
      </c>
      <c r="L323" t="s">
        <v>190</v>
      </c>
      <c r="M323" t="s">
        <v>186</v>
      </c>
      <c r="N323" t="s">
        <v>190</v>
      </c>
      <c r="O323" t="s">
        <v>186</v>
      </c>
      <c r="P323" t="s">
        <v>190</v>
      </c>
      <c r="Q323" t="s">
        <v>190</v>
      </c>
      <c r="R323" t="s">
        <v>190</v>
      </c>
      <c r="S323" t="s">
        <v>190</v>
      </c>
      <c r="T323" s="151" t="s">
        <v>190</v>
      </c>
      <c r="U323" t="s">
        <v>190</v>
      </c>
      <c r="V323" t="s">
        <v>190</v>
      </c>
      <c r="W323" t="s">
        <v>190</v>
      </c>
      <c r="X323" t="s">
        <v>190</v>
      </c>
      <c r="Y323" t="s">
        <v>190</v>
      </c>
      <c r="Z323" t="s">
        <v>190</v>
      </c>
      <c r="AA323" t="s">
        <v>190</v>
      </c>
      <c r="AB323" t="s">
        <v>190</v>
      </c>
      <c r="AC323" t="s">
        <v>190</v>
      </c>
      <c r="AD323" t="s">
        <v>190</v>
      </c>
      <c r="AE323" t="s">
        <v>190</v>
      </c>
      <c r="AF323" t="s">
        <v>190</v>
      </c>
      <c r="AG323" t="s">
        <v>190</v>
      </c>
      <c r="AH323" t="s">
        <v>190</v>
      </c>
      <c r="AI323" t="s">
        <v>190</v>
      </c>
      <c r="AJ323" t="s">
        <v>190</v>
      </c>
    </row>
    <row r="324" spans="2:36">
      <c r="B324" s="2" t="s">
        <v>814</v>
      </c>
      <c r="C324" s="2" t="s">
        <v>350</v>
      </c>
      <c r="D324" s="2" t="str">
        <f>Table5[[#This Row],[First name]]&amp;" "&amp;Table5[[#This Row],[Last name]]</f>
        <v>Taowei Liu</v>
      </c>
      <c r="E324" s="2" t="str">
        <f>_xlfn.XLOOKUP(Table5[[#This Row],[Full name]],Table26[Name],Table26[Role],"Member",0,1)</f>
        <v>Member</v>
      </c>
      <c r="F324" s="2" t="s">
        <v>188</v>
      </c>
      <c r="G324" s="26" cm="1">
        <f t="array" aca="1" ref="G324" ca="1">COUNTIF(Table5[[#This Row],[September 30, 2025]:[April 7, 2026]],"Yes")/SUMPRODUCT(--(DATEVALUE(Table5[[#Headers],[September 30, 2025]:[April 9, 2026]])&lt;=TODAY()))</f>
        <v>0.25</v>
      </c>
      <c r="R324" t="s">
        <v>186</v>
      </c>
      <c r="S324" t="s">
        <v>186</v>
      </c>
      <c r="T324" s="151" t="s">
        <v>186</v>
      </c>
      <c r="U324" t="s">
        <v>186</v>
      </c>
      <c r="V324" t="s">
        <v>186</v>
      </c>
      <c r="X324" t="s">
        <v>190</v>
      </c>
      <c r="AA324" t="s">
        <v>190</v>
      </c>
    </row>
    <row r="325" spans="2:36">
      <c r="B325" s="2" t="s">
        <v>815</v>
      </c>
      <c r="C325" s="2" t="s">
        <v>350</v>
      </c>
      <c r="D325" s="2" t="str">
        <f>Table5[[#This Row],[First name]]&amp;" "&amp;Table5[[#This Row],[Last name]]</f>
        <v>Thomas Liu</v>
      </c>
      <c r="E325" s="2" t="str">
        <f>_xlfn.XLOOKUP(Table5[[#This Row],[Full name]],Table26[Name],Table26[Role],"Member",0,1)</f>
        <v>Member</v>
      </c>
      <c r="F325" s="2" t="s">
        <v>188</v>
      </c>
      <c r="G325" s="26" cm="1">
        <f t="array" aca="1" ref="G325" ca="1">COUNTIF(Table5[[#This Row],[September 30, 2025]:[April 7, 2026]],"Yes")/SUMPRODUCT(--(DATEVALUE(Table5[[#Headers],[September 30, 2025]:[April 9, 2026]])&lt;=TODAY()))</f>
        <v>0.8</v>
      </c>
      <c r="H325" t="s">
        <v>186</v>
      </c>
      <c r="I325" t="s">
        <v>186</v>
      </c>
      <c r="J325" t="s">
        <v>186</v>
      </c>
      <c r="K325" t="s">
        <v>186</v>
      </c>
      <c r="L325" t="s">
        <v>186</v>
      </c>
      <c r="M325" t="s">
        <v>186</v>
      </c>
      <c r="N325" t="s">
        <v>186</v>
      </c>
      <c r="O325" t="s">
        <v>186</v>
      </c>
      <c r="P325" t="s">
        <v>186</v>
      </c>
      <c r="Q325" t="s">
        <v>186</v>
      </c>
      <c r="R325" t="s">
        <v>186</v>
      </c>
      <c r="S325" t="s">
        <v>186</v>
      </c>
      <c r="T325" s="151" t="s">
        <v>186</v>
      </c>
      <c r="U325" t="s">
        <v>190</v>
      </c>
      <c r="V325" t="s">
        <v>186</v>
      </c>
      <c r="W325" t="s">
        <v>190</v>
      </c>
      <c r="X325" t="s">
        <v>186</v>
      </c>
      <c r="Y325" t="s">
        <v>186</v>
      </c>
      <c r="Z325" t="s">
        <v>190</v>
      </c>
      <c r="AA325" t="s">
        <v>190</v>
      </c>
      <c r="AB325" t="s">
        <v>190</v>
      </c>
      <c r="AC325" t="s">
        <v>190</v>
      </c>
      <c r="AD325" t="s">
        <v>190</v>
      </c>
      <c r="AE325" t="s">
        <v>190</v>
      </c>
      <c r="AF325" t="s">
        <v>190</v>
      </c>
      <c r="AG325" t="s">
        <v>190</v>
      </c>
      <c r="AH325" t="s">
        <v>190</v>
      </c>
      <c r="AI325" t="s">
        <v>190</v>
      </c>
      <c r="AJ325" t="s">
        <v>190</v>
      </c>
    </row>
    <row r="326" spans="2:36">
      <c r="B326" s="2" t="s">
        <v>816</v>
      </c>
      <c r="C326" s="2" t="s">
        <v>817</v>
      </c>
      <c r="D326" s="2" t="str">
        <f>Table5[[#This Row],[First name]]&amp;" "&amp;Table5[[#This Row],[Last name]]</f>
        <v>Timothy  Yeung</v>
      </c>
      <c r="E326" s="2" t="str">
        <f>_xlfn.XLOOKUP(Table5[[#This Row],[Full name]],Table26[Name],Table26[Role],"Member",0,1)</f>
        <v>Member</v>
      </c>
      <c r="F326" s="2" t="s">
        <v>188</v>
      </c>
      <c r="G326" s="26" cm="1">
        <f t="array" aca="1" ref="G326" ca="1">COUNTIF(Table5[[#This Row],[September 30, 2025]:[April 7, 2026]],"Yes")/SUMPRODUCT(--(DATEVALUE(Table5[[#Headers],[September 30, 2025]:[April 9, 2026]])&lt;=TODAY()))</f>
        <v>0.25</v>
      </c>
      <c r="H326" t="s">
        <v>190</v>
      </c>
      <c r="I326" t="s">
        <v>190</v>
      </c>
      <c r="J326" t="s">
        <v>186</v>
      </c>
      <c r="K326" t="s">
        <v>186</v>
      </c>
      <c r="L326" t="s">
        <v>190</v>
      </c>
      <c r="M326" t="s">
        <v>190</v>
      </c>
      <c r="N326" t="s">
        <v>190</v>
      </c>
      <c r="O326" t="s">
        <v>186</v>
      </c>
      <c r="P326" t="s">
        <v>190</v>
      </c>
      <c r="Q326" t="s">
        <v>190</v>
      </c>
      <c r="R326" t="s">
        <v>186</v>
      </c>
      <c r="S326" t="s">
        <v>190</v>
      </c>
      <c r="T326" s="151" t="s">
        <v>190</v>
      </c>
      <c r="U326" t="s">
        <v>190</v>
      </c>
      <c r="V326" t="s">
        <v>190</v>
      </c>
      <c r="W326" t="s">
        <v>190</v>
      </c>
      <c r="X326" t="s">
        <v>190</v>
      </c>
      <c r="Y326" t="s">
        <v>186</v>
      </c>
      <c r="Z326" t="s">
        <v>190</v>
      </c>
      <c r="AA326" t="s">
        <v>190</v>
      </c>
      <c r="AB326" t="s">
        <v>190</v>
      </c>
      <c r="AC326" t="s">
        <v>190</v>
      </c>
      <c r="AD326" t="s">
        <v>190</v>
      </c>
      <c r="AE326" t="s">
        <v>190</v>
      </c>
      <c r="AF326" t="s">
        <v>190</v>
      </c>
      <c r="AG326" t="s">
        <v>190</v>
      </c>
      <c r="AH326" t="s">
        <v>190</v>
      </c>
      <c r="AI326" t="s">
        <v>190</v>
      </c>
      <c r="AJ326" t="s">
        <v>190</v>
      </c>
    </row>
    <row r="327" spans="2:36">
      <c r="B327" s="2" t="s">
        <v>818</v>
      </c>
      <c r="C327" s="2" t="s">
        <v>819</v>
      </c>
      <c r="D327" s="2" t="str">
        <f>Table5[[#This Row],[First name]]&amp;" "&amp;Table5[[#This Row],[Last name]]</f>
        <v>Toma Pituscan</v>
      </c>
      <c r="E327" s="2" t="str">
        <f>_xlfn.XLOOKUP(Table5[[#This Row],[Full name]],Table26[Name],Table26[Role],"Member",0,1)</f>
        <v>Member</v>
      </c>
      <c r="F327" s="2" t="s">
        <v>188</v>
      </c>
      <c r="G327" s="26" cm="1">
        <f t="array" aca="1" ref="G327" ca="1">COUNTIF(Table5[[#This Row],[September 30, 2025]:[April 7, 2026]],"Yes")/SUMPRODUCT(--(DATEVALUE(Table5[[#Headers],[September 30, 2025]:[April 9, 2026]])&lt;=TODAY()))</f>
        <v>0.05</v>
      </c>
      <c r="R327" t="s">
        <v>186</v>
      </c>
      <c r="T327" s="151" t="s">
        <v>190</v>
      </c>
      <c r="V327" t="s">
        <v>190</v>
      </c>
      <c r="X327" t="s">
        <v>190</v>
      </c>
      <c r="AA327" t="s">
        <v>190</v>
      </c>
    </row>
    <row r="328" spans="2:36">
      <c r="B328" s="2" t="s">
        <v>820</v>
      </c>
      <c r="C328" s="2" t="s">
        <v>821</v>
      </c>
      <c r="D328" s="2" t="str">
        <f>Table5[[#This Row],[First name]]&amp;" "&amp;Table5[[#This Row],[Last name]]</f>
        <v>Tomas Cuni</v>
      </c>
      <c r="E328" s="2" t="str">
        <f>_xlfn.XLOOKUP(Table5[[#This Row],[Full name]],Table26[Name],Table26[Role],"Member",0,1)</f>
        <v>Member</v>
      </c>
      <c r="F328" s="2" t="s">
        <v>188</v>
      </c>
      <c r="G328" s="26" cm="1">
        <f t="array" aca="1" ref="G328" ca="1">COUNTIF(Table5[[#This Row],[September 30, 2025]:[April 7, 2026]],"Yes")/SUMPRODUCT(--(DATEVALUE(Table5[[#Headers],[September 30, 2025]:[April 9, 2026]])&lt;=TODAY()))</f>
        <v>0</v>
      </c>
      <c r="H328" t="s">
        <v>190</v>
      </c>
      <c r="I328" t="s">
        <v>190</v>
      </c>
      <c r="J328" t="s">
        <v>190</v>
      </c>
      <c r="K328" t="s">
        <v>190</v>
      </c>
      <c r="L328" t="s">
        <v>190</v>
      </c>
      <c r="M328" t="s">
        <v>190</v>
      </c>
      <c r="N328" t="s">
        <v>190</v>
      </c>
      <c r="O328" t="s">
        <v>190</v>
      </c>
      <c r="P328" t="s">
        <v>190</v>
      </c>
      <c r="Q328" t="s">
        <v>190</v>
      </c>
      <c r="R328" t="s">
        <v>190</v>
      </c>
      <c r="S328" t="s">
        <v>190</v>
      </c>
      <c r="T328" s="151" t="s">
        <v>190</v>
      </c>
      <c r="U328" t="s">
        <v>190</v>
      </c>
      <c r="V328" t="s">
        <v>190</v>
      </c>
      <c r="W328" t="s">
        <v>190</v>
      </c>
      <c r="X328" t="s">
        <v>190</v>
      </c>
      <c r="Y328" t="s">
        <v>190</v>
      </c>
      <c r="Z328" t="s">
        <v>190</v>
      </c>
      <c r="AA328" t="s">
        <v>190</v>
      </c>
      <c r="AB328" t="s">
        <v>190</v>
      </c>
      <c r="AC328" t="s">
        <v>190</v>
      </c>
      <c r="AD328" t="s">
        <v>190</v>
      </c>
      <c r="AE328" t="s">
        <v>190</v>
      </c>
      <c r="AF328" t="s">
        <v>190</v>
      </c>
      <c r="AG328" t="s">
        <v>190</v>
      </c>
      <c r="AH328" t="s">
        <v>190</v>
      </c>
      <c r="AI328" t="s">
        <v>190</v>
      </c>
      <c r="AJ328" t="s">
        <v>190</v>
      </c>
    </row>
    <row r="329" spans="2:36">
      <c r="B329" s="2" t="s">
        <v>822</v>
      </c>
      <c r="C329" s="2" t="s">
        <v>823</v>
      </c>
      <c r="D329" s="2" t="str">
        <f>Table5[[#This Row],[First name]]&amp;" "&amp;Table5[[#This Row],[Last name]]</f>
        <v>Tommy Truong</v>
      </c>
      <c r="E329" s="2" t="str">
        <f>_xlfn.XLOOKUP(Table5[[#This Row],[Full name]],Table26[Name],Table26[Role],"Member",0,1)</f>
        <v>Member</v>
      </c>
      <c r="F329" s="2" t="s">
        <v>188</v>
      </c>
      <c r="G329" s="26" cm="1">
        <f t="array" aca="1" ref="G329" ca="1">COUNTIF(Table5[[#This Row],[September 30, 2025]:[April 7, 2026]],"Yes")/SUMPRODUCT(--(DATEVALUE(Table5[[#Headers],[September 30, 2025]:[April 9, 2026]])&lt;=TODAY()))</f>
        <v>0.9</v>
      </c>
      <c r="H329" t="s">
        <v>186</v>
      </c>
      <c r="I329" t="s">
        <v>186</v>
      </c>
      <c r="J329" t="s">
        <v>186</v>
      </c>
      <c r="K329" t="s">
        <v>190</v>
      </c>
      <c r="L329" t="s">
        <v>186</v>
      </c>
      <c r="M329" t="s">
        <v>186</v>
      </c>
      <c r="N329" t="s">
        <v>186</v>
      </c>
      <c r="O329" t="s">
        <v>186</v>
      </c>
      <c r="P329" t="s">
        <v>186</v>
      </c>
      <c r="Q329" t="s">
        <v>186</v>
      </c>
      <c r="R329" t="s">
        <v>190</v>
      </c>
      <c r="S329" t="s">
        <v>186</v>
      </c>
      <c r="T329" s="151" t="s">
        <v>186</v>
      </c>
      <c r="U329" t="s">
        <v>186</v>
      </c>
      <c r="V329" t="s">
        <v>186</v>
      </c>
      <c r="W329" t="s">
        <v>186</v>
      </c>
      <c r="X329" t="s">
        <v>186</v>
      </c>
      <c r="Y329" t="s">
        <v>186</v>
      </c>
      <c r="Z329" t="s">
        <v>186</v>
      </c>
      <c r="AA329" t="s">
        <v>186</v>
      </c>
      <c r="AB329" t="s">
        <v>190</v>
      </c>
      <c r="AC329" t="s">
        <v>190</v>
      </c>
      <c r="AD329" t="s">
        <v>190</v>
      </c>
      <c r="AE329" t="s">
        <v>190</v>
      </c>
      <c r="AF329" t="s">
        <v>190</v>
      </c>
      <c r="AG329" t="s">
        <v>190</v>
      </c>
      <c r="AH329" t="s">
        <v>190</v>
      </c>
      <c r="AI329" t="s">
        <v>190</v>
      </c>
      <c r="AJ329" t="s">
        <v>190</v>
      </c>
    </row>
    <row r="330" spans="2:36">
      <c r="B330" s="2" t="s">
        <v>307</v>
      </c>
      <c r="C330" s="2" t="s">
        <v>824</v>
      </c>
      <c r="D330" s="2" t="str">
        <f>Table5[[#This Row],[First name]]&amp;" "&amp;Table5[[#This Row],[Last name]]</f>
        <v>Tyler Griffiths</v>
      </c>
      <c r="E330" s="2" t="str">
        <f>_xlfn.XLOOKUP(Table5[[#This Row],[Full name]],Table26[Name],Table26[Role],"Member",0,1)</f>
        <v>Member</v>
      </c>
      <c r="F330" s="2" t="s">
        <v>188</v>
      </c>
      <c r="G330" s="26" cm="1">
        <f t="array" aca="1" ref="G330" ca="1">COUNTIF(Table5[[#This Row],[September 30, 2025]:[April 7, 2026]],"Yes")/SUMPRODUCT(--(DATEVALUE(Table5[[#Headers],[September 30, 2025]:[April 9, 2026]])&lt;=TODAY()))</f>
        <v>0.05</v>
      </c>
      <c r="H330" t="s">
        <v>186</v>
      </c>
      <c r="I330" t="s">
        <v>190</v>
      </c>
      <c r="J330" t="s">
        <v>190</v>
      </c>
      <c r="K330" t="s">
        <v>190</v>
      </c>
      <c r="L330" t="s">
        <v>190</v>
      </c>
      <c r="M330" t="s">
        <v>190</v>
      </c>
      <c r="N330" t="s">
        <v>190</v>
      </c>
      <c r="O330" t="s">
        <v>190</v>
      </c>
      <c r="P330" t="s">
        <v>190</v>
      </c>
      <c r="Q330" t="s">
        <v>190</v>
      </c>
      <c r="R330" t="s">
        <v>190</v>
      </c>
      <c r="S330" t="s">
        <v>190</v>
      </c>
      <c r="T330" s="151" t="s">
        <v>190</v>
      </c>
      <c r="U330" t="s">
        <v>190</v>
      </c>
      <c r="V330" t="s">
        <v>190</v>
      </c>
      <c r="W330" t="s">
        <v>190</v>
      </c>
      <c r="X330" t="s">
        <v>190</v>
      </c>
      <c r="Y330" t="s">
        <v>190</v>
      </c>
      <c r="Z330" t="s">
        <v>190</v>
      </c>
      <c r="AA330" t="s">
        <v>190</v>
      </c>
      <c r="AB330" t="s">
        <v>190</v>
      </c>
      <c r="AC330" t="s">
        <v>190</v>
      </c>
      <c r="AD330" t="s">
        <v>190</v>
      </c>
      <c r="AE330" t="s">
        <v>190</v>
      </c>
      <c r="AF330" t="s">
        <v>190</v>
      </c>
      <c r="AG330" t="s">
        <v>190</v>
      </c>
      <c r="AH330" t="s">
        <v>190</v>
      </c>
      <c r="AI330" t="s">
        <v>190</v>
      </c>
      <c r="AJ330" t="s">
        <v>190</v>
      </c>
    </row>
    <row r="331" spans="2:36">
      <c r="B331" s="2" t="s">
        <v>307</v>
      </c>
      <c r="C331" s="2" t="s">
        <v>825</v>
      </c>
      <c r="D331" s="2" t="str">
        <f>Table5[[#This Row],[First name]]&amp;" "&amp;Table5[[#This Row],[Last name]]</f>
        <v>Tyler Maddox</v>
      </c>
      <c r="E331" s="2" t="str">
        <f>_xlfn.XLOOKUP(Table5[[#This Row],[Full name]],Table26[Name],Table26[Role],"Member",0,1)</f>
        <v>Member</v>
      </c>
      <c r="F331" s="2" t="s">
        <v>188</v>
      </c>
      <c r="G331" s="26" cm="1">
        <f t="array" aca="1" ref="G331" ca="1">COUNTIF(Table5[[#This Row],[September 30, 2025]:[April 7, 2026]],"Yes")/SUMPRODUCT(--(DATEVALUE(Table5[[#Headers],[September 30, 2025]:[April 9, 2026]])&lt;=TODAY()))</f>
        <v>0.05</v>
      </c>
      <c r="H331" t="s">
        <v>190</v>
      </c>
      <c r="I331" t="s">
        <v>190</v>
      </c>
      <c r="J331" t="s">
        <v>186</v>
      </c>
      <c r="K331" t="s">
        <v>190</v>
      </c>
      <c r="L331" t="s">
        <v>190</v>
      </c>
      <c r="M331" t="s">
        <v>190</v>
      </c>
      <c r="N331" t="s">
        <v>190</v>
      </c>
      <c r="O331" t="s">
        <v>190</v>
      </c>
      <c r="P331" t="s">
        <v>190</v>
      </c>
      <c r="Q331" t="s">
        <v>190</v>
      </c>
      <c r="R331" t="s">
        <v>190</v>
      </c>
      <c r="S331" t="s">
        <v>190</v>
      </c>
      <c r="T331" s="151" t="s">
        <v>190</v>
      </c>
      <c r="U331" t="s">
        <v>190</v>
      </c>
      <c r="V331" t="s">
        <v>190</v>
      </c>
      <c r="W331" t="s">
        <v>190</v>
      </c>
      <c r="X331" t="s">
        <v>190</v>
      </c>
      <c r="Y331" t="s">
        <v>190</v>
      </c>
      <c r="Z331" t="s">
        <v>190</v>
      </c>
      <c r="AA331" t="s">
        <v>190</v>
      </c>
      <c r="AB331" t="s">
        <v>190</v>
      </c>
      <c r="AC331" t="s">
        <v>190</v>
      </c>
      <c r="AD331" t="s">
        <v>190</v>
      </c>
      <c r="AE331" t="s">
        <v>190</v>
      </c>
      <c r="AF331" t="s">
        <v>190</v>
      </c>
      <c r="AG331" t="s">
        <v>190</v>
      </c>
      <c r="AH331" t="s">
        <v>190</v>
      </c>
      <c r="AI331" t="s">
        <v>190</v>
      </c>
      <c r="AJ331" t="s">
        <v>190</v>
      </c>
    </row>
    <row r="332" spans="2:36">
      <c r="B332" s="2" t="s">
        <v>826</v>
      </c>
      <c r="C332" s="2" t="s">
        <v>827</v>
      </c>
      <c r="D332" s="2" t="str">
        <f>Table5[[#This Row],[First name]]&amp;" "&amp;Table5[[#This Row],[Last name]]</f>
        <v>Vanessa Olutayo</v>
      </c>
      <c r="E332" s="2" t="str">
        <f>_xlfn.XLOOKUP(Table5[[#This Row],[Full name]],Table26[Name],Table26[Role],"Member",0,1)</f>
        <v>Member</v>
      </c>
      <c r="F332" s="2" t="s">
        <v>188</v>
      </c>
      <c r="G332" s="26" cm="1">
        <f t="array" aca="1" ref="G332" ca="1">COUNTIF(Table5[[#This Row],[September 30, 2025]:[April 7, 2026]],"Yes")/SUMPRODUCT(--(DATEVALUE(Table5[[#Headers],[September 30, 2025]:[April 9, 2026]])&lt;=TODAY()))</f>
        <v>0.1</v>
      </c>
      <c r="Q332" t="s">
        <v>186</v>
      </c>
      <c r="R332" t="s">
        <v>190</v>
      </c>
      <c r="S332" t="s">
        <v>190</v>
      </c>
      <c r="T332" s="151" t="s">
        <v>190</v>
      </c>
      <c r="U332" t="s">
        <v>186</v>
      </c>
      <c r="V332" t="s">
        <v>190</v>
      </c>
      <c r="W332" t="s">
        <v>190</v>
      </c>
      <c r="X332" t="s">
        <v>190</v>
      </c>
      <c r="Y332" t="s">
        <v>190</v>
      </c>
      <c r="Z332" t="s">
        <v>190</v>
      </c>
      <c r="AA332" t="s">
        <v>190</v>
      </c>
      <c r="AB332" t="s">
        <v>190</v>
      </c>
      <c r="AC332" t="s">
        <v>190</v>
      </c>
      <c r="AD332" t="s">
        <v>190</v>
      </c>
      <c r="AE332" t="s">
        <v>190</v>
      </c>
      <c r="AF332" t="s">
        <v>190</v>
      </c>
      <c r="AG332" t="s">
        <v>190</v>
      </c>
      <c r="AH332" t="s">
        <v>190</v>
      </c>
      <c r="AI332" t="s">
        <v>190</v>
      </c>
      <c r="AJ332" t="s">
        <v>190</v>
      </c>
    </row>
    <row r="333" spans="2:36">
      <c r="B333" s="2" t="s">
        <v>828</v>
      </c>
      <c r="C333" s="2" t="s">
        <v>829</v>
      </c>
      <c r="D333" s="2" t="str">
        <f>Table5[[#This Row],[First name]]&amp;" "&amp;Table5[[#This Row],[Last name]]</f>
        <v>Victor Pivtoran</v>
      </c>
      <c r="E333" s="2" t="str">
        <f>_xlfn.XLOOKUP(Table5[[#This Row],[Full name]],Table26[Name],Table26[Role],"Member",0,1)</f>
        <v>Member</v>
      </c>
      <c r="F333" s="2" t="s">
        <v>188</v>
      </c>
      <c r="G333" s="26" cm="1">
        <f t="array" aca="1" ref="G333" ca="1">COUNTIF(Table5[[#This Row],[September 30, 2025]:[April 7, 2026]],"Yes")/SUMPRODUCT(--(DATEVALUE(Table5[[#Headers],[September 30, 2025]:[April 9, 2026]])&lt;=TODAY()))</f>
        <v>0.75</v>
      </c>
      <c r="H333" t="s">
        <v>190</v>
      </c>
      <c r="I333" t="s">
        <v>186</v>
      </c>
      <c r="J333" t="s">
        <v>186</v>
      </c>
      <c r="K333" t="s">
        <v>186</v>
      </c>
      <c r="L333" t="s">
        <v>190</v>
      </c>
      <c r="M333" t="s">
        <v>186</v>
      </c>
      <c r="N333" t="s">
        <v>186</v>
      </c>
      <c r="O333" t="s">
        <v>186</v>
      </c>
      <c r="P333" t="s">
        <v>190</v>
      </c>
      <c r="Q333" t="s">
        <v>186</v>
      </c>
      <c r="R333" t="s">
        <v>186</v>
      </c>
      <c r="S333" t="s">
        <v>186</v>
      </c>
      <c r="T333" s="151" t="s">
        <v>186</v>
      </c>
      <c r="U333" t="s">
        <v>186</v>
      </c>
      <c r="V333" t="s">
        <v>186</v>
      </c>
      <c r="W333" t="s">
        <v>186</v>
      </c>
      <c r="X333" t="s">
        <v>190</v>
      </c>
      <c r="Y333" t="s">
        <v>186</v>
      </c>
      <c r="Z333" t="s">
        <v>190</v>
      </c>
      <c r="AA333" t="s">
        <v>186</v>
      </c>
      <c r="AB333" t="s">
        <v>190</v>
      </c>
      <c r="AC333" t="s">
        <v>190</v>
      </c>
      <c r="AD333" t="s">
        <v>190</v>
      </c>
      <c r="AE333" t="s">
        <v>190</v>
      </c>
      <c r="AF333" t="s">
        <v>190</v>
      </c>
      <c r="AG333" t="s">
        <v>190</v>
      </c>
      <c r="AH333" t="s">
        <v>190</v>
      </c>
      <c r="AI333" t="s">
        <v>190</v>
      </c>
      <c r="AJ333" t="s">
        <v>190</v>
      </c>
    </row>
    <row r="334" spans="2:36">
      <c r="B334" s="2" t="s">
        <v>830</v>
      </c>
      <c r="C334" s="2" t="s">
        <v>831</v>
      </c>
      <c r="D334" s="2" t="str">
        <f>Table5[[#This Row],[First name]]&amp;" "&amp;Table5[[#This Row],[Last name]]</f>
        <v>Vik Anandkmar</v>
      </c>
      <c r="E334" s="2" t="str">
        <f>_xlfn.XLOOKUP(Table5[[#This Row],[Full name]],Table26[Name],Table26[Role],"Member",0,1)</f>
        <v>Member</v>
      </c>
      <c r="F334" s="2" t="s">
        <v>188</v>
      </c>
      <c r="G334" s="26" cm="1">
        <f t="array" aca="1" ref="G334" ca="1">COUNTIF(Table5[[#This Row],[September 30, 2025]:[April 7, 2026]],"Yes")/SUMPRODUCT(--(DATEVALUE(Table5[[#Headers],[September 30, 2025]:[April 9, 2026]])&lt;=TODAY()))</f>
        <v>1</v>
      </c>
      <c r="H334" t="s">
        <v>186</v>
      </c>
      <c r="I334" t="s">
        <v>186</v>
      </c>
      <c r="J334" t="s">
        <v>186</v>
      </c>
      <c r="K334" t="s">
        <v>186</v>
      </c>
      <c r="L334" t="s">
        <v>186</v>
      </c>
      <c r="M334" t="s">
        <v>186</v>
      </c>
      <c r="N334" t="s">
        <v>186</v>
      </c>
      <c r="O334" t="s">
        <v>186</v>
      </c>
      <c r="P334" t="s">
        <v>186</v>
      </c>
      <c r="Q334" t="s">
        <v>186</v>
      </c>
      <c r="R334" t="s">
        <v>186</v>
      </c>
      <c r="S334" t="s">
        <v>186</v>
      </c>
      <c r="T334" s="151" t="s">
        <v>186</v>
      </c>
      <c r="U334" t="s">
        <v>186</v>
      </c>
      <c r="V334" t="s">
        <v>186</v>
      </c>
      <c r="W334" t="s">
        <v>186</v>
      </c>
      <c r="X334" t="s">
        <v>186</v>
      </c>
      <c r="Y334" t="s">
        <v>186</v>
      </c>
      <c r="Z334" t="s">
        <v>186</v>
      </c>
      <c r="AA334" t="s">
        <v>186</v>
      </c>
      <c r="AB334" t="s">
        <v>190</v>
      </c>
      <c r="AC334" t="s">
        <v>190</v>
      </c>
      <c r="AD334" t="s">
        <v>190</v>
      </c>
      <c r="AE334" t="s">
        <v>190</v>
      </c>
      <c r="AF334" t="s">
        <v>190</v>
      </c>
      <c r="AG334" t="s">
        <v>190</v>
      </c>
      <c r="AH334" t="s">
        <v>190</v>
      </c>
      <c r="AI334" t="s">
        <v>190</v>
      </c>
      <c r="AJ334" t="s">
        <v>190</v>
      </c>
    </row>
    <row r="335" spans="2:36">
      <c r="B335" s="2" t="s">
        <v>832</v>
      </c>
      <c r="C335" s="2" t="s">
        <v>833</v>
      </c>
      <c r="D335" s="2" t="str">
        <f>Table5[[#This Row],[First name]]&amp;" "&amp;Table5[[#This Row],[Last name]]</f>
        <v>Vishall Balaji Balakrishnan</v>
      </c>
      <c r="E335" s="2" t="str">
        <f>_xlfn.XLOOKUP(Table5[[#This Row],[Full name]],Table26[Name],Table26[Role],"Member",0,1)</f>
        <v>Member</v>
      </c>
      <c r="F335" s="2" t="s">
        <v>188</v>
      </c>
      <c r="G335" s="26" cm="1">
        <f t="array" aca="1" ref="G335" ca="1">COUNTIF(Table5[[#This Row],[September 30, 2025]:[April 7, 2026]],"Yes")/SUMPRODUCT(--(DATEVALUE(Table5[[#Headers],[September 30, 2025]:[April 9, 2026]])&lt;=TODAY()))</f>
        <v>0.3</v>
      </c>
      <c r="H335" t="s">
        <v>190</v>
      </c>
      <c r="I335" t="s">
        <v>186</v>
      </c>
      <c r="J335" t="s">
        <v>186</v>
      </c>
      <c r="K335" t="s">
        <v>190</v>
      </c>
      <c r="L335" t="s">
        <v>190</v>
      </c>
      <c r="M335" t="s">
        <v>190</v>
      </c>
      <c r="N335" t="s">
        <v>190</v>
      </c>
      <c r="O335" t="s">
        <v>190</v>
      </c>
      <c r="P335" t="s">
        <v>190</v>
      </c>
      <c r="Q335" t="s">
        <v>190</v>
      </c>
      <c r="R335" t="s">
        <v>186</v>
      </c>
      <c r="S335" t="s">
        <v>186</v>
      </c>
      <c r="T335" s="151" t="s">
        <v>190</v>
      </c>
      <c r="U335" t="s">
        <v>186</v>
      </c>
      <c r="V335" t="s">
        <v>186</v>
      </c>
      <c r="W335" t="s">
        <v>190</v>
      </c>
      <c r="X335" t="s">
        <v>190</v>
      </c>
      <c r="Y335" t="s">
        <v>190</v>
      </c>
      <c r="Z335" t="s">
        <v>190</v>
      </c>
      <c r="AA335" t="s">
        <v>190</v>
      </c>
      <c r="AB335" t="s">
        <v>190</v>
      </c>
      <c r="AC335" t="s">
        <v>190</v>
      </c>
      <c r="AD335" t="s">
        <v>190</v>
      </c>
      <c r="AE335" t="s">
        <v>190</v>
      </c>
      <c r="AF335" t="s">
        <v>190</v>
      </c>
      <c r="AG335" t="s">
        <v>190</v>
      </c>
      <c r="AH335" t="s">
        <v>190</v>
      </c>
      <c r="AI335" t="s">
        <v>190</v>
      </c>
      <c r="AJ335" t="s">
        <v>190</v>
      </c>
    </row>
    <row r="336" spans="2:36">
      <c r="B336" s="2" t="s">
        <v>834</v>
      </c>
      <c r="C336" s="2" t="s">
        <v>835</v>
      </c>
      <c r="D336" s="2" t="str">
        <f>Table5[[#This Row],[First name]]&amp;" "&amp;Table5[[#This Row],[Last name]]</f>
        <v>Vivaan Master</v>
      </c>
      <c r="E336" s="2" t="str">
        <f>_xlfn.XLOOKUP(Table5[[#This Row],[Full name]],Table26[Name],Table26[Role],"Member",0,1)</f>
        <v>Member</v>
      </c>
      <c r="F336" s="2" t="s">
        <v>188</v>
      </c>
      <c r="G336" s="26" cm="1">
        <f t="array" aca="1" ref="G336" ca="1">COUNTIF(Table5[[#This Row],[September 30, 2025]:[April 7, 2026]],"Yes")/SUMPRODUCT(--(DATEVALUE(Table5[[#Headers],[September 30, 2025]:[April 9, 2026]])&lt;=TODAY()))</f>
        <v>0</v>
      </c>
      <c r="H336" t="s">
        <v>190</v>
      </c>
      <c r="I336" t="s">
        <v>190</v>
      </c>
      <c r="J336" t="s">
        <v>190</v>
      </c>
      <c r="K336" t="s">
        <v>190</v>
      </c>
      <c r="L336" t="s">
        <v>190</v>
      </c>
      <c r="M336" t="s">
        <v>190</v>
      </c>
      <c r="N336" t="s">
        <v>190</v>
      </c>
      <c r="O336" t="s">
        <v>190</v>
      </c>
      <c r="P336" t="s">
        <v>190</v>
      </c>
      <c r="Q336" t="s">
        <v>190</v>
      </c>
      <c r="R336" t="s">
        <v>190</v>
      </c>
      <c r="S336" t="s">
        <v>190</v>
      </c>
      <c r="T336" s="151" t="s">
        <v>190</v>
      </c>
      <c r="U336" t="s">
        <v>190</v>
      </c>
      <c r="V336" t="s">
        <v>190</v>
      </c>
      <c r="W336" t="s">
        <v>190</v>
      </c>
      <c r="X336" t="s">
        <v>190</v>
      </c>
      <c r="Y336" t="s">
        <v>190</v>
      </c>
      <c r="Z336" t="s">
        <v>190</v>
      </c>
      <c r="AA336" t="s">
        <v>190</v>
      </c>
      <c r="AB336" t="s">
        <v>190</v>
      </c>
      <c r="AC336" t="s">
        <v>190</v>
      </c>
      <c r="AD336" t="s">
        <v>190</v>
      </c>
      <c r="AE336" t="s">
        <v>190</v>
      </c>
      <c r="AF336" t="s">
        <v>190</v>
      </c>
      <c r="AG336" t="s">
        <v>190</v>
      </c>
      <c r="AH336" t="s">
        <v>190</v>
      </c>
      <c r="AI336" t="s">
        <v>190</v>
      </c>
      <c r="AJ336" t="s">
        <v>190</v>
      </c>
    </row>
    <row r="337" spans="2:36">
      <c r="B337" s="2" t="s">
        <v>416</v>
      </c>
      <c r="C337" s="2" t="s">
        <v>836</v>
      </c>
      <c r="D337" s="2" t="str">
        <f>Table5[[#This Row],[First name]]&amp;" "&amp;Table5[[#This Row],[Last name]]</f>
        <v>William Meldrum</v>
      </c>
      <c r="E337" s="2" t="str">
        <f>_xlfn.XLOOKUP(Table5[[#This Row],[Full name]],Table26[Name],Table26[Role],"Member",0,1)</f>
        <v>Member</v>
      </c>
      <c r="F337" s="2" t="s">
        <v>188</v>
      </c>
      <c r="G337" s="26" cm="1">
        <f t="array" aca="1" ref="G337" ca="1">COUNTIF(Table5[[#This Row],[September 30, 2025]:[April 7, 2026]],"Yes")/SUMPRODUCT(--(DATEVALUE(Table5[[#Headers],[September 30, 2025]:[April 9, 2026]])&lt;=TODAY()))</f>
        <v>0</v>
      </c>
      <c r="H337" t="s">
        <v>190</v>
      </c>
      <c r="I337" t="s">
        <v>190</v>
      </c>
      <c r="J337" t="s">
        <v>190</v>
      </c>
      <c r="K337" t="s">
        <v>190</v>
      </c>
      <c r="L337" t="s">
        <v>190</v>
      </c>
      <c r="M337" t="s">
        <v>190</v>
      </c>
      <c r="N337" t="s">
        <v>190</v>
      </c>
      <c r="O337" t="s">
        <v>190</v>
      </c>
      <c r="P337" t="s">
        <v>190</v>
      </c>
      <c r="Q337" t="s">
        <v>190</v>
      </c>
      <c r="R337" t="s">
        <v>190</v>
      </c>
      <c r="S337" t="s">
        <v>190</v>
      </c>
      <c r="T337" s="151" t="s">
        <v>190</v>
      </c>
      <c r="U337" t="s">
        <v>190</v>
      </c>
      <c r="V337" t="s">
        <v>190</v>
      </c>
      <c r="W337" t="s">
        <v>190</v>
      </c>
      <c r="X337" t="s">
        <v>190</v>
      </c>
      <c r="Y337" t="s">
        <v>190</v>
      </c>
      <c r="Z337" t="s">
        <v>190</v>
      </c>
      <c r="AA337" t="s">
        <v>190</v>
      </c>
      <c r="AB337" t="s">
        <v>190</v>
      </c>
      <c r="AC337" t="s">
        <v>190</v>
      </c>
      <c r="AD337" t="s">
        <v>190</v>
      </c>
      <c r="AE337" t="s">
        <v>190</v>
      </c>
      <c r="AF337" t="s">
        <v>190</v>
      </c>
      <c r="AG337" t="s">
        <v>190</v>
      </c>
      <c r="AH337" t="s">
        <v>190</v>
      </c>
      <c r="AI337" t="s">
        <v>190</v>
      </c>
      <c r="AJ337" t="s">
        <v>190</v>
      </c>
    </row>
    <row r="338" spans="2:36">
      <c r="B338" s="2" t="s">
        <v>416</v>
      </c>
      <c r="C338" s="2" t="s">
        <v>690</v>
      </c>
      <c r="D338" s="2" t="str">
        <f>Table5[[#This Row],[First name]]&amp;" "&amp;Table5[[#This Row],[Last name]]</f>
        <v>William Vu</v>
      </c>
      <c r="E338" s="2" t="str">
        <f>_xlfn.XLOOKUP(Table5[[#This Row],[Full name]],Table26[Name],Table26[Role],"Member",0,1)</f>
        <v>Member</v>
      </c>
      <c r="F338" s="2" t="s">
        <v>188</v>
      </c>
      <c r="G338" s="26" cm="1">
        <f t="array" aca="1" ref="G338" ca="1">COUNTIF(Table5[[#This Row],[September 30, 2025]:[April 7, 2026]],"Yes")/SUMPRODUCT(--(DATEVALUE(Table5[[#Headers],[September 30, 2025]:[April 9, 2026]])&lt;=TODAY()))</f>
        <v>0.25</v>
      </c>
      <c r="H338" t="s">
        <v>186</v>
      </c>
      <c r="I338" t="s">
        <v>186</v>
      </c>
      <c r="J338" t="s">
        <v>186</v>
      </c>
      <c r="K338" t="s">
        <v>186</v>
      </c>
      <c r="L338" t="s">
        <v>190</v>
      </c>
      <c r="M338" t="s">
        <v>186</v>
      </c>
      <c r="N338" t="s">
        <v>190</v>
      </c>
      <c r="O338" t="s">
        <v>190</v>
      </c>
      <c r="P338" t="s">
        <v>190</v>
      </c>
      <c r="Q338" t="s">
        <v>190</v>
      </c>
      <c r="R338" t="s">
        <v>190</v>
      </c>
      <c r="S338" t="s">
        <v>190</v>
      </c>
      <c r="T338" s="153" t="s">
        <v>190</v>
      </c>
      <c r="U338" t="s">
        <v>190</v>
      </c>
      <c r="V338" t="s">
        <v>190</v>
      </c>
      <c r="W338" t="s">
        <v>190</v>
      </c>
      <c r="X338" t="s">
        <v>190</v>
      </c>
      <c r="Y338" t="s">
        <v>190</v>
      </c>
      <c r="Z338" t="s">
        <v>190</v>
      </c>
      <c r="AA338" t="s">
        <v>190</v>
      </c>
      <c r="AB338" t="s">
        <v>190</v>
      </c>
      <c r="AC338" t="s">
        <v>190</v>
      </c>
      <c r="AD338" t="s">
        <v>190</v>
      </c>
      <c r="AE338" t="s">
        <v>190</v>
      </c>
      <c r="AF338" t="s">
        <v>190</v>
      </c>
      <c r="AG338" t="s">
        <v>190</v>
      </c>
      <c r="AH338" t="s">
        <v>190</v>
      </c>
      <c r="AI338" t="s">
        <v>190</v>
      </c>
      <c r="AJ338" t="s">
        <v>190</v>
      </c>
    </row>
    <row r="339" spans="2:36">
      <c r="B339" s="2" t="s">
        <v>416</v>
      </c>
      <c r="C339" s="2" t="s">
        <v>588</v>
      </c>
      <c r="D339" s="2" t="str">
        <f>Table5[[#This Row],[First name]]&amp;" "&amp;Table5[[#This Row],[Last name]]</f>
        <v>William Wang</v>
      </c>
      <c r="E339" s="2" t="str">
        <f>_xlfn.XLOOKUP(Table5[[#This Row],[Full name]],Table26[Name],Table26[Role],"Member",0,1)</f>
        <v>Member</v>
      </c>
      <c r="F339" s="2" t="s">
        <v>188</v>
      </c>
      <c r="G339" s="26" cm="1">
        <f t="array" aca="1" ref="G339" ca="1">COUNTIF(Table5[[#This Row],[September 30, 2025]:[April 7, 2026]],"Yes")/SUMPRODUCT(--(DATEVALUE(Table5[[#Headers],[September 30, 2025]:[April 9, 2026]])&lt;=TODAY()))</f>
        <v>0</v>
      </c>
      <c r="H339" t="s">
        <v>190</v>
      </c>
      <c r="I339" t="s">
        <v>190</v>
      </c>
      <c r="J339" t="s">
        <v>190</v>
      </c>
      <c r="K339" t="s">
        <v>190</v>
      </c>
      <c r="L339" t="s">
        <v>190</v>
      </c>
      <c r="M339" t="s">
        <v>190</v>
      </c>
      <c r="N339" t="s">
        <v>190</v>
      </c>
      <c r="O339" t="s">
        <v>190</v>
      </c>
      <c r="P339" t="s">
        <v>190</v>
      </c>
      <c r="Q339" t="s">
        <v>190</v>
      </c>
      <c r="R339" t="s">
        <v>190</v>
      </c>
      <c r="S339" t="s">
        <v>190</v>
      </c>
      <c r="T339" s="153" t="s">
        <v>190</v>
      </c>
      <c r="U339" t="s">
        <v>190</v>
      </c>
      <c r="V339" t="s">
        <v>190</v>
      </c>
      <c r="W339" t="s">
        <v>190</v>
      </c>
      <c r="X339" t="s">
        <v>190</v>
      </c>
      <c r="Y339" t="s">
        <v>190</v>
      </c>
      <c r="Z339" t="s">
        <v>190</v>
      </c>
      <c r="AA339" t="s">
        <v>190</v>
      </c>
      <c r="AB339" t="s">
        <v>190</v>
      </c>
      <c r="AC339" t="s">
        <v>190</v>
      </c>
      <c r="AD339" t="s">
        <v>190</v>
      </c>
      <c r="AE339" t="s">
        <v>190</v>
      </c>
      <c r="AF339" t="s">
        <v>190</v>
      </c>
      <c r="AG339" t="s">
        <v>190</v>
      </c>
      <c r="AH339" t="s">
        <v>190</v>
      </c>
      <c r="AI339" t="s">
        <v>190</v>
      </c>
      <c r="AJ339" t="s">
        <v>190</v>
      </c>
    </row>
    <row r="340" spans="2:36">
      <c r="B340" s="2" t="s">
        <v>837</v>
      </c>
      <c r="C340" s="2" t="s">
        <v>746</v>
      </c>
      <c r="D340" s="2" t="str">
        <f>Table5[[#This Row],[First name]]&amp;" "&amp;Table5[[#This Row],[Last name]]</f>
        <v>Yahvi Patel</v>
      </c>
      <c r="E340" s="2" t="str">
        <f>_xlfn.XLOOKUP(Table5[[#This Row],[Full name]],Table26[Name],Table26[Role],"Member",0,1)</f>
        <v>Member</v>
      </c>
      <c r="F340" s="2" t="s">
        <v>188</v>
      </c>
      <c r="G340" s="26" cm="1">
        <f t="array" aca="1" ref="G340" ca="1">COUNTIF(Table5[[#This Row],[September 30, 2025]:[April 7, 2026]],"Yes")/SUMPRODUCT(--(DATEVALUE(Table5[[#Headers],[September 30, 2025]:[April 9, 2026]])&lt;=TODAY()))</f>
        <v>0.3</v>
      </c>
      <c r="R340" t="s">
        <v>186</v>
      </c>
      <c r="T340" s="153" t="s">
        <v>190</v>
      </c>
      <c r="U340" t="s">
        <v>186</v>
      </c>
      <c r="V340" t="s">
        <v>186</v>
      </c>
      <c r="X340" t="s">
        <v>186</v>
      </c>
      <c r="Y340" t="s">
        <v>186</v>
      </c>
      <c r="Z340" t="s">
        <v>186</v>
      </c>
      <c r="AA340" t="s">
        <v>190</v>
      </c>
    </row>
    <row r="341" spans="2:36">
      <c r="B341" s="2" t="s">
        <v>838</v>
      </c>
      <c r="C341" s="2" t="s">
        <v>839</v>
      </c>
      <c r="D341" s="2" t="str">
        <f>Table5[[#This Row],[First name]]&amp;" "&amp;Table5[[#This Row],[Last name]]</f>
        <v>Yan Xiang Zou</v>
      </c>
      <c r="E341" s="2" t="str">
        <f>_xlfn.XLOOKUP(Table5[[#This Row],[Full name]],Table26[Name],Table26[Role],"Member",0,1)</f>
        <v>Member</v>
      </c>
      <c r="F341" s="2" t="s">
        <v>188</v>
      </c>
      <c r="G341" s="26" cm="1">
        <f t="array" aca="1" ref="G341" ca="1">COUNTIF(Table5[[#This Row],[September 30, 2025]:[April 7, 2026]],"Yes")/SUMPRODUCT(--(DATEVALUE(Table5[[#Headers],[September 30, 2025]:[April 9, 2026]])&lt;=TODAY()))</f>
        <v>0.3</v>
      </c>
      <c r="R341" t="s">
        <v>186</v>
      </c>
      <c r="S341" t="s">
        <v>186</v>
      </c>
      <c r="T341" s="153" t="s">
        <v>190</v>
      </c>
      <c r="U341" t="s">
        <v>186</v>
      </c>
      <c r="V341" t="s">
        <v>190</v>
      </c>
      <c r="X341" t="s">
        <v>186</v>
      </c>
      <c r="Y341" t="s">
        <v>186</v>
      </c>
      <c r="AA341" t="s">
        <v>186</v>
      </c>
    </row>
    <row r="342" spans="2:36">
      <c r="B342" s="2" t="s">
        <v>840</v>
      </c>
      <c r="C342" s="2" t="s">
        <v>841</v>
      </c>
      <c r="D342" s="2" t="str">
        <f>Table5[[#This Row],[First name]]&amp;" "&amp;Table5[[#This Row],[Last name]]</f>
        <v>Yassin Mohamed</v>
      </c>
      <c r="E342" s="2" t="str">
        <f>_xlfn.XLOOKUP(Table5[[#This Row],[Full name]],Table26[Name],Table26[Role],"Member",0,1)</f>
        <v>Member</v>
      </c>
      <c r="F342" s="2" t="s">
        <v>188</v>
      </c>
      <c r="G342" s="26" cm="1">
        <f t="array" aca="1" ref="G342" ca="1">COUNTIF(Table5[[#This Row],[September 30, 2025]:[April 7, 2026]],"Yes")/SUMPRODUCT(--(DATEVALUE(Table5[[#Headers],[September 30, 2025]:[April 9, 2026]])&lt;=TODAY()))</f>
        <v>0.05</v>
      </c>
      <c r="H342" t="s">
        <v>190</v>
      </c>
      <c r="I342" t="s">
        <v>190</v>
      </c>
      <c r="J342" t="s">
        <v>190</v>
      </c>
      <c r="K342" t="s">
        <v>190</v>
      </c>
      <c r="L342" t="s">
        <v>186</v>
      </c>
      <c r="M342" t="s">
        <v>190</v>
      </c>
      <c r="N342" t="s">
        <v>190</v>
      </c>
      <c r="O342" t="s">
        <v>190</v>
      </c>
      <c r="P342" t="s">
        <v>190</v>
      </c>
      <c r="Q342" t="s">
        <v>190</v>
      </c>
      <c r="R342" t="s">
        <v>190</v>
      </c>
      <c r="S342" t="s">
        <v>190</v>
      </c>
      <c r="T342" s="153" t="s">
        <v>190</v>
      </c>
      <c r="U342" t="s">
        <v>190</v>
      </c>
      <c r="V342" t="s">
        <v>190</v>
      </c>
      <c r="W342" t="s">
        <v>190</v>
      </c>
      <c r="X342" t="s">
        <v>190</v>
      </c>
      <c r="Y342" t="s">
        <v>190</v>
      </c>
      <c r="Z342" t="s">
        <v>190</v>
      </c>
      <c r="AA342" t="s">
        <v>190</v>
      </c>
      <c r="AB342" t="s">
        <v>190</v>
      </c>
      <c r="AC342" t="s">
        <v>190</v>
      </c>
      <c r="AD342" t="s">
        <v>190</v>
      </c>
      <c r="AE342" t="s">
        <v>190</v>
      </c>
      <c r="AF342" t="s">
        <v>190</v>
      </c>
      <c r="AG342" t="s">
        <v>190</v>
      </c>
      <c r="AH342" t="s">
        <v>190</v>
      </c>
      <c r="AI342" t="s">
        <v>190</v>
      </c>
      <c r="AJ342" t="s">
        <v>190</v>
      </c>
    </row>
    <row r="343" spans="2:36">
      <c r="B343" s="2" t="s">
        <v>842</v>
      </c>
      <c r="C343" s="2" t="s">
        <v>843</v>
      </c>
      <c r="D343" s="2" t="str">
        <f>Table5[[#This Row],[First name]]&amp;" "&amp;Table5[[#This Row],[Last name]]</f>
        <v>Yoni Silbershatz</v>
      </c>
      <c r="E343" s="2" t="str">
        <f>_xlfn.XLOOKUP(Table5[[#This Row],[Full name]],Table26[Name],Table26[Role],"Member",0,1)</f>
        <v>Member</v>
      </c>
      <c r="F343" s="2" t="s">
        <v>188</v>
      </c>
      <c r="G343" s="26" cm="1">
        <f t="array" aca="1" ref="G343" ca="1">COUNTIF(Table5[[#This Row],[September 30, 2025]:[April 7, 2026]],"Yes")/SUMPRODUCT(--(DATEVALUE(Table5[[#Headers],[September 30, 2025]:[April 9, 2026]])&lt;=TODAY()))</f>
        <v>0.65</v>
      </c>
      <c r="H343" t="s">
        <v>186</v>
      </c>
      <c r="I343" t="s">
        <v>190</v>
      </c>
      <c r="J343" t="s">
        <v>186</v>
      </c>
      <c r="K343" t="s">
        <v>190</v>
      </c>
      <c r="L343" t="s">
        <v>186</v>
      </c>
      <c r="M343" t="s">
        <v>186</v>
      </c>
      <c r="N343" t="s">
        <v>186</v>
      </c>
      <c r="O343" t="s">
        <v>186</v>
      </c>
      <c r="P343" t="s">
        <v>186</v>
      </c>
      <c r="Q343" t="s">
        <v>186</v>
      </c>
      <c r="R343" t="s">
        <v>190</v>
      </c>
      <c r="S343" t="s">
        <v>190</v>
      </c>
      <c r="T343" s="153" t="s">
        <v>186</v>
      </c>
      <c r="U343" t="s">
        <v>190</v>
      </c>
      <c r="V343" t="s">
        <v>190</v>
      </c>
      <c r="W343" t="s">
        <v>186</v>
      </c>
      <c r="X343" t="s">
        <v>186</v>
      </c>
      <c r="Y343" t="s">
        <v>186</v>
      </c>
      <c r="Z343" t="s">
        <v>186</v>
      </c>
      <c r="AA343" t="s">
        <v>190</v>
      </c>
      <c r="AB343" t="s">
        <v>190</v>
      </c>
      <c r="AC343" t="s">
        <v>190</v>
      </c>
      <c r="AD343" t="s">
        <v>190</v>
      </c>
      <c r="AE343" t="s">
        <v>190</v>
      </c>
      <c r="AF343" t="s">
        <v>190</v>
      </c>
      <c r="AG343" t="s">
        <v>190</v>
      </c>
      <c r="AH343" t="s">
        <v>190</v>
      </c>
      <c r="AI343" t="s">
        <v>190</v>
      </c>
      <c r="AJ343" t="s">
        <v>190</v>
      </c>
    </row>
    <row r="344" spans="2:36">
      <c r="B344" s="2" t="s">
        <v>844</v>
      </c>
      <c r="C344" s="2" t="s">
        <v>845</v>
      </c>
      <c r="D344" s="2" t="str">
        <f>Table5[[#This Row],[First name]]&amp;" "&amp;Table5[[#This Row],[Last name]]</f>
        <v>Youngjun Cho</v>
      </c>
      <c r="E344" s="2" t="str">
        <f>_xlfn.XLOOKUP(Table5[[#This Row],[Full name]],Table26[Name],Table26[Role],"Member",0,1)</f>
        <v>Member</v>
      </c>
      <c r="F344" s="2" t="s">
        <v>188</v>
      </c>
      <c r="G344" s="26" cm="1">
        <f t="array" aca="1" ref="G344" ca="1">COUNTIF(Table5[[#This Row],[September 30, 2025]:[April 7, 2026]],"Yes")/SUMPRODUCT(--(DATEVALUE(Table5[[#Headers],[September 30, 2025]:[April 9, 2026]])&lt;=TODAY()))</f>
        <v>0.2</v>
      </c>
      <c r="O344" t="s">
        <v>420</v>
      </c>
      <c r="P344" t="s">
        <v>190</v>
      </c>
      <c r="Q344" t="s">
        <v>190</v>
      </c>
      <c r="R344" t="s">
        <v>190</v>
      </c>
      <c r="S344" t="s">
        <v>190</v>
      </c>
      <c r="T344" s="153" t="s">
        <v>186</v>
      </c>
      <c r="U344" t="s">
        <v>186</v>
      </c>
      <c r="V344" t="s">
        <v>190</v>
      </c>
      <c r="W344" t="s">
        <v>186</v>
      </c>
      <c r="X344" t="s">
        <v>190</v>
      </c>
      <c r="Y344" t="s">
        <v>190</v>
      </c>
      <c r="Z344" t="s">
        <v>190</v>
      </c>
      <c r="AA344" t="s">
        <v>190</v>
      </c>
      <c r="AB344" t="s">
        <v>190</v>
      </c>
      <c r="AC344" t="s">
        <v>190</v>
      </c>
      <c r="AD344" t="s">
        <v>190</v>
      </c>
      <c r="AE344" t="s">
        <v>190</v>
      </c>
      <c r="AF344" t="s">
        <v>190</v>
      </c>
      <c r="AG344" t="s">
        <v>190</v>
      </c>
      <c r="AH344" t="s">
        <v>190</v>
      </c>
      <c r="AI344" t="s">
        <v>190</v>
      </c>
      <c r="AJ344" t="s">
        <v>190</v>
      </c>
    </row>
    <row r="345" spans="2:36">
      <c r="B345" s="2" t="s">
        <v>846</v>
      </c>
      <c r="C345" s="2" t="s">
        <v>588</v>
      </c>
      <c r="D345" s="2" t="str">
        <f>Table5[[#This Row],[First name]]&amp;" "&amp;Table5[[#This Row],[Last name]]</f>
        <v>Yue Wang</v>
      </c>
      <c r="E345" s="2" t="str">
        <f>_xlfn.XLOOKUP(Table5[[#This Row],[Full name]],Table26[Name],Table26[Role],"Member",0,1)</f>
        <v>Member</v>
      </c>
      <c r="F345" s="2" t="s">
        <v>188</v>
      </c>
      <c r="G345" s="26" cm="1">
        <f t="array" aca="1" ref="G345" ca="1">COUNTIF(Table5[[#This Row],[September 30, 2025]:[April 7, 2026]],"Yes")/SUMPRODUCT(--(DATEVALUE(Table5[[#Headers],[September 30, 2025]:[April 9, 2026]])&lt;=TODAY()))</f>
        <v>0.2</v>
      </c>
      <c r="H345" t="s">
        <v>190</v>
      </c>
      <c r="I345" t="s">
        <v>190</v>
      </c>
      <c r="J345" t="s">
        <v>190</v>
      </c>
      <c r="K345" t="s">
        <v>186</v>
      </c>
      <c r="L345" t="s">
        <v>190</v>
      </c>
      <c r="M345" t="s">
        <v>186</v>
      </c>
      <c r="N345" t="s">
        <v>186</v>
      </c>
      <c r="O345" t="s">
        <v>190</v>
      </c>
      <c r="P345" t="s">
        <v>190</v>
      </c>
      <c r="Q345" t="s">
        <v>186</v>
      </c>
      <c r="R345" t="s">
        <v>190</v>
      </c>
      <c r="S345" t="s">
        <v>190</v>
      </c>
      <c r="T345" s="153" t="s">
        <v>190</v>
      </c>
      <c r="U345" t="s">
        <v>190</v>
      </c>
      <c r="V345" t="s">
        <v>190</v>
      </c>
      <c r="W345" t="s">
        <v>190</v>
      </c>
      <c r="X345" t="s">
        <v>190</v>
      </c>
      <c r="Y345" t="s">
        <v>190</v>
      </c>
      <c r="Z345" t="s">
        <v>190</v>
      </c>
      <c r="AA345" t="s">
        <v>190</v>
      </c>
      <c r="AB345" t="s">
        <v>190</v>
      </c>
      <c r="AC345" t="s">
        <v>190</v>
      </c>
      <c r="AD345" t="s">
        <v>190</v>
      </c>
      <c r="AE345" t="s">
        <v>190</v>
      </c>
      <c r="AF345" t="s">
        <v>190</v>
      </c>
      <c r="AG345" t="s">
        <v>190</v>
      </c>
      <c r="AH345" t="s">
        <v>190</v>
      </c>
      <c r="AI345" t="s">
        <v>190</v>
      </c>
      <c r="AJ345" t="s">
        <v>190</v>
      </c>
    </row>
    <row r="346" spans="2:36">
      <c r="B346" s="2" t="s">
        <v>847</v>
      </c>
      <c r="C346" s="2" t="s">
        <v>848</v>
      </c>
      <c r="D346" s="2" t="str">
        <f>Table5[[#This Row],[First name]]&amp;" "&amp;Table5[[#This Row],[Last name]]</f>
        <v>Yusuf Mohmand</v>
      </c>
      <c r="E346" s="2" t="str">
        <f>_xlfn.XLOOKUP(Table5[[#This Row],[Full name]],Table26[Name],Table26[Role],"Member",0,1)</f>
        <v>Member</v>
      </c>
      <c r="F346" s="2" t="s">
        <v>188</v>
      </c>
      <c r="G346" s="26" cm="1">
        <f t="array" aca="1" ref="G346" ca="1">COUNTIF(Table5[[#This Row],[September 30, 2025]:[April 7, 2026]],"Yes")/SUMPRODUCT(--(DATEVALUE(Table5[[#Headers],[September 30, 2025]:[April 9, 2026]])&lt;=TODAY()))</f>
        <v>0.05</v>
      </c>
      <c r="H346" t="s">
        <v>190</v>
      </c>
      <c r="I346" t="s">
        <v>190</v>
      </c>
      <c r="J346" t="s">
        <v>190</v>
      </c>
      <c r="K346" t="s">
        <v>190</v>
      </c>
      <c r="L346" t="s">
        <v>190</v>
      </c>
      <c r="M346" t="s">
        <v>186</v>
      </c>
      <c r="N346" t="s">
        <v>190</v>
      </c>
      <c r="O346" t="s">
        <v>190</v>
      </c>
      <c r="P346" t="s">
        <v>190</v>
      </c>
      <c r="Q346" t="s">
        <v>190</v>
      </c>
      <c r="R346" t="s">
        <v>190</v>
      </c>
      <c r="S346" t="s">
        <v>190</v>
      </c>
      <c r="T346" s="153" t="s">
        <v>190</v>
      </c>
      <c r="U346" t="s">
        <v>190</v>
      </c>
      <c r="V346" t="s">
        <v>190</v>
      </c>
      <c r="W346" t="s">
        <v>190</v>
      </c>
      <c r="X346" t="s">
        <v>190</v>
      </c>
      <c r="Y346" t="s">
        <v>190</v>
      </c>
      <c r="Z346" t="s">
        <v>190</v>
      </c>
      <c r="AA346" t="s">
        <v>190</v>
      </c>
      <c r="AB346" t="s">
        <v>190</v>
      </c>
      <c r="AC346" t="s">
        <v>190</v>
      </c>
      <c r="AD346" t="s">
        <v>190</v>
      </c>
      <c r="AE346" t="s">
        <v>190</v>
      </c>
      <c r="AF346" t="s">
        <v>190</v>
      </c>
      <c r="AG346" t="s">
        <v>190</v>
      </c>
      <c r="AH346" t="s">
        <v>190</v>
      </c>
      <c r="AI346" t="s">
        <v>190</v>
      </c>
      <c r="AJ346" t="s">
        <v>190</v>
      </c>
    </row>
    <row r="347" spans="2:36">
      <c r="B347" s="2" t="s">
        <v>849</v>
      </c>
      <c r="C347" s="2" t="s">
        <v>850</v>
      </c>
      <c r="D347" s="2" t="str">
        <f>Table5[[#This Row],[First name]]&amp;" "&amp;Table5[[#This Row],[Last name]]</f>
        <v>Zachary Hersi</v>
      </c>
      <c r="E347" s="2" t="str">
        <f>_xlfn.XLOOKUP(Table5[[#This Row],[Full name]],Table26[Name],Table26[Role],"Member",0,1)</f>
        <v>Member</v>
      </c>
      <c r="F347" s="2" t="s">
        <v>188</v>
      </c>
      <c r="G347" s="26" cm="1">
        <f t="array" aca="1" ref="G347" ca="1">COUNTIF(Table5[[#This Row],[September 30, 2025]:[April 7, 2026]],"Yes")/SUMPRODUCT(--(DATEVALUE(Table5[[#Headers],[September 30, 2025]:[April 9, 2026]])&lt;=TODAY()))</f>
        <v>0.8</v>
      </c>
      <c r="H347" t="s">
        <v>190</v>
      </c>
      <c r="I347" t="s">
        <v>186</v>
      </c>
      <c r="J347" t="s">
        <v>190</v>
      </c>
      <c r="K347" t="s">
        <v>186</v>
      </c>
      <c r="L347" t="s">
        <v>186</v>
      </c>
      <c r="M347" t="s">
        <v>186</v>
      </c>
      <c r="N347" t="s">
        <v>186</v>
      </c>
      <c r="O347" t="s">
        <v>186</v>
      </c>
      <c r="P347" t="s">
        <v>186</v>
      </c>
      <c r="Q347" t="s">
        <v>186</v>
      </c>
      <c r="R347" t="s">
        <v>186</v>
      </c>
      <c r="S347" t="s">
        <v>186</v>
      </c>
      <c r="T347" s="153" t="s">
        <v>186</v>
      </c>
      <c r="U347" t="s">
        <v>186</v>
      </c>
      <c r="V347" t="s">
        <v>190</v>
      </c>
      <c r="W347" t="s">
        <v>186</v>
      </c>
      <c r="X347" t="s">
        <v>186</v>
      </c>
      <c r="Y347" t="s">
        <v>190</v>
      </c>
      <c r="Z347" t="s">
        <v>186</v>
      </c>
      <c r="AA347" t="s">
        <v>186</v>
      </c>
      <c r="AB347" t="s">
        <v>190</v>
      </c>
      <c r="AC347" t="s">
        <v>190</v>
      </c>
      <c r="AD347" t="s">
        <v>190</v>
      </c>
      <c r="AE347" t="s">
        <v>190</v>
      </c>
      <c r="AF347" t="s">
        <v>190</v>
      </c>
      <c r="AG347" t="s">
        <v>190</v>
      </c>
      <c r="AH347" t="s">
        <v>190</v>
      </c>
      <c r="AI347" t="s">
        <v>190</v>
      </c>
      <c r="AJ347" t="s">
        <v>190</v>
      </c>
    </row>
    <row r="348" spans="2:36">
      <c r="B348" s="2" t="s">
        <v>851</v>
      </c>
      <c r="C348" s="2" t="s">
        <v>852</v>
      </c>
      <c r="D348" s="2" t="str">
        <f>Table5[[#This Row],[First name]]&amp;" "&amp;Table5[[#This Row],[Last name]]</f>
        <v>Zain Husain</v>
      </c>
      <c r="E348" s="2" t="str">
        <f>_xlfn.XLOOKUP(Table5[[#This Row],[Full name]],Table26[Name],Table26[Role],"Member",0,1)</f>
        <v>Member</v>
      </c>
      <c r="F348" s="2" t="s">
        <v>188</v>
      </c>
      <c r="G348" s="26" cm="1">
        <f t="array" aca="1" ref="G348" ca="1">COUNTIF(Table5[[#This Row],[September 30, 2025]:[April 7, 2026]],"Yes")/SUMPRODUCT(--(DATEVALUE(Table5[[#Headers],[September 30, 2025]:[April 9, 2026]])&lt;=TODAY()))</f>
        <v>0.55000000000000004</v>
      </c>
      <c r="H348" t="s">
        <v>186</v>
      </c>
      <c r="I348" t="s">
        <v>190</v>
      </c>
      <c r="J348" t="s">
        <v>186</v>
      </c>
      <c r="K348" t="s">
        <v>186</v>
      </c>
      <c r="L348" t="s">
        <v>186</v>
      </c>
      <c r="M348" t="s">
        <v>186</v>
      </c>
      <c r="N348" t="s">
        <v>190</v>
      </c>
      <c r="O348" t="s">
        <v>186</v>
      </c>
      <c r="P348" t="s">
        <v>186</v>
      </c>
      <c r="Q348" t="s">
        <v>186</v>
      </c>
      <c r="R348" t="s">
        <v>190</v>
      </c>
      <c r="S348" t="s">
        <v>186</v>
      </c>
      <c r="T348" s="153" t="s">
        <v>190</v>
      </c>
      <c r="U348" t="s">
        <v>186</v>
      </c>
      <c r="V348" t="s">
        <v>190</v>
      </c>
      <c r="W348" t="s">
        <v>190</v>
      </c>
      <c r="X348" t="s">
        <v>190</v>
      </c>
      <c r="Y348" t="s">
        <v>190</v>
      </c>
      <c r="Z348" t="s">
        <v>190</v>
      </c>
      <c r="AA348" t="s">
        <v>186</v>
      </c>
      <c r="AB348" t="s">
        <v>190</v>
      </c>
      <c r="AC348" t="s">
        <v>190</v>
      </c>
      <c r="AD348" t="s">
        <v>190</v>
      </c>
      <c r="AE348" t="s">
        <v>190</v>
      </c>
      <c r="AF348" t="s">
        <v>190</v>
      </c>
      <c r="AG348" t="s">
        <v>190</v>
      </c>
      <c r="AH348" t="s">
        <v>190</v>
      </c>
      <c r="AI348" t="s">
        <v>190</v>
      </c>
      <c r="AJ348" t="s">
        <v>190</v>
      </c>
    </row>
    <row r="349" spans="2:36">
      <c r="B349" s="2" t="s">
        <v>851</v>
      </c>
      <c r="C349" s="2" t="s">
        <v>434</v>
      </c>
      <c r="D349" s="2" t="str">
        <f>Table5[[#This Row],[First name]]&amp;" "&amp;Table5[[#This Row],[Last name]]</f>
        <v>Zain Ahmed</v>
      </c>
      <c r="E349" s="2" t="str">
        <f>_xlfn.XLOOKUP(Table5[[#This Row],[Full name]],Table26[Name],Table26[Role],"Member",0,1)</f>
        <v>Member</v>
      </c>
      <c r="F349" s="2" t="s">
        <v>188</v>
      </c>
      <c r="G349" s="152" cm="1">
        <f t="array" aca="1" ref="G349" ca="1">COUNTIF(Table5[[#This Row],[September 30, 2025]:[April 7, 2026]],"Yes")/SUMPRODUCT(--(DATEVALUE(Table5[[#Headers],[September 30, 2025]:[April 9, 2026]])&lt;=TODAY()))</f>
        <v>0.05</v>
      </c>
      <c r="T349" s="153"/>
      <c r="V349" t="s">
        <v>186</v>
      </c>
      <c r="AA349" t="s">
        <v>190</v>
      </c>
    </row>
    <row r="350" spans="2:36">
      <c r="B350" s="2" t="s">
        <v>853</v>
      </c>
      <c r="C350" s="2" t="s">
        <v>854</v>
      </c>
      <c r="D350" s="2" t="str">
        <f>Table5[[#This Row],[First name]]&amp;" "&amp;Table5[[#This Row],[Last name]]</f>
        <v>Zeeshan Khan</v>
      </c>
      <c r="E350" s="2" t="str">
        <f>_xlfn.XLOOKUP(Table5[[#This Row],[Full name]],Table26[Name],Table26[Role],"Member",0,1)</f>
        <v>Member</v>
      </c>
      <c r="F350" s="2" t="s">
        <v>188</v>
      </c>
      <c r="G350" s="26" cm="1">
        <f t="array" aca="1" ref="G350" ca="1">COUNTIF(Table5[[#This Row],[September 30, 2025]:[April 7, 2026]],"Yes")/SUMPRODUCT(--(DATEVALUE(Table5[[#Headers],[September 30, 2025]:[April 9, 2026]])&lt;=TODAY()))</f>
        <v>0.3</v>
      </c>
      <c r="P350" t="s">
        <v>186</v>
      </c>
      <c r="Q350" t="s">
        <v>186</v>
      </c>
      <c r="R350" t="s">
        <v>190</v>
      </c>
      <c r="S350" t="s">
        <v>190</v>
      </c>
      <c r="T350" s="153" t="s">
        <v>186</v>
      </c>
      <c r="U350" t="s">
        <v>190</v>
      </c>
      <c r="V350" t="s">
        <v>186</v>
      </c>
      <c r="W350" t="s">
        <v>190</v>
      </c>
      <c r="X350" t="s">
        <v>190</v>
      </c>
      <c r="Y350" t="s">
        <v>190</v>
      </c>
      <c r="Z350" t="s">
        <v>186</v>
      </c>
      <c r="AA350" t="s">
        <v>186</v>
      </c>
      <c r="AB350" t="s">
        <v>190</v>
      </c>
      <c r="AC350" t="s">
        <v>190</v>
      </c>
      <c r="AD350" t="s">
        <v>190</v>
      </c>
      <c r="AE350" t="s">
        <v>190</v>
      </c>
      <c r="AF350" t="s">
        <v>190</v>
      </c>
      <c r="AG350" t="s">
        <v>190</v>
      </c>
      <c r="AH350" t="s">
        <v>190</v>
      </c>
      <c r="AI350" t="s">
        <v>190</v>
      </c>
      <c r="AJ350" t="s">
        <v>190</v>
      </c>
    </row>
    <row r="351" spans="2:36">
      <c r="B351" s="2" t="s">
        <v>855</v>
      </c>
      <c r="C351" s="2" t="s">
        <v>856</v>
      </c>
      <c r="D351" s="2" t="str">
        <f>Table5[[#This Row],[First name]]&amp;" "&amp;Table5[[#This Row],[Last name]]</f>
        <v>Zhen Hao Huang</v>
      </c>
      <c r="E351" s="2" t="str">
        <f>_xlfn.XLOOKUP(Table5[[#This Row],[Full name]],Table26[Name],Table26[Role],"Member",0,1)</f>
        <v>Member</v>
      </c>
      <c r="F351" s="2" t="s">
        <v>188</v>
      </c>
      <c r="G351" s="26" cm="1">
        <f t="array" aca="1" ref="G351" ca="1">COUNTIF(Table5[[#This Row],[September 30, 2025]:[April 7, 2026]],"Yes")/SUMPRODUCT(--(DATEVALUE(Table5[[#Headers],[September 30, 2025]:[April 9, 2026]])&lt;=TODAY()))</f>
        <v>0.1</v>
      </c>
      <c r="H351" t="s">
        <v>186</v>
      </c>
      <c r="I351" t="s">
        <v>190</v>
      </c>
      <c r="J351" t="s">
        <v>190</v>
      </c>
      <c r="K351" t="s">
        <v>190</v>
      </c>
      <c r="L351" t="s">
        <v>190</v>
      </c>
      <c r="M351" t="s">
        <v>190</v>
      </c>
      <c r="N351" t="s">
        <v>190</v>
      </c>
      <c r="O351" t="s">
        <v>190</v>
      </c>
      <c r="P351" t="s">
        <v>186</v>
      </c>
      <c r="Q351" t="s">
        <v>190</v>
      </c>
      <c r="R351" t="s">
        <v>190</v>
      </c>
      <c r="S351" t="s">
        <v>190</v>
      </c>
      <c r="T351" s="153" t="s">
        <v>190</v>
      </c>
      <c r="U351" t="s">
        <v>190</v>
      </c>
      <c r="V351" t="s">
        <v>190</v>
      </c>
      <c r="W351" t="s">
        <v>190</v>
      </c>
      <c r="X351" t="s">
        <v>190</v>
      </c>
      <c r="Y351" t="s">
        <v>190</v>
      </c>
      <c r="Z351" t="s">
        <v>190</v>
      </c>
      <c r="AA351" t="s">
        <v>190</v>
      </c>
      <c r="AB351" t="s">
        <v>190</v>
      </c>
      <c r="AC351" t="s">
        <v>190</v>
      </c>
      <c r="AD351" t="s">
        <v>190</v>
      </c>
      <c r="AE351" t="s">
        <v>190</v>
      </c>
      <c r="AF351" t="s">
        <v>190</v>
      </c>
      <c r="AG351" t="s">
        <v>190</v>
      </c>
      <c r="AH351" t="s">
        <v>190</v>
      </c>
      <c r="AI351" t="s">
        <v>190</v>
      </c>
      <c r="AJ351" t="s">
        <v>190</v>
      </c>
    </row>
    <row r="352" spans="2:36">
      <c r="B352" s="2" t="s">
        <v>857</v>
      </c>
      <c r="C352" s="2" t="s">
        <v>350</v>
      </c>
      <c r="D352" s="2" t="str">
        <f>Table5[[#This Row],[First name]]&amp;" "&amp;Table5[[#This Row],[Last name]]</f>
        <v>Zhiye Liu</v>
      </c>
      <c r="E352" s="2" t="str">
        <f>_xlfn.XLOOKUP(Table5[[#This Row],[Full name]],Table26[Name],Table26[Role],"Member",0,1)</f>
        <v>Member</v>
      </c>
      <c r="F352" s="2" t="s">
        <v>188</v>
      </c>
      <c r="G352" s="26" cm="1">
        <f t="array" aca="1" ref="G352" ca="1">COUNTIF(Table5[[#This Row],[September 30, 2025]:[April 7, 2026]],"Yes")/SUMPRODUCT(--(DATEVALUE(Table5[[#Headers],[September 30, 2025]:[April 9, 2026]])&lt;=TODAY()))</f>
        <v>0.1</v>
      </c>
      <c r="H352" t="s">
        <v>186</v>
      </c>
      <c r="I352" t="s">
        <v>190</v>
      </c>
      <c r="J352" t="s">
        <v>186</v>
      </c>
      <c r="K352" t="s">
        <v>190</v>
      </c>
      <c r="L352" t="s">
        <v>190</v>
      </c>
      <c r="M352" t="s">
        <v>190</v>
      </c>
      <c r="N352" t="s">
        <v>190</v>
      </c>
      <c r="O352" t="s">
        <v>190</v>
      </c>
      <c r="P352" t="s">
        <v>190</v>
      </c>
      <c r="Q352" t="s">
        <v>190</v>
      </c>
      <c r="R352" t="s">
        <v>190</v>
      </c>
      <c r="S352" t="s">
        <v>190</v>
      </c>
      <c r="T352" s="153" t="s">
        <v>190</v>
      </c>
      <c r="U352" t="s">
        <v>190</v>
      </c>
      <c r="V352" t="s">
        <v>190</v>
      </c>
      <c r="W352" t="s">
        <v>190</v>
      </c>
      <c r="X352" t="s">
        <v>190</v>
      </c>
      <c r="Y352" t="s">
        <v>190</v>
      </c>
      <c r="Z352" t="s">
        <v>190</v>
      </c>
      <c r="AA352" t="s">
        <v>190</v>
      </c>
      <c r="AB352" t="s">
        <v>190</v>
      </c>
      <c r="AC352" t="s">
        <v>190</v>
      </c>
      <c r="AD352" t="s">
        <v>190</v>
      </c>
      <c r="AE352" t="s">
        <v>190</v>
      </c>
      <c r="AF352" t="s">
        <v>190</v>
      </c>
      <c r="AG352" t="s">
        <v>190</v>
      </c>
      <c r="AH352" t="s">
        <v>190</v>
      </c>
      <c r="AI352" t="s">
        <v>190</v>
      </c>
      <c r="AJ352" t="s">
        <v>190</v>
      </c>
    </row>
    <row r="353" spans="2:36">
      <c r="B353" s="2" t="s">
        <v>858</v>
      </c>
      <c r="C353" s="2" t="s">
        <v>859</v>
      </c>
      <c r="D353" s="2" t="str">
        <f>Table5[[#This Row],[First name]]&amp;" "&amp;Table5[[#This Row],[Last name]]</f>
        <v>Ziad Elnagar</v>
      </c>
      <c r="E353" s="2" t="str">
        <f>_xlfn.XLOOKUP(Table5[[#This Row],[Full name]],Table26[Name],Table26[Role],"Member",0,1)</f>
        <v>Member</v>
      </c>
      <c r="F353" s="2" t="s">
        <v>188</v>
      </c>
      <c r="G353" s="26" cm="1">
        <f t="array" aca="1" ref="G353" ca="1">COUNTIF(Table5[[#This Row],[September 30, 2025]:[April 7, 2026]],"Yes")/SUMPRODUCT(--(DATEVALUE(Table5[[#Headers],[September 30, 2025]:[April 9, 2026]])&lt;=TODAY()))</f>
        <v>0.4</v>
      </c>
      <c r="P353" t="s">
        <v>186</v>
      </c>
      <c r="Q353" t="s">
        <v>186</v>
      </c>
      <c r="R353" t="s">
        <v>186</v>
      </c>
      <c r="S353" t="s">
        <v>186</v>
      </c>
      <c r="T353" s="153" t="s">
        <v>186</v>
      </c>
      <c r="U353" t="s">
        <v>186</v>
      </c>
      <c r="V353" t="s">
        <v>190</v>
      </c>
      <c r="W353" t="s">
        <v>190</v>
      </c>
      <c r="X353" t="s">
        <v>190</v>
      </c>
      <c r="Y353" t="s">
        <v>186</v>
      </c>
      <c r="Z353" t="s">
        <v>190</v>
      </c>
      <c r="AA353" t="s">
        <v>186</v>
      </c>
      <c r="AB353" t="s">
        <v>190</v>
      </c>
      <c r="AC353" t="s">
        <v>190</v>
      </c>
      <c r="AD353" t="s">
        <v>190</v>
      </c>
      <c r="AE353" t="s">
        <v>190</v>
      </c>
      <c r="AF353" t="s">
        <v>190</v>
      </c>
      <c r="AG353" t="s">
        <v>190</v>
      </c>
      <c r="AH353" t="s">
        <v>190</v>
      </c>
      <c r="AI353" t="s">
        <v>190</v>
      </c>
      <c r="AJ353" t="s">
        <v>190</v>
      </c>
    </row>
    <row r="354" spans="2:36">
      <c r="B354" s="2" t="s">
        <v>860</v>
      </c>
      <c r="C354" s="2" t="s">
        <v>861</v>
      </c>
      <c r="D354" s="2" t="str">
        <f>Table5[[#This Row],[First name]]&amp;" "&amp;Table5[[#This Row],[Last name]]</f>
        <v>Zoe Rosenfeld</v>
      </c>
      <c r="E354" s="2" t="str">
        <f>_xlfn.XLOOKUP(Table5[[#This Row],[Full name]],Table26[Name],Table26[Role],"Member",0,1)</f>
        <v>Member</v>
      </c>
      <c r="F354" s="2" t="s">
        <v>188</v>
      </c>
      <c r="G354" s="26" cm="1">
        <f t="array" aca="1" ref="G354" ca="1">COUNTIF(Table5[[#This Row],[September 30, 2025]:[April 7, 2026]],"Yes")/SUMPRODUCT(--(DATEVALUE(Table5[[#Headers],[September 30, 2025]:[April 9, 2026]])&lt;=TODAY()))</f>
        <v>0</v>
      </c>
      <c r="H354" t="s">
        <v>190</v>
      </c>
      <c r="I354" t="s">
        <v>190</v>
      </c>
      <c r="J354" t="s">
        <v>190</v>
      </c>
      <c r="K354" t="s">
        <v>190</v>
      </c>
      <c r="L354" t="s">
        <v>190</v>
      </c>
      <c r="M354" t="s">
        <v>190</v>
      </c>
      <c r="N354" t="s">
        <v>190</v>
      </c>
      <c r="O354" t="s">
        <v>190</v>
      </c>
      <c r="P354" t="s">
        <v>190</v>
      </c>
      <c r="Q354" t="s">
        <v>190</v>
      </c>
      <c r="R354" t="s">
        <v>190</v>
      </c>
      <c r="S354" t="s">
        <v>190</v>
      </c>
      <c r="T354" s="153" t="s">
        <v>190</v>
      </c>
      <c r="U354" t="s">
        <v>190</v>
      </c>
      <c r="V354" t="s">
        <v>190</v>
      </c>
      <c r="W354" t="s">
        <v>190</v>
      </c>
      <c r="X354" t="s">
        <v>190</v>
      </c>
      <c r="Y354" t="s">
        <v>190</v>
      </c>
      <c r="Z354" t="s">
        <v>190</v>
      </c>
      <c r="AA354" t="s">
        <v>190</v>
      </c>
      <c r="AB354" t="s">
        <v>190</v>
      </c>
      <c r="AC354" t="s">
        <v>190</v>
      </c>
      <c r="AD354" t="s">
        <v>190</v>
      </c>
      <c r="AE354" t="s">
        <v>190</v>
      </c>
      <c r="AF354" t="s">
        <v>190</v>
      </c>
      <c r="AG354" t="s">
        <v>190</v>
      </c>
      <c r="AH354" t="s">
        <v>190</v>
      </c>
      <c r="AI354" t="s">
        <v>190</v>
      </c>
      <c r="AJ354" t="s">
        <v>190</v>
      </c>
    </row>
    <row r="355" spans="2:36">
      <c r="B355" s="2" t="s">
        <v>862</v>
      </c>
      <c r="C355" s="2" t="s">
        <v>779</v>
      </c>
      <c r="D355" s="2" t="str">
        <f>Table5[[#This Row],[First name]]&amp;" "&amp;Table5[[#This Row],[Last name]]</f>
        <v>Rayane Jouhere</v>
      </c>
      <c r="E355" s="2" t="str">
        <f>_xlfn.XLOOKUP(Table5[[#This Row],[Full name]],Table26[Name],Table26[Role],"Member",0,1)</f>
        <v>Member</v>
      </c>
      <c r="F355" s="2"/>
      <c r="G355" s="152" cm="1">
        <f t="array" aca="1" ref="G355" ca="1">COUNTIF(Table5[[#This Row],[September 30, 2025]:[April 7, 2026]],"Yes")/SUMPRODUCT(--(DATEVALUE(Table5[[#Headers],[September 30, 2025]:[April 9, 2026]])&lt;=TODAY()))</f>
        <v>0.05</v>
      </c>
      <c r="T355" s="153"/>
      <c r="AA355" t="s">
        <v>186</v>
      </c>
    </row>
  </sheetData>
  <mergeCells count="2">
    <mergeCell ref="B1:X1"/>
    <mergeCell ref="B4:C4"/>
  </mergeCells>
  <phoneticPr fontId="4" type="noConversion"/>
  <conditionalFormatting sqref="D2:D1048576">
    <cfRule type="duplicateValues" dxfId="341" priority="14"/>
  </conditionalFormatting>
  <conditionalFormatting sqref="H6:S355 H339:AA354 H355:AJ1048576 U6:AJ355">
    <cfRule type="containsText" dxfId="340" priority="16" operator="containsText" text="No">
      <formula>NOT(ISERROR(SEARCH("No",H6)))</formula>
    </cfRule>
  </conditionalFormatting>
  <conditionalFormatting sqref="H339:AA354 H6:S355 H355:AJ1048576 U6:AJ355">
    <cfRule type="containsText" dxfId="339" priority="15" operator="containsText" text="Yes">
      <formula>NOT(ISERROR(SEARCH("Yes",H6)))</formula>
    </cfRule>
  </conditionalFormatting>
  <conditionalFormatting sqref="T6:T355">
    <cfRule type="containsText" dxfId="338" priority="7" operator="containsText" text="Yes">
      <formula>NOT(ISERROR(SEARCH("Yes",T6)))</formula>
    </cfRule>
    <cfRule type="containsText" dxfId="337" priority="8" operator="containsText" text="No">
      <formula>NOT(ISERROR(SEARCH("No",T6)))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63094FDD-E41D-49C7-AC99-D3262DF0CFDB}">
            <xm:f>E1=Structures!$B$3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5" id="{B53BD9BB-8625-461F-B956-505C27E6C24D}">
            <xm:f>E1=Structures!$B$5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6" id="{F5AE06A9-4303-4D50-9D15-A1F2ADED9425}">
            <xm:f>E1=Structures!$B$4</xm:f>
            <x14:dxf>
              <fill>
                <patternFill>
                  <bgColor rgb="FFA7A7AD"/>
                </patternFill>
              </fill>
            </x14:dxf>
          </x14:cfRule>
          <xm:sqref>B1</xm:sqref>
        </x14:conditionalFormatting>
        <x14:conditionalFormatting xmlns:xm="http://schemas.microsoft.com/office/excel/2006/main">
          <x14:cfRule type="expression" priority="212" id="{C855BBBE-1EE7-4A66-BBB3-FC74BDFC5F85}">
            <xm:f>$E277=Leadership!$D$3</xm:f>
            <x14:dxf>
              <fill>
                <patternFill>
                  <bgColor theme="5" tint="-0.24994659260841701"/>
                </patternFill>
              </fill>
            </x14:dxf>
          </x14:cfRule>
          <x14:cfRule type="expression" priority="213" id="{1DCBF9C9-73C8-4153-8D69-826F5B24239B}">
            <xm:f>$E277=Leadership!$D$27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4" id="{FAB782E9-673E-403E-B7F6-E9ED2F89B18E}">
            <xm:f>_xlfn.TEXTBEFORE($E277,"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215" id="{FEC1B5E4-7F9E-4B69-9FAD-61EF16678307}">
            <xm:f>_xlfn.TEXTBEFORE($E277,"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B279:B280</xm:sqref>
        </x14:conditionalFormatting>
        <x14:conditionalFormatting xmlns:xm="http://schemas.microsoft.com/office/excel/2006/main">
          <x14:cfRule type="expression" priority="216" id="{C855BBBE-1EE7-4A66-BBB3-FC74BDFC5F85}">
            <xm:f>$E329=Leadership!$D$3</xm:f>
            <x14:dxf>
              <fill>
                <patternFill>
                  <bgColor theme="5" tint="-0.24994659260841701"/>
                </patternFill>
              </fill>
            </x14:dxf>
          </x14:cfRule>
          <x14:cfRule type="expression" priority="217" id="{1DCBF9C9-73C8-4153-8D69-826F5B24239B}">
            <xm:f>$E329=Leadership!$D$27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18" id="{FAB782E9-673E-403E-B7F6-E9ED2F89B18E}">
            <xm:f>_xlfn.TEXTBEFORE($E329,"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219" id="{FEC1B5E4-7F9E-4B69-9FAD-61EF16678307}">
            <xm:f>_xlfn.TEXTBEFORE($E329,"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B330</xm:sqref>
        </x14:conditionalFormatting>
        <x14:conditionalFormatting xmlns:xm="http://schemas.microsoft.com/office/excel/2006/main">
          <x14:cfRule type="expression" priority="86" id="{C855BBBE-1EE7-4A66-BBB3-FC74BDFC5F85}">
            <xm:f>$E6=Leadership!$D$3</xm:f>
            <x14:dxf>
              <fill>
                <patternFill>
                  <bgColor theme="5" tint="-0.24994659260841701"/>
                </patternFill>
              </fill>
            </x14:dxf>
          </x14:cfRule>
          <xm:sqref>B6:G274 B275:E276 C277:E280 B281:G296 D297:G297 B298:G328 C329:G330 B331:G1996 F275:G280</xm:sqref>
        </x14:conditionalFormatting>
        <x14:conditionalFormatting xmlns:xm="http://schemas.microsoft.com/office/excel/2006/main">
          <x14:cfRule type="expression" priority="87" id="{1DCBF9C9-73C8-4153-8D69-826F5B24239B}">
            <xm:f>$E6=Leadership!$D$27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88" id="{FAB782E9-673E-403E-B7F6-E9ED2F89B18E}">
            <xm:f>_xlfn.TEXTBEFORE($E6," ",1)=Structures!$Y$4</xm:f>
            <x14:dxf>
              <fill>
                <patternFill>
                  <bgColor theme="5" tint="0.39994506668294322"/>
                </patternFill>
              </fill>
            </x14:dxf>
          </x14:cfRule>
          <x14:cfRule type="expression" priority="89" id="{FEC1B5E4-7F9E-4B69-9FAD-61EF16678307}">
            <xm:f>_xlfn.TEXTBEFORE($E6," ",1)=Structures!$Y$5</xm:f>
            <x14:dxf>
              <fill>
                <patternFill>
                  <bgColor theme="5" tint="0.59996337778862885"/>
                </patternFill>
              </fill>
            </x14:dxf>
          </x14:cfRule>
          <xm:sqref>B6:G274 B275:E276 F275:G280 C277:E280 B281:G296 D297:G297 B298:G328 C329:G330 B331:G1996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D6D72D3-31E4-4D16-A297-19128D2E436F}">
          <x14:formula1>
            <xm:f>Structures!$O$3:$O$13</xm:f>
          </x14:formula1>
          <xm:sqref>H5:Q5</xm:sqref>
        </x14:dataValidation>
        <x14:dataValidation type="list" allowBlank="1" showInputMessage="1" showErrorMessage="1" xr:uid="{A0BDC1ED-1AF3-446A-B0FF-910CE50DB26F}">
          <x14:formula1>
            <xm:f>Structures!$M$3:$M$5</xm:f>
          </x14:formula1>
          <xm:sqref>H6:AJ1048576</xm:sqref>
        </x14:dataValidation>
        <x14:dataValidation type="list" allowBlank="1" showInputMessage="1" showErrorMessage="1" promptTitle="Membership Verification Check" prompt="Please verify that the member has purchased a membership.  Valid verification methods are checking WesternLink.ca or having the student show their membership purchase email receipt." xr:uid="{95CFD494-0F3A-484D-BD63-E2CAD9FC1170}">
          <x14:formula1>
            <xm:f>Structures!$U$3:$U$4</xm:f>
          </x14:formula1>
          <xm:sqref>F6:F243</xm:sqref>
        </x14:dataValidation>
        <x14:dataValidation type="list" allowBlank="1" showInputMessage="1" showErrorMessage="1" xr:uid="{FD6BFFEA-0569-4ABE-80B2-985A1253D3D2}">
          <x14:formula1>
            <xm:f>Structures!$O$3:$O$33</xm:f>
          </x14:formula1>
          <xm:sqref>R5:AJ5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347D-B4B2-4535-967B-11DD5FCFD1FB}">
  <dimension ref="A1:F31"/>
  <sheetViews>
    <sheetView zoomScale="111" workbookViewId="0">
      <selection activeCell="E12" sqref="E12"/>
    </sheetView>
  </sheetViews>
  <sheetFormatPr defaultColWidth="8.85546875" defaultRowHeight="15"/>
  <cols>
    <col min="1" max="1" width="17.140625" bestFit="1" customWidth="1"/>
    <col min="2" max="2" width="23" bestFit="1" customWidth="1"/>
  </cols>
  <sheetData>
    <row r="1" spans="1:3">
      <c r="A1" s="111" t="s">
        <v>270</v>
      </c>
      <c r="B1" t="s">
        <v>81</v>
      </c>
    </row>
    <row r="3" spans="1:3">
      <c r="A3" s="111" t="s">
        <v>863</v>
      </c>
      <c r="B3" t="s">
        <v>864</v>
      </c>
    </row>
    <row r="4" spans="1:3">
      <c r="A4" s="4" t="s">
        <v>80</v>
      </c>
      <c r="B4" s="112">
        <v>0.3</v>
      </c>
    </row>
    <row r="5" spans="1:3">
      <c r="A5" s="4" t="s">
        <v>83</v>
      </c>
      <c r="B5" s="112">
        <v>0</v>
      </c>
      <c r="C5" t="s">
        <v>865</v>
      </c>
    </row>
    <row r="6" spans="1:3">
      <c r="A6" s="4" t="s">
        <v>866</v>
      </c>
      <c r="B6" s="112">
        <v>0.2</v>
      </c>
      <c r="C6" t="s">
        <v>867</v>
      </c>
    </row>
    <row r="7" spans="1:3">
      <c r="A7" s="4" t="s">
        <v>89</v>
      </c>
      <c r="B7" s="112">
        <v>0.1</v>
      </c>
    </row>
    <row r="8" spans="1:3">
      <c r="A8" s="4" t="s">
        <v>93</v>
      </c>
      <c r="B8" s="112">
        <v>0.9</v>
      </c>
    </row>
    <row r="9" spans="1:3">
      <c r="A9" s="4" t="s">
        <v>97</v>
      </c>
      <c r="B9" s="112">
        <v>0.3</v>
      </c>
    </row>
    <row r="10" spans="1:3">
      <c r="A10" s="4" t="s">
        <v>99</v>
      </c>
      <c r="B10" s="112">
        <v>0.4</v>
      </c>
    </row>
    <row r="11" spans="1:3">
      <c r="A11" s="4" t="s">
        <v>103</v>
      </c>
      <c r="B11" s="112">
        <v>0.7</v>
      </c>
    </row>
    <row r="12" spans="1:3">
      <c r="A12" s="4" t="s">
        <v>868</v>
      </c>
      <c r="B12" s="112">
        <v>0.2</v>
      </c>
      <c r="C12" t="s">
        <v>867</v>
      </c>
    </row>
    <row r="13" spans="1:3">
      <c r="A13" s="4" t="s">
        <v>115</v>
      </c>
      <c r="B13" s="112">
        <v>0.6</v>
      </c>
    </row>
    <row r="14" spans="1:3">
      <c r="A14" s="4" t="s">
        <v>119</v>
      </c>
      <c r="B14" s="112">
        <v>0.6</v>
      </c>
    </row>
    <row r="15" spans="1:3">
      <c r="A15" s="4" t="s">
        <v>121</v>
      </c>
      <c r="B15" s="112">
        <v>0.2</v>
      </c>
    </row>
    <row r="16" spans="1:3">
      <c r="A16" s="4" t="s">
        <v>123</v>
      </c>
      <c r="B16" s="112">
        <v>0.3</v>
      </c>
    </row>
    <row r="17" spans="1:6">
      <c r="A17" s="4" t="s">
        <v>125</v>
      </c>
      <c r="B17" s="112">
        <v>0.4</v>
      </c>
    </row>
    <row r="18" spans="1:6">
      <c r="A18" s="4" t="s">
        <v>127</v>
      </c>
      <c r="B18" s="112">
        <v>0.2</v>
      </c>
    </row>
    <row r="19" spans="1:6">
      <c r="A19" s="4" t="s">
        <v>48</v>
      </c>
      <c r="B19" s="112">
        <v>0.7</v>
      </c>
      <c r="E19" t="s">
        <v>866</v>
      </c>
    </row>
    <row r="20" spans="1:6">
      <c r="A20" s="4" t="s">
        <v>134</v>
      </c>
      <c r="B20" s="112">
        <v>0.5</v>
      </c>
      <c r="E20" t="s">
        <v>869</v>
      </c>
      <c r="F20" t="s">
        <v>867</v>
      </c>
    </row>
    <row r="21" spans="1:6">
      <c r="A21" s="4" t="s">
        <v>136</v>
      </c>
      <c r="B21" s="112">
        <v>0.5</v>
      </c>
      <c r="E21" t="s">
        <v>870</v>
      </c>
      <c r="F21" t="s">
        <v>867</v>
      </c>
    </row>
    <row r="22" spans="1:6">
      <c r="A22" s="4" t="s">
        <v>140</v>
      </c>
      <c r="B22" s="112">
        <v>0.2</v>
      </c>
      <c r="E22" t="s">
        <v>868</v>
      </c>
      <c r="F22" t="s">
        <v>867</v>
      </c>
    </row>
    <row r="23" spans="1:6">
      <c r="A23" s="4" t="s">
        <v>142</v>
      </c>
      <c r="B23" s="112">
        <v>0.9</v>
      </c>
      <c r="E23" t="s">
        <v>742</v>
      </c>
      <c r="F23" t="s">
        <v>867</v>
      </c>
    </row>
    <row r="24" spans="1:6">
      <c r="A24" s="4" t="s">
        <v>144</v>
      </c>
      <c r="B24" s="112">
        <v>0.6</v>
      </c>
      <c r="E24" t="s">
        <v>871</v>
      </c>
      <c r="F24" t="s">
        <v>867</v>
      </c>
    </row>
    <row r="25" spans="1:6">
      <c r="A25" s="4" t="s">
        <v>152</v>
      </c>
      <c r="B25" s="112">
        <v>0.9</v>
      </c>
      <c r="E25" t="s">
        <v>702</v>
      </c>
      <c r="F25" t="s">
        <v>867</v>
      </c>
    </row>
    <row r="26" spans="1:6">
      <c r="A26" s="4" t="s">
        <v>154</v>
      </c>
      <c r="B26" s="112">
        <v>0.1</v>
      </c>
      <c r="E26" t="s">
        <v>828</v>
      </c>
      <c r="F26" t="s">
        <v>867</v>
      </c>
    </row>
    <row r="27" spans="1:6">
      <c r="A27" s="4" t="s">
        <v>164</v>
      </c>
      <c r="B27" s="112">
        <v>0.2</v>
      </c>
      <c r="E27" t="s">
        <v>441</v>
      </c>
      <c r="F27" t="s">
        <v>867</v>
      </c>
    </row>
    <row r="28" spans="1:6">
      <c r="A28" s="4" t="s">
        <v>166</v>
      </c>
      <c r="B28" s="112">
        <v>0.7</v>
      </c>
      <c r="E28" t="s">
        <v>738</v>
      </c>
      <c r="F28" t="s">
        <v>867</v>
      </c>
    </row>
    <row r="29" spans="1:6">
      <c r="A29" s="4" t="s">
        <v>174</v>
      </c>
      <c r="B29" s="112">
        <v>0.3</v>
      </c>
      <c r="E29" t="s">
        <v>668</v>
      </c>
      <c r="F29" t="s">
        <v>867</v>
      </c>
    </row>
    <row r="30" spans="1:6">
      <c r="A30" s="4" t="s">
        <v>176</v>
      </c>
      <c r="B30" s="112">
        <v>0.4</v>
      </c>
      <c r="E30" t="s">
        <v>872</v>
      </c>
      <c r="F30" t="s">
        <v>867</v>
      </c>
    </row>
    <row r="31" spans="1:6">
      <c r="A31" s="4" t="s">
        <v>873</v>
      </c>
      <c r="B31" s="112">
        <v>11.4</v>
      </c>
      <c r="E31" t="s">
        <v>874</v>
      </c>
      <c r="F31" t="s">
        <v>867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D488-C6B8-40D6-8AB1-D694807DFFF4}">
  <dimension ref="A1:DQ504"/>
  <sheetViews>
    <sheetView topLeftCell="DN1" zoomScale="61" zoomScaleNormal="44" workbookViewId="0">
      <selection activeCell="DO96" sqref="DO96"/>
    </sheetView>
  </sheetViews>
  <sheetFormatPr defaultColWidth="8.85546875" defaultRowHeight="18.75"/>
  <cols>
    <col min="1" max="1" width="9.140625" hidden="1" customWidth="1"/>
    <col min="2" max="2" width="9.140625" customWidth="1"/>
    <col min="3" max="3" width="20.85546875" bestFit="1" customWidth="1"/>
    <col min="4" max="4" width="9.7109375" bestFit="1" customWidth="1"/>
    <col min="5" max="5" width="9.85546875" bestFit="1" customWidth="1"/>
    <col min="6" max="6" width="13.42578125" style="8" bestFit="1" customWidth="1"/>
    <col min="7" max="7" width="10" style="8" bestFit="1" customWidth="1"/>
    <col min="8" max="8" width="9.140625" style="8" customWidth="1"/>
    <col min="9" max="9" width="25.42578125" customWidth="1"/>
    <col min="10" max="10" width="9.7109375" bestFit="1" customWidth="1"/>
    <col min="11" max="11" width="9.85546875" bestFit="1" customWidth="1"/>
    <col min="12" max="12" width="13.42578125" bestFit="1" customWidth="1"/>
    <col min="13" max="13" width="10" bestFit="1" customWidth="1"/>
    <col min="14" max="14" width="9.140625" customWidth="1"/>
    <col min="15" max="15" width="25.42578125" customWidth="1"/>
    <col min="16" max="16" width="9.7109375" bestFit="1" customWidth="1"/>
    <col min="17" max="17" width="11.140625" bestFit="1" customWidth="1"/>
    <col min="18" max="18" width="13.42578125" bestFit="1" customWidth="1"/>
    <col min="19" max="19" width="10" bestFit="1" customWidth="1"/>
    <col min="20" max="20" width="9.140625" customWidth="1"/>
    <col min="21" max="21" width="19.42578125" bestFit="1" customWidth="1"/>
    <col min="22" max="22" width="9.7109375" bestFit="1" customWidth="1"/>
    <col min="23" max="23" width="9.85546875" bestFit="1" customWidth="1"/>
    <col min="24" max="24" width="13.42578125" style="9" bestFit="1" customWidth="1"/>
    <col min="25" max="25" width="10" bestFit="1" customWidth="1"/>
    <col min="26" max="26" width="9.140625" customWidth="1"/>
    <col min="27" max="27" width="23.42578125" bestFit="1" customWidth="1"/>
    <col min="28" max="28" width="9.7109375" bestFit="1" customWidth="1"/>
    <col min="29" max="29" width="9.85546875" bestFit="1" customWidth="1"/>
    <col min="30" max="30" width="13.42578125" style="9" bestFit="1" customWidth="1"/>
    <col min="31" max="31" width="10" customWidth="1"/>
    <col min="32" max="32" width="9" bestFit="1" customWidth="1"/>
    <col min="33" max="33" width="35" customWidth="1"/>
    <col min="34" max="34" width="13.140625" customWidth="1"/>
    <col min="35" max="35" width="22.7109375" customWidth="1"/>
    <col min="36" max="36" width="22.140625" customWidth="1"/>
    <col min="37" max="37" width="22.42578125" style="9" customWidth="1"/>
    <col min="38" max="38" width="8.7109375" customWidth="1"/>
    <col min="39" max="39" width="35" customWidth="1"/>
    <col min="40" max="40" width="13.140625" customWidth="1"/>
    <col min="41" max="41" width="22.7109375" customWidth="1"/>
    <col min="42" max="42" width="22.140625" customWidth="1"/>
    <col min="43" max="43" width="22.42578125" style="9" customWidth="1"/>
    <col min="45" max="45" width="35" customWidth="1"/>
    <col min="46" max="46" width="13.140625" customWidth="1"/>
    <col min="47" max="47" width="22.7109375" customWidth="1"/>
    <col min="48" max="48" width="22.140625" customWidth="1"/>
    <col min="49" max="49" width="22.42578125" style="9" customWidth="1"/>
    <col min="51" max="51" width="35" customWidth="1"/>
    <col min="52" max="52" width="13.140625" customWidth="1"/>
    <col min="53" max="53" width="22.7109375" customWidth="1"/>
    <col min="54" max="54" width="22.140625" customWidth="1"/>
    <col min="55" max="55" width="22.42578125" style="9" customWidth="1"/>
    <col min="57" max="57" width="35" customWidth="1"/>
    <col min="58" max="58" width="13.140625" customWidth="1"/>
    <col min="59" max="59" width="22.7109375" customWidth="1"/>
    <col min="60" max="60" width="22.140625" customWidth="1"/>
    <col min="61" max="61" width="22.42578125" style="9" customWidth="1"/>
    <col min="63" max="63" width="35" customWidth="1"/>
    <col min="64" max="64" width="13.140625" customWidth="1"/>
    <col min="65" max="65" width="22.7109375" customWidth="1"/>
    <col min="66" max="66" width="22.140625" customWidth="1"/>
    <col min="67" max="67" width="22.42578125" style="9" customWidth="1"/>
    <col min="69" max="69" width="35" customWidth="1"/>
    <col min="70" max="70" width="13.140625" customWidth="1"/>
    <col min="71" max="71" width="22.7109375" customWidth="1"/>
    <col min="72" max="72" width="22.140625" customWidth="1"/>
    <col min="73" max="73" width="22.42578125" style="9" customWidth="1"/>
    <col min="75" max="75" width="35" customWidth="1"/>
    <col min="76" max="76" width="13.140625" customWidth="1"/>
    <col min="77" max="77" width="22.7109375" customWidth="1"/>
    <col min="78" max="78" width="22.140625" customWidth="1"/>
    <col min="79" max="79" width="22.42578125" style="9" customWidth="1"/>
    <col min="81" max="81" width="35" customWidth="1"/>
    <col min="82" max="82" width="13.140625" customWidth="1"/>
    <col min="83" max="83" width="22.7109375" customWidth="1"/>
    <col min="84" max="84" width="22.140625" customWidth="1"/>
    <col min="85" max="85" width="22.42578125" style="9" customWidth="1"/>
    <col min="87" max="87" width="35" customWidth="1"/>
    <col min="88" max="88" width="13.140625" customWidth="1"/>
    <col min="89" max="89" width="22.7109375" customWidth="1"/>
    <col min="90" max="90" width="22.140625" customWidth="1"/>
    <col min="91" max="91" width="22.42578125" style="9" customWidth="1"/>
    <col min="93" max="93" width="35" customWidth="1"/>
    <col min="94" max="94" width="13.140625" customWidth="1"/>
    <col min="95" max="95" width="22.7109375" customWidth="1"/>
    <col min="96" max="96" width="22.140625" customWidth="1"/>
    <col min="97" max="97" width="22.42578125" style="9" customWidth="1"/>
    <col min="99" max="99" width="35" customWidth="1"/>
    <col min="100" max="100" width="13.140625" customWidth="1"/>
    <col min="101" max="101" width="22.7109375" customWidth="1"/>
    <col min="102" max="102" width="22.140625" customWidth="1"/>
    <col min="103" max="103" width="22.42578125" style="9" customWidth="1"/>
    <col min="105" max="105" width="35" customWidth="1"/>
    <col min="106" max="106" width="13.140625" customWidth="1"/>
    <col min="107" max="107" width="22.7109375" customWidth="1"/>
    <col min="108" max="108" width="22.140625" customWidth="1"/>
    <col min="109" max="109" width="22.42578125" style="9" customWidth="1"/>
    <col min="111" max="111" width="35" customWidth="1"/>
    <col min="112" max="112" width="13.140625" customWidth="1"/>
    <col min="113" max="113" width="22.7109375" customWidth="1"/>
    <col min="114" max="114" width="22.140625" customWidth="1"/>
    <col min="115" max="115" width="22.42578125" style="9" customWidth="1"/>
    <col min="117" max="117" width="35" customWidth="1"/>
    <col min="118" max="118" width="13.140625" customWidth="1"/>
    <col min="119" max="119" width="22.7109375" customWidth="1"/>
    <col min="120" max="120" width="22.140625" customWidth="1"/>
    <col min="121" max="121" width="22.42578125" style="9" customWidth="1"/>
  </cols>
  <sheetData>
    <row r="1" spans="1:121" ht="6" customHeight="1" thickBot="1">
      <c r="D1" s="40">
        <f>SUM(D2:D3)</f>
        <v>143</v>
      </c>
      <c r="E1" s="40">
        <f t="shared" ref="E1:BP1" si="0">SUM(E2:E3)</f>
        <v>0</v>
      </c>
      <c r="F1" s="40">
        <f t="shared" si="0"/>
        <v>0</v>
      </c>
      <c r="G1" s="40">
        <f t="shared" si="0"/>
        <v>715000</v>
      </c>
      <c r="H1" s="40">
        <f t="shared" si="0"/>
        <v>0</v>
      </c>
      <c r="I1" s="40">
        <f t="shared" si="0"/>
        <v>0</v>
      </c>
      <c r="J1" s="40">
        <f t="shared" si="0"/>
        <v>141</v>
      </c>
      <c r="K1" s="40">
        <f t="shared" si="0"/>
        <v>0</v>
      </c>
      <c r="L1" s="40">
        <f t="shared" si="0"/>
        <v>0</v>
      </c>
      <c r="M1" s="40">
        <f t="shared" si="0"/>
        <v>705000</v>
      </c>
      <c r="N1" s="40">
        <f t="shared" si="0"/>
        <v>0</v>
      </c>
      <c r="O1" s="40">
        <f t="shared" si="0"/>
        <v>0</v>
      </c>
      <c r="P1" s="40">
        <f t="shared" si="0"/>
        <v>145</v>
      </c>
      <c r="Q1" s="40">
        <f t="shared" si="0"/>
        <v>0</v>
      </c>
      <c r="R1" s="40">
        <f t="shared" si="0"/>
        <v>0</v>
      </c>
      <c r="S1" s="40">
        <f t="shared" si="0"/>
        <v>725000</v>
      </c>
      <c r="T1" s="40">
        <f t="shared" si="0"/>
        <v>0</v>
      </c>
      <c r="U1" s="40">
        <f t="shared" si="0"/>
        <v>0</v>
      </c>
      <c r="V1" s="40">
        <f t="shared" si="0"/>
        <v>132</v>
      </c>
      <c r="W1" s="40">
        <f t="shared" si="0"/>
        <v>0</v>
      </c>
      <c r="X1" s="40">
        <f t="shared" si="0"/>
        <v>0</v>
      </c>
      <c r="Y1" s="40">
        <f t="shared" si="0"/>
        <v>660000</v>
      </c>
      <c r="Z1" s="40">
        <f t="shared" si="0"/>
        <v>0</v>
      </c>
      <c r="AA1" s="40">
        <f t="shared" si="0"/>
        <v>0</v>
      </c>
      <c r="AB1" s="40">
        <f t="shared" si="0"/>
        <v>117</v>
      </c>
      <c r="AC1" s="40">
        <f t="shared" si="0"/>
        <v>0</v>
      </c>
      <c r="AD1" s="40">
        <f t="shared" si="0"/>
        <v>0</v>
      </c>
      <c r="AE1" s="40">
        <f t="shared" si="0"/>
        <v>585000</v>
      </c>
      <c r="AF1" s="40">
        <f t="shared" si="0"/>
        <v>0</v>
      </c>
      <c r="AG1" s="40">
        <f t="shared" si="0"/>
        <v>0</v>
      </c>
      <c r="AH1" s="40">
        <f t="shared" si="0"/>
        <v>123</v>
      </c>
      <c r="AI1" s="40">
        <f t="shared" si="0"/>
        <v>0</v>
      </c>
      <c r="AJ1" s="40">
        <f t="shared" si="0"/>
        <v>0</v>
      </c>
      <c r="AK1" s="40">
        <f t="shared" si="0"/>
        <v>615000</v>
      </c>
      <c r="AL1" s="40">
        <f t="shared" si="0"/>
        <v>0</v>
      </c>
      <c r="AM1" s="40">
        <f t="shared" si="0"/>
        <v>0</v>
      </c>
      <c r="AN1" s="40">
        <f t="shared" si="0"/>
        <v>142</v>
      </c>
      <c r="AO1" s="40">
        <f t="shared" si="0"/>
        <v>0</v>
      </c>
      <c r="AP1" s="40">
        <f>SUM(AP2:AP3)</f>
        <v>0</v>
      </c>
      <c r="AQ1" s="40">
        <f t="shared" si="0"/>
        <v>710000</v>
      </c>
      <c r="AR1" s="40">
        <f t="shared" si="0"/>
        <v>0</v>
      </c>
      <c r="AS1" s="40">
        <f t="shared" si="0"/>
        <v>0</v>
      </c>
      <c r="AT1" s="40">
        <f t="shared" si="0"/>
        <v>157</v>
      </c>
      <c r="AU1" s="40">
        <f t="shared" si="0"/>
        <v>0</v>
      </c>
      <c r="AV1" s="40">
        <f t="shared" si="0"/>
        <v>0</v>
      </c>
      <c r="AW1" s="40">
        <f t="shared" si="0"/>
        <v>785000</v>
      </c>
      <c r="AX1" s="40">
        <f t="shared" si="0"/>
        <v>0</v>
      </c>
      <c r="AY1" s="40">
        <f t="shared" ref="AY1:BC1" si="1">SUM(AY2:AY3)</f>
        <v>0</v>
      </c>
      <c r="AZ1" s="40">
        <f t="shared" si="1"/>
        <v>140</v>
      </c>
      <c r="BA1" s="40">
        <f t="shared" si="1"/>
        <v>0</v>
      </c>
      <c r="BB1" s="40">
        <f t="shared" si="1"/>
        <v>0</v>
      </c>
      <c r="BC1" s="40">
        <f t="shared" si="1"/>
        <v>700000</v>
      </c>
      <c r="BD1" s="40">
        <f t="shared" si="0"/>
        <v>0</v>
      </c>
      <c r="BE1" s="40">
        <f t="shared" si="0"/>
        <v>0</v>
      </c>
      <c r="BF1" s="40">
        <f t="shared" si="0"/>
        <v>134</v>
      </c>
      <c r="BG1" s="40">
        <f t="shared" si="0"/>
        <v>0</v>
      </c>
      <c r="BH1" s="40">
        <f t="shared" si="0"/>
        <v>0</v>
      </c>
      <c r="BI1" s="40">
        <f t="shared" si="0"/>
        <v>670000</v>
      </c>
      <c r="BJ1" s="40">
        <f t="shared" si="0"/>
        <v>0</v>
      </c>
      <c r="BK1" s="40">
        <f t="shared" ref="BK1:BN1" si="2">SUM(BK2:BK3)</f>
        <v>0</v>
      </c>
      <c r="BL1" s="40">
        <f t="shared" si="2"/>
        <v>131</v>
      </c>
      <c r="BM1" s="40">
        <f t="shared" si="2"/>
        <v>0</v>
      </c>
      <c r="BN1" s="40">
        <f t="shared" si="2"/>
        <v>0</v>
      </c>
      <c r="BO1" s="40">
        <f>SUM(BO2:BO3)</f>
        <v>655000</v>
      </c>
      <c r="BP1" s="40">
        <f t="shared" si="0"/>
        <v>0</v>
      </c>
      <c r="BQ1" s="40">
        <f t="shared" ref="BQ1:BU1" si="3">SUM(BQ2:BQ3)</f>
        <v>0</v>
      </c>
      <c r="BR1" s="40">
        <f t="shared" si="3"/>
        <v>139</v>
      </c>
      <c r="BS1" s="40">
        <f t="shared" si="3"/>
        <v>0</v>
      </c>
      <c r="BT1" s="40">
        <f t="shared" si="3"/>
        <v>0</v>
      </c>
      <c r="BU1" s="40">
        <f t="shared" si="3"/>
        <v>695000</v>
      </c>
      <c r="BV1" s="40">
        <f t="shared" ref="BV1:CN1" si="4">SUM(BV2:BV3)</f>
        <v>0</v>
      </c>
      <c r="BW1" s="40">
        <f t="shared" si="4"/>
        <v>0</v>
      </c>
      <c r="BX1" s="40">
        <f t="shared" si="4"/>
        <v>144</v>
      </c>
      <c r="BY1" s="40">
        <f t="shared" si="4"/>
        <v>0</v>
      </c>
      <c r="BZ1" s="40">
        <f t="shared" si="4"/>
        <v>0</v>
      </c>
      <c r="CA1" s="40">
        <f t="shared" si="4"/>
        <v>720000</v>
      </c>
      <c r="CB1" s="40">
        <f t="shared" si="4"/>
        <v>0</v>
      </c>
      <c r="CC1" s="40">
        <f t="shared" ref="CC1:CG1" si="5">SUM(CC2:CC3)</f>
        <v>0</v>
      </c>
      <c r="CD1" s="40">
        <f t="shared" si="5"/>
        <v>114</v>
      </c>
      <c r="CE1" s="40">
        <f t="shared" si="5"/>
        <v>0</v>
      </c>
      <c r="CF1" s="40">
        <f t="shared" si="5"/>
        <v>0</v>
      </c>
      <c r="CG1" s="40">
        <f t="shared" si="5"/>
        <v>570000</v>
      </c>
      <c r="CH1" s="40">
        <f t="shared" si="4"/>
        <v>0</v>
      </c>
      <c r="CI1" s="40">
        <f t="shared" si="4"/>
        <v>0</v>
      </c>
      <c r="CJ1" s="40">
        <f t="shared" si="4"/>
        <v>134</v>
      </c>
      <c r="CK1" s="40">
        <f t="shared" si="4"/>
        <v>0</v>
      </c>
      <c r="CL1" s="40">
        <f t="shared" si="4"/>
        <v>0</v>
      </c>
      <c r="CM1" s="40">
        <f t="shared" si="4"/>
        <v>670000</v>
      </c>
      <c r="CN1" s="40">
        <f t="shared" si="4"/>
        <v>0</v>
      </c>
      <c r="CO1" s="40">
        <f t="shared" ref="CO1:CS1" si="6">SUM(CO2:CO3)</f>
        <v>0</v>
      </c>
      <c r="CP1" s="40">
        <f t="shared" si="6"/>
        <v>94</v>
      </c>
      <c r="CQ1" s="40">
        <f t="shared" si="6"/>
        <v>0</v>
      </c>
      <c r="CR1" s="40">
        <f t="shared" si="6"/>
        <v>0</v>
      </c>
      <c r="CS1" s="40">
        <f t="shared" si="6"/>
        <v>470000</v>
      </c>
      <c r="CU1" s="40">
        <f t="shared" ref="CU1:CY1" si="7">SUM(CU2:CU3)</f>
        <v>0</v>
      </c>
      <c r="CV1" s="40">
        <f t="shared" si="7"/>
        <v>88</v>
      </c>
      <c r="CW1" s="40">
        <f t="shared" si="7"/>
        <v>0</v>
      </c>
      <c r="CX1" s="40">
        <f t="shared" si="7"/>
        <v>0</v>
      </c>
      <c r="CY1" s="40">
        <f t="shared" si="7"/>
        <v>440000</v>
      </c>
      <c r="DA1" s="40">
        <f t="shared" ref="DA1:DE1" si="8">SUM(DA2:DA3)</f>
        <v>0</v>
      </c>
      <c r="DB1" s="40">
        <f t="shared" si="8"/>
        <v>157</v>
      </c>
      <c r="DC1" s="40">
        <f t="shared" si="8"/>
        <v>0</v>
      </c>
      <c r="DD1" s="40">
        <f t="shared" si="8"/>
        <v>0</v>
      </c>
      <c r="DE1" s="40">
        <f t="shared" si="8"/>
        <v>785000</v>
      </c>
      <c r="DG1" s="40">
        <f t="shared" ref="DG1:DK1" si="9">SUM(DG2:DG3)</f>
        <v>0</v>
      </c>
      <c r="DH1" s="40">
        <f t="shared" si="9"/>
        <v>97</v>
      </c>
      <c r="DI1" s="40">
        <f t="shared" si="9"/>
        <v>0</v>
      </c>
      <c r="DJ1" s="40">
        <f t="shared" si="9"/>
        <v>0</v>
      </c>
      <c r="DK1" s="40">
        <f t="shared" si="9"/>
        <v>485000</v>
      </c>
      <c r="DM1" s="40">
        <f>SUM(DM2:DM3)</f>
        <v>0</v>
      </c>
      <c r="DN1" s="40">
        <f>SUM(DN2:DN3)</f>
        <v>135</v>
      </c>
      <c r="DO1" s="40">
        <f>SUM(DO2:DO3)</f>
        <v>0</v>
      </c>
      <c r="DP1" s="40">
        <f>SUM(DP2:DP3)</f>
        <v>0</v>
      </c>
      <c r="DQ1" s="40">
        <f>SUM(DQ2:DQ3)</f>
        <v>675020</v>
      </c>
    </row>
    <row r="2" spans="1:121">
      <c r="C2" s="19" t="s">
        <v>1</v>
      </c>
      <c r="D2" s="20" cm="1">
        <f t="array" ref="D2">SUMPRODUCT(--(LEN(Table4[Name])&gt;0))</f>
        <v>110</v>
      </c>
      <c r="F2" s="19" t="s">
        <v>875</v>
      </c>
      <c r="G2" s="20">
        <f>D2-D4</f>
        <v>0</v>
      </c>
      <c r="I2" s="19" t="s">
        <v>1</v>
      </c>
      <c r="J2" s="20" cm="1">
        <f t="array" ref="J2">SUMPRODUCT(--(LEN(Table9[Name])&gt;0))</f>
        <v>88</v>
      </c>
      <c r="L2" s="19" t="s">
        <v>875</v>
      </c>
      <c r="M2" s="20">
        <f>J2-J4</f>
        <v>0</v>
      </c>
      <c r="O2" s="19" t="s">
        <v>1</v>
      </c>
      <c r="P2" s="20" cm="1">
        <f t="array" ref="P2">SUMPRODUCT(--(LEN(Table18[Name])&gt;0))</f>
        <v>100</v>
      </c>
      <c r="R2" s="19" t="s">
        <v>875</v>
      </c>
      <c r="S2" s="20">
        <f>P2-P4</f>
        <v>0</v>
      </c>
      <c r="U2" s="19" t="s">
        <v>1</v>
      </c>
      <c r="V2" s="20" cm="1">
        <f t="array" ref="V2">SUMPRODUCT(--(LEN(Table2[Name])&gt;0))</f>
        <v>85</v>
      </c>
      <c r="X2" s="19" t="s">
        <v>875</v>
      </c>
      <c r="Y2" s="20">
        <f>V2-V4</f>
        <v>0</v>
      </c>
      <c r="AA2" s="19" t="s">
        <v>1</v>
      </c>
      <c r="AB2" s="20" cm="1">
        <f t="array" ref="AB2">SUMPRODUCT(--(LEN(Table211[Name])&gt;0))</f>
        <v>72</v>
      </c>
      <c r="AD2" s="19" t="s">
        <v>875</v>
      </c>
      <c r="AE2" s="20">
        <f>AB2-AB4</f>
        <v>0</v>
      </c>
      <c r="AG2" s="19" t="s">
        <v>1</v>
      </c>
      <c r="AH2" s="20" cm="1">
        <f t="array" ref="AH2">SUMPRODUCT(--(LEN(Table21112[Name])&gt;0))</f>
        <v>79</v>
      </c>
      <c r="AJ2" s="19" t="s">
        <v>875</v>
      </c>
      <c r="AK2" s="20">
        <f>AH2-AH4</f>
        <v>0</v>
      </c>
      <c r="AM2" s="19" t="s">
        <v>1</v>
      </c>
      <c r="AN2" s="20" cm="1">
        <f t="array" ref="AN2">SUMPRODUCT(--(LEN(Table21112164[Name])&gt;0))</f>
        <v>90</v>
      </c>
      <c r="AP2" s="19" t="s">
        <v>875</v>
      </c>
      <c r="AQ2" s="20">
        <f>AN2-AN4</f>
        <v>0</v>
      </c>
      <c r="AS2" s="19" t="s">
        <v>1</v>
      </c>
      <c r="AT2" s="20" cm="1">
        <f t="array" ref="AT2">SUMPRODUCT(--(LEN(Table2111216420[Name])&gt;0))</f>
        <v>95</v>
      </c>
      <c r="AV2" s="19" t="s">
        <v>875</v>
      </c>
      <c r="AW2" s="20">
        <f>AT2-AT4</f>
        <v>0</v>
      </c>
      <c r="AY2" s="19" t="s">
        <v>1</v>
      </c>
      <c r="AZ2" s="20" cm="1">
        <f t="array" ref="AZ2">SUMPRODUCT(--(LEN(Table211121642021[Name])&gt;0))</f>
        <v>94</v>
      </c>
      <c r="BB2" s="19" t="s">
        <v>875</v>
      </c>
      <c r="BC2" s="20">
        <f>AZ2-AZ4</f>
        <v>0</v>
      </c>
      <c r="BE2" s="19" t="s">
        <v>1</v>
      </c>
      <c r="BF2" s="20" cm="1">
        <f t="array" ref="BF2">SUMPRODUCT(--(LEN(Table21112164202122[Name])&gt;0))</f>
        <v>89</v>
      </c>
      <c r="BH2" s="19" t="s">
        <v>875</v>
      </c>
      <c r="BI2" s="20">
        <f>BF2-BF4</f>
        <v>0</v>
      </c>
      <c r="BK2" s="19" t="s">
        <v>1</v>
      </c>
      <c r="BL2" s="20" cm="1">
        <f t="array" ref="BL2">SUMPRODUCT(--(LEN(Table2111216420212223[Name])&gt;0))</f>
        <v>92</v>
      </c>
      <c r="BN2" s="19" t="s">
        <v>875</v>
      </c>
      <c r="BO2" s="20">
        <f>BL2-BL4</f>
        <v>0</v>
      </c>
      <c r="BQ2" s="19" t="s">
        <v>1</v>
      </c>
      <c r="BR2" s="20" cm="1">
        <f t="array" ref="BR2">SUMPRODUCT(--(LEN(Table211121642021222325[Name])&gt;0))</f>
        <v>92</v>
      </c>
      <c r="BT2" s="19" t="s">
        <v>875</v>
      </c>
      <c r="BU2" s="20">
        <f>BR2-BR4</f>
        <v>0</v>
      </c>
      <c r="BW2" s="19" t="s">
        <v>1</v>
      </c>
      <c r="BX2" s="20" cm="1">
        <f t="array" ref="BX2">SUMPRODUCT(--(LEN(Table21112164202122232534[Name])&gt;0))</f>
        <v>92</v>
      </c>
      <c r="BZ2" s="19" t="s">
        <v>875</v>
      </c>
      <c r="CA2" s="20">
        <f>BX2-BX4</f>
        <v>0</v>
      </c>
      <c r="CC2" s="19" t="s">
        <v>1</v>
      </c>
      <c r="CD2" s="20" cm="1">
        <f t="array" ref="CD2">SUMPRODUCT(--(LEN(Table2111216420212223253435[Name])&gt;0))</f>
        <v>76</v>
      </c>
      <c r="CF2" s="19" t="s">
        <v>875</v>
      </c>
      <c r="CG2" s="20">
        <f>CD2-CD4</f>
        <v>0</v>
      </c>
      <c r="CI2" s="19" t="s">
        <v>1</v>
      </c>
      <c r="CJ2" s="20" cm="1">
        <f t="array" ref="CJ2">SUMPRODUCT(--(LEN(Table211121642021222325343536[Name])&gt;0))</f>
        <v>67</v>
      </c>
      <c r="CK2" t="s">
        <v>876</v>
      </c>
      <c r="CL2" s="19" t="s">
        <v>875</v>
      </c>
      <c r="CM2" s="20">
        <f>CJ2-CJ4</f>
        <v>0</v>
      </c>
      <c r="CO2" s="19" t="s">
        <v>1</v>
      </c>
      <c r="CP2" s="20" cm="1">
        <f t="array" ref="CP2">SUMPRODUCT(--(LEN(Table21112164202122232534353637[Name])&gt;0))</f>
        <v>59</v>
      </c>
      <c r="CQ2" t="s">
        <v>876</v>
      </c>
      <c r="CR2" s="19" t="s">
        <v>875</v>
      </c>
      <c r="CS2" s="20">
        <f>CP2-CP4</f>
        <v>0</v>
      </c>
      <c r="CU2" s="19" t="s">
        <v>1</v>
      </c>
      <c r="CV2" s="20" cm="1">
        <f t="array" ref="CV2">SUMPRODUCT(--(LEN(Table2111216420212223253435363738[Name])&gt;0))</f>
        <v>56</v>
      </c>
      <c r="CW2" t="s">
        <v>876</v>
      </c>
      <c r="CX2" s="19" t="s">
        <v>875</v>
      </c>
      <c r="CY2" s="20">
        <f>CV2-CV4</f>
        <v>0</v>
      </c>
      <c r="DA2" s="19" t="s">
        <v>1</v>
      </c>
      <c r="DB2" s="20" cm="1">
        <f t="array" ref="DB2">SUMPRODUCT(--(LEN(Table2111216420212223253435363739[Name])&gt;0))</f>
        <v>100</v>
      </c>
      <c r="DC2" t="s">
        <v>876</v>
      </c>
      <c r="DD2" s="19" t="s">
        <v>875</v>
      </c>
      <c r="DE2" s="20">
        <f>DB2-DB4</f>
        <v>0</v>
      </c>
      <c r="DG2" s="19" t="s">
        <v>1</v>
      </c>
      <c r="DH2" s="20" cm="1">
        <f t="array" ref="DH2">SUMPRODUCT(--(LEN(Table211121642021222325343536373841[Name])&gt;0))</f>
        <v>60</v>
      </c>
      <c r="DI2" t="s">
        <v>876</v>
      </c>
      <c r="DJ2" s="19" t="s">
        <v>875</v>
      </c>
      <c r="DK2" s="20">
        <f>DH2-DH4</f>
        <v>0</v>
      </c>
      <c r="DM2" s="19" t="s">
        <v>1</v>
      </c>
      <c r="DN2" s="20" cm="1">
        <f t="array" ref="DN2">SUMPRODUCT(--(LEN(Table21112164202122232534353637384140[Name])&gt;0))</f>
        <v>82</v>
      </c>
      <c r="DO2" t="s">
        <v>876</v>
      </c>
      <c r="DP2" s="19" t="s">
        <v>875</v>
      </c>
      <c r="DQ2" s="20">
        <f>DN2-DN4</f>
        <v>20</v>
      </c>
    </row>
    <row r="3" spans="1:121">
      <c r="C3" s="21" t="s">
        <v>2</v>
      </c>
      <c r="D3" s="22" cm="1">
        <f t="array" ref="D3">SUMPRODUCT(--(Table4[Rebuy]&lt;&gt;""))</f>
        <v>33</v>
      </c>
      <c r="F3" s="21" t="s">
        <v>877</v>
      </c>
      <c r="G3" s="22">
        <f>5000*(D2+D3)</f>
        <v>715000</v>
      </c>
      <c r="I3" s="21" t="s">
        <v>2</v>
      </c>
      <c r="J3" s="22" cm="1">
        <f t="array" ref="J3">SUMPRODUCT(--(Table9[Rebuy]&lt;&gt;""))</f>
        <v>53</v>
      </c>
      <c r="L3" s="21" t="s">
        <v>877</v>
      </c>
      <c r="M3" s="22">
        <f>5000*(J2+J3)</f>
        <v>705000</v>
      </c>
      <c r="O3" s="21" t="s">
        <v>2</v>
      </c>
      <c r="P3" s="22" cm="1">
        <f t="array" ref="P3">SUMPRODUCT(--(Table18[Rebuy]&lt;&gt;""))</f>
        <v>45</v>
      </c>
      <c r="R3" s="21" t="s">
        <v>877</v>
      </c>
      <c r="S3" s="22">
        <f>5000*(P2+P3)</f>
        <v>725000</v>
      </c>
      <c r="U3" s="21" t="s">
        <v>2</v>
      </c>
      <c r="V3" s="22" cm="1">
        <f t="array" ref="V3">SUMPRODUCT(--(Table2[Rebuy]&lt;&gt;""))</f>
        <v>47</v>
      </c>
      <c r="X3" s="21" t="s">
        <v>877</v>
      </c>
      <c r="Y3" s="22">
        <f>5000*(V2+V3)</f>
        <v>660000</v>
      </c>
      <c r="AA3" s="21" t="s">
        <v>2</v>
      </c>
      <c r="AB3" s="22" cm="1">
        <f t="array" ref="AB3">SUMPRODUCT(--(Table211[Rebuy]&lt;&gt;""))</f>
        <v>45</v>
      </c>
      <c r="AD3" s="21" t="s">
        <v>877</v>
      </c>
      <c r="AE3" s="22">
        <f>5000*(AB2+AB3)</f>
        <v>585000</v>
      </c>
      <c r="AG3" s="21" t="s">
        <v>2</v>
      </c>
      <c r="AH3" s="22" cm="1">
        <f t="array" ref="AH3">SUMPRODUCT(--(Table21112[Rebuy]&lt;&gt;""))</f>
        <v>44</v>
      </c>
      <c r="AJ3" s="21" t="s">
        <v>877</v>
      </c>
      <c r="AK3" s="22">
        <f>5000*(AH2+AH3)</f>
        <v>615000</v>
      </c>
      <c r="AM3" s="21" t="s">
        <v>2</v>
      </c>
      <c r="AN3" s="22" cm="1">
        <f t="array" ref="AN3">SUMPRODUCT(--(Table21112164[Rebuy]&lt;&gt;""))</f>
        <v>52</v>
      </c>
      <c r="AP3" s="21" t="s">
        <v>877</v>
      </c>
      <c r="AQ3" s="22">
        <f>5000*(AN2+AN3)</f>
        <v>710000</v>
      </c>
      <c r="AS3" s="21" t="s">
        <v>2</v>
      </c>
      <c r="AT3" s="22" cm="1">
        <f t="array" ref="AT3">SUMPRODUCT(--(Table2111216420[Rebuy]&lt;&gt;""))</f>
        <v>62</v>
      </c>
      <c r="AV3" s="21" t="s">
        <v>877</v>
      </c>
      <c r="AW3" s="22">
        <f>5000*(AT2+AT3)</f>
        <v>785000</v>
      </c>
      <c r="AY3" s="21" t="s">
        <v>2</v>
      </c>
      <c r="AZ3" s="22" cm="1">
        <f t="array" ref="AZ3">SUMPRODUCT(--(Table211121642021[Rebuy]&lt;&gt;""))</f>
        <v>46</v>
      </c>
      <c r="BB3" s="21" t="s">
        <v>877</v>
      </c>
      <c r="BC3" s="22">
        <f>5000*(AZ2+AZ3)</f>
        <v>700000</v>
      </c>
      <c r="BE3" s="21" t="s">
        <v>2</v>
      </c>
      <c r="BF3" s="22" cm="1">
        <f t="array" ref="BF3">SUMPRODUCT(--(Table21112164202122[Rebuy]&lt;&gt;""))</f>
        <v>45</v>
      </c>
      <c r="BH3" s="21" t="s">
        <v>877</v>
      </c>
      <c r="BI3" s="22">
        <f>5000*(BF2+BF3)</f>
        <v>670000</v>
      </c>
      <c r="BK3" s="21" t="s">
        <v>2</v>
      </c>
      <c r="BL3" s="22" cm="1">
        <f t="array" ref="BL3">SUMPRODUCT(--(Table2111216420212223[Rebuy]&lt;&gt;""))</f>
        <v>39</v>
      </c>
      <c r="BN3" s="21" t="s">
        <v>877</v>
      </c>
      <c r="BO3" s="22">
        <f>5000*(BL2+BL3)</f>
        <v>655000</v>
      </c>
      <c r="BQ3" s="21" t="s">
        <v>2</v>
      </c>
      <c r="BR3" s="22" cm="1">
        <f t="array" ref="BR3">SUMPRODUCT(--(Table211121642021222325[Rebuy]&lt;&gt;""))</f>
        <v>47</v>
      </c>
      <c r="BT3" s="21" t="s">
        <v>877</v>
      </c>
      <c r="BU3" s="22">
        <f>5000*(BR2+BR3)</f>
        <v>695000</v>
      </c>
      <c r="BW3" s="21" t="s">
        <v>2</v>
      </c>
      <c r="BX3" s="22" cm="1">
        <f t="array" ref="BX3">SUMPRODUCT(--(Table21112164202122232534[Rebuy]&lt;&gt;""))</f>
        <v>52</v>
      </c>
      <c r="BZ3" s="21" t="s">
        <v>877</v>
      </c>
      <c r="CA3" s="22">
        <f>5000*(BX2+BX3)</f>
        <v>720000</v>
      </c>
      <c r="CC3" s="21" t="s">
        <v>2</v>
      </c>
      <c r="CD3" s="22" cm="1">
        <f t="array" ref="CD3">SUMPRODUCT(--(Table2111216420212223253435[Rebuy]&lt;&gt;""))</f>
        <v>38</v>
      </c>
      <c r="CF3" s="21" t="s">
        <v>877</v>
      </c>
      <c r="CG3" s="22">
        <f>5000*(CD2+CD3)</f>
        <v>570000</v>
      </c>
      <c r="CI3" s="21" t="s">
        <v>2</v>
      </c>
      <c r="CJ3" s="22" cm="1">
        <f t="array" ref="CJ3">SUMPRODUCT(--(Table211121642021222325343536[Rebuy]&lt;&gt;""))</f>
        <v>67</v>
      </c>
      <c r="CL3" s="21" t="s">
        <v>877</v>
      </c>
      <c r="CM3" s="22">
        <f>5000*(CJ2+CJ3)</f>
        <v>670000</v>
      </c>
      <c r="CO3" s="21" t="s">
        <v>2</v>
      </c>
      <c r="CP3" s="22" cm="1">
        <f t="array" ref="CP3">SUMPRODUCT(--(Table21112164202122232534353637[Rebuy]&lt;&gt;""))</f>
        <v>35</v>
      </c>
      <c r="CR3" s="21" t="s">
        <v>877</v>
      </c>
      <c r="CS3" s="22">
        <f>5000*(CP2+CP3)</f>
        <v>470000</v>
      </c>
      <c r="CU3" s="21" t="s">
        <v>2</v>
      </c>
      <c r="CV3" s="22" cm="1">
        <f t="array" ref="CV3">SUMPRODUCT(--(Table2111216420212223253435363738[Rebuy]&lt;&gt;""))</f>
        <v>32</v>
      </c>
      <c r="CX3" s="21" t="s">
        <v>877</v>
      </c>
      <c r="CY3" s="22">
        <f>5000*(CV2+CV3)</f>
        <v>440000</v>
      </c>
      <c r="DA3" s="21" t="s">
        <v>2</v>
      </c>
      <c r="DB3" s="22" cm="1">
        <f t="array" ref="DB3">SUMPRODUCT(--(Table2111216420212223253435363739[Rebuy]&lt;&gt;""))</f>
        <v>57</v>
      </c>
      <c r="DD3" s="21" t="s">
        <v>877</v>
      </c>
      <c r="DE3" s="22">
        <f>5000*(DB2+DB3)</f>
        <v>785000</v>
      </c>
      <c r="DG3" s="21" t="s">
        <v>2</v>
      </c>
      <c r="DH3" s="22" cm="1">
        <f t="array" ref="DH3">SUMPRODUCT(--(Table211121642021222325343536373841[Rebuy]&lt;&gt;""))</f>
        <v>37</v>
      </c>
      <c r="DJ3" s="21" t="s">
        <v>877</v>
      </c>
      <c r="DK3" s="22">
        <f>5000*(DH2+DH3)</f>
        <v>485000</v>
      </c>
      <c r="DM3" s="21" t="s">
        <v>2</v>
      </c>
      <c r="DN3" s="22" cm="1">
        <f t="array" ref="DN3">SUMPRODUCT(--(Table21112164202122232534353637384140[Rebuy]&lt;&gt;""))</f>
        <v>53</v>
      </c>
      <c r="DP3" s="21" t="s">
        <v>877</v>
      </c>
      <c r="DQ3" s="22">
        <f>5000*(DN2+DN3)</f>
        <v>675000</v>
      </c>
    </row>
    <row r="4" spans="1:121" ht="21.75" thickBot="1">
      <c r="C4" s="23" t="s">
        <v>878</v>
      </c>
      <c r="D4" s="24" cm="1">
        <f t="array" ref="D4">SUMPRODUCT(--(Table4[Time]&lt;&gt;""))</f>
        <v>110</v>
      </c>
      <c r="F4" s="23" t="s">
        <v>879</v>
      </c>
      <c r="G4" s="87" t="str">
        <f>IFERROR(G3/G2,"Complete")</f>
        <v>Complete</v>
      </c>
      <c r="I4" s="23" t="s">
        <v>878</v>
      </c>
      <c r="J4" s="24" cm="1">
        <f t="array" ref="J4">SUMPRODUCT(--(Table9[Time]&lt;&gt;""))</f>
        <v>88</v>
      </c>
      <c r="L4" s="23" t="s">
        <v>879</v>
      </c>
      <c r="M4" s="87" t="str">
        <f>IFERROR(M3/M2,"Complete")</f>
        <v>Complete</v>
      </c>
      <c r="O4" s="23" t="s">
        <v>878</v>
      </c>
      <c r="P4" s="24" cm="1">
        <f t="array" ref="P4">SUMPRODUCT(--(Table18[Time]&lt;&gt;""))</f>
        <v>100</v>
      </c>
      <c r="R4" s="23" t="s">
        <v>879</v>
      </c>
      <c r="S4" s="87" t="str">
        <f>IFERROR(S3/S2,"Complete")</f>
        <v>Complete</v>
      </c>
      <c r="U4" s="23" t="s">
        <v>878</v>
      </c>
      <c r="V4" s="24" cm="1">
        <f t="array" ref="V4">SUMPRODUCT(--(Table2[True Rank]&lt;&gt;""))</f>
        <v>85</v>
      </c>
      <c r="X4" s="23" t="s">
        <v>879</v>
      </c>
      <c r="Y4" s="87" t="str">
        <f>IFERROR(Y3/Y2,"Complete")</f>
        <v>Complete</v>
      </c>
      <c r="AA4" s="23" t="s">
        <v>878</v>
      </c>
      <c r="AB4" s="24" cm="1">
        <f t="array" ref="AB4">SUMPRODUCT(--(Table211[Time]&lt;&gt;""))</f>
        <v>72</v>
      </c>
      <c r="AD4" s="23" t="s">
        <v>879</v>
      </c>
      <c r="AE4" s="87" t="str">
        <f>IFERROR(AE3/AE2,"Complete")</f>
        <v>Complete</v>
      </c>
      <c r="AG4" s="23" t="s">
        <v>878</v>
      </c>
      <c r="AH4" s="24" cm="1">
        <f t="array" ref="AH4">SUMPRODUCT(--(Table21112[Time]&lt;&gt;""))</f>
        <v>79</v>
      </c>
      <c r="AJ4" s="23" t="s">
        <v>879</v>
      </c>
      <c r="AK4" s="87" t="str">
        <f>IFERROR(AK3/AK2,"Complete")</f>
        <v>Complete</v>
      </c>
      <c r="AM4" s="23" t="s">
        <v>878</v>
      </c>
      <c r="AN4" s="24" cm="1">
        <f t="array" ref="AN4">SUMPRODUCT(--(Table21112164[Time]&lt;&gt;""))</f>
        <v>90</v>
      </c>
      <c r="AP4" s="23" t="s">
        <v>879</v>
      </c>
      <c r="AQ4" s="87" t="str">
        <f>IFERROR(AQ3/AQ2,"Complete")</f>
        <v>Complete</v>
      </c>
      <c r="AS4" s="23" t="s">
        <v>878</v>
      </c>
      <c r="AT4" s="24" cm="1">
        <f t="array" ref="AT4">SUMPRODUCT(--(Table2111216420[Time]&lt;&gt;""))</f>
        <v>95</v>
      </c>
      <c r="AV4" s="23" t="s">
        <v>879</v>
      </c>
      <c r="AW4" s="87" t="str">
        <f>IFERROR(AW3/AW2,"Complete")</f>
        <v>Complete</v>
      </c>
      <c r="AY4" s="23" t="s">
        <v>878</v>
      </c>
      <c r="AZ4" s="24" cm="1">
        <f t="array" ref="AZ4">SUMPRODUCT(--(Table211121642021[Time]&lt;&gt;""))</f>
        <v>94</v>
      </c>
      <c r="BB4" s="23" t="s">
        <v>879</v>
      </c>
      <c r="BC4" s="87" t="str">
        <f>IFERROR(BC3/BC2,"Complete")</f>
        <v>Complete</v>
      </c>
      <c r="BE4" s="23" t="s">
        <v>878</v>
      </c>
      <c r="BF4" s="24" cm="1">
        <f t="array" ref="BF4">SUMPRODUCT(--(Table21112164202122[Time]&lt;&gt;""))</f>
        <v>89</v>
      </c>
      <c r="BH4" s="23" t="s">
        <v>879</v>
      </c>
      <c r="BI4" s="87" t="str">
        <f>IFERROR(BI3/BI2,"Complete")</f>
        <v>Complete</v>
      </c>
      <c r="BK4" s="23" t="s">
        <v>878</v>
      </c>
      <c r="BL4" s="24" cm="1">
        <f t="array" ref="BL4">SUMPRODUCT(--(Table2111216420212223[Time]&lt;&gt;""))</f>
        <v>92</v>
      </c>
      <c r="BN4" s="23" t="s">
        <v>879</v>
      </c>
      <c r="BO4" s="87" t="str">
        <f>IFERROR(BO3/BO2,"Complete")</f>
        <v>Complete</v>
      </c>
      <c r="BQ4" s="23" t="s">
        <v>878</v>
      </c>
      <c r="BR4" s="24" cm="1">
        <f t="array" ref="BR4">SUMPRODUCT(--(Table211121642021222325[Time]&lt;&gt;""))</f>
        <v>92</v>
      </c>
      <c r="BT4" s="23" t="s">
        <v>879</v>
      </c>
      <c r="BU4" s="87" t="str">
        <f>IFERROR(BU3/BU2,"Complete")</f>
        <v>Complete</v>
      </c>
      <c r="BW4" s="23" t="s">
        <v>878</v>
      </c>
      <c r="BX4" s="24" cm="1">
        <f t="array" ref="BX4">SUMPRODUCT(--(Table21112164202122232534[Time]&lt;&gt;""))</f>
        <v>92</v>
      </c>
      <c r="BZ4" s="23" t="s">
        <v>879</v>
      </c>
      <c r="CA4" s="87" t="str">
        <f>IFERROR(CA3/CA2,"Complete")</f>
        <v>Complete</v>
      </c>
      <c r="CC4" s="23" t="s">
        <v>878</v>
      </c>
      <c r="CD4" s="24" cm="1">
        <f t="array" ref="CD4">SUMPRODUCT(--(Table2111216420212223253435[Time]&lt;&gt;""))</f>
        <v>76</v>
      </c>
      <c r="CF4" s="23" t="s">
        <v>879</v>
      </c>
      <c r="CG4" s="87" t="str">
        <f>IFERROR(CG3/CG2,"Complete")</f>
        <v>Complete</v>
      </c>
      <c r="CI4" s="23" t="s">
        <v>878</v>
      </c>
      <c r="CJ4" s="24" cm="1">
        <f t="array" ref="CJ4">SUMPRODUCT(--(Table211121642021222325343536[Time]&lt;&gt;""))</f>
        <v>67</v>
      </c>
      <c r="CL4" s="23" t="s">
        <v>879</v>
      </c>
      <c r="CM4" s="87" t="str">
        <f>IFERROR(CM3/CM2,"Complete")</f>
        <v>Complete</v>
      </c>
      <c r="CO4" s="23" t="s">
        <v>878</v>
      </c>
      <c r="CP4" s="24" cm="1">
        <f t="array" ref="CP4">SUMPRODUCT(--(Table21112164202122232534353637[Time]&lt;&gt;""))</f>
        <v>59</v>
      </c>
      <c r="CR4" s="23" t="s">
        <v>879</v>
      </c>
      <c r="CS4" s="87" t="str">
        <f>IFERROR(CS3/CS2,"Complete")</f>
        <v>Complete</v>
      </c>
      <c r="CU4" s="23" t="s">
        <v>878</v>
      </c>
      <c r="CV4" s="24" cm="1">
        <f t="array" ref="CV4">SUMPRODUCT(--(Table2111216420212223253435363738[Time]&lt;&gt;""))</f>
        <v>56</v>
      </c>
      <c r="CX4" s="23" t="s">
        <v>879</v>
      </c>
      <c r="CY4" s="87" t="str">
        <f>IFERROR(CY3/CY2,"Complete")</f>
        <v>Complete</v>
      </c>
      <c r="DA4" s="23" t="s">
        <v>878</v>
      </c>
      <c r="DB4" s="24" cm="1">
        <f t="array" ref="DB4">SUMPRODUCT(--(Table2111216420212223253435363739[Time]&lt;&gt;""))</f>
        <v>100</v>
      </c>
      <c r="DC4" s="156" t="s">
        <v>880</v>
      </c>
      <c r="DD4" s="23" t="s">
        <v>879</v>
      </c>
      <c r="DE4" s="87" t="str">
        <f>IFERROR(DE3/DE2,"Complete")</f>
        <v>Complete</v>
      </c>
      <c r="DG4" s="23" t="s">
        <v>878</v>
      </c>
      <c r="DH4" s="24" cm="1">
        <f t="array" ref="DH4">SUMPRODUCT(--(Table211121642021222325343536373841[Time]&lt;&gt;""))</f>
        <v>60</v>
      </c>
      <c r="DJ4" s="23" t="s">
        <v>879</v>
      </c>
      <c r="DK4" s="87" t="str">
        <f>IFERROR(DK3/DK2,"Complete")</f>
        <v>Complete</v>
      </c>
      <c r="DM4" s="23" t="s">
        <v>878</v>
      </c>
      <c r="DN4" s="24" cm="1">
        <f t="array" ref="DN4">SUMPRODUCT(--(Table21112164202122232534353637384140[Time]&lt;&gt;""))</f>
        <v>62</v>
      </c>
      <c r="DP4" s="23" t="s">
        <v>879</v>
      </c>
      <c r="DQ4" s="87">
        <f>IFERROR(DQ3/DQ2,"Complete")</f>
        <v>33750</v>
      </c>
    </row>
    <row r="5" spans="1:121" ht="21.75" thickBot="1">
      <c r="F5"/>
      <c r="G5"/>
      <c r="H5"/>
      <c r="X5"/>
      <c r="AD5"/>
      <c r="AK5"/>
      <c r="AQ5"/>
      <c r="AW5"/>
      <c r="BC5"/>
      <c r="BI5"/>
      <c r="BO5"/>
      <c r="BU5"/>
      <c r="CA5"/>
      <c r="CG5"/>
      <c r="CI5" s="156" t="s">
        <v>881</v>
      </c>
      <c r="CM5"/>
      <c r="CO5" s="156" t="s">
        <v>881</v>
      </c>
      <c r="CQ5" s="156" t="s">
        <v>880</v>
      </c>
      <c r="CS5"/>
      <c r="CU5" s="156" t="s">
        <v>881</v>
      </c>
      <c r="CW5" s="156" t="s">
        <v>880</v>
      </c>
      <c r="CY5"/>
      <c r="DA5" s="156" t="s">
        <v>881</v>
      </c>
      <c r="DB5" s="166" t="s">
        <v>882</v>
      </c>
      <c r="DC5" s="166"/>
      <c r="DD5" s="166"/>
      <c r="DE5"/>
      <c r="DG5" s="156" t="s">
        <v>881</v>
      </c>
      <c r="DI5" s="156" t="s">
        <v>880</v>
      </c>
      <c r="DK5"/>
      <c r="DM5" s="156" t="s">
        <v>881</v>
      </c>
      <c r="DO5" s="156" t="s">
        <v>880</v>
      </c>
      <c r="DQ5"/>
    </row>
    <row r="6" spans="1:121" ht="19.5" customHeight="1" thickBot="1">
      <c r="C6" s="163">
        <f>Structures!O3</f>
        <v>45930</v>
      </c>
      <c r="D6" s="164"/>
      <c r="E6" s="164"/>
      <c r="F6" s="164"/>
      <c r="G6" s="165"/>
      <c r="I6" s="163">
        <f>Structures!O4</f>
        <v>45932</v>
      </c>
      <c r="J6" s="164"/>
      <c r="K6" s="164"/>
      <c r="L6" s="164"/>
      <c r="M6" s="165"/>
      <c r="O6" s="163">
        <v>45939</v>
      </c>
      <c r="P6" s="164"/>
      <c r="Q6" s="164"/>
      <c r="R6" s="164"/>
      <c r="S6" s="165"/>
      <c r="U6" s="163">
        <f>Structures!O6</f>
        <v>45944</v>
      </c>
      <c r="V6" s="164"/>
      <c r="W6" s="164"/>
      <c r="X6" s="164"/>
      <c r="Y6" s="165"/>
      <c r="AA6" s="163">
        <v>45953</v>
      </c>
      <c r="AB6" s="164"/>
      <c r="AC6" s="164"/>
      <c r="AD6" s="164"/>
      <c r="AE6" s="165"/>
      <c r="AG6" s="163">
        <v>45958</v>
      </c>
      <c r="AH6" s="164"/>
      <c r="AI6" s="164"/>
      <c r="AJ6" s="164"/>
      <c r="AK6" s="165"/>
      <c r="AM6" s="163">
        <v>45974</v>
      </c>
      <c r="AN6" s="164"/>
      <c r="AO6" s="164"/>
      <c r="AP6" s="164"/>
      <c r="AQ6" s="165"/>
      <c r="AS6" s="163">
        <v>45979</v>
      </c>
      <c r="AT6" s="164"/>
      <c r="AU6" s="164"/>
      <c r="AV6" s="164"/>
      <c r="AW6" s="165"/>
      <c r="AY6" s="163">
        <v>45988</v>
      </c>
      <c r="AZ6" s="164"/>
      <c r="BA6" s="164"/>
      <c r="BB6" s="164"/>
      <c r="BC6" s="165"/>
      <c r="BE6" s="163">
        <v>45993</v>
      </c>
      <c r="BF6" s="164"/>
      <c r="BG6" s="164"/>
      <c r="BH6" s="164"/>
      <c r="BI6" s="165"/>
      <c r="BK6" s="163">
        <v>46049</v>
      </c>
      <c r="BL6" s="164"/>
      <c r="BM6" s="164"/>
      <c r="BN6" s="164"/>
      <c r="BO6" s="165"/>
      <c r="BQ6" s="163">
        <v>46056</v>
      </c>
      <c r="BR6" s="164"/>
      <c r="BS6" s="164"/>
      <c r="BT6" s="164"/>
      <c r="BU6" s="165"/>
      <c r="BW6" s="163">
        <v>46058</v>
      </c>
      <c r="BX6" s="164"/>
      <c r="BY6" s="164"/>
      <c r="BZ6" s="164"/>
      <c r="CA6" s="165"/>
      <c r="CC6" s="163">
        <v>46063</v>
      </c>
      <c r="CD6" s="164"/>
      <c r="CE6" s="164"/>
      <c r="CF6" s="164"/>
      <c r="CG6" s="165"/>
      <c r="CI6" s="163">
        <v>46065</v>
      </c>
      <c r="CJ6" s="164"/>
      <c r="CK6" s="164"/>
      <c r="CL6" s="164"/>
      <c r="CM6" s="165"/>
      <c r="CO6" s="163">
        <v>46077</v>
      </c>
      <c r="CP6" s="164"/>
      <c r="CQ6" s="164"/>
      <c r="CR6" s="164"/>
      <c r="CS6" s="165"/>
      <c r="CU6" s="163">
        <v>46079</v>
      </c>
      <c r="CV6" s="164"/>
      <c r="CW6" s="164"/>
      <c r="CX6" s="164"/>
      <c r="CY6" s="165"/>
      <c r="DA6" s="163">
        <v>46084</v>
      </c>
      <c r="DB6" s="164"/>
      <c r="DC6" s="164"/>
      <c r="DD6" s="164"/>
      <c r="DE6" s="165"/>
      <c r="DG6" s="163">
        <v>46086</v>
      </c>
      <c r="DH6" s="164"/>
      <c r="DI6" s="164"/>
      <c r="DJ6" s="164"/>
      <c r="DK6" s="165"/>
      <c r="DM6" s="163">
        <v>46091</v>
      </c>
      <c r="DN6" s="164"/>
      <c r="DO6" s="164"/>
      <c r="DP6" s="164"/>
      <c r="DQ6" s="165"/>
    </row>
    <row r="7" spans="1:121">
      <c r="A7" s="17" t="s">
        <v>177</v>
      </c>
      <c r="C7" s="59" t="s">
        <v>17</v>
      </c>
      <c r="D7" s="59" t="s">
        <v>883</v>
      </c>
      <c r="E7" s="59" t="s">
        <v>884</v>
      </c>
      <c r="F7" s="59" t="s">
        <v>885</v>
      </c>
      <c r="G7" s="59" t="s">
        <v>179</v>
      </c>
      <c r="I7" s="59" t="s">
        <v>17</v>
      </c>
      <c r="J7" s="59" t="s">
        <v>883</v>
      </c>
      <c r="K7" s="59" t="s">
        <v>884</v>
      </c>
      <c r="L7" s="59" t="s">
        <v>885</v>
      </c>
      <c r="M7" s="59" t="s">
        <v>179</v>
      </c>
      <c r="O7" s="59" t="s">
        <v>17</v>
      </c>
      <c r="P7" s="59" t="s">
        <v>883</v>
      </c>
      <c r="Q7" s="59" t="s">
        <v>884</v>
      </c>
      <c r="R7" s="59" t="s">
        <v>885</v>
      </c>
      <c r="S7" s="59" t="s">
        <v>179</v>
      </c>
      <c r="T7" s="39"/>
      <c r="U7" s="59" t="s">
        <v>17</v>
      </c>
      <c r="V7" s="59" t="s">
        <v>883</v>
      </c>
      <c r="W7" s="59" t="s">
        <v>884</v>
      </c>
      <c r="X7" s="59" t="s">
        <v>885</v>
      </c>
      <c r="Y7" s="59" t="s">
        <v>179</v>
      </c>
      <c r="AA7" s="59" t="s">
        <v>17</v>
      </c>
      <c r="AB7" s="59" t="s">
        <v>883</v>
      </c>
      <c r="AC7" s="59" t="s">
        <v>884</v>
      </c>
      <c r="AD7" s="59" t="s">
        <v>885</v>
      </c>
      <c r="AE7" s="59" t="s">
        <v>179</v>
      </c>
      <c r="AG7" s="59" t="s">
        <v>17</v>
      </c>
      <c r="AH7" s="59" t="s">
        <v>883</v>
      </c>
      <c r="AI7" s="59" t="s">
        <v>884</v>
      </c>
      <c r="AJ7" s="59" t="s">
        <v>885</v>
      </c>
      <c r="AK7" s="59" t="s">
        <v>179</v>
      </c>
      <c r="AM7" s="59" t="s">
        <v>17</v>
      </c>
      <c r="AN7" s="59" t="s">
        <v>883</v>
      </c>
      <c r="AO7" s="59" t="s">
        <v>884</v>
      </c>
      <c r="AP7" s="59" t="s">
        <v>885</v>
      </c>
      <c r="AQ7" s="59" t="s">
        <v>179</v>
      </c>
      <c r="AS7" s="59" t="s">
        <v>17</v>
      </c>
      <c r="AT7" s="59" t="s">
        <v>883</v>
      </c>
      <c r="AU7" s="59" t="s">
        <v>884</v>
      </c>
      <c r="AV7" s="59" t="s">
        <v>885</v>
      </c>
      <c r="AW7" s="59" t="s">
        <v>179</v>
      </c>
      <c r="AY7" s="59" t="s">
        <v>17</v>
      </c>
      <c r="AZ7" s="59" t="s">
        <v>883</v>
      </c>
      <c r="BA7" s="59" t="s">
        <v>884</v>
      </c>
      <c r="BB7" s="59" t="s">
        <v>885</v>
      </c>
      <c r="BC7" s="59" t="s">
        <v>179</v>
      </c>
      <c r="BE7" s="59" t="s">
        <v>17</v>
      </c>
      <c r="BF7" s="59" t="s">
        <v>883</v>
      </c>
      <c r="BG7" s="59" t="s">
        <v>884</v>
      </c>
      <c r="BH7" s="59" t="s">
        <v>885</v>
      </c>
      <c r="BI7" s="59" t="s">
        <v>179</v>
      </c>
      <c r="BK7" s="59" t="s">
        <v>17</v>
      </c>
      <c r="BL7" s="59" t="s">
        <v>883</v>
      </c>
      <c r="BM7" s="59" t="s">
        <v>884</v>
      </c>
      <c r="BN7" s="59" t="s">
        <v>885</v>
      </c>
      <c r="BO7" s="59" t="s">
        <v>179</v>
      </c>
      <c r="BQ7" s="59" t="s">
        <v>17</v>
      </c>
      <c r="BR7" s="59" t="s">
        <v>883</v>
      </c>
      <c r="BS7" s="59" t="s">
        <v>884</v>
      </c>
      <c r="BT7" s="59" t="s">
        <v>885</v>
      </c>
      <c r="BU7" s="59" t="s">
        <v>179</v>
      </c>
      <c r="BW7" s="59" t="s">
        <v>17</v>
      </c>
      <c r="BX7" s="59" t="s">
        <v>883</v>
      </c>
      <c r="BY7" s="59" t="s">
        <v>884</v>
      </c>
      <c r="BZ7" s="59" t="s">
        <v>885</v>
      </c>
      <c r="CA7" s="59" t="s">
        <v>179</v>
      </c>
      <c r="CC7" s="59" t="s">
        <v>17</v>
      </c>
      <c r="CD7" s="59" t="s">
        <v>883</v>
      </c>
      <c r="CE7" s="59" t="s">
        <v>884</v>
      </c>
      <c r="CF7" s="59" t="s">
        <v>885</v>
      </c>
      <c r="CG7" s="59" t="s">
        <v>179</v>
      </c>
      <c r="CI7" s="59" t="s">
        <v>17</v>
      </c>
      <c r="CJ7" s="59" t="s">
        <v>883</v>
      </c>
      <c r="CK7" s="59" t="s">
        <v>884</v>
      </c>
      <c r="CL7" s="59" t="s">
        <v>885</v>
      </c>
      <c r="CM7" s="59" t="s">
        <v>179</v>
      </c>
      <c r="CO7" s="59" t="s">
        <v>17</v>
      </c>
      <c r="CP7" s="59" t="s">
        <v>883</v>
      </c>
      <c r="CQ7" s="59" t="s">
        <v>884</v>
      </c>
      <c r="CR7" s="59" t="s">
        <v>885</v>
      </c>
      <c r="CS7" s="59" t="s">
        <v>179</v>
      </c>
      <c r="CU7" s="59" t="s">
        <v>17</v>
      </c>
      <c r="CV7" s="59" t="s">
        <v>883</v>
      </c>
      <c r="CW7" s="59" t="s">
        <v>884</v>
      </c>
      <c r="CX7" s="59" t="s">
        <v>885</v>
      </c>
      <c r="CY7" s="59" t="s">
        <v>179</v>
      </c>
      <c r="DA7" s="59" t="s">
        <v>17</v>
      </c>
      <c r="DB7" s="59" t="s">
        <v>883</v>
      </c>
      <c r="DC7" s="59" t="s">
        <v>884</v>
      </c>
      <c r="DD7" s="59" t="s">
        <v>885</v>
      </c>
      <c r="DE7" s="59" t="s">
        <v>179</v>
      </c>
      <c r="DG7" s="59" t="s">
        <v>17</v>
      </c>
      <c r="DH7" s="59" t="s">
        <v>883</v>
      </c>
      <c r="DI7" s="59" t="s">
        <v>884</v>
      </c>
      <c r="DJ7" s="59" t="s">
        <v>885</v>
      </c>
      <c r="DK7" s="59" t="s">
        <v>179</v>
      </c>
      <c r="DM7" s="157" t="s">
        <v>17</v>
      </c>
      <c r="DN7" s="157" t="s">
        <v>883</v>
      </c>
      <c r="DO7" s="157" t="s">
        <v>884</v>
      </c>
      <c r="DP7" s="157" t="s">
        <v>885</v>
      </c>
      <c r="DQ7" s="157" t="s">
        <v>179</v>
      </c>
    </row>
    <row r="8" spans="1:121">
      <c r="A8" s="13">
        <v>1</v>
      </c>
      <c r="C8" s="56" t="s">
        <v>886</v>
      </c>
      <c r="D8" s="56"/>
      <c r="E8" s="58">
        <v>0.97916666666666663</v>
      </c>
      <c r="F8" s="57">
        <f>IFERROR(IF(Table4[[#This Row],[Name]]="","",IFERROR(IF(Table4[[#This Row],[Time]]="","TBD",D$2-COUNTIF(Table4[Time],"&lt;"&amp;Table4[[#This Row],[Time]])),""))-(COUNTIF(Table4[Time],Table4[[#This Row],[Time]])-1),"")</f>
        <v>1</v>
      </c>
      <c r="G8" s="57" cm="1">
        <f t="array" ref="G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50</v>
      </c>
      <c r="I8" s="56" t="s">
        <v>887</v>
      </c>
      <c r="J8" s="56"/>
      <c r="K8" s="58">
        <v>0.90833333333333333</v>
      </c>
      <c r="L8" s="57">
        <f>IFERROR(IF(Table9[[#This Row],[Name]]="","",IFERROR(IF(Table9[[#This Row],[Time]]="","TBD",J$2-COUNTIF(Table9[Time],"&lt;"&amp;Table9[[#This Row],[Time]])),""))-(COUNTIF(Table9[Time],Table9[[#This Row],[Time]])-1),"")</f>
        <v>1</v>
      </c>
      <c r="M8" s="57" cm="1">
        <f t="array" ref="M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50</v>
      </c>
      <c r="O8" s="56" t="s">
        <v>888</v>
      </c>
      <c r="P8" s="56"/>
      <c r="Q8" s="58">
        <v>0.91249999999999998</v>
      </c>
      <c r="R8" s="57">
        <f>IFERROR(IF(Table18[[#This Row],[Name]]="","",IFERROR(IF(Table18[[#This Row],[Time]]="","TBD",P$2-COUNTIF(Table18[Time],"&lt;"&amp;Table18[[#This Row],[Time]])),""))-(COUNTIF(Table18[Time],Table18[[#This Row],[Time]])-1),"")</f>
        <v>1</v>
      </c>
      <c r="S8" s="57" cm="1">
        <f t="array" ref="S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50</v>
      </c>
      <c r="U8" s="56" t="s">
        <v>889</v>
      </c>
      <c r="V8" s="56" t="s">
        <v>186</v>
      </c>
      <c r="W8" s="58">
        <v>0.96527777777777779</v>
      </c>
      <c r="X8" s="57">
        <f>IFERROR(IF(Table2[[#This Row],[Name]]="","",IFERROR(IF(Table2[[#This Row],[Time]]="","TBD",V$2-COUNTIF(Table2[Time],"&lt;"&amp;Table2[[#This Row],[Time]])),""))-(COUNTIF(Table2[Time],Table2[[#This Row],[Time]])-1),"")</f>
        <v>1</v>
      </c>
      <c r="Y8" s="57" cm="1">
        <f t="array" ref="Y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38</v>
      </c>
      <c r="AA8" s="56" t="s">
        <v>47</v>
      </c>
      <c r="AB8" s="56"/>
      <c r="AC8" s="58">
        <v>0.93263888888888891</v>
      </c>
      <c r="AD8" s="57">
        <f>IFERROR(IF(Table211[[#This Row],[Name]]="","",IFERROR(IF(Table211[[#This Row],[Time]]="","TBD",AB$2-COUNTIF(Table211[Time],"&lt;"&amp;Table211[[#This Row],[Time]])),""))-(COUNTIF(Table211[Time],Table211[[#This Row],[Time]])-1),"")</f>
        <v>1</v>
      </c>
      <c r="AE8" s="57" cm="1">
        <f t="array" ref="AE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50</v>
      </c>
      <c r="AG8" s="56" t="s">
        <v>890</v>
      </c>
      <c r="AH8" s="56"/>
      <c r="AI8" s="58">
        <v>0.9375</v>
      </c>
      <c r="AJ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</v>
      </c>
      <c r="AK8" s="57" cm="1">
        <f t="array" ref="AK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50</v>
      </c>
      <c r="AM8" s="56" t="s">
        <v>132</v>
      </c>
      <c r="AN8" s="56"/>
      <c r="AO8" s="58">
        <v>0.9458333333333333</v>
      </c>
      <c r="AP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</v>
      </c>
      <c r="AQ8" s="57" cm="1">
        <f t="array" ref="AQ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50</v>
      </c>
      <c r="AS8" s="56" t="s">
        <v>891</v>
      </c>
      <c r="AT8" s="56" t="s">
        <v>420</v>
      </c>
      <c r="AU8" s="58">
        <v>0.95</v>
      </c>
      <c r="AV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</v>
      </c>
      <c r="AW8" s="57" cm="1">
        <f t="array" ref="AW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38</v>
      </c>
      <c r="AY8" s="56" t="s">
        <v>109</v>
      </c>
      <c r="AZ8" s="56"/>
      <c r="BA8" s="58">
        <v>0.95416666666666672</v>
      </c>
      <c r="BB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</v>
      </c>
      <c r="BC8" s="57" cm="1">
        <f t="array" ref="BC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50</v>
      </c>
      <c r="BE8" s="56" t="s">
        <v>43</v>
      </c>
      <c r="BF8" s="56"/>
      <c r="BG8" s="58">
        <v>0.95972222222222225</v>
      </c>
      <c r="BH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</v>
      </c>
      <c r="BI8" s="57" cm="1">
        <f t="array" ref="BI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50</v>
      </c>
      <c r="BK8" s="56" t="s">
        <v>892</v>
      </c>
      <c r="BL8" s="56"/>
      <c r="BM8" s="58">
        <v>0.94513888888888886</v>
      </c>
      <c r="BN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</v>
      </c>
      <c r="BO8" s="57" cm="1">
        <f t="array" ref="BO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50</v>
      </c>
      <c r="BQ8" s="56" t="s">
        <v>134</v>
      </c>
      <c r="BR8" s="56" t="s">
        <v>186</v>
      </c>
      <c r="BS8" s="58">
        <v>0.92083333333333328</v>
      </c>
      <c r="BT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</v>
      </c>
      <c r="BU8" s="57" cm="1">
        <f t="array" ref="BU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38</v>
      </c>
      <c r="BW8" s="56" t="s">
        <v>893</v>
      </c>
      <c r="BX8" s="56"/>
      <c r="BY8" s="58">
        <v>0.9375</v>
      </c>
      <c r="BZ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</v>
      </c>
      <c r="CA8" s="57" cm="1">
        <f t="array" ref="CA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50</v>
      </c>
      <c r="CC8" s="56" t="s">
        <v>892</v>
      </c>
      <c r="CD8" s="56" t="s">
        <v>186</v>
      </c>
      <c r="CE8" s="58">
        <v>0.93958333333333333</v>
      </c>
      <c r="CF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</v>
      </c>
      <c r="CG8" s="57" cm="1">
        <f t="array" ref="CG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38</v>
      </c>
      <c r="CI8" s="56" t="s">
        <v>894</v>
      </c>
      <c r="CJ8" s="56" t="s">
        <v>190</v>
      </c>
      <c r="CK8" s="58">
        <v>0.92847222222222225</v>
      </c>
      <c r="CL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</v>
      </c>
      <c r="CM8" s="57" cm="1">
        <f t="array" ref="CM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50</v>
      </c>
      <c r="CO8" s="56" t="s">
        <v>47</v>
      </c>
      <c r="CP8" s="56" t="s">
        <v>186</v>
      </c>
      <c r="CQ8" s="58">
        <v>0.94722222222222219</v>
      </c>
      <c r="CR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</v>
      </c>
      <c r="CS8" s="57" cm="1">
        <f t="array" ref="CS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38</v>
      </c>
      <c r="CU8" s="56" t="s">
        <v>895</v>
      </c>
      <c r="CV8" s="56"/>
      <c r="CW8" s="58">
        <v>0.91527777777777775</v>
      </c>
      <c r="CX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</v>
      </c>
      <c r="CY8" s="57" cm="1">
        <f t="array" ref="CY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50</v>
      </c>
      <c r="DA8" s="56" t="s">
        <v>896</v>
      </c>
      <c r="DB8" s="56" t="s">
        <v>186</v>
      </c>
      <c r="DC8" s="58">
        <v>0.93611111111111112</v>
      </c>
      <c r="DD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</v>
      </c>
      <c r="DE8" s="57" cm="1">
        <f t="array" ref="DE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38</v>
      </c>
      <c r="DG8" s="56" t="s">
        <v>897</v>
      </c>
      <c r="DH8" s="56"/>
      <c r="DI8" s="58">
        <v>0.92013888888888884</v>
      </c>
      <c r="DJ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</v>
      </c>
      <c r="DK8" s="57" cm="1">
        <f t="array" ref="DK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50</v>
      </c>
      <c r="DM8" s="56" t="str">
        <f>IF('Weekly Attendance'!AA63="Yes",'Weekly Attendance'!$D63,"")</f>
        <v>Sabrina Vong</v>
      </c>
      <c r="DN8" s="56"/>
      <c r="DO8" s="155">
        <v>0.85902777777777772</v>
      </c>
      <c r="DP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21</v>
      </c>
      <c r="DQ8" s="57" cm="1">
        <f t="array" ref="DQ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4</v>
      </c>
    </row>
    <row r="9" spans="1:121">
      <c r="A9" s="14">
        <v>2</v>
      </c>
      <c r="C9" s="56" t="s">
        <v>160</v>
      </c>
      <c r="D9" s="56"/>
      <c r="E9" s="58">
        <v>0.94444444444444442</v>
      </c>
      <c r="F9" s="57">
        <f>IFERROR(IF(Table4[[#This Row],[Name]]="","",IFERROR(IF(Table4[[#This Row],[Time]]="","TBD",D$2-COUNTIF(Table4[Time],"&lt;"&amp;Table4[[#This Row],[Time]])),""))-(COUNTIF(Table4[Time],Table4[[#This Row],[Time]])-1),"")</f>
        <v>2</v>
      </c>
      <c r="G9" s="57" cm="1">
        <f t="array" ref="G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30</v>
      </c>
      <c r="I9" s="56" t="s">
        <v>47</v>
      </c>
      <c r="J9" s="56"/>
      <c r="K9" s="58">
        <v>0.90763888888888888</v>
      </c>
      <c r="L9" s="57">
        <f>IFERROR(IF(Table9[[#This Row],[Name]]="","",IFERROR(IF(Table9[[#This Row],[Time]]="","TBD",J$2-COUNTIF(Table9[Time],"&lt;"&amp;Table9[[#This Row],[Time]])),""))-(COUNTIF(Table9[Time],Table9[[#This Row],[Time]])-1),"")</f>
        <v>2</v>
      </c>
      <c r="M9" s="57" cm="1">
        <f t="array" ref="M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30</v>
      </c>
      <c r="O9" s="56" t="s">
        <v>898</v>
      </c>
      <c r="P9" s="56"/>
      <c r="Q9" s="58">
        <v>0.91180555555555554</v>
      </c>
      <c r="R9" s="57">
        <f>IFERROR(IF(Table18[[#This Row],[Name]]="","",IFERROR(IF(Table18[[#This Row],[Time]]="","TBD",P$2-COUNTIF(Table18[Time],"&lt;"&amp;Table18[[#This Row],[Time]])),""))-(COUNTIF(Table18[Time],Table18[[#This Row],[Time]])-1),"")</f>
        <v>2</v>
      </c>
      <c r="S9" s="57" cm="1">
        <f t="array" ref="S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30</v>
      </c>
      <c r="U9" s="56" t="s">
        <v>47</v>
      </c>
      <c r="V9" s="56"/>
      <c r="W9" s="58">
        <v>0.95833333333333337</v>
      </c>
      <c r="X9" s="57">
        <f>IFERROR(IF(Table2[[#This Row],[Name]]="","",IFERROR(IF(Table2[[#This Row],[Time]]="","TBD",V$2-COUNTIF(Table2[Time],"&lt;"&amp;Table2[[#This Row],[Time]])),""))-(COUNTIF(Table2[Time],Table2[[#This Row],[Time]])-1),"")</f>
        <v>2</v>
      </c>
      <c r="Y9" s="57" cm="1">
        <f t="array" ref="Y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30</v>
      </c>
      <c r="AA9" s="56" t="s">
        <v>899</v>
      </c>
      <c r="AB9" s="56"/>
      <c r="AC9" s="58">
        <v>0.93263888888888891</v>
      </c>
      <c r="AD9" s="57">
        <f>IFERROR(IF(Table211[[#This Row],[Name]]="","",IFERROR(IF(Table211[[#This Row],[Time]]="","TBD",AB$2-COUNTIF(Table211[Time],"&lt;"&amp;Table211[[#This Row],[Time]])),""))-(COUNTIF(Table211[Time],Table211[[#This Row],[Time]])-1),"")</f>
        <v>1</v>
      </c>
      <c r="AE9" s="57" cm="1">
        <f t="array" ref="AE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50</v>
      </c>
      <c r="AG9" s="56" t="s">
        <v>900</v>
      </c>
      <c r="AH9" s="56"/>
      <c r="AI9" s="58">
        <v>0.93333333333333335</v>
      </c>
      <c r="AJ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</v>
      </c>
      <c r="AK9" s="57" cm="1">
        <f t="array" ref="AK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30</v>
      </c>
      <c r="AM9" s="56" t="s">
        <v>901</v>
      </c>
      <c r="AN9" s="56"/>
      <c r="AO9" s="58">
        <v>0.94513888888888886</v>
      </c>
      <c r="AP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</v>
      </c>
      <c r="AQ9" s="57" cm="1">
        <f t="array" ref="AQ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30</v>
      </c>
      <c r="AS9" s="56" t="s">
        <v>902</v>
      </c>
      <c r="AT9" s="56" t="s">
        <v>420</v>
      </c>
      <c r="AU9" s="58">
        <v>0.94930555555555551</v>
      </c>
      <c r="AV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</v>
      </c>
      <c r="AW9" s="57" cm="1">
        <f t="array" ref="AW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23</v>
      </c>
      <c r="AY9" s="56" t="s">
        <v>903</v>
      </c>
      <c r="AZ9" s="56"/>
      <c r="BA9" s="58">
        <v>0.95138888888888884</v>
      </c>
      <c r="BB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</v>
      </c>
      <c r="BC9" s="57" cm="1">
        <f t="array" ref="BC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30</v>
      </c>
      <c r="BE9" s="56" t="s">
        <v>894</v>
      </c>
      <c r="BF9" s="56" t="s">
        <v>186</v>
      </c>
      <c r="BG9" s="58">
        <v>0.95902777777777781</v>
      </c>
      <c r="BH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</v>
      </c>
      <c r="BI9" s="57" cm="1">
        <f t="array" ref="BI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23</v>
      </c>
      <c r="BK9" s="56" t="s">
        <v>111</v>
      </c>
      <c r="BL9" s="56"/>
      <c r="BM9" s="58">
        <v>0.94444444444444442</v>
      </c>
      <c r="BN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</v>
      </c>
      <c r="BO9" s="57" cm="1">
        <f t="array" ref="BO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30</v>
      </c>
      <c r="BQ9" s="56" t="s">
        <v>904</v>
      </c>
      <c r="BR9" s="56" t="s">
        <v>186</v>
      </c>
      <c r="BS9" s="58">
        <v>0.92013888888888884</v>
      </c>
      <c r="BT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</v>
      </c>
      <c r="BU9" s="57" cm="1">
        <f t="array" ref="BU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23</v>
      </c>
      <c r="BW9" s="56" t="s">
        <v>905</v>
      </c>
      <c r="BX9" s="56"/>
      <c r="BY9" s="58">
        <v>0.93541666666666667</v>
      </c>
      <c r="BZ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</v>
      </c>
      <c r="CA9" s="57" cm="1">
        <f t="array" ref="CA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30</v>
      </c>
      <c r="CC9" s="56" t="s">
        <v>148</v>
      </c>
      <c r="CD9" s="56" t="s">
        <v>186</v>
      </c>
      <c r="CE9" s="58">
        <v>0.93888888888888888</v>
      </c>
      <c r="CF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</v>
      </c>
      <c r="CG9" s="57" cm="1">
        <f t="array" ref="CG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23</v>
      </c>
      <c r="CI9" s="56" t="s">
        <v>906</v>
      </c>
      <c r="CJ9" s="56" t="s">
        <v>190</v>
      </c>
      <c r="CK9" s="58">
        <v>0.92708333333333337</v>
      </c>
      <c r="CL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</v>
      </c>
      <c r="CM9" s="57" cm="1">
        <f t="array" ref="CM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30</v>
      </c>
      <c r="CO9" s="56" t="s">
        <v>907</v>
      </c>
      <c r="CP9" s="56"/>
      <c r="CQ9" s="58">
        <v>0.9458333333333333</v>
      </c>
      <c r="CR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</v>
      </c>
      <c r="CS9" s="57" cm="1">
        <f t="array" ref="CS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30</v>
      </c>
      <c r="CU9" s="56" t="s">
        <v>908</v>
      </c>
      <c r="CV9" s="56" t="s">
        <v>186</v>
      </c>
      <c r="CW9" s="58">
        <v>0.9145833333333333</v>
      </c>
      <c r="CX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</v>
      </c>
      <c r="CY9" s="57" cm="1">
        <f t="array" ref="CY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23</v>
      </c>
      <c r="DA9" s="56" t="s">
        <v>894</v>
      </c>
      <c r="DB9" s="56" t="s">
        <v>186</v>
      </c>
      <c r="DC9" s="58">
        <v>0.93472222222222223</v>
      </c>
      <c r="DD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</v>
      </c>
      <c r="DE9" s="57" cm="1">
        <f t="array" ref="DE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23</v>
      </c>
      <c r="DG9" s="56" t="s">
        <v>909</v>
      </c>
      <c r="DH9" s="56"/>
      <c r="DI9" s="58">
        <v>0.91736111111111107</v>
      </c>
      <c r="DJ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</v>
      </c>
      <c r="DK9" s="57" cm="1">
        <f t="array" ref="DK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30</v>
      </c>
      <c r="DM9" s="56" t="str">
        <f>IF('Weekly Attendance'!AA66="Yes",'Weekly Attendance'!$D66,"")</f>
        <v>Verissa Liu</v>
      </c>
      <c r="DN9" s="56" t="s">
        <v>186</v>
      </c>
      <c r="DO9" s="58">
        <v>0.85763888888888884</v>
      </c>
      <c r="DP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22</v>
      </c>
      <c r="DQ9" s="57" cm="1">
        <f t="array" ref="DQ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0" spans="1:121">
      <c r="A10" s="15">
        <v>3</v>
      </c>
      <c r="C10" s="56" t="s">
        <v>910</v>
      </c>
      <c r="D10" s="56"/>
      <c r="E10" s="58">
        <v>0.9375</v>
      </c>
      <c r="F10" s="57">
        <f>IFERROR(IF(Table4[[#This Row],[Name]]="","",IFERROR(IF(Table4[[#This Row],[Time]]="","TBD",D$2-COUNTIF(Table4[Time],"&lt;"&amp;Table4[[#This Row],[Time]])),""))-(COUNTIF(Table4[Time],Table4[[#This Row],[Time]])-1),"")</f>
        <v>3</v>
      </c>
      <c r="G10" s="57" cm="1">
        <f t="array" ref="G1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20</v>
      </c>
      <c r="I10" s="56" t="s">
        <v>911</v>
      </c>
      <c r="J10" s="56" t="s">
        <v>186</v>
      </c>
      <c r="K10" s="58">
        <v>0.90625</v>
      </c>
      <c r="L10" s="57">
        <f>IFERROR(IF(Table9[[#This Row],[Name]]="","",IFERROR(IF(Table9[[#This Row],[Time]]="","TBD",J$2-COUNTIF(Table9[Time],"&lt;"&amp;Table9[[#This Row],[Time]])),""))-(COUNTIF(Table9[Time],Table9[[#This Row],[Time]])-1),"")</f>
        <v>3</v>
      </c>
      <c r="M10" s="57" cm="1">
        <f t="array" ref="M1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15</v>
      </c>
      <c r="O10" s="56" t="s">
        <v>47</v>
      </c>
      <c r="P10" s="56"/>
      <c r="Q10" s="58">
        <v>0.91111111111111109</v>
      </c>
      <c r="R10" s="57">
        <f>IFERROR(IF(Table18[[#This Row],[Name]]="","",IFERROR(IF(Table18[[#This Row],[Time]]="","TBD",P$2-COUNTIF(Table18[Time],"&lt;"&amp;Table18[[#This Row],[Time]])),""))-(COUNTIF(Table18[Time],Table18[[#This Row],[Time]])-1),"")</f>
        <v>3</v>
      </c>
      <c r="S10" s="57" cm="1">
        <f t="array" ref="S1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20</v>
      </c>
      <c r="U10" s="56" t="s">
        <v>107</v>
      </c>
      <c r="V10" s="56" t="s">
        <v>186</v>
      </c>
      <c r="W10" s="58">
        <v>0.95138888888888884</v>
      </c>
      <c r="X10" s="57">
        <f>IFERROR(IF(Table2[[#This Row],[Name]]="","",IFERROR(IF(Table2[[#This Row],[Time]]="","TBD",V$2-COUNTIF(Table2[Time],"&lt;"&amp;Table2[[#This Row],[Time]])),""))-(COUNTIF(Table2[Time],Table2[[#This Row],[Time]])-1),"")</f>
        <v>3</v>
      </c>
      <c r="Y10" s="57" cm="1">
        <f t="array" ref="Y1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15</v>
      </c>
      <c r="AA10" s="56" t="s">
        <v>168</v>
      </c>
      <c r="AB10" s="56"/>
      <c r="AC10" s="58">
        <v>0.93055555555555558</v>
      </c>
      <c r="AD10" s="57">
        <f>IFERROR(IF(Table211[[#This Row],[Name]]="","",IFERROR(IF(Table211[[#This Row],[Time]]="","TBD",AB$2-COUNTIF(Table211[Time],"&lt;"&amp;Table211[[#This Row],[Time]])),""))-(COUNTIF(Table211[Time],Table211[[#This Row],[Time]])-1),"")</f>
        <v>3</v>
      </c>
      <c r="AE10" s="57" cm="1">
        <f t="array" ref="AE1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20</v>
      </c>
      <c r="AG10" s="56" t="s">
        <v>901</v>
      </c>
      <c r="AH10" s="56" t="s">
        <v>186</v>
      </c>
      <c r="AI10" s="58">
        <v>0.93263888888888891</v>
      </c>
      <c r="AJ1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</v>
      </c>
      <c r="AK10" s="57" cm="1">
        <f t="array" ref="AK1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15</v>
      </c>
      <c r="AM10" s="56" t="s">
        <v>912</v>
      </c>
      <c r="AN10" s="56" t="s">
        <v>186</v>
      </c>
      <c r="AO10" s="58">
        <v>0.93472222222222223</v>
      </c>
      <c r="AP1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</v>
      </c>
      <c r="AQ10" s="57" cm="1">
        <f t="array" ref="AQ1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15</v>
      </c>
      <c r="AS10" s="56" t="s">
        <v>908</v>
      </c>
      <c r="AT10" s="56"/>
      <c r="AU10" s="58">
        <v>0.93958333333333333</v>
      </c>
      <c r="AV1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</v>
      </c>
      <c r="AW10" s="57" cm="1">
        <f t="array" ref="AW1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20</v>
      </c>
      <c r="AY10" s="56" t="s">
        <v>913</v>
      </c>
      <c r="AZ10" s="56"/>
      <c r="BA10" s="58">
        <v>0.94791666666666663</v>
      </c>
      <c r="BB1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</v>
      </c>
      <c r="BC10" s="57" cm="1">
        <f t="array" ref="BC1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20</v>
      </c>
      <c r="BE10" s="56" t="s">
        <v>886</v>
      </c>
      <c r="BF10" s="56"/>
      <c r="BG10" s="58">
        <v>0.95833333333333337</v>
      </c>
      <c r="BH1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</v>
      </c>
      <c r="BI10" s="57" cm="1">
        <f t="array" ref="BI1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20</v>
      </c>
      <c r="BK10" s="56" t="s">
        <v>101</v>
      </c>
      <c r="BL10" s="56"/>
      <c r="BM10" s="58">
        <v>0.93402777777777779</v>
      </c>
      <c r="BN1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</v>
      </c>
      <c r="BO10" s="57" cm="1">
        <f t="array" ref="BO1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20</v>
      </c>
      <c r="BQ10" s="56" t="s">
        <v>893</v>
      </c>
      <c r="BR10" s="56" t="s">
        <v>186</v>
      </c>
      <c r="BS10" s="58">
        <v>0.9194444444444444</v>
      </c>
      <c r="BT1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</v>
      </c>
      <c r="BU10" s="57" cm="1">
        <f t="array" ref="BU1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15</v>
      </c>
      <c r="BW10" s="56" t="s">
        <v>914</v>
      </c>
      <c r="BX10" s="56"/>
      <c r="BY10" s="58">
        <v>0.92013888888888884</v>
      </c>
      <c r="BZ1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</v>
      </c>
      <c r="CA10" s="57" cm="1">
        <f t="array" ref="CA1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20</v>
      </c>
      <c r="CC10" s="56" t="s">
        <v>915</v>
      </c>
      <c r="CD10" s="56"/>
      <c r="CE10" s="58">
        <v>0.92986111111111114</v>
      </c>
      <c r="CF1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</v>
      </c>
      <c r="CG10" s="57" cm="1">
        <f t="array" ref="CG1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20</v>
      </c>
      <c r="CI10" s="56" t="s">
        <v>916</v>
      </c>
      <c r="CJ10" s="56" t="s">
        <v>186</v>
      </c>
      <c r="CK10" s="58">
        <v>0.9145833333333333</v>
      </c>
      <c r="CL1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</v>
      </c>
      <c r="CM10" s="57" cm="1">
        <f t="array" ref="CM1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15</v>
      </c>
      <c r="CO10" s="56" t="s">
        <v>894</v>
      </c>
      <c r="CP10" s="56"/>
      <c r="CQ10" s="58">
        <v>0.94513888888888886</v>
      </c>
      <c r="CR1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</v>
      </c>
      <c r="CS10" s="57" cm="1">
        <f t="array" ref="CS1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20</v>
      </c>
      <c r="CU10" s="56" t="s">
        <v>53</v>
      </c>
      <c r="CV10" s="56"/>
      <c r="CW10" s="58">
        <v>0.91388888888888886</v>
      </c>
      <c r="CX1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</v>
      </c>
      <c r="CY10" s="57" cm="1">
        <f t="array" ref="CY1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20</v>
      </c>
      <c r="DA10" s="56" t="s">
        <v>917</v>
      </c>
      <c r="DB10" s="56" t="s">
        <v>186</v>
      </c>
      <c r="DC10" s="58">
        <v>0.93194444444444446</v>
      </c>
      <c r="DD1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</v>
      </c>
      <c r="DE10" s="57" cm="1">
        <f t="array" ref="DE1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15</v>
      </c>
      <c r="DG10" s="56" t="s">
        <v>918</v>
      </c>
      <c r="DH10" s="56" t="s">
        <v>186</v>
      </c>
      <c r="DI10" s="58">
        <v>0.91666666666666663</v>
      </c>
      <c r="DJ1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</v>
      </c>
      <c r="DK10" s="57" cm="1">
        <f t="array" ref="DK1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15</v>
      </c>
      <c r="DM10" s="56" t="str">
        <f>IF('Weekly Attendance'!AA50="Yes",'Weekly Attendance'!$D50,"")</f>
        <v>Matthew Fernandes</v>
      </c>
      <c r="DN10" s="56"/>
      <c r="DO10" s="155">
        <v>0.85416666666666663</v>
      </c>
      <c r="DP1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23</v>
      </c>
      <c r="DQ10" s="57" cm="1">
        <f t="array" ref="DQ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1" spans="1:121" ht="19.5" thickBot="1">
      <c r="A11" s="16">
        <v>4</v>
      </c>
      <c r="C11" s="56" t="s">
        <v>911</v>
      </c>
      <c r="D11" s="56"/>
      <c r="E11" s="58">
        <v>0.92777777777777781</v>
      </c>
      <c r="F11" s="57">
        <f>IFERROR(IF(Table4[[#This Row],[Name]]="","",IFERROR(IF(Table4[[#This Row],[Time]]="","TBD",D$2-COUNTIF(Table4[Time],"&lt;"&amp;Table4[[#This Row],[Time]])),""))-(COUNTIF(Table4[Time],Table4[[#This Row],[Time]])-1),"")</f>
        <v>4</v>
      </c>
      <c r="G11" s="57" cm="1">
        <f t="array" ref="G1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1" s="56" t="s">
        <v>115</v>
      </c>
      <c r="J11" s="56" t="s">
        <v>186</v>
      </c>
      <c r="K11" s="58">
        <v>0.89236111111111116</v>
      </c>
      <c r="L11" s="57">
        <f>IFERROR(IF(Table9[[#This Row],[Name]]="","",IFERROR(IF(Table9[[#This Row],[Time]]="","TBD",J$2-COUNTIF(Table9[Time],"&lt;"&amp;Table9[[#This Row],[Time]])),""))-(COUNTIF(Table9[Time],Table9[[#This Row],[Time]])-1),"")</f>
        <v>4</v>
      </c>
      <c r="M11" s="57" cm="1">
        <f t="array" ref="M1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1" s="56" t="s">
        <v>919</v>
      </c>
      <c r="P11" s="56"/>
      <c r="Q11" s="58">
        <v>0.90208333333333335</v>
      </c>
      <c r="R11" s="57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1" s="57" cm="1">
        <f t="array" ref="S1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1" s="56" t="s">
        <v>919</v>
      </c>
      <c r="V11" s="56" t="s">
        <v>186</v>
      </c>
      <c r="W11" s="58">
        <v>0.94027777777777777</v>
      </c>
      <c r="X11" s="57">
        <f>IFERROR(IF(Table2[[#This Row],[Name]]="","",IFERROR(IF(Table2[[#This Row],[Time]]="","TBD",V$2-COUNTIF(Table2[Time],"&lt;"&amp;Table2[[#This Row],[Time]])),""))-(COUNTIF(Table2[Time],Table2[[#This Row],[Time]])-1),"")</f>
        <v>4</v>
      </c>
      <c r="Y11" s="57" cm="1">
        <f t="array" ref="Y1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8</v>
      </c>
      <c r="AA11" s="56" t="s">
        <v>109</v>
      </c>
      <c r="AB11" s="56" t="s">
        <v>186</v>
      </c>
      <c r="AC11" s="58">
        <v>0.92569444444444449</v>
      </c>
      <c r="AD11" s="57">
        <f>IFERROR(IF(Table211[[#This Row],[Name]]="","",IFERROR(IF(Table211[[#This Row],[Time]]="","TBD",AB$2-COUNTIF(Table211[Time],"&lt;"&amp;Table211[[#This Row],[Time]])),""))-(COUNTIF(Table211[Time],Table211[[#This Row],[Time]])-1),"")</f>
        <v>4</v>
      </c>
      <c r="AE11" s="57" cm="1">
        <f t="array" ref="AE1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1" s="56" t="s">
        <v>893</v>
      </c>
      <c r="AH11" s="56"/>
      <c r="AI11" s="58">
        <v>0.9194444444444444</v>
      </c>
      <c r="AJ1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</v>
      </c>
      <c r="AK11" s="57" cm="1">
        <f t="array" ref="AK1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1" s="56" t="s">
        <v>891</v>
      </c>
      <c r="AN11" s="56" t="s">
        <v>186</v>
      </c>
      <c r="AO11" s="58">
        <v>0.93055555555555558</v>
      </c>
      <c r="AP1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</v>
      </c>
      <c r="AQ11" s="57" cm="1">
        <f t="array" ref="AQ1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1" s="56" t="s">
        <v>920</v>
      </c>
      <c r="AT11" s="56"/>
      <c r="AU11" s="58">
        <v>0.9375</v>
      </c>
      <c r="AV1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</v>
      </c>
      <c r="AW11" s="57" cm="1">
        <f t="array" ref="AW1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1" s="56" t="s">
        <v>902</v>
      </c>
      <c r="AZ11" s="56" t="s">
        <v>186</v>
      </c>
      <c r="BA11" s="58">
        <v>0.93402777777777779</v>
      </c>
      <c r="BB1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</v>
      </c>
      <c r="BC11" s="57" cm="1">
        <f t="array" ref="BC1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1" s="56" t="s">
        <v>87</v>
      </c>
      <c r="BF11" s="56"/>
      <c r="BG11" s="58">
        <v>0.94722222222222219</v>
      </c>
      <c r="BH1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</v>
      </c>
      <c r="BI11" s="57" cm="1">
        <f t="array" ref="BI1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1" s="56" t="s">
        <v>919</v>
      </c>
      <c r="BL11" s="56" t="s">
        <v>186</v>
      </c>
      <c r="BM11" s="58">
        <v>0.92708333333333337</v>
      </c>
      <c r="BN1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</v>
      </c>
      <c r="BO11" s="57" cm="1">
        <f t="array" ref="BO1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1" s="56" t="s">
        <v>921</v>
      </c>
      <c r="BR11" s="56"/>
      <c r="BS11" s="58">
        <v>0.91597222222222219</v>
      </c>
      <c r="BT1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</v>
      </c>
      <c r="BU11" s="57" cm="1">
        <f t="array" ref="BU1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1" s="56" t="s">
        <v>109</v>
      </c>
      <c r="BX11" s="56" t="s">
        <v>186</v>
      </c>
      <c r="BY11" s="58">
        <v>0.90833333333333333</v>
      </c>
      <c r="BZ1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</v>
      </c>
      <c r="CA11" s="57" cm="1">
        <f t="array" ref="CA1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1" s="56" t="s">
        <v>922</v>
      </c>
      <c r="CD11" s="56"/>
      <c r="CE11" s="58">
        <v>0.92708333333333337</v>
      </c>
      <c r="CF1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</v>
      </c>
      <c r="CG11" s="57" cm="1">
        <f t="array" ref="CG1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1" s="56" t="s">
        <v>886</v>
      </c>
      <c r="CJ11" s="56" t="s">
        <v>186</v>
      </c>
      <c r="CK11" s="58">
        <v>0.90625</v>
      </c>
      <c r="CL1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</v>
      </c>
      <c r="CM11" s="57" cm="1">
        <f t="array" ref="CM1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8</v>
      </c>
      <c r="CO11" s="56" t="s">
        <v>899</v>
      </c>
      <c r="CP11" s="56"/>
      <c r="CQ11" s="58">
        <v>0.94444444444444442</v>
      </c>
      <c r="CR1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</v>
      </c>
      <c r="CS11" s="57" cm="1">
        <f t="array" ref="CS1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1" s="56" t="s">
        <v>48</v>
      </c>
      <c r="CV11" s="56"/>
      <c r="CW11" s="58">
        <v>0.90416666666666667</v>
      </c>
      <c r="CX1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</v>
      </c>
      <c r="CY11" s="57" cm="1">
        <f t="array" ref="CY1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1" s="56" t="s">
        <v>891</v>
      </c>
      <c r="DB11" s="56"/>
      <c r="DC11" s="58">
        <v>0.92708333333333337</v>
      </c>
      <c r="DD1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</v>
      </c>
      <c r="DE11" s="57" cm="1">
        <f t="array" ref="DE1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1" s="56" t="s">
        <v>923</v>
      </c>
      <c r="DH11" s="56"/>
      <c r="DI11" s="58">
        <v>0.90972222222222221</v>
      </c>
      <c r="DJ1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</v>
      </c>
      <c r="DK11" s="57" cm="1">
        <f t="array" ref="DK1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1" s="56" t="str">
        <f>IF('Weekly Attendance'!AA353="Yes",'Weekly Attendance'!$D353,"")</f>
        <v>Ziad Elnagar</v>
      </c>
      <c r="DN11" s="56"/>
      <c r="DO11" s="147">
        <v>0.85138888888888886</v>
      </c>
      <c r="DP1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24</v>
      </c>
      <c r="DQ11" s="57" cm="1">
        <f t="array" ref="DQ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2" spans="1:121">
      <c r="A12" s="16">
        <v>5</v>
      </c>
      <c r="C12" s="56" t="s">
        <v>924</v>
      </c>
      <c r="D12" s="56"/>
      <c r="E12" s="58">
        <v>0.9243055555555556</v>
      </c>
      <c r="F12" s="57">
        <f>IFERROR(IF(Table4[[#This Row],[Name]]="","",IFERROR(IF(Table4[[#This Row],[Time]]="","TBD",D$2-COUNTIF(Table4[Time],"&lt;"&amp;Table4[[#This Row],[Time]])),""))-(COUNTIF(Table4[Time],Table4[[#This Row],[Time]])-1),"")</f>
        <v>5</v>
      </c>
      <c r="G12" s="57" cm="1">
        <f t="array" ref="G1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2" s="56" t="s">
        <v>925</v>
      </c>
      <c r="J12" s="56" t="s">
        <v>186</v>
      </c>
      <c r="K12" s="58">
        <v>0.88680555555555551</v>
      </c>
      <c r="L12" s="57">
        <f>IFERROR(IF(Table9[[#This Row],[Name]]="","",IFERROR(IF(Table9[[#This Row],[Time]]="","TBD",J$2-COUNTIF(Table9[Time],"&lt;"&amp;Table9[[#This Row],[Time]])),""))-(COUNTIF(Table9[Time],Table9[[#This Row],[Time]])-1),"")</f>
        <v>5</v>
      </c>
      <c r="M12" s="57" cm="1">
        <f t="array" ref="M1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2" s="56" t="s">
        <v>926</v>
      </c>
      <c r="P12" s="56"/>
      <c r="Q12" s="58">
        <v>0.90208333333333335</v>
      </c>
      <c r="R12" s="57">
        <f>IFERROR(IF(Table18[[#This Row],[Name]]="","",IFERROR(IF(Table18[[#This Row],[Time]]="","TBD",P$2-COUNTIF(Table18[Time],"&lt;"&amp;Table18[[#This Row],[Time]])),""))-(COUNTIF(Table18[Time],Table18[[#This Row],[Time]])-1),"")</f>
        <v>4</v>
      </c>
      <c r="S12" s="57" cm="1">
        <f t="array" ref="S1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2" s="56" t="s">
        <v>927</v>
      </c>
      <c r="V12" s="56"/>
      <c r="W12" s="58">
        <v>0.93888888888888888</v>
      </c>
      <c r="X12" s="57">
        <f>IFERROR(IF(Table2[[#This Row],[Name]]="","",IFERROR(IF(Table2[[#This Row],[Time]]="","TBD",V$2-COUNTIF(Table2[Time],"&lt;"&amp;Table2[[#This Row],[Time]])),""))-(COUNTIF(Table2[Time],Table2[[#This Row],[Time]])-1),"")</f>
        <v>5</v>
      </c>
      <c r="Y12" s="57" cm="1">
        <f t="array" ref="Y1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2" s="56" t="s">
        <v>23</v>
      </c>
      <c r="AB12" s="56" t="s">
        <v>186</v>
      </c>
      <c r="AC12" s="58">
        <v>0.91249999999999998</v>
      </c>
      <c r="AD12" s="57">
        <f>IFERROR(IF(Table211[[#This Row],[Name]]="","",IFERROR(IF(Table211[[#This Row],[Time]]="","TBD",AB$2-COUNTIF(Table211[Time],"&lt;"&amp;Table211[[#This Row],[Time]])),""))-(COUNTIF(Table211[Time],Table211[[#This Row],[Time]])-1),"")</f>
        <v>5</v>
      </c>
      <c r="AE12" s="57" cm="1">
        <f t="array" ref="AE1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2" s="56" t="s">
        <v>928</v>
      </c>
      <c r="AH12" s="56" t="s">
        <v>186</v>
      </c>
      <c r="AI12" s="58">
        <v>0.91597222222222219</v>
      </c>
      <c r="AJ1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</v>
      </c>
      <c r="AK12" s="57" cm="1">
        <f t="array" ref="AK1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2" s="56" t="s">
        <v>929</v>
      </c>
      <c r="AN12" s="56" t="s">
        <v>186</v>
      </c>
      <c r="AO12" s="58">
        <v>0.91666666666666663</v>
      </c>
      <c r="AP1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</v>
      </c>
      <c r="AQ12" s="57" cm="1">
        <f t="array" ref="AQ1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2" s="56" t="s">
        <v>930</v>
      </c>
      <c r="AT12" s="56"/>
      <c r="AU12" s="58">
        <v>0.93125000000000002</v>
      </c>
      <c r="AV1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</v>
      </c>
      <c r="AW12" s="57" cm="1">
        <f t="array" ref="AW1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2" s="56" t="s">
        <v>132</v>
      </c>
      <c r="AZ12" s="56" t="s">
        <v>186</v>
      </c>
      <c r="BA12" s="58">
        <v>0.93333333333333335</v>
      </c>
      <c r="BB1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</v>
      </c>
      <c r="BC12" s="57" cm="1">
        <f t="array" ref="BC1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2" s="56" t="s">
        <v>168</v>
      </c>
      <c r="BF12" s="56" t="s">
        <v>186</v>
      </c>
      <c r="BG12" s="58">
        <v>0.93958333333333333</v>
      </c>
      <c r="BH1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</v>
      </c>
      <c r="BI12" s="57" cm="1">
        <f t="array" ref="BI1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2" s="56" t="s">
        <v>931</v>
      </c>
      <c r="BL12" s="56"/>
      <c r="BM12" s="58">
        <v>0.92222222222222228</v>
      </c>
      <c r="BN1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</v>
      </c>
      <c r="BO12" s="57" cm="1">
        <f t="array" ref="BO1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2" s="56" t="s">
        <v>932</v>
      </c>
      <c r="BR12" s="56"/>
      <c r="BS12" s="58">
        <v>0.90347222222222223</v>
      </c>
      <c r="BT1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</v>
      </c>
      <c r="BU12" s="57" cm="1">
        <f t="array" ref="BU1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2" s="56" t="s">
        <v>69</v>
      </c>
      <c r="BX12" s="56"/>
      <c r="BY12" s="58">
        <v>0.90625</v>
      </c>
      <c r="BZ1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</v>
      </c>
      <c r="CA12" s="57" cm="1">
        <f t="array" ref="CA1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2" s="56" t="s">
        <v>919</v>
      </c>
      <c r="CD12" s="56"/>
      <c r="CE12" s="58">
        <v>0.9145833333333333</v>
      </c>
      <c r="CF1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</v>
      </c>
      <c r="CG12" s="57" cm="1">
        <f t="array" ref="CG1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2" s="56" t="s">
        <v>913</v>
      </c>
      <c r="CJ12" s="56" t="s">
        <v>190</v>
      </c>
      <c r="CK12" s="58">
        <v>0.90486111111111112</v>
      </c>
      <c r="CL1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</v>
      </c>
      <c r="CM12" s="57" cm="1">
        <f t="array" ref="CM1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2" s="56" t="s">
        <v>87</v>
      </c>
      <c r="CP12" s="56"/>
      <c r="CQ12" s="58">
        <v>0.91736111111111107</v>
      </c>
      <c r="CR1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</v>
      </c>
      <c r="CS12" s="57" cm="1">
        <f t="array" ref="CS1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2" s="56" t="s">
        <v>928</v>
      </c>
      <c r="CV12" s="56"/>
      <c r="CW12" s="58">
        <v>0.90208333333333335</v>
      </c>
      <c r="CX1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</v>
      </c>
      <c r="CY12" s="57" cm="1">
        <f t="array" ref="CY1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2" s="56" t="s">
        <v>107</v>
      </c>
      <c r="DB12" s="56"/>
      <c r="DC12" s="58">
        <v>0.9243055555555556</v>
      </c>
      <c r="DD1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</v>
      </c>
      <c r="DE12" s="57" cm="1">
        <f t="array" ref="DE1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2" s="56" t="s">
        <v>933</v>
      </c>
      <c r="DH12" s="56"/>
      <c r="DI12" s="58">
        <v>0.90763888888888888</v>
      </c>
      <c r="DJ1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</v>
      </c>
      <c r="DK12" s="57" cm="1">
        <f t="array" ref="DK1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2" s="56" t="str">
        <f>IF('Weekly Attendance'!AA230="Yes",'Weekly Attendance'!$D230,"")</f>
        <v>Liam Carter</v>
      </c>
      <c r="DN12" s="56" t="s">
        <v>186</v>
      </c>
      <c r="DO12" s="58">
        <v>0.85138888888888886</v>
      </c>
      <c r="DP1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24</v>
      </c>
      <c r="DQ12" s="57" cm="1">
        <f t="array" ref="DQ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3" spans="1:121">
      <c r="A13" s="16">
        <v>6</v>
      </c>
      <c r="C13" s="56" t="s">
        <v>123</v>
      </c>
      <c r="D13" s="56"/>
      <c r="E13" s="58">
        <v>0.92152777777777772</v>
      </c>
      <c r="F13" s="57">
        <f>IFERROR(IF(Table4[[#This Row],[Name]]="","",IFERROR(IF(Table4[[#This Row],[Time]]="","TBD",D$2-COUNTIF(Table4[Time],"&lt;"&amp;Table4[[#This Row],[Time]])),""))-(COUNTIF(Table4[Time],Table4[[#This Row],[Time]])-1),"")</f>
        <v>6</v>
      </c>
      <c r="G13" s="57" cm="1">
        <f t="array" ref="G1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3" s="56" t="s">
        <v>934</v>
      </c>
      <c r="J13" s="56"/>
      <c r="K13" s="58">
        <v>0.88611111111111107</v>
      </c>
      <c r="L13" s="57">
        <f>IFERROR(IF(Table9[[#This Row],[Name]]="","",IFERROR(IF(Table9[[#This Row],[Time]]="","TBD",J$2-COUNTIF(Table9[Time],"&lt;"&amp;Table9[[#This Row],[Time]])),""))-(COUNTIF(Table9[Time],Table9[[#This Row],[Time]])-1),"")</f>
        <v>6</v>
      </c>
      <c r="M13" s="57" cm="1">
        <f t="array" ref="M1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3" s="56" t="s">
        <v>129</v>
      </c>
      <c r="P13" s="56"/>
      <c r="Q13" s="58">
        <v>0.89930555555555558</v>
      </c>
      <c r="R13" s="57">
        <f>IFERROR(IF(Table18[[#This Row],[Name]]="","",IFERROR(IF(Table18[[#This Row],[Time]]="","TBD",P$2-COUNTIF(Table18[Time],"&lt;"&amp;Table18[[#This Row],[Time]])),""))-(COUNTIF(Table18[Time],Table18[[#This Row],[Time]])-1),"")</f>
        <v>6</v>
      </c>
      <c r="S13" s="57" cm="1">
        <f t="array" ref="S1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3" s="56" t="s">
        <v>48</v>
      </c>
      <c r="V13" s="56"/>
      <c r="W13" s="58">
        <v>0.91805555555555551</v>
      </c>
      <c r="X13" s="57">
        <f>IFERROR(IF(Table2[[#This Row],[Name]]="","",IFERROR(IF(Table2[[#This Row],[Time]]="","TBD",V$2-COUNTIF(Table2[Time],"&lt;"&amp;Table2[[#This Row],[Time]])),""))-(COUNTIF(Table2[Time],Table2[[#This Row],[Time]])-1),"")</f>
        <v>6</v>
      </c>
      <c r="Y13" s="57" cm="1">
        <f t="array" ref="Y1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3" s="56" t="s">
        <v>929</v>
      </c>
      <c r="AB13" s="56" t="s">
        <v>186</v>
      </c>
      <c r="AC13" s="58">
        <v>0.91180555555555554</v>
      </c>
      <c r="AD13" s="57">
        <f>IFERROR(IF(Table211[[#This Row],[Name]]="","",IFERROR(IF(Table211[[#This Row],[Time]]="","TBD",AB$2-COUNTIF(Table211[Time],"&lt;"&amp;Table211[[#This Row],[Time]])),""))-(COUNTIF(Table211[Time],Table211[[#This Row],[Time]])-1),"")</f>
        <v>6</v>
      </c>
      <c r="AE13" s="57" cm="1">
        <f t="array" ref="AE1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3" s="56" t="s">
        <v>886</v>
      </c>
      <c r="AH13" s="56" t="s">
        <v>186</v>
      </c>
      <c r="AI13" s="58">
        <v>0.91180555555555554</v>
      </c>
      <c r="AJ1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3" s="57" cm="1">
        <f t="array" ref="AK1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3" s="56" t="s">
        <v>935</v>
      </c>
      <c r="AN13" s="56" t="s">
        <v>186</v>
      </c>
      <c r="AO13" s="58">
        <v>0.90833333333333333</v>
      </c>
      <c r="AP1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</v>
      </c>
      <c r="AQ13" s="57" cm="1">
        <f t="array" ref="AQ1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3" s="56" t="s">
        <v>907</v>
      </c>
      <c r="AT13" s="56" t="s">
        <v>186</v>
      </c>
      <c r="AU13" s="58">
        <v>0.9243055555555556</v>
      </c>
      <c r="AV1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</v>
      </c>
      <c r="AW13" s="57" cm="1">
        <f t="array" ref="AW1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8</v>
      </c>
      <c r="AY13" s="56" t="s">
        <v>936</v>
      </c>
      <c r="AZ13" s="56" t="s">
        <v>186</v>
      </c>
      <c r="BA13" s="58">
        <v>0.93194444444444446</v>
      </c>
      <c r="BB1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</v>
      </c>
      <c r="BC13" s="57" cm="1">
        <f t="array" ref="BC1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8</v>
      </c>
      <c r="BE13" s="56" t="s">
        <v>166</v>
      </c>
      <c r="BF13" s="56"/>
      <c r="BG13" s="58">
        <v>0.9375</v>
      </c>
      <c r="BH1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</v>
      </c>
      <c r="BI13" s="57" cm="1">
        <f t="array" ref="BI1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3" s="56" t="s">
        <v>937</v>
      </c>
      <c r="BL13" s="56" t="s">
        <v>186</v>
      </c>
      <c r="BM13" s="58">
        <v>0.91041666666666665</v>
      </c>
      <c r="BN1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</v>
      </c>
      <c r="BO13" s="57" cm="1">
        <f t="array" ref="BO1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3" s="56" t="s">
        <v>896</v>
      </c>
      <c r="BR13" s="56"/>
      <c r="BS13" s="58">
        <v>0.89583333333333337</v>
      </c>
      <c r="BT1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</v>
      </c>
      <c r="BU13" s="57" cm="1">
        <f t="array" ref="BU1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3" s="56" t="s">
        <v>938</v>
      </c>
      <c r="BX13" s="56" t="s">
        <v>186</v>
      </c>
      <c r="BY13" s="58">
        <v>0.89027777777777772</v>
      </c>
      <c r="BZ1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</v>
      </c>
      <c r="CA13" s="57" cm="1">
        <f t="array" ref="CA1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3" s="56" t="s">
        <v>911</v>
      </c>
      <c r="CD13" s="56" t="s">
        <v>186</v>
      </c>
      <c r="CE13" s="58">
        <v>0.9145833333333333</v>
      </c>
      <c r="CF1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</v>
      </c>
      <c r="CG13" s="57" cm="1">
        <f t="array" ref="CG1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3" s="56" t="s">
        <v>896</v>
      </c>
      <c r="CJ13" s="56" t="s">
        <v>186</v>
      </c>
      <c r="CK13" s="58">
        <v>0.90138888888888891</v>
      </c>
      <c r="CL1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</v>
      </c>
      <c r="CM13" s="57" cm="1">
        <f t="array" ref="CM1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8</v>
      </c>
      <c r="CO13" s="56" t="s">
        <v>134</v>
      </c>
      <c r="CP13" s="56"/>
      <c r="CQ13" s="58">
        <v>0.91041666666666665</v>
      </c>
      <c r="CR1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6</v>
      </c>
      <c r="CS13" s="57" cm="1">
        <f t="array" ref="CS1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3" s="56" t="s">
        <v>66</v>
      </c>
      <c r="CV13" s="56" t="s">
        <v>186</v>
      </c>
      <c r="CW13" s="58">
        <v>0.90069444444444446</v>
      </c>
      <c r="CX1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6</v>
      </c>
      <c r="CY13" s="57" cm="1">
        <f t="array" ref="CY1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8</v>
      </c>
      <c r="DA13" s="56" t="s">
        <v>899</v>
      </c>
      <c r="DB13" s="56"/>
      <c r="DC13" s="58">
        <v>0.92013888888888884</v>
      </c>
      <c r="DD1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</v>
      </c>
      <c r="DE13" s="57" cm="1">
        <f t="array" ref="DE1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3" s="56" t="s">
        <v>939</v>
      </c>
      <c r="DH13" s="56"/>
      <c r="DI13" s="58">
        <v>0.89583333333333337</v>
      </c>
      <c r="DJ1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6</v>
      </c>
      <c r="DK13" s="57" cm="1">
        <f t="array" ref="DK1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3" s="56" t="str">
        <f>IF('Weekly Attendance'!AA30="Yes",'Weekly Attendance'!$D30,"")</f>
        <v>Allen Liu</v>
      </c>
      <c r="DN13" s="56"/>
      <c r="DO13" s="155">
        <v>0.85</v>
      </c>
      <c r="DP1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26</v>
      </c>
      <c r="DQ13" s="57" cm="1">
        <f t="array" ref="DQ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4" spans="1:121">
      <c r="A14" s="16">
        <v>7</v>
      </c>
      <c r="C14" s="56" t="s">
        <v>140</v>
      </c>
      <c r="D14" s="56"/>
      <c r="E14" s="58">
        <v>0.91527777777777775</v>
      </c>
      <c r="F14" s="57">
        <f>IFERROR(IF(Table4[[#This Row],[Name]]="","",IFERROR(IF(Table4[[#This Row],[Time]]="","TBD",D$2-COUNTIF(Table4[Time],"&lt;"&amp;Table4[[#This Row],[Time]])),""))-(COUNTIF(Table4[Time],Table4[[#This Row],[Time]])-1),"")</f>
        <v>7</v>
      </c>
      <c r="G14" s="57" cm="1">
        <f t="array" ref="G1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4" s="56" t="s">
        <v>940</v>
      </c>
      <c r="J14" s="56"/>
      <c r="K14" s="58">
        <v>0.88263888888888886</v>
      </c>
      <c r="L14" s="57">
        <f>IFERROR(IF(Table9[[#This Row],[Name]]="","",IFERROR(IF(Table9[[#This Row],[Time]]="","TBD",J$2-COUNTIF(Table9[Time],"&lt;"&amp;Table9[[#This Row],[Time]])),""))-(COUNTIF(Table9[Time],Table9[[#This Row],[Time]])-1),"")</f>
        <v>7</v>
      </c>
      <c r="M14" s="57" cm="1">
        <f t="array" ref="M1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4" s="56" t="s">
        <v>941</v>
      </c>
      <c r="P14" s="56" t="s">
        <v>186</v>
      </c>
      <c r="Q14" s="58">
        <v>0.89444444444444449</v>
      </c>
      <c r="R14" s="57">
        <f>IFERROR(IF(Table18[[#This Row],[Name]]="","",IFERROR(IF(Table18[[#This Row],[Time]]="","TBD",P$2-COUNTIF(Table18[Time],"&lt;"&amp;Table18[[#This Row],[Time]])),""))-(COUNTIF(Table18[Time],Table18[[#This Row],[Time]])-1),"")</f>
        <v>7</v>
      </c>
      <c r="S14" s="57" cm="1">
        <f t="array" ref="S1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8</v>
      </c>
      <c r="U14" s="56" t="s">
        <v>942</v>
      </c>
      <c r="V14" s="56"/>
      <c r="W14" s="58">
        <v>0.9145833333333333</v>
      </c>
      <c r="X14" s="57">
        <f>IFERROR(IF(Table2[[#This Row],[Name]]="","",IFERROR(IF(Table2[[#This Row],[Time]]="","TBD",V$2-COUNTIF(Table2[Time],"&lt;"&amp;Table2[[#This Row],[Time]])),""))-(COUNTIF(Table2[Time],Table2[[#This Row],[Time]])-1),"")</f>
        <v>7</v>
      </c>
      <c r="Y14" s="57" cm="1">
        <f t="array" ref="Y1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4" s="56" t="s">
        <v>943</v>
      </c>
      <c r="AB14" s="56" t="s">
        <v>186</v>
      </c>
      <c r="AC14" s="58">
        <v>0.90833333333333333</v>
      </c>
      <c r="AD14" s="57">
        <f>IFERROR(IF(Table211[[#This Row],[Name]]="","",IFERROR(IF(Table211[[#This Row],[Time]]="","TBD",AB$2-COUNTIF(Table211[Time],"&lt;"&amp;Table211[[#This Row],[Time]])),""))-(COUNTIF(Table211[Time],Table211[[#This Row],[Time]])-1),"")</f>
        <v>7</v>
      </c>
      <c r="AE14" s="57" cm="1">
        <f t="array" ref="AE1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4" s="56" t="s">
        <v>944</v>
      </c>
      <c r="AH14" s="56" t="s">
        <v>186</v>
      </c>
      <c r="AI14" s="58">
        <v>0.91180555555555554</v>
      </c>
      <c r="AJ1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</v>
      </c>
      <c r="AK14" s="57" cm="1">
        <f t="array" ref="AK1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8</v>
      </c>
      <c r="AM14" s="56" t="s">
        <v>945</v>
      </c>
      <c r="AN14" s="56" t="s">
        <v>186</v>
      </c>
      <c r="AO14" s="58">
        <v>0.90694444444444444</v>
      </c>
      <c r="AP1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4" s="57" cm="1">
        <f t="array" ref="AQ1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8</v>
      </c>
      <c r="AS14" s="56" t="s">
        <v>47</v>
      </c>
      <c r="AT14" s="56" t="s">
        <v>190</v>
      </c>
      <c r="AU14" s="58">
        <v>0.92013888888888884</v>
      </c>
      <c r="AV1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</v>
      </c>
      <c r="AW14" s="57" cm="1">
        <f t="array" ref="AW1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4" s="56" t="s">
        <v>946</v>
      </c>
      <c r="AZ14" s="56"/>
      <c r="BA14" s="58">
        <v>0.92638888888888893</v>
      </c>
      <c r="BB1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</v>
      </c>
      <c r="BC14" s="57" cm="1">
        <f t="array" ref="BC1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4" s="56" t="s">
        <v>47</v>
      </c>
      <c r="BF14" s="56"/>
      <c r="BG14" s="58">
        <v>0.93263888888888891</v>
      </c>
      <c r="BH1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</v>
      </c>
      <c r="BI14" s="57" cm="1">
        <f t="array" ref="BI1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10</v>
      </c>
      <c r="BK14" s="56" t="s">
        <v>947</v>
      </c>
      <c r="BL14" s="56" t="s">
        <v>186</v>
      </c>
      <c r="BM14" s="58">
        <v>0.90833333333333333</v>
      </c>
      <c r="BN1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</v>
      </c>
      <c r="BO14" s="57" cm="1">
        <f t="array" ref="BO1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8</v>
      </c>
      <c r="BQ14" s="56" t="s">
        <v>150</v>
      </c>
      <c r="BR14" s="56"/>
      <c r="BS14" s="58">
        <v>0.89166666666666672</v>
      </c>
      <c r="BT1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</v>
      </c>
      <c r="BU14" s="57" cm="1">
        <f t="array" ref="BU1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4" s="56" t="s">
        <v>129</v>
      </c>
      <c r="BX14" s="56" t="s">
        <v>186</v>
      </c>
      <c r="BY14" s="58">
        <v>0.88888888888888884</v>
      </c>
      <c r="BZ1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</v>
      </c>
      <c r="CA14" s="57" cm="1">
        <f t="array" ref="CA1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8</v>
      </c>
      <c r="CC14" s="56" t="s">
        <v>948</v>
      </c>
      <c r="CD14" s="56" t="s">
        <v>186</v>
      </c>
      <c r="CE14" s="58">
        <v>0.90763888888888888</v>
      </c>
      <c r="CF1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</v>
      </c>
      <c r="CG14" s="57" cm="1">
        <f t="array" ref="CG1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4" s="56" t="s">
        <v>949</v>
      </c>
      <c r="CJ14" s="56" t="s">
        <v>190</v>
      </c>
      <c r="CK14" s="58">
        <v>0.90138888888888891</v>
      </c>
      <c r="CL1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</v>
      </c>
      <c r="CM14" s="57" cm="1">
        <f t="array" ref="CM1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4" s="56" t="s">
        <v>939</v>
      </c>
      <c r="CP14" s="56"/>
      <c r="CQ14" s="58">
        <v>0.90277777777777779</v>
      </c>
      <c r="CR1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7</v>
      </c>
      <c r="CS14" s="57" cm="1">
        <f t="array" ref="CS1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4" s="56" t="s">
        <v>906</v>
      </c>
      <c r="CV14" s="56" t="s">
        <v>186</v>
      </c>
      <c r="CW14" s="58">
        <v>0.9</v>
      </c>
      <c r="CX1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7</v>
      </c>
      <c r="CY14" s="57" cm="1">
        <f t="array" ref="CY1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8</v>
      </c>
      <c r="DA14" s="56" t="s">
        <v>950</v>
      </c>
      <c r="DB14" s="56"/>
      <c r="DC14" s="58">
        <v>0.92013888888888884</v>
      </c>
      <c r="DD1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</v>
      </c>
      <c r="DE14" s="57" cm="1">
        <f t="array" ref="DE1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4" s="56" t="s">
        <v>109</v>
      </c>
      <c r="DH14" s="56" t="s">
        <v>186</v>
      </c>
      <c r="DI14" s="58">
        <v>0.89513888888888893</v>
      </c>
      <c r="DJ1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7</v>
      </c>
      <c r="DK14" s="57" cm="1">
        <f t="array" ref="DK1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8</v>
      </c>
      <c r="DM14" s="56" t="str">
        <f>IF('Weekly Attendance'!AA282="Yes",'Weekly Attendance'!$D282,"")</f>
        <v>Rahil Kochhar</v>
      </c>
      <c r="DN14" s="56" t="s">
        <v>186</v>
      </c>
      <c r="DO14" s="58">
        <v>0.84861111111111109</v>
      </c>
      <c r="DP1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27</v>
      </c>
      <c r="DQ14" s="57" cm="1">
        <f t="array" ref="DQ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5" spans="1:121">
      <c r="A15" s="16">
        <v>8</v>
      </c>
      <c r="B15" s="86"/>
      <c r="C15" s="56" t="s">
        <v>53</v>
      </c>
      <c r="D15" s="56"/>
      <c r="E15" s="58">
        <v>0.91249999999999998</v>
      </c>
      <c r="F15" s="57">
        <f>IFERROR(IF(Table4[[#This Row],[Name]]="","",IFERROR(IF(Table4[[#This Row],[Time]]="","TBD",D$2-COUNTIF(Table4[Time],"&lt;"&amp;Table4[[#This Row],[Time]])),""))-(COUNTIF(Table4[Time],Table4[[#This Row],[Time]])-1),"")</f>
        <v>8</v>
      </c>
      <c r="G15" s="57" cm="1">
        <f t="array" ref="G1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5" s="56" t="s">
        <v>908</v>
      </c>
      <c r="J15" s="56" t="s">
        <v>186</v>
      </c>
      <c r="K15" s="58">
        <v>0.88055555555555554</v>
      </c>
      <c r="L15" s="57">
        <f>IFERROR(IF(Table9[[#This Row],[Name]]="","",IFERROR(IF(Table9[[#This Row],[Time]]="","TBD",J$2-COUNTIF(Table9[Time],"&lt;"&amp;Table9[[#This Row],[Time]])),""))-(COUNTIF(Table9[Time],Table9[[#This Row],[Time]])-1),"")</f>
        <v>8</v>
      </c>
      <c r="M15" s="57" cm="1">
        <f t="array" ref="M1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8</v>
      </c>
      <c r="O15" s="56" t="s">
        <v>152</v>
      </c>
      <c r="P15" s="56"/>
      <c r="Q15" s="58">
        <v>0.89236111111111116</v>
      </c>
      <c r="R15" s="57">
        <f>IFERROR(IF(Table18[[#This Row],[Name]]="","",IFERROR(IF(Table18[[#This Row],[Time]]="","TBD",P$2-COUNTIF(Table18[Time],"&lt;"&amp;Table18[[#This Row],[Time]])),""))-(COUNTIF(Table18[Time],Table18[[#This Row],[Time]])-1),"")</f>
        <v>8</v>
      </c>
      <c r="S15" s="57" cm="1">
        <f t="array" ref="S1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10</v>
      </c>
      <c r="U15" s="56" t="s">
        <v>152</v>
      </c>
      <c r="V15" s="56"/>
      <c r="W15" s="58">
        <v>0.90486111111111112</v>
      </c>
      <c r="X15" s="57">
        <f>IFERROR(IF(Table2[[#This Row],[Name]]="","",IFERROR(IF(Table2[[#This Row],[Time]]="","TBD",V$2-COUNTIF(Table2[Time],"&lt;"&amp;Table2[[#This Row],[Time]])),""))-(COUNTIF(Table2[Time],Table2[[#This Row],[Time]])-1),"")</f>
        <v>8</v>
      </c>
      <c r="Y15" s="57" cm="1">
        <f t="array" ref="Y1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5" s="56" t="s">
        <v>951</v>
      </c>
      <c r="AB15" s="56"/>
      <c r="AC15" s="58">
        <v>0.90625</v>
      </c>
      <c r="AD15" s="57">
        <f>IFERROR(IF(Table211[[#This Row],[Name]]="","",IFERROR(IF(Table211[[#This Row],[Time]]="","TBD",AB$2-COUNTIF(Table211[Time],"&lt;"&amp;Table211[[#This Row],[Time]])),""))-(COUNTIF(Table211[Time],Table211[[#This Row],[Time]])-1),"")</f>
        <v>8</v>
      </c>
      <c r="AE15" s="57" cm="1">
        <f t="array" ref="AE1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10</v>
      </c>
      <c r="AG15" s="56" t="s">
        <v>926</v>
      </c>
      <c r="AH15" s="56"/>
      <c r="AI15" s="58">
        <v>0.90902777777777777</v>
      </c>
      <c r="AJ1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8</v>
      </c>
      <c r="AK15" s="57" cm="1">
        <f t="array" ref="AK1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5" s="56" t="s">
        <v>144</v>
      </c>
      <c r="AN15" s="56"/>
      <c r="AO15" s="58">
        <v>0.90694444444444444</v>
      </c>
      <c r="AP1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</v>
      </c>
      <c r="AQ15" s="57" cm="1">
        <f t="array" ref="AQ1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10</v>
      </c>
      <c r="AS15" s="105" t="s">
        <v>952</v>
      </c>
      <c r="AT15" s="56"/>
      <c r="AU15" s="58">
        <v>0.90625</v>
      </c>
      <c r="AV1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</v>
      </c>
      <c r="AW15" s="57" cm="1">
        <f t="array" ref="AW1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10</v>
      </c>
      <c r="AY15" s="56" t="s">
        <v>953</v>
      </c>
      <c r="AZ15" s="56"/>
      <c r="BA15" s="58">
        <v>0.91666666666666663</v>
      </c>
      <c r="BB1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5" s="57" cm="1">
        <f t="array" ref="BC1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5" s="56" t="s">
        <v>919</v>
      </c>
      <c r="BF15" s="56" t="s">
        <v>186</v>
      </c>
      <c r="BG15" s="58">
        <v>0.9243055555555556</v>
      </c>
      <c r="BH1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</v>
      </c>
      <c r="BI15" s="57" cm="1">
        <f t="array" ref="BI1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5" s="56" t="s">
        <v>907</v>
      </c>
      <c r="BL15" s="56"/>
      <c r="BM15" s="58">
        <v>0.90625</v>
      </c>
      <c r="BN1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</v>
      </c>
      <c r="BO15" s="57" cm="1">
        <f t="array" ref="BO1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5" s="56" t="s">
        <v>47</v>
      </c>
      <c r="BR15" s="56"/>
      <c r="BS15" s="58">
        <v>0.88541666666666663</v>
      </c>
      <c r="BT1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</v>
      </c>
      <c r="BU15" s="57" cm="1">
        <f t="array" ref="BU1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5" s="56" t="s">
        <v>954</v>
      </c>
      <c r="BX15" s="56"/>
      <c r="BY15" s="58">
        <v>0.88680555555555551</v>
      </c>
      <c r="BZ1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8</v>
      </c>
      <c r="CA15" s="57" cm="1">
        <f t="array" ref="CA1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5" s="56" t="s">
        <v>955</v>
      </c>
      <c r="CD15" s="56"/>
      <c r="CE15" s="58">
        <v>0.90069444444444446</v>
      </c>
      <c r="CF1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8</v>
      </c>
      <c r="CG15" s="57" cm="1">
        <f t="array" ref="CG1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10</v>
      </c>
      <c r="CI15" s="56" t="s">
        <v>908</v>
      </c>
      <c r="CJ15" s="56" t="s">
        <v>190</v>
      </c>
      <c r="CK15" s="58">
        <v>0.89583333333333337</v>
      </c>
      <c r="CL1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8</v>
      </c>
      <c r="CM15" s="57" cm="1">
        <f t="array" ref="CM1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5" s="56" t="s">
        <v>956</v>
      </c>
      <c r="CP15" s="56"/>
      <c r="CQ15" s="58">
        <v>0.89583333333333337</v>
      </c>
      <c r="CR1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8</v>
      </c>
      <c r="CS15" s="57" cm="1">
        <f t="array" ref="CS1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10</v>
      </c>
      <c r="CU15" s="56" t="s">
        <v>957</v>
      </c>
      <c r="CV15" s="56"/>
      <c r="CW15" s="58">
        <v>0.89027777777777772</v>
      </c>
      <c r="CX1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8</v>
      </c>
      <c r="CY15" s="57" cm="1">
        <f t="array" ref="CY1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5" s="56" t="s">
        <v>932</v>
      </c>
      <c r="DB15" s="56"/>
      <c r="DC15" s="58">
        <v>0.91597222222222219</v>
      </c>
      <c r="DD1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</v>
      </c>
      <c r="DE15" s="57" cm="1">
        <f t="array" ref="DE1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5" s="56" t="s">
        <v>907</v>
      </c>
      <c r="DH15" s="56"/>
      <c r="DI15" s="58">
        <v>0.89027777777777772</v>
      </c>
      <c r="DJ1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8</v>
      </c>
      <c r="DK15" s="57" cm="1">
        <f t="array" ref="DK1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10</v>
      </c>
      <c r="DM15" s="56" t="str">
        <f>IF('Weekly Attendance'!AA278="Yes",'Weekly Attendance'!$D278,"")</f>
        <v xml:space="preserve">Patrick Tendon </v>
      </c>
      <c r="DN15" s="56" t="s">
        <v>186</v>
      </c>
      <c r="DO15" s="58">
        <v>0.84861111111111109</v>
      </c>
      <c r="DP1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27</v>
      </c>
      <c r="DQ15" s="57" cm="1">
        <f t="array" ref="DQ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6" spans="1:121">
      <c r="A16" s="16">
        <v>9</v>
      </c>
      <c r="B16" s="86"/>
      <c r="C16" s="56" t="s">
        <v>29</v>
      </c>
      <c r="D16" s="56"/>
      <c r="E16" s="58">
        <v>0.90625</v>
      </c>
      <c r="F16" s="57">
        <f>IFERROR(IF(Table4[[#This Row],[Name]]="","",IFERROR(IF(Table4[[#This Row],[Time]]="","TBD",D$2-COUNTIF(Table4[Time],"&lt;"&amp;Table4[[#This Row],[Time]])),""))-(COUNTIF(Table4[Time],Table4[[#This Row],[Time]])-1),"")</f>
        <v>9</v>
      </c>
      <c r="G16" s="57" cm="1">
        <f t="array" ref="G1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10</v>
      </c>
      <c r="I16" s="56" t="s">
        <v>899</v>
      </c>
      <c r="J16" s="56"/>
      <c r="K16" s="58">
        <v>0.87152777777777779</v>
      </c>
      <c r="L16" s="57">
        <f>IFERROR(IF(Table9[[#This Row],[Name]]="","",IFERROR(IF(Table9[[#This Row],[Time]]="","TBD",J$2-COUNTIF(Table9[Time],"&lt;"&amp;Table9[[#This Row],[Time]])),""))-(COUNTIF(Table9[Time],Table9[[#This Row],[Time]])-1),"")</f>
        <v>9</v>
      </c>
      <c r="M16" s="57" cm="1">
        <f t="array" ref="M1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10</v>
      </c>
      <c r="O16" s="56" t="s">
        <v>958</v>
      </c>
      <c r="P16" s="56" t="s">
        <v>186</v>
      </c>
      <c r="Q16" s="58">
        <v>0.8833333333333333</v>
      </c>
      <c r="R16" s="57">
        <f>IFERROR(IF(Table18[[#This Row],[Name]]="","",IFERROR(IF(Table18[[#This Row],[Time]]="","TBD",P$2-COUNTIF(Table18[Time],"&lt;"&amp;Table18[[#This Row],[Time]])),""))-(COUNTIF(Table18[Time],Table18[[#This Row],[Time]])-1),"")</f>
        <v>9</v>
      </c>
      <c r="S16" s="57" cm="1">
        <f t="array" ref="S1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8</v>
      </c>
      <c r="U16" s="56" t="s">
        <v>930</v>
      </c>
      <c r="V16" s="56"/>
      <c r="W16" s="58">
        <v>0.90486111111111112</v>
      </c>
      <c r="X16" s="57">
        <f>IFERROR(IF(Table2[[#This Row],[Name]]="","",IFERROR(IF(Table2[[#This Row],[Time]]="","TBD",V$2-COUNTIF(Table2[Time],"&lt;"&amp;Table2[[#This Row],[Time]])),""))-(COUNTIF(Table2[Time],Table2[[#This Row],[Time]])-1),"")</f>
        <v>8</v>
      </c>
      <c r="Y16" s="57" cm="1">
        <f t="array" ref="Y1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10</v>
      </c>
      <c r="AA16" s="56" t="s">
        <v>911</v>
      </c>
      <c r="AB16" s="56" t="s">
        <v>186</v>
      </c>
      <c r="AC16" s="58">
        <v>0.89513888888888893</v>
      </c>
      <c r="AD16" s="57">
        <f>IFERROR(IF(Table211[[#This Row],[Name]]="","",IFERROR(IF(Table211[[#This Row],[Time]]="","TBD",AB$2-COUNTIF(Table211[Time],"&lt;"&amp;Table211[[#This Row],[Time]])),""))-(COUNTIF(Table211[Time],Table211[[#This Row],[Time]])-1),"")</f>
        <v>9</v>
      </c>
      <c r="AE16" s="57" cm="1">
        <f t="array" ref="AE1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8</v>
      </c>
      <c r="AG16" s="56" t="s">
        <v>105</v>
      </c>
      <c r="AH16" s="56"/>
      <c r="AI16" s="58">
        <v>0.90069444444444446</v>
      </c>
      <c r="AJ1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9</v>
      </c>
      <c r="AK16" s="57" cm="1">
        <f t="array" ref="AK1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10</v>
      </c>
      <c r="AM16" s="56" t="s">
        <v>20</v>
      </c>
      <c r="AN16" s="56"/>
      <c r="AO16" s="58">
        <v>0.89027777777777772</v>
      </c>
      <c r="AP1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9</v>
      </c>
      <c r="AQ16" s="57" cm="1">
        <f t="array" ref="AQ1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10</v>
      </c>
      <c r="AS16" s="56" t="s">
        <v>48</v>
      </c>
      <c r="AT16" s="56" t="s">
        <v>186</v>
      </c>
      <c r="AU16" s="58">
        <v>0.90486111111111112</v>
      </c>
      <c r="AV1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9</v>
      </c>
      <c r="AW16" s="57" cm="1">
        <f t="array" ref="AW1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8</v>
      </c>
      <c r="AY16" s="56" t="s">
        <v>959</v>
      </c>
      <c r="AZ16" s="56"/>
      <c r="BA16" s="58">
        <v>0.91666666666666663</v>
      </c>
      <c r="BB1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</v>
      </c>
      <c r="BC16" s="57" cm="1">
        <f t="array" ref="BC1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10</v>
      </c>
      <c r="BE16" s="56" t="s">
        <v>960</v>
      </c>
      <c r="BF16" s="56" t="s">
        <v>186</v>
      </c>
      <c r="BG16" s="58">
        <v>0.92361111111111116</v>
      </c>
      <c r="BH1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9</v>
      </c>
      <c r="BI16" s="57" cm="1">
        <f t="array" ref="BI1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8</v>
      </c>
      <c r="BK16" s="56" t="s">
        <v>905</v>
      </c>
      <c r="BL16" s="56"/>
      <c r="BM16" s="58">
        <v>0.90486111111111112</v>
      </c>
      <c r="BN1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9</v>
      </c>
      <c r="BO16" s="57" cm="1">
        <f t="array" ref="BO1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10</v>
      </c>
      <c r="BQ16" s="56" t="s">
        <v>961</v>
      </c>
      <c r="BR16" s="56"/>
      <c r="BS16" s="58">
        <v>0.88263888888888886</v>
      </c>
      <c r="BT1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9</v>
      </c>
      <c r="BU16" s="57" cm="1">
        <f t="array" ref="BU1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10</v>
      </c>
      <c r="BW16" s="56" t="s">
        <v>35</v>
      </c>
      <c r="BX16" s="56"/>
      <c r="BY16" s="58">
        <v>0.88472222222222219</v>
      </c>
      <c r="BZ1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9</v>
      </c>
      <c r="CA16" s="57" cm="1">
        <f t="array" ref="CA1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10</v>
      </c>
      <c r="CC16" s="56" t="s">
        <v>962</v>
      </c>
      <c r="CD16" s="56" t="s">
        <v>186</v>
      </c>
      <c r="CE16" s="58">
        <v>0.89444444444444449</v>
      </c>
      <c r="CF1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9</v>
      </c>
      <c r="CG16" s="57" cm="1">
        <f t="array" ref="CG1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8</v>
      </c>
      <c r="CI16" s="56" t="s">
        <v>963</v>
      </c>
      <c r="CJ16" s="56" t="s">
        <v>190</v>
      </c>
      <c r="CK16" s="58">
        <v>0.89027777777777772</v>
      </c>
      <c r="CL1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9</v>
      </c>
      <c r="CM16" s="57" cm="1">
        <f t="array" ref="CM1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10</v>
      </c>
      <c r="CO16" s="56" t="s">
        <v>48</v>
      </c>
      <c r="CP16" s="56" t="s">
        <v>186</v>
      </c>
      <c r="CQ16" s="58">
        <v>0.8930555555555556</v>
      </c>
      <c r="CR1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9</v>
      </c>
      <c r="CS16" s="57" cm="1">
        <f t="array" ref="CS1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8</v>
      </c>
      <c r="CU16" s="56" t="s">
        <v>950</v>
      </c>
      <c r="CV16" s="56"/>
      <c r="CW16" s="58">
        <v>0.8881944444444444</v>
      </c>
      <c r="CX1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9</v>
      </c>
      <c r="CY16" s="57" cm="1">
        <f t="array" ref="CY1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10</v>
      </c>
      <c r="DA16" s="56" t="s">
        <v>964</v>
      </c>
      <c r="DB16" s="56"/>
      <c r="DC16" s="58">
        <v>0.91249999999999998</v>
      </c>
      <c r="DD1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</v>
      </c>
      <c r="DE16" s="57" cm="1">
        <f t="array" ref="DE1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10</v>
      </c>
      <c r="DG16" s="56" t="s">
        <v>962</v>
      </c>
      <c r="DH16" s="56" t="s">
        <v>186</v>
      </c>
      <c r="DI16" s="58">
        <v>0.89027777777777772</v>
      </c>
      <c r="DJ1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8</v>
      </c>
      <c r="DK16" s="57" cm="1">
        <f t="array" ref="DK1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8</v>
      </c>
      <c r="DM16" s="56" t="str">
        <f>IF('Weekly Attendance'!AA95="Yes",'Weekly Attendance'!$D95,"")</f>
        <v>Amar Aggarwal</v>
      </c>
      <c r="DN16" s="56" t="s">
        <v>186</v>
      </c>
      <c r="DO16" s="58">
        <v>0.84861111111111109</v>
      </c>
      <c r="DP1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27</v>
      </c>
      <c r="DQ16" s="57" cm="1">
        <f t="array" ref="DQ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7" spans="1:121">
      <c r="A17" s="16">
        <v>10</v>
      </c>
      <c r="B17" s="86"/>
      <c r="C17" s="56" t="s">
        <v>43</v>
      </c>
      <c r="D17" s="56"/>
      <c r="E17" s="58">
        <v>0.90208333333333335</v>
      </c>
      <c r="F17" s="57">
        <f>IFERROR(IF(Table4[[#This Row],[Name]]="","",IFERROR(IF(Table4[[#This Row],[Time]]="","TBD",D$2-COUNTIF(Table4[Time],"&lt;"&amp;Table4[[#This Row],[Time]])),""))-(COUNTIF(Table4[Time],Table4[[#This Row],[Time]])-1),"")</f>
        <v>10</v>
      </c>
      <c r="G17" s="57" cm="1">
        <f t="array" ref="G1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17" s="56" t="s">
        <v>965</v>
      </c>
      <c r="J17" s="56" t="s">
        <v>186</v>
      </c>
      <c r="K17" s="58">
        <v>0.87083333333333335</v>
      </c>
      <c r="L17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7" s="57" cm="1">
        <f t="array" ref="M1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17" s="56" t="s">
        <v>929</v>
      </c>
      <c r="P17" s="56" t="s">
        <v>186</v>
      </c>
      <c r="Q17" s="58">
        <v>0.87361111111111112</v>
      </c>
      <c r="R17" s="57">
        <f>IFERROR(IF(Table18[[#This Row],[Name]]="","",IFERROR(IF(Table18[[#This Row],[Time]]="","TBD",P$2-COUNTIF(Table18[Time],"&lt;"&amp;Table18[[#This Row],[Time]])),""))-(COUNTIF(Table18[Time],Table18[[#This Row],[Time]])-1),"")</f>
        <v>10</v>
      </c>
      <c r="S17" s="57" cm="1">
        <f t="array" ref="S1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17" s="56" t="s">
        <v>966</v>
      </c>
      <c r="V17" s="56"/>
      <c r="W17" s="58">
        <v>0.90138888888888891</v>
      </c>
      <c r="X17" s="57">
        <f>IFERROR(IF(Table2[[#This Row],[Name]]="","",IFERROR(IF(Table2[[#This Row],[Time]]="","TBD",V$2-COUNTIF(Table2[Time],"&lt;"&amp;Table2[[#This Row],[Time]])),""))-(COUNTIF(Table2[Time],Table2[[#This Row],[Time]])-1),"")</f>
        <v>10</v>
      </c>
      <c r="Y17" s="57" cm="1">
        <f t="array" ref="Y1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17" s="56" t="s">
        <v>890</v>
      </c>
      <c r="AB17" s="56" t="s">
        <v>186</v>
      </c>
      <c r="AC17" s="58">
        <v>0.88472222222222219</v>
      </c>
      <c r="AD17" s="57">
        <f>IFERROR(IF(Table211[[#This Row],[Name]]="","",IFERROR(IF(Table211[[#This Row],[Time]]="","TBD",AB$2-COUNTIF(Table211[Time],"&lt;"&amp;Table211[[#This Row],[Time]])),""))-(COUNTIF(Table211[Time],Table211[[#This Row],[Time]])-1),"")</f>
        <v>10</v>
      </c>
      <c r="AE17" s="57" cm="1">
        <f t="array" ref="AE1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7" s="56" t="s">
        <v>930</v>
      </c>
      <c r="AH17" s="56" t="s">
        <v>186</v>
      </c>
      <c r="AI17" s="58">
        <v>0.89375000000000004</v>
      </c>
      <c r="AJ1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10</v>
      </c>
      <c r="AK17" s="57" cm="1">
        <f t="array" ref="AK1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17" s="56" t="s">
        <v>967</v>
      </c>
      <c r="AN17" s="56" t="s">
        <v>186</v>
      </c>
      <c r="AO17" s="58">
        <v>0.8881944444444444</v>
      </c>
      <c r="AP1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10</v>
      </c>
      <c r="AQ17" s="57" cm="1">
        <f t="array" ref="AQ1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17" s="56" t="s">
        <v>968</v>
      </c>
      <c r="AT17" s="56"/>
      <c r="AU17" s="58">
        <v>0.9</v>
      </c>
      <c r="AV1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10</v>
      </c>
      <c r="AW17" s="57" cm="1">
        <f t="array" ref="AW1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17" s="56" t="s">
        <v>95</v>
      </c>
      <c r="AZ17" s="56" t="s">
        <v>186</v>
      </c>
      <c r="BA17" s="58">
        <v>0.89861111111111114</v>
      </c>
      <c r="BB1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7" s="57" cm="1">
        <f t="array" ref="BC1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17" s="56" t="s">
        <v>900</v>
      </c>
      <c r="BF17" s="56"/>
      <c r="BG17" s="58">
        <v>0.91180555555555554</v>
      </c>
      <c r="BH1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7" s="57" cm="1">
        <f t="array" ref="BI1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17" s="56" t="s">
        <v>109</v>
      </c>
      <c r="BL17" s="56"/>
      <c r="BM17" s="58">
        <v>0.89513888888888893</v>
      </c>
      <c r="BN1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10</v>
      </c>
      <c r="BO17" s="57" cm="1">
        <f t="array" ref="BO1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7" s="56" t="s">
        <v>939</v>
      </c>
      <c r="BR17" s="56"/>
      <c r="BS17" s="58">
        <v>0.88055555555555554</v>
      </c>
      <c r="BT1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10</v>
      </c>
      <c r="BU17" s="57" cm="1">
        <f t="array" ref="BU1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17" s="56" t="s">
        <v>894</v>
      </c>
      <c r="BX17" s="56"/>
      <c r="BY17" s="58">
        <v>0.87916666666666665</v>
      </c>
      <c r="BZ1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10</v>
      </c>
      <c r="CA17" s="57" cm="1">
        <f t="array" ref="CA1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7" s="56" t="s">
        <v>144</v>
      </c>
      <c r="CD17" s="56"/>
      <c r="CE17" s="58">
        <v>0.88541666666666663</v>
      </c>
      <c r="CF1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10</v>
      </c>
      <c r="CG17" s="57" cm="1">
        <f t="array" ref="CG1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7" s="56" t="s">
        <v>47</v>
      </c>
      <c r="CJ17" s="56" t="s">
        <v>190</v>
      </c>
      <c r="CK17" s="58">
        <v>0.8833333333333333</v>
      </c>
      <c r="CL1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10</v>
      </c>
      <c r="CM17" s="57" cm="1">
        <f t="array" ref="CM1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7" s="56" t="s">
        <v>929</v>
      </c>
      <c r="CP17" s="56"/>
      <c r="CQ17" s="58">
        <v>0.88402777777777775</v>
      </c>
      <c r="CR1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10</v>
      </c>
      <c r="CS17" s="57" cm="1">
        <f t="array" ref="CS1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7" s="56" t="s">
        <v>969</v>
      </c>
      <c r="CV17" s="56" t="s">
        <v>186</v>
      </c>
      <c r="CW17" s="58">
        <v>0.87430555555555556</v>
      </c>
      <c r="CX1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10</v>
      </c>
      <c r="CY17" s="57" cm="1">
        <f t="array" ref="CY1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17" s="56" t="s">
        <v>914</v>
      </c>
      <c r="DB17" s="56" t="s">
        <v>186</v>
      </c>
      <c r="DC17" s="58">
        <v>0.90208333333333335</v>
      </c>
      <c r="DD1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10</v>
      </c>
      <c r="DE17" s="57" cm="1">
        <f t="array" ref="DE1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17" s="56" t="s">
        <v>970</v>
      </c>
      <c r="DH17" s="56" t="s">
        <v>186</v>
      </c>
      <c r="DI17" s="58">
        <v>0.8833333333333333</v>
      </c>
      <c r="DJ1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10</v>
      </c>
      <c r="DK17" s="57" cm="1">
        <f t="array" ref="DK1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17" s="56" t="str">
        <f>IF('Weekly Attendance'!AA148="Yes",'Weekly Attendance'!$D148,"")</f>
        <v>Dipraman Ghosh</v>
      </c>
      <c r="DN17" s="56" t="s">
        <v>186</v>
      </c>
      <c r="DO17" s="58">
        <v>0.84722222222222221</v>
      </c>
      <c r="DP1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30</v>
      </c>
      <c r="DQ17" s="57" cm="1">
        <f t="array" ref="DQ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8" spans="1:121">
      <c r="A18" s="16">
        <v>11</v>
      </c>
      <c r="B18" s="86"/>
      <c r="C18" s="56" t="s">
        <v>971</v>
      </c>
      <c r="D18" s="56"/>
      <c r="E18" s="58">
        <v>0.89166666666666672</v>
      </c>
      <c r="F18" s="57">
        <f>IFERROR(IF(Table4[[#This Row],[Name]]="","",IFERROR(IF(Table4[[#This Row],[Time]]="","TBD",D$2-COUNTIF(Table4[Time],"&lt;"&amp;Table4[[#This Row],[Time]])),""))-(COUNTIF(Table4[Time],Table4[[#This Row],[Time]])-1),"")</f>
        <v>11</v>
      </c>
      <c r="G18" s="57" cm="1">
        <f t="array" ref="G1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18" s="56" t="s">
        <v>903</v>
      </c>
      <c r="J18" s="56"/>
      <c r="K18" s="58">
        <v>0.87083333333333335</v>
      </c>
      <c r="L18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8" s="57" cm="1">
        <f t="array" ref="M1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18" s="56" t="s">
        <v>890</v>
      </c>
      <c r="P18" s="56" t="s">
        <v>186</v>
      </c>
      <c r="Q18" s="58">
        <v>0.87152777777777779</v>
      </c>
      <c r="R18" s="57">
        <f>IFERROR(IF(Table18[[#This Row],[Name]]="","",IFERROR(IF(Table18[[#This Row],[Time]]="","TBD",P$2-COUNTIF(Table18[Time],"&lt;"&amp;Table18[[#This Row],[Time]])),""))-(COUNTIF(Table18[Time],Table18[[#This Row],[Time]])-1),"")</f>
        <v>11</v>
      </c>
      <c r="S18" s="57" cm="1">
        <f t="array" ref="S1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18" s="56" t="s">
        <v>53</v>
      </c>
      <c r="V18" s="56" t="s">
        <v>186</v>
      </c>
      <c r="W18" s="58">
        <v>0.90069444444444446</v>
      </c>
      <c r="X18" s="57">
        <f>IFERROR(IF(Table2[[#This Row],[Name]]="","",IFERROR(IF(Table2[[#This Row],[Time]]="","TBD",V$2-COUNTIF(Table2[Time],"&lt;"&amp;Table2[[#This Row],[Time]])),""))-(COUNTIF(Table2[Time],Table2[[#This Row],[Time]])-1),"")</f>
        <v>11</v>
      </c>
      <c r="Y18" s="57" cm="1">
        <f t="array" ref="Y1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18" s="56" t="s">
        <v>908</v>
      </c>
      <c r="AB18" s="56" t="s">
        <v>186</v>
      </c>
      <c r="AC18" s="58">
        <v>0.88402777777777775</v>
      </c>
      <c r="AD18" s="57">
        <f>IFERROR(IF(Table211[[#This Row],[Name]]="","",IFERROR(IF(Table211[[#This Row],[Time]]="","TBD",AB$2-COUNTIF(Table211[Time],"&lt;"&amp;Table211[[#This Row],[Time]])),""))-(COUNTIF(Table211[Time],Table211[[#This Row],[Time]])-1),"")</f>
        <v>11</v>
      </c>
      <c r="AE18" s="57" cm="1">
        <f t="array" ref="AE1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8" s="56" t="s">
        <v>972</v>
      </c>
      <c r="AH18" s="56"/>
      <c r="AI18" s="58">
        <v>0.88124999999999998</v>
      </c>
      <c r="AJ1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11</v>
      </c>
      <c r="AK18" s="57" cm="1">
        <f t="array" ref="AK1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18" s="56" t="s">
        <v>38</v>
      </c>
      <c r="AN18" s="56" t="s">
        <v>186</v>
      </c>
      <c r="AO18" s="58">
        <v>0.88611111111111107</v>
      </c>
      <c r="AP1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11</v>
      </c>
      <c r="AQ18" s="57" cm="1">
        <f t="array" ref="AQ1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18" s="56" t="s">
        <v>966</v>
      </c>
      <c r="AT18" s="56"/>
      <c r="AU18" s="58">
        <v>0.89236111111111116</v>
      </c>
      <c r="AV1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11</v>
      </c>
      <c r="AW18" s="57" cm="1">
        <f t="array" ref="AW1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18" s="56" t="s">
        <v>921</v>
      </c>
      <c r="AZ18" s="56"/>
      <c r="BA18" s="58">
        <v>0.89861111111111114</v>
      </c>
      <c r="BB1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10</v>
      </c>
      <c r="BC18" s="57" cm="1">
        <f t="array" ref="BC1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18" s="56" t="s">
        <v>943</v>
      </c>
      <c r="BF18" s="56" t="s">
        <v>186</v>
      </c>
      <c r="BG18" s="58">
        <v>0.91180555555555554</v>
      </c>
      <c r="BH1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10</v>
      </c>
      <c r="BI18" s="57" cm="1">
        <f t="array" ref="BI1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18" s="56" t="s">
        <v>891</v>
      </c>
      <c r="BL18" s="56"/>
      <c r="BM18" s="58">
        <v>0.89236111111111116</v>
      </c>
      <c r="BN1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11</v>
      </c>
      <c r="BO18" s="57" cm="1">
        <f t="array" ref="BO1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8" s="56" t="s">
        <v>892</v>
      </c>
      <c r="BR18" s="56" t="s">
        <v>186</v>
      </c>
      <c r="BS18" s="58">
        <v>0.87638888888888888</v>
      </c>
      <c r="BT1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11</v>
      </c>
      <c r="BU18" s="57" cm="1">
        <f t="array" ref="BU1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18" s="56" t="s">
        <v>899</v>
      </c>
      <c r="BX18" s="56"/>
      <c r="BY18" s="58">
        <v>0.87291666666666667</v>
      </c>
      <c r="BZ1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11</v>
      </c>
      <c r="CA18" s="57" cm="1">
        <f t="array" ref="CA1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8" s="56" t="s">
        <v>48</v>
      </c>
      <c r="CD18" s="56"/>
      <c r="CE18" s="58">
        <v>0.88541666666666663</v>
      </c>
      <c r="CF1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10</v>
      </c>
      <c r="CG18" s="57" cm="1">
        <f t="array" ref="CG1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8" s="56" t="s">
        <v>93</v>
      </c>
      <c r="CJ18" s="56" t="s">
        <v>190</v>
      </c>
      <c r="CK18" s="58">
        <v>0.87013888888888891</v>
      </c>
      <c r="CL1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11</v>
      </c>
      <c r="CM18" s="57" cm="1">
        <f t="array" ref="CM1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8" s="56" t="s">
        <v>23</v>
      </c>
      <c r="CP18" s="56"/>
      <c r="CQ18" s="58">
        <v>0.87569444444444444</v>
      </c>
      <c r="CR1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11</v>
      </c>
      <c r="CS18" s="57" cm="1">
        <f t="array" ref="CS1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8" s="56" t="s">
        <v>109</v>
      </c>
      <c r="CV18" s="56" t="s">
        <v>186</v>
      </c>
      <c r="CW18" s="58">
        <v>0.87152777777777779</v>
      </c>
      <c r="CX1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11</v>
      </c>
      <c r="CY18" s="57" cm="1">
        <f t="array" ref="CY1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18" s="56" t="s">
        <v>973</v>
      </c>
      <c r="DB18" s="56" t="s">
        <v>186</v>
      </c>
      <c r="DC18" s="58">
        <v>0.9</v>
      </c>
      <c r="DD1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11</v>
      </c>
      <c r="DE18" s="57" cm="1">
        <f t="array" ref="DE1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18" s="56" t="s">
        <v>129</v>
      </c>
      <c r="DH18" s="56"/>
      <c r="DI18" s="58">
        <v>0.87847222222222221</v>
      </c>
      <c r="DJ1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11</v>
      </c>
      <c r="DK18" s="57" cm="1">
        <f t="array" ref="DK1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18" s="56" t="str">
        <f>IF('Weekly Attendance'!AA250="Yes",'Weekly Attendance'!$D250,"")</f>
        <v>Matthew Ji</v>
      </c>
      <c r="DN18" s="56" t="s">
        <v>186</v>
      </c>
      <c r="DO18" s="58">
        <v>0.84652777777777777</v>
      </c>
      <c r="DP1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31</v>
      </c>
      <c r="DQ18" s="57" cm="1">
        <f t="array" ref="DQ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19" spans="1:121">
      <c r="A19" s="16">
        <v>12</v>
      </c>
      <c r="B19" s="86"/>
      <c r="C19" s="56" t="s">
        <v>974</v>
      </c>
      <c r="D19" s="56" t="s">
        <v>186</v>
      </c>
      <c r="E19" s="58">
        <v>0.88749999999999996</v>
      </c>
      <c r="F19" s="57">
        <f>IFERROR(IF(Table4[[#This Row],[Name]]="","",IFERROR(IF(Table4[[#This Row],[Time]]="","TBD",D$2-COUNTIF(Table4[Time],"&lt;"&amp;Table4[[#This Row],[Time]])),""))-(COUNTIF(Table4[Time],Table4[[#This Row],[Time]])-1),"")</f>
        <v>12</v>
      </c>
      <c r="G19" s="57" cm="1">
        <f t="array" ref="G1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19" s="56" t="s">
        <v>894</v>
      </c>
      <c r="J19" s="56"/>
      <c r="K19" s="58">
        <v>0.87083333333333335</v>
      </c>
      <c r="L19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19" s="57" cm="1">
        <f t="array" ref="M1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19" s="56" t="s">
        <v>946</v>
      </c>
      <c r="P19" s="56"/>
      <c r="Q19" s="58">
        <v>0.87013888888888891</v>
      </c>
      <c r="R19" s="57">
        <f>IFERROR(IF(Table18[[#This Row],[Name]]="","",IFERROR(IF(Table18[[#This Row],[Time]]="","TBD",P$2-COUNTIF(Table18[Time],"&lt;"&amp;Table18[[#This Row],[Time]])),""))-(COUNTIF(Table18[Time],Table18[[#This Row],[Time]])-1),"")</f>
        <v>12</v>
      </c>
      <c r="S19" s="57" cm="1">
        <f t="array" ref="S1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19" s="56" t="s">
        <v>929</v>
      </c>
      <c r="V19" s="56" t="s">
        <v>186</v>
      </c>
      <c r="W19" s="58">
        <v>0.88958333333333328</v>
      </c>
      <c r="X19" s="57">
        <f>IFERROR(IF(Table2[[#This Row],[Name]]="","",IFERROR(IF(Table2[[#This Row],[Time]]="","TBD",V$2-COUNTIF(Table2[Time],"&lt;"&amp;Table2[[#This Row],[Time]])),""))-(COUNTIF(Table2[Time],Table2[[#This Row],[Time]])-1),"")</f>
        <v>12</v>
      </c>
      <c r="Y19" s="57" cm="1">
        <f t="array" ref="Y1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19" s="56" t="s">
        <v>900</v>
      </c>
      <c r="AB19" s="56" t="s">
        <v>186</v>
      </c>
      <c r="AC19" s="58">
        <v>0.87777777777777777</v>
      </c>
      <c r="AD19" s="57">
        <f>IFERROR(IF(Table211[[#This Row],[Name]]="","",IFERROR(IF(Table211[[#This Row],[Time]]="","TBD",AB$2-COUNTIF(Table211[Time],"&lt;"&amp;Table211[[#This Row],[Time]])),""))-(COUNTIF(Table211[Time],Table211[[#This Row],[Time]])-1),"")</f>
        <v>12</v>
      </c>
      <c r="AE19" s="57" cm="1">
        <f t="array" ref="AE1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19" s="56" t="s">
        <v>929</v>
      </c>
      <c r="AH19" s="56"/>
      <c r="AI19" s="58">
        <v>0.87777777777777777</v>
      </c>
      <c r="AJ1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12</v>
      </c>
      <c r="AK19" s="57" cm="1">
        <f t="array" ref="AK1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19" s="56" t="s">
        <v>35</v>
      </c>
      <c r="AN19" s="56"/>
      <c r="AO19" s="58">
        <v>0.87916666666666665</v>
      </c>
      <c r="AP1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12</v>
      </c>
      <c r="AQ19" s="57" cm="1">
        <f t="array" ref="AQ1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19" s="56" t="s">
        <v>41</v>
      </c>
      <c r="AT19" s="56" t="s">
        <v>186</v>
      </c>
      <c r="AU19" s="58">
        <v>0.8881944444444444</v>
      </c>
      <c r="AV1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19" s="57" cm="1">
        <f t="array" ref="AW1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19" s="56" t="s">
        <v>900</v>
      </c>
      <c r="AZ19" s="56"/>
      <c r="BA19" s="58">
        <v>0.89027777777777772</v>
      </c>
      <c r="BB1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12</v>
      </c>
      <c r="BC19" s="57" cm="1">
        <f t="array" ref="BC1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19" s="56" t="s">
        <v>924</v>
      </c>
      <c r="BF19" s="56"/>
      <c r="BG19" s="58">
        <v>0.89513888888888893</v>
      </c>
      <c r="BH1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12</v>
      </c>
      <c r="BI19" s="57" cm="1">
        <f t="array" ref="BI1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19" s="56" t="s">
        <v>168</v>
      </c>
      <c r="BL19" s="56"/>
      <c r="BM19" s="58">
        <v>0.88263888888888886</v>
      </c>
      <c r="BN1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12</v>
      </c>
      <c r="BO19" s="57" cm="1">
        <f t="array" ref="BO1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19" s="56" t="s">
        <v>975</v>
      </c>
      <c r="BR19" s="56"/>
      <c r="BS19" s="58">
        <v>0.875</v>
      </c>
      <c r="BT1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12</v>
      </c>
      <c r="BU19" s="57" cm="1">
        <f t="array" ref="BU1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19" s="56" t="s">
        <v>927</v>
      </c>
      <c r="BX19" s="56"/>
      <c r="BY19" s="58">
        <v>0.86736111111111114</v>
      </c>
      <c r="BZ1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12</v>
      </c>
      <c r="CA19" s="57" cm="1">
        <f t="array" ref="CA1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19" s="56" t="s">
        <v>894</v>
      </c>
      <c r="CD19" s="56"/>
      <c r="CE19" s="58">
        <v>0.8833333333333333</v>
      </c>
      <c r="CF1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12</v>
      </c>
      <c r="CG19" s="57" cm="1">
        <f t="array" ref="CG1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19" s="56" t="s">
        <v>922</v>
      </c>
      <c r="CJ19" s="56" t="s">
        <v>190</v>
      </c>
      <c r="CK19" s="58">
        <v>0.87013888888888891</v>
      </c>
      <c r="CL1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11</v>
      </c>
      <c r="CM19" s="57" cm="1">
        <f t="array" ref="CM1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19" s="56" t="s">
        <v>129</v>
      </c>
      <c r="CP19" s="56"/>
      <c r="CQ19" s="58">
        <v>0.87291666666666667</v>
      </c>
      <c r="CR1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12</v>
      </c>
      <c r="CS19" s="57" cm="1">
        <f t="array" ref="CS1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4</v>
      </c>
      <c r="CU19" s="56" t="s">
        <v>125</v>
      </c>
      <c r="CV19" s="56"/>
      <c r="CW19" s="58">
        <v>0.86388888888888893</v>
      </c>
      <c r="CX1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12</v>
      </c>
      <c r="CY19" s="57" cm="1">
        <f t="array" ref="CY1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19" s="56" t="s">
        <v>53</v>
      </c>
      <c r="DB19" s="56"/>
      <c r="DC19" s="58">
        <v>0.9</v>
      </c>
      <c r="DD1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11</v>
      </c>
      <c r="DE19" s="57" cm="1">
        <f t="array" ref="DE1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19" s="56" t="s">
        <v>903</v>
      </c>
      <c r="DH19" s="56" t="s">
        <v>186</v>
      </c>
      <c r="DI19" s="58">
        <v>0.87222222222222223</v>
      </c>
      <c r="DJ1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12</v>
      </c>
      <c r="DK19" s="57" cm="1">
        <f t="array" ref="DK1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19" s="56" t="str">
        <f>IF('Weekly Attendance'!AA268="Yes",'Weekly Attendance'!$D268,"")</f>
        <v>Nathan Konotopsky</v>
      </c>
      <c r="DN19" s="56" t="s">
        <v>186</v>
      </c>
      <c r="DO19" s="58">
        <v>0.84583333333333333</v>
      </c>
      <c r="DP1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32</v>
      </c>
      <c r="DQ19" s="57" cm="1">
        <f t="array" ref="DQ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0" spans="1:121">
      <c r="A20" s="16">
        <v>13</v>
      </c>
      <c r="B20" s="86"/>
      <c r="C20" s="56" t="s">
        <v>894</v>
      </c>
      <c r="D20" s="56" t="s">
        <v>186</v>
      </c>
      <c r="E20" s="58">
        <v>0.88680555555555551</v>
      </c>
      <c r="F20" s="57">
        <f>IFERROR(IF(Table4[[#This Row],[Name]]="","",IFERROR(IF(Table4[[#This Row],[Time]]="","TBD",D$2-COUNTIF(Table4[Time],"&lt;"&amp;Table4[[#This Row],[Time]])),""))-(COUNTIF(Table4[Time],Table4[[#This Row],[Time]])-1),"")</f>
        <v>13</v>
      </c>
      <c r="G20" s="57" cm="1">
        <f t="array" ref="G2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0" s="56" t="s">
        <v>976</v>
      </c>
      <c r="J20" s="56"/>
      <c r="K20" s="58">
        <v>0.87083333333333335</v>
      </c>
      <c r="L20" s="57">
        <f>IFERROR(IF(Table9[[#This Row],[Name]]="","",IFERROR(IF(Table9[[#This Row],[Time]]="","TBD",J$2-COUNTIF(Table9[Time],"&lt;"&amp;Table9[[#This Row],[Time]])),""))-(COUNTIF(Table9[Time],Table9[[#This Row],[Time]])-1),"")</f>
        <v>10</v>
      </c>
      <c r="M20" s="57" cm="1">
        <f t="array" ref="M2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0" s="56" t="s">
        <v>160</v>
      </c>
      <c r="P20" s="56"/>
      <c r="Q20" s="58">
        <v>0.86875000000000002</v>
      </c>
      <c r="R20" s="57">
        <f>IFERROR(IF(Table18[[#This Row],[Name]]="","",IFERROR(IF(Table18[[#This Row],[Time]]="","TBD",P$2-COUNTIF(Table18[Time],"&lt;"&amp;Table18[[#This Row],[Time]])),""))-(COUNTIF(Table18[Time],Table18[[#This Row],[Time]])-1),"")</f>
        <v>13</v>
      </c>
      <c r="S20" s="57" cm="1">
        <f t="array" ref="S2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0" s="56" t="s">
        <v>931</v>
      </c>
      <c r="V20" s="56"/>
      <c r="W20" s="58">
        <v>0.88749999999999996</v>
      </c>
      <c r="X20" s="57">
        <f>IFERROR(IF(Table2[[#This Row],[Name]]="","",IFERROR(IF(Table2[[#This Row],[Time]]="","TBD",V$2-COUNTIF(Table2[Time],"&lt;"&amp;Table2[[#This Row],[Time]])),""))-(COUNTIF(Table2[Time],Table2[[#This Row],[Time]])-1),"")</f>
        <v>13</v>
      </c>
      <c r="Y20" s="57" cm="1">
        <f t="array" ref="Y2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0" s="56" t="s">
        <v>976</v>
      </c>
      <c r="AB20" s="56"/>
      <c r="AC20" s="58">
        <v>0.87708333333333333</v>
      </c>
      <c r="AD20" s="57">
        <f>IFERROR(IF(Table211[[#This Row],[Name]]="","",IFERROR(IF(Table211[[#This Row],[Time]]="","TBD",AB$2-COUNTIF(Table211[Time],"&lt;"&amp;Table211[[#This Row],[Time]])),""))-(COUNTIF(Table211[Time],Table211[[#This Row],[Time]])-1),"")</f>
        <v>13</v>
      </c>
      <c r="AE20" s="57" cm="1">
        <f t="array" ref="AE2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0" s="56" t="s">
        <v>109</v>
      </c>
      <c r="AH20" s="56"/>
      <c r="AI20" s="58">
        <v>0.87569444444444444</v>
      </c>
      <c r="AJ2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13</v>
      </c>
      <c r="AK20" s="57" cm="1">
        <f t="array" ref="AK2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0" s="56" t="s">
        <v>129</v>
      </c>
      <c r="AN20" s="56" t="s">
        <v>186</v>
      </c>
      <c r="AO20" s="58">
        <v>0.87569444444444444</v>
      </c>
      <c r="AP2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0" s="57" cm="1">
        <f t="array" ref="AQ2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0" s="56" t="s">
        <v>973</v>
      </c>
      <c r="AT20" s="56" t="s">
        <v>420</v>
      </c>
      <c r="AU20" s="58">
        <v>0.8881944444444444</v>
      </c>
      <c r="AV2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0" s="57" cm="1">
        <f t="array" ref="AW2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0" s="56" t="s">
        <v>977</v>
      </c>
      <c r="AZ20" s="56"/>
      <c r="BA20" s="58">
        <v>0.88680555555555551</v>
      </c>
      <c r="BB2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13</v>
      </c>
      <c r="BC20" s="57" cm="1">
        <f t="array" ref="BC2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0" s="56" t="s">
        <v>978</v>
      </c>
      <c r="BF20" s="56" t="s">
        <v>186</v>
      </c>
      <c r="BG20" s="58">
        <v>0.88958333333333328</v>
      </c>
      <c r="BH2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0" s="57" cm="1">
        <f t="array" ref="BI2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20" s="56" t="s">
        <v>45</v>
      </c>
      <c r="BL20" s="56"/>
      <c r="BM20" s="58">
        <v>0.87638888888888888</v>
      </c>
      <c r="BN2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13</v>
      </c>
      <c r="BO20" s="57" cm="1">
        <f t="array" ref="BO2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0" s="56" t="s">
        <v>979</v>
      </c>
      <c r="BR20" s="56"/>
      <c r="BS20" s="58">
        <v>0.86597222222222225</v>
      </c>
      <c r="BT2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13</v>
      </c>
      <c r="BU20" s="57" cm="1">
        <f t="array" ref="BU2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0" s="56" t="s">
        <v>980</v>
      </c>
      <c r="BX20" s="56" t="s">
        <v>186</v>
      </c>
      <c r="BY20" s="58">
        <v>0.86458333333333337</v>
      </c>
      <c r="BZ2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13</v>
      </c>
      <c r="CA20" s="57" cm="1">
        <f t="array" ref="CA2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0" s="56" t="s">
        <v>152</v>
      </c>
      <c r="CD20" s="56"/>
      <c r="CE20" s="58">
        <v>0.87777777777777777</v>
      </c>
      <c r="CF2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13</v>
      </c>
      <c r="CG20" s="57" cm="1">
        <f t="array" ref="CG2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0" s="56" t="s">
        <v>956</v>
      </c>
      <c r="CJ20" s="56" t="s">
        <v>190</v>
      </c>
      <c r="CK20" s="58">
        <v>0.86944444444444446</v>
      </c>
      <c r="CL2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13</v>
      </c>
      <c r="CM20" s="57" cm="1">
        <f t="array" ref="CM2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20" s="56" t="s">
        <v>981</v>
      </c>
      <c r="CP20" s="56" t="s">
        <v>186</v>
      </c>
      <c r="CQ20" s="58">
        <v>0.8666666666666667</v>
      </c>
      <c r="CR2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13</v>
      </c>
      <c r="CS20" s="57" cm="1">
        <f t="array" ref="CS2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0" s="56" t="s">
        <v>980</v>
      </c>
      <c r="CV20" s="56"/>
      <c r="CW20" s="58">
        <v>0.86319444444444449</v>
      </c>
      <c r="CX2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13</v>
      </c>
      <c r="CY20" s="57" cm="1">
        <f t="array" ref="CY2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20" s="56" t="s">
        <v>911</v>
      </c>
      <c r="DB20" s="56" t="s">
        <v>186</v>
      </c>
      <c r="DC20" s="58">
        <v>0.89861111111111114</v>
      </c>
      <c r="DD2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13</v>
      </c>
      <c r="DE20" s="57" cm="1">
        <f t="array" ref="DE2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0" s="56" t="s">
        <v>982</v>
      </c>
      <c r="DH20" s="56"/>
      <c r="DI20" s="58">
        <v>0.87222222222222223</v>
      </c>
      <c r="DJ2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12</v>
      </c>
      <c r="DK20" s="57" cm="1">
        <f t="array" ref="DK2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20" s="56" t="str">
        <f>IF('Weekly Attendance'!AA319="Yes",'Weekly Attendance'!$D319,"")</f>
        <v>Sydney Xie</v>
      </c>
      <c r="DN20" s="56" t="s">
        <v>186</v>
      </c>
      <c r="DO20" s="58">
        <v>0.84375</v>
      </c>
      <c r="DP2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33</v>
      </c>
      <c r="DQ20" s="57" cm="1">
        <f t="array" ref="DQ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1" spans="1:121">
      <c r="A21" s="16">
        <v>14</v>
      </c>
      <c r="B21" s="86"/>
      <c r="C21" s="56" t="s">
        <v>35</v>
      </c>
      <c r="D21" s="56"/>
      <c r="E21" s="58">
        <v>0.875</v>
      </c>
      <c r="F21" s="57">
        <f>IFERROR(IF(Table4[[#This Row],[Name]]="","",IFERROR(IF(Table4[[#This Row],[Time]]="","TBD",D$2-COUNTIF(Table4[Time],"&lt;"&amp;Table4[[#This Row],[Time]])),""))-(COUNTIF(Table4[Time],Table4[[#This Row],[Time]])-1),"")</f>
        <v>14</v>
      </c>
      <c r="G21" s="57" cm="1">
        <f t="array" ref="G2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1" s="56" t="s">
        <v>983</v>
      </c>
      <c r="J21" s="56" t="s">
        <v>186</v>
      </c>
      <c r="K21" s="58">
        <v>0.86805555555555558</v>
      </c>
      <c r="L21" s="57">
        <f>IFERROR(IF(Table9[[#This Row],[Name]]="","",IFERROR(IF(Table9[[#This Row],[Time]]="","TBD",J$2-COUNTIF(Table9[Time],"&lt;"&amp;Table9[[#This Row],[Time]])),""))-(COUNTIF(Table9[Time],Table9[[#This Row],[Time]])-1),"")</f>
        <v>14</v>
      </c>
      <c r="M21" s="57" cm="1">
        <f t="array" ref="M2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1" s="56" t="s">
        <v>954</v>
      </c>
      <c r="P21" s="56"/>
      <c r="Q21" s="58">
        <v>0.86527777777777781</v>
      </c>
      <c r="R21" s="57">
        <f>IFERROR(IF(Table18[[#This Row],[Name]]="","",IFERROR(IF(Table18[[#This Row],[Time]]="","TBD",P$2-COUNTIF(Table18[Time],"&lt;"&amp;Table18[[#This Row],[Time]])),""))-(COUNTIF(Table18[Time],Table18[[#This Row],[Time]])-1),"")</f>
        <v>14</v>
      </c>
      <c r="S21" s="57" cm="1">
        <f t="array" ref="S2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1" s="56" t="s">
        <v>984</v>
      </c>
      <c r="V21" s="56"/>
      <c r="W21" s="58">
        <v>0.88680555555555551</v>
      </c>
      <c r="X21" s="57">
        <f>IFERROR(IF(Table2[[#This Row],[Name]]="","",IFERROR(IF(Table2[[#This Row],[Time]]="","TBD",V$2-COUNTIF(Table2[Time],"&lt;"&amp;Table2[[#This Row],[Time]])),""))-(COUNTIF(Table2[Time],Table2[[#This Row],[Time]])-1),"")</f>
        <v>14</v>
      </c>
      <c r="Y21" s="57" cm="1">
        <f t="array" ref="Y2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1" s="56" t="s">
        <v>162</v>
      </c>
      <c r="AB21" s="56"/>
      <c r="AC21" s="58">
        <v>0.875</v>
      </c>
      <c r="AD21" s="57">
        <f>IFERROR(IF(Table211[[#This Row],[Name]]="","",IFERROR(IF(Table211[[#This Row],[Time]]="","TBD",AB$2-COUNTIF(Table211[Time],"&lt;"&amp;Table211[[#This Row],[Time]])),""))-(COUNTIF(Table211[Time],Table211[[#This Row],[Time]])-1),"")</f>
        <v>14</v>
      </c>
      <c r="AE21" s="57" cm="1">
        <f t="array" ref="AE2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1" s="56" t="s">
        <v>985</v>
      </c>
      <c r="AH21" s="56"/>
      <c r="AI21" s="58">
        <v>0.87152777777777779</v>
      </c>
      <c r="AJ2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14</v>
      </c>
      <c r="AK21" s="57" cm="1">
        <f t="array" ref="AK2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1" s="56" t="s">
        <v>888</v>
      </c>
      <c r="AN21" s="56"/>
      <c r="AO21" s="58">
        <v>0.87569444444444444</v>
      </c>
      <c r="AP2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13</v>
      </c>
      <c r="AQ21" s="57" cm="1">
        <f t="array" ref="AQ2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1" s="56" t="s">
        <v>107</v>
      </c>
      <c r="AT21" s="56" t="s">
        <v>186</v>
      </c>
      <c r="AU21" s="58">
        <v>0.8881944444444444</v>
      </c>
      <c r="AV2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12</v>
      </c>
      <c r="AW21" s="57" cm="1">
        <f t="array" ref="AW2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1" s="56" t="s">
        <v>107</v>
      </c>
      <c r="AZ21" s="56"/>
      <c r="BA21" s="58">
        <v>0.88263888888888886</v>
      </c>
      <c r="BB2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1" s="57" cm="1">
        <f t="array" ref="BC2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1" s="56" t="s">
        <v>119</v>
      </c>
      <c r="BF21" s="56"/>
      <c r="BG21" s="58">
        <v>0.88958333333333328</v>
      </c>
      <c r="BH2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13</v>
      </c>
      <c r="BI21" s="57" cm="1">
        <f t="array" ref="BI2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1" s="56" t="s">
        <v>146</v>
      </c>
      <c r="BL21" s="56"/>
      <c r="BM21" s="58">
        <v>0.875</v>
      </c>
      <c r="BN2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14</v>
      </c>
      <c r="BO21" s="57" cm="1">
        <f t="array" ref="BO2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1" s="56" t="s">
        <v>905</v>
      </c>
      <c r="BR21" s="56"/>
      <c r="BS21" s="58">
        <v>0.86458333333333337</v>
      </c>
      <c r="BT2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14</v>
      </c>
      <c r="BU21" s="57" cm="1">
        <f t="array" ref="BU2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1" s="56" t="s">
        <v>986</v>
      </c>
      <c r="BX21" s="56"/>
      <c r="BY21" s="58">
        <v>0.86388888888888893</v>
      </c>
      <c r="BZ2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1" s="57" cm="1">
        <f t="array" ref="CA2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1" s="56" t="s">
        <v>929</v>
      </c>
      <c r="CD21" s="56"/>
      <c r="CE21" s="58">
        <v>0.87777777777777777</v>
      </c>
      <c r="CF2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13</v>
      </c>
      <c r="CG21" s="57" cm="1">
        <f t="array" ref="CG2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1" s="56" t="s">
        <v>101</v>
      </c>
      <c r="CJ21" s="56" t="s">
        <v>190</v>
      </c>
      <c r="CK21" s="58">
        <v>0.86944444444444446</v>
      </c>
      <c r="CL2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13</v>
      </c>
      <c r="CM21" s="57" cm="1">
        <f t="array" ref="CM2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4</v>
      </c>
      <c r="CO21" s="56" t="s">
        <v>980</v>
      </c>
      <c r="CP21" s="56" t="s">
        <v>186</v>
      </c>
      <c r="CQ21" s="58">
        <v>0.8618055555555556</v>
      </c>
      <c r="CR2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14</v>
      </c>
      <c r="CS21" s="57" cm="1">
        <f t="array" ref="CS2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1" s="56" t="s">
        <v>176</v>
      </c>
      <c r="CV21" s="56" t="s">
        <v>186</v>
      </c>
      <c r="CW21" s="58">
        <v>0.86250000000000004</v>
      </c>
      <c r="CX2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14</v>
      </c>
      <c r="CY21" s="57" cm="1">
        <f t="array" ref="CY2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3</v>
      </c>
      <c r="DA21" s="56" t="s">
        <v>902</v>
      </c>
      <c r="DB21" s="56" t="s">
        <v>186</v>
      </c>
      <c r="DC21" s="58">
        <v>0.89652777777777781</v>
      </c>
      <c r="DD2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14</v>
      </c>
      <c r="DE21" s="57" cm="1">
        <f t="array" ref="DE2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1" s="56" t="s">
        <v>976</v>
      </c>
      <c r="DH21" s="56" t="s">
        <v>186</v>
      </c>
      <c r="DI21" s="58">
        <v>0.87083333333333335</v>
      </c>
      <c r="DJ2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14</v>
      </c>
      <c r="DK21" s="57" cm="1">
        <f t="array" ref="DK2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3</v>
      </c>
      <c r="DM21" s="56" t="str">
        <f>IF('Weekly Attendance'!AA212="Yes",'Weekly Attendance'!$D212,"")</f>
        <v>Kenneth Liu</v>
      </c>
      <c r="DN21" s="56"/>
      <c r="DO21" s="58">
        <v>0.84375</v>
      </c>
      <c r="DP2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33</v>
      </c>
      <c r="DQ21" s="57" cm="1">
        <f t="array" ref="DQ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2" spans="1:121">
      <c r="A22" s="16">
        <v>15</v>
      </c>
      <c r="B22" s="86"/>
      <c r="C22" s="56" t="s">
        <v>900</v>
      </c>
      <c r="D22" s="56"/>
      <c r="E22" s="58">
        <v>0.87430555555555556</v>
      </c>
      <c r="F22" s="57">
        <f>IFERROR(IF(Table4[[#This Row],[Name]]="","",IFERROR(IF(Table4[[#This Row],[Time]]="","TBD",D$2-COUNTIF(Table4[Time],"&lt;"&amp;Table4[[#This Row],[Time]])),""))-(COUNTIF(Table4[Time],Table4[[#This Row],[Time]])-1),"")</f>
        <v>15</v>
      </c>
      <c r="G22" s="57" cm="1">
        <f t="array" ref="G2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2" s="56" t="s">
        <v>107</v>
      </c>
      <c r="J22" s="56"/>
      <c r="K22" s="58">
        <v>0.86736111111111114</v>
      </c>
      <c r="L22" s="57">
        <f>IFERROR(IF(Table9[[#This Row],[Name]]="","",IFERROR(IF(Table9[[#This Row],[Time]]="","TBD",J$2-COUNTIF(Table9[Time],"&lt;"&amp;Table9[[#This Row],[Time]])),""))-(COUNTIF(Table9[Time],Table9[[#This Row],[Time]])-1),"")</f>
        <v>15</v>
      </c>
      <c r="M22" s="57" cm="1">
        <f t="array" ref="M2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2" s="56" t="s">
        <v>978</v>
      </c>
      <c r="P22" s="56"/>
      <c r="Q22" s="58">
        <v>0.86041666666666672</v>
      </c>
      <c r="R22" s="57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2" s="57" cm="1">
        <f t="array" ref="S2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2" s="56" t="s">
        <v>941</v>
      </c>
      <c r="V22" s="56"/>
      <c r="W22" s="58">
        <v>0.88194444444444442</v>
      </c>
      <c r="X22" s="57">
        <f>IFERROR(IF(Table2[[#This Row],[Name]]="","",IFERROR(IF(Table2[[#This Row],[Time]]="","TBD",V$2-COUNTIF(Table2[Time],"&lt;"&amp;Table2[[#This Row],[Time]])),""))-(COUNTIF(Table2[Time],Table2[[#This Row],[Time]])-1),"")</f>
        <v>15</v>
      </c>
      <c r="Y22" s="57" cm="1">
        <f t="array" ref="Y2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2" s="56" t="s">
        <v>964</v>
      </c>
      <c r="AB22" s="56" t="s">
        <v>186</v>
      </c>
      <c r="AC22" s="58">
        <v>0.87291666666666667</v>
      </c>
      <c r="AD22" s="57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2" s="57" cm="1">
        <f t="array" ref="AE2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2" s="56" t="s">
        <v>889</v>
      </c>
      <c r="AH22" s="56" t="s">
        <v>186</v>
      </c>
      <c r="AI22" s="58">
        <v>0.87013888888888891</v>
      </c>
      <c r="AJ2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15</v>
      </c>
      <c r="AK22" s="57" cm="1">
        <f t="array" ref="AK2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2" s="56" t="s">
        <v>964</v>
      </c>
      <c r="AN22" s="56" t="s">
        <v>186</v>
      </c>
      <c r="AO22" s="58">
        <v>0.87013888888888891</v>
      </c>
      <c r="AP2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2" s="57" cm="1">
        <f t="array" ref="AQ2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2" s="56" t="s">
        <v>168</v>
      </c>
      <c r="AT22" s="56"/>
      <c r="AU22" s="58">
        <v>0.88749999999999996</v>
      </c>
      <c r="AV2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2" s="57" cm="1">
        <f t="array" ref="AW2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2" s="56" t="s">
        <v>954</v>
      </c>
      <c r="AZ22" s="56" t="s">
        <v>186</v>
      </c>
      <c r="BA22" s="58">
        <v>0.88263888888888886</v>
      </c>
      <c r="BB2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14</v>
      </c>
      <c r="BC22" s="57" cm="1">
        <f t="array" ref="BC2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2" s="56" t="s">
        <v>144</v>
      </c>
      <c r="BF22" s="56"/>
      <c r="BG22" s="58">
        <v>0.8881944444444444</v>
      </c>
      <c r="BH2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15</v>
      </c>
      <c r="BI22" s="57" cm="1">
        <f t="array" ref="BI2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2" s="56" t="s">
        <v>20</v>
      </c>
      <c r="BL22" s="56"/>
      <c r="BM22" s="58">
        <v>0.87291666666666667</v>
      </c>
      <c r="BN2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15</v>
      </c>
      <c r="BO22" s="57" cm="1">
        <f t="array" ref="BO2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2" s="56" t="s">
        <v>987</v>
      </c>
      <c r="BR22" s="56"/>
      <c r="BS22" s="58">
        <v>0.86250000000000004</v>
      </c>
      <c r="BT2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2" s="57" cm="1">
        <f t="array" ref="BU2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2" s="56" t="s">
        <v>947</v>
      </c>
      <c r="BX22" s="56"/>
      <c r="BY22" s="58">
        <v>0.86388888888888893</v>
      </c>
      <c r="BZ2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2" s="57" cm="1">
        <f t="array" ref="CA2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2" s="56" t="s">
        <v>980</v>
      </c>
      <c r="CD22" s="56" t="s">
        <v>186</v>
      </c>
      <c r="CE22" s="58">
        <v>0.875</v>
      </c>
      <c r="CF2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15</v>
      </c>
      <c r="CG22" s="57" cm="1">
        <f t="array" ref="CG2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3</v>
      </c>
      <c r="CI22" s="56" t="s">
        <v>939</v>
      </c>
      <c r="CJ22" s="56" t="s">
        <v>186</v>
      </c>
      <c r="CK22" s="58">
        <v>0.86388888888888893</v>
      </c>
      <c r="CL2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15</v>
      </c>
      <c r="CM22" s="57" cm="1">
        <f t="array" ref="CM2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2" s="56" t="s">
        <v>988</v>
      </c>
      <c r="CP22" s="56" t="s">
        <v>186</v>
      </c>
      <c r="CQ22" s="58">
        <v>0.85277777777777775</v>
      </c>
      <c r="CR2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15</v>
      </c>
      <c r="CS22" s="57" cm="1">
        <f t="array" ref="CS2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3</v>
      </c>
      <c r="CU22" s="56" t="s">
        <v>954</v>
      </c>
      <c r="CV22" s="56"/>
      <c r="CW22" s="58">
        <v>0.86250000000000004</v>
      </c>
      <c r="CX2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14</v>
      </c>
      <c r="CY22" s="57" cm="1">
        <f t="array" ref="CY2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4</v>
      </c>
      <c r="DA22" s="56" t="s">
        <v>965</v>
      </c>
      <c r="DB22" s="56" t="s">
        <v>186</v>
      </c>
      <c r="DC22" s="58">
        <v>0.89652777777777781</v>
      </c>
      <c r="DD2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14</v>
      </c>
      <c r="DE22" s="57" cm="1">
        <f t="array" ref="DE2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2" s="56" t="s">
        <v>980</v>
      </c>
      <c r="DH22" s="56"/>
      <c r="DI22" s="58">
        <v>0.86458333333333337</v>
      </c>
      <c r="DJ2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15</v>
      </c>
      <c r="DK22" s="57" cm="1">
        <f t="array" ref="DK2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4</v>
      </c>
      <c r="DM22" s="56" t="str">
        <f>IF('Weekly Attendance'!AA72="Yes",'Weekly Attendance'!$D72,"")</f>
        <v>Aaron Hamilton</v>
      </c>
      <c r="DN22" s="56"/>
      <c r="DO22" s="58">
        <v>0.84305555555555556</v>
      </c>
      <c r="DP2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35</v>
      </c>
      <c r="DQ22" s="57" cm="1">
        <f t="array" ref="DQ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3" spans="1:121">
      <c r="A23" s="16">
        <v>16</v>
      </c>
      <c r="B23" s="86"/>
      <c r="C23" s="56" t="s">
        <v>965</v>
      </c>
      <c r="D23" s="56"/>
      <c r="E23" s="58">
        <v>0.87222222222222223</v>
      </c>
      <c r="F23" s="57">
        <f>IFERROR(IF(Table4[[#This Row],[Name]]="","",IFERROR(IF(Table4[[#This Row],[Time]]="","TBD",D$2-COUNTIF(Table4[Time],"&lt;"&amp;Table4[[#This Row],[Time]])),""))-(COUNTIF(Table4[Time],Table4[[#This Row],[Time]])-1),"")</f>
        <v>16</v>
      </c>
      <c r="G23" s="57" cm="1">
        <f t="array" ref="G2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3" s="56" t="s">
        <v>134</v>
      </c>
      <c r="J23" s="56"/>
      <c r="K23" s="58">
        <v>0.86458333333333337</v>
      </c>
      <c r="L23" s="57">
        <f>IFERROR(IF(Table9[[#This Row],[Name]]="","",IFERROR(IF(Table9[[#This Row],[Time]]="","TBD",J$2-COUNTIF(Table9[Time],"&lt;"&amp;Table9[[#This Row],[Time]])),""))-(COUNTIF(Table9[Time],Table9[[#This Row],[Time]])-1),"")</f>
        <v>16</v>
      </c>
      <c r="M23" s="57" cm="1">
        <f t="array" ref="M2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3" s="56" t="s">
        <v>891</v>
      </c>
      <c r="P23" s="56"/>
      <c r="Q23" s="58">
        <v>0.86041666666666672</v>
      </c>
      <c r="R23" s="57">
        <f>IFERROR(IF(Table18[[#This Row],[Name]]="","",IFERROR(IF(Table18[[#This Row],[Time]]="","TBD",P$2-COUNTIF(Table18[Time],"&lt;"&amp;Table18[[#This Row],[Time]])),""))-(COUNTIF(Table18[Time],Table18[[#This Row],[Time]])-1),"")</f>
        <v>15</v>
      </c>
      <c r="S23" s="57" cm="1">
        <f t="array" ref="S2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3" s="56" t="s">
        <v>978</v>
      </c>
      <c r="V23" s="56"/>
      <c r="W23" s="58">
        <v>0.87916666666666665</v>
      </c>
      <c r="X23" s="57">
        <f>IFERROR(IF(Table2[[#This Row],[Name]]="","",IFERROR(IF(Table2[[#This Row],[Time]]="","TBD",V$2-COUNTIF(Table2[Time],"&lt;"&amp;Table2[[#This Row],[Time]])),""))-(COUNTIF(Table2[Time],Table2[[#This Row],[Time]])-1),"")</f>
        <v>16</v>
      </c>
      <c r="Y23" s="57" cm="1">
        <f t="array" ref="Y2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3" s="56" t="s">
        <v>160</v>
      </c>
      <c r="AB23" s="56" t="s">
        <v>186</v>
      </c>
      <c r="AC23" s="58">
        <v>0.87291666666666667</v>
      </c>
      <c r="AD23" s="57">
        <f>IFERROR(IF(Table211[[#This Row],[Name]]="","",IFERROR(IF(Table211[[#This Row],[Time]]="","TBD",AB$2-COUNTIF(Table211[Time],"&lt;"&amp;Table211[[#This Row],[Time]])),""))-(COUNTIF(Table211[Time],Table211[[#This Row],[Time]])-1),"")</f>
        <v>15</v>
      </c>
      <c r="AE23" s="57" cm="1">
        <f t="array" ref="AE2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3" s="56" t="s">
        <v>989</v>
      </c>
      <c r="AH23" s="56"/>
      <c r="AI23" s="58">
        <v>0.8666666666666667</v>
      </c>
      <c r="AJ2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16</v>
      </c>
      <c r="AK23" s="57" cm="1">
        <f t="array" ref="AK2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3" s="56" t="s">
        <v>977</v>
      </c>
      <c r="AN23" s="56"/>
      <c r="AO23" s="58">
        <v>0.87013888888888891</v>
      </c>
      <c r="AP2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15</v>
      </c>
      <c r="AQ23" s="57" cm="1">
        <f t="array" ref="AQ2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3" s="56" t="s">
        <v>900</v>
      </c>
      <c r="AT23" s="56"/>
      <c r="AU23" s="58">
        <v>0.88749999999999996</v>
      </c>
      <c r="AV2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15</v>
      </c>
      <c r="AW23" s="57" cm="1">
        <f t="array" ref="AW2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3" s="56" t="s">
        <v>941</v>
      </c>
      <c r="AZ23" s="56"/>
      <c r="BA23" s="58">
        <v>0.88194444444444442</v>
      </c>
      <c r="BB2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16</v>
      </c>
      <c r="BC23" s="57" cm="1">
        <f t="array" ref="BC2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3" s="56" t="s">
        <v>990</v>
      </c>
      <c r="BF23" s="56"/>
      <c r="BG23" s="58">
        <v>0.88749999999999996</v>
      </c>
      <c r="BH2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16</v>
      </c>
      <c r="BI23" s="57" cm="1">
        <f t="array" ref="BI2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3" s="56" t="s">
        <v>956</v>
      </c>
      <c r="BL23" s="56"/>
      <c r="BM23" s="58">
        <v>0.86875000000000002</v>
      </c>
      <c r="BN2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16</v>
      </c>
      <c r="BO23" s="57" cm="1">
        <f t="array" ref="BO2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3" s="56" t="s">
        <v>923</v>
      </c>
      <c r="BR23" s="56"/>
      <c r="BS23" s="58">
        <v>0.86250000000000004</v>
      </c>
      <c r="BT2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3" s="57" cm="1">
        <f t="array" ref="BU2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3" s="56" t="s">
        <v>93</v>
      </c>
      <c r="BX23" s="56" t="s">
        <v>186</v>
      </c>
      <c r="BY23" s="58">
        <v>0.86388888888888893</v>
      </c>
      <c r="BZ2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14</v>
      </c>
      <c r="CA23" s="57" cm="1">
        <f t="array" ref="CA2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3" s="56" t="s">
        <v>991</v>
      </c>
      <c r="CD23" s="56"/>
      <c r="CE23" s="58">
        <v>0.875</v>
      </c>
      <c r="CF2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15</v>
      </c>
      <c r="CG23" s="57" cm="1">
        <f t="array" ref="CG2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3" s="56" t="s">
        <v>939</v>
      </c>
      <c r="CJ23" s="56" t="s">
        <v>186</v>
      </c>
      <c r="CK23" s="58">
        <v>0.86388888888888893</v>
      </c>
      <c r="CL2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15</v>
      </c>
      <c r="CM23" s="57" cm="1">
        <f t="array" ref="CM2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3" s="56" t="s">
        <v>964</v>
      </c>
      <c r="CP23" s="56"/>
      <c r="CQ23" s="155">
        <v>0.85069444444444442</v>
      </c>
      <c r="CR2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16</v>
      </c>
      <c r="CS23" s="57" cm="1">
        <f t="array" ref="CS2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3" s="56" t="s">
        <v>900</v>
      </c>
      <c r="CV23" s="56" t="s">
        <v>186</v>
      </c>
      <c r="CW23" s="58">
        <v>0.85277777777777775</v>
      </c>
      <c r="CX2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16</v>
      </c>
      <c r="CY23" s="57" cm="1">
        <f t="array" ref="CY2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3" s="56" t="s">
        <v>960</v>
      </c>
      <c r="DB23" s="56" t="s">
        <v>186</v>
      </c>
      <c r="DC23" s="58">
        <v>0.88958333333333328</v>
      </c>
      <c r="DD2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16</v>
      </c>
      <c r="DE23" s="57" cm="1">
        <f t="array" ref="DE2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3" s="56" t="s">
        <v>911</v>
      </c>
      <c r="DH23" s="56" t="s">
        <v>186</v>
      </c>
      <c r="DI23" s="58">
        <v>0.86388888888888893</v>
      </c>
      <c r="DJ2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16</v>
      </c>
      <c r="DK23" s="57" cm="1">
        <f t="array" ref="DK2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3" s="56" t="str">
        <f>IF('Weekly Attendance'!AA310="Yes",'Weekly Attendance'!$D310,"")</f>
        <v>Shayaan Tanvir</v>
      </c>
      <c r="DN23" s="56"/>
      <c r="DO23" s="58">
        <v>0.84027777777777779</v>
      </c>
      <c r="DP2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36</v>
      </c>
      <c r="DQ23" s="57" cm="1">
        <f t="array" ref="DQ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4" spans="1:121">
      <c r="A24" s="16">
        <v>17</v>
      </c>
      <c r="B24" s="86"/>
      <c r="C24" s="56" t="s">
        <v>992</v>
      </c>
      <c r="D24" s="56"/>
      <c r="E24" s="58">
        <v>0.8666666666666667</v>
      </c>
      <c r="F24" s="57">
        <f>IFERROR(IF(Table4[[#This Row],[Name]]="","",IFERROR(IF(Table4[[#This Row],[Time]]="","TBD",D$2-COUNTIF(Table4[Time],"&lt;"&amp;Table4[[#This Row],[Time]])),""))-(COUNTIF(Table4[Time],Table4[[#This Row],[Time]])-1),"")</f>
        <v>17</v>
      </c>
      <c r="G24" s="57" cm="1">
        <f t="array" ref="G2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4" s="56" t="s">
        <v>43</v>
      </c>
      <c r="J24" s="56"/>
      <c r="K24" s="58">
        <v>0.86458333333333337</v>
      </c>
      <c r="L24" s="57">
        <f>IFERROR(IF(Table9[[#This Row],[Name]]="","",IFERROR(IF(Table9[[#This Row],[Time]]="","TBD",J$2-COUNTIF(Table9[Time],"&lt;"&amp;Table9[[#This Row],[Time]])),""))-(COUNTIF(Table9[Time],Table9[[#This Row],[Time]])-1),"")</f>
        <v>16</v>
      </c>
      <c r="M24" s="57" cm="1">
        <f t="array" ref="M2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4" s="56" t="s">
        <v>968</v>
      </c>
      <c r="P24" s="56"/>
      <c r="Q24" s="58">
        <v>0.85902777777777772</v>
      </c>
      <c r="R24" s="57">
        <f>IFERROR(IF(Table18[[#This Row],[Name]]="","",IFERROR(IF(Table18[[#This Row],[Time]]="","TBD",P$2-COUNTIF(Table18[Time],"&lt;"&amp;Table18[[#This Row],[Time]])),""))-(COUNTIF(Table18[Time],Table18[[#This Row],[Time]])-1),"")</f>
        <v>17</v>
      </c>
      <c r="S24" s="57" cm="1">
        <f t="array" ref="S2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4" s="56" t="s">
        <v>886</v>
      </c>
      <c r="V24" s="56"/>
      <c r="W24" s="58">
        <v>0.87638888888888888</v>
      </c>
      <c r="X24" s="57">
        <f>IFERROR(IF(Table2[[#This Row],[Name]]="","",IFERROR(IF(Table2[[#This Row],[Time]]="","TBD",V$2-COUNTIF(Table2[Time],"&lt;"&amp;Table2[[#This Row],[Time]])),""))-(COUNTIF(Table2[Time],Table2[[#This Row],[Time]])-1),"")</f>
        <v>17</v>
      </c>
      <c r="Y24" s="57" cm="1">
        <f t="array" ref="Y2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4" s="56" t="s">
        <v>993</v>
      </c>
      <c r="AB24" s="56"/>
      <c r="AC24" s="58">
        <v>0.85972222222222228</v>
      </c>
      <c r="AD24" s="57">
        <f>IFERROR(IF(Table211[[#This Row],[Name]]="","",IFERROR(IF(Table211[[#This Row],[Time]]="","TBD",AB$2-COUNTIF(Table211[Time],"&lt;"&amp;Table211[[#This Row],[Time]])),""))-(COUNTIF(Table211[Time],Table211[[#This Row],[Time]])-1),"")</f>
        <v>17</v>
      </c>
      <c r="AE24" s="57" cm="1">
        <f t="array" ref="AE2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4</v>
      </c>
      <c r="AG24" s="56" t="s">
        <v>142</v>
      </c>
      <c r="AH24" s="56" t="s">
        <v>186</v>
      </c>
      <c r="AI24" s="58">
        <v>0.86388888888888893</v>
      </c>
      <c r="AJ2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17</v>
      </c>
      <c r="AK24" s="57" cm="1">
        <f t="array" ref="AK2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4" s="56" t="s">
        <v>980</v>
      </c>
      <c r="AN24" s="56" t="s">
        <v>186</v>
      </c>
      <c r="AO24" s="58">
        <v>0.86875000000000002</v>
      </c>
      <c r="AP2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17</v>
      </c>
      <c r="AQ24" s="57" cm="1">
        <f t="array" ref="AQ2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4" s="56" t="s">
        <v>929</v>
      </c>
      <c r="AT24" s="56" t="s">
        <v>186</v>
      </c>
      <c r="AU24" s="58">
        <v>0.87916666666666665</v>
      </c>
      <c r="AV2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17</v>
      </c>
      <c r="AW24" s="57" cm="1">
        <f t="array" ref="AW2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4" s="56" t="s">
        <v>66</v>
      </c>
      <c r="AZ24" s="56" t="s">
        <v>186</v>
      </c>
      <c r="BA24" s="58">
        <v>0.875</v>
      </c>
      <c r="BB2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17</v>
      </c>
      <c r="BC24" s="57" cm="1">
        <f t="array" ref="BC2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4" s="56" t="s">
        <v>38</v>
      </c>
      <c r="BF24" s="56"/>
      <c r="BG24" s="58">
        <v>0.8833333333333333</v>
      </c>
      <c r="BH2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17</v>
      </c>
      <c r="BI24" s="57" cm="1">
        <f t="array" ref="BI2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4" s="56" t="s">
        <v>923</v>
      </c>
      <c r="BL24" s="56" t="s">
        <v>186</v>
      </c>
      <c r="BM24" s="58">
        <v>0.86805555555555558</v>
      </c>
      <c r="BN2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17</v>
      </c>
      <c r="BO24" s="57" cm="1">
        <f t="array" ref="BO2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</v>
      </c>
      <c r="BQ24" s="56" t="s">
        <v>941</v>
      </c>
      <c r="BR24" s="56" t="s">
        <v>186</v>
      </c>
      <c r="BS24" s="58">
        <v>0.86250000000000004</v>
      </c>
      <c r="BT2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15</v>
      </c>
      <c r="BU24" s="57" cm="1">
        <f t="array" ref="BU2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4" s="56" t="s">
        <v>987</v>
      </c>
      <c r="BX24" s="56"/>
      <c r="BY24" s="58">
        <v>0.86319444444444449</v>
      </c>
      <c r="BZ2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17</v>
      </c>
      <c r="CA24" s="57" cm="1">
        <f t="array" ref="CA2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4" s="56" t="s">
        <v>150</v>
      </c>
      <c r="CD24" s="56"/>
      <c r="CE24" s="58">
        <v>0.87430555555555556</v>
      </c>
      <c r="CF2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17</v>
      </c>
      <c r="CG24" s="57" cm="1">
        <f t="array" ref="CG2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4" s="56" t="s">
        <v>991</v>
      </c>
      <c r="CJ24" s="56" t="s">
        <v>186</v>
      </c>
      <c r="CK24" s="58">
        <v>0.85763888888888884</v>
      </c>
      <c r="CL2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17</v>
      </c>
      <c r="CM24" s="57" cm="1">
        <f t="array" ref="CM2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4" s="56" t="s">
        <v>148</v>
      </c>
      <c r="CP24" s="56" t="s">
        <v>186</v>
      </c>
      <c r="CQ24" s="58">
        <v>0.84930555555555554</v>
      </c>
      <c r="CR2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17</v>
      </c>
      <c r="CS24" s="57" cm="1">
        <f t="array" ref="CS2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4" s="56" t="s">
        <v>979</v>
      </c>
      <c r="CV24" s="56" t="s">
        <v>186</v>
      </c>
      <c r="CW24" s="58">
        <v>0.8520833333333333</v>
      </c>
      <c r="CX2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17</v>
      </c>
      <c r="CY24" s="57" cm="1">
        <f t="array" ref="CY2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4" s="56" t="s">
        <v>160</v>
      </c>
      <c r="DB24" s="56"/>
      <c r="DC24" s="58">
        <v>0.87986111111111109</v>
      </c>
      <c r="DD2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17</v>
      </c>
      <c r="DE24" s="57" cm="1">
        <f t="array" ref="DE2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4" s="56" t="s">
        <v>934</v>
      </c>
      <c r="DH24" s="56"/>
      <c r="DI24" s="58">
        <v>0.86388888888888893</v>
      </c>
      <c r="DJ2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16</v>
      </c>
      <c r="DK24" s="57" cm="1">
        <f t="array" ref="DK2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4" s="56" t="str">
        <f>IF('Weekly Attendance'!AA54="Yes",'Weekly Attendance'!$D54,"")</f>
        <v>Noella Or</v>
      </c>
      <c r="DN24" s="56"/>
      <c r="DO24" s="155">
        <v>0.83958333333333335</v>
      </c>
      <c r="DP2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37</v>
      </c>
      <c r="DQ24" s="57" cm="1">
        <f t="array" ref="DQ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5" spans="1:121">
      <c r="A25" s="16">
        <v>18</v>
      </c>
      <c r="B25" s="86"/>
      <c r="C25" s="56" t="s">
        <v>107</v>
      </c>
      <c r="D25" s="56"/>
      <c r="E25" s="58">
        <v>0.8666666666666667</v>
      </c>
      <c r="F25" s="57">
        <f>IFERROR(IF(Table4[[#This Row],[Name]]="","",IFERROR(IF(Table4[[#This Row],[Time]]="","TBD",D$2-COUNTIF(Table4[Time],"&lt;"&amp;Table4[[#This Row],[Time]])),""))-(COUNTIF(Table4[Time],Table4[[#This Row],[Time]])-1),"")</f>
        <v>17</v>
      </c>
      <c r="G25" s="57" cm="1">
        <f t="array" ref="G2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5" s="56" t="s">
        <v>994</v>
      </c>
      <c r="J25" s="56" t="s">
        <v>186</v>
      </c>
      <c r="K25" s="58">
        <v>0.86388888888888893</v>
      </c>
      <c r="L25" s="57">
        <f>IFERROR(IF(Table9[[#This Row],[Name]]="","",IFERROR(IF(Table9[[#This Row],[Time]]="","TBD",J$2-COUNTIF(Table9[Time],"&lt;"&amp;Table9[[#This Row],[Time]])),""))-(COUNTIF(Table9[Time],Table9[[#This Row],[Time]])-1),"")</f>
        <v>18</v>
      </c>
      <c r="M25" s="57" cm="1">
        <f t="array" ref="M2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5" s="56" t="s">
        <v>916</v>
      </c>
      <c r="P25" s="56"/>
      <c r="Q25" s="58">
        <v>0.85833333333333328</v>
      </c>
      <c r="R25" s="57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5" s="57" cm="1">
        <f t="array" ref="S2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5" s="56" t="s">
        <v>995</v>
      </c>
      <c r="V25" s="56"/>
      <c r="W25" s="58">
        <v>0.875</v>
      </c>
      <c r="X25" s="57">
        <f>IFERROR(IF(Table2[[#This Row],[Name]]="","",IFERROR(IF(Table2[[#This Row],[Time]]="","TBD",V$2-COUNTIF(Table2[Time],"&lt;"&amp;Table2[[#This Row],[Time]])),""))-(COUNTIF(Table2[Time],Table2[[#This Row],[Time]])-1),"")</f>
        <v>18</v>
      </c>
      <c r="Y25" s="57" cm="1">
        <f t="array" ref="Y2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5" s="56" t="s">
        <v>902</v>
      </c>
      <c r="AB25" s="56" t="s">
        <v>186</v>
      </c>
      <c r="AC25" s="58">
        <v>0.85277777777777775</v>
      </c>
      <c r="AD25" s="57">
        <f>IFERROR(IF(Table211[[#This Row],[Name]]="","",IFERROR(IF(Table211[[#This Row],[Time]]="","TBD",AB$2-COUNTIF(Table211[Time],"&lt;"&amp;Table211[[#This Row],[Time]])),""))-(COUNTIF(Table211[Time],Table211[[#This Row],[Time]])-1),"")</f>
        <v>18</v>
      </c>
      <c r="AE25" s="57" cm="1">
        <f t="array" ref="AE2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3</v>
      </c>
      <c r="AG25" s="56" t="s">
        <v>996</v>
      </c>
      <c r="AH25" s="56" t="s">
        <v>186</v>
      </c>
      <c r="AI25" s="58">
        <v>0.86041666666666672</v>
      </c>
      <c r="AJ2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18</v>
      </c>
      <c r="AK25" s="57" cm="1">
        <f t="array" ref="AK2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5" s="56" t="s">
        <v>976</v>
      </c>
      <c r="AN25" s="56"/>
      <c r="AO25" s="58">
        <v>0.86597222222222225</v>
      </c>
      <c r="AP2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18</v>
      </c>
      <c r="AQ25" s="57" cm="1">
        <f t="array" ref="AQ2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5" s="56" t="s">
        <v>997</v>
      </c>
      <c r="AT25" s="56"/>
      <c r="AU25" s="58">
        <v>0.87708333333333333</v>
      </c>
      <c r="AV2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18</v>
      </c>
      <c r="AW25" s="57" cm="1">
        <f t="array" ref="AW2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5" s="56" t="s">
        <v>998</v>
      </c>
      <c r="AZ25" s="56" t="s">
        <v>186</v>
      </c>
      <c r="BA25" s="58">
        <v>0.87430555555555556</v>
      </c>
      <c r="BB2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18</v>
      </c>
      <c r="BC25" s="57" cm="1">
        <f t="array" ref="BC2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5" s="56" t="s">
        <v>899</v>
      </c>
      <c r="BF25" s="56"/>
      <c r="BG25" s="58">
        <v>0.87916666666666665</v>
      </c>
      <c r="BH2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18</v>
      </c>
      <c r="BI25" s="57" cm="1">
        <f t="array" ref="BI2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5" s="56" t="s">
        <v>999</v>
      </c>
      <c r="BL25" s="56"/>
      <c r="BM25" s="58">
        <v>0.8618055555555556</v>
      </c>
      <c r="BN2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18</v>
      </c>
      <c r="BO25" s="57" cm="1">
        <f t="array" ref="BO2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5" s="56" t="s">
        <v>111</v>
      </c>
      <c r="BR25" s="56" t="s">
        <v>186</v>
      </c>
      <c r="BS25" s="58">
        <v>0.8618055555555556</v>
      </c>
      <c r="BT2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18</v>
      </c>
      <c r="BU25" s="57" cm="1">
        <f t="array" ref="BU2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5" s="56" t="s">
        <v>950</v>
      </c>
      <c r="BX25" s="56" t="s">
        <v>186</v>
      </c>
      <c r="BY25" s="58">
        <v>0.86319444444444449</v>
      </c>
      <c r="BZ2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17</v>
      </c>
      <c r="CA25" s="57" cm="1">
        <f t="array" ref="CA2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3</v>
      </c>
      <c r="CC25" s="56" t="s">
        <v>73</v>
      </c>
      <c r="CD25" s="56"/>
      <c r="CE25" s="58">
        <v>0.8666666666666667</v>
      </c>
      <c r="CF2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18</v>
      </c>
      <c r="CG25" s="57" cm="1">
        <f t="array" ref="CG2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5" s="56" t="s">
        <v>1000</v>
      </c>
      <c r="CJ25" s="56" t="s">
        <v>186</v>
      </c>
      <c r="CK25" s="58">
        <v>0.85763888888888884</v>
      </c>
      <c r="CL2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17</v>
      </c>
      <c r="CM25" s="57" cm="1">
        <f t="array" ref="CM2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3</v>
      </c>
      <c r="CO25" s="56" t="s">
        <v>41</v>
      </c>
      <c r="CP25" s="56"/>
      <c r="CQ25" s="58">
        <v>0.84930555555555554</v>
      </c>
      <c r="CR2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17</v>
      </c>
      <c r="CS25" s="57" cm="1">
        <f t="array" ref="CS2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5" s="56" t="s">
        <v>911</v>
      </c>
      <c r="CV25" s="56"/>
      <c r="CW25" s="58">
        <v>0.84930555555555554</v>
      </c>
      <c r="CX2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18</v>
      </c>
      <c r="CY25" s="57" cm="1">
        <f t="array" ref="CY2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5" s="56" t="s">
        <v>957</v>
      </c>
      <c r="DB25" s="56" t="s">
        <v>186</v>
      </c>
      <c r="DC25" s="58">
        <v>0.87638888888888888</v>
      </c>
      <c r="DD2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18</v>
      </c>
      <c r="DE25" s="57" cm="1">
        <f t="array" ref="DE2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3</v>
      </c>
      <c r="DG25" s="56" t="s">
        <v>998</v>
      </c>
      <c r="DH25" s="56"/>
      <c r="DI25" s="58">
        <v>0.85347222222222219</v>
      </c>
      <c r="DJ2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18</v>
      </c>
      <c r="DK25" s="57" cm="1">
        <f t="array" ref="DK2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5" s="56" t="str">
        <f>IF('Weekly Attendance'!AA348="Yes",'Weekly Attendance'!$D348,"")</f>
        <v>Zain Husain</v>
      </c>
      <c r="DN25" s="56" t="s">
        <v>186</v>
      </c>
      <c r="DO25" s="58">
        <v>0.83888888888888891</v>
      </c>
      <c r="DP2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38</v>
      </c>
      <c r="DQ25" s="57" cm="1">
        <f t="array" ref="DQ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6" spans="1:121">
      <c r="A26" s="16">
        <v>19</v>
      </c>
      <c r="B26" s="86"/>
      <c r="C26" s="56" t="s">
        <v>148</v>
      </c>
      <c r="D26" s="56"/>
      <c r="E26" s="58">
        <v>0.85902777777777772</v>
      </c>
      <c r="F26" s="57">
        <f>IFERROR(IF(Table4[[#This Row],[Name]]="","",IFERROR(IF(Table4[[#This Row],[Time]]="","TBD",D$2-COUNTIF(Table4[Time],"&lt;"&amp;Table4[[#This Row],[Time]])),""))-(COUNTIF(Table4[Time],Table4[[#This Row],[Time]])-1),"")</f>
        <v>19</v>
      </c>
      <c r="G26" s="57" cm="1">
        <f t="array" ref="G2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6" s="56" t="s">
        <v>93</v>
      </c>
      <c r="J26" s="56" t="s">
        <v>186</v>
      </c>
      <c r="K26" s="58">
        <v>0.8569444444444444</v>
      </c>
      <c r="L26" s="57">
        <f>IFERROR(IF(Table9[[#This Row],[Name]]="","",IFERROR(IF(Table9[[#This Row],[Time]]="","TBD",J$2-COUNTIF(Table9[Time],"&lt;"&amp;Table9[[#This Row],[Time]])),""))-(COUNTIF(Table9[Time],Table9[[#This Row],[Time]])-1),"")</f>
        <v>19</v>
      </c>
      <c r="M26" s="57" cm="1">
        <f t="array" ref="M2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3</v>
      </c>
      <c r="O26" s="56" t="s">
        <v>956</v>
      </c>
      <c r="P26" s="56"/>
      <c r="Q26" s="58">
        <v>0.85833333333333328</v>
      </c>
      <c r="R26" s="57">
        <f>IFERROR(IF(Table18[[#This Row],[Name]]="","",IFERROR(IF(Table18[[#This Row],[Time]]="","TBD",P$2-COUNTIF(Table18[Time],"&lt;"&amp;Table18[[#This Row],[Time]])),""))-(COUNTIF(Table18[Time],Table18[[#This Row],[Time]])-1),"")</f>
        <v>18</v>
      </c>
      <c r="S26" s="57" cm="1">
        <f t="array" ref="S2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6" s="56" t="s">
        <v>973</v>
      </c>
      <c r="V26" s="56"/>
      <c r="W26" s="58">
        <v>0.87361111111111112</v>
      </c>
      <c r="X26" s="57">
        <f>IFERROR(IF(Table2[[#This Row],[Name]]="","",IFERROR(IF(Table2[[#This Row],[Time]]="","TBD",V$2-COUNTIF(Table2[Time],"&lt;"&amp;Table2[[#This Row],[Time]])),""))-(COUNTIF(Table2[Time],Table2[[#This Row],[Time]])-1),"")</f>
        <v>19</v>
      </c>
      <c r="Y26" s="57" cm="1">
        <f t="array" ref="Y2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6" s="56" t="s">
        <v>866</v>
      </c>
      <c r="AB26" s="56"/>
      <c r="AC26" s="58">
        <v>0.85</v>
      </c>
      <c r="AD26" s="57">
        <f>IFERROR(IF(Table211[[#This Row],[Name]]="","",IFERROR(IF(Table211[[#This Row],[Time]]="","TBD",AB$2-COUNTIF(Table211[Time],"&lt;"&amp;Table211[[#This Row],[Time]])),""))-(COUNTIF(Table211[Time],Table211[[#This Row],[Time]])-1),"")</f>
        <v>19</v>
      </c>
      <c r="AE26" s="57" cm="1">
        <f t="array" ref="AE2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6" s="56" t="s">
        <v>93</v>
      </c>
      <c r="AH26" s="56" t="s">
        <v>186</v>
      </c>
      <c r="AI26" s="58">
        <v>0.85972222222222228</v>
      </c>
      <c r="AJ2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19</v>
      </c>
      <c r="AK26" s="57" cm="1">
        <f t="array" ref="AK2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6" s="56" t="s">
        <v>150</v>
      </c>
      <c r="AN26" s="56" t="s">
        <v>186</v>
      </c>
      <c r="AO26" s="58">
        <v>0.86388888888888893</v>
      </c>
      <c r="AP2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6" s="57" cm="1">
        <f t="array" ref="AQ2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6" s="56" t="s">
        <v>890</v>
      </c>
      <c r="AT26" s="56" t="s">
        <v>420</v>
      </c>
      <c r="AU26" s="58">
        <v>0.87430555555555556</v>
      </c>
      <c r="AV2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19</v>
      </c>
      <c r="AW26" s="57" cm="1">
        <f t="array" ref="AW2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6" s="56" t="s">
        <v>886</v>
      </c>
      <c r="AZ26" s="56"/>
      <c r="BA26" s="58">
        <v>0.87083333333333335</v>
      </c>
      <c r="BB2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19</v>
      </c>
      <c r="BC26" s="57" cm="1">
        <f t="array" ref="BC2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26" s="56" t="s">
        <v>993</v>
      </c>
      <c r="BF26" s="56"/>
      <c r="BG26" s="58">
        <v>0.87847222222222221</v>
      </c>
      <c r="BH2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19</v>
      </c>
      <c r="BI26" s="57" cm="1">
        <f t="array" ref="BI2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6" s="56" t="s">
        <v>43</v>
      </c>
      <c r="BL26" s="56"/>
      <c r="BM26" s="58">
        <v>0.8618055555555556</v>
      </c>
      <c r="BN2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18</v>
      </c>
      <c r="BO26" s="57" cm="1">
        <f t="array" ref="BO2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6" s="56" t="s">
        <v>1001</v>
      </c>
      <c r="BR26" s="56" t="s">
        <v>186</v>
      </c>
      <c r="BS26" s="58">
        <v>0.85902777777777772</v>
      </c>
      <c r="BT2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19</v>
      </c>
      <c r="BU26" s="57" cm="1">
        <f t="array" ref="BU2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6" s="56" t="s">
        <v>969</v>
      </c>
      <c r="BX26" s="56"/>
      <c r="BY26" s="58">
        <v>0.86111111111111116</v>
      </c>
      <c r="BZ2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19</v>
      </c>
      <c r="CA26" s="57" cm="1">
        <f t="array" ref="CA2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4</v>
      </c>
      <c r="CC26" s="56" t="s">
        <v>930</v>
      </c>
      <c r="CD26" s="56"/>
      <c r="CE26" s="58">
        <v>0.86597222222222225</v>
      </c>
      <c r="CF2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19</v>
      </c>
      <c r="CG26" s="57" cm="1">
        <f t="array" ref="CG2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4</v>
      </c>
      <c r="CI26" s="56" t="s">
        <v>1002</v>
      </c>
      <c r="CJ26" s="56" t="s">
        <v>190</v>
      </c>
      <c r="CK26" s="58">
        <v>0.85555555555555551</v>
      </c>
      <c r="CL2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19</v>
      </c>
      <c r="CM26" s="57" cm="1">
        <f t="array" ref="CM2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6" s="56" t="s">
        <v>911</v>
      </c>
      <c r="CP26" s="56"/>
      <c r="CQ26" s="58">
        <v>0.84791666666666665</v>
      </c>
      <c r="CR2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19</v>
      </c>
      <c r="CS26" s="57" cm="1">
        <f t="array" ref="CS2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6" s="56" t="s">
        <v>168</v>
      </c>
      <c r="CV26" s="56"/>
      <c r="CW26" s="58">
        <v>0.84305555555555556</v>
      </c>
      <c r="CX2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19</v>
      </c>
      <c r="CY26" s="57" cm="1">
        <f t="array" ref="CY2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6" s="56" t="s">
        <v>125</v>
      </c>
      <c r="DB26" s="56"/>
      <c r="DC26" s="58">
        <v>0.87638888888888888</v>
      </c>
      <c r="DD2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18</v>
      </c>
      <c r="DE26" s="57" cm="1">
        <f t="array" ref="DE2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6" s="56" t="s">
        <v>176</v>
      </c>
      <c r="DH26" s="56" t="s">
        <v>186</v>
      </c>
      <c r="DI26" s="58">
        <v>0.8520833333333333</v>
      </c>
      <c r="DJ2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19</v>
      </c>
      <c r="DK26" s="57" cm="1">
        <f t="array" ref="DK2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6" s="56" t="str">
        <f>IF('Weekly Attendance'!AA341="Yes",'Weekly Attendance'!$D341,"")</f>
        <v>Yan Xiang Zou</v>
      </c>
      <c r="DN26" s="56" t="s">
        <v>186</v>
      </c>
      <c r="DO26" s="58">
        <v>0.83888888888888891</v>
      </c>
      <c r="DP2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38</v>
      </c>
      <c r="DQ26" s="57" cm="1">
        <f t="array" ref="DQ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7" spans="1:121">
      <c r="A27" s="16">
        <v>20</v>
      </c>
      <c r="B27" s="86"/>
      <c r="C27" s="56" t="s">
        <v>1003</v>
      </c>
      <c r="D27" s="56" t="s">
        <v>186</v>
      </c>
      <c r="E27" s="58">
        <v>0.85902777777777772</v>
      </c>
      <c r="F27" s="57">
        <f>IFERROR(IF(Table4[[#This Row],[Name]]="","",IFERROR(IF(Table4[[#This Row],[Time]]="","TBD",D$2-COUNTIF(Table4[Time],"&lt;"&amp;Table4[[#This Row],[Time]])),""))-(COUNTIF(Table4[Time],Table4[[#This Row],[Time]])-1),"")</f>
        <v>19</v>
      </c>
      <c r="G27" s="57" cm="1">
        <f t="array" ref="G2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7" s="56" t="s">
        <v>1004</v>
      </c>
      <c r="J27" s="56"/>
      <c r="K27" s="58">
        <v>0.8569444444444444</v>
      </c>
      <c r="L27" s="57">
        <f>IFERROR(IF(Table9[[#This Row],[Name]]="","",IFERROR(IF(Table9[[#This Row],[Time]]="","TBD",J$2-COUNTIF(Table9[Time],"&lt;"&amp;Table9[[#This Row],[Time]])),""))-(COUNTIF(Table9[Time],Table9[[#This Row],[Time]])-1),"")</f>
        <v>19</v>
      </c>
      <c r="M27" s="57" cm="1">
        <f t="array" ref="M2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7" s="56" t="s">
        <v>976</v>
      </c>
      <c r="P27" s="56" t="s">
        <v>186</v>
      </c>
      <c r="Q27" s="58">
        <v>0.85763888888888884</v>
      </c>
      <c r="R27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7" s="57" cm="1">
        <f t="array" ref="S2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27" s="56" t="s">
        <v>129</v>
      </c>
      <c r="V27" s="56"/>
      <c r="W27" s="58">
        <v>0.86388888888888893</v>
      </c>
      <c r="X27" s="57">
        <f>IFERROR(IF(Table2[[#This Row],[Name]]="","",IFERROR(IF(Table2[[#This Row],[Time]]="","TBD",V$2-COUNTIF(Table2[Time],"&lt;"&amp;Table2[[#This Row],[Time]])),""))-(COUNTIF(Table2[Time],Table2[[#This Row],[Time]])-1),"")</f>
        <v>20</v>
      </c>
      <c r="Y27" s="57" cm="1">
        <f t="array" ref="Y2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27" s="56" t="s">
        <v>930</v>
      </c>
      <c r="AB27" s="56"/>
      <c r="AC27" s="58">
        <v>0.84861111111111109</v>
      </c>
      <c r="AD27" s="57">
        <f>IFERROR(IF(Table211[[#This Row],[Name]]="","",IFERROR(IF(Table211[[#This Row],[Time]]="","TBD",AB$2-COUNTIF(Table211[Time],"&lt;"&amp;Table211[[#This Row],[Time]])),""))-(COUNTIF(Table211[Time],Table211[[#This Row],[Time]])-1),"")</f>
        <v>20</v>
      </c>
      <c r="AE27" s="57" cm="1">
        <f t="array" ref="AE2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7" s="56" t="s">
        <v>908</v>
      </c>
      <c r="AH27" s="56"/>
      <c r="AI27" s="58">
        <v>0.85902777777777772</v>
      </c>
      <c r="AJ2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7" s="57" cm="1">
        <f t="array" ref="AK2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4</v>
      </c>
      <c r="AM27" s="56" t="s">
        <v>48</v>
      </c>
      <c r="AN27" s="56" t="s">
        <v>186</v>
      </c>
      <c r="AO27" s="58">
        <v>0.86388888888888893</v>
      </c>
      <c r="AP2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7" s="57" cm="1">
        <f t="array" ref="AQ2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27" s="56" t="s">
        <v>1001</v>
      </c>
      <c r="AT27" s="56" t="s">
        <v>420</v>
      </c>
      <c r="AU27" s="58">
        <v>0.87083333333333335</v>
      </c>
      <c r="AV2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20</v>
      </c>
      <c r="AW27" s="57" cm="1">
        <f t="array" ref="AW2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7" s="56" t="s">
        <v>930</v>
      </c>
      <c r="AZ27" s="56" t="s">
        <v>186</v>
      </c>
      <c r="BA27" s="58">
        <v>0.86805555555555558</v>
      </c>
      <c r="BB2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20</v>
      </c>
      <c r="BC27" s="57" cm="1">
        <f t="array" ref="BC2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7" s="56" t="s">
        <v>73</v>
      </c>
      <c r="BF27" s="56"/>
      <c r="BG27" s="58">
        <v>0.87569444444444444</v>
      </c>
      <c r="BH2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20</v>
      </c>
      <c r="BI27" s="57" cm="1">
        <f t="array" ref="BI2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7" s="56" t="s">
        <v>53</v>
      </c>
      <c r="BL27" s="56"/>
      <c r="BM27" s="58">
        <v>0.86111111111111116</v>
      </c>
      <c r="BN2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20</v>
      </c>
      <c r="BO27" s="57" cm="1">
        <f t="array" ref="BO2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7" s="56" t="s">
        <v>931</v>
      </c>
      <c r="BR27" s="56"/>
      <c r="BS27" s="58">
        <v>0.8569444444444444</v>
      </c>
      <c r="BT2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20</v>
      </c>
      <c r="BU27" s="57" cm="1">
        <f t="array" ref="BU2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7" s="56" t="s">
        <v>1005</v>
      </c>
      <c r="BX27" s="56"/>
      <c r="BY27" s="58">
        <v>0.85902777777777772</v>
      </c>
      <c r="BZ2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20</v>
      </c>
      <c r="CA27" s="57" cm="1">
        <f t="array" ref="CA2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7" s="56" t="s">
        <v>935</v>
      </c>
      <c r="CD27" s="56"/>
      <c r="CE27" s="58">
        <v>0.86527777777777781</v>
      </c>
      <c r="CF2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20</v>
      </c>
      <c r="CG27" s="57" cm="1">
        <f t="array" ref="CG2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7" s="56" t="s">
        <v>1006</v>
      </c>
      <c r="CJ27" s="56" t="s">
        <v>186</v>
      </c>
      <c r="CK27" s="58">
        <v>0.85486111111111107</v>
      </c>
      <c r="CL2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20</v>
      </c>
      <c r="CM27" s="57" cm="1">
        <f t="array" ref="CM2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7" s="56" t="s">
        <v>897</v>
      </c>
      <c r="CP27" s="56"/>
      <c r="CQ27" s="58">
        <v>0.84583333333333333</v>
      </c>
      <c r="CR2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20</v>
      </c>
      <c r="CS27" s="57" cm="1">
        <f t="array" ref="CS2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7" s="56" t="s">
        <v>999</v>
      </c>
      <c r="CV27" s="56"/>
      <c r="CW27" s="58">
        <v>0.84236111111111112</v>
      </c>
      <c r="CX2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20</v>
      </c>
      <c r="CY27" s="57" cm="1">
        <f t="array" ref="CY2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7" s="56" t="s">
        <v>47</v>
      </c>
      <c r="DB27" s="56"/>
      <c r="DC27" s="58">
        <v>0.87152777777777779</v>
      </c>
      <c r="DD2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20</v>
      </c>
      <c r="DE27" s="57" cm="1">
        <f t="array" ref="DE2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7" s="56" t="s">
        <v>895</v>
      </c>
      <c r="DH27" s="56"/>
      <c r="DI27" s="58">
        <v>0.84930555555555554</v>
      </c>
      <c r="DJ2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20</v>
      </c>
      <c r="DK27" s="57" cm="1">
        <f t="array" ref="DK2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7" s="56" t="str">
        <f>IF('Weekly Attendance'!AA33="Yes",'Weekly Attendance'!$D33,"")</f>
        <v>Carson Cull</v>
      </c>
      <c r="DN27" s="56"/>
      <c r="DO27" s="155">
        <v>0.83819444444444446</v>
      </c>
      <c r="DP2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40</v>
      </c>
      <c r="DQ27" s="57" cm="1">
        <f t="array" ref="DQ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8" spans="1:121">
      <c r="A28" s="16">
        <v>21</v>
      </c>
      <c r="B28" s="86"/>
      <c r="C28" s="56" t="s">
        <v>1007</v>
      </c>
      <c r="D28" s="56"/>
      <c r="E28" s="58">
        <v>0.85763888888888884</v>
      </c>
      <c r="F28" s="57">
        <f>IFERROR(IF(Table4[[#This Row],[Name]]="","",IFERROR(IF(Table4[[#This Row],[Time]]="","TBD",D$2-COUNTIF(Table4[Time],"&lt;"&amp;Table4[[#This Row],[Time]])),""))-(COUNTIF(Table4[Time],Table4[[#This Row],[Time]])-1),"")</f>
        <v>21</v>
      </c>
      <c r="G28" s="57" cm="1">
        <f t="array" ref="G2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28" s="56" t="s">
        <v>886</v>
      </c>
      <c r="J28" s="56"/>
      <c r="K28" s="58">
        <v>0.85555555555555551</v>
      </c>
      <c r="L28" s="57">
        <f>IFERROR(IF(Table9[[#This Row],[Name]]="","",IFERROR(IF(Table9[[#This Row],[Time]]="","TBD",J$2-COUNTIF(Table9[Time],"&lt;"&amp;Table9[[#This Row],[Time]])),""))-(COUNTIF(Table9[Time],Table9[[#This Row],[Time]])-1),"")</f>
        <v>21</v>
      </c>
      <c r="M28" s="57" cm="1">
        <f t="array" ref="M2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8" s="56" t="s">
        <v>903</v>
      </c>
      <c r="P28" s="56"/>
      <c r="Q28" s="58">
        <v>0.85763888888888884</v>
      </c>
      <c r="R28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8" s="57" cm="1">
        <f t="array" ref="S2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28" s="56" t="s">
        <v>73</v>
      </c>
      <c r="V28" s="56" t="s">
        <v>186</v>
      </c>
      <c r="W28" s="58">
        <v>0.86250000000000004</v>
      </c>
      <c r="X28" s="57">
        <f>IFERROR(IF(Table2[[#This Row],[Name]]="","",IFERROR(IF(Table2[[#This Row],[Time]]="","TBD",V$2-COUNTIF(Table2[Time],"&lt;"&amp;Table2[[#This Row],[Time]])),""))-(COUNTIF(Table2[Time],Table2[[#This Row],[Time]])-1),"")</f>
        <v>21</v>
      </c>
      <c r="Y28" s="57" cm="1">
        <f t="array" ref="Y2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28" s="56" t="s">
        <v>931</v>
      </c>
      <c r="AB28" s="56" t="s">
        <v>186</v>
      </c>
      <c r="AC28" s="58">
        <v>0.84791666666666665</v>
      </c>
      <c r="AD28" s="57">
        <f>IFERROR(IF(Table211[[#This Row],[Name]]="","",IFERROR(IF(Table211[[#This Row],[Time]]="","TBD",AB$2-COUNTIF(Table211[Time],"&lt;"&amp;Table211[[#This Row],[Time]])),""))-(COUNTIF(Table211[Time],Table211[[#This Row],[Time]])-1),"")</f>
        <v>21</v>
      </c>
      <c r="AE28" s="57" cm="1">
        <f t="array" ref="AE2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8" s="56" t="s">
        <v>136</v>
      </c>
      <c r="AH28" s="56" t="s">
        <v>186</v>
      </c>
      <c r="AI28" s="58">
        <v>0.85902777777777772</v>
      </c>
      <c r="AJ2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20</v>
      </c>
      <c r="AK28" s="57" cm="1">
        <f t="array" ref="AK2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3</v>
      </c>
      <c r="AM28" s="56" t="s">
        <v>919</v>
      </c>
      <c r="AN28" s="56"/>
      <c r="AO28" s="58">
        <v>0.86388888888888893</v>
      </c>
      <c r="AP2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19</v>
      </c>
      <c r="AQ28" s="57" cm="1">
        <f t="array" ref="AQ2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8" s="56" t="s">
        <v>23</v>
      </c>
      <c r="AT28" s="56"/>
      <c r="AU28" s="58">
        <v>0.85972222222222228</v>
      </c>
      <c r="AV2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21</v>
      </c>
      <c r="AW28" s="57" cm="1">
        <f t="array" ref="AW2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28" s="56" t="s">
        <v>48</v>
      </c>
      <c r="AZ28" s="56" t="s">
        <v>186</v>
      </c>
      <c r="BA28" s="58">
        <v>0.86319444444444449</v>
      </c>
      <c r="BB2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21</v>
      </c>
      <c r="BC28" s="57" cm="1">
        <f t="array" ref="BC2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8" s="56" t="s">
        <v>1008</v>
      </c>
      <c r="BF28" s="56"/>
      <c r="BG28" s="58">
        <v>0.875</v>
      </c>
      <c r="BH2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21</v>
      </c>
      <c r="BI28" s="57" cm="1">
        <f t="array" ref="BI2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28" s="56" t="s">
        <v>963</v>
      </c>
      <c r="BL28" s="56"/>
      <c r="BM28" s="58">
        <v>0.86041666666666672</v>
      </c>
      <c r="BN2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21</v>
      </c>
      <c r="BO28" s="57" cm="1">
        <f t="array" ref="BO2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28" s="56" t="s">
        <v>129</v>
      </c>
      <c r="BR28" s="56"/>
      <c r="BS28" s="58">
        <v>0.85347222222222219</v>
      </c>
      <c r="BT2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21</v>
      </c>
      <c r="BU28" s="57" cm="1">
        <f t="array" ref="BU2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4</v>
      </c>
      <c r="BW28" s="56" t="s">
        <v>920</v>
      </c>
      <c r="BX28" s="56" t="s">
        <v>186</v>
      </c>
      <c r="BY28" s="58">
        <v>0.85833333333333328</v>
      </c>
      <c r="BZ2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21</v>
      </c>
      <c r="CA28" s="57" cm="1">
        <f t="array" ref="CA2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8" s="56" t="s">
        <v>1009</v>
      </c>
      <c r="CD28" s="56" t="s">
        <v>186</v>
      </c>
      <c r="CE28" s="58">
        <v>0.86458333333333337</v>
      </c>
      <c r="CF2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21</v>
      </c>
      <c r="CG28" s="57" cm="1">
        <f t="array" ref="CG2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8" s="56" t="s">
        <v>1010</v>
      </c>
      <c r="CJ28" s="56" t="s">
        <v>186</v>
      </c>
      <c r="CK28" s="58">
        <v>0.85486111111111107</v>
      </c>
      <c r="CL2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20</v>
      </c>
      <c r="CM28" s="57" cm="1">
        <f t="array" ref="CM2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8" s="56" t="s">
        <v>947</v>
      </c>
      <c r="CP28" s="56" t="s">
        <v>186</v>
      </c>
      <c r="CQ28" s="58">
        <v>0.84513888888888888</v>
      </c>
      <c r="CR2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21</v>
      </c>
      <c r="CS28" s="57" cm="1">
        <f t="array" ref="CS2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8" s="56" t="s">
        <v>166</v>
      </c>
      <c r="CV28" s="56"/>
      <c r="CW28" s="58">
        <v>0.84236111111111112</v>
      </c>
      <c r="CX2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20</v>
      </c>
      <c r="CY28" s="57" cm="1">
        <f t="array" ref="CY2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8" s="56" t="s">
        <v>935</v>
      </c>
      <c r="DB28" s="56"/>
      <c r="DC28" s="58">
        <v>0.86736111111111114</v>
      </c>
      <c r="DD2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21</v>
      </c>
      <c r="DE28" s="57" cm="1">
        <f t="array" ref="DE2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8" s="56" t="s">
        <v>150</v>
      </c>
      <c r="DH28" s="56" t="s">
        <v>186</v>
      </c>
      <c r="DI28" s="58">
        <v>0.84861111111111109</v>
      </c>
      <c r="DJ2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21</v>
      </c>
      <c r="DK28" s="57" cm="1">
        <f t="array" ref="DK2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8" s="56" t="str">
        <f>IF('Weekly Attendance'!AA74="Yes",'Weekly Attendance'!$D74,"")</f>
        <v>Abdullah Imran</v>
      </c>
      <c r="DN28" s="56" t="s">
        <v>186</v>
      </c>
      <c r="DO28" s="58">
        <v>0.83680555555555558</v>
      </c>
      <c r="DP2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41</v>
      </c>
      <c r="DQ28" s="57" cm="1">
        <f t="array" ref="DQ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2</v>
      </c>
    </row>
    <row r="29" spans="1:121">
      <c r="A29" s="16">
        <v>22</v>
      </c>
      <c r="B29" s="86"/>
      <c r="C29" s="56" t="s">
        <v>964</v>
      </c>
      <c r="D29" s="56" t="s">
        <v>186</v>
      </c>
      <c r="E29" s="58">
        <v>0.85763888888888884</v>
      </c>
      <c r="F29" s="57">
        <f>IFERROR(IF(Table4[[#This Row],[Name]]="","",IFERROR(IF(Table4[[#This Row],[Time]]="","TBD",D$2-COUNTIF(Table4[Time],"&lt;"&amp;Table4[[#This Row],[Time]])),""))-(COUNTIF(Table4[Time],Table4[[#This Row],[Time]])-1),"")</f>
        <v>21</v>
      </c>
      <c r="G29" s="57" cm="1">
        <f t="array" ref="G2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3</v>
      </c>
      <c r="I29" s="56" t="s">
        <v>80</v>
      </c>
      <c r="J29" s="56"/>
      <c r="K29" s="58">
        <v>0.85486111111111107</v>
      </c>
      <c r="L29" s="57">
        <f>IFERROR(IF(Table9[[#This Row],[Name]]="","",IFERROR(IF(Table9[[#This Row],[Time]]="","TBD",J$2-COUNTIF(Table9[Time],"&lt;"&amp;Table9[[#This Row],[Time]])),""))-(COUNTIF(Table9[Time],Table9[[#This Row],[Time]])-1),"")</f>
        <v>22</v>
      </c>
      <c r="M29" s="57" cm="1">
        <f t="array" ref="M2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29" s="56" t="s">
        <v>1011</v>
      </c>
      <c r="P29" s="56" t="s">
        <v>186</v>
      </c>
      <c r="Q29" s="58">
        <v>0.85763888888888884</v>
      </c>
      <c r="R29" s="57">
        <f>IFERROR(IF(Table18[[#This Row],[Name]]="","",IFERROR(IF(Table18[[#This Row],[Time]]="","TBD",P$2-COUNTIF(Table18[Time],"&lt;"&amp;Table18[[#This Row],[Time]])),""))-(COUNTIF(Table18[Time],Table18[[#This Row],[Time]])-1),"")</f>
        <v>20</v>
      </c>
      <c r="S29" s="57" cm="1">
        <f t="array" ref="S2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29" s="56" t="s">
        <v>38</v>
      </c>
      <c r="V29" s="56" t="s">
        <v>186</v>
      </c>
      <c r="W29" s="58">
        <v>0.86111111111111116</v>
      </c>
      <c r="X29" s="57">
        <f>IFERROR(IF(Table2[[#This Row],[Name]]="","",IFERROR(IF(Table2[[#This Row],[Time]]="","TBD",V$2-COUNTIF(Table2[Time],"&lt;"&amp;Table2[[#This Row],[Time]])),""))-(COUNTIF(Table2[Time],Table2[[#This Row],[Time]])-1),"")</f>
        <v>22</v>
      </c>
      <c r="Y29" s="57" cm="1">
        <f t="array" ref="Y2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3</v>
      </c>
      <c r="AA29" s="56" t="s">
        <v>103</v>
      </c>
      <c r="AB29" s="56"/>
      <c r="AC29" s="58">
        <v>0.84722222222222221</v>
      </c>
      <c r="AD29" s="57">
        <f>IFERROR(IF(Table211[[#This Row],[Name]]="","",IFERROR(IF(Table211[[#This Row],[Time]]="","TBD",AB$2-COUNTIF(Table211[Time],"&lt;"&amp;Table211[[#This Row],[Time]])),""))-(COUNTIF(Table211[Time],Table211[[#This Row],[Time]])-1),"")</f>
        <v>22</v>
      </c>
      <c r="AE29" s="57" cm="1">
        <f t="array" ref="AE2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29" s="56" t="s">
        <v>976</v>
      </c>
      <c r="AH29" s="56"/>
      <c r="AI29" s="58">
        <v>0.8569444444444444</v>
      </c>
      <c r="AJ2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29" s="57" cm="1">
        <f t="array" ref="AK2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29" s="105" t="s">
        <v>1012</v>
      </c>
      <c r="AN29" s="56"/>
      <c r="AO29" s="58">
        <v>0.85763888888888884</v>
      </c>
      <c r="AP2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22</v>
      </c>
      <c r="AQ29" s="57" cm="1">
        <f t="array" ref="AQ2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4</v>
      </c>
      <c r="AS29" s="105" t="s">
        <v>931</v>
      </c>
      <c r="AT29" s="56" t="s">
        <v>420</v>
      </c>
      <c r="AU29" s="58">
        <v>0.8569444444444444</v>
      </c>
      <c r="AV2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29" s="57" cm="1">
        <f t="array" ref="AW2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29" s="56" t="s">
        <v>956</v>
      </c>
      <c r="AZ29" s="56" t="s">
        <v>186</v>
      </c>
      <c r="BA29" s="58">
        <v>0.8618055555555556</v>
      </c>
      <c r="BB2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29" s="57" cm="1">
        <f t="array" ref="BC2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3</v>
      </c>
      <c r="BE29" s="56" t="s">
        <v>1001</v>
      </c>
      <c r="BF29" s="56" t="s">
        <v>186</v>
      </c>
      <c r="BG29" s="58">
        <v>0.87430555555555556</v>
      </c>
      <c r="BH2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22</v>
      </c>
      <c r="BI29" s="57" cm="1">
        <f t="array" ref="BI2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3</v>
      </c>
      <c r="BK29" s="56" t="s">
        <v>894</v>
      </c>
      <c r="BL29" s="56" t="s">
        <v>186</v>
      </c>
      <c r="BM29" s="58">
        <v>0.85902777777777772</v>
      </c>
      <c r="BN2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22</v>
      </c>
      <c r="BO29" s="57" cm="1">
        <f t="array" ref="BO2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3</v>
      </c>
      <c r="BQ29" s="56" t="s">
        <v>965</v>
      </c>
      <c r="BR29" s="56" t="s">
        <v>186</v>
      </c>
      <c r="BS29" s="58">
        <v>0.85347222222222219</v>
      </c>
      <c r="BT2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21</v>
      </c>
      <c r="BU29" s="57" cm="1">
        <f t="array" ref="BU2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3</v>
      </c>
      <c r="BW29" s="56" t="s">
        <v>911</v>
      </c>
      <c r="BX29" s="56"/>
      <c r="BY29" s="58">
        <v>0.85833333333333328</v>
      </c>
      <c r="BZ2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21</v>
      </c>
      <c r="CA29" s="57" cm="1">
        <f t="array" ref="CA2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29" s="56" t="s">
        <v>916</v>
      </c>
      <c r="CD29" s="56" t="s">
        <v>186</v>
      </c>
      <c r="CE29" s="58">
        <v>0.85833333333333328</v>
      </c>
      <c r="CF2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22</v>
      </c>
      <c r="CG29" s="57" cm="1">
        <f t="array" ref="CG2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29" s="56" t="s">
        <v>979</v>
      </c>
      <c r="CJ29" s="56" t="s">
        <v>186</v>
      </c>
      <c r="CK29" s="58">
        <v>0.85347222222222219</v>
      </c>
      <c r="CL2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22</v>
      </c>
      <c r="CM29" s="57" cm="1">
        <f t="array" ref="CM2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29" s="56" t="s">
        <v>168</v>
      </c>
      <c r="CP29" s="56" t="s">
        <v>186</v>
      </c>
      <c r="CQ29" s="58">
        <v>0.84236111111111112</v>
      </c>
      <c r="CR2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22</v>
      </c>
      <c r="CS29" s="57" cm="1">
        <f t="array" ref="CS2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29" s="56" t="s">
        <v>148</v>
      </c>
      <c r="CV29" s="56"/>
      <c r="CW29" s="58">
        <v>0.84166666666666667</v>
      </c>
      <c r="CX2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22</v>
      </c>
      <c r="CY29" s="57" cm="1">
        <f t="array" ref="CY2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29" s="56" t="s">
        <v>890</v>
      </c>
      <c r="DB29" s="56"/>
      <c r="DC29" s="58">
        <v>0.8666666666666667</v>
      </c>
      <c r="DD2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22</v>
      </c>
      <c r="DE29" s="57" cm="1">
        <f t="array" ref="DE2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29" s="56" t="s">
        <v>928</v>
      </c>
      <c r="DH29" s="56"/>
      <c r="DI29" s="58">
        <v>0.84791666666666665</v>
      </c>
      <c r="DJ2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22</v>
      </c>
      <c r="DK29" s="57" cm="1">
        <f t="array" ref="DK2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29" s="56" t="str">
        <f>IF('Weekly Attendance'!AA242="Yes",'Weekly Attendance'!$D242,"")</f>
        <v>Mark Ejakpomewhe</v>
      </c>
      <c r="DN29" s="56" t="s">
        <v>186</v>
      </c>
      <c r="DO29" s="58">
        <v>0.83611111111111114</v>
      </c>
      <c r="DP2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42</v>
      </c>
      <c r="DQ29" s="57" cm="1">
        <f t="array" ref="DQ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0" spans="1:121">
      <c r="A30" s="16">
        <v>23</v>
      </c>
      <c r="B30" s="86"/>
      <c r="C30" s="56" t="s">
        <v>1013</v>
      </c>
      <c r="D30" s="56"/>
      <c r="E30" s="58">
        <v>0.8569444444444444</v>
      </c>
      <c r="F30" s="57">
        <f>IFERROR(IF(Table4[[#This Row],[Name]]="","",IFERROR(IF(Table4[[#This Row],[Time]]="","TBD",D$2-COUNTIF(Table4[Time],"&lt;"&amp;Table4[[#This Row],[Time]])),""))-(COUNTIF(Table4[Time],Table4[[#This Row],[Time]])-1),"")</f>
        <v>23</v>
      </c>
      <c r="G30" s="57" cm="1">
        <f t="array" ref="G3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0" s="56" t="s">
        <v>1014</v>
      </c>
      <c r="J30" s="56"/>
      <c r="K30" s="58">
        <v>0.85486111111111107</v>
      </c>
      <c r="L30" s="57">
        <f>IFERROR(IF(Table9[[#This Row],[Name]]="","",IFERROR(IF(Table9[[#This Row],[Time]]="","TBD",J$2-COUNTIF(Table9[Time],"&lt;"&amp;Table9[[#This Row],[Time]])),""))-(COUNTIF(Table9[Time],Table9[[#This Row],[Time]])-1),"")</f>
        <v>22</v>
      </c>
      <c r="M30" s="57" cm="1">
        <f t="array" ref="M3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4</v>
      </c>
      <c r="O30" s="56" t="s">
        <v>993</v>
      </c>
      <c r="P30" s="56" t="s">
        <v>186</v>
      </c>
      <c r="Q30" s="58">
        <v>0.85486111111111107</v>
      </c>
      <c r="R30" s="57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0" s="57" cm="1">
        <f t="array" ref="S3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30" s="56" t="s">
        <v>1015</v>
      </c>
      <c r="V30" s="56"/>
      <c r="W30" s="58">
        <v>0.86111111111111116</v>
      </c>
      <c r="X30" s="57">
        <f>IFERROR(IF(Table2[[#This Row],[Name]]="","",IFERROR(IF(Table2[[#This Row],[Time]]="","TBD",V$2-COUNTIF(Table2[Time],"&lt;"&amp;Table2[[#This Row],[Time]])),""))-(COUNTIF(Table2[Time],Table2[[#This Row],[Time]])-1),"")</f>
        <v>22</v>
      </c>
      <c r="Y30" s="57" cm="1">
        <f t="array" ref="Y3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4</v>
      </c>
      <c r="AA30" s="56" t="s">
        <v>938</v>
      </c>
      <c r="AB30" s="56" t="s">
        <v>186</v>
      </c>
      <c r="AC30" s="58">
        <v>0.84236111111111112</v>
      </c>
      <c r="AD30" s="57">
        <f>IFERROR(IF(Table211[[#This Row],[Name]]="","",IFERROR(IF(Table211[[#This Row],[Time]]="","TBD",AB$2-COUNTIF(Table211[Time],"&lt;"&amp;Table211[[#This Row],[Time]])),""))-(COUNTIF(Table211[Time],Table211[[#This Row],[Time]])-1),"")</f>
        <v>23</v>
      </c>
      <c r="AE30" s="57" cm="1">
        <f t="array" ref="AE3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0" s="56" t="s">
        <v>903</v>
      </c>
      <c r="AH30" s="56" t="s">
        <v>186</v>
      </c>
      <c r="AI30" s="58">
        <v>0.8569444444444444</v>
      </c>
      <c r="AJ3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22</v>
      </c>
      <c r="AK30" s="57" cm="1">
        <f t="array" ref="AK3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0" s="56" t="s">
        <v>1016</v>
      </c>
      <c r="AN30" s="56" t="s">
        <v>186</v>
      </c>
      <c r="AO30" s="58">
        <v>0.85138888888888886</v>
      </c>
      <c r="AP3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23</v>
      </c>
      <c r="AQ30" s="57" cm="1">
        <f t="array" ref="AQ3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3</v>
      </c>
      <c r="AS30" s="56" t="s">
        <v>941</v>
      </c>
      <c r="AT30" s="56" t="s">
        <v>420</v>
      </c>
      <c r="AU30" s="58">
        <v>0.8569444444444444</v>
      </c>
      <c r="AV3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0" s="57" cm="1">
        <f t="array" ref="AW3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3</v>
      </c>
      <c r="AY30" s="56" t="s">
        <v>970</v>
      </c>
      <c r="AZ30" s="56"/>
      <c r="BA30" s="58">
        <v>0.8618055555555556</v>
      </c>
      <c r="BB3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22</v>
      </c>
      <c r="BC30" s="57" cm="1">
        <f t="array" ref="BC3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30" s="56" t="s">
        <v>142</v>
      </c>
      <c r="BF30" s="56"/>
      <c r="BG30" s="58">
        <v>0.87013888888888891</v>
      </c>
      <c r="BH3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23</v>
      </c>
      <c r="BI30" s="57" cm="1">
        <f t="array" ref="BI3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4</v>
      </c>
      <c r="BK30" s="56" t="s">
        <v>916</v>
      </c>
      <c r="BL30" s="56"/>
      <c r="BM30" s="58">
        <v>0.85833333333333328</v>
      </c>
      <c r="BN3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23</v>
      </c>
      <c r="BO30" s="57" cm="1">
        <f t="array" ref="BO3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4</v>
      </c>
      <c r="BQ30" s="56" t="s">
        <v>1017</v>
      </c>
      <c r="BR30" s="56"/>
      <c r="BS30" s="58">
        <v>0.85277777777777775</v>
      </c>
      <c r="BT3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23</v>
      </c>
      <c r="BU30" s="57" cm="1">
        <f t="array" ref="BU3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0" s="56" t="s">
        <v>956</v>
      </c>
      <c r="BX30" s="56"/>
      <c r="BY30" s="58">
        <v>0.85555555555555551</v>
      </c>
      <c r="BZ3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23</v>
      </c>
      <c r="CA30" s="57" cm="1">
        <f t="array" ref="CA3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0" s="56" t="s">
        <v>886</v>
      </c>
      <c r="CD30" s="56"/>
      <c r="CE30" s="58">
        <v>0.8569444444444444</v>
      </c>
      <c r="CF3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23</v>
      </c>
      <c r="CG30" s="57" cm="1">
        <f t="array" ref="CG3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0" s="56" t="s">
        <v>979</v>
      </c>
      <c r="CJ30" s="56" t="s">
        <v>186</v>
      </c>
      <c r="CK30" s="58">
        <v>0.85347222222222219</v>
      </c>
      <c r="CL3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22</v>
      </c>
      <c r="CM30" s="57" cm="1">
        <f t="array" ref="CM3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0" s="56" t="s">
        <v>1018</v>
      </c>
      <c r="CP30" s="56" t="s">
        <v>186</v>
      </c>
      <c r="CQ30" s="58">
        <v>0.83750000000000002</v>
      </c>
      <c r="CR3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23</v>
      </c>
      <c r="CS30" s="57" cm="1">
        <f t="array" ref="CS3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0" s="56" t="s">
        <v>970</v>
      </c>
      <c r="CV30" s="56"/>
      <c r="CW30" s="58">
        <v>0.83958333333333335</v>
      </c>
      <c r="CX3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23</v>
      </c>
      <c r="CY30" s="57" cm="1">
        <f t="array" ref="CY3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0" s="56" t="s">
        <v>129</v>
      </c>
      <c r="DB30" s="56"/>
      <c r="DC30" s="58">
        <v>0.86458333333333337</v>
      </c>
      <c r="DD3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23</v>
      </c>
      <c r="DE30" s="57" cm="1">
        <f t="array" ref="DE3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4</v>
      </c>
      <c r="DG30" s="56" t="s">
        <v>999</v>
      </c>
      <c r="DH30" s="56" t="s">
        <v>186</v>
      </c>
      <c r="DI30" s="58">
        <v>0.84791666666666665</v>
      </c>
      <c r="DJ3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22</v>
      </c>
      <c r="DK30" s="57" cm="1">
        <f t="array" ref="DK3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0" s="56" t="str">
        <f>IF('Weekly Attendance'!AA264="Yes",'Weekly Attendance'!$D264,"")</f>
        <v>Muhammad Abdullah</v>
      </c>
      <c r="DN30" s="56" t="s">
        <v>186</v>
      </c>
      <c r="DO30" s="58">
        <v>0.8354166666666667</v>
      </c>
      <c r="DP3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43</v>
      </c>
      <c r="DQ30" s="57" cm="1">
        <f t="array" ref="DQ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1" spans="1:121">
      <c r="A31" s="16">
        <v>24</v>
      </c>
      <c r="B31" s="86"/>
      <c r="C31" s="56" t="s">
        <v>997</v>
      </c>
      <c r="D31" s="56"/>
      <c r="E31" s="58">
        <v>0.85624999999999996</v>
      </c>
      <c r="F31" s="57">
        <f>IFERROR(IF(Table4[[#This Row],[Name]]="","",IFERROR(IF(Table4[[#This Row],[Time]]="","TBD",D$2-COUNTIF(Table4[Time],"&lt;"&amp;Table4[[#This Row],[Time]])),""))-(COUNTIF(Table4[Time],Table4[[#This Row],[Time]])-1),"")</f>
        <v>24</v>
      </c>
      <c r="G31" s="57" cm="1">
        <f t="array" ref="G3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1" s="56" t="s">
        <v>891</v>
      </c>
      <c r="J31" s="56" t="s">
        <v>186</v>
      </c>
      <c r="K31" s="58">
        <v>0.85347222222222219</v>
      </c>
      <c r="L31" s="57">
        <f>IFERROR(IF(Table9[[#This Row],[Name]]="","",IFERROR(IF(Table9[[#This Row],[Time]]="","TBD",J$2-COUNTIF(Table9[Time],"&lt;"&amp;Table9[[#This Row],[Time]])),""))-(COUNTIF(Table9[Time],Table9[[#This Row],[Time]])-1),"")</f>
        <v>24</v>
      </c>
      <c r="M31" s="57" cm="1">
        <f t="array" ref="M3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1" s="56" t="s">
        <v>995</v>
      </c>
      <c r="P31" s="56"/>
      <c r="Q31" s="58">
        <v>0.85486111111111107</v>
      </c>
      <c r="R31" s="57">
        <f>IFERROR(IF(Table18[[#This Row],[Name]]="","",IFERROR(IF(Table18[[#This Row],[Time]]="","TBD",P$2-COUNTIF(Table18[Time],"&lt;"&amp;Table18[[#This Row],[Time]])),""))-(COUNTIF(Table18[Time],Table18[[#This Row],[Time]])-1),"")</f>
        <v>23</v>
      </c>
      <c r="S31" s="57" cm="1">
        <f t="array" ref="S3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4</v>
      </c>
      <c r="U31" s="56" t="s">
        <v>935</v>
      </c>
      <c r="V31" s="56"/>
      <c r="W31" s="58">
        <v>0.85833333333333328</v>
      </c>
      <c r="X31" s="57">
        <f>IFERROR(IF(Table2[[#This Row],[Name]]="","",IFERROR(IF(Table2[[#This Row],[Time]]="","TBD",V$2-COUNTIF(Table2[Time],"&lt;"&amp;Table2[[#This Row],[Time]])),""))-(COUNTIF(Table2[Time],Table2[[#This Row],[Time]])-1),"")</f>
        <v>24</v>
      </c>
      <c r="Y31" s="57" cm="1">
        <f t="array" ref="Y3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1" s="56" t="s">
        <v>1019</v>
      </c>
      <c r="AB31" s="56"/>
      <c r="AC31" s="58">
        <v>0.84027777777777779</v>
      </c>
      <c r="AD31" s="57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1" s="57" cm="1">
        <f t="array" ref="AE3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1" s="56" t="s">
        <v>160</v>
      </c>
      <c r="AH31" s="56"/>
      <c r="AI31" s="58">
        <v>0.85416666666666663</v>
      </c>
      <c r="AJ3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24</v>
      </c>
      <c r="AK31" s="57" cm="1">
        <f t="array" ref="AK3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1" s="56" t="s">
        <v>53</v>
      </c>
      <c r="AN31" s="56" t="s">
        <v>186</v>
      </c>
      <c r="AO31" s="58">
        <v>0.85069444444444442</v>
      </c>
      <c r="AP3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24</v>
      </c>
      <c r="AQ31" s="57" cm="1">
        <f t="array" ref="AQ3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1" s="56" t="s">
        <v>978</v>
      </c>
      <c r="AT31" s="56"/>
      <c r="AU31" s="58">
        <v>0.8569444444444444</v>
      </c>
      <c r="AV3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22</v>
      </c>
      <c r="AW31" s="57" cm="1">
        <f t="array" ref="AW3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4</v>
      </c>
      <c r="AY31" s="56" t="s">
        <v>907</v>
      </c>
      <c r="AZ31" s="56"/>
      <c r="BA31" s="58">
        <v>0.86111111111111116</v>
      </c>
      <c r="BB3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24</v>
      </c>
      <c r="BC31" s="57" cm="1">
        <f t="array" ref="BC3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4</v>
      </c>
      <c r="BE31" s="56" t="s">
        <v>973</v>
      </c>
      <c r="BF31" s="56"/>
      <c r="BG31" s="58">
        <v>0.86944444444444446</v>
      </c>
      <c r="BH3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24</v>
      </c>
      <c r="BI31" s="57" cm="1">
        <f t="array" ref="BI3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1" s="56" t="s">
        <v>922</v>
      </c>
      <c r="BL31" s="56" t="s">
        <v>186</v>
      </c>
      <c r="BM31" s="58">
        <v>0.85486111111111107</v>
      </c>
      <c r="BN3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24</v>
      </c>
      <c r="BO31" s="57" cm="1">
        <f t="array" ref="BO3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1" s="56" t="s">
        <v>971</v>
      </c>
      <c r="BR31" s="56"/>
      <c r="BS31" s="58">
        <v>0.85</v>
      </c>
      <c r="BT3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24</v>
      </c>
      <c r="BU31" s="57" cm="1">
        <f t="array" ref="BU3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1" s="56" t="s">
        <v>979</v>
      </c>
      <c r="BX31" s="56" t="s">
        <v>186</v>
      </c>
      <c r="BY31" s="58">
        <v>0.85486111111111107</v>
      </c>
      <c r="BZ3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24</v>
      </c>
      <c r="CA31" s="57" cm="1">
        <f t="array" ref="CA3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1" s="56" t="s">
        <v>47</v>
      </c>
      <c r="CD31" s="56" t="s">
        <v>186</v>
      </c>
      <c r="CE31" s="58">
        <v>0.8569444444444444</v>
      </c>
      <c r="CF3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23</v>
      </c>
      <c r="CG31" s="57" cm="1">
        <f t="array" ref="CG3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1" s="56" t="s">
        <v>960</v>
      </c>
      <c r="CJ31" s="56" t="s">
        <v>186</v>
      </c>
      <c r="CK31" s="58">
        <v>0.85277777777777775</v>
      </c>
      <c r="CL3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24</v>
      </c>
      <c r="CM31" s="57" cm="1">
        <f t="array" ref="CM3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1" s="56" t="s">
        <v>954</v>
      </c>
      <c r="CP31" s="56" t="s">
        <v>186</v>
      </c>
      <c r="CQ31" s="58">
        <v>0.83472222222222225</v>
      </c>
      <c r="CR3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24</v>
      </c>
      <c r="CS31" s="57" cm="1">
        <f t="array" ref="CS3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1" s="56" t="s">
        <v>956</v>
      </c>
      <c r="CV31" s="56" t="s">
        <v>186</v>
      </c>
      <c r="CW31" s="58">
        <v>0.83750000000000002</v>
      </c>
      <c r="CX3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24</v>
      </c>
      <c r="CY31" s="57" cm="1">
        <f t="array" ref="CY3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1" s="56" t="s">
        <v>93</v>
      </c>
      <c r="DB31" s="56"/>
      <c r="DC31" s="58">
        <v>0.86388888888888893</v>
      </c>
      <c r="DD3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24</v>
      </c>
      <c r="DE31" s="57" cm="1">
        <f t="array" ref="DE3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1" s="56" t="s">
        <v>964</v>
      </c>
      <c r="DH31" s="56" t="s">
        <v>186</v>
      </c>
      <c r="DI31" s="58">
        <v>0.84722222222222221</v>
      </c>
      <c r="DJ3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24</v>
      </c>
      <c r="DK31" s="57" cm="1">
        <f t="array" ref="DK3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1" s="56" t="str">
        <f>IF('Weekly Attendance'!AA180="Yes",'Weekly Attendance'!$D180,"")</f>
        <v>Ian Imrie</v>
      </c>
      <c r="DN31" s="56" t="s">
        <v>186</v>
      </c>
      <c r="DO31" s="58">
        <v>0.8354166666666667</v>
      </c>
      <c r="DP3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43</v>
      </c>
      <c r="DQ31" s="57" cm="1">
        <f t="array" ref="DQ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2" spans="1:121">
      <c r="A32" s="16">
        <v>25</v>
      </c>
      <c r="B32" s="86"/>
      <c r="C32" s="56" t="s">
        <v>907</v>
      </c>
      <c r="D32" s="56"/>
      <c r="E32" s="58">
        <v>0.85555555555555551</v>
      </c>
      <c r="F32" s="57">
        <f>IFERROR(IF(Table4[[#This Row],[Name]]="","",IFERROR(IF(Table4[[#This Row],[Time]]="","TBD",D$2-COUNTIF(Table4[Time],"&lt;"&amp;Table4[[#This Row],[Time]])),""))-(COUNTIF(Table4[Time],Table4[[#This Row],[Time]])-1),"")</f>
        <v>25</v>
      </c>
      <c r="G32" s="57" cm="1">
        <f t="array" ref="G3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2" s="56" t="s">
        <v>38</v>
      </c>
      <c r="J32" s="56"/>
      <c r="K32" s="58">
        <v>0.84930555555555554</v>
      </c>
      <c r="L32" s="57">
        <f>IFERROR(IF(Table9[[#This Row],[Name]]="","",IFERROR(IF(Table9[[#This Row],[Time]]="","TBD",J$2-COUNTIF(Table9[Time],"&lt;"&amp;Table9[[#This Row],[Time]])),""))-(COUNTIF(Table9[Time],Table9[[#This Row],[Time]])-1),"")</f>
        <v>25</v>
      </c>
      <c r="M32" s="57" cm="1">
        <f t="array" ref="M3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2" s="56" t="s">
        <v>977</v>
      </c>
      <c r="P32" s="56" t="s">
        <v>186</v>
      </c>
      <c r="Q32" s="58">
        <v>0.85277777777777775</v>
      </c>
      <c r="R32" s="57">
        <f>IFERROR(IF(Table18[[#This Row],[Name]]="","",IFERROR(IF(Table18[[#This Row],[Time]]="","TBD",P$2-COUNTIF(Table18[Time],"&lt;"&amp;Table18[[#This Row],[Time]])),""))-(COUNTIF(Table18[Time],Table18[[#This Row],[Time]])-1),"")</f>
        <v>25</v>
      </c>
      <c r="S32" s="57" cm="1">
        <f t="array" ref="S3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3</v>
      </c>
      <c r="U32" s="56" t="s">
        <v>958</v>
      </c>
      <c r="V32" s="56"/>
      <c r="W32" s="58">
        <v>0.85763888888888884</v>
      </c>
      <c r="X32" s="57">
        <f>IFERROR(IF(Table2[[#This Row],[Name]]="","",IFERROR(IF(Table2[[#This Row],[Time]]="","TBD",V$2-COUNTIF(Table2[Time],"&lt;"&amp;Table2[[#This Row],[Time]])),""))-(COUNTIF(Table2[Time],Table2[[#This Row],[Time]])-1),"")</f>
        <v>25</v>
      </c>
      <c r="Y32" s="57" cm="1">
        <f t="array" ref="Y3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2" s="56" t="s">
        <v>888</v>
      </c>
      <c r="AB32" s="56" t="s">
        <v>186</v>
      </c>
      <c r="AC32" s="58">
        <v>0.84027777777777779</v>
      </c>
      <c r="AD32" s="57">
        <f>IFERROR(IF(Table211[[#This Row],[Name]]="","",IFERROR(IF(Table211[[#This Row],[Time]]="","TBD",AB$2-COUNTIF(Table211[Time],"&lt;"&amp;Table211[[#This Row],[Time]])),""))-(COUNTIF(Table211[Time],Table211[[#This Row],[Time]])-1),"")</f>
        <v>24</v>
      </c>
      <c r="AE32" s="57" cm="1">
        <f t="array" ref="AE3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2" s="56" t="s">
        <v>162</v>
      </c>
      <c r="AH32" s="56" t="s">
        <v>186</v>
      </c>
      <c r="AI32" s="58">
        <v>0.85138888888888886</v>
      </c>
      <c r="AJ3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25</v>
      </c>
      <c r="AK32" s="57" cm="1">
        <f t="array" ref="AK3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2" s="56" t="s">
        <v>109</v>
      </c>
      <c r="AN32" s="56" t="s">
        <v>186</v>
      </c>
      <c r="AO32" s="58">
        <v>0.84861111111111109</v>
      </c>
      <c r="AP3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2" s="57" cm="1">
        <f t="array" ref="AQ3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2" s="105" t="s">
        <v>162</v>
      </c>
      <c r="AT32" s="56" t="s">
        <v>186</v>
      </c>
      <c r="AU32" s="58">
        <v>0.85347222222222219</v>
      </c>
      <c r="AV3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25</v>
      </c>
      <c r="AW32" s="57" cm="1">
        <f t="array" ref="AW3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2" s="56" t="s">
        <v>923</v>
      </c>
      <c r="AZ32" s="56"/>
      <c r="BA32" s="58">
        <v>0.86041666666666672</v>
      </c>
      <c r="BB3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25</v>
      </c>
      <c r="BC32" s="57" cm="1">
        <f t="array" ref="BC3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2" s="56" t="s">
        <v>891</v>
      </c>
      <c r="BF32" s="56"/>
      <c r="BG32" s="58">
        <v>0.86597222222222225</v>
      </c>
      <c r="BH3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25</v>
      </c>
      <c r="BI32" s="57" cm="1">
        <f t="array" ref="BI3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2" s="56" t="s">
        <v>47</v>
      </c>
      <c r="BL32" s="56"/>
      <c r="BM32" s="58">
        <v>0.85416666666666663</v>
      </c>
      <c r="BN3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25</v>
      </c>
      <c r="BO32" s="57" cm="1">
        <f t="array" ref="BO3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2" s="56" t="s">
        <v>973</v>
      </c>
      <c r="BR32" s="56" t="s">
        <v>186</v>
      </c>
      <c r="BS32" s="58">
        <v>0.85</v>
      </c>
      <c r="BT3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24</v>
      </c>
      <c r="BU32" s="57" cm="1">
        <f t="array" ref="BU3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2" s="56" t="s">
        <v>896</v>
      </c>
      <c r="BX32" s="56"/>
      <c r="BY32" s="58">
        <v>0.85416666666666663</v>
      </c>
      <c r="BZ3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25</v>
      </c>
      <c r="CA32" s="57" cm="1">
        <f t="array" ref="CA3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2" s="56" t="s">
        <v>947</v>
      </c>
      <c r="CD32" s="56" t="s">
        <v>186</v>
      </c>
      <c r="CE32" s="58">
        <v>0.85277777777777775</v>
      </c>
      <c r="CF3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25</v>
      </c>
      <c r="CG32" s="57" cm="1">
        <f t="array" ref="CG3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2" s="56" t="s">
        <v>960</v>
      </c>
      <c r="CJ32" s="56" t="s">
        <v>186</v>
      </c>
      <c r="CK32" s="58">
        <v>0.85277777777777775</v>
      </c>
      <c r="CL3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24</v>
      </c>
      <c r="CM32" s="57" cm="1">
        <f t="array" ref="CM3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2" s="56" t="s">
        <v>918</v>
      </c>
      <c r="CP32" s="56"/>
      <c r="CQ32" s="58">
        <v>0.83125000000000004</v>
      </c>
      <c r="CR3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25</v>
      </c>
      <c r="CS32" s="57" cm="1">
        <f t="array" ref="CS3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2" s="56" t="s">
        <v>964</v>
      </c>
      <c r="CV32" s="56" t="s">
        <v>186</v>
      </c>
      <c r="CW32" s="58">
        <v>0.83680555555555558</v>
      </c>
      <c r="CX3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25</v>
      </c>
      <c r="CY32" s="57" cm="1">
        <f t="array" ref="CY3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2" s="56" t="s">
        <v>979</v>
      </c>
      <c r="DB32" s="56"/>
      <c r="DC32" s="58">
        <v>0.86388888888888893</v>
      </c>
      <c r="DD3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24</v>
      </c>
      <c r="DE32" s="57" cm="1">
        <f t="array" ref="DE3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2" s="56" t="s">
        <v>892</v>
      </c>
      <c r="DH32" s="56" t="s">
        <v>186</v>
      </c>
      <c r="DI32" s="58">
        <v>0.83333333333333337</v>
      </c>
      <c r="DJ3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2" s="57" cm="1">
        <f t="array" ref="DK3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2" s="56" t="str">
        <f>IF('Weekly Attendance'!AA237="Yes",'Weekly Attendance'!$D237,"")</f>
        <v>Mahbod Miraly</v>
      </c>
      <c r="DN32" s="56"/>
      <c r="DO32" s="58">
        <v>0.83263888888888893</v>
      </c>
      <c r="DP3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45</v>
      </c>
      <c r="DQ32" s="57" cm="1">
        <f t="array" ref="DQ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3" spans="1:121">
      <c r="A33" s="16">
        <v>26</v>
      </c>
      <c r="B33" s="86"/>
      <c r="C33" s="56" t="s">
        <v>23</v>
      </c>
      <c r="D33" s="56"/>
      <c r="E33" s="58">
        <v>0.85347222222222219</v>
      </c>
      <c r="F33" s="57">
        <f>IFERROR(IF(Table4[[#This Row],[Name]]="","",IFERROR(IF(Table4[[#This Row],[Time]]="","TBD",D$2-COUNTIF(Table4[Time],"&lt;"&amp;Table4[[#This Row],[Time]])),""))-(COUNTIF(Table4[Time],Table4[[#This Row],[Time]])-1),"")</f>
        <v>26</v>
      </c>
      <c r="G33" s="57" cm="1">
        <f t="array" ref="G3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3" s="56" t="s">
        <v>1020</v>
      </c>
      <c r="J33" s="56"/>
      <c r="K33" s="58">
        <v>0.84791666666666665</v>
      </c>
      <c r="L33" s="57">
        <f>IFERROR(IF(Table9[[#This Row],[Name]]="","",IFERROR(IF(Table9[[#This Row],[Time]]="","TBD",J$2-COUNTIF(Table9[Time],"&lt;"&amp;Table9[[#This Row],[Time]])),""))-(COUNTIF(Table9[Time],Table9[[#This Row],[Time]])-1),"")</f>
        <v>26</v>
      </c>
      <c r="M33" s="57" cm="1">
        <f t="array" ref="M3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3" s="56" t="s">
        <v>166</v>
      </c>
      <c r="P33" s="56"/>
      <c r="Q33" s="58">
        <v>0.84930555555555554</v>
      </c>
      <c r="R33" s="57">
        <f>IFERROR(IF(Table18[[#This Row],[Name]]="","",IFERROR(IF(Table18[[#This Row],[Time]]="","TBD",P$2-COUNTIF(Table18[Time],"&lt;"&amp;Table18[[#This Row],[Time]])),""))-(COUNTIF(Table18[Time],Table18[[#This Row],[Time]])-1),"")</f>
        <v>26</v>
      </c>
      <c r="S33" s="57" cm="1">
        <f t="array" ref="S3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3" s="56" t="s">
        <v>43</v>
      </c>
      <c r="V33" s="56"/>
      <c r="W33" s="58">
        <v>0.8569444444444444</v>
      </c>
      <c r="X33" s="57">
        <f>IFERROR(IF(Table2[[#This Row],[Name]]="","",IFERROR(IF(Table2[[#This Row],[Time]]="","TBD",V$2-COUNTIF(Table2[Time],"&lt;"&amp;Table2[[#This Row],[Time]])),""))-(COUNTIF(Table2[Time],Table2[[#This Row],[Time]])-1),"")</f>
        <v>26</v>
      </c>
      <c r="Y33" s="57" cm="1">
        <f t="array" ref="Y3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3" s="56" t="s">
        <v>1016</v>
      </c>
      <c r="AB33" s="56"/>
      <c r="AC33" s="58">
        <v>0.83680555555555558</v>
      </c>
      <c r="AD33" s="57">
        <f>IFERROR(IF(Table211[[#This Row],[Name]]="","",IFERROR(IF(Table211[[#This Row],[Time]]="","TBD",AB$2-COUNTIF(Table211[Time],"&lt;"&amp;Table211[[#This Row],[Time]])),""))-(COUNTIF(Table211[Time],Table211[[#This Row],[Time]])-1),"")</f>
        <v>26</v>
      </c>
      <c r="AE33" s="57" cm="1">
        <f t="array" ref="AE3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3" s="56" t="s">
        <v>144</v>
      </c>
      <c r="AH33" s="56" t="s">
        <v>186</v>
      </c>
      <c r="AI33" s="58">
        <v>0.85069444444444442</v>
      </c>
      <c r="AJ3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26</v>
      </c>
      <c r="AK33" s="57" cm="1">
        <f t="array" ref="AK3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3" s="106" t="s">
        <v>951</v>
      </c>
      <c r="AN33" s="56" t="s">
        <v>186</v>
      </c>
      <c r="AO33" s="58">
        <v>0.84861111111111109</v>
      </c>
      <c r="AP3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3" s="57" cm="1">
        <f t="array" ref="AQ3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3" s="56" t="s">
        <v>1021</v>
      </c>
      <c r="AT33" s="56" t="s">
        <v>186</v>
      </c>
      <c r="AU33" s="58">
        <v>0.85277777777777775</v>
      </c>
      <c r="AV3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26</v>
      </c>
      <c r="AW33" s="57" cm="1">
        <f t="array" ref="AW3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3" s="56" t="s">
        <v>908</v>
      </c>
      <c r="AZ33" s="56" t="s">
        <v>186</v>
      </c>
      <c r="BA33" s="58">
        <v>0.85763888888888884</v>
      </c>
      <c r="BB3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26</v>
      </c>
      <c r="BC33" s="57" cm="1">
        <f t="array" ref="BC3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3" s="56" t="s">
        <v>41</v>
      </c>
      <c r="BF33" s="56"/>
      <c r="BG33" s="58">
        <v>0.86527777777777781</v>
      </c>
      <c r="BH3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26</v>
      </c>
      <c r="BI33" s="57" cm="1">
        <f t="array" ref="BI3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3" s="56" t="s">
        <v>1022</v>
      </c>
      <c r="BL33" s="56"/>
      <c r="BM33" s="58">
        <v>0.85347222222222219</v>
      </c>
      <c r="BN3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26</v>
      </c>
      <c r="BO33" s="57" cm="1">
        <f t="array" ref="BO3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3" s="56" t="s">
        <v>962</v>
      </c>
      <c r="BR33" s="56"/>
      <c r="BS33" s="58">
        <v>0.84930555555555554</v>
      </c>
      <c r="BT3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26</v>
      </c>
      <c r="BU33" s="57" cm="1">
        <f t="array" ref="BU3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3" s="56" t="s">
        <v>148</v>
      </c>
      <c r="BX33" s="56"/>
      <c r="BY33" s="58">
        <v>0.85416666666666663</v>
      </c>
      <c r="BZ3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25</v>
      </c>
      <c r="CA33" s="57" cm="1">
        <f t="array" ref="CA3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3" s="56" t="s">
        <v>101</v>
      </c>
      <c r="CD33" s="56" t="s">
        <v>186</v>
      </c>
      <c r="CE33" s="58">
        <v>0.85069444444444442</v>
      </c>
      <c r="CF3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26</v>
      </c>
      <c r="CG33" s="57" cm="1">
        <f t="array" ref="CG3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3" s="56" t="s">
        <v>993</v>
      </c>
      <c r="CJ33" s="56" t="s">
        <v>190</v>
      </c>
      <c r="CK33" s="58">
        <v>0.85</v>
      </c>
      <c r="CL3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26</v>
      </c>
      <c r="CM33" s="57" cm="1">
        <f t="array" ref="CM3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3" s="56" t="s">
        <v>931</v>
      </c>
      <c r="CP33" s="56"/>
      <c r="CQ33" s="58">
        <v>0.82986111111111116</v>
      </c>
      <c r="CR3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26</v>
      </c>
      <c r="CS33" s="57" cm="1">
        <f t="array" ref="CS3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3" s="56" t="s">
        <v>129</v>
      </c>
      <c r="CV33" s="56"/>
      <c r="CW33" s="58">
        <v>0.83472222222222225</v>
      </c>
      <c r="CX3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26</v>
      </c>
      <c r="CY33" s="57" cm="1">
        <f t="array" ref="CY3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3" s="56" t="s">
        <v>963</v>
      </c>
      <c r="DB33" s="56" t="s">
        <v>186</v>
      </c>
      <c r="DC33" s="58">
        <v>0.86250000000000004</v>
      </c>
      <c r="DD3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26</v>
      </c>
      <c r="DE33" s="57" cm="1">
        <f t="array" ref="DE3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3" s="56" t="s">
        <v>890</v>
      </c>
      <c r="DH33" s="56" t="s">
        <v>186</v>
      </c>
      <c r="DI33" s="58">
        <v>0.83333333333333337</v>
      </c>
      <c r="DJ3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3" s="57" cm="1">
        <f t="array" ref="DK3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3" s="56" t="str">
        <f>IF('Weekly Attendance'!AA149="Yes",'Weekly Attendance'!$D149,"")</f>
        <v>Dominic Chiera</v>
      </c>
      <c r="DN33" s="56" t="s">
        <v>186</v>
      </c>
      <c r="DO33" s="58">
        <v>0.8305555555555556</v>
      </c>
      <c r="DP3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46</v>
      </c>
      <c r="DQ33" s="57" cm="1">
        <f t="array" ref="DQ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4" spans="1:121">
      <c r="A34" s="16">
        <v>27</v>
      </c>
      <c r="B34" s="86"/>
      <c r="C34" s="56" t="s">
        <v>904</v>
      </c>
      <c r="D34" s="56"/>
      <c r="E34" s="58">
        <v>0.85277777777777775</v>
      </c>
      <c r="F34" s="57">
        <f>IFERROR(IF(Table4[[#This Row],[Name]]="","",IFERROR(IF(Table4[[#This Row],[Time]]="","TBD",D$2-COUNTIF(Table4[Time],"&lt;"&amp;Table4[[#This Row],[Time]])),""))-(COUNTIF(Table4[Time],Table4[[#This Row],[Time]])-1),"")</f>
        <v>27</v>
      </c>
      <c r="G34" s="57" cm="1">
        <f t="array" ref="G3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4" s="56" t="s">
        <v>1023</v>
      </c>
      <c r="J34" s="56" t="s">
        <v>186</v>
      </c>
      <c r="K34" s="58">
        <v>0.84791666666666665</v>
      </c>
      <c r="L34" s="57">
        <f>IFERROR(IF(Table9[[#This Row],[Name]]="","",IFERROR(IF(Table9[[#This Row],[Time]]="","TBD",J$2-COUNTIF(Table9[Time],"&lt;"&amp;Table9[[#This Row],[Time]])),""))-(COUNTIF(Table9[Time],Table9[[#This Row],[Time]])-1),"")</f>
        <v>26</v>
      </c>
      <c r="M34" s="57" cm="1">
        <f t="array" ref="M3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4" s="56" t="s">
        <v>1024</v>
      </c>
      <c r="P34" s="56"/>
      <c r="Q34" s="58">
        <v>0.84791666666666665</v>
      </c>
      <c r="R34" s="57">
        <f>IFERROR(IF(Table18[[#This Row],[Name]]="","",IFERROR(IF(Table18[[#This Row],[Time]]="","TBD",P$2-COUNTIF(Table18[Time],"&lt;"&amp;Table18[[#This Row],[Time]])),""))-(COUNTIF(Table18[Time],Table18[[#This Row],[Time]])-1),"")</f>
        <v>27</v>
      </c>
      <c r="S34" s="57" cm="1">
        <f t="array" ref="S3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4" s="56" t="s">
        <v>951</v>
      </c>
      <c r="V34" s="56" t="s">
        <v>186</v>
      </c>
      <c r="W34" s="58">
        <v>0.85486111111111107</v>
      </c>
      <c r="X34" s="57">
        <f>IFERROR(IF(Table2[[#This Row],[Name]]="","",IFERROR(IF(Table2[[#This Row],[Time]]="","TBD",V$2-COUNTIF(Table2[Time],"&lt;"&amp;Table2[[#This Row],[Time]])),""))-(COUNTIF(Table2[Time],Table2[[#This Row],[Time]])-1),"")</f>
        <v>27</v>
      </c>
      <c r="Y34" s="57" cm="1">
        <f t="array" ref="Y3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4" s="56" t="s">
        <v>974</v>
      </c>
      <c r="AB34" s="56"/>
      <c r="AC34" s="58">
        <v>0.8354166666666667</v>
      </c>
      <c r="AD34" s="57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4" s="57" cm="1">
        <f t="array" ref="AE3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4" s="56" t="s">
        <v>910</v>
      </c>
      <c r="AH34" s="56" t="s">
        <v>186</v>
      </c>
      <c r="AI34" s="58">
        <v>0.84722222222222221</v>
      </c>
      <c r="AJ3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4" s="57" cm="1">
        <f t="array" ref="AK3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4" s="56" t="s">
        <v>956</v>
      </c>
      <c r="AN34" s="56"/>
      <c r="AO34" s="58">
        <v>0.84861111111111109</v>
      </c>
      <c r="AP3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4" s="57" cm="1">
        <f t="array" ref="AQ3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4" s="56" t="s">
        <v>937</v>
      </c>
      <c r="AT34" s="56"/>
      <c r="AU34" s="58">
        <v>0.85069444444444442</v>
      </c>
      <c r="AV3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27</v>
      </c>
      <c r="AW34" s="57" cm="1">
        <f t="array" ref="AW3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4" s="56" t="s">
        <v>929</v>
      </c>
      <c r="AZ34" s="56"/>
      <c r="BA34" s="58">
        <v>0.85555555555555551</v>
      </c>
      <c r="BB3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4" s="57" cm="1">
        <f t="array" ref="BC3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4" s="56" t="s">
        <v>53</v>
      </c>
      <c r="BF34" s="56"/>
      <c r="BG34" s="58">
        <v>0.86458333333333337</v>
      </c>
      <c r="BH3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27</v>
      </c>
      <c r="BI34" s="57" cm="1">
        <f t="array" ref="BI3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4" s="56" t="s">
        <v>965</v>
      </c>
      <c r="BL34" s="56" t="s">
        <v>186</v>
      </c>
      <c r="BM34" s="58">
        <v>0.8520833333333333</v>
      </c>
      <c r="BN3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27</v>
      </c>
      <c r="BO34" s="57" cm="1">
        <f t="array" ref="BO3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4" s="56" t="s">
        <v>890</v>
      </c>
      <c r="BR34" s="56" t="s">
        <v>186</v>
      </c>
      <c r="BS34" s="58">
        <v>0.84861111111111109</v>
      </c>
      <c r="BT3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27</v>
      </c>
      <c r="BU34" s="57" cm="1">
        <f t="array" ref="BU3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4" s="56" t="s">
        <v>103</v>
      </c>
      <c r="BX34" s="56" t="s">
        <v>186</v>
      </c>
      <c r="BY34" s="58">
        <v>0.85</v>
      </c>
      <c r="BZ3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27</v>
      </c>
      <c r="CA34" s="57" cm="1">
        <f t="array" ref="CA3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4" s="56" t="s">
        <v>162</v>
      </c>
      <c r="CD34" s="56"/>
      <c r="CE34" s="58">
        <v>0.85</v>
      </c>
      <c r="CF3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27</v>
      </c>
      <c r="CG34" s="57" cm="1">
        <f t="array" ref="CG3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4" s="56" t="s">
        <v>919</v>
      </c>
      <c r="CJ34" s="56" t="s">
        <v>190</v>
      </c>
      <c r="CK34" s="58">
        <v>0.84930555555555554</v>
      </c>
      <c r="CL3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27</v>
      </c>
      <c r="CM34" s="57" cm="1">
        <f t="array" ref="CM3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4" s="56" t="s">
        <v>1013</v>
      </c>
      <c r="CP34" s="56" t="s">
        <v>186</v>
      </c>
      <c r="CQ34" s="58">
        <v>0.82916666666666672</v>
      </c>
      <c r="CR3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27</v>
      </c>
      <c r="CS34" s="57" cm="1">
        <f t="array" ref="CS3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4" s="56" t="s">
        <v>132</v>
      </c>
      <c r="CV34" s="56" t="s">
        <v>186</v>
      </c>
      <c r="CW34" s="58">
        <v>0.82638888888888884</v>
      </c>
      <c r="CX3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27</v>
      </c>
      <c r="CY34" s="57" cm="1">
        <f t="array" ref="CY3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2</v>
      </c>
      <c r="DA34" s="56" t="s">
        <v>897</v>
      </c>
      <c r="DB34" s="56"/>
      <c r="DC34" s="58">
        <v>0.86111111111111116</v>
      </c>
      <c r="DD3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27</v>
      </c>
      <c r="DE34" s="57" cm="1">
        <f t="array" ref="DE3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4" s="56" t="s">
        <v>1002</v>
      </c>
      <c r="DH34" s="56" t="s">
        <v>186</v>
      </c>
      <c r="DI34" s="58">
        <v>0.83333333333333337</v>
      </c>
      <c r="DJ3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25</v>
      </c>
      <c r="DK34" s="57" cm="1">
        <f t="array" ref="DK3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4" s="56" t="str">
        <f>IF('Weekly Attendance'!AA65="Yes",'Weekly Attendance'!$D65,"")</f>
        <v>Sawyer Sanderson</v>
      </c>
      <c r="DN34" s="56" t="s">
        <v>186</v>
      </c>
      <c r="DO34" s="155">
        <v>0.82777777777777772</v>
      </c>
      <c r="DP3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47</v>
      </c>
      <c r="DQ34" s="57" cm="1">
        <f t="array" ref="DQ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5" spans="1:121">
      <c r="A35" s="16">
        <v>28</v>
      </c>
      <c r="B35" s="86"/>
      <c r="C35" s="56" t="s">
        <v>989</v>
      </c>
      <c r="D35" s="56"/>
      <c r="E35" s="58">
        <v>0.85069444444444442</v>
      </c>
      <c r="F35" s="57">
        <f>IFERROR(IF(Table4[[#This Row],[Name]]="","",IFERROR(IF(Table4[[#This Row],[Time]]="","TBD",D$2-COUNTIF(Table4[Time],"&lt;"&amp;Table4[[#This Row],[Time]])),""))-(COUNTIF(Table4[Time],Table4[[#This Row],[Time]])-1),"")</f>
        <v>28</v>
      </c>
      <c r="G35" s="57" cm="1">
        <f t="array" ref="G3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5" s="56" t="s">
        <v>103</v>
      </c>
      <c r="J35" s="56"/>
      <c r="K35" s="58">
        <v>0.84722222222222221</v>
      </c>
      <c r="L35" s="57">
        <f>IFERROR(IF(Table9[[#This Row],[Name]]="","",IFERROR(IF(Table9[[#This Row],[Time]]="","TBD",J$2-COUNTIF(Table9[Time],"&lt;"&amp;Table9[[#This Row],[Time]])),""))-(COUNTIF(Table9[Time],Table9[[#This Row],[Time]])-1),"")</f>
        <v>28</v>
      </c>
      <c r="M35" s="57" cm="1">
        <f t="array" ref="M3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5" s="56" t="s">
        <v>162</v>
      </c>
      <c r="P35" s="56"/>
      <c r="Q35" s="58">
        <v>0.84375</v>
      </c>
      <c r="R35" s="57">
        <f>IFERROR(IF(Table18[[#This Row],[Name]]="","",IFERROR(IF(Table18[[#This Row],[Time]]="","TBD",P$2-COUNTIF(Table18[Time],"&lt;"&amp;Table18[[#This Row],[Time]])),""))-(COUNTIF(Table18[Time],Table18[[#This Row],[Time]])-1),"")</f>
        <v>28</v>
      </c>
      <c r="S35" s="57" cm="1">
        <f t="array" ref="S3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5" s="56" t="s">
        <v>997</v>
      </c>
      <c r="V35" s="56"/>
      <c r="W35" s="58">
        <v>0.85277777777777775</v>
      </c>
      <c r="X35" s="57">
        <f>IFERROR(IF(Table2[[#This Row],[Name]]="","",IFERROR(IF(Table2[[#This Row],[Time]]="","TBD",V$2-COUNTIF(Table2[Time],"&lt;"&amp;Table2[[#This Row],[Time]])),""))-(COUNTIF(Table2[Time],Table2[[#This Row],[Time]])-1),"")</f>
        <v>28</v>
      </c>
      <c r="Y35" s="57" cm="1">
        <f t="array" ref="Y3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5" s="56" t="s">
        <v>1004</v>
      </c>
      <c r="AB35" s="56"/>
      <c r="AC35" s="58">
        <v>0.8354166666666667</v>
      </c>
      <c r="AD35" s="57">
        <f>IFERROR(IF(Table211[[#This Row],[Name]]="","",IFERROR(IF(Table211[[#This Row],[Time]]="","TBD",AB$2-COUNTIF(Table211[Time],"&lt;"&amp;Table211[[#This Row],[Time]])),""))-(COUNTIF(Table211[Time],Table211[[#This Row],[Time]])-1),"")</f>
        <v>27</v>
      </c>
      <c r="AE35" s="57" cm="1">
        <f t="array" ref="AE3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5" s="56" t="s">
        <v>132</v>
      </c>
      <c r="AH35" s="56" t="s">
        <v>186</v>
      </c>
      <c r="AI35" s="58">
        <v>0.84722222222222221</v>
      </c>
      <c r="AJ3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5" s="57" cm="1">
        <f t="array" ref="AK3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5" s="56" t="s">
        <v>943</v>
      </c>
      <c r="AN35" s="56" t="s">
        <v>186</v>
      </c>
      <c r="AO35" s="58">
        <v>0.84861111111111109</v>
      </c>
      <c r="AP3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25</v>
      </c>
      <c r="AQ35" s="57" cm="1">
        <f t="array" ref="AQ3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5" s="56" t="s">
        <v>129</v>
      </c>
      <c r="AT35" s="56" t="s">
        <v>186</v>
      </c>
      <c r="AU35" s="58">
        <v>0.84930555555555554</v>
      </c>
      <c r="AV3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28</v>
      </c>
      <c r="AW35" s="57" cm="1">
        <f t="array" ref="AW3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5" s="56" t="s">
        <v>168</v>
      </c>
      <c r="AZ35" s="56"/>
      <c r="BA35" s="58">
        <v>0.85555555555555551</v>
      </c>
      <c r="BB3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27</v>
      </c>
      <c r="BC35" s="57" cm="1">
        <f t="array" ref="BC3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5" s="56" t="s">
        <v>1007</v>
      </c>
      <c r="BF35" s="56"/>
      <c r="BG35" s="58">
        <v>0.8618055555555556</v>
      </c>
      <c r="BH3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28</v>
      </c>
      <c r="BI35" s="57" cm="1">
        <f t="array" ref="BI3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5" s="56" t="s">
        <v>23</v>
      </c>
      <c r="BL35" s="56"/>
      <c r="BM35" s="58">
        <v>0.85069444444444442</v>
      </c>
      <c r="BN3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28</v>
      </c>
      <c r="BO35" s="57" cm="1">
        <f t="array" ref="BO3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5" s="56" t="s">
        <v>1016</v>
      </c>
      <c r="BR35" s="56"/>
      <c r="BS35" s="58">
        <v>0.84722222222222221</v>
      </c>
      <c r="BT3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28</v>
      </c>
      <c r="BU35" s="57" cm="1">
        <f t="array" ref="BU3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5" s="56" t="s">
        <v>943</v>
      </c>
      <c r="BX35" s="56" t="s">
        <v>186</v>
      </c>
      <c r="BY35" s="58">
        <v>0.85</v>
      </c>
      <c r="BZ3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27</v>
      </c>
      <c r="CA35" s="57" cm="1">
        <f t="array" ref="CA3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5" s="56" t="s">
        <v>1007</v>
      </c>
      <c r="CD35" s="56" t="s">
        <v>186</v>
      </c>
      <c r="CE35" s="58">
        <v>0.84930555555555554</v>
      </c>
      <c r="CF3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28</v>
      </c>
      <c r="CG35" s="57" cm="1">
        <f t="array" ref="CG3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5" s="56" t="s">
        <v>931</v>
      </c>
      <c r="CJ35" s="56" t="s">
        <v>190</v>
      </c>
      <c r="CK35" s="58">
        <v>0.84930555555555554</v>
      </c>
      <c r="CL3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27</v>
      </c>
      <c r="CM35" s="57" cm="1">
        <f t="array" ref="CM3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5" s="56" t="s">
        <v>937</v>
      </c>
      <c r="CP35" s="56" t="s">
        <v>186</v>
      </c>
      <c r="CQ35" s="58">
        <v>0.82916666666666672</v>
      </c>
      <c r="CR3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27</v>
      </c>
      <c r="CS35" s="57" cm="1">
        <f t="array" ref="CS3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5" s="56" t="s">
        <v>99</v>
      </c>
      <c r="CV35" s="56" t="s">
        <v>186</v>
      </c>
      <c r="CW35" s="58">
        <v>0.82499999999999996</v>
      </c>
      <c r="CX3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28</v>
      </c>
      <c r="CY35" s="57" cm="1">
        <f t="array" ref="CY3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5" s="56" t="s">
        <v>95</v>
      </c>
      <c r="DB35" s="56" t="s">
        <v>186</v>
      </c>
      <c r="DC35" s="58">
        <v>0.86111111111111116</v>
      </c>
      <c r="DD3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27</v>
      </c>
      <c r="DE35" s="57" cm="1">
        <f t="array" ref="DE3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5" s="56" t="s">
        <v>48</v>
      </c>
      <c r="DH35" s="56"/>
      <c r="DI35" s="58">
        <v>0.83125000000000004</v>
      </c>
      <c r="DJ3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28</v>
      </c>
      <c r="DK35" s="57" cm="1">
        <f t="array" ref="DK3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5" s="56" t="str">
        <f>IF('Weekly Attendance'!AA160="Yes",'Weekly Attendance'!$D160,"")</f>
        <v>Ethan Zhao</v>
      </c>
      <c r="DN35" s="56"/>
      <c r="DO35" s="58">
        <v>0.82777777777777772</v>
      </c>
      <c r="DP3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47</v>
      </c>
      <c r="DQ35" s="57" cm="1">
        <f t="array" ref="DQ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6" spans="1:121">
      <c r="A36" s="16">
        <v>29</v>
      </c>
      <c r="B36" s="86"/>
      <c r="C36" s="56" t="s">
        <v>890</v>
      </c>
      <c r="D36" s="56"/>
      <c r="E36" s="58">
        <v>0.85069444444444442</v>
      </c>
      <c r="F36" s="57">
        <f>IFERROR(IF(Table4[[#This Row],[Name]]="","",IFERROR(IF(Table4[[#This Row],[Time]]="","TBD",D$2-COUNTIF(Table4[Time],"&lt;"&amp;Table4[[#This Row],[Time]])),""))-(COUNTIF(Table4[Time],Table4[[#This Row],[Time]])-1),"")</f>
        <v>28</v>
      </c>
      <c r="G36" s="57" cm="1">
        <f t="array" ref="G3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4</v>
      </c>
      <c r="I36" s="56" t="s">
        <v>97</v>
      </c>
      <c r="J36" s="56" t="s">
        <v>186</v>
      </c>
      <c r="K36" s="58">
        <v>0.84652777777777777</v>
      </c>
      <c r="L36" s="57">
        <f>IFERROR(IF(Table9[[#This Row],[Name]]="","",IFERROR(IF(Table9[[#This Row],[Time]]="","TBD",J$2-COUNTIF(Table9[Time],"&lt;"&amp;Table9[[#This Row],[Time]])),""))-(COUNTIF(Table9[Time],Table9[[#This Row],[Time]])-1),"")</f>
        <v>29</v>
      </c>
      <c r="M36" s="57" cm="1">
        <f t="array" ref="M3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6" s="56" t="s">
        <v>168</v>
      </c>
      <c r="P36" s="56" t="s">
        <v>186</v>
      </c>
      <c r="Q36" s="58">
        <v>0.83888888888888891</v>
      </c>
      <c r="R36" s="57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6" s="57" cm="1">
        <f t="array" ref="S3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6" s="56" t="s">
        <v>1025</v>
      </c>
      <c r="V36" s="56" t="s">
        <v>186</v>
      </c>
      <c r="W36" s="58">
        <v>0.85138888888888886</v>
      </c>
      <c r="X36" s="57">
        <f>IFERROR(IF(Table2[[#This Row],[Name]]="","",IFERROR(IF(Table2[[#This Row],[Time]]="","TBD",V$2-COUNTIF(Table2[Time],"&lt;"&amp;Table2[[#This Row],[Time]])),""))-(COUNTIF(Table2[Time],Table2[[#This Row],[Time]])-1),"")</f>
        <v>29</v>
      </c>
      <c r="Y36" s="57" cm="1">
        <f t="array" ref="Y3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6" s="56" t="s">
        <v>980</v>
      </c>
      <c r="AB36" s="56" t="s">
        <v>186</v>
      </c>
      <c r="AC36" s="58">
        <v>0.83472222222222225</v>
      </c>
      <c r="AD36" s="57">
        <f>IFERROR(IF(Table211[[#This Row],[Name]]="","",IFERROR(IF(Table211[[#This Row],[Time]]="","TBD",AB$2-COUNTIF(Table211[Time],"&lt;"&amp;Table211[[#This Row],[Time]])),""))-(COUNTIF(Table211[Time],Table211[[#This Row],[Time]])-1),"")</f>
        <v>29</v>
      </c>
      <c r="AE36" s="57" cm="1">
        <f t="array" ref="AE3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6" s="56" t="s">
        <v>129</v>
      </c>
      <c r="AH36" s="56" t="s">
        <v>186</v>
      </c>
      <c r="AI36" s="58">
        <v>0.84722222222222221</v>
      </c>
      <c r="AJ3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27</v>
      </c>
      <c r="AK36" s="57" cm="1">
        <f t="array" ref="AK3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6" s="56" t="s">
        <v>926</v>
      </c>
      <c r="AN36" s="56"/>
      <c r="AO36" s="58">
        <v>0.84791666666666665</v>
      </c>
      <c r="AP3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29</v>
      </c>
      <c r="AQ36" s="57" cm="1">
        <f t="array" ref="AQ3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6" s="56" t="s">
        <v>1026</v>
      </c>
      <c r="AT36" s="56" t="s">
        <v>420</v>
      </c>
      <c r="AU36" s="58">
        <v>0.84791666666666665</v>
      </c>
      <c r="AV3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29</v>
      </c>
      <c r="AW36" s="57" cm="1">
        <f t="array" ref="AW3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6" s="56" t="s">
        <v>1027</v>
      </c>
      <c r="AZ36" s="56"/>
      <c r="BA36" s="58">
        <v>0.85486111111111107</v>
      </c>
      <c r="BB3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6" s="57" cm="1">
        <f t="array" ref="BC3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6" s="56" t="s">
        <v>976</v>
      </c>
      <c r="BF36" s="56" t="s">
        <v>186</v>
      </c>
      <c r="BG36" s="58">
        <v>0.85902777777777772</v>
      </c>
      <c r="BH3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6" s="57" cm="1">
        <f t="array" ref="BI3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6" s="56" t="s">
        <v>1005</v>
      </c>
      <c r="BL36" s="56"/>
      <c r="BM36" s="58">
        <v>0.85</v>
      </c>
      <c r="BN3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29</v>
      </c>
      <c r="BO36" s="57" cm="1">
        <f t="array" ref="BO3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6" s="56" t="s">
        <v>93</v>
      </c>
      <c r="BR36" s="56"/>
      <c r="BS36" s="58">
        <v>0.84722222222222221</v>
      </c>
      <c r="BT3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28</v>
      </c>
      <c r="BU36" s="57" cm="1">
        <f t="array" ref="BU3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6" s="56" t="s">
        <v>48</v>
      </c>
      <c r="BX36" s="56" t="s">
        <v>186</v>
      </c>
      <c r="BY36" s="58">
        <v>0.84791666666666665</v>
      </c>
      <c r="BZ3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29</v>
      </c>
      <c r="CA36" s="57" cm="1">
        <f t="array" ref="CA3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6" s="56" t="s">
        <v>987</v>
      </c>
      <c r="CD36" s="56"/>
      <c r="CE36" s="58">
        <v>0.84652777777777777</v>
      </c>
      <c r="CF3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29</v>
      </c>
      <c r="CG36" s="57" cm="1">
        <f t="array" ref="CG3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6" s="56" t="s">
        <v>87</v>
      </c>
      <c r="CJ36" s="56" t="s">
        <v>186</v>
      </c>
      <c r="CK36" s="58">
        <v>0.84791666666666665</v>
      </c>
      <c r="CL3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29</v>
      </c>
      <c r="CM36" s="57" cm="1">
        <f t="array" ref="CM3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6" s="56" t="s">
        <v>993</v>
      </c>
      <c r="CP36" s="56" t="s">
        <v>186</v>
      </c>
      <c r="CQ36" s="58">
        <v>0.82638888888888884</v>
      </c>
      <c r="CR3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29</v>
      </c>
      <c r="CS36" s="57" cm="1">
        <f t="array" ref="CS3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2</v>
      </c>
      <c r="CU36" s="56" t="s">
        <v>995</v>
      </c>
      <c r="CV36" s="56" t="s">
        <v>186</v>
      </c>
      <c r="CW36" s="58">
        <v>0.82430555555555551</v>
      </c>
      <c r="CX3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29</v>
      </c>
      <c r="CY36" s="57" cm="1">
        <f t="array" ref="CY3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6" s="56" t="s">
        <v>1018</v>
      </c>
      <c r="DB36" s="56" t="s">
        <v>186</v>
      </c>
      <c r="DC36" s="58">
        <v>0.85972222222222228</v>
      </c>
      <c r="DD3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29</v>
      </c>
      <c r="DE36" s="57" cm="1">
        <f t="array" ref="DE3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6" s="56" t="s">
        <v>921</v>
      </c>
      <c r="DH36" s="56" t="s">
        <v>186</v>
      </c>
      <c r="DI36" s="58">
        <v>0.8305555555555556</v>
      </c>
      <c r="DJ3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29</v>
      </c>
      <c r="DK36" s="57" cm="1">
        <f t="array" ref="DK3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6" s="56" t="str">
        <f>IF('Weekly Attendance'!AA350="Yes",'Weekly Attendance'!$D350,"")</f>
        <v>Zeeshan Khan</v>
      </c>
      <c r="DN36" s="56" t="s">
        <v>186</v>
      </c>
      <c r="DO36" s="58">
        <v>0.82708333333333328</v>
      </c>
      <c r="DP3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49</v>
      </c>
      <c r="DQ36" s="57" cm="1">
        <f t="array" ref="DQ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7" spans="1:121">
      <c r="A37" s="16">
        <v>30</v>
      </c>
      <c r="B37" s="86"/>
      <c r="C37" s="56" t="s">
        <v>115</v>
      </c>
      <c r="D37" s="56"/>
      <c r="E37" s="58">
        <v>0.85</v>
      </c>
      <c r="F37" s="57">
        <f>IFERROR(IF(Table4[[#This Row],[Name]]="","",IFERROR(IF(Table4[[#This Row],[Time]]="","TBD",D$2-COUNTIF(Table4[Time],"&lt;"&amp;Table4[[#This Row],[Time]])),""))-(COUNTIF(Table4[Time],Table4[[#This Row],[Time]])-1),"")</f>
        <v>30</v>
      </c>
      <c r="G37" s="57" cm="1">
        <f t="array" ref="G3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7" s="56" t="s">
        <v>956</v>
      </c>
      <c r="J37" s="56" t="s">
        <v>186</v>
      </c>
      <c r="K37" s="58">
        <v>0.84652777777777777</v>
      </c>
      <c r="L37" s="57">
        <f>IFERROR(IF(Table9[[#This Row],[Name]]="","",IFERROR(IF(Table9[[#This Row],[Time]]="","TBD",J$2-COUNTIF(Table9[Time],"&lt;"&amp;Table9[[#This Row],[Time]])),""))-(COUNTIF(Table9[Time],Table9[[#This Row],[Time]])-1),"")</f>
        <v>29</v>
      </c>
      <c r="M37" s="57" cm="1">
        <f t="array" ref="M3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7" s="56" t="s">
        <v>984</v>
      </c>
      <c r="P37" s="56" t="s">
        <v>186</v>
      </c>
      <c r="Q37" s="58">
        <v>0.83888888888888891</v>
      </c>
      <c r="R37" s="57">
        <f>IFERROR(IF(Table18[[#This Row],[Name]]="","",IFERROR(IF(Table18[[#This Row],[Time]]="","TBD",P$2-COUNTIF(Table18[Time],"&lt;"&amp;Table18[[#This Row],[Time]])),""))-(COUNTIF(Table18[Time],Table18[[#This Row],[Time]])-1),"")</f>
        <v>29</v>
      </c>
      <c r="S37" s="57" cm="1">
        <f t="array" ref="S3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7" s="56" t="s">
        <v>142</v>
      </c>
      <c r="V37" s="56" t="s">
        <v>186</v>
      </c>
      <c r="W37" s="58">
        <v>0.84652777777777777</v>
      </c>
      <c r="X37" s="57">
        <f>IFERROR(IF(Table2[[#This Row],[Name]]="","",IFERROR(IF(Table2[[#This Row],[Time]]="","TBD",V$2-COUNTIF(Table2[Time],"&lt;"&amp;Table2[[#This Row],[Time]])),""))-(COUNTIF(Table2[Time],Table2[[#This Row],[Time]])-1),"")</f>
        <v>30</v>
      </c>
      <c r="Y37" s="57" cm="1">
        <f t="array" ref="Y3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7" s="56" t="s">
        <v>97</v>
      </c>
      <c r="AB37" s="56"/>
      <c r="AC37" s="58">
        <v>0.83263888888888893</v>
      </c>
      <c r="AD37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7" s="57" cm="1">
        <f t="array" ref="AE3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7" s="56" t="s">
        <v>943</v>
      </c>
      <c r="AH37" s="56"/>
      <c r="AI37" s="58">
        <v>0.84652777777777777</v>
      </c>
      <c r="AJ3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30</v>
      </c>
      <c r="AK37" s="57" cm="1">
        <f t="array" ref="AK3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7" s="56" t="s">
        <v>23</v>
      </c>
      <c r="AN37" s="56"/>
      <c r="AO37" s="58">
        <v>0.84722222222222221</v>
      </c>
      <c r="AP3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7" s="57" cm="1">
        <f t="array" ref="AQ3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7" s="56" t="s">
        <v>938</v>
      </c>
      <c r="AT37" s="56" t="s">
        <v>186</v>
      </c>
      <c r="AU37" s="58">
        <v>0.84722222222222221</v>
      </c>
      <c r="AV3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30</v>
      </c>
      <c r="AW37" s="57" cm="1">
        <f t="array" ref="AW3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7" s="56" t="s">
        <v>160</v>
      </c>
      <c r="AZ37" s="56" t="s">
        <v>186</v>
      </c>
      <c r="BA37" s="58">
        <v>0.85486111111111107</v>
      </c>
      <c r="BB3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29</v>
      </c>
      <c r="BC37" s="57" cm="1">
        <f t="array" ref="BC3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7" s="56" t="s">
        <v>903</v>
      </c>
      <c r="BF37" s="56"/>
      <c r="BG37" s="58">
        <v>0.85902777777777772</v>
      </c>
      <c r="BH3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29</v>
      </c>
      <c r="BI37" s="57" cm="1">
        <f t="array" ref="BI3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7" s="56" t="s">
        <v>958</v>
      </c>
      <c r="BL37" s="56"/>
      <c r="BM37" s="58">
        <v>0.84652777777777777</v>
      </c>
      <c r="BN3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30</v>
      </c>
      <c r="BO37" s="57" cm="1">
        <f t="array" ref="BO3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7" s="56" t="s">
        <v>144</v>
      </c>
      <c r="BR37" s="56"/>
      <c r="BS37" s="58">
        <v>0.84444444444444444</v>
      </c>
      <c r="BT3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7" s="57" cm="1">
        <f t="array" ref="BU3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7" s="56" t="s">
        <v>976</v>
      </c>
      <c r="BX37" s="56" t="s">
        <v>186</v>
      </c>
      <c r="BY37" s="58">
        <v>0.84513888888888888</v>
      </c>
      <c r="BZ3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30</v>
      </c>
      <c r="CA37" s="57" cm="1">
        <f t="array" ref="CA3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7" s="56" t="s">
        <v>971</v>
      </c>
      <c r="CD37" s="56" t="s">
        <v>186</v>
      </c>
      <c r="CE37" s="58">
        <v>0.84305555555555556</v>
      </c>
      <c r="CF3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30</v>
      </c>
      <c r="CG37" s="57" cm="1">
        <f t="array" ref="CG3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7" s="56" t="s">
        <v>900</v>
      </c>
      <c r="CJ37" s="56" t="s">
        <v>186</v>
      </c>
      <c r="CK37" s="58">
        <v>0.84722222222222221</v>
      </c>
      <c r="CL3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30</v>
      </c>
      <c r="CM37" s="57" cm="1">
        <f t="array" ref="CM3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7" s="56" t="s">
        <v>919</v>
      </c>
      <c r="CP37" s="56"/>
      <c r="CQ37" s="58">
        <v>0.8256944444444444</v>
      </c>
      <c r="CR3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30</v>
      </c>
      <c r="CS37" s="57" cm="1">
        <f t="array" ref="CS3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7" s="56" t="s">
        <v>893</v>
      </c>
      <c r="CV37" s="56"/>
      <c r="CW37" s="58">
        <v>0.82291666666666663</v>
      </c>
      <c r="CX3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30</v>
      </c>
      <c r="CY37" s="57" cm="1">
        <f t="array" ref="CY3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7" s="56" t="s">
        <v>931</v>
      </c>
      <c r="DB37" s="56" t="s">
        <v>186</v>
      </c>
      <c r="DC37" s="58">
        <v>0.8569444444444444</v>
      </c>
      <c r="DD3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30</v>
      </c>
      <c r="DE37" s="57" cm="1">
        <f t="array" ref="DE3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7" s="56" t="s">
        <v>894</v>
      </c>
      <c r="DH37" s="56"/>
      <c r="DI37" s="58">
        <v>0.8305555555555556</v>
      </c>
      <c r="DJ3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29</v>
      </c>
      <c r="DK37" s="57" cm="1">
        <f t="array" ref="DK3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2</v>
      </c>
      <c r="DM37" s="56" t="str">
        <f>IF('Weekly Attendance'!AA270="Yes",'Weekly Attendance'!$D270,"")</f>
        <v>Nihal Gill</v>
      </c>
      <c r="DN37" s="56"/>
      <c r="DO37" s="58">
        <v>0.82708333333333328</v>
      </c>
      <c r="DP3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49</v>
      </c>
      <c r="DQ37" s="57" cm="1">
        <f t="array" ref="DQ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8" spans="1:121">
      <c r="A38" s="16">
        <v>31</v>
      </c>
      <c r="B38" s="86"/>
      <c r="C38" s="56" t="s">
        <v>941</v>
      </c>
      <c r="D38" s="56"/>
      <c r="E38" s="58">
        <v>0.84791666666666665</v>
      </c>
      <c r="F38" s="57">
        <f>IFERROR(IF(Table4[[#This Row],[Name]]="","",IFERROR(IF(Table4[[#This Row],[Time]]="","TBD",D$2-COUNTIF(Table4[Time],"&lt;"&amp;Table4[[#This Row],[Time]])),""))-(COUNTIF(Table4[Time],Table4[[#This Row],[Time]])-1),"")</f>
        <v>31</v>
      </c>
      <c r="G38" s="57" cm="1">
        <f t="array" ref="G3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8" s="56" t="s">
        <v>168</v>
      </c>
      <c r="J38" s="56" t="s">
        <v>186</v>
      </c>
      <c r="K38" s="58">
        <v>0.84583333333333333</v>
      </c>
      <c r="L38" s="57">
        <f>IFERROR(IF(Table9[[#This Row],[Name]]="","",IFERROR(IF(Table9[[#This Row],[Time]]="","TBD",J$2-COUNTIF(Table9[Time],"&lt;"&amp;Table9[[#This Row],[Time]])),""))-(COUNTIF(Table9[Time],Table9[[#This Row],[Time]])-1),"")</f>
        <v>31</v>
      </c>
      <c r="M38" s="57" cm="1">
        <f t="array" ref="M3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8" s="56" t="s">
        <v>902</v>
      </c>
      <c r="P38" s="56"/>
      <c r="Q38" s="58">
        <v>0.83750000000000002</v>
      </c>
      <c r="R38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8" s="57" cm="1">
        <f t="array" ref="S3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8" s="56" t="s">
        <v>1023</v>
      </c>
      <c r="V38" s="56" t="s">
        <v>186</v>
      </c>
      <c r="W38" s="58">
        <v>0.84444444444444444</v>
      </c>
      <c r="X38" s="57">
        <f>IFERROR(IF(Table2[[#This Row],[Name]]="","",IFERROR(IF(Table2[[#This Row],[Time]]="","TBD",V$2-COUNTIF(Table2[Time],"&lt;"&amp;Table2[[#This Row],[Time]])),""))-(COUNTIF(Table2[Time],Table2[[#This Row],[Time]])-1),"")</f>
        <v>31</v>
      </c>
      <c r="Y38" s="57" cm="1">
        <f t="array" ref="Y3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8" s="56" t="s">
        <v>99</v>
      </c>
      <c r="AB38" s="56" t="s">
        <v>186</v>
      </c>
      <c r="AC38" s="58">
        <v>0.83263888888888893</v>
      </c>
      <c r="AD38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8" s="57" cm="1">
        <f t="array" ref="AE3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8" s="56" t="s">
        <v>939</v>
      </c>
      <c r="AH38" s="56" t="s">
        <v>186</v>
      </c>
      <c r="AI38" s="58">
        <v>0.84444444444444444</v>
      </c>
      <c r="AJ3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31</v>
      </c>
      <c r="AK38" s="57" cm="1">
        <f t="array" ref="AK3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8" s="56" t="s">
        <v>997</v>
      </c>
      <c r="AN38" s="56" t="s">
        <v>186</v>
      </c>
      <c r="AO38" s="58">
        <v>0.84722222222222221</v>
      </c>
      <c r="AP3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30</v>
      </c>
      <c r="AQ38" s="57" cm="1">
        <f t="array" ref="AQ3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8" s="56" t="s">
        <v>69</v>
      </c>
      <c r="AT38" s="56" t="s">
        <v>186</v>
      </c>
      <c r="AU38" s="58">
        <v>0.84583333333333333</v>
      </c>
      <c r="AV3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31</v>
      </c>
      <c r="AW38" s="57" cm="1">
        <f t="array" ref="AW3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8" s="56" t="s">
        <v>947</v>
      </c>
      <c r="AZ38" s="56"/>
      <c r="BA38" s="58">
        <v>0.85416666666666663</v>
      </c>
      <c r="BB3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31</v>
      </c>
      <c r="BC38" s="57" cm="1">
        <f t="array" ref="BC3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8" s="56" t="s">
        <v>907</v>
      </c>
      <c r="BF38" s="56" t="s">
        <v>186</v>
      </c>
      <c r="BG38" s="58">
        <v>0.8569444444444444</v>
      </c>
      <c r="BH3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31</v>
      </c>
      <c r="BI38" s="57" cm="1">
        <f t="array" ref="BI3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8" s="56" t="s">
        <v>969</v>
      </c>
      <c r="BL38" s="56" t="s">
        <v>186</v>
      </c>
      <c r="BM38" s="58">
        <v>0.84444444444444444</v>
      </c>
      <c r="BN3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31</v>
      </c>
      <c r="BO38" s="57" cm="1">
        <f t="array" ref="BO3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8" s="56" t="s">
        <v>950</v>
      </c>
      <c r="BR38" s="56"/>
      <c r="BS38" s="58">
        <v>0.84444444444444444</v>
      </c>
      <c r="BT3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8" s="57" cm="1">
        <f t="array" ref="BU3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8" s="56" t="s">
        <v>918</v>
      </c>
      <c r="BX38" s="56" t="s">
        <v>186</v>
      </c>
      <c r="BY38" s="58">
        <v>0.84513888888888888</v>
      </c>
      <c r="BZ3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30</v>
      </c>
      <c r="CA38" s="57" cm="1">
        <f t="array" ref="CA3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8" s="56" t="s">
        <v>963</v>
      </c>
      <c r="CD38" s="56" t="s">
        <v>186</v>
      </c>
      <c r="CE38" s="58">
        <v>0.84027777777777779</v>
      </c>
      <c r="CF3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31</v>
      </c>
      <c r="CG38" s="57" cm="1">
        <f t="array" ref="CG3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8" s="56" t="s">
        <v>69</v>
      </c>
      <c r="CJ38" s="56" t="s">
        <v>186</v>
      </c>
      <c r="CK38" s="58">
        <v>0.84375</v>
      </c>
      <c r="CL3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31</v>
      </c>
      <c r="CM38" s="57" cm="1">
        <f t="array" ref="CM3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8" s="56" t="s">
        <v>962</v>
      </c>
      <c r="CP38" s="56"/>
      <c r="CQ38" s="58">
        <v>0.82222222222222219</v>
      </c>
      <c r="CR3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38" s="57" cm="1">
        <f t="array" ref="CS3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8" s="56" t="s">
        <v>907</v>
      </c>
      <c r="CV38" s="56" t="s">
        <v>186</v>
      </c>
      <c r="CW38" s="58">
        <v>0.82222222222222219</v>
      </c>
      <c r="CX3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31</v>
      </c>
      <c r="CY38" s="57" cm="1">
        <f t="array" ref="CY3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8" s="56" t="s">
        <v>1028</v>
      </c>
      <c r="DB38" s="56"/>
      <c r="DC38" s="58">
        <v>0.85486111111111107</v>
      </c>
      <c r="DD3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31</v>
      </c>
      <c r="DE38" s="57" cm="1">
        <f t="array" ref="DE3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8" s="56" t="s">
        <v>148</v>
      </c>
      <c r="DH38" s="56"/>
      <c r="DI38" s="58">
        <v>0.82916666666666672</v>
      </c>
      <c r="DJ3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31</v>
      </c>
      <c r="DK38" s="57" cm="1">
        <f t="array" ref="DK3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38" s="56" t="str">
        <f>IF('Weekly Attendance'!AA256="Yes",'Weekly Attendance'!$D256,"")</f>
        <v>Maxim Skubitsky</v>
      </c>
      <c r="DN38" s="56" t="s">
        <v>186</v>
      </c>
      <c r="DO38" s="58">
        <v>0.82708333333333328</v>
      </c>
      <c r="DP3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49</v>
      </c>
      <c r="DQ38" s="57" cm="1">
        <f t="array" ref="DQ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39" spans="1:121">
      <c r="A39" s="16">
        <v>32</v>
      </c>
      <c r="B39" s="86"/>
      <c r="C39" s="56" t="s">
        <v>1029</v>
      </c>
      <c r="D39" s="56"/>
      <c r="E39" s="58">
        <v>0.84652777777777777</v>
      </c>
      <c r="F39" s="57">
        <f>IFERROR(IF(Table4[[#This Row],[Name]]="","",IFERROR(IF(Table4[[#This Row],[Time]]="","TBD",D$2-COUNTIF(Table4[Time],"&lt;"&amp;Table4[[#This Row],[Time]])),""))-(COUNTIF(Table4[Time],Table4[[#This Row],[Time]])-1),"")</f>
        <v>32</v>
      </c>
      <c r="G39" s="57" cm="1">
        <f t="array" ref="G3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39" s="56" t="s">
        <v>1030</v>
      </c>
      <c r="J39" s="56" t="s">
        <v>186</v>
      </c>
      <c r="K39" s="58">
        <v>0.84236111111111112</v>
      </c>
      <c r="L39" s="57">
        <f>IFERROR(IF(Table9[[#This Row],[Name]]="","",IFERROR(IF(Table9[[#This Row],[Time]]="","TBD",J$2-COUNTIF(Table9[Time],"&lt;"&amp;Table9[[#This Row],[Time]])),""))-(COUNTIF(Table9[Time],Table9[[#This Row],[Time]])-1),"")</f>
        <v>32</v>
      </c>
      <c r="M39" s="57" cm="1">
        <f t="array" ref="M3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39" s="56" t="s">
        <v>908</v>
      </c>
      <c r="P39" s="56" t="s">
        <v>186</v>
      </c>
      <c r="Q39" s="58">
        <v>0.83750000000000002</v>
      </c>
      <c r="R39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39" s="57" cm="1">
        <f t="array" ref="S3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39" s="56" t="s">
        <v>939</v>
      </c>
      <c r="V39" s="56"/>
      <c r="W39" s="58">
        <v>0.84375</v>
      </c>
      <c r="X39" s="57">
        <f>IFERROR(IF(Table2[[#This Row],[Name]]="","",IFERROR(IF(Table2[[#This Row],[Time]]="","TBD",V$2-COUNTIF(Table2[Time],"&lt;"&amp;Table2[[#This Row],[Time]])),""))-(COUNTIF(Table2[Time],Table2[[#This Row],[Time]])-1),"")</f>
        <v>32</v>
      </c>
      <c r="Y39" s="57" cm="1">
        <f t="array" ref="Y3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39" s="56" t="s">
        <v>954</v>
      </c>
      <c r="AB39" s="56" t="s">
        <v>186</v>
      </c>
      <c r="AC39" s="58">
        <v>0.83263888888888893</v>
      </c>
      <c r="AD39" s="57">
        <f>IFERROR(IF(Table211[[#This Row],[Name]]="","",IFERROR(IF(Table211[[#This Row],[Time]]="","TBD",AB$2-COUNTIF(Table211[Time],"&lt;"&amp;Table211[[#This Row],[Time]])),""))-(COUNTIF(Table211[Time],Table211[[#This Row],[Time]])-1),"")</f>
        <v>30</v>
      </c>
      <c r="AE39" s="57" cm="1">
        <f t="array" ref="AE3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39" s="56" t="s">
        <v>174</v>
      </c>
      <c r="AH39" s="56"/>
      <c r="AI39" s="58">
        <v>0.84375</v>
      </c>
      <c r="AJ3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39" s="57" cm="1">
        <f t="array" ref="AK3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39" s="56" t="s">
        <v>913</v>
      </c>
      <c r="AN39" s="56"/>
      <c r="AO39" s="58">
        <v>0.84652777777777777</v>
      </c>
      <c r="AP3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32</v>
      </c>
      <c r="AQ39" s="57" cm="1">
        <f t="array" ref="AQ3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39" s="56" t="s">
        <v>53</v>
      </c>
      <c r="AT39" s="56" t="s">
        <v>186</v>
      </c>
      <c r="AU39" s="58">
        <v>0.84513888888888888</v>
      </c>
      <c r="AV3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32</v>
      </c>
      <c r="AW39" s="57" cm="1">
        <f t="array" ref="AW3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39" s="56" t="s">
        <v>986</v>
      </c>
      <c r="AZ39" s="56"/>
      <c r="BA39" s="58">
        <v>0.84861111111111109</v>
      </c>
      <c r="BB3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32</v>
      </c>
      <c r="BC39" s="57" cm="1">
        <f t="array" ref="BC3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39" s="56" t="s">
        <v>941</v>
      </c>
      <c r="BF39" s="56" t="s">
        <v>186</v>
      </c>
      <c r="BG39" s="58">
        <v>0.85138888888888886</v>
      </c>
      <c r="BH3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32</v>
      </c>
      <c r="BI39" s="57" cm="1">
        <f t="array" ref="BI3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39" s="56" t="s">
        <v>908</v>
      </c>
      <c r="BL39" s="56" t="s">
        <v>186</v>
      </c>
      <c r="BM39" s="58">
        <v>0.84375</v>
      </c>
      <c r="BN3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32</v>
      </c>
      <c r="BO39" s="57" cm="1">
        <f t="array" ref="BO3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39" s="56" t="s">
        <v>914</v>
      </c>
      <c r="BR39" s="56"/>
      <c r="BS39" s="58">
        <v>0.84444444444444444</v>
      </c>
      <c r="BT3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30</v>
      </c>
      <c r="BU39" s="57" cm="1">
        <f t="array" ref="BU3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39" s="56" t="s">
        <v>87</v>
      </c>
      <c r="BX39" s="56"/>
      <c r="BY39" s="58">
        <v>0.84236111111111112</v>
      </c>
      <c r="BZ3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32</v>
      </c>
      <c r="CA39" s="57" cm="1">
        <f t="array" ref="CA3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39" s="56" t="s">
        <v>950</v>
      </c>
      <c r="CD39" s="56"/>
      <c r="CE39" s="58">
        <v>0.84027777777777779</v>
      </c>
      <c r="CF3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31</v>
      </c>
      <c r="CG39" s="57" cm="1">
        <f t="array" ref="CG3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39" s="56" t="s">
        <v>995</v>
      </c>
      <c r="CJ39" s="56" t="s">
        <v>186</v>
      </c>
      <c r="CK39" s="58">
        <v>0.83750000000000002</v>
      </c>
      <c r="CL3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32</v>
      </c>
      <c r="CM39" s="57" cm="1">
        <f t="array" ref="CM3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39" s="56" t="s">
        <v>950</v>
      </c>
      <c r="CP39" s="56"/>
      <c r="CQ39" s="58">
        <v>0.82222222222222219</v>
      </c>
      <c r="CR3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39" s="57" cm="1">
        <f t="array" ref="CS3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39" s="56" t="s">
        <v>146</v>
      </c>
      <c r="CV39" s="56"/>
      <c r="CW39" s="58">
        <v>0.8208333333333333</v>
      </c>
      <c r="CX3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32</v>
      </c>
      <c r="CY39" s="57" cm="1">
        <f t="array" ref="CY3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39" s="56" t="s">
        <v>1031</v>
      </c>
      <c r="DB39" s="56"/>
      <c r="DC39" s="58">
        <v>0.85416666666666663</v>
      </c>
      <c r="DD3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32</v>
      </c>
      <c r="DE39" s="57" cm="1">
        <f t="array" ref="DE3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39" s="56" t="s">
        <v>956</v>
      </c>
      <c r="DH39" s="56" t="s">
        <v>186</v>
      </c>
      <c r="DI39" s="58">
        <v>0.82638888888888884</v>
      </c>
      <c r="DJ3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32</v>
      </c>
      <c r="DK39" s="57" cm="1">
        <f t="array" ref="DK3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39" s="56" t="str">
        <f>IF('Weekly Attendance'!AA58="Yes",'Weekly Attendance'!$D58,"")</f>
        <v>Priyansh Sharma</v>
      </c>
      <c r="DN39" s="56" t="s">
        <v>186</v>
      </c>
      <c r="DO39" s="155">
        <v>0.82638888888888884</v>
      </c>
      <c r="DP3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52</v>
      </c>
      <c r="DQ39" s="57" cm="1">
        <f t="array" ref="DQ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0" spans="1:121">
      <c r="A40" s="16">
        <v>33</v>
      </c>
      <c r="B40" s="86"/>
      <c r="C40" s="56" t="s">
        <v>937</v>
      </c>
      <c r="D40" s="56"/>
      <c r="E40" s="58">
        <v>0.84652777777777777</v>
      </c>
      <c r="F40" s="57">
        <f>IFERROR(IF(Table4[[#This Row],[Name]]="","",IFERROR(IF(Table4[[#This Row],[Time]]="","TBD",D$2-COUNTIF(Table4[Time],"&lt;"&amp;Table4[[#This Row],[Time]])),""))-(COUNTIF(Table4[Time],Table4[[#This Row],[Time]])-1),"")</f>
        <v>32</v>
      </c>
      <c r="G40" s="57" cm="1">
        <f t="array" ref="G4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0" s="56" t="s">
        <v>1032</v>
      </c>
      <c r="J40" s="56"/>
      <c r="K40" s="58">
        <v>0.84236111111111112</v>
      </c>
      <c r="L40" s="57">
        <f>IFERROR(IF(Table9[[#This Row],[Name]]="","",IFERROR(IF(Table9[[#This Row],[Time]]="","TBD",J$2-COUNTIF(Table9[Time],"&lt;"&amp;Table9[[#This Row],[Time]])),""))-(COUNTIF(Table9[Time],Table9[[#This Row],[Time]])-1),"")</f>
        <v>32</v>
      </c>
      <c r="M40" s="57" cm="1">
        <f t="array" ref="M4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0" s="56" t="s">
        <v>1033</v>
      </c>
      <c r="P40" s="56" t="s">
        <v>186</v>
      </c>
      <c r="Q40" s="58">
        <v>0.83750000000000002</v>
      </c>
      <c r="R40" s="57">
        <f>IFERROR(IF(Table18[[#This Row],[Name]]="","",IFERROR(IF(Table18[[#This Row],[Time]]="","TBD",P$2-COUNTIF(Table18[Time],"&lt;"&amp;Table18[[#This Row],[Time]])),""))-(COUNTIF(Table18[Time],Table18[[#This Row],[Time]])-1),"")</f>
        <v>31</v>
      </c>
      <c r="S40" s="57" cm="1">
        <f t="array" ref="S4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0" s="56" t="s">
        <v>904</v>
      </c>
      <c r="V40" s="56" t="s">
        <v>186</v>
      </c>
      <c r="W40" s="58">
        <v>0.84375</v>
      </c>
      <c r="X40" s="57">
        <f>IFERROR(IF(Table2[[#This Row],[Name]]="","",IFERROR(IF(Table2[[#This Row],[Time]]="","TBD",V$2-COUNTIF(Table2[Time],"&lt;"&amp;Table2[[#This Row],[Time]])),""))-(COUNTIF(Table2[Time],Table2[[#This Row],[Time]])-1),"")</f>
        <v>32</v>
      </c>
      <c r="Y40" s="57" cm="1">
        <f t="array" ref="Y4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0" s="56" t="s">
        <v>134</v>
      </c>
      <c r="AB40" s="56" t="s">
        <v>186</v>
      </c>
      <c r="AC40" s="58">
        <v>0.83194444444444449</v>
      </c>
      <c r="AD40" s="57">
        <f>IFERROR(IF(Table211[[#This Row],[Name]]="","",IFERROR(IF(Table211[[#This Row],[Time]]="","TBD",AB$2-COUNTIF(Table211[Time],"&lt;"&amp;Table211[[#This Row],[Time]])),""))-(COUNTIF(Table211[Time],Table211[[#This Row],[Time]])-1),"")</f>
        <v>33</v>
      </c>
      <c r="AE40" s="57" cm="1">
        <f t="array" ref="AE4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0" s="56" t="s">
        <v>973</v>
      </c>
      <c r="AH40" s="56"/>
      <c r="AI40" s="58">
        <v>0.84375</v>
      </c>
      <c r="AJ4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32</v>
      </c>
      <c r="AK40" s="57" cm="1">
        <f t="array" ref="AK4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0" s="56" t="s">
        <v>166</v>
      </c>
      <c r="AN40" s="56"/>
      <c r="AO40" s="58">
        <v>0.84583333333333333</v>
      </c>
      <c r="AP4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0" s="57" cm="1">
        <f t="array" ref="AQ4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0" s="56" t="s">
        <v>132</v>
      </c>
      <c r="AT40" s="56"/>
      <c r="AU40" s="58">
        <v>0.84375</v>
      </c>
      <c r="AV4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33</v>
      </c>
      <c r="AW40" s="57" cm="1">
        <f t="array" ref="AW4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0" s="56" t="s">
        <v>969</v>
      </c>
      <c r="AZ40" s="56"/>
      <c r="BA40" s="58">
        <v>0.84652777777777777</v>
      </c>
      <c r="BB4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33</v>
      </c>
      <c r="BC40" s="57" cm="1">
        <f t="array" ref="BC4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0" s="56" t="s">
        <v>45</v>
      </c>
      <c r="BF40" s="56" t="s">
        <v>186</v>
      </c>
      <c r="BG40" s="58">
        <v>0.85069444444444442</v>
      </c>
      <c r="BH4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33</v>
      </c>
      <c r="BI40" s="57" cm="1">
        <f t="array" ref="BI4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0" s="56" t="s">
        <v>1034</v>
      </c>
      <c r="BL40" s="56" t="s">
        <v>186</v>
      </c>
      <c r="BM40" s="58">
        <v>0.84305555555555556</v>
      </c>
      <c r="BN4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33</v>
      </c>
      <c r="BO40" s="57" cm="1">
        <f t="array" ref="BO4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0" s="56" t="s">
        <v>95</v>
      </c>
      <c r="BR40" s="56"/>
      <c r="BS40" s="58">
        <v>0.84375</v>
      </c>
      <c r="BT4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33</v>
      </c>
      <c r="BU40" s="57" cm="1">
        <f t="array" ref="BU4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0" s="56" t="s">
        <v>146</v>
      </c>
      <c r="BX40" s="56"/>
      <c r="BY40" s="58">
        <v>0.84027777777777779</v>
      </c>
      <c r="BZ4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33</v>
      </c>
      <c r="CA40" s="57" cm="1">
        <f t="array" ref="CA4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0" s="56" t="s">
        <v>160</v>
      </c>
      <c r="CD40" s="56" t="s">
        <v>186</v>
      </c>
      <c r="CE40" s="58">
        <v>0.83750000000000002</v>
      </c>
      <c r="CF4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33</v>
      </c>
      <c r="CG40" s="57" cm="1">
        <f t="array" ref="CG4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0" s="56" t="s">
        <v>1035</v>
      </c>
      <c r="CJ40" s="56" t="s">
        <v>186</v>
      </c>
      <c r="CK40" s="58">
        <v>0.83680555555555558</v>
      </c>
      <c r="CL4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33</v>
      </c>
      <c r="CM40" s="57" cm="1">
        <f t="array" ref="CM4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40" s="56" t="s">
        <v>906</v>
      </c>
      <c r="CP40" s="56"/>
      <c r="CQ40" s="58">
        <v>0.82222222222222219</v>
      </c>
      <c r="CR4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31</v>
      </c>
      <c r="CS40" s="57" cm="1">
        <f t="array" ref="CS4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0" s="56" t="s">
        <v>973</v>
      </c>
      <c r="CV40" s="56"/>
      <c r="CW40" s="58">
        <v>0.8208333333333333</v>
      </c>
      <c r="CX4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32</v>
      </c>
      <c r="CY40" s="57" cm="1">
        <f t="array" ref="CY4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0" s="56" t="s">
        <v>907</v>
      </c>
      <c r="DB40" s="56"/>
      <c r="DC40" s="58">
        <v>0.85347222222222219</v>
      </c>
      <c r="DD4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33</v>
      </c>
      <c r="DE40" s="57" cm="1">
        <f t="array" ref="DE4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0" s="56" t="s">
        <v>886</v>
      </c>
      <c r="DH40" s="56" t="s">
        <v>186</v>
      </c>
      <c r="DI40" s="58">
        <v>0.82638888888888884</v>
      </c>
      <c r="DJ4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32</v>
      </c>
      <c r="DK40" s="57" cm="1">
        <f t="array" ref="DK4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0" s="56" t="str">
        <f>IF('Weekly Attendance'!AA40="Yes",'Weekly Attendance'!$D40,"")</f>
        <v>Elliott Beames</v>
      </c>
      <c r="DN40" s="56" t="s">
        <v>186</v>
      </c>
      <c r="DO40" s="155">
        <v>0.82499999999999996</v>
      </c>
      <c r="DP4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53</v>
      </c>
      <c r="DQ40" s="57" cm="1">
        <f t="array" ref="DQ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1" spans="1:121">
      <c r="A41" s="16">
        <v>34</v>
      </c>
      <c r="B41" s="86"/>
      <c r="C41" s="56" t="s">
        <v>1036</v>
      </c>
      <c r="D41" s="56"/>
      <c r="E41" s="58">
        <v>0.84097222222222223</v>
      </c>
      <c r="F41" s="57">
        <f>IFERROR(IF(Table4[[#This Row],[Name]]="","",IFERROR(IF(Table4[[#This Row],[Time]]="","TBD",D$2-COUNTIF(Table4[Time],"&lt;"&amp;Table4[[#This Row],[Time]])),""))-(COUNTIF(Table4[Time],Table4[[#This Row],[Time]])-1),"")</f>
        <v>34</v>
      </c>
      <c r="G41" s="57" cm="1">
        <f t="array" ref="G4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1" s="56" t="s">
        <v>1034</v>
      </c>
      <c r="J41" s="56" t="s">
        <v>186</v>
      </c>
      <c r="K41" s="58">
        <v>0.84166666666666667</v>
      </c>
      <c r="L41" s="57">
        <f>IFERROR(IF(Table9[[#This Row],[Name]]="","",IFERROR(IF(Table9[[#This Row],[Time]]="","TBD",J$2-COUNTIF(Table9[Time],"&lt;"&amp;Table9[[#This Row],[Time]])),""))-(COUNTIF(Table9[Time],Table9[[#This Row],[Time]])-1),"")</f>
        <v>34</v>
      </c>
      <c r="M41" s="57" cm="1">
        <f t="array" ref="M4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1" s="56" t="s">
        <v>935</v>
      </c>
      <c r="P41" s="56"/>
      <c r="Q41" s="58">
        <v>0.83611111111111114</v>
      </c>
      <c r="R41" s="57">
        <f>IFERROR(IF(Table18[[#This Row],[Name]]="","",IFERROR(IF(Table18[[#This Row],[Time]]="","TBD",P$2-COUNTIF(Table18[Time],"&lt;"&amp;Table18[[#This Row],[Time]])),""))-(COUNTIF(Table18[Time],Table18[[#This Row],[Time]])-1),"")</f>
        <v>34</v>
      </c>
      <c r="S41" s="57" cm="1">
        <f t="array" ref="S4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1" s="56" t="s">
        <v>911</v>
      </c>
      <c r="V41" s="56" t="s">
        <v>186</v>
      </c>
      <c r="W41" s="58">
        <v>0.83958333333333335</v>
      </c>
      <c r="X41" s="57">
        <f>IFERROR(IF(Table2[[#This Row],[Name]]="","",IFERROR(IF(Table2[[#This Row],[Time]]="","TBD",V$2-COUNTIF(Table2[Time],"&lt;"&amp;Table2[[#This Row],[Time]])),""))-(COUNTIF(Table2[Time],Table2[[#This Row],[Time]])-1),"")</f>
        <v>34</v>
      </c>
      <c r="Y41" s="57" cm="1">
        <f t="array" ref="Y4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1" s="56" t="s">
        <v>973</v>
      </c>
      <c r="AB41" s="56"/>
      <c r="AC41" s="58">
        <v>0.83125000000000004</v>
      </c>
      <c r="AD41" s="57">
        <f>IFERROR(IF(Table211[[#This Row],[Name]]="","",IFERROR(IF(Table211[[#This Row],[Time]]="","TBD",AB$2-COUNTIF(Table211[Time],"&lt;"&amp;Table211[[#This Row],[Time]])),""))-(COUNTIF(Table211[Time],Table211[[#This Row],[Time]])-1),"")</f>
        <v>34</v>
      </c>
      <c r="AE41" s="57" cm="1">
        <f t="array" ref="AE4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1" s="56" t="s">
        <v>150</v>
      </c>
      <c r="AH41" s="56"/>
      <c r="AI41" s="58">
        <v>0.84097222222222223</v>
      </c>
      <c r="AJ4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34</v>
      </c>
      <c r="AK41" s="57" cm="1">
        <f t="array" ref="AK4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1" s="56" t="s">
        <v>95</v>
      </c>
      <c r="AN41" s="56"/>
      <c r="AO41" s="58">
        <v>0.84583333333333333</v>
      </c>
      <c r="AP4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33</v>
      </c>
      <c r="AQ41" s="57" cm="1">
        <f t="array" ref="AQ4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1" s="56" t="s">
        <v>954</v>
      </c>
      <c r="AT41" s="56"/>
      <c r="AU41" s="58">
        <v>0.84166666666666667</v>
      </c>
      <c r="AV4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1" s="57" cm="1">
        <f t="array" ref="AW4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1" s="56" t="s">
        <v>966</v>
      </c>
      <c r="AZ41" s="56"/>
      <c r="BA41" s="58">
        <v>0.84583333333333333</v>
      </c>
      <c r="BB4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34</v>
      </c>
      <c r="BC41" s="57" cm="1">
        <f t="array" ref="BC4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1" s="56" t="s">
        <v>896</v>
      </c>
      <c r="BF41" s="56" t="s">
        <v>186</v>
      </c>
      <c r="BG41" s="58">
        <v>0.85</v>
      </c>
      <c r="BH4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1" s="57" cm="1">
        <f t="array" ref="BI4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1" s="56" t="s">
        <v>1037</v>
      </c>
      <c r="BL41" s="56" t="s">
        <v>186</v>
      </c>
      <c r="BM41" s="58">
        <v>0.84236111111111112</v>
      </c>
      <c r="BN4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34</v>
      </c>
      <c r="BO41" s="57" cm="1">
        <f t="array" ref="BO4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1" s="56" t="s">
        <v>911</v>
      </c>
      <c r="BR41" s="56" t="s">
        <v>186</v>
      </c>
      <c r="BS41" s="58">
        <v>0.84236111111111112</v>
      </c>
      <c r="BT4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34</v>
      </c>
      <c r="BU41" s="57" cm="1">
        <f t="array" ref="BU4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1" s="56" t="s">
        <v>168</v>
      </c>
      <c r="BX41" s="56"/>
      <c r="BY41" s="58">
        <v>0.83958333333333335</v>
      </c>
      <c r="BZ4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34</v>
      </c>
      <c r="CA41" s="57" cm="1">
        <f t="array" ref="CA4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1" s="56" t="s">
        <v>129</v>
      </c>
      <c r="CD41" s="56"/>
      <c r="CE41" s="58">
        <v>0.83611111111111114</v>
      </c>
      <c r="CF4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34</v>
      </c>
      <c r="CG41" s="57" cm="1">
        <f t="array" ref="CG4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1" s="56" t="s">
        <v>999</v>
      </c>
      <c r="CJ41" s="56" t="s">
        <v>186</v>
      </c>
      <c r="CK41" s="58">
        <v>0.83611111111111114</v>
      </c>
      <c r="CL4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34</v>
      </c>
      <c r="CM41" s="57" cm="1">
        <f t="array" ref="CM4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2</v>
      </c>
      <c r="CO41" s="56" t="s">
        <v>973</v>
      </c>
      <c r="CP41" s="56" t="s">
        <v>186</v>
      </c>
      <c r="CQ41" s="58">
        <v>0.81736111111111109</v>
      </c>
      <c r="CR4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34</v>
      </c>
      <c r="CS41" s="57" cm="1">
        <f t="array" ref="CS4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1" s="56" t="s">
        <v>69</v>
      </c>
      <c r="CV41" s="56" t="s">
        <v>186</v>
      </c>
      <c r="CW41" s="58">
        <v>0.81666666666666665</v>
      </c>
      <c r="CX4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34</v>
      </c>
      <c r="CY41" s="57" cm="1">
        <f t="array" ref="CY4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1" s="56" t="s">
        <v>69</v>
      </c>
      <c r="DB41" s="56"/>
      <c r="DC41" s="58">
        <v>0.85069444444444442</v>
      </c>
      <c r="DD4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34</v>
      </c>
      <c r="DE41" s="57" cm="1">
        <f t="array" ref="DE4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1" s="56" t="s">
        <v>960</v>
      </c>
      <c r="DH41" s="56" t="s">
        <v>186</v>
      </c>
      <c r="DI41" s="58">
        <v>0.82430555555555551</v>
      </c>
      <c r="DJ4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34</v>
      </c>
      <c r="DK41" s="57" cm="1">
        <f t="array" ref="DK4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1" s="56" t="str">
        <f>IF('Weekly Attendance'!AA12="Yes",'Weekly Attendance'!$D12,"")</f>
        <v>Edward Dong</v>
      </c>
      <c r="DN41" s="56" t="s">
        <v>186</v>
      </c>
      <c r="DO41" s="155">
        <v>0.82291666666666663</v>
      </c>
      <c r="DP4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54</v>
      </c>
      <c r="DQ41" s="57" cm="1">
        <f t="array" ref="DQ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2" spans="1:121">
      <c r="A42" s="16">
        <v>35</v>
      </c>
      <c r="B42" s="86"/>
      <c r="C42" s="56" t="s">
        <v>888</v>
      </c>
      <c r="D42" s="56"/>
      <c r="E42" s="58">
        <v>0.84097222222222223</v>
      </c>
      <c r="F42" s="57">
        <f>IFERROR(IF(Table4[[#This Row],[Name]]="","",IFERROR(IF(Table4[[#This Row],[Time]]="","TBD",D$2-COUNTIF(Table4[Time],"&lt;"&amp;Table4[[#This Row],[Time]])),""))-(COUNTIF(Table4[Time],Table4[[#This Row],[Time]])-1),"")</f>
        <v>34</v>
      </c>
      <c r="G42" s="57" cm="1">
        <f t="array" ref="G4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2" s="56" t="s">
        <v>979</v>
      </c>
      <c r="J42" s="56" t="s">
        <v>186</v>
      </c>
      <c r="K42" s="58">
        <v>0.84166666666666667</v>
      </c>
      <c r="L42" s="57">
        <f>IFERROR(IF(Table9[[#This Row],[Name]]="","",IFERROR(IF(Table9[[#This Row],[Time]]="","TBD",J$2-COUNTIF(Table9[Time],"&lt;"&amp;Table9[[#This Row],[Time]])),""))-(COUNTIF(Table9[Time],Table9[[#This Row],[Time]])-1),"")</f>
        <v>34</v>
      </c>
      <c r="M42" s="57" cm="1">
        <f t="array" ref="M4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2" s="56" t="s">
        <v>927</v>
      </c>
      <c r="P42" s="56"/>
      <c r="Q42" s="58">
        <v>0.83402777777777781</v>
      </c>
      <c r="R42" s="57">
        <f>IFERROR(IF(Table18[[#This Row],[Name]]="","",IFERROR(IF(Table18[[#This Row],[Time]]="","TBD",P$2-COUNTIF(Table18[Time],"&lt;"&amp;Table18[[#This Row],[Time]])),""))-(COUNTIF(Table18[Time],Table18[[#This Row],[Time]])-1),"")</f>
        <v>35</v>
      </c>
      <c r="S42" s="57" cm="1">
        <f t="array" ref="S4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2" s="56" t="s">
        <v>903</v>
      </c>
      <c r="V42" s="56"/>
      <c r="W42" s="58">
        <v>0.83958333333333335</v>
      </c>
      <c r="X42" s="57">
        <f>IFERROR(IF(Table2[[#This Row],[Name]]="","",IFERROR(IF(Table2[[#This Row],[Time]]="","TBD",V$2-COUNTIF(Table2[Time],"&lt;"&amp;Table2[[#This Row],[Time]])),""))-(COUNTIF(Table2[Time],Table2[[#This Row],[Time]])-1),"")</f>
        <v>34</v>
      </c>
      <c r="Y42" s="57" cm="1">
        <f t="array" ref="Y4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2" s="56" t="s">
        <v>893</v>
      </c>
      <c r="AB42" s="56"/>
      <c r="AC42" s="58">
        <v>0.8305555555555556</v>
      </c>
      <c r="AD42" s="57">
        <f>IFERROR(IF(Table211[[#This Row],[Name]]="","",IFERROR(IF(Table211[[#This Row],[Time]]="","TBD",AB$2-COUNTIF(Table211[Time],"&lt;"&amp;Table211[[#This Row],[Time]])),""))-(COUNTIF(Table211[Time],Table211[[#This Row],[Time]])-1),"")</f>
        <v>35</v>
      </c>
      <c r="AE42" s="57" cm="1">
        <f t="array" ref="AE4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2" s="56" t="s">
        <v>931</v>
      </c>
      <c r="AH42" s="56"/>
      <c r="AI42" s="58">
        <v>0.83819444444444446</v>
      </c>
      <c r="AJ4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35</v>
      </c>
      <c r="AK42" s="57" cm="1">
        <f t="array" ref="AK4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2" s="56" t="s">
        <v>160</v>
      </c>
      <c r="AN42" s="56" t="s">
        <v>186</v>
      </c>
      <c r="AO42" s="58">
        <v>0.84513888888888888</v>
      </c>
      <c r="AP4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35</v>
      </c>
      <c r="AQ42" s="57" cm="1">
        <f t="array" ref="AQ4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2" s="56" t="s">
        <v>1016</v>
      </c>
      <c r="AT42" s="56" t="s">
        <v>420</v>
      </c>
      <c r="AU42" s="58">
        <v>0.84166666666666667</v>
      </c>
      <c r="AV4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2" s="57" cm="1">
        <f t="array" ref="AW4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2" s="56" t="s">
        <v>1038</v>
      </c>
      <c r="AZ42" s="56"/>
      <c r="BA42" s="58">
        <v>0.84305555555555556</v>
      </c>
      <c r="BB4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35</v>
      </c>
      <c r="BC42" s="57" cm="1">
        <f t="array" ref="BC4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2" s="56" t="s">
        <v>971</v>
      </c>
      <c r="BF42" s="56" t="s">
        <v>186</v>
      </c>
      <c r="BG42" s="58">
        <v>0.85</v>
      </c>
      <c r="BH4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34</v>
      </c>
      <c r="BI42" s="57" cm="1">
        <f t="array" ref="BI4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2" s="56" t="s">
        <v>129</v>
      </c>
      <c r="BL42" s="56"/>
      <c r="BM42" s="58">
        <v>0.84097222222222223</v>
      </c>
      <c r="BN4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35</v>
      </c>
      <c r="BO42" s="57" cm="1">
        <f t="array" ref="BO4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2" s="56" t="s">
        <v>152</v>
      </c>
      <c r="BR42" s="56"/>
      <c r="BS42" s="58">
        <v>0.83680555555555558</v>
      </c>
      <c r="BT4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35</v>
      </c>
      <c r="BU42" s="57" cm="1">
        <f t="array" ref="BU4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2" s="56" t="s">
        <v>1039</v>
      </c>
      <c r="BX42" s="56" t="s">
        <v>186</v>
      </c>
      <c r="BY42" s="58">
        <v>0.83819444444444446</v>
      </c>
      <c r="BZ4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35</v>
      </c>
      <c r="CA42" s="57" cm="1">
        <f t="array" ref="CA4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2" s="56" t="s">
        <v>941</v>
      </c>
      <c r="CD42" s="56" t="s">
        <v>186</v>
      </c>
      <c r="CE42" s="58">
        <v>0.8354166666666667</v>
      </c>
      <c r="CF4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35</v>
      </c>
      <c r="CG42" s="57" cm="1">
        <f t="array" ref="CG4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2" s="56" t="s">
        <v>955</v>
      </c>
      <c r="CJ42" s="56" t="s">
        <v>190</v>
      </c>
      <c r="CK42" s="58">
        <v>0.8354166666666667</v>
      </c>
      <c r="CL4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35</v>
      </c>
      <c r="CM42" s="57" cm="1">
        <f t="array" ref="CM4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2" s="56" t="s">
        <v>45</v>
      </c>
      <c r="CP42" s="56"/>
      <c r="CQ42" s="58">
        <v>0.81597222222222221</v>
      </c>
      <c r="CR4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35</v>
      </c>
      <c r="CS42" s="57" cm="1">
        <f t="array" ref="CS4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2" s="56" t="s">
        <v>1040</v>
      </c>
      <c r="CV42" s="56" t="s">
        <v>186</v>
      </c>
      <c r="CW42" s="58">
        <v>0.81527777777777777</v>
      </c>
      <c r="CX4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35</v>
      </c>
      <c r="CY42" s="57" cm="1">
        <f t="array" ref="CY4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2" s="56" t="s">
        <v>168</v>
      </c>
      <c r="DB42" s="56" t="s">
        <v>186</v>
      </c>
      <c r="DC42" s="58">
        <v>0.84930555555555554</v>
      </c>
      <c r="DD4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35</v>
      </c>
      <c r="DE42" s="57" cm="1">
        <f t="array" ref="DE4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2" s="56" t="s">
        <v>93</v>
      </c>
      <c r="DH42" s="56" t="s">
        <v>186</v>
      </c>
      <c r="DI42" s="58">
        <v>0.82291666666666663</v>
      </c>
      <c r="DJ4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35</v>
      </c>
      <c r="DK42" s="57" cm="1">
        <f t="array" ref="DK4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2" s="56" t="str">
        <f>IF('Weekly Attendance'!AA329="Yes",'Weekly Attendance'!$D329,"")</f>
        <v>Tommy Truong</v>
      </c>
      <c r="DN42" s="56" t="s">
        <v>186</v>
      </c>
      <c r="DO42" s="58">
        <v>0.82152777777777775</v>
      </c>
      <c r="DP4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55</v>
      </c>
      <c r="DQ42" s="57" cm="1">
        <f t="array" ref="DQ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3" spans="1:121">
      <c r="A43" s="16">
        <v>36</v>
      </c>
      <c r="B43" s="86"/>
      <c r="C43" s="56" t="s">
        <v>61</v>
      </c>
      <c r="D43" s="56"/>
      <c r="E43" s="58">
        <v>0.83888888888888891</v>
      </c>
      <c r="F43" s="57">
        <f>IFERROR(IF(Table4[[#This Row],[Name]]="","",IFERROR(IF(Table4[[#This Row],[Time]]="","TBD",D$2-COUNTIF(Table4[Time],"&lt;"&amp;Table4[[#This Row],[Time]])),""))-(COUNTIF(Table4[Time],Table4[[#This Row],[Time]])-1),"")</f>
        <v>36</v>
      </c>
      <c r="G43" s="57" cm="1">
        <f t="array" ref="G4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3" s="56" t="s">
        <v>944</v>
      </c>
      <c r="J43" s="56" t="s">
        <v>186</v>
      </c>
      <c r="K43" s="58">
        <v>0.84097222222222223</v>
      </c>
      <c r="L43" s="57">
        <f>IFERROR(IF(Table9[[#This Row],[Name]]="","",IFERROR(IF(Table9[[#This Row],[Time]]="","TBD",J$2-COUNTIF(Table9[Time],"&lt;"&amp;Table9[[#This Row],[Time]])),""))-(COUNTIF(Table9[Time],Table9[[#This Row],[Time]])-1),"")</f>
        <v>36</v>
      </c>
      <c r="M43" s="57" cm="1">
        <f t="array" ref="M4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3" s="56" t="s">
        <v>1041</v>
      </c>
      <c r="P43" s="56"/>
      <c r="Q43" s="58">
        <v>0.83333333333333337</v>
      </c>
      <c r="R43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3" s="57" cm="1">
        <f t="array" ref="S4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3" s="56" t="s">
        <v>907</v>
      </c>
      <c r="V43" s="56"/>
      <c r="W43" s="58">
        <v>0.83750000000000002</v>
      </c>
      <c r="X43" s="57">
        <f>IFERROR(IF(Table2[[#This Row],[Name]]="","",IFERROR(IF(Table2[[#This Row],[Time]]="","TBD",V$2-COUNTIF(Table2[Time],"&lt;"&amp;Table2[[#This Row],[Time]])),""))-(COUNTIF(Table2[Time],Table2[[#This Row],[Time]])-1),"")</f>
        <v>36</v>
      </c>
      <c r="Y43" s="57" cm="1">
        <f t="array" ref="Y4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3" s="56" t="s">
        <v>934</v>
      </c>
      <c r="AB43" s="56" t="s">
        <v>186</v>
      </c>
      <c r="AC43" s="58">
        <v>0.82708333333333328</v>
      </c>
      <c r="AD43" s="57">
        <f>IFERROR(IF(Table211[[#This Row],[Name]]="","",IFERROR(IF(Table211[[#This Row],[Time]]="","TBD",AB$2-COUNTIF(Table211[Time],"&lt;"&amp;Table211[[#This Row],[Time]])),""))-(COUNTIF(Table211[Time],Table211[[#This Row],[Time]])-1),"")</f>
        <v>36</v>
      </c>
      <c r="AE43" s="57" cm="1">
        <f t="array" ref="AE4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2</v>
      </c>
      <c r="AG43" s="56" t="s">
        <v>965</v>
      </c>
      <c r="AH43" s="56" t="s">
        <v>186</v>
      </c>
      <c r="AI43" s="58">
        <v>0.83402777777777781</v>
      </c>
      <c r="AJ4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3" s="57" cm="1">
        <f t="array" ref="AK4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3" s="56" t="s">
        <v>899</v>
      </c>
      <c r="AN43" s="56"/>
      <c r="AO43" s="58">
        <v>0.84236111111111112</v>
      </c>
      <c r="AP4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36</v>
      </c>
      <c r="AQ43" s="57" cm="1">
        <f t="array" ref="AQ4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3" s="56" t="s">
        <v>95</v>
      </c>
      <c r="AT43" s="56" t="s">
        <v>420</v>
      </c>
      <c r="AU43" s="58">
        <v>0.84166666666666667</v>
      </c>
      <c r="AV4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3" s="57" cm="1">
        <f t="array" ref="AW4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3" s="56" t="s">
        <v>938</v>
      </c>
      <c r="AZ43" s="56"/>
      <c r="BA43" s="58">
        <v>0.84236111111111112</v>
      </c>
      <c r="BB4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36</v>
      </c>
      <c r="BC43" s="57" cm="1">
        <f t="array" ref="BC4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3" s="56" t="s">
        <v>164</v>
      </c>
      <c r="BF43" s="56" t="s">
        <v>186</v>
      </c>
      <c r="BG43" s="58">
        <v>0.84861111111111109</v>
      </c>
      <c r="BH4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3" s="57" cm="1">
        <f t="array" ref="BI4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3" s="56" t="s">
        <v>964</v>
      </c>
      <c r="BL43" s="56"/>
      <c r="BM43" s="58">
        <v>0.83888888888888891</v>
      </c>
      <c r="BN4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36</v>
      </c>
      <c r="BO43" s="57" cm="1">
        <f t="array" ref="BO4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3" s="56" t="s">
        <v>125</v>
      </c>
      <c r="BR43" s="56" t="s">
        <v>186</v>
      </c>
      <c r="BS43" s="58">
        <v>0.83611111111111114</v>
      </c>
      <c r="BT4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36</v>
      </c>
      <c r="BU43" s="57" cm="1">
        <f t="array" ref="BU4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3" s="56" t="s">
        <v>73</v>
      </c>
      <c r="BX43" s="56" t="s">
        <v>186</v>
      </c>
      <c r="BY43" s="58">
        <v>0.83750000000000002</v>
      </c>
      <c r="BZ4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36</v>
      </c>
      <c r="CA43" s="57" cm="1">
        <f t="array" ref="CA4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3" s="56" t="s">
        <v>899</v>
      </c>
      <c r="CD43" s="56" t="s">
        <v>186</v>
      </c>
      <c r="CE43" s="58">
        <v>0.83402777777777781</v>
      </c>
      <c r="CF4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36</v>
      </c>
      <c r="CG43" s="57" cm="1">
        <f t="array" ref="CG4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3" s="56" t="s">
        <v>955</v>
      </c>
      <c r="CJ43" s="56" t="s">
        <v>190</v>
      </c>
      <c r="CK43" s="58">
        <v>0.8354166666666667</v>
      </c>
      <c r="CL4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35</v>
      </c>
      <c r="CM43" s="57" cm="1">
        <f t="array" ref="CM4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3" s="56" t="s">
        <v>160</v>
      </c>
      <c r="CP43" s="56" t="s">
        <v>186</v>
      </c>
      <c r="CQ43" s="58">
        <v>0.81388888888888888</v>
      </c>
      <c r="CR4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36</v>
      </c>
      <c r="CS43" s="57" cm="1">
        <f t="array" ref="CS4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3" s="56" t="s">
        <v>890</v>
      </c>
      <c r="CV43" s="56"/>
      <c r="CW43" s="58">
        <v>0.81319444444444444</v>
      </c>
      <c r="CX4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36</v>
      </c>
      <c r="CY43" s="57" cm="1">
        <f t="array" ref="CY4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3" s="56" t="s">
        <v>987</v>
      </c>
      <c r="DB43" s="56" t="s">
        <v>186</v>
      </c>
      <c r="DC43" s="58">
        <v>0.84861111111111109</v>
      </c>
      <c r="DD4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36</v>
      </c>
      <c r="DE43" s="57" cm="1">
        <f t="array" ref="DE4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3" s="56" t="s">
        <v>889</v>
      </c>
      <c r="DH43" s="56"/>
      <c r="DI43" s="58">
        <v>0.82222222222222219</v>
      </c>
      <c r="DJ4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36</v>
      </c>
      <c r="DK43" s="57" cm="1">
        <f t="array" ref="DK4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3" s="56" t="str">
        <f>IF('Weekly Attendance'!AA49="Yes",'Weekly Attendance'!$D49,"")</f>
        <v>Matthew Pape</v>
      </c>
      <c r="DN43" s="56"/>
      <c r="DO43" s="155">
        <v>0.82152777777777775</v>
      </c>
      <c r="DP4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55</v>
      </c>
      <c r="DQ43" s="57" cm="1">
        <f t="array" ref="DQ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4" spans="1:121">
      <c r="A44" s="16">
        <v>37</v>
      </c>
      <c r="B44" s="86"/>
      <c r="C44" s="56" t="s">
        <v>908</v>
      </c>
      <c r="D44" s="56" t="s">
        <v>186</v>
      </c>
      <c r="E44" s="58">
        <v>0.83819444444444446</v>
      </c>
      <c r="F44" s="57">
        <f>IFERROR(IF(Table4[[#This Row],[Name]]="","",IFERROR(IF(Table4[[#This Row],[Time]]="","TBD",D$2-COUNTIF(Table4[Time],"&lt;"&amp;Table4[[#This Row],[Time]])),""))-(COUNTIF(Table4[Time],Table4[[#This Row],[Time]])-1),"")</f>
        <v>37</v>
      </c>
      <c r="G44" s="57" cm="1">
        <f t="array" ref="G4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4" s="56" t="s">
        <v>931</v>
      </c>
      <c r="J44" s="56"/>
      <c r="K44" s="58">
        <v>0.84097222222222223</v>
      </c>
      <c r="L44" s="57">
        <f>IFERROR(IF(Table9[[#This Row],[Name]]="","",IFERROR(IF(Table9[[#This Row],[Time]]="","TBD",J$2-COUNTIF(Table9[Time],"&lt;"&amp;Table9[[#This Row],[Time]])),""))-(COUNTIF(Table9[Time],Table9[[#This Row],[Time]])-1),"")</f>
        <v>36</v>
      </c>
      <c r="M44" s="57" cm="1">
        <f t="array" ref="M4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4" s="56" t="s">
        <v>1042</v>
      </c>
      <c r="P44" s="56"/>
      <c r="Q44" s="58">
        <v>0.83333333333333337</v>
      </c>
      <c r="R44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4" s="57" cm="1">
        <f t="array" ref="S4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4" s="56" t="s">
        <v>146</v>
      </c>
      <c r="V44" s="56" t="s">
        <v>186</v>
      </c>
      <c r="W44" s="58">
        <v>0.83611111111111114</v>
      </c>
      <c r="X44" s="57">
        <f>IFERROR(IF(Table2[[#This Row],[Name]]="","",IFERROR(IF(Table2[[#This Row],[Time]]="","TBD",V$2-COUNTIF(Table2[Time],"&lt;"&amp;Table2[[#This Row],[Time]])),""))-(COUNTIF(Table2[Time],Table2[[#This Row],[Time]])-1),"")</f>
        <v>37</v>
      </c>
      <c r="Y44" s="57" cm="1">
        <f t="array" ref="Y4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4" s="56" t="s">
        <v>928</v>
      </c>
      <c r="AB44" s="56"/>
      <c r="AC44" s="58">
        <v>0.82361111111111107</v>
      </c>
      <c r="AD44" s="57">
        <f>IFERROR(IF(Table211[[#This Row],[Name]]="","",IFERROR(IF(Table211[[#This Row],[Time]]="","TBD",AB$2-COUNTIF(Table211[Time],"&lt;"&amp;Table211[[#This Row],[Time]])),""))-(COUNTIF(Table211[Time],Table211[[#This Row],[Time]])-1),"")</f>
        <v>37</v>
      </c>
      <c r="AE44" s="57" cm="1">
        <f t="array" ref="AE4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4" s="56" t="s">
        <v>119</v>
      </c>
      <c r="AH44" s="56"/>
      <c r="AI44" s="58">
        <v>0.83402777777777781</v>
      </c>
      <c r="AJ4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36</v>
      </c>
      <c r="AK44" s="57" cm="1">
        <f t="array" ref="AK4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4" s="56" t="s">
        <v>1043</v>
      </c>
      <c r="AN44" s="56"/>
      <c r="AO44" s="58">
        <v>0.84097222222222223</v>
      </c>
      <c r="AP4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4" s="57" cm="1">
        <f t="array" ref="AQ4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4" s="56" t="s">
        <v>912</v>
      </c>
      <c r="AT44" s="56" t="s">
        <v>186</v>
      </c>
      <c r="AU44" s="58">
        <v>0.84166666666666667</v>
      </c>
      <c r="AV4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34</v>
      </c>
      <c r="AW44" s="57" cm="1">
        <f t="array" ref="AW4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4" s="56" t="s">
        <v>53</v>
      </c>
      <c r="AZ44" s="56" t="s">
        <v>186</v>
      </c>
      <c r="BA44" s="58">
        <v>0.84166666666666667</v>
      </c>
      <c r="BB4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4" s="57" cm="1">
        <f t="array" ref="BC4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4" s="56" t="s">
        <v>20</v>
      </c>
      <c r="BF44" s="56" t="s">
        <v>186</v>
      </c>
      <c r="BG44" s="58">
        <v>0.84861111111111109</v>
      </c>
      <c r="BH4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36</v>
      </c>
      <c r="BI44" s="57" cm="1">
        <f t="array" ref="BI4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4" s="56" t="s">
        <v>166</v>
      </c>
      <c r="BL44" s="56"/>
      <c r="BM44" s="58">
        <v>0.83750000000000002</v>
      </c>
      <c r="BN4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37</v>
      </c>
      <c r="BO44" s="57" cm="1">
        <f t="array" ref="BO4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4" s="56" t="s">
        <v>1044</v>
      </c>
      <c r="BR44" s="56" t="s">
        <v>186</v>
      </c>
      <c r="BS44" s="58">
        <v>0.83611111111111114</v>
      </c>
      <c r="BT4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36</v>
      </c>
      <c r="BU44" s="57" cm="1">
        <f t="array" ref="BU4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4" s="56" t="s">
        <v>892</v>
      </c>
      <c r="BX44" s="56" t="s">
        <v>186</v>
      </c>
      <c r="BY44" s="58">
        <v>0.83472222222222225</v>
      </c>
      <c r="BZ4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37</v>
      </c>
      <c r="CA44" s="57" cm="1">
        <f t="array" ref="CA4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4" s="56" t="s">
        <v>969</v>
      </c>
      <c r="CD44" s="56"/>
      <c r="CE44" s="58">
        <v>0.83194444444444449</v>
      </c>
      <c r="CF4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4" s="57" cm="1">
        <f t="array" ref="CG4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4" s="56" t="s">
        <v>973</v>
      </c>
      <c r="CJ44" s="56" t="s">
        <v>190</v>
      </c>
      <c r="CK44" s="58">
        <v>0.83402777777777781</v>
      </c>
      <c r="CL4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37</v>
      </c>
      <c r="CM44" s="57" cm="1">
        <f t="array" ref="CM4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4" s="56" t="s">
        <v>1045</v>
      </c>
      <c r="CP44" s="56" t="s">
        <v>420</v>
      </c>
      <c r="CQ44" s="58">
        <v>0.81180555555555556</v>
      </c>
      <c r="CR4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37</v>
      </c>
      <c r="CS44" s="57" cm="1">
        <f t="array" ref="CS4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4" s="56" t="s">
        <v>899</v>
      </c>
      <c r="CV44" s="56"/>
      <c r="CW44" s="58">
        <v>0.8125</v>
      </c>
      <c r="CX4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4" s="57" cm="1">
        <f t="array" ref="CY4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4" s="56" t="s">
        <v>166</v>
      </c>
      <c r="DB44" s="56" t="s">
        <v>186</v>
      </c>
      <c r="DC44" s="58">
        <v>0.84861111111111109</v>
      </c>
      <c r="DD4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36</v>
      </c>
      <c r="DE44" s="57" cm="1">
        <f t="array" ref="DE4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4" s="56" t="s">
        <v>900</v>
      </c>
      <c r="DH44" s="56" t="s">
        <v>186</v>
      </c>
      <c r="DI44" s="58">
        <v>0.82222222222222219</v>
      </c>
      <c r="DJ4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36</v>
      </c>
      <c r="DK44" s="57" cm="1">
        <f t="array" ref="DK4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4" s="56" t="str">
        <f>IF('Weekly Attendance'!AA48="Yes",'Weekly Attendance'!$D48,"")</f>
        <v>Marcus Athwal</v>
      </c>
      <c r="DN44" s="56"/>
      <c r="DO44" s="155">
        <v>0.8208333333333333</v>
      </c>
      <c r="DP4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57</v>
      </c>
      <c r="DQ44" s="57" cm="1">
        <f t="array" ref="DQ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5" spans="1:121">
      <c r="A45" s="16">
        <v>38</v>
      </c>
      <c r="B45" s="86"/>
      <c r="C45" s="56" t="s">
        <v>158</v>
      </c>
      <c r="D45" s="56" t="s">
        <v>186</v>
      </c>
      <c r="E45" s="58">
        <v>0.83750000000000002</v>
      </c>
      <c r="F45" s="57">
        <f>IFERROR(IF(Table4[[#This Row],[Name]]="","",IFERROR(IF(Table4[[#This Row],[Time]]="","TBD",D$2-COUNTIF(Table4[Time],"&lt;"&amp;Table4[[#This Row],[Time]])),""))-(COUNTIF(Table4[Time],Table4[[#This Row],[Time]])-1),"")</f>
        <v>38</v>
      </c>
      <c r="G45" s="57" cm="1">
        <f t="array" ref="G4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5" s="56" t="s">
        <v>964</v>
      </c>
      <c r="J45" s="56"/>
      <c r="K45" s="58">
        <v>0.83680555555555558</v>
      </c>
      <c r="L45" s="57">
        <f>IFERROR(IF(Table9[[#This Row],[Name]]="","",IFERROR(IF(Table9[[#This Row],[Time]]="","TBD",J$2-COUNTIF(Table9[Time],"&lt;"&amp;Table9[[#This Row],[Time]])),""))-(COUNTIF(Table9[Time],Table9[[#This Row],[Time]])-1),"")</f>
        <v>38</v>
      </c>
      <c r="M45" s="57" cm="1">
        <f t="array" ref="M4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5" s="56" t="s">
        <v>69</v>
      </c>
      <c r="P45" s="56"/>
      <c r="Q45" s="58">
        <v>0.83333333333333337</v>
      </c>
      <c r="R45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5" s="57" cm="1">
        <f t="array" ref="S4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5" s="56" t="s">
        <v>1046</v>
      </c>
      <c r="V45" s="56" t="s">
        <v>186</v>
      </c>
      <c r="W45" s="58">
        <v>0.83472222222222225</v>
      </c>
      <c r="X45" s="57">
        <f>IFERROR(IF(Table2[[#This Row],[Name]]="","",IFERROR(IF(Table2[[#This Row],[Time]]="","TBD",V$2-COUNTIF(Table2[Time],"&lt;"&amp;Table2[[#This Row],[Time]])),""))-(COUNTIF(Table2[Time],Table2[[#This Row],[Time]])-1),"")</f>
        <v>38</v>
      </c>
      <c r="Y45" s="57" cm="1">
        <f t="array" ref="Y4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5" s="56" t="s">
        <v>1047</v>
      </c>
      <c r="AB45" s="56"/>
      <c r="AC45" s="58">
        <v>0.8208333333333333</v>
      </c>
      <c r="AD45" s="57">
        <f>IFERROR(IF(Table211[[#This Row],[Name]]="","",IFERROR(IF(Table211[[#This Row],[Time]]="","TBD",AB$2-COUNTIF(Table211[Time],"&lt;"&amp;Table211[[#This Row],[Time]])),""))-(COUNTIF(Table211[Time],Table211[[#This Row],[Time]])-1),"")</f>
        <v>38</v>
      </c>
      <c r="AE45" s="57" cm="1">
        <f t="array" ref="AE4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5" s="56" t="s">
        <v>1021</v>
      </c>
      <c r="AH45" s="56"/>
      <c r="AI45" s="58">
        <v>0.83194444444444449</v>
      </c>
      <c r="AJ4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38</v>
      </c>
      <c r="AK45" s="57" cm="1">
        <f t="array" ref="AK4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5" s="56" t="s">
        <v>889</v>
      </c>
      <c r="AN45" s="56"/>
      <c r="AO45" s="58">
        <v>0.84097222222222223</v>
      </c>
      <c r="AP4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5" s="57" cm="1">
        <f t="array" ref="AQ4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5" s="56" t="s">
        <v>958</v>
      </c>
      <c r="AT45" s="56"/>
      <c r="AU45" s="58">
        <v>0.84027777777777779</v>
      </c>
      <c r="AV4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5" s="57" cm="1">
        <f t="array" ref="AW4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5" s="56" t="s">
        <v>931</v>
      </c>
      <c r="AZ45" s="56" t="s">
        <v>186</v>
      </c>
      <c r="BA45" s="58">
        <v>0.84166666666666667</v>
      </c>
      <c r="BB4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37</v>
      </c>
      <c r="BC45" s="57" cm="1">
        <f t="array" ref="BC4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5" s="56" t="s">
        <v>148</v>
      </c>
      <c r="BF45" s="56" t="s">
        <v>186</v>
      </c>
      <c r="BG45" s="58">
        <v>0.84444444444444444</v>
      </c>
      <c r="BH4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5" s="57" cm="1">
        <f t="array" ref="BI4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5" s="56" t="s">
        <v>920</v>
      </c>
      <c r="BL45" s="56"/>
      <c r="BM45" s="58">
        <v>0.83680555555555558</v>
      </c>
      <c r="BN4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38</v>
      </c>
      <c r="BO45" s="57" cm="1">
        <f t="array" ref="BO4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5" s="56" t="s">
        <v>991</v>
      </c>
      <c r="BR45" s="56"/>
      <c r="BS45" s="58">
        <v>0.8354166666666667</v>
      </c>
      <c r="BT4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38</v>
      </c>
      <c r="BU45" s="57" cm="1">
        <f t="array" ref="BU4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5" s="56" t="s">
        <v>923</v>
      </c>
      <c r="BX45" s="56" t="s">
        <v>186</v>
      </c>
      <c r="BY45" s="58">
        <v>0.83125000000000004</v>
      </c>
      <c r="BZ4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38</v>
      </c>
      <c r="CA45" s="57" cm="1">
        <f t="array" ref="CA4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2</v>
      </c>
      <c r="CC45" s="56" t="s">
        <v>26</v>
      </c>
      <c r="CD45" s="56"/>
      <c r="CE45" s="58">
        <v>0.83194444444444449</v>
      </c>
      <c r="CF4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5" s="57" cm="1">
        <f t="array" ref="CG4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5" s="56" t="s">
        <v>923</v>
      </c>
      <c r="CJ45" s="56" t="s">
        <v>186</v>
      </c>
      <c r="CK45" s="58">
        <v>0.83125000000000004</v>
      </c>
      <c r="CL4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38</v>
      </c>
      <c r="CM45" s="57" cm="1">
        <f t="array" ref="CM4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5" s="56" t="s">
        <v>1048</v>
      </c>
      <c r="CP45" s="56" t="s">
        <v>186</v>
      </c>
      <c r="CQ45" s="58">
        <v>0.80972222222222223</v>
      </c>
      <c r="CR4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38</v>
      </c>
      <c r="CS45" s="57" cm="1">
        <f t="array" ref="CS4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5" s="56" t="s">
        <v>47</v>
      </c>
      <c r="CV45" s="56" t="s">
        <v>186</v>
      </c>
      <c r="CW45" s="58">
        <v>0.8125</v>
      </c>
      <c r="CX4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5" s="57" cm="1">
        <f t="array" ref="CY4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5" s="56" t="s">
        <v>892</v>
      </c>
      <c r="DB45" s="56" t="s">
        <v>186</v>
      </c>
      <c r="DC45" s="58">
        <v>0.84791666666666665</v>
      </c>
      <c r="DD4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38</v>
      </c>
      <c r="DE45" s="57" cm="1">
        <f t="array" ref="DE4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5" s="56" t="s">
        <v>973</v>
      </c>
      <c r="DH45" s="56" t="s">
        <v>186</v>
      </c>
      <c r="DI45" s="58">
        <v>0.82152777777777775</v>
      </c>
      <c r="DJ4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38</v>
      </c>
      <c r="DK45" s="57" cm="1">
        <f t="array" ref="DK4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5" s="56" t="str">
        <f>IF('Weekly Attendance'!AA189="Yes",'Weekly Attendance'!$D189,"")</f>
        <v>Jahangir Abdullayev</v>
      </c>
      <c r="DN45" s="56"/>
      <c r="DO45" s="58">
        <v>0.8208333333333333</v>
      </c>
      <c r="DP4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57</v>
      </c>
      <c r="DQ45" s="57" cm="1">
        <f t="array" ref="DQ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6" spans="1:121">
      <c r="A46" s="16">
        <v>39</v>
      </c>
      <c r="B46" s="86"/>
      <c r="C46" s="56" t="s">
        <v>129</v>
      </c>
      <c r="D46" s="56" t="s">
        <v>186</v>
      </c>
      <c r="E46" s="58">
        <v>0.83750000000000002</v>
      </c>
      <c r="F46" s="57">
        <f>IFERROR(IF(Table4[[#This Row],[Name]]="","",IFERROR(IF(Table4[[#This Row],[Time]]="","TBD",D$2-COUNTIF(Table4[Time],"&lt;"&amp;Table4[[#This Row],[Time]])),""))-(COUNTIF(Table4[Time],Table4[[#This Row],[Time]])-1),"")</f>
        <v>38</v>
      </c>
      <c r="G46" s="57" cm="1">
        <f t="array" ref="G4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6" s="56" t="s">
        <v>973</v>
      </c>
      <c r="J46" s="56"/>
      <c r="K46" s="58">
        <v>0.83472222222222225</v>
      </c>
      <c r="L46" s="57">
        <f>IFERROR(IF(Table9[[#This Row],[Name]]="","",IFERROR(IF(Table9[[#This Row],[Time]]="","TBD",J$2-COUNTIF(Table9[Time],"&lt;"&amp;Table9[[#This Row],[Time]])),""))-(COUNTIF(Table9[Time],Table9[[#This Row],[Time]])-1),"")</f>
        <v>39</v>
      </c>
      <c r="M46" s="57" cm="1">
        <f t="array" ref="M4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6" s="56" t="s">
        <v>95</v>
      </c>
      <c r="P46" s="56"/>
      <c r="Q46" s="58">
        <v>0.83333333333333337</v>
      </c>
      <c r="R46" s="57">
        <f>IFERROR(IF(Table18[[#This Row],[Name]]="","",IFERROR(IF(Table18[[#This Row],[Time]]="","TBD",P$2-COUNTIF(Table18[Time],"&lt;"&amp;Table18[[#This Row],[Time]])),""))-(COUNTIF(Table18[Time],Table18[[#This Row],[Time]])-1),"")</f>
        <v>36</v>
      </c>
      <c r="S46" s="57" cm="1">
        <f t="array" ref="S4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6" s="56" t="s">
        <v>976</v>
      </c>
      <c r="V46" s="56" t="s">
        <v>186</v>
      </c>
      <c r="W46" s="58">
        <v>0.83402777777777781</v>
      </c>
      <c r="X46" s="57">
        <f>IFERROR(IF(Table2[[#This Row],[Name]]="","",IFERROR(IF(Table2[[#This Row],[Time]]="","TBD",V$2-COUNTIF(Table2[Time],"&lt;"&amp;Table2[[#This Row],[Time]])),""))-(COUNTIF(Table2[Time],Table2[[#This Row],[Time]])-1),"")</f>
        <v>39</v>
      </c>
      <c r="Y46" s="57" cm="1">
        <f t="array" ref="Y4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6" s="56" t="s">
        <v>903</v>
      </c>
      <c r="AB46" s="56" t="s">
        <v>186</v>
      </c>
      <c r="AC46" s="58">
        <v>0.82013888888888886</v>
      </c>
      <c r="AD46" s="57">
        <f>IFERROR(IF(Table211[[#This Row],[Name]]="","",IFERROR(IF(Table211[[#This Row],[Time]]="","TBD",AB$2-COUNTIF(Table211[Time],"&lt;"&amp;Table211[[#This Row],[Time]])),""))-(COUNTIF(Table211[Time],Table211[[#This Row],[Time]])-1),"")</f>
        <v>39</v>
      </c>
      <c r="AE46" s="57" cm="1">
        <f t="array" ref="AE4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6" s="56" t="s">
        <v>1001</v>
      </c>
      <c r="AH46" s="56"/>
      <c r="AI46" s="58">
        <v>0.83125000000000004</v>
      </c>
      <c r="AJ4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39</v>
      </c>
      <c r="AK46" s="57" cm="1">
        <f t="array" ref="AK4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6" s="56" t="s">
        <v>1046</v>
      </c>
      <c r="AN46" s="56"/>
      <c r="AO46" s="58">
        <v>0.84097222222222223</v>
      </c>
      <c r="AP4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37</v>
      </c>
      <c r="AQ46" s="57" cm="1">
        <f t="array" ref="AQ4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6" s="56" t="s">
        <v>160</v>
      </c>
      <c r="AT46" s="56" t="s">
        <v>186</v>
      </c>
      <c r="AU46" s="58">
        <v>0.84027777777777779</v>
      </c>
      <c r="AV4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6" s="57" cm="1">
        <f t="array" ref="AW4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6" s="56" t="s">
        <v>144</v>
      </c>
      <c r="AZ46" s="56" t="s">
        <v>186</v>
      </c>
      <c r="BA46" s="58">
        <v>0.84097222222222223</v>
      </c>
      <c r="BB4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39</v>
      </c>
      <c r="BC46" s="57" cm="1">
        <f t="array" ref="BC4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6" s="56" t="s">
        <v>71</v>
      </c>
      <c r="BF46" s="56" t="s">
        <v>186</v>
      </c>
      <c r="BG46" s="58">
        <v>0.84444444444444444</v>
      </c>
      <c r="BH4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38</v>
      </c>
      <c r="BI46" s="57" cm="1">
        <f t="array" ref="BI4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6" s="56" t="s">
        <v>148</v>
      </c>
      <c r="BL46" s="56"/>
      <c r="BM46" s="58">
        <v>0.83611111111111114</v>
      </c>
      <c r="BN4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39</v>
      </c>
      <c r="BO46" s="57" cm="1">
        <f t="array" ref="BO4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6" s="56" t="s">
        <v>963</v>
      </c>
      <c r="BR46" s="56" t="s">
        <v>186</v>
      </c>
      <c r="BS46" s="58">
        <v>0.83472222222222225</v>
      </c>
      <c r="BT4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39</v>
      </c>
      <c r="BU46" s="57" cm="1">
        <f t="array" ref="BU4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6" s="56" t="s">
        <v>1034</v>
      </c>
      <c r="BX46" s="56" t="s">
        <v>186</v>
      </c>
      <c r="BY46" s="58">
        <v>0.82916666666666672</v>
      </c>
      <c r="BZ4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39</v>
      </c>
      <c r="CA46" s="57" cm="1">
        <f t="array" ref="CA4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6" s="56" t="s">
        <v>53</v>
      </c>
      <c r="CD46" s="56"/>
      <c r="CE46" s="58">
        <v>0.83194444444444449</v>
      </c>
      <c r="CF4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37</v>
      </c>
      <c r="CG46" s="57" cm="1">
        <f t="array" ref="CG4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2</v>
      </c>
      <c r="CI46" s="56" t="s">
        <v>920</v>
      </c>
      <c r="CJ46" s="56" t="s">
        <v>190</v>
      </c>
      <c r="CK46" s="58">
        <v>0.8305555555555556</v>
      </c>
      <c r="CL4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39</v>
      </c>
      <c r="CM46" s="57" cm="1">
        <f t="array" ref="CM4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6" s="56" t="s">
        <v>932</v>
      </c>
      <c r="CP46" s="56"/>
      <c r="CQ46" s="58">
        <v>0.80972222222222223</v>
      </c>
      <c r="CR4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38</v>
      </c>
      <c r="CS46" s="57" cm="1">
        <f t="array" ref="CS4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6" s="56" t="s">
        <v>156</v>
      </c>
      <c r="CV46" s="56" t="s">
        <v>186</v>
      </c>
      <c r="CW46" s="58">
        <v>0.8125</v>
      </c>
      <c r="CX4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6" s="57" cm="1">
        <f t="array" ref="CY4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6" s="56" t="s">
        <v>915</v>
      </c>
      <c r="DB46" s="56"/>
      <c r="DC46" s="58">
        <v>0.84652777777777777</v>
      </c>
      <c r="DD4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39</v>
      </c>
      <c r="DE46" s="57" cm="1">
        <f t="array" ref="DE4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6" s="56" t="s">
        <v>23</v>
      </c>
      <c r="DH46" s="56"/>
      <c r="DI46" s="58">
        <v>0.82013888888888886</v>
      </c>
      <c r="DJ4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39</v>
      </c>
      <c r="DK46" s="57" cm="1">
        <f t="array" ref="DK4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6" s="56" t="str">
        <f>IF('Weekly Attendance'!AA98="Yes",'Weekly Attendance'!$D98,"")</f>
        <v>Andrew Liu</v>
      </c>
      <c r="DN46" s="56" t="s">
        <v>186</v>
      </c>
      <c r="DO46" s="58">
        <v>0.8208333333333333</v>
      </c>
      <c r="DP4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57</v>
      </c>
      <c r="DQ46" s="57" cm="1">
        <f t="array" ref="DQ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7" spans="1:121">
      <c r="A47" s="16">
        <v>40</v>
      </c>
      <c r="B47" s="86"/>
      <c r="C47" s="56" t="s">
        <v>78</v>
      </c>
      <c r="D47" s="56"/>
      <c r="E47" s="58">
        <v>0.83611111111111114</v>
      </c>
      <c r="F47" s="57">
        <f>IFERROR(IF(Table4[[#This Row],[Name]]="","",IFERROR(IF(Table4[[#This Row],[Time]]="","TBD",D$2-COUNTIF(Table4[Time],"&lt;"&amp;Table4[[#This Row],[Time]])),""))-(COUNTIF(Table4[Time],Table4[[#This Row],[Time]])-1),"")</f>
        <v>40</v>
      </c>
      <c r="G47" s="57" cm="1">
        <f t="array" ref="G4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7" s="56" t="s">
        <v>73</v>
      </c>
      <c r="J47" s="56" t="s">
        <v>186</v>
      </c>
      <c r="K47" s="58">
        <v>0.83263888888888893</v>
      </c>
      <c r="L47" s="57">
        <f>IFERROR(IF(Table9[[#This Row],[Name]]="","",IFERROR(IF(Table9[[#This Row],[Time]]="","TBD",J$2-COUNTIF(Table9[Time],"&lt;"&amp;Table9[[#This Row],[Time]])),""))-(COUNTIF(Table9[Time],Table9[[#This Row],[Time]])-1),"")</f>
        <v>40</v>
      </c>
      <c r="M47" s="57" cm="1">
        <f t="array" ref="M4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7" s="56" t="s">
        <v>1049</v>
      </c>
      <c r="P47" s="56"/>
      <c r="Q47" s="58">
        <v>0.83263888888888893</v>
      </c>
      <c r="R47" s="57">
        <f>IFERROR(IF(Table18[[#This Row],[Name]]="","",IFERROR(IF(Table18[[#This Row],[Time]]="","TBD",P$2-COUNTIF(Table18[Time],"&lt;"&amp;Table18[[#This Row],[Time]])),""))-(COUNTIF(Table18[Time],Table18[[#This Row],[Time]])-1),"")</f>
        <v>40</v>
      </c>
      <c r="S47" s="57" cm="1">
        <f t="array" ref="S4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7" s="56" t="s">
        <v>926</v>
      </c>
      <c r="V47" s="56" t="s">
        <v>186</v>
      </c>
      <c r="W47" s="58">
        <v>0.83333333333333337</v>
      </c>
      <c r="X47" s="57">
        <f>IFERROR(IF(Table2[[#This Row],[Name]]="","",IFERROR(IF(Table2[[#This Row],[Time]]="","TBD",V$2-COUNTIF(Table2[Time],"&lt;"&amp;Table2[[#This Row],[Time]])),""))-(COUNTIF(Table2[Time],Table2[[#This Row],[Time]])-1),"")</f>
        <v>40</v>
      </c>
      <c r="Y47" s="57" cm="1">
        <f t="array" ref="Y4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7" s="56" t="s">
        <v>78</v>
      </c>
      <c r="AB47" s="56" t="s">
        <v>186</v>
      </c>
      <c r="AC47" s="58">
        <v>0.81944444444444442</v>
      </c>
      <c r="AD47" s="57">
        <f>IFERROR(IF(Table211[[#This Row],[Name]]="","",IFERROR(IF(Table211[[#This Row],[Time]]="","TBD",AB$2-COUNTIF(Table211[Time],"&lt;"&amp;Table211[[#This Row],[Time]])),""))-(COUNTIF(Table211[Time],Table211[[#This Row],[Time]])-1),"")</f>
        <v>40</v>
      </c>
      <c r="AE47" s="57" cm="1">
        <f t="array" ref="AE4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7" s="56" t="s">
        <v>48</v>
      </c>
      <c r="AH47" s="56"/>
      <c r="AI47" s="58">
        <v>0.8305555555555556</v>
      </c>
      <c r="AJ4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40</v>
      </c>
      <c r="AK47" s="57" cm="1">
        <f t="array" ref="AK4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2</v>
      </c>
      <c r="AM47" s="56" t="s">
        <v>41</v>
      </c>
      <c r="AN47" s="56"/>
      <c r="AO47" s="58">
        <v>0.83958333333333335</v>
      </c>
      <c r="AP4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40</v>
      </c>
      <c r="AQ47" s="57" cm="1">
        <f t="array" ref="AQ4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7" s="56" t="s">
        <v>943</v>
      </c>
      <c r="AT47" s="56"/>
      <c r="AU47" s="58">
        <v>0.84027777777777779</v>
      </c>
      <c r="AV4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38</v>
      </c>
      <c r="AW47" s="57" cm="1">
        <f t="array" ref="AW4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7" s="56" t="s">
        <v>1050</v>
      </c>
      <c r="AZ47" s="56"/>
      <c r="BA47" s="58">
        <v>0.83958333333333335</v>
      </c>
      <c r="BB4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40</v>
      </c>
      <c r="BC47" s="57" cm="1">
        <f t="array" ref="BC4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7" s="56" t="s">
        <v>93</v>
      </c>
      <c r="BF47" s="56" t="s">
        <v>186</v>
      </c>
      <c r="BG47" s="58">
        <v>0.84236111111111112</v>
      </c>
      <c r="BH4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40</v>
      </c>
      <c r="BI47" s="57" cm="1">
        <f t="array" ref="BI4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7" s="56" t="s">
        <v>961</v>
      </c>
      <c r="BL47" s="56" t="s">
        <v>186</v>
      </c>
      <c r="BM47" s="58">
        <v>0.83611111111111114</v>
      </c>
      <c r="BN4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39</v>
      </c>
      <c r="BO47" s="57" cm="1">
        <f t="array" ref="BO4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7" s="56" t="s">
        <v>980</v>
      </c>
      <c r="BR47" s="56"/>
      <c r="BS47" s="58">
        <v>0.83194444444444449</v>
      </c>
      <c r="BT4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40</v>
      </c>
      <c r="BU47" s="57" cm="1">
        <f t="array" ref="BU4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7" s="56" t="s">
        <v>931</v>
      </c>
      <c r="BX47" s="56" t="s">
        <v>186</v>
      </c>
      <c r="BY47" s="58">
        <v>0.82847222222222228</v>
      </c>
      <c r="BZ4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40</v>
      </c>
      <c r="CA47" s="57" cm="1">
        <f t="array" ref="CA4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7" s="56" t="s">
        <v>914</v>
      </c>
      <c r="CD47" s="56"/>
      <c r="CE47" s="58">
        <v>0.83125000000000004</v>
      </c>
      <c r="CF4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40</v>
      </c>
      <c r="CG47" s="57" cm="1">
        <f t="array" ref="CG4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7" s="56" t="s">
        <v>920</v>
      </c>
      <c r="CJ47" s="56" t="s">
        <v>190</v>
      </c>
      <c r="CK47" s="58">
        <v>0.8305555555555556</v>
      </c>
      <c r="CL4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39</v>
      </c>
      <c r="CM47" s="57" cm="1">
        <f t="array" ref="CM4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7" s="56" t="s">
        <v>146</v>
      </c>
      <c r="CP47" s="56" t="s">
        <v>186</v>
      </c>
      <c r="CQ47" s="58">
        <v>0.80902777777777779</v>
      </c>
      <c r="CR4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40</v>
      </c>
      <c r="CS47" s="57" cm="1">
        <f t="array" ref="CS4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7" s="56" t="s">
        <v>947</v>
      </c>
      <c r="CV47" s="56"/>
      <c r="CW47" s="58">
        <v>0.8125</v>
      </c>
      <c r="CX4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7" s="57" cm="1">
        <f t="array" ref="CY4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7" s="56" t="s">
        <v>929</v>
      </c>
      <c r="DB47" s="56" t="s">
        <v>186</v>
      </c>
      <c r="DC47" s="58">
        <v>0.84375</v>
      </c>
      <c r="DD4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40</v>
      </c>
      <c r="DE47" s="57" cm="1">
        <f t="array" ref="DE4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7" s="56" t="s">
        <v>146</v>
      </c>
      <c r="DH47" s="56" t="s">
        <v>186</v>
      </c>
      <c r="DI47" s="58">
        <v>0.82013888888888886</v>
      </c>
      <c r="DJ4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39</v>
      </c>
      <c r="DK47" s="57" cm="1">
        <f t="array" ref="DK4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7" s="56" t="str">
        <f>IF('Weekly Attendance'!AA266="Yes",'Weekly Attendance'!$D266,"")</f>
        <v>Nasir Ghaibi</v>
      </c>
      <c r="DN47" s="56" t="s">
        <v>186</v>
      </c>
      <c r="DO47" s="58">
        <v>0.81874999999999998</v>
      </c>
      <c r="DP4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47" s="57" cm="1">
        <f t="array" ref="DQ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8" spans="1:121">
      <c r="A48" s="16">
        <v>41</v>
      </c>
      <c r="B48" s="86"/>
      <c r="C48" s="56" t="s">
        <v>895</v>
      </c>
      <c r="D48" s="56"/>
      <c r="E48" s="58">
        <v>0.83472222222222225</v>
      </c>
      <c r="F48" s="57">
        <f>IFERROR(IF(Table4[[#This Row],[Name]]="","",IFERROR(IF(Table4[[#This Row],[Time]]="","TBD",D$2-COUNTIF(Table4[Time],"&lt;"&amp;Table4[[#This Row],[Time]])),""))-(COUNTIF(Table4[Time],Table4[[#This Row],[Time]])-1),"")</f>
        <v>41</v>
      </c>
      <c r="G48" s="57" cm="1">
        <f t="array" ref="G4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8" s="56" t="s">
        <v>900</v>
      </c>
      <c r="J48" s="56" t="s">
        <v>186</v>
      </c>
      <c r="K48" s="58">
        <v>0.8305555555555556</v>
      </c>
      <c r="L48" s="57">
        <f>IFERROR(IF(Table9[[#This Row],[Name]]="","",IFERROR(IF(Table9[[#This Row],[Time]]="","TBD",J$2-COUNTIF(Table9[Time],"&lt;"&amp;Table9[[#This Row],[Time]])),""))-(COUNTIF(Table9[Time],Table9[[#This Row],[Time]])-1),"")</f>
        <v>41</v>
      </c>
      <c r="M48" s="57" cm="1">
        <f t="array" ref="M4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8" s="56" t="s">
        <v>970</v>
      </c>
      <c r="P48" s="56"/>
      <c r="Q48" s="58">
        <v>0.83125000000000004</v>
      </c>
      <c r="R48" s="57">
        <f>IFERROR(IF(Table18[[#This Row],[Name]]="","",IFERROR(IF(Table18[[#This Row],[Time]]="","TBD",P$2-COUNTIF(Table18[Time],"&lt;"&amp;Table18[[#This Row],[Time]])),""))-(COUNTIF(Table18[Time],Table18[[#This Row],[Time]])-1),"")</f>
        <v>41</v>
      </c>
      <c r="S48" s="57" cm="1">
        <f t="array" ref="S4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8" s="56" t="s">
        <v>150</v>
      </c>
      <c r="V48" s="56"/>
      <c r="W48" s="58">
        <v>0.82986111111111116</v>
      </c>
      <c r="X48" s="57">
        <f>IFERROR(IF(Table2[[#This Row],[Name]]="","",IFERROR(IF(Table2[[#This Row],[Time]]="","TBD",V$2-COUNTIF(Table2[Time],"&lt;"&amp;Table2[[#This Row],[Time]])),""))-(COUNTIF(Table2[Time],Table2[[#This Row],[Time]])-1),"")</f>
        <v>41</v>
      </c>
      <c r="Y48" s="57" cm="1">
        <f t="array" ref="Y4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8" s="56" t="s">
        <v>926</v>
      </c>
      <c r="AB48" s="56"/>
      <c r="AC48" s="58">
        <v>0.81874999999999998</v>
      </c>
      <c r="AD48" s="57">
        <f>IFERROR(IF(Table211[[#This Row],[Name]]="","",IFERROR(IF(Table211[[#This Row],[Time]]="","TBD",AB$2-COUNTIF(Table211[Time],"&lt;"&amp;Table211[[#This Row],[Time]])),""))-(COUNTIF(Table211[Time],Table211[[#This Row],[Time]])-1),"")</f>
        <v>41</v>
      </c>
      <c r="AE48" s="57" cm="1">
        <f t="array" ref="AE4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8" s="56" t="s">
        <v>980</v>
      </c>
      <c r="AH48" s="56"/>
      <c r="AI48" s="58">
        <v>0.82847222222222228</v>
      </c>
      <c r="AJ4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8" s="57" cm="1">
        <f t="array" ref="AK4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48" s="56" t="s">
        <v>148</v>
      </c>
      <c r="AN48" s="56"/>
      <c r="AO48" s="58">
        <v>0.83611111111111114</v>
      </c>
      <c r="AP4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41</v>
      </c>
      <c r="AQ48" s="57" cm="1">
        <f t="array" ref="AQ4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8" s="105" t="s">
        <v>144</v>
      </c>
      <c r="AT48" s="56"/>
      <c r="AU48" s="58">
        <v>0.83958333333333335</v>
      </c>
      <c r="AV4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41</v>
      </c>
      <c r="AW48" s="57" cm="1">
        <f t="array" ref="AW4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8" s="56" t="s">
        <v>976</v>
      </c>
      <c r="AZ48" s="56" t="s">
        <v>186</v>
      </c>
      <c r="BA48" s="58">
        <v>0.83680555555555558</v>
      </c>
      <c r="BB4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41</v>
      </c>
      <c r="BC48" s="57" cm="1">
        <f t="array" ref="BC4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8" s="56" t="s">
        <v>23</v>
      </c>
      <c r="BF48" s="56"/>
      <c r="BG48" s="58">
        <v>0.84166666666666667</v>
      </c>
      <c r="BH4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41</v>
      </c>
      <c r="BI48" s="57" cm="1">
        <f t="array" ref="BI4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8" s="56" t="s">
        <v>904</v>
      </c>
      <c r="BL48" s="56"/>
      <c r="BM48" s="58">
        <v>0.8354166666666667</v>
      </c>
      <c r="BN4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41</v>
      </c>
      <c r="BO48" s="57" cm="1">
        <f t="array" ref="BO4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8" s="56" t="s">
        <v>162</v>
      </c>
      <c r="BR48" s="56"/>
      <c r="BS48" s="58">
        <v>0.83125000000000004</v>
      </c>
      <c r="BT4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48" s="57" cm="1">
        <f t="array" ref="BU4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8" s="56" t="s">
        <v>886</v>
      </c>
      <c r="BX48" s="56"/>
      <c r="BY48" s="58">
        <v>0.82777777777777772</v>
      </c>
      <c r="BZ4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41</v>
      </c>
      <c r="CA48" s="57" cm="1">
        <f t="array" ref="CA4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8" s="56" t="s">
        <v>1002</v>
      </c>
      <c r="CD48" s="56"/>
      <c r="CE48" s="58">
        <v>0.82777777777777772</v>
      </c>
      <c r="CF4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41</v>
      </c>
      <c r="CG48" s="57" cm="1">
        <f t="array" ref="CG4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8" s="56" t="s">
        <v>1051</v>
      </c>
      <c r="CJ48" s="56" t="s">
        <v>186</v>
      </c>
      <c r="CK48" s="58">
        <v>0.82916666666666672</v>
      </c>
      <c r="CL4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41</v>
      </c>
      <c r="CM48" s="57" cm="1">
        <f t="array" ref="CM4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8" s="56" t="s">
        <v>900</v>
      </c>
      <c r="CP48" s="56" t="s">
        <v>186</v>
      </c>
      <c r="CQ48" s="58">
        <v>0.80763888888888891</v>
      </c>
      <c r="CR4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41</v>
      </c>
      <c r="CS48" s="57" cm="1">
        <f t="array" ref="CS4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8" s="56" t="s">
        <v>111</v>
      </c>
      <c r="CV48" s="56"/>
      <c r="CW48" s="58">
        <v>0.8125</v>
      </c>
      <c r="CX4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37</v>
      </c>
      <c r="CY48" s="57" cm="1">
        <f t="array" ref="CY4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8" s="56" t="s">
        <v>1050</v>
      </c>
      <c r="DB48" s="56"/>
      <c r="DC48" s="58">
        <v>0.84166666666666667</v>
      </c>
      <c r="DD4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41</v>
      </c>
      <c r="DE48" s="57" cm="1">
        <f t="array" ref="DE4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8" s="56" t="s">
        <v>931</v>
      </c>
      <c r="DH48" s="56"/>
      <c r="DI48" s="58">
        <v>0.81874999999999998</v>
      </c>
      <c r="DJ4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41</v>
      </c>
      <c r="DK48" s="57" cm="1">
        <f t="array" ref="DK4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8" s="56" t="str">
        <f>IF('Weekly Attendance'!AA211="Yes",'Weekly Attendance'!$D211,"")</f>
        <v>Kalyan Jande</v>
      </c>
      <c r="DN48" s="56" t="s">
        <v>186</v>
      </c>
      <c r="DO48" s="58">
        <v>0.81874999999999998</v>
      </c>
      <c r="DP4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48" s="57" cm="1">
        <f t="array" ref="DQ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49" spans="1:121">
      <c r="A49" s="16">
        <v>42</v>
      </c>
      <c r="B49" s="86"/>
      <c r="C49" s="56" t="s">
        <v>41</v>
      </c>
      <c r="D49" s="56"/>
      <c r="E49" s="58">
        <v>0.83472222222222225</v>
      </c>
      <c r="F49" s="57">
        <f>IFERROR(IF(Table4[[#This Row],[Name]]="","",IFERROR(IF(Table4[[#This Row],[Time]]="","TBD",D$2-COUNTIF(Table4[Time],"&lt;"&amp;Table4[[#This Row],[Time]])),""))-(COUNTIF(Table4[Time],Table4[[#This Row],[Time]])-1),"")</f>
        <v>41</v>
      </c>
      <c r="G49" s="57" cm="1">
        <f t="array" ref="G4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49" s="56" t="s">
        <v>913</v>
      </c>
      <c r="J49" s="56" t="s">
        <v>186</v>
      </c>
      <c r="K49" s="58">
        <v>0.82777777777777772</v>
      </c>
      <c r="L49" s="57">
        <f>IFERROR(IF(Table9[[#This Row],[Name]]="","",IFERROR(IF(Table9[[#This Row],[Time]]="","TBD",J$2-COUNTIF(Table9[Time],"&lt;"&amp;Table9[[#This Row],[Time]])),""))-(COUNTIF(Table9[Time],Table9[[#This Row],[Time]])-1),"")</f>
        <v>42</v>
      </c>
      <c r="M49" s="57" cm="1">
        <f t="array" ref="M4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49" s="56" t="s">
        <v>23</v>
      </c>
      <c r="P49" s="56" t="s">
        <v>186</v>
      </c>
      <c r="Q49" s="58">
        <v>0.8305555555555556</v>
      </c>
      <c r="R49" s="57">
        <f>IFERROR(IF(Table18[[#This Row],[Name]]="","",IFERROR(IF(Table18[[#This Row],[Time]]="","TBD",P$2-COUNTIF(Table18[Time],"&lt;"&amp;Table18[[#This Row],[Time]])),""))-(COUNTIF(Table18[Time],Table18[[#This Row],[Time]])-1),"")</f>
        <v>42</v>
      </c>
      <c r="S49" s="57" cm="1">
        <f t="array" ref="S4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49" s="56" t="s">
        <v>980</v>
      </c>
      <c r="V49" s="56"/>
      <c r="W49" s="58">
        <v>0.82986111111111116</v>
      </c>
      <c r="X49" s="57">
        <f>IFERROR(IF(Table2[[#This Row],[Name]]="","",IFERROR(IF(Table2[[#This Row],[Time]]="","TBD",V$2-COUNTIF(Table2[Time],"&lt;"&amp;Table2[[#This Row],[Time]])),""))-(COUNTIF(Table2[Time],Table2[[#This Row],[Time]])-1),"")</f>
        <v>41</v>
      </c>
      <c r="Y49" s="57" cm="1">
        <f t="array" ref="Y4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49" s="56" t="s">
        <v>119</v>
      </c>
      <c r="AB49" s="56"/>
      <c r="AC49" s="58">
        <v>0.81805555555555554</v>
      </c>
      <c r="AD49" s="57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49" s="57" cm="1">
        <f t="array" ref="AE4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49" s="56" t="s">
        <v>1007</v>
      </c>
      <c r="AH49" s="56" t="s">
        <v>186</v>
      </c>
      <c r="AI49" s="58">
        <v>0.82847222222222228</v>
      </c>
      <c r="AJ4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49" s="57" cm="1">
        <f t="array" ref="AK4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49" s="56" t="s">
        <v>176</v>
      </c>
      <c r="AN49" s="56"/>
      <c r="AO49" s="58">
        <v>0.8354166666666667</v>
      </c>
      <c r="AP4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42</v>
      </c>
      <c r="AQ49" s="57" cm="1">
        <f t="array" ref="AQ4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49" s="56" t="s">
        <v>150</v>
      </c>
      <c r="AT49" s="56" t="s">
        <v>186</v>
      </c>
      <c r="AU49" s="58">
        <v>0.83819444444444446</v>
      </c>
      <c r="AV4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49" s="57" cm="1">
        <f t="array" ref="AW4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49" s="56" t="s">
        <v>922</v>
      </c>
      <c r="AZ49" s="56"/>
      <c r="BA49" s="58">
        <v>0.8354166666666667</v>
      </c>
      <c r="BB4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42</v>
      </c>
      <c r="BC49" s="57" cm="1">
        <f t="array" ref="BC4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49" s="56" t="s">
        <v>930</v>
      </c>
      <c r="BF49" s="56"/>
      <c r="BG49" s="58">
        <v>0.84027777777777779</v>
      </c>
      <c r="BH4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42</v>
      </c>
      <c r="BI49" s="57" cm="1">
        <f t="array" ref="BI4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49" s="56" t="s">
        <v>903</v>
      </c>
      <c r="BL49" s="56"/>
      <c r="BM49" s="58">
        <v>0.83472222222222225</v>
      </c>
      <c r="BN4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42</v>
      </c>
      <c r="BO49" s="57" cm="1">
        <f t="array" ref="BO4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49" s="56" t="s">
        <v>938</v>
      </c>
      <c r="BR49" s="56" t="s">
        <v>186</v>
      </c>
      <c r="BS49" s="58">
        <v>0.83125000000000004</v>
      </c>
      <c r="BT4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49" s="57" cm="1">
        <f t="array" ref="BU4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49" s="56" t="s">
        <v>1052</v>
      </c>
      <c r="BX49" s="56"/>
      <c r="BY49" s="58">
        <v>0.82708333333333328</v>
      </c>
      <c r="BZ4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42</v>
      </c>
      <c r="CA49" s="57" cm="1">
        <f t="array" ref="CA4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49" s="56" t="s">
        <v>920</v>
      </c>
      <c r="CD49" s="56"/>
      <c r="CE49" s="58">
        <v>0.82708333333333328</v>
      </c>
      <c r="CF4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42</v>
      </c>
      <c r="CG49" s="57" cm="1">
        <f t="array" ref="CG4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49" s="56" t="s">
        <v>932</v>
      </c>
      <c r="CJ49" s="56" t="s">
        <v>186</v>
      </c>
      <c r="CK49" s="58">
        <v>0.82847222222222228</v>
      </c>
      <c r="CL4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42</v>
      </c>
      <c r="CM49" s="57" cm="1">
        <f t="array" ref="CM4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49" s="56" t="s">
        <v>938</v>
      </c>
      <c r="CP49" s="56" t="s">
        <v>186</v>
      </c>
      <c r="CQ49" s="58">
        <v>0.80694444444444446</v>
      </c>
      <c r="CR4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42</v>
      </c>
      <c r="CS49" s="57" cm="1">
        <f t="array" ref="CS4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49" s="56" t="s">
        <v>20</v>
      </c>
      <c r="CV49" s="56" t="s">
        <v>186</v>
      </c>
      <c r="CW49" s="58">
        <v>0.81041666666666667</v>
      </c>
      <c r="CX4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42</v>
      </c>
      <c r="CY49" s="57" cm="1">
        <f t="array" ref="CY4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49" s="56" t="s">
        <v>144</v>
      </c>
      <c r="DB49" s="56"/>
      <c r="DC49" s="58">
        <v>0.84097222222222223</v>
      </c>
      <c r="DD4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42</v>
      </c>
      <c r="DE49" s="57" cm="1">
        <f t="array" ref="DE4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49" s="56" t="s">
        <v>954</v>
      </c>
      <c r="DH49" s="56" t="s">
        <v>186</v>
      </c>
      <c r="DI49" s="58">
        <v>0.81805555555555554</v>
      </c>
      <c r="DJ4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42</v>
      </c>
      <c r="DK49" s="57" cm="1">
        <f t="array" ref="DK4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49" s="56" t="str">
        <f>IF('Weekly Attendance'!AA137="Yes",'Weekly Attendance'!$D137,"")</f>
        <v xml:space="preserve">Dan De Leary </v>
      </c>
      <c r="DN49" s="56" t="s">
        <v>186</v>
      </c>
      <c r="DO49" s="58">
        <v>0.81874999999999998</v>
      </c>
      <c r="DP4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49" s="57" cm="1">
        <f t="array" ref="DQ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0" spans="1:121">
      <c r="A50" s="16">
        <v>43</v>
      </c>
      <c r="B50" s="86"/>
      <c r="C50" s="56" t="s">
        <v>994</v>
      </c>
      <c r="D50" s="56" t="s">
        <v>186</v>
      </c>
      <c r="E50" s="58">
        <v>0.83402777777777781</v>
      </c>
      <c r="F50" s="57">
        <f>IFERROR(IF(Table4[[#This Row],[Name]]="","",IFERROR(IF(Table4[[#This Row],[Time]]="","TBD",D$2-COUNTIF(Table4[Time],"&lt;"&amp;Table4[[#This Row],[Time]])),""))-(COUNTIF(Table4[Time],Table4[[#This Row],[Time]])-1),"")</f>
        <v>43</v>
      </c>
      <c r="G50" s="57" cm="1">
        <f t="array" ref="G5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0" s="56" t="s">
        <v>69</v>
      </c>
      <c r="J50" s="56"/>
      <c r="K50" s="58">
        <v>0.8256944444444444</v>
      </c>
      <c r="L50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0" s="57" cm="1">
        <f t="array" ref="M5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0" s="56" t="s">
        <v>938</v>
      </c>
      <c r="P50" s="56"/>
      <c r="Q50" s="58">
        <v>0.82777777777777772</v>
      </c>
      <c r="R50" s="57">
        <f>IFERROR(IF(Table18[[#This Row],[Name]]="","",IFERROR(IF(Table18[[#This Row],[Time]]="","TBD",P$2-COUNTIF(Table18[Time],"&lt;"&amp;Table18[[#This Row],[Time]])),""))-(COUNTIF(Table18[Time],Table18[[#This Row],[Time]])-1),"")</f>
        <v>43</v>
      </c>
      <c r="S50" s="57" cm="1">
        <f t="array" ref="S5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0" s="56" t="s">
        <v>168</v>
      </c>
      <c r="V50" s="56" t="s">
        <v>186</v>
      </c>
      <c r="W50" s="58">
        <v>0.8256944444444444</v>
      </c>
      <c r="X50" s="57">
        <f>IFERROR(IF(Table2[[#This Row],[Name]]="","",IFERROR(IF(Table2[[#This Row],[Time]]="","TBD",V$2-COUNTIF(Table2[Time],"&lt;"&amp;Table2[[#This Row],[Time]])),""))-(COUNTIF(Table2[Time],Table2[[#This Row],[Time]])-1),"")</f>
        <v>43</v>
      </c>
      <c r="Y50" s="57" cm="1">
        <f t="array" ref="Y5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2</v>
      </c>
      <c r="AA50" s="56" t="s">
        <v>43</v>
      </c>
      <c r="AB50" s="56"/>
      <c r="AC50" s="58">
        <v>0.81805555555555554</v>
      </c>
      <c r="AD50" s="57">
        <f>IFERROR(IF(Table211[[#This Row],[Name]]="","",IFERROR(IF(Table211[[#This Row],[Time]]="","TBD",AB$2-COUNTIF(Table211[Time],"&lt;"&amp;Table211[[#This Row],[Time]])),""))-(COUNTIF(Table211[Time],Table211[[#This Row],[Time]])-1),"")</f>
        <v>42</v>
      </c>
      <c r="AE50" s="57" cm="1">
        <f t="array" ref="AE5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0" s="56" t="s">
        <v>907</v>
      </c>
      <c r="AH50" s="56"/>
      <c r="AI50" s="58">
        <v>0.82847222222222228</v>
      </c>
      <c r="AJ5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41</v>
      </c>
      <c r="AK50" s="57" cm="1">
        <f t="array" ref="AK5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0" s="56" t="s">
        <v>107</v>
      </c>
      <c r="AN50" s="56" t="s">
        <v>186</v>
      </c>
      <c r="AO50" s="58">
        <v>0.83263888888888893</v>
      </c>
      <c r="AP5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43</v>
      </c>
      <c r="AQ50" s="57" cm="1">
        <f t="array" ref="AQ5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0" s="56" t="s">
        <v>1053</v>
      </c>
      <c r="AT50" s="56"/>
      <c r="AU50" s="58">
        <v>0.83819444444444446</v>
      </c>
      <c r="AV5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42</v>
      </c>
      <c r="AW50" s="57" cm="1">
        <f t="array" ref="AW5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0" s="56" t="s">
        <v>887</v>
      </c>
      <c r="AZ50" s="56" t="s">
        <v>186</v>
      </c>
      <c r="BA50" s="58">
        <v>0.83263888888888893</v>
      </c>
      <c r="BB5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43</v>
      </c>
      <c r="BC50" s="57" cm="1">
        <f t="array" ref="BC5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0" s="56" t="s">
        <v>922</v>
      </c>
      <c r="BF50" s="56" t="s">
        <v>186</v>
      </c>
      <c r="BG50" s="58">
        <v>0.83680555555555558</v>
      </c>
      <c r="BH5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43</v>
      </c>
      <c r="BI50" s="57" cm="1">
        <f t="array" ref="BI5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0" s="56" t="s">
        <v>1054</v>
      </c>
      <c r="BL50" s="56"/>
      <c r="BM50" s="58">
        <v>0.83263888888888893</v>
      </c>
      <c r="BN5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43</v>
      </c>
      <c r="BO50" s="57" cm="1">
        <f t="array" ref="BO5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0" s="56" t="s">
        <v>71</v>
      </c>
      <c r="BR50" s="56" t="s">
        <v>186</v>
      </c>
      <c r="BS50" s="58">
        <v>0.83125000000000004</v>
      </c>
      <c r="BT5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41</v>
      </c>
      <c r="BU50" s="57" cm="1">
        <f t="array" ref="BU5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0" s="56" t="s">
        <v>908</v>
      </c>
      <c r="BX50" s="56" t="s">
        <v>186</v>
      </c>
      <c r="BY50" s="58">
        <v>0.8256944444444444</v>
      </c>
      <c r="BZ5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43</v>
      </c>
      <c r="CA50" s="57" cm="1">
        <f t="array" ref="CA5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0" s="56" t="s">
        <v>923</v>
      </c>
      <c r="CD50" s="56"/>
      <c r="CE50" s="58">
        <v>0.82430555555555551</v>
      </c>
      <c r="CF5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43</v>
      </c>
      <c r="CG50" s="57" cm="1">
        <f t="array" ref="CG5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0" s="56" t="s">
        <v>932</v>
      </c>
      <c r="CJ50" s="56" t="s">
        <v>186</v>
      </c>
      <c r="CK50" s="58">
        <v>0.82847222222222228</v>
      </c>
      <c r="CL5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42</v>
      </c>
      <c r="CM50" s="57" cm="1">
        <f t="array" ref="CM5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0" s="56" t="s">
        <v>963</v>
      </c>
      <c r="CP50" s="56" t="s">
        <v>186</v>
      </c>
      <c r="CQ50" s="58">
        <v>0.80694444444444446</v>
      </c>
      <c r="CR5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42</v>
      </c>
      <c r="CS50" s="57" cm="1">
        <f t="array" ref="CS5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0" s="56" t="s">
        <v>902</v>
      </c>
      <c r="CV50" s="56" t="s">
        <v>186</v>
      </c>
      <c r="CW50" s="58">
        <v>0.80902777777777779</v>
      </c>
      <c r="CX5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43</v>
      </c>
      <c r="CY50" s="57" cm="1">
        <f t="array" ref="CY5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0" s="56" t="s">
        <v>1040</v>
      </c>
      <c r="DB50" s="56"/>
      <c r="DC50" s="58">
        <v>0.84097222222222223</v>
      </c>
      <c r="DD5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42</v>
      </c>
      <c r="DE50" s="57" cm="1">
        <f t="array" ref="DE5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0" s="56" t="s">
        <v>47</v>
      </c>
      <c r="DH50" s="56" t="s">
        <v>186</v>
      </c>
      <c r="DI50" s="58">
        <v>0.81666666666666665</v>
      </c>
      <c r="DJ5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43</v>
      </c>
      <c r="DK50" s="57" cm="1">
        <f t="array" ref="DK5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0" s="56" t="str">
        <f>IF('Weekly Attendance'!AA84="Yes",'Weekly Attendance'!$D84,"")</f>
        <v>Alex Nguyen</v>
      </c>
      <c r="DN50" s="56" t="s">
        <v>186</v>
      </c>
      <c r="DO50" s="58">
        <v>0.81874999999999998</v>
      </c>
      <c r="DP5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60</v>
      </c>
      <c r="DQ50" s="57" cm="1">
        <f t="array" ref="DQ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1" spans="1:121">
      <c r="A51" s="16">
        <v>44</v>
      </c>
      <c r="B51" s="86"/>
      <c r="C51" s="56" t="s">
        <v>97</v>
      </c>
      <c r="D51" s="56" t="s">
        <v>186</v>
      </c>
      <c r="E51" s="58">
        <v>0.83333333333333337</v>
      </c>
      <c r="F51" s="57">
        <f>IFERROR(IF(Table4[[#This Row],[Name]]="","",IFERROR(IF(Table4[[#This Row],[Time]]="","TBD",D$2-COUNTIF(Table4[Time],"&lt;"&amp;Table4[[#This Row],[Time]])),""))-(COUNTIF(Table4[Time],Table4[[#This Row],[Time]])-1),"")</f>
        <v>44</v>
      </c>
      <c r="G51" s="57" cm="1">
        <f t="array" ref="G5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1" s="56" t="s">
        <v>889</v>
      </c>
      <c r="J51" s="56" t="s">
        <v>186</v>
      </c>
      <c r="K51" s="58">
        <v>0.8256944444444444</v>
      </c>
      <c r="L51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1" s="57" cm="1">
        <f t="array" ref="M5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1" s="56" t="s">
        <v>174</v>
      </c>
      <c r="P51" s="56"/>
      <c r="Q51" s="58">
        <v>0.8256944444444444</v>
      </c>
      <c r="R51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1" s="57" cm="1">
        <f t="array" ref="S5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1" s="56" t="s">
        <v>891</v>
      </c>
      <c r="V51" s="56"/>
      <c r="W51" s="58">
        <v>0.82499999999999996</v>
      </c>
      <c r="X51" s="57">
        <f>IFERROR(IF(Table2[[#This Row],[Name]]="","",IFERROR(IF(Table2[[#This Row],[Time]]="","TBD",V$2-COUNTIF(Table2[Time],"&lt;"&amp;Table2[[#This Row],[Time]])),""))-(COUNTIF(Table2[Time],Table2[[#This Row],[Time]])-1),"")</f>
        <v>44</v>
      </c>
      <c r="Y51" s="57" cm="1">
        <f t="array" ref="Y5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1" s="56" t="s">
        <v>1007</v>
      </c>
      <c r="AB51" s="56"/>
      <c r="AC51" s="58">
        <v>0.81388888888888888</v>
      </c>
      <c r="AD51" s="57">
        <f>IFERROR(IF(Table211[[#This Row],[Name]]="","",IFERROR(IF(Table211[[#This Row],[Time]]="","TBD",AB$2-COUNTIF(Table211[Time],"&lt;"&amp;Table211[[#This Row],[Time]])),""))-(COUNTIF(Table211[Time],Table211[[#This Row],[Time]])-1),"")</f>
        <v>44</v>
      </c>
      <c r="AE51" s="57" cm="1">
        <f t="array" ref="AE5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1" s="56" t="s">
        <v>73</v>
      </c>
      <c r="AH51" s="56"/>
      <c r="AI51" s="58">
        <v>0.82291666666666663</v>
      </c>
      <c r="AJ5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44</v>
      </c>
      <c r="AK51" s="57" cm="1">
        <f t="array" ref="AK5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1" s="56" t="s">
        <v>971</v>
      </c>
      <c r="AN51" s="56"/>
      <c r="AO51" s="58">
        <v>0.82986111111111116</v>
      </c>
      <c r="AP5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44</v>
      </c>
      <c r="AQ51" s="57" cm="1">
        <f t="array" ref="AQ5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1" s="56" t="s">
        <v>1055</v>
      </c>
      <c r="AT51" s="56"/>
      <c r="AU51" s="58">
        <v>0.83680555555555558</v>
      </c>
      <c r="AV5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44</v>
      </c>
      <c r="AW51" s="57" cm="1">
        <f t="array" ref="AW5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1" s="56" t="s">
        <v>1056</v>
      </c>
      <c r="AZ51" s="56"/>
      <c r="BA51" s="58">
        <v>0.82916666666666672</v>
      </c>
      <c r="BB5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44</v>
      </c>
      <c r="BC51" s="57" cm="1">
        <f t="array" ref="BC5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1" s="56" t="s">
        <v>923</v>
      </c>
      <c r="BF51" s="56" t="s">
        <v>186</v>
      </c>
      <c r="BG51" s="58">
        <v>0.83611111111111114</v>
      </c>
      <c r="BH5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44</v>
      </c>
      <c r="BI51" s="57" cm="1">
        <f t="array" ref="BI5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1" s="56" t="s">
        <v>125</v>
      </c>
      <c r="BL51" s="56" t="s">
        <v>186</v>
      </c>
      <c r="BM51" s="58">
        <v>0.82986111111111116</v>
      </c>
      <c r="BN5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44</v>
      </c>
      <c r="BO51" s="57" cm="1">
        <f t="array" ref="BO5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1" s="56" t="s">
        <v>886</v>
      </c>
      <c r="BR51" s="56"/>
      <c r="BS51" s="58">
        <v>0.8305555555555556</v>
      </c>
      <c r="BT5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1" s="57" cm="1">
        <f t="array" ref="BU5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1" s="56" t="s">
        <v>929</v>
      </c>
      <c r="BX51" s="56"/>
      <c r="BY51" s="58">
        <v>0.82430555555555551</v>
      </c>
      <c r="BZ5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44</v>
      </c>
      <c r="CA51" s="57" cm="1">
        <f t="array" ref="CA5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1" s="56" t="s">
        <v>913</v>
      </c>
      <c r="CD51" s="56"/>
      <c r="CE51" s="58">
        <v>0.82430555555555551</v>
      </c>
      <c r="CF5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43</v>
      </c>
      <c r="CG51" s="57" cm="1">
        <f t="array" ref="CG5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1" s="56" t="s">
        <v>148</v>
      </c>
      <c r="CJ51" s="56" t="s">
        <v>190</v>
      </c>
      <c r="CK51" s="58">
        <v>0.82708333333333328</v>
      </c>
      <c r="CL5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44</v>
      </c>
      <c r="CM51" s="57" cm="1">
        <f t="array" ref="CM5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1" s="56" t="s">
        <v>886</v>
      </c>
      <c r="CP51" s="56" t="s">
        <v>186</v>
      </c>
      <c r="CQ51" s="58">
        <v>0.80625000000000002</v>
      </c>
      <c r="CR5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44</v>
      </c>
      <c r="CS51" s="57" cm="1">
        <f t="array" ref="CS5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1" s="56" t="s">
        <v>963</v>
      </c>
      <c r="CV51" s="56" t="s">
        <v>186</v>
      </c>
      <c r="CW51" s="58">
        <v>0.80486111111111114</v>
      </c>
      <c r="CX5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44</v>
      </c>
      <c r="CY51" s="57" cm="1">
        <f t="array" ref="CY5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1" s="56" t="s">
        <v>1045</v>
      </c>
      <c r="DB51" s="56" t="s">
        <v>186</v>
      </c>
      <c r="DC51" s="58">
        <v>0.84027777777777779</v>
      </c>
      <c r="DD5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44</v>
      </c>
      <c r="DE51" s="57" cm="1">
        <f t="array" ref="DE5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1" s="56" t="s">
        <v>142</v>
      </c>
      <c r="DH51" s="56" t="s">
        <v>186</v>
      </c>
      <c r="DI51" s="58">
        <v>0.81597222222222221</v>
      </c>
      <c r="DJ5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44</v>
      </c>
      <c r="DK51" s="57" cm="1">
        <f t="array" ref="DK5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1" s="56" t="str">
        <f>IF('Weekly Attendance'!AA86="Yes",'Weekly Attendance'!$D86,"")</f>
        <v>Alex Yu</v>
      </c>
      <c r="DN51" s="56" t="s">
        <v>186</v>
      </c>
      <c r="DO51" s="58">
        <v>0.81805555555555554</v>
      </c>
      <c r="DP5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64</v>
      </c>
      <c r="DQ51" s="57" cm="1">
        <f t="array" ref="DQ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2" spans="1:121">
      <c r="A52" s="16">
        <v>45</v>
      </c>
      <c r="B52" s="86"/>
      <c r="C52" s="56" t="s">
        <v>121</v>
      </c>
      <c r="D52" s="56"/>
      <c r="E52" s="58">
        <v>0.83263888888888893</v>
      </c>
      <c r="F52" s="57">
        <f>IFERROR(IF(Table4[[#This Row],[Name]]="","",IFERROR(IF(Table4[[#This Row],[Time]]="","TBD",D$2-COUNTIF(Table4[Time],"&lt;"&amp;Table4[[#This Row],[Time]])),""))-(COUNTIF(Table4[Time],Table4[[#This Row],[Time]])-1),"")</f>
        <v>45</v>
      </c>
      <c r="G52" s="57" cm="1">
        <f t="array" ref="G5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2" s="56" t="s">
        <v>1057</v>
      </c>
      <c r="J52" s="56" t="s">
        <v>186</v>
      </c>
      <c r="K52" s="58">
        <v>0.8256944444444444</v>
      </c>
      <c r="L52" s="57">
        <f>IFERROR(IF(Table9[[#This Row],[Name]]="","",IFERROR(IF(Table9[[#This Row],[Time]]="","TBD",J$2-COUNTIF(Table9[Time],"&lt;"&amp;Table9[[#This Row],[Time]])),""))-(COUNTIF(Table9[Time],Table9[[#This Row],[Time]])-1),"")</f>
        <v>43</v>
      </c>
      <c r="M52" s="57" cm="1">
        <f t="array" ref="M5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2</v>
      </c>
      <c r="O52" s="56" t="s">
        <v>900</v>
      </c>
      <c r="P52" s="56" t="s">
        <v>186</v>
      </c>
      <c r="Q52" s="58">
        <v>0.8256944444444444</v>
      </c>
      <c r="R52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2" s="57" cm="1">
        <f t="array" ref="S5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2" s="56" t="s">
        <v>93</v>
      </c>
      <c r="V52" s="56"/>
      <c r="W52" s="58">
        <v>0.82361111111111107</v>
      </c>
      <c r="X52" s="57">
        <f>IFERROR(IF(Table2[[#This Row],[Name]]="","",IFERROR(IF(Table2[[#This Row],[Time]]="","TBD",V$2-COUNTIF(Table2[Time],"&lt;"&amp;Table2[[#This Row],[Time]])),""))-(COUNTIF(Table2[Time],Table2[[#This Row],[Time]])-1),"")</f>
        <v>45</v>
      </c>
      <c r="Y52" s="57" cm="1">
        <f t="array" ref="Y5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2" s="56" t="s">
        <v>960</v>
      </c>
      <c r="AB52" s="56"/>
      <c r="AC52" s="58">
        <v>0.81319444444444444</v>
      </c>
      <c r="AD52" s="57">
        <f>IFERROR(IF(Table211[[#This Row],[Name]]="","",IFERROR(IF(Table211[[#This Row],[Time]]="","TBD",AB$2-COUNTIF(Table211[Time],"&lt;"&amp;Table211[[#This Row],[Time]])),""))-(COUNTIF(Table211[Time],Table211[[#This Row],[Time]])-1),"")</f>
        <v>45</v>
      </c>
      <c r="AE52" s="57" cm="1">
        <f t="array" ref="AE5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2" s="56" t="s">
        <v>1058</v>
      </c>
      <c r="AH52" s="56"/>
      <c r="AI52" s="58">
        <v>0.82152777777777775</v>
      </c>
      <c r="AJ5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2" s="57" cm="1">
        <f t="array" ref="AK5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2" s="56" t="s">
        <v>152</v>
      </c>
      <c r="AN52" s="56"/>
      <c r="AO52" s="58">
        <v>0.82847222222222228</v>
      </c>
      <c r="AP5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45</v>
      </c>
      <c r="AQ52" s="57" cm="1">
        <f t="array" ref="AQ5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2</v>
      </c>
      <c r="AS52" s="56" t="s">
        <v>911</v>
      </c>
      <c r="AT52" s="56"/>
      <c r="AU52" s="58">
        <v>0.8354166666666667</v>
      </c>
      <c r="AV5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45</v>
      </c>
      <c r="AW52" s="57" cm="1">
        <f t="array" ref="AW5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2" s="56" t="s">
        <v>1018</v>
      </c>
      <c r="AZ52" s="56" t="s">
        <v>186</v>
      </c>
      <c r="BA52" s="58">
        <v>0.82777777777777772</v>
      </c>
      <c r="BB5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45</v>
      </c>
      <c r="BC52" s="57" cm="1">
        <f t="array" ref="BC5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2" s="56" t="s">
        <v>961</v>
      </c>
      <c r="BF52" s="56"/>
      <c r="BG52" s="58">
        <v>0.83472222222222225</v>
      </c>
      <c r="BH5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45</v>
      </c>
      <c r="BI52" s="57" cm="1">
        <f t="array" ref="BI5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2</v>
      </c>
      <c r="BK52" s="56" t="s">
        <v>914</v>
      </c>
      <c r="BL52" s="56"/>
      <c r="BM52" s="58">
        <v>0.82986111111111116</v>
      </c>
      <c r="BN5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44</v>
      </c>
      <c r="BO52" s="57" cm="1">
        <f t="array" ref="BO5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2" s="56" t="s">
        <v>969</v>
      </c>
      <c r="BR52" s="56" t="s">
        <v>186</v>
      </c>
      <c r="BS52" s="58">
        <v>0.8305555555555556</v>
      </c>
      <c r="BT5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2" s="57" cm="1">
        <f t="array" ref="BU5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2" s="56" t="s">
        <v>47</v>
      </c>
      <c r="BX52" s="56"/>
      <c r="BY52" s="58">
        <v>0.82152777777777775</v>
      </c>
      <c r="BZ5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45</v>
      </c>
      <c r="CA52" s="57" cm="1">
        <f t="array" ref="CA5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2" s="56" t="s">
        <v>887</v>
      </c>
      <c r="CD52" s="56" t="s">
        <v>186</v>
      </c>
      <c r="CE52" s="58">
        <v>0.82361111111111107</v>
      </c>
      <c r="CF5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45</v>
      </c>
      <c r="CG52" s="57" cm="1">
        <f t="array" ref="CG5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2" s="56" t="s">
        <v>929</v>
      </c>
      <c r="CJ52" s="56" t="s">
        <v>190</v>
      </c>
      <c r="CK52" s="58">
        <v>0.82499999999999996</v>
      </c>
      <c r="CL5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45</v>
      </c>
      <c r="CM52" s="57" cm="1">
        <f t="array" ref="CM5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2" s="56" t="s">
        <v>892</v>
      </c>
      <c r="CP52" s="56" t="s">
        <v>420</v>
      </c>
      <c r="CQ52" s="155">
        <v>0.80138888888888893</v>
      </c>
      <c r="CR5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45</v>
      </c>
      <c r="CS52" s="57" cm="1">
        <f t="array" ref="CS5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2" s="56" t="s">
        <v>1059</v>
      </c>
      <c r="CV52" s="56" t="s">
        <v>186</v>
      </c>
      <c r="CW52" s="58">
        <v>0.80277777777777781</v>
      </c>
      <c r="CX5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45</v>
      </c>
      <c r="CY52" s="57" cm="1">
        <f t="array" ref="CY5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2" s="56" t="s">
        <v>132</v>
      </c>
      <c r="DB52" s="56" t="s">
        <v>186</v>
      </c>
      <c r="DC52" s="58">
        <v>0.83750000000000002</v>
      </c>
      <c r="DD5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45</v>
      </c>
      <c r="DE52" s="57" cm="1">
        <f t="array" ref="DE5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2</v>
      </c>
      <c r="DG52" s="56" t="s">
        <v>906</v>
      </c>
      <c r="DH52" s="56" t="s">
        <v>186</v>
      </c>
      <c r="DI52" s="58">
        <v>0.81597222222222221</v>
      </c>
      <c r="DJ5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44</v>
      </c>
      <c r="DK52" s="57" cm="1">
        <f t="array" ref="DK5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2" s="56" t="str">
        <f>IF('Weekly Attendance'!AA39="Yes",'Weekly Attendance'!$D39,"")</f>
        <v>Dikang Fu</v>
      </c>
      <c r="DN52" s="56"/>
      <c r="DO52" s="155">
        <v>0.81805555555555554</v>
      </c>
      <c r="DP5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64</v>
      </c>
      <c r="DQ52" s="57" cm="1">
        <f t="array" ref="DQ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3" spans="1:121">
      <c r="A53" s="16">
        <v>46</v>
      </c>
      <c r="B53" s="86"/>
      <c r="C53" s="56" t="s">
        <v>967</v>
      </c>
      <c r="D53" s="56"/>
      <c r="E53" s="58">
        <v>0.83194444444444449</v>
      </c>
      <c r="F53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3" s="57" cm="1">
        <f t="array" ref="G5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3" s="56" t="s">
        <v>1060</v>
      </c>
      <c r="J53" s="56"/>
      <c r="K53" s="58">
        <v>0.82499999999999996</v>
      </c>
      <c r="L53" s="57">
        <f>IFERROR(IF(Table9[[#This Row],[Name]]="","",IFERROR(IF(Table9[[#This Row],[Time]]="","TBD",J$2-COUNTIF(Table9[Time],"&lt;"&amp;Table9[[#This Row],[Time]])),""))-(COUNTIF(Table9[Time],Table9[[#This Row],[Time]])-1),"")</f>
        <v>46</v>
      </c>
      <c r="M53" s="57" cm="1">
        <f t="array" ref="M5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3" s="56" t="s">
        <v>71</v>
      </c>
      <c r="P53" s="56"/>
      <c r="Q53" s="58">
        <v>0.8256944444444444</v>
      </c>
      <c r="R53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3" s="57" cm="1">
        <f t="array" ref="S5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3" s="56" t="s">
        <v>61</v>
      </c>
      <c r="V53" s="56" t="s">
        <v>186</v>
      </c>
      <c r="W53" s="58">
        <v>0.82291666666666663</v>
      </c>
      <c r="X53" s="57">
        <f>IFERROR(IF(Table2[[#This Row],[Name]]="","",IFERROR(IF(Table2[[#This Row],[Time]]="","TBD",V$2-COUNTIF(Table2[Time],"&lt;"&amp;Table2[[#This Row],[Time]])),""))-(COUNTIF(Table2[Time],Table2[[#This Row],[Time]])-1),"")</f>
        <v>46</v>
      </c>
      <c r="Y53" s="57" cm="1">
        <f t="array" ref="Y5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3" s="56" t="s">
        <v>1061</v>
      </c>
      <c r="AB53" s="56"/>
      <c r="AC53" s="58">
        <v>0.8125</v>
      </c>
      <c r="AD53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3" s="57" cm="1">
        <f t="array" ref="AE5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3" s="56" t="s">
        <v>23</v>
      </c>
      <c r="AH53" s="56"/>
      <c r="AI53" s="85">
        <v>0.82152777777777775</v>
      </c>
      <c r="AJ5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3" s="57" cm="1">
        <f t="array" ref="AK5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3" s="56" t="s">
        <v>984</v>
      </c>
      <c r="AN53" s="56" t="s">
        <v>186</v>
      </c>
      <c r="AO53" s="58">
        <v>0.82708333333333328</v>
      </c>
      <c r="AP5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46</v>
      </c>
      <c r="AQ53" s="57" cm="1">
        <f t="array" ref="AQ5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3" s="56" t="s">
        <v>964</v>
      </c>
      <c r="AT53" s="56"/>
      <c r="AU53" s="58">
        <v>0.83472222222222225</v>
      </c>
      <c r="AV5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46</v>
      </c>
      <c r="AW53" s="57" cm="1">
        <f t="array" ref="AW5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3" s="56" t="s">
        <v>103</v>
      </c>
      <c r="AZ53" s="56"/>
      <c r="BA53" s="58">
        <v>0.82708333333333328</v>
      </c>
      <c r="BB5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46</v>
      </c>
      <c r="BC53" s="57" cm="1">
        <f t="array" ref="BC5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3" s="56" t="s">
        <v>929</v>
      </c>
      <c r="BF53" s="56" t="s">
        <v>186</v>
      </c>
      <c r="BG53" s="58">
        <v>0.83333333333333337</v>
      </c>
      <c r="BH5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3" s="57" cm="1">
        <f t="array" ref="BI5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3" s="56" t="s">
        <v>93</v>
      </c>
      <c r="BL53" s="56"/>
      <c r="BM53" s="58">
        <v>0.82916666666666672</v>
      </c>
      <c r="BN5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46</v>
      </c>
      <c r="BO53" s="57" cm="1">
        <f t="array" ref="BO5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2</v>
      </c>
      <c r="BQ53" s="56" t="s">
        <v>132</v>
      </c>
      <c r="BR53" s="56" t="s">
        <v>186</v>
      </c>
      <c r="BS53" s="58">
        <v>0.8305555555555556</v>
      </c>
      <c r="BT5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44</v>
      </c>
      <c r="BU53" s="57" cm="1">
        <f t="array" ref="BU5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2</v>
      </c>
      <c r="BW53" s="56" t="s">
        <v>964</v>
      </c>
      <c r="BX53" s="56"/>
      <c r="BY53" s="58">
        <v>0.82152777777777775</v>
      </c>
      <c r="BZ5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45</v>
      </c>
      <c r="CA53" s="57" cm="1">
        <f t="array" ref="CA5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3" s="56" t="s">
        <v>907</v>
      </c>
      <c r="CD53" s="56"/>
      <c r="CE53" s="58">
        <v>0.82291666666666663</v>
      </c>
      <c r="CF5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46</v>
      </c>
      <c r="CG53" s="57" cm="1">
        <f t="array" ref="CG5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3" s="56" t="s">
        <v>929</v>
      </c>
      <c r="CJ53" s="56" t="s">
        <v>190</v>
      </c>
      <c r="CK53" s="58">
        <v>0.82499999999999996</v>
      </c>
      <c r="CL5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45</v>
      </c>
      <c r="CM53" s="57" cm="1">
        <f t="array" ref="CM5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3" s="56" t="s">
        <v>1029</v>
      </c>
      <c r="CP53" s="56" t="s">
        <v>186</v>
      </c>
      <c r="CQ53" s="58">
        <v>0.79652777777777772</v>
      </c>
      <c r="CR5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46</v>
      </c>
      <c r="CS53" s="57" cm="1">
        <f t="array" ref="CS5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3" s="56" t="s">
        <v>886</v>
      </c>
      <c r="CV53" s="56" t="s">
        <v>186</v>
      </c>
      <c r="CW53" s="58">
        <v>0.80208333333333337</v>
      </c>
      <c r="CX5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46</v>
      </c>
      <c r="CY53" s="57" cm="1">
        <f t="array" ref="CY5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3" s="56" t="s">
        <v>26</v>
      </c>
      <c r="DB53" s="56"/>
      <c r="DC53" s="58">
        <v>0.83402777777777781</v>
      </c>
      <c r="DD5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46</v>
      </c>
      <c r="DE53" s="57" cm="1">
        <f t="array" ref="DE5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3" s="56" t="s">
        <v>111</v>
      </c>
      <c r="DH53" s="56" t="s">
        <v>186</v>
      </c>
      <c r="DI53" s="58">
        <v>0.81458333333333333</v>
      </c>
      <c r="DJ5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46</v>
      </c>
      <c r="DK53" s="57" cm="1">
        <f t="array" ref="DK5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3" s="56" t="str">
        <f>IF('Weekly Attendance'!AA32="Yes",'Weekly Attendance'!$D32,"")</f>
        <v>Anna Yu</v>
      </c>
      <c r="DN53" s="56" t="s">
        <v>186</v>
      </c>
      <c r="DO53" s="155">
        <v>0.81736111111111109</v>
      </c>
      <c r="DP5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66</v>
      </c>
      <c r="DQ53" s="57" cm="1">
        <f t="array" ref="DQ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4" spans="1:121">
      <c r="A54" s="16">
        <v>47</v>
      </c>
      <c r="B54" s="86"/>
      <c r="C54" s="56" t="s">
        <v>45</v>
      </c>
      <c r="D54" s="56"/>
      <c r="E54" s="58">
        <v>0.83194444444444449</v>
      </c>
      <c r="F54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4" s="57" cm="1">
        <f t="array" ref="G5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4" s="56" t="s">
        <v>125</v>
      </c>
      <c r="J54" s="56" t="s">
        <v>186</v>
      </c>
      <c r="K54" s="58">
        <v>0.82361111111111107</v>
      </c>
      <c r="L54" s="57">
        <f>IFERROR(IF(Table9[[#This Row],[Name]]="","",IFERROR(IF(Table9[[#This Row],[Time]]="","TBD",J$2-COUNTIF(Table9[Time],"&lt;"&amp;Table9[[#This Row],[Time]])),""))-(COUNTIF(Table9[Time],Table9[[#This Row],[Time]])-1),"")</f>
        <v>47</v>
      </c>
      <c r="M54" s="57" cm="1">
        <f t="array" ref="M5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4" s="56" t="s">
        <v>105</v>
      </c>
      <c r="P54" s="56" t="s">
        <v>186</v>
      </c>
      <c r="Q54" s="58">
        <v>0.8256944444444444</v>
      </c>
      <c r="R54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4" s="57" cm="1">
        <f t="array" ref="S5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4" s="56" t="s">
        <v>111</v>
      </c>
      <c r="V54" s="56"/>
      <c r="W54" s="58">
        <v>0.82013888888888886</v>
      </c>
      <c r="X54" s="57">
        <f>IFERROR(IF(Table2[[#This Row],[Name]]="","",IFERROR(IF(Table2[[#This Row],[Time]]="","TBD",V$2-COUNTIF(Table2[Time],"&lt;"&amp;Table2[[#This Row],[Time]])),""))-(COUNTIF(Table2[Time],Table2[[#This Row],[Time]])-1),"")</f>
        <v>47</v>
      </c>
      <c r="Y54" s="57" cm="1">
        <f t="array" ref="Y5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4" s="56" t="s">
        <v>978</v>
      </c>
      <c r="AB54" s="56" t="s">
        <v>186</v>
      </c>
      <c r="AC54" s="58">
        <v>0.8125</v>
      </c>
      <c r="AD54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4" s="57" cm="1">
        <f t="array" ref="AE5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4" s="56" t="s">
        <v>152</v>
      </c>
      <c r="AH54" s="56" t="s">
        <v>186</v>
      </c>
      <c r="AI54" s="58">
        <v>0.82152777777777775</v>
      </c>
      <c r="AJ5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45</v>
      </c>
      <c r="AK54" s="57" cm="1">
        <f t="array" ref="AK5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4" s="56" t="s">
        <v>123</v>
      </c>
      <c r="AN54" s="56" t="s">
        <v>186</v>
      </c>
      <c r="AO54" s="58">
        <v>0.82638888888888884</v>
      </c>
      <c r="AP5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47</v>
      </c>
      <c r="AQ54" s="57" cm="1">
        <f t="array" ref="AQ5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4" s="56" t="s">
        <v>899</v>
      </c>
      <c r="AT54" s="56" t="s">
        <v>186</v>
      </c>
      <c r="AU54" s="58">
        <v>0.83402777777777781</v>
      </c>
      <c r="AV5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4" s="57" cm="1">
        <f t="array" ref="AW5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4" s="56" t="s">
        <v>893</v>
      </c>
      <c r="AZ54" s="56" t="s">
        <v>186</v>
      </c>
      <c r="BA54" s="58">
        <v>0.82499999999999996</v>
      </c>
      <c r="BB5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47</v>
      </c>
      <c r="BC54" s="57" cm="1">
        <f t="array" ref="BC5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2</v>
      </c>
      <c r="BE54" s="56" t="s">
        <v>979</v>
      </c>
      <c r="BF54" s="56" t="s">
        <v>186</v>
      </c>
      <c r="BG54" s="58">
        <v>0.83333333333333337</v>
      </c>
      <c r="BH5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46</v>
      </c>
      <c r="BI54" s="57" cm="1">
        <f t="array" ref="BI5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4" s="56" t="s">
        <v>957</v>
      </c>
      <c r="BL54" s="56"/>
      <c r="BM54" s="58">
        <v>0.82847222222222228</v>
      </c>
      <c r="BN5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47</v>
      </c>
      <c r="BO54" s="57" cm="1">
        <f t="array" ref="BO5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4" s="56" t="s">
        <v>168</v>
      </c>
      <c r="BR54" s="56"/>
      <c r="BS54" s="58">
        <v>0.82916666666666672</v>
      </c>
      <c r="BT5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47</v>
      </c>
      <c r="BU54" s="57" cm="1">
        <f t="array" ref="BU5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4" s="56" t="s">
        <v>23</v>
      </c>
      <c r="BX54" s="56" t="s">
        <v>186</v>
      </c>
      <c r="BY54" s="58">
        <v>0.81736111111111109</v>
      </c>
      <c r="BZ5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47</v>
      </c>
      <c r="CA54" s="57" cm="1">
        <f t="array" ref="CA5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4" s="56" t="s">
        <v>979</v>
      </c>
      <c r="CD54" s="56" t="s">
        <v>186</v>
      </c>
      <c r="CE54" s="58">
        <v>0.82291666666666663</v>
      </c>
      <c r="CF5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46</v>
      </c>
      <c r="CG54" s="57" cm="1">
        <f t="array" ref="CG5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4" s="56" t="s">
        <v>889</v>
      </c>
      <c r="CJ54" s="56" t="s">
        <v>186</v>
      </c>
      <c r="CK54" s="58">
        <v>0.82430555555555551</v>
      </c>
      <c r="CL5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47</v>
      </c>
      <c r="CM54" s="57" cm="1">
        <f t="array" ref="CM5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4" s="56" t="s">
        <v>109</v>
      </c>
      <c r="CP54" s="56" t="s">
        <v>186</v>
      </c>
      <c r="CQ54" s="58">
        <v>0.7944444444444444</v>
      </c>
      <c r="CR5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4" s="57" cm="1">
        <f t="array" ref="CS5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4" s="56" t="s">
        <v>160</v>
      </c>
      <c r="CV54" s="56" t="s">
        <v>186</v>
      </c>
      <c r="CW54" s="58">
        <v>0.7993055555555556</v>
      </c>
      <c r="CX54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47</v>
      </c>
      <c r="CY54" s="57" cm="1">
        <f t="array" ref="CY54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4" s="56" t="s">
        <v>949</v>
      </c>
      <c r="DB54" s="56"/>
      <c r="DC54" s="58">
        <v>0.83263888888888893</v>
      </c>
      <c r="DD5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47</v>
      </c>
      <c r="DE54" s="57" cm="1">
        <f t="array" ref="DE5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4" s="56" t="s">
        <v>896</v>
      </c>
      <c r="DH54" s="56" t="s">
        <v>186</v>
      </c>
      <c r="DI54" s="58">
        <v>0.8125</v>
      </c>
      <c r="DJ5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47</v>
      </c>
      <c r="DK54" s="57" cm="1">
        <f t="array" ref="DK5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4" s="56" t="str">
        <f>IF('Weekly Attendance'!AA104="Yes",'Weekly Attendance'!$D104,"")</f>
        <v>Arad Sahebjamei</v>
      </c>
      <c r="DN54" s="56" t="s">
        <v>190</v>
      </c>
      <c r="DO54" s="58">
        <v>0.81597222222222221</v>
      </c>
      <c r="DP5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67</v>
      </c>
      <c r="DQ54" s="57" cm="1">
        <f t="array" ref="DQ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5" spans="1:121">
      <c r="A55" s="16">
        <v>48</v>
      </c>
      <c r="B55" s="86"/>
      <c r="C55" s="56" t="s">
        <v>973</v>
      </c>
      <c r="D55" s="56" t="s">
        <v>186</v>
      </c>
      <c r="E55" s="58">
        <v>0.83194444444444449</v>
      </c>
      <c r="F55" s="57">
        <f>IFERROR(IF(Table4[[#This Row],[Name]]="","",IFERROR(IF(Table4[[#This Row],[Time]]="","TBD",D$2-COUNTIF(Table4[Time],"&lt;"&amp;Table4[[#This Row],[Time]])),""))-(COUNTIF(Table4[Time],Table4[[#This Row],[Time]])-1),"")</f>
        <v>46</v>
      </c>
      <c r="G55" s="57" cm="1">
        <f t="array" ref="G5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5" s="56" t="s">
        <v>127</v>
      </c>
      <c r="J55" s="56" t="s">
        <v>186</v>
      </c>
      <c r="K55" s="58">
        <v>0.82291666666666663</v>
      </c>
      <c r="L55" s="57">
        <f>IFERROR(IF(Table9[[#This Row],[Name]]="","",IFERROR(IF(Table9[[#This Row],[Time]]="","TBD",J$2-COUNTIF(Table9[Time],"&lt;"&amp;Table9[[#This Row],[Time]])),""))-(COUNTIF(Table9[Time],Table9[[#This Row],[Time]])-1),"")</f>
        <v>48</v>
      </c>
      <c r="M55" s="57" cm="1">
        <f t="array" ref="M5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5" s="56" t="s">
        <v>53</v>
      </c>
      <c r="P55" s="56"/>
      <c r="Q55" s="58">
        <v>0.8256944444444444</v>
      </c>
      <c r="R55" s="57">
        <f>IFERROR(IF(Table18[[#This Row],[Name]]="","",IFERROR(IF(Table18[[#This Row],[Time]]="","TBD",P$2-COUNTIF(Table18[Time],"&lt;"&amp;Table18[[#This Row],[Time]])),""))-(COUNTIF(Table18[Time],Table18[[#This Row],[Time]])-1),"")</f>
        <v>44</v>
      </c>
      <c r="S55" s="57" cm="1">
        <f t="array" ref="S5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5" s="56" t="s">
        <v>1058</v>
      </c>
      <c r="V55" s="56" t="s">
        <v>186</v>
      </c>
      <c r="W55" s="58">
        <v>0.82013888888888886</v>
      </c>
      <c r="X55" s="57">
        <f>IFERROR(IF(Table2[[#This Row],[Name]]="","",IFERROR(IF(Table2[[#This Row],[Time]]="","TBD",V$2-COUNTIF(Table2[Time],"&lt;"&amp;Table2[[#This Row],[Time]])),""))-(COUNTIF(Table2[Time],Table2[[#This Row],[Time]])-1),"")</f>
        <v>47</v>
      </c>
      <c r="Y55" s="57" cm="1">
        <f t="array" ref="Y5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5" s="56" t="s">
        <v>1062</v>
      </c>
      <c r="AB55" s="56" t="s">
        <v>186</v>
      </c>
      <c r="AC55" s="58">
        <v>0.8125</v>
      </c>
      <c r="AD55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5" s="57" cm="1">
        <f t="array" ref="AE5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5" s="56" t="s">
        <v>125</v>
      </c>
      <c r="AH55" s="56"/>
      <c r="AI55" s="58">
        <v>0.81874999999999998</v>
      </c>
      <c r="AJ5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5" s="57" cm="1">
        <f t="array" ref="AK5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5" s="105" t="s">
        <v>168</v>
      </c>
      <c r="AN55" s="56" t="s">
        <v>186</v>
      </c>
      <c r="AO55" s="58">
        <v>0.82361111111111107</v>
      </c>
      <c r="AP5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5" s="57" cm="1">
        <f t="array" ref="AQ5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5" s="56" t="s">
        <v>1063</v>
      </c>
      <c r="AT55" s="56"/>
      <c r="AU55" s="58">
        <v>0.83402777777777781</v>
      </c>
      <c r="AV5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47</v>
      </c>
      <c r="AW55" s="57" cm="1">
        <f t="array" ref="AW5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2</v>
      </c>
      <c r="AY55" s="56" t="s">
        <v>45</v>
      </c>
      <c r="AZ55" s="56"/>
      <c r="BA55" s="58">
        <v>0.82361111111111107</v>
      </c>
      <c r="BB5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48</v>
      </c>
      <c r="BC55" s="57" cm="1">
        <f t="array" ref="BC5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5" s="56" t="s">
        <v>911</v>
      </c>
      <c r="BF55" s="56"/>
      <c r="BG55" s="58">
        <v>0.83263888888888893</v>
      </c>
      <c r="BH5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48</v>
      </c>
      <c r="BI55" s="57" cm="1">
        <f t="array" ref="BI5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5" s="56" t="s">
        <v>934</v>
      </c>
      <c r="BL55" s="56"/>
      <c r="BM55" s="58">
        <v>0.82847222222222228</v>
      </c>
      <c r="BN5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47</v>
      </c>
      <c r="BO55" s="57" cm="1">
        <f t="array" ref="BO5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5" s="56" t="s">
        <v>968</v>
      </c>
      <c r="BR55" s="56" t="s">
        <v>186</v>
      </c>
      <c r="BS55" s="58">
        <v>0.82916666666666672</v>
      </c>
      <c r="BT5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47</v>
      </c>
      <c r="BU55" s="57" cm="1">
        <f t="array" ref="BU5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5" s="56" t="s">
        <v>107</v>
      </c>
      <c r="BX55" s="56"/>
      <c r="BY55" s="58">
        <v>0.81666666666666665</v>
      </c>
      <c r="BZ5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5" s="57" cm="1">
        <f t="array" ref="CA5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5" s="56" t="s">
        <v>1017</v>
      </c>
      <c r="CD55" s="56" t="s">
        <v>186</v>
      </c>
      <c r="CE55" s="58">
        <v>0.8208333333333333</v>
      </c>
      <c r="CF5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48</v>
      </c>
      <c r="CG55" s="57" cm="1">
        <f t="array" ref="CG5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5" s="56" t="s">
        <v>890</v>
      </c>
      <c r="CJ55" s="56" t="s">
        <v>186</v>
      </c>
      <c r="CK55" s="58">
        <v>0.82291666666666663</v>
      </c>
      <c r="CL5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48</v>
      </c>
      <c r="CM55" s="57" cm="1">
        <f t="array" ref="CM5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5" s="56" t="s">
        <v>1064</v>
      </c>
      <c r="CP55" s="56"/>
      <c r="CQ55" s="58">
        <v>0.7944444444444444</v>
      </c>
      <c r="CR5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5" s="57" cm="1">
        <f t="array" ref="CS5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5" s="56" t="s">
        <v>935</v>
      </c>
      <c r="CV55" s="56" t="s">
        <v>186</v>
      </c>
      <c r="CW55" s="58">
        <v>0.79861111111111116</v>
      </c>
      <c r="CX55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48</v>
      </c>
      <c r="CY55" s="57" cm="1">
        <f t="array" ref="CY55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5" s="56" t="s">
        <v>923</v>
      </c>
      <c r="DB55" s="56" t="s">
        <v>186</v>
      </c>
      <c r="DC55" s="58">
        <v>0.83194444444444449</v>
      </c>
      <c r="DD5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48</v>
      </c>
      <c r="DE55" s="57" cm="1">
        <f t="array" ref="DE5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5" s="56" t="s">
        <v>929</v>
      </c>
      <c r="DH55" s="56"/>
      <c r="DI55" s="58">
        <v>0.81180555555555556</v>
      </c>
      <c r="DJ5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48</v>
      </c>
      <c r="DK55" s="57" cm="1">
        <f t="array" ref="DK5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5" s="56" t="str">
        <f>IF('Weekly Attendance'!AA221="Yes",'Weekly Attendance'!$D221,"")</f>
        <v>Konrad Zawadzki</v>
      </c>
      <c r="DN55" s="56" t="s">
        <v>186</v>
      </c>
      <c r="DO55" s="58">
        <v>0.8125</v>
      </c>
      <c r="DP5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68</v>
      </c>
      <c r="DQ55" s="57" cm="1">
        <f t="array" ref="DQ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6" spans="1:121">
      <c r="A56" s="16">
        <v>49</v>
      </c>
      <c r="B56" s="86"/>
      <c r="C56" s="56" t="s">
        <v>176</v>
      </c>
      <c r="D56" s="56"/>
      <c r="E56" s="58">
        <v>0.82986111111111116</v>
      </c>
      <c r="F56" s="57">
        <f>IFERROR(IF(Table4[[#This Row],[Name]]="","",IFERROR(IF(Table4[[#This Row],[Time]]="","TBD",D$2-COUNTIF(Table4[Time],"&lt;"&amp;Table4[[#This Row],[Time]])),""))-(COUNTIF(Table4[Time],Table4[[#This Row],[Time]])-1),"")</f>
        <v>49</v>
      </c>
      <c r="G56" s="57" cm="1">
        <f t="array" ref="G5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6" s="56" t="s">
        <v>967</v>
      </c>
      <c r="J56" s="56" t="s">
        <v>186</v>
      </c>
      <c r="K56" s="58">
        <v>0.82222222222222219</v>
      </c>
      <c r="L56" s="57">
        <f>IFERROR(IF(Table9[[#This Row],[Name]]="","",IFERROR(IF(Table9[[#This Row],[Time]]="","TBD",J$2-COUNTIF(Table9[Time],"&lt;"&amp;Table9[[#This Row],[Time]])),""))-(COUNTIF(Table9[Time],Table9[[#This Row],[Time]])-1),"")</f>
        <v>49</v>
      </c>
      <c r="M56" s="57" cm="1">
        <f t="array" ref="M5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6" s="56" t="s">
        <v>144</v>
      </c>
      <c r="P56" s="56"/>
      <c r="Q56" s="58">
        <v>0.82499999999999996</v>
      </c>
      <c r="R56" s="57">
        <f>IFERROR(IF(Table18[[#This Row],[Name]]="","",IFERROR(IF(Table18[[#This Row],[Time]]="","TBD",P$2-COUNTIF(Table18[Time],"&lt;"&amp;Table18[[#This Row],[Time]])),""))-(COUNTIF(Table18[Time],Table18[[#This Row],[Time]])-1),"")</f>
        <v>49</v>
      </c>
      <c r="S56" s="57" cm="1">
        <f t="array" ref="S5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6" s="56" t="s">
        <v>1065</v>
      </c>
      <c r="V56" s="56" t="s">
        <v>186</v>
      </c>
      <c r="W56" s="58">
        <v>0.81944444444444442</v>
      </c>
      <c r="X56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6" s="57" cm="1">
        <f t="array" ref="Y5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6" s="56" t="s">
        <v>1066</v>
      </c>
      <c r="AB56" s="56" t="s">
        <v>186</v>
      </c>
      <c r="AC56" s="58">
        <v>0.8125</v>
      </c>
      <c r="AD56" s="57">
        <f>IFERROR(IF(Table211[[#This Row],[Name]]="","",IFERROR(IF(Table211[[#This Row],[Time]]="","TBD",AB$2-COUNTIF(Table211[Time],"&lt;"&amp;Table211[[#This Row],[Time]])),""))-(COUNTIF(Table211[Time],Table211[[#This Row],[Time]])-1),"")</f>
        <v>46</v>
      </c>
      <c r="AE56" s="57" cm="1">
        <f t="array" ref="AE5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6" s="56" t="s">
        <v>107</v>
      </c>
      <c r="AH56" s="56"/>
      <c r="AI56" s="58">
        <v>0.81874999999999998</v>
      </c>
      <c r="AJ5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48</v>
      </c>
      <c r="AK56" s="57" cm="1">
        <f t="array" ref="AK5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6" s="105" t="s">
        <v>1055</v>
      </c>
      <c r="AN56" s="56"/>
      <c r="AO56" s="58">
        <v>0.82361111111111107</v>
      </c>
      <c r="AP5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48</v>
      </c>
      <c r="AQ56" s="57" cm="1">
        <f t="array" ref="AQ5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6" s="105" t="s">
        <v>45</v>
      </c>
      <c r="AT56" s="56"/>
      <c r="AU56" s="58">
        <v>0.83125000000000004</v>
      </c>
      <c r="AV5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6" s="57" cm="1">
        <f t="array" ref="AW5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6" s="56" t="s">
        <v>964</v>
      </c>
      <c r="AZ56" s="56" t="s">
        <v>186</v>
      </c>
      <c r="BA56" s="58">
        <v>0.82291666666666663</v>
      </c>
      <c r="BB5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49</v>
      </c>
      <c r="BC56" s="57" cm="1">
        <f t="array" ref="BC5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6" s="56" t="s">
        <v>1067</v>
      </c>
      <c r="BF56" s="56"/>
      <c r="BG56" s="58">
        <v>0.82986111111111116</v>
      </c>
      <c r="BH5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49</v>
      </c>
      <c r="BI56" s="57" cm="1">
        <f t="array" ref="BI5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6" s="56" t="s">
        <v>979</v>
      </c>
      <c r="BL56" s="56" t="s">
        <v>186</v>
      </c>
      <c r="BM56" s="58">
        <v>0.82777777777777772</v>
      </c>
      <c r="BN5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49</v>
      </c>
      <c r="BO56" s="57" cm="1">
        <f t="array" ref="BO5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6" s="56" t="s">
        <v>1038</v>
      </c>
      <c r="BR56" s="56" t="s">
        <v>186</v>
      </c>
      <c r="BS56" s="58">
        <v>0.82777777777777772</v>
      </c>
      <c r="BT5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49</v>
      </c>
      <c r="BU56" s="57" cm="1">
        <f t="array" ref="BU5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6" s="56" t="s">
        <v>939</v>
      </c>
      <c r="BX56" s="56" t="s">
        <v>186</v>
      </c>
      <c r="BY56" s="58">
        <v>0.81666666666666665</v>
      </c>
      <c r="BZ5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6" s="57" cm="1">
        <f t="array" ref="CA5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6" s="56" t="s">
        <v>993</v>
      </c>
      <c r="CD56" s="56"/>
      <c r="CE56" s="58">
        <v>0.82013888888888886</v>
      </c>
      <c r="CF5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49</v>
      </c>
      <c r="CG56" s="57" cm="1">
        <f t="array" ref="CG5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6" s="56" t="s">
        <v>53</v>
      </c>
      <c r="CJ56" s="56" t="s">
        <v>190</v>
      </c>
      <c r="CK56" s="58">
        <v>0.8208333333333333</v>
      </c>
      <c r="CL5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49</v>
      </c>
      <c r="CM56" s="57" cm="1">
        <f t="array" ref="CM5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6" s="56" t="s">
        <v>1068</v>
      </c>
      <c r="CP56" s="56" t="s">
        <v>186</v>
      </c>
      <c r="CQ56" s="58">
        <v>0.7944444444444444</v>
      </c>
      <c r="CR5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47</v>
      </c>
      <c r="CS56" s="57" cm="1">
        <f t="array" ref="CS5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6" s="56" t="s">
        <v>121</v>
      </c>
      <c r="CV56" s="56" t="s">
        <v>186</v>
      </c>
      <c r="CW56" s="58">
        <v>0.79791666666666672</v>
      </c>
      <c r="CX56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49</v>
      </c>
      <c r="CY56" s="57" cm="1">
        <f t="array" ref="CY56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6" s="56" t="s">
        <v>162</v>
      </c>
      <c r="DB56" s="56"/>
      <c r="DC56" s="58">
        <v>0.82986111111111116</v>
      </c>
      <c r="DD5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6" s="57" cm="1">
        <f t="array" ref="DE5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6" s="56" t="s">
        <v>984</v>
      </c>
      <c r="DH56" s="56" t="s">
        <v>186</v>
      </c>
      <c r="DI56" s="58">
        <v>0.80902777777777779</v>
      </c>
      <c r="DJ5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49</v>
      </c>
      <c r="DK56" s="57" cm="1">
        <f t="array" ref="DK5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6" s="56" t="str">
        <f>IF('Weekly Attendance'!AA55="Yes",'Weekly Attendance'!$D55,"")</f>
        <v>Oscar Chen</v>
      </c>
      <c r="DN56" s="56" t="s">
        <v>186</v>
      </c>
      <c r="DO56" s="155">
        <v>0.80972222222222223</v>
      </c>
      <c r="DP5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69</v>
      </c>
      <c r="DQ56" s="57" cm="1">
        <f t="array" ref="DQ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7" spans="1:121">
      <c r="A57" s="16">
        <v>50</v>
      </c>
      <c r="B57" s="86"/>
      <c r="C57" s="56" t="s">
        <v>136</v>
      </c>
      <c r="D57" s="56"/>
      <c r="E57" s="58">
        <v>0.82986111111111116</v>
      </c>
      <c r="F57" s="57">
        <f>IFERROR(IF(Table4[[#This Row],[Name]]="","",IFERROR(IF(Table4[[#This Row],[Time]]="","TBD",D$2-COUNTIF(Table4[Time],"&lt;"&amp;Table4[[#This Row],[Time]])),""))-(COUNTIF(Table4[Time],Table4[[#This Row],[Time]])-1),"")</f>
        <v>49</v>
      </c>
      <c r="G57" s="57" cm="1">
        <f t="array" ref="G5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7" s="56" t="s">
        <v>868</v>
      </c>
      <c r="J57" s="56" t="s">
        <v>186</v>
      </c>
      <c r="K57" s="58">
        <v>0.82152777777777775</v>
      </c>
      <c r="L57" s="57">
        <f>IFERROR(IF(Table9[[#This Row],[Name]]="","",IFERROR(IF(Table9[[#This Row],[Time]]="","TBD",J$2-COUNTIF(Table9[Time],"&lt;"&amp;Table9[[#This Row],[Time]])),""))-(COUNTIF(Table9[Time],Table9[[#This Row],[Time]])-1),"")</f>
        <v>50</v>
      </c>
      <c r="M57" s="57" cm="1">
        <f t="array" ref="M5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7" s="56" t="s">
        <v>899</v>
      </c>
      <c r="P57" s="56"/>
      <c r="Q57" s="58">
        <v>0.82430555555555551</v>
      </c>
      <c r="R57" s="57">
        <f>IFERROR(IF(Table18[[#This Row],[Name]]="","",IFERROR(IF(Table18[[#This Row],[Time]]="","TBD",P$2-COUNTIF(Table18[Time],"&lt;"&amp;Table18[[#This Row],[Time]])),""))-(COUNTIF(Table18[Time],Table18[[#This Row],[Time]])-1),"")</f>
        <v>50</v>
      </c>
      <c r="S57" s="57" cm="1">
        <f t="array" ref="S5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2</v>
      </c>
      <c r="U57" s="56" t="s">
        <v>894</v>
      </c>
      <c r="V57" s="56" t="s">
        <v>186</v>
      </c>
      <c r="W57" s="58">
        <v>0.81944444444444442</v>
      </c>
      <c r="X57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7" s="57" cm="1">
        <f t="array" ref="Y5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7" s="56" t="s">
        <v>142</v>
      </c>
      <c r="AB57" s="56" t="s">
        <v>186</v>
      </c>
      <c r="AC57" s="58">
        <v>0.81180555555555556</v>
      </c>
      <c r="AD57" s="57">
        <f>IFERROR(IF(Table211[[#This Row],[Name]]="","",IFERROR(IF(Table211[[#This Row],[Time]]="","TBD",AB$2-COUNTIF(Table211[Time],"&lt;"&amp;Table211[[#This Row],[Time]])),""))-(COUNTIF(Table211[Time],Table211[[#This Row],[Time]])-1),"")</f>
        <v>50</v>
      </c>
      <c r="AE57" s="57" cm="1">
        <f t="array" ref="AE5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7" s="56" t="s">
        <v>1020</v>
      </c>
      <c r="AH57" s="56"/>
      <c r="AI57" s="58">
        <v>0.81527777777777777</v>
      </c>
      <c r="AJ5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50</v>
      </c>
      <c r="AK57" s="57" cm="1">
        <f t="array" ref="AK5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7" s="56" t="s">
        <v>119</v>
      </c>
      <c r="AN57" s="56" t="s">
        <v>186</v>
      </c>
      <c r="AO57" s="58">
        <v>0.82222222222222219</v>
      </c>
      <c r="AP5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50</v>
      </c>
      <c r="AQ57" s="57" cm="1">
        <f t="array" ref="AQ5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7" s="56" t="s">
        <v>1013</v>
      </c>
      <c r="AT57" s="56" t="s">
        <v>186</v>
      </c>
      <c r="AU57" s="58">
        <v>0.83125000000000004</v>
      </c>
      <c r="AV5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49</v>
      </c>
      <c r="AW57" s="57" cm="1">
        <f t="array" ref="AW5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7" s="56" t="s">
        <v>1069</v>
      </c>
      <c r="AZ57" s="56"/>
      <c r="BA57" s="58">
        <v>0.82223379629629634</v>
      </c>
      <c r="BB5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50</v>
      </c>
      <c r="BC57" s="57" cm="1">
        <f t="array" ref="BC5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7" s="56" t="s">
        <v>938</v>
      </c>
      <c r="BF57" s="56"/>
      <c r="BG57" s="58">
        <v>0.82916666666666672</v>
      </c>
      <c r="BH5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50</v>
      </c>
      <c r="BI57" s="57" cm="1">
        <f t="array" ref="BI5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7" s="56" t="s">
        <v>132</v>
      </c>
      <c r="BL57" s="56" t="s">
        <v>186</v>
      </c>
      <c r="BM57" s="58">
        <v>0.82708333333333328</v>
      </c>
      <c r="BN5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50</v>
      </c>
      <c r="BO57" s="57" cm="1">
        <f t="array" ref="BO5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7" s="56" t="s">
        <v>53</v>
      </c>
      <c r="BR57" s="56" t="s">
        <v>186</v>
      </c>
      <c r="BS57" s="58">
        <v>0.82638888888888884</v>
      </c>
      <c r="BT5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50</v>
      </c>
      <c r="BU57" s="57" cm="1">
        <f t="array" ref="BU5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7" s="56" t="s">
        <v>1040</v>
      </c>
      <c r="BX57" s="56"/>
      <c r="BY57" s="58">
        <v>0.81666666666666665</v>
      </c>
      <c r="BZ5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48</v>
      </c>
      <c r="CA57" s="57" cm="1">
        <f t="array" ref="CA5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7" s="56" t="s">
        <v>1001</v>
      </c>
      <c r="CD57" s="56"/>
      <c r="CE57" s="58">
        <v>0.81944444444444442</v>
      </c>
      <c r="CF5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50</v>
      </c>
      <c r="CG57" s="57" cm="1">
        <f t="array" ref="CG5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7" s="56" t="s">
        <v>1016</v>
      </c>
      <c r="CJ57" s="56" t="s">
        <v>190</v>
      </c>
      <c r="CK57" s="58">
        <v>0.82013888888888886</v>
      </c>
      <c r="CL5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50</v>
      </c>
      <c r="CM57" s="57" cm="1">
        <f t="array" ref="CM5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7" s="56" t="s">
        <v>920</v>
      </c>
      <c r="CP57" s="56" t="s">
        <v>186</v>
      </c>
      <c r="CQ57" s="58">
        <v>0.79236111111111107</v>
      </c>
      <c r="CR57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50</v>
      </c>
      <c r="CS57" s="57" cm="1">
        <f t="array" ref="CS57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7" s="56" t="s">
        <v>1018</v>
      </c>
      <c r="CV57" s="56" t="s">
        <v>186</v>
      </c>
      <c r="CW57" s="58">
        <v>0.79583333333333328</v>
      </c>
      <c r="CX57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50</v>
      </c>
      <c r="CY57" s="57" cm="1">
        <f t="array" ref="CY57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7" s="56" t="s">
        <v>23</v>
      </c>
      <c r="DB57" s="56" t="s">
        <v>186</v>
      </c>
      <c r="DC57" s="58">
        <v>0.82986111111111116</v>
      </c>
      <c r="DD5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7" s="57" cm="1">
        <f t="array" ref="DE5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7" s="56" t="s">
        <v>978</v>
      </c>
      <c r="DH57" s="56" t="s">
        <v>186</v>
      </c>
      <c r="DI57" s="58">
        <v>0.80763888888888891</v>
      </c>
      <c r="DJ5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50</v>
      </c>
      <c r="DK57" s="57" cm="1">
        <f t="array" ref="DK5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7" s="56" t="str">
        <f>IF('Weekly Attendance'!AA305="Yes",'Weekly Attendance'!$D305,"")</f>
        <v>Samuel Sax-Marton</v>
      </c>
      <c r="DN57" s="56" t="s">
        <v>186</v>
      </c>
      <c r="DO57" s="58">
        <v>0.80902777777777779</v>
      </c>
      <c r="DP5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70</v>
      </c>
      <c r="DQ57" s="57" cm="1">
        <f t="array" ref="DQ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8" spans="1:121">
      <c r="A58" s="16">
        <v>51</v>
      </c>
      <c r="B58" s="86"/>
      <c r="C58" s="56" t="s">
        <v>1070</v>
      </c>
      <c r="D58" s="56"/>
      <c r="E58" s="58">
        <v>0.82916666666666672</v>
      </c>
      <c r="F58" s="57">
        <f>IFERROR(IF(Table4[[#This Row],[Name]]="","",IFERROR(IF(Table4[[#This Row],[Time]]="","TBD",D$2-COUNTIF(Table4[Time],"&lt;"&amp;Table4[[#This Row],[Time]])),""))-(COUNTIF(Table4[Time],Table4[[#This Row],[Time]])-1),"")</f>
        <v>51</v>
      </c>
      <c r="G58" s="57" cm="1">
        <f t="array" ref="G5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8" s="56" t="s">
        <v>48</v>
      </c>
      <c r="J58" s="56" t="s">
        <v>186</v>
      </c>
      <c r="K58" s="58">
        <v>0.81944444444444442</v>
      </c>
      <c r="L58" s="57">
        <f>IFERROR(IF(Table9[[#This Row],[Name]]="","",IFERROR(IF(Table9[[#This Row],[Time]]="","TBD",J$2-COUNTIF(Table9[Time],"&lt;"&amp;Table9[[#This Row],[Time]])),""))-(COUNTIF(Table9[Time],Table9[[#This Row],[Time]])-1),"")</f>
        <v>51</v>
      </c>
      <c r="M58" s="57" cm="1">
        <f t="array" ref="M5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8" s="56" t="s">
        <v>893</v>
      </c>
      <c r="P58" s="56"/>
      <c r="Q58" s="58">
        <v>0.82291666666666663</v>
      </c>
      <c r="R58" s="57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8" s="57" cm="1">
        <f t="array" ref="S5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58" s="56" t="s">
        <v>160</v>
      </c>
      <c r="V58" s="56" t="s">
        <v>186</v>
      </c>
      <c r="W58" s="58">
        <v>0.81944444444444442</v>
      </c>
      <c r="X58" s="57">
        <f>IFERROR(IF(Table2[[#This Row],[Name]]="","",IFERROR(IF(Table2[[#This Row],[Time]]="","TBD",V$2-COUNTIF(Table2[Time],"&lt;"&amp;Table2[[#This Row],[Time]])),""))-(COUNTIF(Table2[Time],Table2[[#This Row],[Time]])-1),"")</f>
        <v>49</v>
      </c>
      <c r="Y58" s="57" cm="1">
        <f t="array" ref="Y5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8" s="56" t="s">
        <v>148</v>
      </c>
      <c r="AB58" s="56" t="s">
        <v>186</v>
      </c>
      <c r="AC58" s="58">
        <v>0.81111111111111112</v>
      </c>
      <c r="AD58" s="57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8" s="57" cm="1">
        <f t="array" ref="AE5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8" s="56" t="s">
        <v>45</v>
      </c>
      <c r="AH58" s="56"/>
      <c r="AI58" s="58">
        <v>0.81458333333333333</v>
      </c>
      <c r="AJ5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51</v>
      </c>
      <c r="AK58" s="57" cm="1">
        <f t="array" ref="AK5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8" s="56" t="s">
        <v>1025</v>
      </c>
      <c r="AN58" s="56"/>
      <c r="AO58" s="58">
        <v>0.82152777777777775</v>
      </c>
      <c r="AP5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51</v>
      </c>
      <c r="AQ58" s="57" cm="1">
        <f t="array" ref="AQ5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8" s="56" t="s">
        <v>166</v>
      </c>
      <c r="AT58" s="56"/>
      <c r="AU58" s="58">
        <v>0.8305555555555556</v>
      </c>
      <c r="AV5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51</v>
      </c>
      <c r="AW58" s="57" cm="1">
        <f t="array" ref="AW5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8" s="56" t="s">
        <v>980</v>
      </c>
      <c r="AZ58" s="56" t="s">
        <v>186</v>
      </c>
      <c r="BA58" s="58">
        <v>0.82222222222222219</v>
      </c>
      <c r="BB5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51</v>
      </c>
      <c r="BC58" s="57" cm="1">
        <f t="array" ref="BC5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8" s="56" t="s">
        <v>969</v>
      </c>
      <c r="BF58" s="56" t="s">
        <v>186</v>
      </c>
      <c r="BG58" s="58">
        <v>0.82777777777777772</v>
      </c>
      <c r="BH5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8" s="57" cm="1">
        <f t="array" ref="BI5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8" s="56" t="s">
        <v>943</v>
      </c>
      <c r="BL58" s="56"/>
      <c r="BM58" s="58">
        <v>0.82708333333333328</v>
      </c>
      <c r="BN5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50</v>
      </c>
      <c r="BO58" s="57" cm="1">
        <f t="array" ref="BO5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8" s="56" t="s">
        <v>1071</v>
      </c>
      <c r="BR58" s="56"/>
      <c r="BS58" s="58">
        <v>0.8256944444444444</v>
      </c>
      <c r="BT5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51</v>
      </c>
      <c r="BU58" s="57" cm="1">
        <f t="array" ref="BU5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8" s="56" t="s">
        <v>111</v>
      </c>
      <c r="BX58" s="56"/>
      <c r="BY58" s="58">
        <v>0.81319444444444444</v>
      </c>
      <c r="BZ5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51</v>
      </c>
      <c r="CA58" s="57" cm="1">
        <f t="array" ref="CA5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8" s="56" t="s">
        <v>107</v>
      </c>
      <c r="CD58" s="56"/>
      <c r="CE58" s="58">
        <v>0.81805555555555554</v>
      </c>
      <c r="CF5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51</v>
      </c>
      <c r="CG58" s="57" cm="1">
        <f t="array" ref="CG5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8" s="56" t="s">
        <v>160</v>
      </c>
      <c r="CJ58" s="56" t="s">
        <v>190</v>
      </c>
      <c r="CK58" s="58">
        <v>0.81736111111111109</v>
      </c>
      <c r="CL5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51</v>
      </c>
      <c r="CM58" s="57" cm="1">
        <f t="array" ref="CM5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8" s="56" t="s">
        <v>896</v>
      </c>
      <c r="CP58" s="56" t="s">
        <v>186</v>
      </c>
      <c r="CQ58" s="58">
        <v>0.79166666666666663</v>
      </c>
      <c r="CR58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58" s="57" cm="1">
        <f t="array" ref="CS58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8" s="56" t="s">
        <v>929</v>
      </c>
      <c r="CV58" s="56" t="s">
        <v>186</v>
      </c>
      <c r="CW58" s="58">
        <v>0.79513888888888884</v>
      </c>
      <c r="CX58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51</v>
      </c>
      <c r="CY58" s="57" cm="1">
        <f t="array" ref="CY58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8" s="56" t="s">
        <v>45</v>
      </c>
      <c r="DB58" s="56" t="s">
        <v>186</v>
      </c>
      <c r="DC58" s="58">
        <v>0.82986111111111116</v>
      </c>
      <c r="DD5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49</v>
      </c>
      <c r="DE58" s="57" cm="1">
        <f t="array" ref="DE5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8" s="56" t="s">
        <v>947</v>
      </c>
      <c r="DH58" s="56" t="s">
        <v>186</v>
      </c>
      <c r="DI58" s="58">
        <v>0.80694444444444446</v>
      </c>
      <c r="DJ58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51</v>
      </c>
      <c r="DK58" s="57" cm="1">
        <f t="array" ref="DK58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8" s="56" t="str">
        <f>IF('Weekly Attendance'!AA46="Yes",'Weekly Attendance'!$D46,"")</f>
        <v>Jared Lipski</v>
      </c>
      <c r="DN58" s="56"/>
      <c r="DO58" s="155">
        <v>0.80833333333333335</v>
      </c>
      <c r="DP5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71</v>
      </c>
      <c r="DQ58" s="57" cm="1">
        <f t="array" ref="DQ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59" spans="1:121">
      <c r="A59" s="16">
        <v>52</v>
      </c>
      <c r="B59" s="86"/>
      <c r="C59" s="56" t="s">
        <v>125</v>
      </c>
      <c r="D59" s="56"/>
      <c r="E59" s="58">
        <v>0.82638888888888884</v>
      </c>
      <c r="F59" s="57">
        <f>IFERROR(IF(Table4[[#This Row],[Name]]="","",IFERROR(IF(Table4[[#This Row],[Time]]="","TBD",D$2-COUNTIF(Table4[Time],"&lt;"&amp;Table4[[#This Row],[Time]])),""))-(COUNTIF(Table4[Time],Table4[[#This Row],[Time]])-1),"")</f>
        <v>52</v>
      </c>
      <c r="G59" s="57" cm="1">
        <f t="array" ref="G5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59" s="56" t="s">
        <v>53</v>
      </c>
      <c r="J59" s="56" t="s">
        <v>186</v>
      </c>
      <c r="K59" s="58">
        <v>0.81874999999999998</v>
      </c>
      <c r="L59" s="57">
        <f>IFERROR(IF(Table9[[#This Row],[Name]]="","",IFERROR(IF(Table9[[#This Row],[Time]]="","TBD",J$2-COUNTIF(Table9[Time],"&lt;"&amp;Table9[[#This Row],[Time]])),""))-(COUNTIF(Table9[Time],Table9[[#This Row],[Time]])-1),"")</f>
        <v>52</v>
      </c>
      <c r="M59" s="57" cm="1">
        <f t="array" ref="M5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59" s="56" t="s">
        <v>80</v>
      </c>
      <c r="P59" s="56"/>
      <c r="Q59" s="58">
        <v>0.82291666666666663</v>
      </c>
      <c r="R59" s="57">
        <f>IFERROR(IF(Table18[[#This Row],[Name]]="","",IFERROR(IF(Table18[[#This Row],[Time]]="","TBD",P$2-COUNTIF(Table18[Time],"&lt;"&amp;Table18[[#This Row],[Time]])),""))-(COUNTIF(Table18[Time],Table18[[#This Row],[Time]])-1),"")</f>
        <v>51</v>
      </c>
      <c r="S59" s="57" cm="1">
        <f t="array" ref="S5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59" s="56" t="s">
        <v>148</v>
      </c>
      <c r="V59" s="56" t="s">
        <v>186</v>
      </c>
      <c r="W59" s="58">
        <v>0.81874999999999998</v>
      </c>
      <c r="X59" s="57">
        <f>IFERROR(IF(Table2[[#This Row],[Name]]="","",IFERROR(IF(Table2[[#This Row],[Time]]="","TBD",V$2-COUNTIF(Table2[Time],"&lt;"&amp;Table2[[#This Row],[Time]])),""))-(COUNTIF(Table2[Time],Table2[[#This Row],[Time]])-1),"")</f>
        <v>52</v>
      </c>
      <c r="Y59" s="57" cm="1">
        <f t="array" ref="Y5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59" s="56" t="s">
        <v>154</v>
      </c>
      <c r="AB59" s="56" t="s">
        <v>186</v>
      </c>
      <c r="AC59" s="58">
        <v>0.81111111111111112</v>
      </c>
      <c r="AD59" s="57">
        <f>IFERROR(IF(Table211[[#This Row],[Name]]="","",IFERROR(IF(Table211[[#This Row],[Time]]="","TBD",AB$2-COUNTIF(Table211[Time],"&lt;"&amp;Table211[[#This Row],[Time]])),""))-(COUNTIF(Table211[Time],Table211[[#This Row],[Time]])-1),"")</f>
        <v>51</v>
      </c>
      <c r="AE59" s="57" cm="1">
        <f t="array" ref="AE5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59" s="56" t="s">
        <v>945</v>
      </c>
      <c r="AH59" s="56" t="s">
        <v>186</v>
      </c>
      <c r="AI59" s="58">
        <v>0.81319444444444444</v>
      </c>
      <c r="AJ5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52</v>
      </c>
      <c r="AK59" s="57" cm="1">
        <f t="array" ref="AK5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59" s="56" t="s">
        <v>93</v>
      </c>
      <c r="AN59" s="56" t="s">
        <v>186</v>
      </c>
      <c r="AO59" s="58">
        <v>0.8208333333333333</v>
      </c>
      <c r="AP5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52</v>
      </c>
      <c r="AQ59" s="57" cm="1">
        <f t="array" ref="AQ5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59" s="56" t="s">
        <v>956</v>
      </c>
      <c r="AT59" s="56" t="s">
        <v>186</v>
      </c>
      <c r="AU59" s="58">
        <v>0.82986111111111116</v>
      </c>
      <c r="AV5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52</v>
      </c>
      <c r="AW59" s="57" cm="1">
        <f t="array" ref="AW5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59" s="56" t="s">
        <v>176</v>
      </c>
      <c r="AZ59" s="56"/>
      <c r="BA59" s="58">
        <v>0.82152777777777775</v>
      </c>
      <c r="BB5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52</v>
      </c>
      <c r="BC59" s="57" cm="1">
        <f t="array" ref="BC5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59" s="56" t="s">
        <v>962</v>
      </c>
      <c r="BF59" s="56"/>
      <c r="BG59" s="58">
        <v>0.82777777777777772</v>
      </c>
      <c r="BH5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51</v>
      </c>
      <c r="BI59" s="57" cm="1">
        <f t="array" ref="BI5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59" s="56" t="s">
        <v>976</v>
      </c>
      <c r="BL59" s="56" t="s">
        <v>186</v>
      </c>
      <c r="BM59" s="58">
        <v>0.82638888888888884</v>
      </c>
      <c r="BN5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52</v>
      </c>
      <c r="BO59" s="57" cm="1">
        <f t="array" ref="BO5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59" s="56" t="s">
        <v>23</v>
      </c>
      <c r="BR59" s="56"/>
      <c r="BS59" s="58">
        <v>0.82499999999999996</v>
      </c>
      <c r="BT5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59" s="57" cm="1">
        <f t="array" ref="BU5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59" s="56" t="s">
        <v>900</v>
      </c>
      <c r="BX59" s="56"/>
      <c r="BY59" s="58">
        <v>0.81111111111111112</v>
      </c>
      <c r="BZ5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52</v>
      </c>
      <c r="CA59" s="57" cm="1">
        <f t="array" ref="CA5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59" s="56" t="s">
        <v>960</v>
      </c>
      <c r="CD59" s="56" t="s">
        <v>186</v>
      </c>
      <c r="CE59" s="58">
        <v>0.81805555555555554</v>
      </c>
      <c r="CF5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51</v>
      </c>
      <c r="CG59" s="57" cm="1">
        <f t="array" ref="CG5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59" s="56" t="s">
        <v>970</v>
      </c>
      <c r="CJ59" s="56" t="s">
        <v>190</v>
      </c>
      <c r="CK59" s="58">
        <v>0.81666666666666665</v>
      </c>
      <c r="CL5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52</v>
      </c>
      <c r="CM59" s="57" cm="1">
        <f t="array" ref="CM5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59" s="56" t="s">
        <v>142</v>
      </c>
      <c r="CP59" s="56" t="s">
        <v>186</v>
      </c>
      <c r="CQ59" s="58">
        <v>0.79166666666666663</v>
      </c>
      <c r="CR59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59" s="57" cm="1">
        <f t="array" ref="CS59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59" s="56" t="s">
        <v>896</v>
      </c>
      <c r="CV59" s="56" t="s">
        <v>186</v>
      </c>
      <c r="CW59" s="58">
        <v>0.78611111111111109</v>
      </c>
      <c r="CX59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52</v>
      </c>
      <c r="CY59" s="57" cm="1">
        <f t="array" ref="CY59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59" s="56" t="s">
        <v>961</v>
      </c>
      <c r="DB59" s="56"/>
      <c r="DC59" s="58">
        <v>0.82847222222222228</v>
      </c>
      <c r="DD5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52</v>
      </c>
      <c r="DE59" s="57" cm="1">
        <f t="array" ref="DE5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59" s="56" t="s">
        <v>107</v>
      </c>
      <c r="DH59" s="56"/>
      <c r="DI59" s="58">
        <v>0.80625000000000002</v>
      </c>
      <c r="DJ59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52</v>
      </c>
      <c r="DK59" s="57" cm="1">
        <f t="array" ref="DK59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59" s="56" t="str">
        <f>IF('Weekly Attendance'!AA175="Yes",'Weekly Attendance'!$D175,"")</f>
        <v>Harold Zhang</v>
      </c>
      <c r="DN59" s="56" t="s">
        <v>186</v>
      </c>
      <c r="DO59" s="58">
        <v>0.80625000000000002</v>
      </c>
      <c r="DP5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72</v>
      </c>
      <c r="DQ59" s="57" cm="1">
        <f t="array" ref="DQ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0" spans="1:121">
      <c r="A60" s="16">
        <v>53</v>
      </c>
      <c r="B60" s="86"/>
      <c r="C60" s="56" t="s">
        <v>99</v>
      </c>
      <c r="D60" s="56"/>
      <c r="E60" s="58">
        <v>0.82499999999999996</v>
      </c>
      <c r="F60" s="57">
        <f>IFERROR(IF(Table4[[#This Row],[Name]]="","",IFERROR(IF(Table4[[#This Row],[Time]]="","TBD",D$2-COUNTIF(Table4[Time],"&lt;"&amp;Table4[[#This Row],[Time]])),""))-(COUNTIF(Table4[Time],Table4[[#This Row],[Time]])-1),"")</f>
        <v>53</v>
      </c>
      <c r="G60" s="57" cm="1">
        <f t="array" ref="G6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0" s="56" t="s">
        <v>148</v>
      </c>
      <c r="J60" s="56"/>
      <c r="K60" s="58">
        <v>0.81874999999999998</v>
      </c>
      <c r="L60" s="57">
        <f>IFERROR(IF(Table9[[#This Row],[Name]]="","",IFERROR(IF(Table9[[#This Row],[Time]]="","TBD",J$2-COUNTIF(Table9[Time],"&lt;"&amp;Table9[[#This Row],[Time]])),""))-(COUNTIF(Table9[Time],Table9[[#This Row],[Time]])-1),"")</f>
        <v>52</v>
      </c>
      <c r="M60" s="57" cm="1">
        <f t="array" ref="M6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0" s="56" t="s">
        <v>972</v>
      </c>
      <c r="P60" s="56"/>
      <c r="Q60" s="58">
        <v>0.8208333333333333</v>
      </c>
      <c r="R60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0" s="57" cm="1">
        <f t="array" ref="S6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0" s="56" t="s">
        <v>1001</v>
      </c>
      <c r="V60" s="56"/>
      <c r="W60" s="58">
        <v>0.81736111111111109</v>
      </c>
      <c r="X60" s="57">
        <f>IFERROR(IF(Table2[[#This Row],[Name]]="","",IFERROR(IF(Table2[[#This Row],[Time]]="","TBD",V$2-COUNTIF(Table2[Time],"&lt;"&amp;Table2[[#This Row],[Time]])),""))-(COUNTIF(Table2[Time],Table2[[#This Row],[Time]])-1),"")</f>
        <v>53</v>
      </c>
      <c r="Y60" s="57" cm="1">
        <f t="array" ref="Y6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0" s="56" t="s">
        <v>907</v>
      </c>
      <c r="AB60" s="56" t="s">
        <v>186</v>
      </c>
      <c r="AC60" s="58">
        <v>0.80972222222222223</v>
      </c>
      <c r="AD60" s="57">
        <f>IFERROR(IF(Table211[[#This Row],[Name]]="","",IFERROR(IF(Table211[[#This Row],[Time]]="","TBD",AB$2-COUNTIF(Table211[Time],"&lt;"&amp;Table211[[#This Row],[Time]])),""))-(COUNTIF(Table211[Time],Table211[[#This Row],[Time]])-1),"")</f>
        <v>53</v>
      </c>
      <c r="AE60" s="57" cm="1">
        <f t="array" ref="AE6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0" s="56" t="s">
        <v>967</v>
      </c>
      <c r="AH60" s="56" t="s">
        <v>186</v>
      </c>
      <c r="AI60" s="58">
        <v>0.8125</v>
      </c>
      <c r="AJ6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53</v>
      </c>
      <c r="AK60" s="57" cm="1">
        <f t="array" ref="AK6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0" s="56" t="s">
        <v>162</v>
      </c>
      <c r="AN60" s="56"/>
      <c r="AO60" s="58">
        <v>0.81944444444444442</v>
      </c>
      <c r="AP6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0" s="57" cm="1">
        <f t="array" ref="AQ6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0" s="56" t="s">
        <v>1015</v>
      </c>
      <c r="AT60" s="56" t="s">
        <v>186</v>
      </c>
      <c r="AU60" s="58">
        <v>0.82847222222222228</v>
      </c>
      <c r="AV6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53</v>
      </c>
      <c r="AW60" s="57" cm="1">
        <f t="array" ref="AW6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0" s="56" t="s">
        <v>911</v>
      </c>
      <c r="AZ60" s="56"/>
      <c r="BA60" s="58">
        <v>0.8208333333333333</v>
      </c>
      <c r="BB6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0" s="57" cm="1">
        <f t="array" ref="BC6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0" s="56" t="s">
        <v>115</v>
      </c>
      <c r="BF60" s="56"/>
      <c r="BG60" s="58">
        <v>0.82638888888888884</v>
      </c>
      <c r="BH6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53</v>
      </c>
      <c r="BI60" s="57" cm="1">
        <f t="array" ref="BI6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0" s="56" t="s">
        <v>980</v>
      </c>
      <c r="BL60" s="56" t="s">
        <v>186</v>
      </c>
      <c r="BM60" s="58">
        <v>0.8256944444444444</v>
      </c>
      <c r="BN6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53</v>
      </c>
      <c r="BO60" s="57" cm="1">
        <f t="array" ref="BO6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0" s="56" t="s">
        <v>934</v>
      </c>
      <c r="BR60" s="56" t="s">
        <v>186</v>
      </c>
      <c r="BS60" s="58">
        <v>0.82499999999999996</v>
      </c>
      <c r="BT6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0" s="57" cm="1">
        <f t="array" ref="BU6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0" s="56" t="s">
        <v>156</v>
      </c>
      <c r="BX60" s="56" t="s">
        <v>186</v>
      </c>
      <c r="BY60" s="58">
        <v>0.81111111111111112</v>
      </c>
      <c r="BZ6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52</v>
      </c>
      <c r="CA60" s="57" cm="1">
        <f t="array" ref="CA6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0" s="56" t="s">
        <v>71</v>
      </c>
      <c r="CD60" s="56" t="s">
        <v>186</v>
      </c>
      <c r="CE60" s="58">
        <v>0.81736111111111109</v>
      </c>
      <c r="CF6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53</v>
      </c>
      <c r="CG60" s="57" cm="1">
        <f t="array" ref="CG6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0" s="56" t="s">
        <v>912</v>
      </c>
      <c r="CJ60" s="56" t="s">
        <v>186</v>
      </c>
      <c r="CK60" s="58">
        <v>0.81458333333333333</v>
      </c>
      <c r="CL6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53</v>
      </c>
      <c r="CM60" s="57" cm="1">
        <f t="array" ref="CM6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0" s="56" t="s">
        <v>960</v>
      </c>
      <c r="CP60" s="56" t="s">
        <v>186</v>
      </c>
      <c r="CQ60" s="58">
        <v>0.79166666666666663</v>
      </c>
      <c r="CR60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51</v>
      </c>
      <c r="CS60" s="57" cm="1">
        <f t="array" ref="CS60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0" s="56" t="s">
        <v>152</v>
      </c>
      <c r="CV60" s="56" t="s">
        <v>186</v>
      </c>
      <c r="CW60" s="58">
        <v>0.78125</v>
      </c>
      <c r="CX60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53</v>
      </c>
      <c r="CY60" s="57" cm="1">
        <f t="array" ref="CY60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0" s="56" t="s">
        <v>1029</v>
      </c>
      <c r="DB60" s="56"/>
      <c r="DC60" s="58">
        <v>0.82777777777777772</v>
      </c>
      <c r="DD6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53</v>
      </c>
      <c r="DE60" s="57" cm="1">
        <f t="array" ref="DE6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0" s="56" t="s">
        <v>168</v>
      </c>
      <c r="DH60" s="56" t="s">
        <v>186</v>
      </c>
      <c r="DI60" s="58">
        <v>0.80555555555555558</v>
      </c>
      <c r="DJ60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53</v>
      </c>
      <c r="DK60" s="57" cm="1">
        <f t="array" ref="DK60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0" s="56" t="str">
        <f>IF('Weekly Attendance'!AA166="Yes",'Weekly Attendance'!$D166,"")</f>
        <v>Gabe Mclellan</v>
      </c>
      <c r="DN60" s="56" t="s">
        <v>186</v>
      </c>
      <c r="DO60" s="58">
        <v>0.80486111111111114</v>
      </c>
      <c r="DP60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73</v>
      </c>
      <c r="DQ60" s="57" cm="1">
        <f t="array" ref="DQ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1" spans="1:121">
      <c r="A61" s="16">
        <v>54</v>
      </c>
      <c r="B61" s="86"/>
      <c r="C61" s="56" t="s">
        <v>979</v>
      </c>
      <c r="D61" s="56" t="s">
        <v>186</v>
      </c>
      <c r="E61" s="58">
        <v>0.82430555555555551</v>
      </c>
      <c r="F61" s="57">
        <f>IFERROR(IF(Table4[[#This Row],[Name]]="","",IFERROR(IF(Table4[[#This Row],[Time]]="","TBD",D$2-COUNTIF(Table4[Time],"&lt;"&amp;Table4[[#This Row],[Time]])),""))-(COUNTIF(Table4[Time],Table4[[#This Row],[Time]])-1),"")</f>
        <v>54</v>
      </c>
      <c r="G61" s="57" cm="1">
        <f t="array" ref="G6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1" s="56" t="s">
        <v>158</v>
      </c>
      <c r="J61" s="56" t="s">
        <v>186</v>
      </c>
      <c r="K61" s="58">
        <v>0.8125</v>
      </c>
      <c r="L61" s="57">
        <f>IFERROR(IF(Table9[[#This Row],[Name]]="","",IFERROR(IF(Table9[[#This Row],[Time]]="","TBD",J$2-COUNTIF(Table9[Time],"&lt;"&amp;Table9[[#This Row],[Time]])),""))-(COUNTIF(Table9[Time],Table9[[#This Row],[Time]])-1),"")</f>
        <v>54</v>
      </c>
      <c r="M61" s="57" cm="1">
        <f t="array" ref="M6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1" s="56" t="s">
        <v>889</v>
      </c>
      <c r="P61" s="56"/>
      <c r="Q61" s="58">
        <v>0.8208333333333333</v>
      </c>
      <c r="R61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1" s="57" cm="1">
        <f t="array" ref="S6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1" s="56" t="s">
        <v>164</v>
      </c>
      <c r="V61" s="56" t="s">
        <v>186</v>
      </c>
      <c r="W61" s="58">
        <v>0.81736111111111109</v>
      </c>
      <c r="X61" s="57">
        <f>IFERROR(IF(Table2[[#This Row],[Name]]="","",IFERROR(IF(Table2[[#This Row],[Time]]="","TBD",V$2-COUNTIF(Table2[Time],"&lt;"&amp;Table2[[#This Row],[Time]])),""))-(COUNTIF(Table2[Time],Table2[[#This Row],[Time]])-1),"")</f>
        <v>53</v>
      </c>
      <c r="Y61" s="57" cm="1">
        <f t="array" ref="Y6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1" s="56" t="s">
        <v>140</v>
      </c>
      <c r="AB61" s="56" t="s">
        <v>186</v>
      </c>
      <c r="AC61" s="58">
        <v>0.80902777777777779</v>
      </c>
      <c r="AD61" s="57">
        <f>IFERROR(IF(Table211[[#This Row],[Name]]="","",IFERROR(IF(Table211[[#This Row],[Time]]="","TBD",AB$2-COUNTIF(Table211[Time],"&lt;"&amp;Table211[[#This Row],[Time]])),""))-(COUNTIF(Table211[Time],Table211[[#This Row],[Time]])-1),"")</f>
        <v>54</v>
      </c>
      <c r="AE61" s="57" cm="1">
        <f t="array" ref="AE6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1" s="56" t="s">
        <v>69</v>
      </c>
      <c r="AH61" s="56" t="s">
        <v>186</v>
      </c>
      <c r="AI61" s="58">
        <v>0.81180555555555556</v>
      </c>
      <c r="AJ6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54</v>
      </c>
      <c r="AK61" s="57" cm="1">
        <f t="array" ref="AK6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1" s="56" t="s">
        <v>142</v>
      </c>
      <c r="AN61" s="56" t="s">
        <v>186</v>
      </c>
      <c r="AO61" s="58">
        <v>0.81944444444444442</v>
      </c>
      <c r="AP6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1" s="57" cm="1">
        <f t="array" ref="AQ6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1" s="56" t="s">
        <v>996</v>
      </c>
      <c r="AT61" s="56"/>
      <c r="AU61" s="58">
        <v>0.82777777777777772</v>
      </c>
      <c r="AV6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54</v>
      </c>
      <c r="AW61" s="57" cm="1">
        <f t="array" ref="AW6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1" s="56" t="s">
        <v>47</v>
      </c>
      <c r="AZ61" s="56"/>
      <c r="BA61" s="58">
        <v>0.8208333333333333</v>
      </c>
      <c r="BB6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53</v>
      </c>
      <c r="BC61" s="57" cm="1">
        <f t="array" ref="BC6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1" s="56" t="s">
        <v>936</v>
      </c>
      <c r="BF61" s="56"/>
      <c r="BG61" s="58">
        <v>0.8256944444444444</v>
      </c>
      <c r="BH6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54</v>
      </c>
      <c r="BI61" s="57" cm="1">
        <f t="array" ref="BI6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1" s="56" t="s">
        <v>162</v>
      </c>
      <c r="BL61" s="56"/>
      <c r="BM61" s="58">
        <v>0.8256944444444444</v>
      </c>
      <c r="BN6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53</v>
      </c>
      <c r="BO61" s="57" cm="1">
        <f t="array" ref="BO6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1" s="56" t="s">
        <v>956</v>
      </c>
      <c r="BR61" s="56"/>
      <c r="BS61" s="58">
        <v>0.82499999999999996</v>
      </c>
      <c r="BT6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1" s="57" cm="1">
        <f t="array" ref="BU6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1" s="56" t="s">
        <v>1072</v>
      </c>
      <c r="BX61" s="56"/>
      <c r="BY61" s="58">
        <v>0.81041666666666667</v>
      </c>
      <c r="BZ6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54</v>
      </c>
      <c r="CA61" s="57" cm="1">
        <f t="array" ref="CA6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1" s="56" t="s">
        <v>166</v>
      </c>
      <c r="CD61" s="56" t="s">
        <v>186</v>
      </c>
      <c r="CE61" s="58">
        <v>0.81527777777777777</v>
      </c>
      <c r="CF6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54</v>
      </c>
      <c r="CG61" s="57" cm="1">
        <f t="array" ref="CG6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1" s="56" t="s">
        <v>168</v>
      </c>
      <c r="CJ61" s="56" t="s">
        <v>186</v>
      </c>
      <c r="CK61" s="58">
        <v>0.8125</v>
      </c>
      <c r="CL6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54</v>
      </c>
      <c r="CM61" s="57" cm="1">
        <f t="array" ref="CM6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1" s="56" t="s">
        <v>152</v>
      </c>
      <c r="CP61" s="56" t="s">
        <v>186</v>
      </c>
      <c r="CQ61" s="58">
        <v>0.78611111111111109</v>
      </c>
      <c r="CR61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54</v>
      </c>
      <c r="CS61" s="57" cm="1">
        <f t="array" ref="CS61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1" s="56" t="s">
        <v>909</v>
      </c>
      <c r="CV61" s="56"/>
      <c r="CW61" s="58">
        <v>0.75</v>
      </c>
      <c r="CX61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1" s="57" cm="1">
        <f t="array" ref="CY61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1" s="56" t="s">
        <v>969</v>
      </c>
      <c r="DB61" s="56"/>
      <c r="DC61" s="58">
        <v>0.82708333333333328</v>
      </c>
      <c r="DD6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54</v>
      </c>
      <c r="DE61" s="57" cm="1">
        <f t="array" ref="DE6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1" s="56" t="s">
        <v>965</v>
      </c>
      <c r="DH61" s="56" t="s">
        <v>186</v>
      </c>
      <c r="DI61" s="58">
        <v>0.80555555555555558</v>
      </c>
      <c r="DJ61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53</v>
      </c>
      <c r="DK61" s="57" cm="1">
        <f t="array" ref="DK61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1" s="56" t="str">
        <f>IF('Weekly Attendance'!AA333="Yes",'Weekly Attendance'!$D333,"")</f>
        <v>Victor Pivtoran</v>
      </c>
      <c r="DN61" s="56" t="s">
        <v>186</v>
      </c>
      <c r="DO61" s="58">
        <v>0.80347222222222225</v>
      </c>
      <c r="DP61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74</v>
      </c>
      <c r="DQ61" s="57" cm="1">
        <f t="array" ref="DQ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2" spans="1:121">
      <c r="A62" s="16">
        <v>55</v>
      </c>
      <c r="B62" s="86"/>
      <c r="C62" s="56" t="s">
        <v>978</v>
      </c>
      <c r="D62" s="56"/>
      <c r="E62" s="58">
        <v>0.82361111111111107</v>
      </c>
      <c r="F62" s="57">
        <f>IFERROR(IF(Table4[[#This Row],[Name]]="","",IFERROR(IF(Table4[[#This Row],[Time]]="","TBD",D$2-COUNTIF(Table4[Time],"&lt;"&amp;Table4[[#This Row],[Time]])),""))-(COUNTIF(Table4[Time],Table4[[#This Row],[Time]])-1),"")</f>
        <v>55</v>
      </c>
      <c r="G62" s="57" cm="1">
        <f t="array" ref="G6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2</v>
      </c>
      <c r="I62" s="56" t="s">
        <v>1015</v>
      </c>
      <c r="J62" s="56" t="s">
        <v>186</v>
      </c>
      <c r="K62" s="58">
        <v>0.81180555555555556</v>
      </c>
      <c r="L62" s="57">
        <f>IFERROR(IF(Table9[[#This Row],[Name]]="","",IFERROR(IF(Table9[[#This Row],[Time]]="","TBD",J$2-COUNTIF(Table9[Time],"&lt;"&amp;Table9[[#This Row],[Time]])),""))-(COUNTIF(Table9[Time],Table9[[#This Row],[Time]])-1),"")</f>
        <v>55</v>
      </c>
      <c r="M62" s="57" cm="1">
        <f t="array" ref="M6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2" s="56" t="s">
        <v>939</v>
      </c>
      <c r="P62" s="56"/>
      <c r="Q62" s="58">
        <v>0.8208333333333333</v>
      </c>
      <c r="R62" s="57">
        <f>IFERROR(IF(Table18[[#This Row],[Name]]="","",IFERROR(IF(Table18[[#This Row],[Time]]="","TBD",P$2-COUNTIF(Table18[Time],"&lt;"&amp;Table18[[#This Row],[Time]])),""))-(COUNTIF(Table18[Time],Table18[[#This Row],[Time]])-1),"")</f>
        <v>53</v>
      </c>
      <c r="S62" s="57" cm="1">
        <f t="array" ref="S6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2" s="56" t="s">
        <v>964</v>
      </c>
      <c r="V62" s="56" t="s">
        <v>186</v>
      </c>
      <c r="W62" s="58">
        <v>0.81666666666666665</v>
      </c>
      <c r="X62" s="57">
        <f>IFERROR(IF(Table2[[#This Row],[Name]]="","",IFERROR(IF(Table2[[#This Row],[Time]]="","TBD",V$2-COUNTIF(Table2[Time],"&lt;"&amp;Table2[[#This Row],[Time]])),""))-(COUNTIF(Table2[Time],Table2[[#This Row],[Time]])-1),"")</f>
        <v>55</v>
      </c>
      <c r="Y62" s="57" cm="1">
        <f t="array" ref="Y6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2" s="56" t="s">
        <v>913</v>
      </c>
      <c r="AB62" s="56" t="s">
        <v>186</v>
      </c>
      <c r="AC62" s="58">
        <v>0.80694444444444446</v>
      </c>
      <c r="AD62" s="57">
        <f>IFERROR(IF(Table211[[#This Row],[Name]]="","",IFERROR(IF(Table211[[#This Row],[Time]]="","TBD",AB$2-COUNTIF(Table211[Time],"&lt;"&amp;Table211[[#This Row],[Time]])),""))-(COUNTIF(Table211[Time],Table211[[#This Row],[Time]])-1),"")</f>
        <v>55</v>
      </c>
      <c r="AE62" s="57" cm="1">
        <f t="array" ref="AE6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2" s="56" t="s">
        <v>911</v>
      </c>
      <c r="AH62" s="56" t="s">
        <v>186</v>
      </c>
      <c r="AI62" s="58">
        <v>0.81111111111111112</v>
      </c>
      <c r="AJ6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55</v>
      </c>
      <c r="AK62" s="57" cm="1">
        <f t="array" ref="AK6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2" s="56" t="s">
        <v>893</v>
      </c>
      <c r="AN62" s="56" t="s">
        <v>186</v>
      </c>
      <c r="AO62" s="58">
        <v>0.81944444444444442</v>
      </c>
      <c r="AP6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53</v>
      </c>
      <c r="AQ62" s="57" cm="1">
        <f t="array" ref="AQ6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2" s="105" t="s">
        <v>148</v>
      </c>
      <c r="AT62" s="56"/>
      <c r="AU62" s="58">
        <v>0.82708333333333328</v>
      </c>
      <c r="AV6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55</v>
      </c>
      <c r="AW62" s="57" cm="1">
        <f t="array" ref="AW6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2" s="56" t="s">
        <v>93</v>
      </c>
      <c r="AZ62" s="56"/>
      <c r="BA62" s="58">
        <v>0.81944444444444442</v>
      </c>
      <c r="BB6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2" s="57" cm="1">
        <f t="array" ref="BC6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2" s="56" t="s">
        <v>937</v>
      </c>
      <c r="BF62" s="56"/>
      <c r="BG62" s="58">
        <v>0.82499999999999996</v>
      </c>
      <c r="BH6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55</v>
      </c>
      <c r="BI62" s="57" cm="1">
        <f t="array" ref="BI6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2" s="56" t="s">
        <v>1013</v>
      </c>
      <c r="BL62" s="56"/>
      <c r="BM62" s="58">
        <v>0.82361111111111107</v>
      </c>
      <c r="BN6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55</v>
      </c>
      <c r="BO62" s="57" cm="1">
        <f t="array" ref="BO6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2" s="56" t="s">
        <v>1040</v>
      </c>
      <c r="BR62" s="56" t="s">
        <v>186</v>
      </c>
      <c r="BS62" s="58">
        <v>0.82499999999999996</v>
      </c>
      <c r="BT6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52</v>
      </c>
      <c r="BU62" s="57" cm="1">
        <f t="array" ref="BU6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2" s="56" t="s">
        <v>166</v>
      </c>
      <c r="BX62" s="56" t="s">
        <v>186</v>
      </c>
      <c r="BY62" s="58">
        <v>0.81041666666666667</v>
      </c>
      <c r="BZ6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54</v>
      </c>
      <c r="CA62" s="57" cm="1">
        <f t="array" ref="CA6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2" s="56" t="s">
        <v>1073</v>
      </c>
      <c r="CD62" s="56" t="s">
        <v>186</v>
      </c>
      <c r="CE62" s="58">
        <v>0.81527777777777777</v>
      </c>
      <c r="CF6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54</v>
      </c>
      <c r="CG62" s="57" cm="1">
        <f t="array" ref="CG6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2" s="56" t="s">
        <v>904</v>
      </c>
      <c r="CJ62" s="56" t="s">
        <v>186</v>
      </c>
      <c r="CK62" s="58">
        <v>0.81180555555555556</v>
      </c>
      <c r="CL6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55</v>
      </c>
      <c r="CM62" s="57" cm="1">
        <f t="array" ref="CM6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2" s="56" t="s">
        <v>1074</v>
      </c>
      <c r="CP62" s="56" t="s">
        <v>186</v>
      </c>
      <c r="CQ62" s="58">
        <v>0.78472222222222221</v>
      </c>
      <c r="CR62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55</v>
      </c>
      <c r="CS62" s="57" cm="1">
        <f t="array" ref="CS62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2" s="56" t="s">
        <v>933</v>
      </c>
      <c r="CV62" s="56" t="s">
        <v>186</v>
      </c>
      <c r="CW62" s="58">
        <v>0.75</v>
      </c>
      <c r="CX62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2" s="57" cm="1">
        <f t="array" ref="CY62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2" s="56" t="s">
        <v>174</v>
      </c>
      <c r="DB62" s="56"/>
      <c r="DC62" s="58">
        <v>0.8256944444444444</v>
      </c>
      <c r="DD6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55</v>
      </c>
      <c r="DE62" s="57" cm="1">
        <f t="array" ref="DE6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2" s="56" t="s">
        <v>152</v>
      </c>
      <c r="DH62" s="56" t="s">
        <v>186</v>
      </c>
      <c r="DI62" s="58">
        <v>0.80069444444444449</v>
      </c>
      <c r="DJ62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55</v>
      </c>
      <c r="DK62" s="57" cm="1">
        <f t="array" ref="DK62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2" s="56" t="str">
        <f>IF('Weekly Attendance'!AA53="Yes",'Weekly Attendance'!$D53,"")</f>
        <v>Noah George</v>
      </c>
      <c r="DN62" s="56"/>
      <c r="DO62" s="155">
        <v>0.79722222222222228</v>
      </c>
      <c r="DP62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75</v>
      </c>
      <c r="DQ62" s="57" cm="1">
        <f t="array" ref="DQ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3" spans="1:121">
      <c r="A63" s="16">
        <v>56</v>
      </c>
      <c r="B63" s="86"/>
      <c r="C63" s="56" t="s">
        <v>868</v>
      </c>
      <c r="D63" s="56"/>
      <c r="E63" s="58">
        <v>0.82291666666666663</v>
      </c>
      <c r="F63" s="57">
        <f>IFERROR(IF(Table4[[#This Row],[Name]]="","",IFERROR(IF(Table4[[#This Row],[Time]]="","TBD",D$2-COUNTIF(Table4[Time],"&lt;"&amp;Table4[[#This Row],[Time]])),""))-(COUNTIF(Table4[Time],Table4[[#This Row],[Time]])-1),"")</f>
        <v>56</v>
      </c>
      <c r="G63" s="57" cm="1">
        <f t="array" ref="G6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3" s="56" t="s">
        <v>1046</v>
      </c>
      <c r="J63" s="56"/>
      <c r="K63" s="58">
        <v>0.81111111111111112</v>
      </c>
      <c r="L63" s="57">
        <f>IFERROR(IF(Table9[[#This Row],[Name]]="","",IFERROR(IF(Table9[[#This Row],[Time]]="","TBD",J$2-COUNTIF(Table9[Time],"&lt;"&amp;Table9[[#This Row],[Time]])),""))-(COUNTIF(Table9[Time],Table9[[#This Row],[Time]])-1),"")</f>
        <v>56</v>
      </c>
      <c r="M63" s="57" cm="1">
        <f t="array" ref="M6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3" s="56" t="s">
        <v>148</v>
      </c>
      <c r="P63" s="56"/>
      <c r="Q63" s="58">
        <v>0.82013888888888886</v>
      </c>
      <c r="R63" s="57">
        <f>IFERROR(IF(Table18[[#This Row],[Name]]="","",IFERROR(IF(Table18[[#This Row],[Time]]="","TBD",P$2-COUNTIF(Table18[Time],"&lt;"&amp;Table18[[#This Row],[Time]])),""))-(COUNTIF(Table18[Time],Table18[[#This Row],[Time]])-1),"")</f>
        <v>56</v>
      </c>
      <c r="S63" s="57" cm="1">
        <f t="array" ref="S6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3" s="56" t="s">
        <v>176</v>
      </c>
      <c r="V63" s="56" t="s">
        <v>186</v>
      </c>
      <c r="W63" s="58">
        <v>0.81666666666666665</v>
      </c>
      <c r="X63" s="57">
        <f>IFERROR(IF(Table2[[#This Row],[Name]]="","",IFERROR(IF(Table2[[#This Row],[Time]]="","TBD",V$2-COUNTIF(Table2[Time],"&lt;"&amp;Table2[[#This Row],[Time]])),""))-(COUNTIF(Table2[Time],Table2[[#This Row],[Time]])-1),"")</f>
        <v>55</v>
      </c>
      <c r="Y63" s="57" cm="1">
        <f t="array" ref="Y6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3" s="56" t="s">
        <v>45</v>
      </c>
      <c r="AB63" s="56" t="s">
        <v>186</v>
      </c>
      <c r="AC63" s="58">
        <v>0.80555555555555558</v>
      </c>
      <c r="AD63" s="57">
        <f>IFERROR(IF(Table211[[#This Row],[Name]]="","",IFERROR(IF(Table211[[#This Row],[Time]]="","TBD",AB$2-COUNTIF(Table211[Time],"&lt;"&amp;Table211[[#This Row],[Time]])),""))-(COUNTIF(Table211[Time],Table211[[#This Row],[Time]])-1),"")</f>
        <v>56</v>
      </c>
      <c r="AE63" s="57" cm="1">
        <f t="array" ref="AE6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3" s="56" t="s">
        <v>919</v>
      </c>
      <c r="AH63" s="56" t="s">
        <v>186</v>
      </c>
      <c r="AI63" s="58">
        <v>0.80972222222222223</v>
      </c>
      <c r="AJ6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3" s="57" cm="1">
        <f t="array" ref="AK6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3" s="56" t="s">
        <v>908</v>
      </c>
      <c r="AN63" s="56"/>
      <c r="AO63" s="58">
        <v>0.81805555555555554</v>
      </c>
      <c r="AP6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56</v>
      </c>
      <c r="AQ63" s="57" cm="1">
        <f t="array" ref="AQ6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3" s="56" t="s">
        <v>903</v>
      </c>
      <c r="AT63" s="56"/>
      <c r="AU63" s="58">
        <v>0.82638888888888884</v>
      </c>
      <c r="AV6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56</v>
      </c>
      <c r="AW63" s="57" cm="1">
        <f t="array" ref="AW6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3" s="56" t="s">
        <v>26</v>
      </c>
      <c r="AZ63" s="56"/>
      <c r="BA63" s="58">
        <v>0.81944444444444442</v>
      </c>
      <c r="BB6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55</v>
      </c>
      <c r="BC63" s="57" cm="1">
        <f t="array" ref="BC6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3" s="56" t="s">
        <v>1038</v>
      </c>
      <c r="BF63" s="56"/>
      <c r="BG63" s="58">
        <v>0.82361111111111107</v>
      </c>
      <c r="BH6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56</v>
      </c>
      <c r="BI63" s="57" cm="1">
        <f t="array" ref="BI6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3" s="56" t="s">
        <v>987</v>
      </c>
      <c r="BL63" s="56"/>
      <c r="BM63" s="58">
        <v>0.82291666666666663</v>
      </c>
      <c r="BN6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56</v>
      </c>
      <c r="BO63" s="57" cm="1">
        <f t="array" ref="BO6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3" s="56" t="s">
        <v>929</v>
      </c>
      <c r="BR63" s="56" t="s">
        <v>186</v>
      </c>
      <c r="BS63" s="58">
        <v>0.82430555555555551</v>
      </c>
      <c r="BT6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56</v>
      </c>
      <c r="BU63" s="57" cm="1">
        <f t="array" ref="BU6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3" s="56" t="s">
        <v>902</v>
      </c>
      <c r="BX63" s="56" t="s">
        <v>186</v>
      </c>
      <c r="BY63" s="58">
        <v>0.80972222222222223</v>
      </c>
      <c r="BZ6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56</v>
      </c>
      <c r="CA63" s="57" cm="1">
        <f t="array" ref="CA6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3" s="56" t="s">
        <v>889</v>
      </c>
      <c r="CD63" s="56" t="s">
        <v>186</v>
      </c>
      <c r="CE63" s="58">
        <v>0.81458333333333333</v>
      </c>
      <c r="CF6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56</v>
      </c>
      <c r="CG63" s="57" cm="1">
        <f t="array" ref="CG6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3" s="56" t="s">
        <v>109</v>
      </c>
      <c r="CJ63" s="56" t="s">
        <v>186</v>
      </c>
      <c r="CK63" s="58">
        <v>0.81111111111111112</v>
      </c>
      <c r="CL6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56</v>
      </c>
      <c r="CM63" s="57" cm="1">
        <f t="array" ref="CM6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3" s="56" t="s">
        <v>107</v>
      </c>
      <c r="CP63" s="56" t="s">
        <v>186</v>
      </c>
      <c r="CQ63" s="58">
        <v>0.78333333333333333</v>
      </c>
      <c r="CR63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56</v>
      </c>
      <c r="CS63" s="57" cm="1">
        <f t="array" ref="CS63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CU63" s="56" t="s">
        <v>87</v>
      </c>
      <c r="CV63" s="56" t="s">
        <v>186</v>
      </c>
      <c r="CW63" s="58">
        <v>0.75</v>
      </c>
      <c r="CX63" s="57">
        <f>IFERROR(IF(Table2111216420212223253435363738[[#This Row],[Name]]="","",IFERROR(IF(Table2111216420212223253435363738[[#This Row],[Time]]="","TBD",CV$2-COUNTIF(Table2111216420212223253435363738[Time],"&lt;"&amp;Table2111216420212223253435363738[[#This Row],[Time]])),""))-(COUNTIF(Table2111216420212223253435363738[Time],Table2111216420212223253435363738[[#This Row],[Time]])-1),"")</f>
        <v>54</v>
      </c>
      <c r="CY63" s="57" cm="1">
        <f t="array" ref="CY63">IF(ISNUMBER(Table2111216420212223253435363738[[#This Row],[True Rank]])=TRUE,ROUNDUP(IF(Table2111216420212223253435363738[[#This Row],[Rebuy]]="Yes",75%,100%)*_xlfn.IFS(Table2111216420212223253435363738[[#This Row],[True Rank]]=Structures!$B$3,Structures!$D$3,Table2111216420212223253435363738[[#This Row],[True Rank]]=Structures!$B$4,Structures!$D$4,Table2111216420212223253435363738[[#This Row],[True Rank]]=Structures!$B$5,Structures!$D$5,Table2111216420212223253435363738[[#This Row],[True Rank]]&lt;Structures!$C$6,Structures!$D$6,Table2111216420212223253435363738[[#This Row],[True Rank]]&lt;=_xlfn.PERCENTILE.INC(_xlfn.SEQUENCE(MAX(Table2111216420212223253435363738[True Rank])),Structures!$C$7),Structures!$D$7,Table2111216420212223253435363738[[#This Row],[True Rank]]&lt;=_xlfn.PERCENTILE.INC(_xlfn.SEQUENCE(MAX(Table2111216420212223253435363738[True Rank])),Structures!$C$8),Structures!$D$8,Table2111216420212223253435363738[[#This Row],[True Rank]]&lt;=_xlfn.PERCENTILE.INC(_xlfn.SEQUENCE(MAX(Table2111216420212223253435363738[True Rank])),Structures!$C$9),Structures!$D$9),0),Table2111216420212223253435363738[[#This Row],[True Rank]])</f>
        <v>1</v>
      </c>
      <c r="DA63" s="56" t="s">
        <v>908</v>
      </c>
      <c r="DB63" s="56" t="s">
        <v>186</v>
      </c>
      <c r="DC63" s="58">
        <v>0.82430555555555551</v>
      </c>
      <c r="DD6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56</v>
      </c>
      <c r="DE63" s="57" cm="1">
        <f t="array" ref="DE6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3" s="56" t="s">
        <v>979</v>
      </c>
      <c r="DH63" s="56" t="s">
        <v>186</v>
      </c>
      <c r="DI63" s="58">
        <v>0.7895833333333333</v>
      </c>
      <c r="DJ63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56</v>
      </c>
      <c r="DK63" s="57" cm="1">
        <f t="array" ref="DK63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3" s="56" t="str">
        <f>IF('Weekly Attendance'!AA182="Yes",'Weekly Attendance'!$D182,"")</f>
        <v>Ilya Beuermann</v>
      </c>
      <c r="DN63" s="56" t="s">
        <v>186</v>
      </c>
      <c r="DO63" s="58">
        <v>0.79236111111111107</v>
      </c>
      <c r="DP63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76</v>
      </c>
      <c r="DQ63" s="57" cm="1">
        <f t="array" ref="DQ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4" spans="1:121">
      <c r="A64" s="16">
        <v>57</v>
      </c>
      <c r="B64" s="86"/>
      <c r="C64" s="56" t="s">
        <v>1075</v>
      </c>
      <c r="D64" s="56"/>
      <c r="E64" s="58">
        <v>0.82222222222222219</v>
      </c>
      <c r="F64" s="57">
        <f>IFERROR(IF(Table4[[#This Row],[Name]]="","",IFERROR(IF(Table4[[#This Row],[Time]]="","TBD",D$2-COUNTIF(Table4[Time],"&lt;"&amp;Table4[[#This Row],[Time]])),""))-(COUNTIF(Table4[Time],Table4[[#This Row],[Time]])-1),"")</f>
        <v>57</v>
      </c>
      <c r="G64" s="57" cm="1">
        <f t="array" ref="G6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4" s="56" t="s">
        <v>984</v>
      </c>
      <c r="J64" s="56"/>
      <c r="K64" s="58">
        <v>0.80972222222222223</v>
      </c>
      <c r="L64" s="57">
        <f>IFERROR(IF(Table9[[#This Row],[Name]]="","",IFERROR(IF(Table9[[#This Row],[Time]]="","TBD",J$2-COUNTIF(Table9[Time],"&lt;"&amp;Table9[[#This Row],[Time]])),""))-(COUNTIF(Table9[Time],Table9[[#This Row],[Time]])-1),"")</f>
        <v>57</v>
      </c>
      <c r="M64" s="57" cm="1">
        <f t="array" ref="M6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4" s="56" t="s">
        <v>1076</v>
      </c>
      <c r="P64" s="56" t="s">
        <v>186</v>
      </c>
      <c r="Q64" s="58">
        <v>0.81944444444444442</v>
      </c>
      <c r="R64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4" s="57" cm="1">
        <f t="array" ref="S6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4" s="56" t="s">
        <v>971</v>
      </c>
      <c r="V64" s="56" t="s">
        <v>186</v>
      </c>
      <c r="W64" s="58">
        <v>0.81527777777777777</v>
      </c>
      <c r="X64" s="57">
        <f>IFERROR(IF(Table2[[#This Row],[Name]]="","",IFERROR(IF(Table2[[#This Row],[Time]]="","TBD",V$2-COUNTIF(Table2[Time],"&lt;"&amp;Table2[[#This Row],[Time]])),""))-(COUNTIF(Table2[Time],Table2[[#This Row],[Time]])-1),"")</f>
        <v>57</v>
      </c>
      <c r="Y64" s="57" cm="1">
        <f t="array" ref="Y6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4" s="56" t="s">
        <v>158</v>
      </c>
      <c r="AB64" s="56"/>
      <c r="AC64" s="58">
        <v>0.8041666666666667</v>
      </c>
      <c r="AD64" s="57">
        <f>IFERROR(IF(Table211[[#This Row],[Name]]="","",IFERROR(IF(Table211[[#This Row],[Time]]="","TBD",AB$2-COUNTIF(Table211[Time],"&lt;"&amp;Table211[[#This Row],[Time]])),""))-(COUNTIF(Table211[Time],Table211[[#This Row],[Time]])-1),"")</f>
        <v>57</v>
      </c>
      <c r="AE64" s="57" cm="1">
        <f t="array" ref="AE6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4" s="56" t="s">
        <v>899</v>
      </c>
      <c r="AH64" s="56" t="s">
        <v>186</v>
      </c>
      <c r="AI64" s="58">
        <v>0.80972222222222223</v>
      </c>
      <c r="AJ6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56</v>
      </c>
      <c r="AK64" s="57" cm="1">
        <f t="array" ref="AK6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4" s="56" t="s">
        <v>970</v>
      </c>
      <c r="AN64" s="56" t="s">
        <v>186</v>
      </c>
      <c r="AO64" s="58">
        <v>0.81736111111111109</v>
      </c>
      <c r="AP6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4" s="57" cm="1">
        <f t="array" ref="AQ6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4" s="105" t="s">
        <v>1070</v>
      </c>
      <c r="AT64" s="56" t="s">
        <v>186</v>
      </c>
      <c r="AU64" s="58">
        <v>0.82499999999999996</v>
      </c>
      <c r="AV6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4" s="57" cm="1">
        <f t="array" ref="AW6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4" s="56" t="s">
        <v>1008</v>
      </c>
      <c r="AZ64" s="56"/>
      <c r="BA64" s="58">
        <v>0.81874999999999998</v>
      </c>
      <c r="BB6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57</v>
      </c>
      <c r="BC64" s="57" cm="1">
        <f t="array" ref="BC6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4" s="56" t="s">
        <v>1056</v>
      </c>
      <c r="BF64" s="56" t="s">
        <v>186</v>
      </c>
      <c r="BG64" s="58">
        <v>0.82291666666666663</v>
      </c>
      <c r="BH6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4" s="57" cm="1">
        <f t="array" ref="BI6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4" s="56" t="s">
        <v>134</v>
      </c>
      <c r="BL64" s="56" t="s">
        <v>186</v>
      </c>
      <c r="BM64" s="58">
        <v>0.82152777777777775</v>
      </c>
      <c r="BN6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57</v>
      </c>
      <c r="BO64" s="57" cm="1">
        <f t="array" ref="BO6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4" s="56" t="s">
        <v>1072</v>
      </c>
      <c r="BR64" s="56"/>
      <c r="BS64" s="58">
        <v>0.8208333333333333</v>
      </c>
      <c r="BT6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57</v>
      </c>
      <c r="BU64" s="57" cm="1">
        <f t="array" ref="BU6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4" s="56" t="s">
        <v>160</v>
      </c>
      <c r="BX64" s="56"/>
      <c r="BY64" s="58">
        <v>0.80902777777777779</v>
      </c>
      <c r="BZ6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57</v>
      </c>
      <c r="CA64" s="57" cm="1">
        <f t="array" ref="CA6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4" s="56" t="s">
        <v>999</v>
      </c>
      <c r="CD64" s="56"/>
      <c r="CE64" s="58">
        <v>0.8125</v>
      </c>
      <c r="CF6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57</v>
      </c>
      <c r="CG64" s="57" cm="1">
        <f t="array" ref="CG6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4" s="56" t="s">
        <v>1077</v>
      </c>
      <c r="CJ64" s="56" t="s">
        <v>186</v>
      </c>
      <c r="CK64" s="58">
        <v>0.80763888888888891</v>
      </c>
      <c r="CL6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57</v>
      </c>
      <c r="CM64" s="57" cm="1">
        <f t="array" ref="CM6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4" s="56" t="s">
        <v>936</v>
      </c>
      <c r="CP64" s="56"/>
      <c r="CQ64" s="58">
        <v>6.9444444444444447E-4</v>
      </c>
      <c r="CR64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4" s="57" cm="1">
        <f t="array" ref="CS64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4" s="56" t="s">
        <v>933</v>
      </c>
      <c r="DB64" s="56"/>
      <c r="DC64" s="58">
        <v>0.82430555555555551</v>
      </c>
      <c r="DD6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56</v>
      </c>
      <c r="DE64" s="57" cm="1">
        <f t="array" ref="DE6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4" s="56" t="s">
        <v>1073</v>
      </c>
      <c r="DH64" s="56"/>
      <c r="DI64" s="58">
        <v>0.78333333333333333</v>
      </c>
      <c r="DJ64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57</v>
      </c>
      <c r="DK64" s="57" cm="1">
        <f t="array" ref="DK64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4" s="56" t="str">
        <f>IF('Weekly Attendance'!AA9="Yes",'Weekly Attendance'!$D9,"")</f>
        <v>Tyler Mah</v>
      </c>
      <c r="DN64" s="56"/>
      <c r="DO64" s="155">
        <v>0.79097222222222219</v>
      </c>
      <c r="DP64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77</v>
      </c>
      <c r="DQ64" s="57" cm="1">
        <f t="array" ref="DQ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5" spans="1:121">
      <c r="A65" s="16">
        <v>58</v>
      </c>
      <c r="B65" s="86"/>
      <c r="C65" s="56" t="s">
        <v>168</v>
      </c>
      <c r="D65" s="56" t="s">
        <v>186</v>
      </c>
      <c r="E65" s="58">
        <v>0.82152777777777775</v>
      </c>
      <c r="F65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5" s="57" cm="1">
        <f t="array" ref="G6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5" s="56" t="s">
        <v>105</v>
      </c>
      <c r="J65" s="56" t="s">
        <v>186</v>
      </c>
      <c r="K65" s="58">
        <v>0.80902777777777779</v>
      </c>
      <c r="L65" s="57">
        <f>IFERROR(IF(Table9[[#This Row],[Name]]="","",IFERROR(IF(Table9[[#This Row],[Time]]="","TBD",J$2-COUNTIF(Table9[Time],"&lt;"&amp;Table9[[#This Row],[Time]])),""))-(COUNTIF(Table9[Time],Table9[[#This Row],[Time]])-1),"")</f>
        <v>58</v>
      </c>
      <c r="M65" s="57" cm="1">
        <f t="array" ref="M6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5" s="56" t="s">
        <v>1078</v>
      </c>
      <c r="P65" s="56"/>
      <c r="Q65" s="58">
        <v>0.81944444444444442</v>
      </c>
      <c r="R65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5" s="57" cm="1">
        <f t="array" ref="S6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5" s="56" t="s">
        <v>890</v>
      </c>
      <c r="V65" s="56"/>
      <c r="W65" s="58">
        <v>0.8125</v>
      </c>
      <c r="X65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5" s="57" cm="1">
        <f t="array" ref="Y6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5" s="56" t="s">
        <v>894</v>
      </c>
      <c r="AB65" s="56" t="s">
        <v>186</v>
      </c>
      <c r="AC65" s="58">
        <v>0.80347222222222225</v>
      </c>
      <c r="AD65" s="57">
        <f>IFERROR(IF(Table211[[#This Row],[Name]]="","",IFERROR(IF(Table211[[#This Row],[Time]]="","TBD",AB$2-COUNTIF(Table211[Time],"&lt;"&amp;Table211[[#This Row],[Time]])),""))-(COUNTIF(Table211[Time],Table211[[#This Row],[Time]])-1),"")</f>
        <v>58</v>
      </c>
      <c r="AE65" s="57" cm="1">
        <f t="array" ref="AE6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5" s="56" t="s">
        <v>1016</v>
      </c>
      <c r="AH65" s="56" t="s">
        <v>186</v>
      </c>
      <c r="AI65" s="58">
        <v>0.80902777777777779</v>
      </c>
      <c r="AJ6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58</v>
      </c>
      <c r="AK65" s="57" cm="1">
        <f t="array" ref="AK6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5" s="56" t="s">
        <v>45</v>
      </c>
      <c r="AN65" s="56"/>
      <c r="AO65" s="58">
        <v>0.81736111111111109</v>
      </c>
      <c r="AP6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57</v>
      </c>
      <c r="AQ65" s="57" cm="1">
        <f t="array" ref="AQ6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5" s="56" t="s">
        <v>73</v>
      </c>
      <c r="AT65" s="56" t="s">
        <v>186</v>
      </c>
      <c r="AU65" s="58">
        <v>0.82499999999999996</v>
      </c>
      <c r="AV6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57</v>
      </c>
      <c r="AW65" s="57" cm="1">
        <f t="array" ref="AW6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5" s="56" t="s">
        <v>928</v>
      </c>
      <c r="AZ65" s="56" t="s">
        <v>186</v>
      </c>
      <c r="BA65" s="58">
        <v>0.81736111111111109</v>
      </c>
      <c r="BB6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5" s="57" cm="1">
        <f t="array" ref="BC6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5" s="56" t="s">
        <v>1079</v>
      </c>
      <c r="BF65" s="56"/>
      <c r="BG65" s="58">
        <v>0.82291666666666663</v>
      </c>
      <c r="BH6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57</v>
      </c>
      <c r="BI65" s="57" cm="1">
        <f t="array" ref="BI6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5" s="56" t="s">
        <v>123</v>
      </c>
      <c r="BL65" s="56"/>
      <c r="BM65" s="58">
        <v>0.82152777777777775</v>
      </c>
      <c r="BN6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57</v>
      </c>
      <c r="BO65" s="57" cm="1">
        <f t="array" ref="BO6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5" s="56" t="s">
        <v>174</v>
      </c>
      <c r="BR65" s="56"/>
      <c r="BS65" s="58">
        <v>0.82013888888888886</v>
      </c>
      <c r="BT6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58</v>
      </c>
      <c r="BU65" s="57" cm="1">
        <f t="array" ref="BU6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5" s="56" t="s">
        <v>963</v>
      </c>
      <c r="BX65" s="56" t="s">
        <v>186</v>
      </c>
      <c r="BY65" s="58">
        <v>0.80833333333333335</v>
      </c>
      <c r="BZ6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58</v>
      </c>
      <c r="CA65" s="57" cm="1">
        <f t="array" ref="CA6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5" s="56" t="s">
        <v>896</v>
      </c>
      <c r="CD65" s="56"/>
      <c r="CE65" s="58">
        <v>0.8125</v>
      </c>
      <c r="CF6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57</v>
      </c>
      <c r="CG65" s="57" cm="1">
        <f t="array" ref="CG6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5" s="56" t="s">
        <v>172</v>
      </c>
      <c r="CJ65" s="56" t="s">
        <v>186</v>
      </c>
      <c r="CK65" s="58">
        <v>0.80208333333333337</v>
      </c>
      <c r="CL65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58</v>
      </c>
      <c r="CM65" s="57" cm="1">
        <f t="array" ref="CM65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5" s="56" t="s">
        <v>966</v>
      </c>
      <c r="CP65" s="56" t="s">
        <v>186</v>
      </c>
      <c r="CQ65" s="58">
        <v>6.9444444444444447E-4</v>
      </c>
      <c r="CR65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5" s="57" cm="1">
        <f t="array" ref="CS65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5" s="56" t="s">
        <v>900</v>
      </c>
      <c r="DB65" s="56" t="s">
        <v>186</v>
      </c>
      <c r="DC65" s="58">
        <v>0.82291666666666663</v>
      </c>
      <c r="DD6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5" s="57" cm="1">
        <f t="array" ref="DE6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5" s="56" t="s">
        <v>101</v>
      </c>
      <c r="DH65" s="56"/>
      <c r="DI65" s="58">
        <v>0.77500000000000002</v>
      </c>
      <c r="DJ65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58</v>
      </c>
      <c r="DK65" s="57" cm="1">
        <f t="array" ref="DK65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5" s="56" t="str">
        <f>IF('Weekly Attendance'!AA57="Yes",'Weekly Attendance'!$D57,"")</f>
        <v>Pavel Tsymbalyuk</v>
      </c>
      <c r="DN65" s="56" t="s">
        <v>186</v>
      </c>
      <c r="DO65" s="155">
        <v>0.78541666666666665</v>
      </c>
      <c r="DP65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78</v>
      </c>
      <c r="DQ65" s="57" cm="1">
        <f t="array" ref="DQ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6" spans="1:121">
      <c r="A66" s="16">
        <v>59</v>
      </c>
      <c r="B66" s="86"/>
      <c r="C66" s="56" t="s">
        <v>1001</v>
      </c>
      <c r="D66" s="56"/>
      <c r="E66" s="58">
        <v>0.82152777777777775</v>
      </c>
      <c r="F66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6" s="57" cm="1">
        <f t="array" ref="G6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6" s="56" t="s">
        <v>895</v>
      </c>
      <c r="J66" s="56"/>
      <c r="K66" s="58">
        <v>0.80902777777777779</v>
      </c>
      <c r="L66" s="57">
        <f>IFERROR(IF(Table9[[#This Row],[Name]]="","",IFERROR(IF(Table9[[#This Row],[Time]]="","TBD",J$2-COUNTIF(Table9[Time],"&lt;"&amp;Table9[[#This Row],[Time]])),""))-(COUNTIF(Table9[Time],Table9[[#This Row],[Time]])-1),"")</f>
        <v>58</v>
      </c>
      <c r="M66" s="57" cm="1">
        <f t="array" ref="M6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6" s="56" t="s">
        <v>20</v>
      </c>
      <c r="P66" s="56" t="s">
        <v>186</v>
      </c>
      <c r="Q66" s="58">
        <v>0.81944444444444442</v>
      </c>
      <c r="R66" s="57">
        <f>IFERROR(IF(Table18[[#This Row],[Name]]="","",IFERROR(IF(Table18[[#This Row],[Time]]="","TBD",P$2-COUNTIF(Table18[Time],"&lt;"&amp;Table18[[#This Row],[Time]])),""))-(COUNTIF(Table18[Time],Table18[[#This Row],[Time]])-1),"")</f>
        <v>57</v>
      </c>
      <c r="S66" s="57" cm="1">
        <f t="array" ref="S6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6" s="56" t="s">
        <v>953</v>
      </c>
      <c r="V66" s="56" t="s">
        <v>186</v>
      </c>
      <c r="W66" s="58">
        <v>0.8125</v>
      </c>
      <c r="X66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6" s="57" cm="1">
        <f t="array" ref="Y6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6" s="56" t="s">
        <v>152</v>
      </c>
      <c r="AB66" s="56" t="s">
        <v>186</v>
      </c>
      <c r="AC66" s="58">
        <v>0.80277777777777781</v>
      </c>
      <c r="AD66" s="57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6" s="57" cm="1">
        <f t="array" ref="AE6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6" s="56" t="s">
        <v>47</v>
      </c>
      <c r="AH66" s="56" t="s">
        <v>186</v>
      </c>
      <c r="AI66" s="58">
        <v>0.80833333333333335</v>
      </c>
      <c r="AJ6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59</v>
      </c>
      <c r="AK66" s="57" cm="1">
        <f t="array" ref="AK6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6" s="56" t="s">
        <v>134</v>
      </c>
      <c r="AN66" s="56" t="s">
        <v>186</v>
      </c>
      <c r="AO66" s="58">
        <v>0.81527777777777777</v>
      </c>
      <c r="AP6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59</v>
      </c>
      <c r="AQ66" s="57" cm="1">
        <f t="array" ref="AQ6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6" s="56" t="s">
        <v>934</v>
      </c>
      <c r="AT66" s="56"/>
      <c r="AU66" s="58">
        <v>0.82430555555555551</v>
      </c>
      <c r="AV6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59</v>
      </c>
      <c r="AW66" s="57" cm="1">
        <f t="array" ref="AW6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6" s="56" t="s">
        <v>166</v>
      </c>
      <c r="AZ66" s="56"/>
      <c r="BA66" s="58">
        <v>0.81736111111111109</v>
      </c>
      <c r="BB6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6" s="57" cm="1">
        <f t="array" ref="BC6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6" s="56" t="s">
        <v>160</v>
      </c>
      <c r="BF66" s="56" t="s">
        <v>186</v>
      </c>
      <c r="BG66" s="58">
        <v>0.82152777777777775</v>
      </c>
      <c r="BH6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6" s="57" cm="1">
        <f t="array" ref="BI6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6" s="56" t="s">
        <v>962</v>
      </c>
      <c r="BL66" s="56" t="s">
        <v>186</v>
      </c>
      <c r="BM66" s="58">
        <v>0.82013888888888886</v>
      </c>
      <c r="BN6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6" s="57" cm="1">
        <f t="array" ref="BO6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6" s="56" t="s">
        <v>935</v>
      </c>
      <c r="BR66" s="56" t="s">
        <v>186</v>
      </c>
      <c r="BS66" s="58">
        <v>0.82013888888888886</v>
      </c>
      <c r="BT6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58</v>
      </c>
      <c r="BU66" s="57" cm="1">
        <f t="array" ref="BU6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6" s="56" t="s">
        <v>903</v>
      </c>
      <c r="BX66" s="56" t="s">
        <v>420</v>
      </c>
      <c r="BY66" s="58">
        <v>0.80694444444444446</v>
      </c>
      <c r="BZ6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6" s="57" cm="1">
        <f t="array" ref="CA6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6" s="56" t="s">
        <v>943</v>
      </c>
      <c r="CD66" s="56" t="s">
        <v>186</v>
      </c>
      <c r="CE66" s="58">
        <v>0.81111111111111112</v>
      </c>
      <c r="CF6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59</v>
      </c>
      <c r="CG66" s="57" cm="1">
        <f t="array" ref="CG6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6" s="56" t="s">
        <v>1028</v>
      </c>
      <c r="CJ66" s="56" t="s">
        <v>190</v>
      </c>
      <c r="CK66" s="58">
        <v>0.80208333333333337</v>
      </c>
      <c r="CL66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58</v>
      </c>
      <c r="CM66" s="57" cm="1">
        <f t="array" ref="CM66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CO66" s="56" t="s">
        <v>979</v>
      </c>
      <c r="CP66" s="56" t="s">
        <v>186</v>
      </c>
      <c r="CQ66" s="58">
        <v>6.9444444444444447E-4</v>
      </c>
      <c r="CR66" s="57">
        <f>IFERROR(IF(Table21112164202122232534353637[[#This Row],[Name]]="","",IFERROR(IF(Table21112164202122232534353637[[#This Row],[Time]]="","TBD",CP$2-COUNTIF(Table21112164202122232534353637[Time],"&lt;"&amp;Table21112164202122232534353637[[#This Row],[Time]])),""))-(COUNTIF(Table21112164202122232534353637[Time],Table21112164202122232534353637[[#This Row],[Time]])-1),"")</f>
        <v>57</v>
      </c>
      <c r="CS66" s="57" cm="1">
        <f t="array" ref="CS66">IF(ISNUMBER(Table21112164202122232534353637[[#This Row],[True Rank]])=TRUE,ROUNDUP(IF(Table21112164202122232534353637[[#This Row],[Rebuy]]="Yes",75%,100%)*_xlfn.IFS(Table21112164202122232534353637[[#This Row],[True Rank]]=Structures!$B$3,Structures!$D$3,Table21112164202122232534353637[[#This Row],[True Rank]]=Structures!$B$4,Structures!$D$4,Table21112164202122232534353637[[#This Row],[True Rank]]=Structures!$B$5,Structures!$D$5,Table21112164202122232534353637[[#This Row],[True Rank]]&lt;Structures!$C$6,Structures!$D$6,Table21112164202122232534353637[[#This Row],[True Rank]]&lt;=_xlfn.PERCENTILE.INC(_xlfn.SEQUENCE(MAX(Table21112164202122232534353637[True Rank])),Structures!$C$7),Structures!$D$7,Table21112164202122232534353637[[#This Row],[True Rank]]&lt;=_xlfn.PERCENTILE.INC(_xlfn.SEQUENCE(MAX(Table21112164202122232534353637[True Rank])),Structures!$C$8),Structures!$D$8,Table21112164202122232534353637[[#This Row],[True Rank]]&lt;=_xlfn.PERCENTILE.INC(_xlfn.SEQUENCE(MAX(Table21112164202122232534353637[True Rank])),Structures!$C$9),Structures!$D$9),0),Table21112164202122232534353637[[#This Row],[True Rank]])</f>
        <v>1</v>
      </c>
      <c r="DA66" s="56" t="s">
        <v>958</v>
      </c>
      <c r="DB66" s="56" t="s">
        <v>186</v>
      </c>
      <c r="DC66" s="58">
        <v>0.82291666666666663</v>
      </c>
      <c r="DD6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6" s="57" cm="1">
        <f t="array" ref="DE6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6" s="56" t="s">
        <v>986</v>
      </c>
      <c r="DH66" s="56" t="s">
        <v>186</v>
      </c>
      <c r="DI66" s="58">
        <v>0.76041666666666663</v>
      </c>
      <c r="DJ66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59</v>
      </c>
      <c r="DK66" s="57" cm="1">
        <f t="array" ref="DK66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6" s="56" t="str">
        <f>IF('Weekly Attendance'!AA228="Yes",'Weekly Attendance'!$D228,"")</f>
        <v>Leo Yang</v>
      </c>
      <c r="DN66" s="56" t="s">
        <v>186</v>
      </c>
      <c r="DO66" s="58">
        <v>0.78541666666666665</v>
      </c>
      <c r="DP66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78</v>
      </c>
      <c r="DQ66" s="57" cm="1">
        <f t="array" ref="DQ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7" spans="1:121">
      <c r="A67" s="16">
        <v>60</v>
      </c>
      <c r="B67" s="86"/>
      <c r="C67" s="106" t="s">
        <v>93</v>
      </c>
      <c r="D67" s="56"/>
      <c r="E67" s="58">
        <v>0.82152777777777775</v>
      </c>
      <c r="F67" s="57">
        <f>IFERROR(IF(Table4[[#This Row],[Name]]="","",IFERROR(IF(Table4[[#This Row],[Time]]="","TBD",D$2-COUNTIF(Table4[Time],"&lt;"&amp;Table4[[#This Row],[Time]])),""))-(COUNTIF(Table4[Time],Table4[[#This Row],[Time]])-1),"")</f>
        <v>58</v>
      </c>
      <c r="G67" s="57" cm="1">
        <f t="array" ref="G6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7" s="56" t="s">
        <v>1024</v>
      </c>
      <c r="J67" s="56" t="s">
        <v>186</v>
      </c>
      <c r="K67" s="58">
        <v>0.80833333333333335</v>
      </c>
      <c r="L67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7" s="57" cm="1">
        <f t="array" ref="M6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7" s="56" t="s">
        <v>911</v>
      </c>
      <c r="P67" s="56" t="s">
        <v>186</v>
      </c>
      <c r="Q67" s="58">
        <v>0.81874999999999998</v>
      </c>
      <c r="R67" s="57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7" s="57" cm="1">
        <f t="array" ref="S6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7" s="56" t="s">
        <v>166</v>
      </c>
      <c r="V67" s="56" t="s">
        <v>186</v>
      </c>
      <c r="W67" s="58">
        <v>0.8125</v>
      </c>
      <c r="X67" s="57">
        <f>IFERROR(IF(Table2[[#This Row],[Name]]="","",IFERROR(IF(Table2[[#This Row],[Time]]="","TBD",V$2-COUNTIF(Table2[Time],"&lt;"&amp;Table2[[#This Row],[Time]])),""))-(COUNTIF(Table2[Time],Table2[[#This Row],[Time]])-1),"")</f>
        <v>58</v>
      </c>
      <c r="Y67" s="57" cm="1">
        <f t="array" ref="Y6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7" s="56" t="s">
        <v>967</v>
      </c>
      <c r="AB67" s="56" t="s">
        <v>186</v>
      </c>
      <c r="AC67" s="58">
        <v>0.80277777777777781</v>
      </c>
      <c r="AD67" s="57">
        <f>IFERROR(IF(Table211[[#This Row],[Name]]="","",IFERROR(IF(Table211[[#This Row],[Time]]="","TBD",AB$2-COUNTIF(Table211[Time],"&lt;"&amp;Table211[[#This Row],[Time]])),""))-(COUNTIF(Table211[Time],Table211[[#This Row],[Time]])-1),"")</f>
        <v>59</v>
      </c>
      <c r="AE67" s="57" cm="1">
        <f t="array" ref="AE6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7" s="56" t="s">
        <v>891</v>
      </c>
      <c r="AH67" s="56" t="s">
        <v>186</v>
      </c>
      <c r="AI67" s="58">
        <v>0.80763888888888891</v>
      </c>
      <c r="AJ6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60</v>
      </c>
      <c r="AK67" s="57" cm="1">
        <f t="array" ref="AK6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7" s="56" t="s">
        <v>965</v>
      </c>
      <c r="AN67" s="56" t="s">
        <v>186</v>
      </c>
      <c r="AO67" s="58">
        <v>0.81388888888888888</v>
      </c>
      <c r="AP6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60</v>
      </c>
      <c r="AQ67" s="57" cm="1">
        <f t="array" ref="AQ6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7" s="56" t="s">
        <v>993</v>
      </c>
      <c r="AT67" s="56" t="s">
        <v>186</v>
      </c>
      <c r="AU67" s="58">
        <v>0.82222222222222219</v>
      </c>
      <c r="AV6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60</v>
      </c>
      <c r="AW67" s="57" cm="1">
        <f t="array" ref="AW6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7" s="56" t="s">
        <v>172</v>
      </c>
      <c r="AZ67" s="56"/>
      <c r="BA67" s="58">
        <v>0.81736111111111109</v>
      </c>
      <c r="BB6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58</v>
      </c>
      <c r="BC67" s="57" cm="1">
        <f t="array" ref="BC6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7" s="56" t="s">
        <v>931</v>
      </c>
      <c r="BF67" s="56" t="s">
        <v>186</v>
      </c>
      <c r="BG67" s="58">
        <v>0.82152777777777775</v>
      </c>
      <c r="BH6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59</v>
      </c>
      <c r="BI67" s="57" cm="1">
        <f t="array" ref="BI6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7" s="56" t="s">
        <v>973</v>
      </c>
      <c r="BL67" s="56" t="s">
        <v>186</v>
      </c>
      <c r="BM67" s="58">
        <v>0.82013888888888886</v>
      </c>
      <c r="BN6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7" s="57" cm="1">
        <f t="array" ref="BO6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7" s="56" t="s">
        <v>964</v>
      </c>
      <c r="BR67" s="56"/>
      <c r="BS67" s="58">
        <v>0.81944444444444442</v>
      </c>
      <c r="BT6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60</v>
      </c>
      <c r="BU67" s="57" cm="1">
        <f t="array" ref="BU6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7" s="56" t="s">
        <v>961</v>
      </c>
      <c r="BX67" s="56" t="s">
        <v>186</v>
      </c>
      <c r="BY67" s="58">
        <v>0.80694444444444446</v>
      </c>
      <c r="BZ6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7" s="57" cm="1">
        <f t="array" ref="CA6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7" s="56" t="s">
        <v>900</v>
      </c>
      <c r="CD67" s="56" t="s">
        <v>186</v>
      </c>
      <c r="CE67" s="58">
        <v>0.80925925925925923</v>
      </c>
      <c r="CF6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60</v>
      </c>
      <c r="CG67" s="57" cm="1">
        <f t="array" ref="CG6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7" s="56" t="s">
        <v>111</v>
      </c>
      <c r="CJ67" s="56" t="s">
        <v>186</v>
      </c>
      <c r="CK67" s="58">
        <v>0.79861111111111116</v>
      </c>
      <c r="CL67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60</v>
      </c>
      <c r="CM67" s="57" cm="1">
        <f t="array" ref="CM67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7" s="56" t="s">
        <v>976</v>
      </c>
      <c r="DB67" s="56"/>
      <c r="DC67" s="58">
        <v>0.82291666666666663</v>
      </c>
      <c r="DD6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7" s="57" cm="1">
        <f t="array" ref="DE6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G67" s="56" t="s">
        <v>1040</v>
      </c>
      <c r="DH67" s="56" t="s">
        <v>186</v>
      </c>
      <c r="DI67" s="58">
        <v>0.75</v>
      </c>
      <c r="DJ67" s="57">
        <f>IFERROR(IF(Table211121642021222325343536373841[[#This Row],[Name]]="","",IFERROR(IF(Table211121642021222325343536373841[[#This Row],[Time]]="","TBD",DH$2-COUNTIF(Table211121642021222325343536373841[Time],"&lt;"&amp;Table211121642021222325343536373841[[#This Row],[Time]])),""))-(COUNTIF(Table211121642021222325343536373841[Time],Table211121642021222325343536373841[[#This Row],[Time]])-1),"")</f>
        <v>60</v>
      </c>
      <c r="DK67" s="57" cm="1">
        <f t="array" ref="DK67">IF(ISNUMBER(Table211121642021222325343536373841[[#This Row],[True Rank]])=TRUE,ROUNDUP(IF(Table211121642021222325343536373841[[#This Row],[Rebuy]]="Yes",75%,100%)*_xlfn.IFS(Table211121642021222325343536373841[[#This Row],[True Rank]]=Structures!$B$3,Structures!$D$3,Table211121642021222325343536373841[[#This Row],[True Rank]]=Structures!$B$4,Structures!$D$4,Table211121642021222325343536373841[[#This Row],[True Rank]]=Structures!$B$5,Structures!$D$5,Table211121642021222325343536373841[[#This Row],[True Rank]]&lt;Structures!$C$6,Structures!$D$6,Table211121642021222325343536373841[[#This Row],[True Rank]]&lt;=_xlfn.PERCENTILE.INC(_xlfn.SEQUENCE(MAX(Table211121642021222325343536373841[True Rank])),Structures!$C$7),Structures!$D$7,Table211121642021222325343536373841[[#This Row],[True Rank]]&lt;=_xlfn.PERCENTILE.INC(_xlfn.SEQUENCE(MAX(Table211121642021222325343536373841[True Rank])),Structures!$C$8),Structures!$D$8,Table211121642021222325343536373841[[#This Row],[True Rank]]&lt;=_xlfn.PERCENTILE.INC(_xlfn.SEQUENCE(MAX(Table211121642021222325343536373841[True Rank])),Structures!$C$9),Structures!$D$9),0),Table211121642021222325343536373841[[#This Row],[True Rank]])</f>
        <v>1</v>
      </c>
      <c r="DM67" s="56" t="str">
        <f>IF('Weekly Attendance'!AA334="Yes",'Weekly Attendance'!$D334,"")</f>
        <v>Vik Anandkmar</v>
      </c>
      <c r="DN67" s="56" t="s">
        <v>186</v>
      </c>
      <c r="DO67" s="58">
        <v>0.78472222222222221</v>
      </c>
      <c r="DP67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80</v>
      </c>
      <c r="DQ67" s="57" cm="1">
        <f t="array" ref="DQ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8" spans="1:121">
      <c r="A68" s="16">
        <v>61</v>
      </c>
      <c r="B68" s="86"/>
      <c r="C68" s="56" t="s">
        <v>993</v>
      </c>
      <c r="D68" s="56" t="s">
        <v>186</v>
      </c>
      <c r="E68" s="58">
        <v>0.82013888888888886</v>
      </c>
      <c r="F68" s="57">
        <f>IFERROR(IF(Table4[[#This Row],[Name]]="","",IFERROR(IF(Table4[[#This Row],[Time]]="","TBD",D$2-COUNTIF(Table4[Time],"&lt;"&amp;Table4[[#This Row],[Time]])),""))-(COUNTIF(Table4[Time],Table4[[#This Row],[Time]])-1),"")</f>
        <v>61</v>
      </c>
      <c r="G68" s="57" cm="1">
        <f t="array" ref="G6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8" s="56" t="s">
        <v>23</v>
      </c>
      <c r="J68" s="56" t="s">
        <v>186</v>
      </c>
      <c r="K68" s="58">
        <v>0.80833333333333335</v>
      </c>
      <c r="L68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8" s="57" cm="1">
        <f t="array" ref="M6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8" s="56" t="s">
        <v>1018</v>
      </c>
      <c r="P68" s="56"/>
      <c r="Q68" s="58">
        <v>0.81874999999999998</v>
      </c>
      <c r="R68" s="57">
        <f>IFERROR(IF(Table18[[#This Row],[Name]]="","",IFERROR(IF(Table18[[#This Row],[Time]]="","TBD",P$2-COUNTIF(Table18[Time],"&lt;"&amp;Table18[[#This Row],[Time]])),""))-(COUNTIF(Table18[Time],Table18[[#This Row],[Time]])-1),"")</f>
        <v>60</v>
      </c>
      <c r="S68" s="57" cm="1">
        <f t="array" ref="S6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8" s="56" t="s">
        <v>1053</v>
      </c>
      <c r="V68" s="56"/>
      <c r="W68" s="58">
        <v>0.81180555555555556</v>
      </c>
      <c r="X68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68" s="57" cm="1">
        <f t="array" ref="Y6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8" s="56" t="s">
        <v>1080</v>
      </c>
      <c r="AB68" s="56" t="s">
        <v>186</v>
      </c>
      <c r="AC68" s="58">
        <v>0.80069444444444449</v>
      </c>
      <c r="AD68" s="57">
        <f>IFERROR(IF(Table211[[#This Row],[Name]]="","",IFERROR(IF(Table211[[#This Row],[Time]]="","TBD",AB$2-COUNTIF(Table211[Time],"&lt;"&amp;Table211[[#This Row],[Time]])),""))-(COUNTIF(Table211[Time],Table211[[#This Row],[Time]])-1),"")</f>
        <v>61</v>
      </c>
      <c r="AE68" s="57" cm="1">
        <f t="array" ref="AE6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8" s="105" t="s">
        <v>1081</v>
      </c>
      <c r="AH68" s="56" t="s">
        <v>186</v>
      </c>
      <c r="AI68" s="58">
        <v>0.80625000000000002</v>
      </c>
      <c r="AJ6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61</v>
      </c>
      <c r="AK68" s="57" cm="1">
        <f t="array" ref="AK6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8" s="56" t="s">
        <v>900</v>
      </c>
      <c r="AN68" s="56" t="s">
        <v>186</v>
      </c>
      <c r="AO68" s="58">
        <v>0.81180555555555556</v>
      </c>
      <c r="AP6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61</v>
      </c>
      <c r="AQ68" s="57" cm="1">
        <f t="array" ref="AQ6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8" s="56" t="s">
        <v>896</v>
      </c>
      <c r="AT68" s="56" t="s">
        <v>186</v>
      </c>
      <c r="AU68" s="58">
        <v>0.82152777777777775</v>
      </c>
      <c r="AV6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8" s="57" cm="1">
        <f t="array" ref="AW6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8" s="56" t="s">
        <v>123</v>
      </c>
      <c r="AZ68" s="56"/>
      <c r="BA68" s="58">
        <v>0.81666666666666665</v>
      </c>
      <c r="BB6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61</v>
      </c>
      <c r="BC68" s="57" cm="1">
        <f t="array" ref="BC6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8" s="56" t="s">
        <v>908</v>
      </c>
      <c r="BF68" s="56" t="s">
        <v>186</v>
      </c>
      <c r="BG68" s="58">
        <v>0.81944444444444442</v>
      </c>
      <c r="BH6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8" s="57" cm="1">
        <f t="array" ref="BI6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8" s="56" t="s">
        <v>1046</v>
      </c>
      <c r="BL68" s="56" t="s">
        <v>186</v>
      </c>
      <c r="BM68" s="58">
        <v>0.82013888888888886</v>
      </c>
      <c r="BN6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59</v>
      </c>
      <c r="BO68" s="57" cm="1">
        <f t="array" ref="BO6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8" s="56" t="s">
        <v>1043</v>
      </c>
      <c r="BR68" s="56"/>
      <c r="BS68" s="58">
        <v>0.81805555555555554</v>
      </c>
      <c r="BT6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61</v>
      </c>
      <c r="BU68" s="57" cm="1">
        <f t="array" ref="BU6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8" s="56" t="s">
        <v>932</v>
      </c>
      <c r="BX68" s="56" t="s">
        <v>186</v>
      </c>
      <c r="BY68" s="58">
        <v>0.80694444444444446</v>
      </c>
      <c r="BZ6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8" s="57" cm="1">
        <f t="array" ref="CA6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8" s="56" t="s">
        <v>908</v>
      </c>
      <c r="CD68" s="56" t="s">
        <v>186</v>
      </c>
      <c r="CE68" s="58">
        <v>0.80902777777777779</v>
      </c>
      <c r="CF6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61</v>
      </c>
      <c r="CG68" s="57" cm="1">
        <f t="array" ref="CG6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8" s="56" t="s">
        <v>902</v>
      </c>
      <c r="CJ68" s="56" t="s">
        <v>186</v>
      </c>
      <c r="CK68" s="58">
        <v>0.79583333333333328</v>
      </c>
      <c r="CL68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61</v>
      </c>
      <c r="CM68" s="57" cm="1">
        <f t="array" ref="CM68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8" s="56" t="s">
        <v>903</v>
      </c>
      <c r="DB68" s="56"/>
      <c r="DC68" s="58">
        <v>0.82291666666666663</v>
      </c>
      <c r="DD6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58</v>
      </c>
      <c r="DE68" s="57" cm="1">
        <f t="array" ref="DE6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68" s="56" t="str">
        <f>IF('Weekly Attendance'!AA56="Yes",'Weekly Attendance'!$D56,"")</f>
        <v>Pari Shah</v>
      </c>
      <c r="DN68" s="56" t="s">
        <v>186</v>
      </c>
      <c r="DO68" s="155">
        <v>0.77847222222222223</v>
      </c>
      <c r="DP68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81</v>
      </c>
      <c r="DQ68" s="57" cm="1">
        <f t="array" ref="DQ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69" spans="1:121">
      <c r="A69" s="16">
        <v>62</v>
      </c>
      <c r="B69" s="86"/>
      <c r="C69" s="56" t="s">
        <v>38</v>
      </c>
      <c r="D69" s="56" t="s">
        <v>186</v>
      </c>
      <c r="E69" s="58">
        <v>0.81944444444444442</v>
      </c>
      <c r="F69" s="57">
        <f>IFERROR(IF(Table4[[#This Row],[Name]]="","",IFERROR(IF(Table4[[#This Row],[Time]]="","TBD",D$2-COUNTIF(Table4[Time],"&lt;"&amp;Table4[[#This Row],[Time]])),""))-(COUNTIF(Table4[Time],Table4[[#This Row],[Time]])-1),"")</f>
        <v>62</v>
      </c>
      <c r="G69" s="57" cm="1">
        <f t="array" ref="G6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69" s="56" t="s">
        <v>1052</v>
      </c>
      <c r="J69" s="56" t="s">
        <v>186</v>
      </c>
      <c r="K69" s="58">
        <v>0.80833333333333335</v>
      </c>
      <c r="L69" s="57">
        <f>IFERROR(IF(Table9[[#This Row],[Name]]="","",IFERROR(IF(Table9[[#This Row],[Time]]="","TBD",J$2-COUNTIF(Table9[Time],"&lt;"&amp;Table9[[#This Row],[Time]])),""))-(COUNTIF(Table9[Time],Table9[[#This Row],[Time]])-1),"")</f>
        <v>60</v>
      </c>
      <c r="M69" s="57" cm="1">
        <f t="array" ref="M6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69" s="56" t="s">
        <v>1082</v>
      </c>
      <c r="P69" s="56" t="s">
        <v>186</v>
      </c>
      <c r="Q69" s="58">
        <v>0.81805555555555554</v>
      </c>
      <c r="R69" s="57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69" s="57" cm="1">
        <f t="array" ref="S6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69" s="56" t="s">
        <v>32</v>
      </c>
      <c r="V69" s="56" t="s">
        <v>186</v>
      </c>
      <c r="W69" s="58">
        <v>0.81180555555555556</v>
      </c>
      <c r="X69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69" s="57" cm="1">
        <f t="array" ref="Y6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69" s="56" t="s">
        <v>61</v>
      </c>
      <c r="AB69" s="56" t="s">
        <v>186</v>
      </c>
      <c r="AC69" s="58">
        <v>0.8</v>
      </c>
      <c r="AD69" s="57">
        <f>IFERROR(IF(Table211[[#This Row],[Name]]="","",IFERROR(IF(Table211[[#This Row],[Time]]="","TBD",AB$2-COUNTIF(Table211[Time],"&lt;"&amp;Table211[[#This Row],[Time]])),""))-(COUNTIF(Table211[Time],Table211[[#This Row],[Time]])-1),"")</f>
        <v>62</v>
      </c>
      <c r="AE69" s="57" cm="1">
        <f t="array" ref="AE6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69" s="56" t="s">
        <v>41</v>
      </c>
      <c r="AH69" s="56" t="s">
        <v>186</v>
      </c>
      <c r="AI69" s="58">
        <v>0.80555555555555558</v>
      </c>
      <c r="AJ6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62</v>
      </c>
      <c r="AK69" s="57" cm="1">
        <f t="array" ref="AK6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69" s="56" t="s">
        <v>954</v>
      </c>
      <c r="AN69" s="56"/>
      <c r="AO69" s="58">
        <v>0.81041666666666667</v>
      </c>
      <c r="AP6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62</v>
      </c>
      <c r="AQ69" s="57" cm="1">
        <f t="array" ref="AQ6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69" s="56" t="s">
        <v>38</v>
      </c>
      <c r="AT69" s="56" t="s">
        <v>186</v>
      </c>
      <c r="AU69" s="58">
        <v>0.82152777777777775</v>
      </c>
      <c r="AV6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61</v>
      </c>
      <c r="AW69" s="57" cm="1">
        <f t="array" ref="AW6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69" s="56" t="s">
        <v>150</v>
      </c>
      <c r="AZ69" s="56" t="s">
        <v>186</v>
      </c>
      <c r="BA69" s="58">
        <v>0.81458333333333333</v>
      </c>
      <c r="BB6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69" s="57" cm="1">
        <f t="array" ref="BC6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69" s="56" t="s">
        <v>989</v>
      </c>
      <c r="BF69" s="56" t="s">
        <v>186</v>
      </c>
      <c r="BG69" s="58">
        <v>0.81944444444444442</v>
      </c>
      <c r="BH6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61</v>
      </c>
      <c r="BI69" s="57" cm="1">
        <f t="array" ref="BI6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69" s="56" t="s">
        <v>991</v>
      </c>
      <c r="BL69" s="56"/>
      <c r="BM69" s="58">
        <v>0.81944444444444442</v>
      </c>
      <c r="BN6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69" s="57" cm="1">
        <f t="array" ref="BO6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69" s="56" t="s">
        <v>918</v>
      </c>
      <c r="BR69" s="56"/>
      <c r="BS69" s="58">
        <v>0.81805555555555554</v>
      </c>
      <c r="BT6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61</v>
      </c>
      <c r="BU69" s="57" cm="1">
        <f t="array" ref="BU6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69" s="56" t="s">
        <v>53</v>
      </c>
      <c r="BX69" s="56"/>
      <c r="BY69" s="58">
        <v>0.80694444444444446</v>
      </c>
      <c r="BZ6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59</v>
      </c>
      <c r="CA69" s="57" cm="1">
        <f t="array" ref="CA6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69" s="56" t="s">
        <v>109</v>
      </c>
      <c r="CD69" s="56" t="s">
        <v>186</v>
      </c>
      <c r="CE69" s="58">
        <v>0.80694444444444446</v>
      </c>
      <c r="CF6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62</v>
      </c>
      <c r="CG69" s="57" cm="1">
        <f t="array" ref="CG6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69" s="56" t="s">
        <v>103</v>
      </c>
      <c r="CJ69" s="56" t="s">
        <v>186</v>
      </c>
      <c r="CK69" s="58">
        <v>0.79583333333333328</v>
      </c>
      <c r="CL69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61</v>
      </c>
      <c r="CM69" s="57" cm="1">
        <f t="array" ref="CM69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69" s="56" t="s">
        <v>1002</v>
      </c>
      <c r="DB69" s="56" t="s">
        <v>186</v>
      </c>
      <c r="DC69" s="58">
        <v>0.82152777777777775</v>
      </c>
      <c r="DD6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62</v>
      </c>
      <c r="DE69" s="57" cm="1">
        <f t="array" ref="DE6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69" s="56" t="str">
        <f>IF('Weekly Attendance'!AA17="Yes",'Weekly Attendance'!$D17,"")</f>
        <v>Sam Ahn</v>
      </c>
      <c r="DN69" s="56" t="s">
        <v>186</v>
      </c>
      <c r="DO69" s="155">
        <v>0.77013888888888893</v>
      </c>
      <c r="DP69" s="57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>82</v>
      </c>
      <c r="DQ69" s="57" cm="1">
        <f t="array" ref="DQ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>1</v>
      </c>
    </row>
    <row r="70" spans="1:121">
      <c r="A70" s="16">
        <v>63</v>
      </c>
      <c r="B70" s="86"/>
      <c r="C70" s="56" t="s">
        <v>889</v>
      </c>
      <c r="D70" s="56" t="s">
        <v>186</v>
      </c>
      <c r="E70" s="58">
        <v>0.81736111111111109</v>
      </c>
      <c r="F70" s="57">
        <f>IFERROR(IF(Table4[[#This Row],[Name]]="","",IFERROR(IF(Table4[[#This Row],[Time]]="","TBD",D$2-COUNTIF(Table4[Time],"&lt;"&amp;Table4[[#This Row],[Time]])),""))-(COUNTIF(Table4[Time],Table4[[#This Row],[Time]])-1),"")</f>
        <v>63</v>
      </c>
      <c r="G70" s="57" cm="1">
        <f t="array" ref="G7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0" s="56" t="s">
        <v>1041</v>
      </c>
      <c r="J70" s="56" t="s">
        <v>186</v>
      </c>
      <c r="K70" s="58">
        <v>0.80694444444444446</v>
      </c>
      <c r="L70" s="57">
        <f>IFERROR(IF(Table9[[#This Row],[Name]]="","",IFERROR(IF(Table9[[#This Row],[Time]]="","TBD",J$2-COUNTIF(Table9[Time],"&lt;"&amp;Table9[[#This Row],[Time]])),""))-(COUNTIF(Table9[Time],Table9[[#This Row],[Time]])-1),"")</f>
        <v>63</v>
      </c>
      <c r="M70" s="57" cm="1">
        <f t="array" ref="M7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0" s="56" t="s">
        <v>1083</v>
      </c>
      <c r="P70" s="56"/>
      <c r="Q70" s="58">
        <v>0.81805555555555554</v>
      </c>
      <c r="R70" s="57">
        <f>IFERROR(IF(Table18[[#This Row],[Name]]="","",IFERROR(IF(Table18[[#This Row],[Time]]="","TBD",P$2-COUNTIF(Table18[Time],"&lt;"&amp;Table18[[#This Row],[Time]])),""))-(COUNTIF(Table18[Time],Table18[[#This Row],[Time]])-1),"")</f>
        <v>62</v>
      </c>
      <c r="S70" s="57" cm="1">
        <f t="array" ref="S7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0" s="56" t="s">
        <v>934</v>
      </c>
      <c r="V70" s="56" t="s">
        <v>186</v>
      </c>
      <c r="W70" s="58">
        <v>0.81180555555555556</v>
      </c>
      <c r="X70" s="57">
        <f>IFERROR(IF(Table2[[#This Row],[Name]]="","",IFERROR(IF(Table2[[#This Row],[Time]]="","TBD",V$2-COUNTIF(Table2[Time],"&lt;"&amp;Table2[[#This Row],[Time]])),""))-(COUNTIF(Table2[Time],Table2[[#This Row],[Time]])-1),"")</f>
        <v>61</v>
      </c>
      <c r="Y70" s="57" cm="1">
        <f t="array" ref="Y7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0" s="56" t="s">
        <v>1084</v>
      </c>
      <c r="AB70" s="56" t="s">
        <v>186</v>
      </c>
      <c r="AC70" s="58">
        <v>0.79722222222222228</v>
      </c>
      <c r="AD70" s="57">
        <f>IFERROR(IF(Table211[[#This Row],[Name]]="","",IFERROR(IF(Table211[[#This Row],[Time]]="","TBD",AB$2-COUNTIF(Table211[Time],"&lt;"&amp;Table211[[#This Row],[Time]])),""))-(COUNTIF(Table211[Time],Table211[[#This Row],[Time]])-1),"")</f>
        <v>63</v>
      </c>
      <c r="AE70" s="57" cm="1">
        <f t="array" ref="AE70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0" s="56" t="s">
        <v>947</v>
      </c>
      <c r="AH70" s="56" t="s">
        <v>186</v>
      </c>
      <c r="AI70" s="58">
        <v>0.80486111111111114</v>
      </c>
      <c r="AJ7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0" s="57" cm="1">
        <f t="array" ref="AK7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0" s="56" t="s">
        <v>949</v>
      </c>
      <c r="AN70" s="56"/>
      <c r="AO70" s="58">
        <v>0.80972222222222223</v>
      </c>
      <c r="AP7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0" s="57" cm="1">
        <f t="array" ref="AQ7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0" s="56" t="s">
        <v>109</v>
      </c>
      <c r="AT70" s="56" t="s">
        <v>186</v>
      </c>
      <c r="AU70" s="58">
        <v>0.8208333333333333</v>
      </c>
      <c r="AV7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63</v>
      </c>
      <c r="AW70" s="57" cm="1">
        <f t="array" ref="AW7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0" s="56" t="s">
        <v>152</v>
      </c>
      <c r="AZ70" s="56" t="s">
        <v>186</v>
      </c>
      <c r="BA70" s="58">
        <v>0.81458333333333333</v>
      </c>
      <c r="BB7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62</v>
      </c>
      <c r="BC70" s="57" cm="1">
        <f t="array" ref="BC7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0" s="56" t="s">
        <v>901</v>
      </c>
      <c r="BF70" s="56" t="s">
        <v>186</v>
      </c>
      <c r="BG70" s="58">
        <v>0.81527777777777777</v>
      </c>
      <c r="BH7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63</v>
      </c>
      <c r="BI70" s="57" cm="1">
        <f t="array" ref="BI7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0" s="56" t="s">
        <v>144</v>
      </c>
      <c r="BL70" s="56" t="s">
        <v>186</v>
      </c>
      <c r="BM70" s="58">
        <v>0.81944444444444442</v>
      </c>
      <c r="BN7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70" s="57" cm="1">
        <f t="array" ref="BO7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0" s="56" t="s">
        <v>158</v>
      </c>
      <c r="BR70" s="56" t="s">
        <v>186</v>
      </c>
      <c r="BS70" s="58">
        <v>0.81736111111111109</v>
      </c>
      <c r="BT7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63</v>
      </c>
      <c r="BU70" s="57" cm="1">
        <f t="array" ref="BU7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0" s="56" t="s">
        <v>934</v>
      </c>
      <c r="BX70" s="56" t="s">
        <v>186</v>
      </c>
      <c r="BY70" s="58">
        <v>0.80486111111111114</v>
      </c>
      <c r="BZ7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63</v>
      </c>
      <c r="CA70" s="57" cm="1">
        <f t="array" ref="CA7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0" s="56" t="s">
        <v>897</v>
      </c>
      <c r="CD70" s="56"/>
      <c r="CE70" s="58">
        <v>0.80486111111111114</v>
      </c>
      <c r="CF7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63</v>
      </c>
      <c r="CG70" s="57" cm="1">
        <f t="array" ref="CG7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0" s="56" t="s">
        <v>129</v>
      </c>
      <c r="CJ70" s="56" t="s">
        <v>186</v>
      </c>
      <c r="CK70" s="58">
        <v>0.79236111111111107</v>
      </c>
      <c r="CL70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63</v>
      </c>
      <c r="CM70" s="57" cm="1">
        <f t="array" ref="CM70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0" s="56" t="s">
        <v>956</v>
      </c>
      <c r="DB70" s="56" t="s">
        <v>186</v>
      </c>
      <c r="DC70" s="58">
        <v>0.82152777777777775</v>
      </c>
      <c r="DD7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62</v>
      </c>
      <c r="DE70" s="57" cm="1">
        <f t="array" ref="DE7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0" s="56" t="str">
        <f>IF('Weekly Attendance'!AA347="Yes",'Weekly Attendance'!$D347,"")</f>
        <v>Zachary Hersi</v>
      </c>
      <c r="DN70" s="56"/>
      <c r="DO70" s="58"/>
      <c r="DP7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0" s="57" t="str" cm="1">
        <f t="array" ref="DQ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1" spans="1:121">
      <c r="A71" s="16">
        <v>64</v>
      </c>
      <c r="B71" s="86"/>
      <c r="C71" s="56" t="s">
        <v>66</v>
      </c>
      <c r="D71" s="56"/>
      <c r="E71" s="58">
        <v>0.81736111111111109</v>
      </c>
      <c r="F71" s="57">
        <f>IFERROR(IF(Table4[[#This Row],[Name]]="","",IFERROR(IF(Table4[[#This Row],[Time]]="","TBD",D$2-COUNTIF(Table4[Time],"&lt;"&amp;Table4[[#This Row],[Time]])),""))-(COUNTIF(Table4[Time],Table4[[#This Row],[Time]])-1),"")</f>
        <v>63</v>
      </c>
      <c r="G71" s="57" cm="1">
        <f t="array" ref="G7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1" s="56" t="s">
        <v>970</v>
      </c>
      <c r="J71" s="56"/>
      <c r="K71" s="58">
        <v>0.80486111111111114</v>
      </c>
      <c r="L71" s="57">
        <f>IFERROR(IF(Table9[[#This Row],[Name]]="","",IFERROR(IF(Table9[[#This Row],[Time]]="","TBD",J$2-COUNTIF(Table9[Time],"&lt;"&amp;Table9[[#This Row],[Time]])),""))-(COUNTIF(Table9[Time],Table9[[#This Row],[Time]])-1),"")</f>
        <v>64</v>
      </c>
      <c r="M71" s="57" cm="1">
        <f t="array" ref="M7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1" s="56" t="s">
        <v>1085</v>
      </c>
      <c r="P71" s="56" t="s">
        <v>186</v>
      </c>
      <c r="Q71" s="58">
        <v>0.81736111111111109</v>
      </c>
      <c r="R71" s="57">
        <f>IFERROR(IF(Table18[[#This Row],[Name]]="","",IFERROR(IF(Table18[[#This Row],[Time]]="","TBD",P$2-COUNTIF(Table18[Time],"&lt;"&amp;Table18[[#This Row],[Time]])),""))-(COUNTIF(Table18[Time],Table18[[#This Row],[Time]])-1),"")</f>
        <v>64</v>
      </c>
      <c r="S71" s="57" cm="1">
        <f t="array" ref="S7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1" s="56" t="s">
        <v>1086</v>
      </c>
      <c r="V71" s="56"/>
      <c r="W71" s="58">
        <v>0.81111111111111112</v>
      </c>
      <c r="X71" s="57">
        <f>IFERROR(IF(Table2[[#This Row],[Name]]="","",IFERROR(IF(Table2[[#This Row],[Time]]="","TBD",V$2-COUNTIF(Table2[Time],"&lt;"&amp;Table2[[#This Row],[Time]])),""))-(COUNTIF(Table2[Time],Table2[[#This Row],[Time]])-1),"")</f>
        <v>64</v>
      </c>
      <c r="Y71" s="57" cm="1">
        <f t="array" ref="Y7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1" s="56" t="s">
        <v>115</v>
      </c>
      <c r="AB71" s="56" t="s">
        <v>186</v>
      </c>
      <c r="AC71" s="58">
        <v>0.79652777777777772</v>
      </c>
      <c r="AD71" s="57">
        <f>IFERROR(IF(Table211[[#This Row],[Name]]="","",IFERROR(IF(Table211[[#This Row],[Time]]="","TBD",AB$2-COUNTIF(Table211[Time],"&lt;"&amp;Table211[[#This Row],[Time]])),""))-(COUNTIF(Table211[Time],Table211[[#This Row],[Time]])-1),"")</f>
        <v>64</v>
      </c>
      <c r="AE71" s="57" cm="1">
        <f t="array" ref="AE71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1" s="56" t="s">
        <v>1029</v>
      </c>
      <c r="AH71" s="56" t="s">
        <v>186</v>
      </c>
      <c r="AI71" s="58">
        <v>0.80486111111111114</v>
      </c>
      <c r="AJ7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63</v>
      </c>
      <c r="AK71" s="57" cm="1">
        <f t="array" ref="AK7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1" s="105" t="s">
        <v>1028</v>
      </c>
      <c r="AN71" s="56" t="s">
        <v>186</v>
      </c>
      <c r="AO71" s="58">
        <v>0.80972222222222223</v>
      </c>
      <c r="AP7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63</v>
      </c>
      <c r="AQ71" s="57" cm="1">
        <f t="array" ref="AQ7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1" s="56" t="s">
        <v>886</v>
      </c>
      <c r="AT71" s="56" t="s">
        <v>186</v>
      </c>
      <c r="AU71" s="58">
        <v>0.82013888888888886</v>
      </c>
      <c r="AV7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64</v>
      </c>
      <c r="AW71" s="57" cm="1">
        <f t="array" ref="AW7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1" s="56" t="s">
        <v>943</v>
      </c>
      <c r="AZ71" s="56" t="s">
        <v>186</v>
      </c>
      <c r="BA71" s="58">
        <v>0.81319444444444444</v>
      </c>
      <c r="BB7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1" s="57" cm="1">
        <f t="array" ref="BC7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1" s="56" t="s">
        <v>974</v>
      </c>
      <c r="BF71" s="56"/>
      <c r="BG71" s="58">
        <v>0.81458333333333333</v>
      </c>
      <c r="BH7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64</v>
      </c>
      <c r="BI71" s="57" cm="1">
        <f t="array" ref="BI7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1" s="56" t="s">
        <v>929</v>
      </c>
      <c r="BL71" s="56"/>
      <c r="BM71" s="58">
        <v>0.81944444444444442</v>
      </c>
      <c r="BN7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62</v>
      </c>
      <c r="BO71" s="57" cm="1">
        <f t="array" ref="BO7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1" s="56" t="s">
        <v>146</v>
      </c>
      <c r="BR71" s="56"/>
      <c r="BS71" s="58">
        <v>0.81736111111111109</v>
      </c>
      <c r="BT7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63</v>
      </c>
      <c r="BU71" s="57" cm="1">
        <f t="array" ref="BU7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1" s="56" t="s">
        <v>125</v>
      </c>
      <c r="BX71" s="56" t="s">
        <v>186</v>
      </c>
      <c r="BY71" s="58">
        <v>0.8041666666666667</v>
      </c>
      <c r="BZ7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64</v>
      </c>
      <c r="CA71" s="57" cm="1">
        <f t="array" ref="CA7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1" s="56" t="s">
        <v>87</v>
      </c>
      <c r="CD71" s="56" t="s">
        <v>186</v>
      </c>
      <c r="CE71" s="58">
        <v>0.8041666666666667</v>
      </c>
      <c r="CF7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64</v>
      </c>
      <c r="CG71" s="57" cm="1">
        <f t="array" ref="CG7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1" s="56" t="s">
        <v>107</v>
      </c>
      <c r="CJ71" s="56" t="s">
        <v>186</v>
      </c>
      <c r="CK71" s="58">
        <v>0.79166666666666663</v>
      </c>
      <c r="CL71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64</v>
      </c>
      <c r="CM71" s="57" cm="1">
        <f t="array" ref="CM71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1" s="56" t="s">
        <v>142</v>
      </c>
      <c r="DB71" s="56" t="s">
        <v>186</v>
      </c>
      <c r="DC71" s="58">
        <v>0.82013888888888886</v>
      </c>
      <c r="DD7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64</v>
      </c>
      <c r="DE71" s="57" cm="1">
        <f t="array" ref="DE7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1" s="56" t="str">
        <f>IF('Weekly Attendance'!AA303="Yes",'Weekly Attendance'!$D303,"")</f>
        <v>Sameer Aziz</v>
      </c>
      <c r="DN71" s="56"/>
      <c r="DO71" s="58"/>
      <c r="DP7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1" s="57" t="str" cm="1">
        <f t="array" ref="DQ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2" spans="1:121">
      <c r="A72" s="16">
        <v>65</v>
      </c>
      <c r="B72" s="86"/>
      <c r="C72" s="56" t="s">
        <v>166</v>
      </c>
      <c r="D72" s="56"/>
      <c r="E72" s="58">
        <v>0.81666666666666665</v>
      </c>
      <c r="F72" s="57">
        <f>IFERROR(IF(Table4[[#This Row],[Name]]="","",IFERROR(IF(Table4[[#This Row],[Time]]="","TBD",D$2-COUNTIF(Table4[Time],"&lt;"&amp;Table4[[#This Row],[Time]])),""))-(COUNTIF(Table4[Time],Table4[[#This Row],[Time]])-1),"")</f>
        <v>65</v>
      </c>
      <c r="G72" s="57" cm="1">
        <f t="array" ref="G7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2" s="56" t="s">
        <v>980</v>
      </c>
      <c r="J72" s="56" t="s">
        <v>186</v>
      </c>
      <c r="K72" s="58">
        <v>0.80486111111111114</v>
      </c>
      <c r="L72" s="57">
        <f>IFERROR(IF(Table9[[#This Row],[Name]]="","",IFERROR(IF(Table9[[#This Row],[Time]]="","TBD",J$2-COUNTIF(Table9[Time],"&lt;"&amp;Table9[[#This Row],[Time]])),""))-(COUNTIF(Table9[Time],Table9[[#This Row],[Time]])-1),"")</f>
        <v>64</v>
      </c>
      <c r="M72" s="57" cm="1">
        <f t="array" ref="M7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2" s="56" t="s">
        <v>930</v>
      </c>
      <c r="P72" s="56"/>
      <c r="Q72" s="58">
        <v>0.81597222222222221</v>
      </c>
      <c r="R72" s="57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2" s="57" cm="1">
        <f t="array" ref="S7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2" s="56" t="s">
        <v>965</v>
      </c>
      <c r="V72" s="56"/>
      <c r="W72" s="58">
        <v>0.81041666666666667</v>
      </c>
      <c r="X72" s="57">
        <f>IFERROR(IF(Table2[[#This Row],[Name]]="","",IFERROR(IF(Table2[[#This Row],[Time]]="","TBD",V$2-COUNTIF(Table2[Time],"&lt;"&amp;Table2[[#This Row],[Time]])),""))-(COUNTIF(Table2[Time],Table2[[#This Row],[Time]])-1),"")</f>
        <v>65</v>
      </c>
      <c r="Y72" s="57" cm="1">
        <f t="array" ref="Y7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2" s="56" t="s">
        <v>972</v>
      </c>
      <c r="AB72" s="56" t="s">
        <v>186</v>
      </c>
      <c r="AC72" s="58">
        <v>0.79305555555555551</v>
      </c>
      <c r="AD72" s="57">
        <f>IFERROR(IF(Table211[[#This Row],[Name]]="","",IFERROR(IF(Table211[[#This Row],[Time]]="","TBD",AB$2-COUNTIF(Table211[Time],"&lt;"&amp;Table211[[#This Row],[Time]])),""))-(COUNTIF(Table211[Time],Table211[[#This Row],[Time]])-1),"")</f>
        <v>65</v>
      </c>
      <c r="AE72" s="57" cm="1">
        <f t="array" ref="AE72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2" s="56" t="s">
        <v>168</v>
      </c>
      <c r="AH72" s="56" t="s">
        <v>186</v>
      </c>
      <c r="AI72" s="58">
        <v>0.79861111111111116</v>
      </c>
      <c r="AJ7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2" s="57" cm="1">
        <f t="array" ref="AK7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2" s="56" t="s">
        <v>968</v>
      </c>
      <c r="AN72" s="56" t="s">
        <v>186</v>
      </c>
      <c r="AO72" s="58">
        <v>0.80763888888888891</v>
      </c>
      <c r="AP7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65</v>
      </c>
      <c r="AQ72" s="57" cm="1">
        <f t="array" ref="AQ7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2" s="56" t="s">
        <v>1048</v>
      </c>
      <c r="AT72" s="56" t="s">
        <v>186</v>
      </c>
      <c r="AU72" s="58">
        <v>0.81736111111111109</v>
      </c>
      <c r="AV7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2" s="57" cm="1">
        <f t="array" ref="AW7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2" s="56" t="s">
        <v>1087</v>
      </c>
      <c r="AZ72" s="56"/>
      <c r="BA72" s="58">
        <v>0.81319444444444444</v>
      </c>
      <c r="BB7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64</v>
      </c>
      <c r="BC72" s="57" cm="1">
        <f t="array" ref="BC7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2" s="56" t="s">
        <v>103</v>
      </c>
      <c r="BF72" s="56" t="s">
        <v>186</v>
      </c>
      <c r="BG72" s="58">
        <v>0.81388888888888888</v>
      </c>
      <c r="BH7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65</v>
      </c>
      <c r="BI72" s="57" cm="1">
        <f t="array" ref="BI7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2" s="56" t="s">
        <v>1088</v>
      </c>
      <c r="BL72" s="56"/>
      <c r="BM72" s="58">
        <v>0.81597222222222221</v>
      </c>
      <c r="BN7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65</v>
      </c>
      <c r="BO72" s="57" cm="1">
        <f t="array" ref="BO7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2" s="56" t="s">
        <v>166</v>
      </c>
      <c r="BR72" s="56" t="s">
        <v>186</v>
      </c>
      <c r="BS72" s="58">
        <v>0.81597222222222221</v>
      </c>
      <c r="BT7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65</v>
      </c>
      <c r="BU72" s="57" cm="1">
        <f t="array" ref="BU7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2" s="56" t="s">
        <v>919</v>
      </c>
      <c r="BX72" s="56" t="s">
        <v>186</v>
      </c>
      <c r="BY72" s="58">
        <v>0.80277777777777781</v>
      </c>
      <c r="BZ7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65</v>
      </c>
      <c r="CA72" s="57" cm="1">
        <f t="array" ref="CA7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2" s="56" t="s">
        <v>156</v>
      </c>
      <c r="CD72" s="56" t="s">
        <v>186</v>
      </c>
      <c r="CE72" s="58">
        <v>0.80347222222222225</v>
      </c>
      <c r="CF7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65</v>
      </c>
      <c r="CG72" s="57" cm="1">
        <f t="array" ref="CG7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2" s="56" t="s">
        <v>986</v>
      </c>
      <c r="CJ72" s="56" t="s">
        <v>186</v>
      </c>
      <c r="CK72" s="58">
        <v>0.79027777777777775</v>
      </c>
      <c r="CL72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65</v>
      </c>
      <c r="CM72" s="57" cm="1">
        <f t="array" ref="CM72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2" s="56" t="s">
        <v>922</v>
      </c>
      <c r="DB72" s="56" t="s">
        <v>186</v>
      </c>
      <c r="DC72" s="58">
        <v>0.81805555555555554</v>
      </c>
      <c r="DD7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65</v>
      </c>
      <c r="DE72" s="57" cm="1">
        <f t="array" ref="DE7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2" s="56" t="str">
        <f>IF('Weekly Attendance'!AA25="Yes",'Weekly Attendance'!$D25,"")</f>
        <v>Rohan Mandi</v>
      </c>
      <c r="DN72" s="56"/>
      <c r="DO72" s="155"/>
      <c r="DP7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2" s="57" t="str" cm="1">
        <f t="array" ref="DQ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3" spans="1:121">
      <c r="A73" s="16">
        <v>66</v>
      </c>
      <c r="B73" s="86"/>
      <c r="C73" s="56" t="s">
        <v>32</v>
      </c>
      <c r="D73" s="56"/>
      <c r="E73" s="58">
        <v>0.81597222222222221</v>
      </c>
      <c r="F73" s="57">
        <f>IFERROR(IF(Table4[[#This Row],[Name]]="","",IFERROR(IF(Table4[[#This Row],[Time]]="","TBD",D$2-COUNTIF(Table4[Time],"&lt;"&amp;Table4[[#This Row],[Time]])),""))-(COUNTIF(Table4[Time],Table4[[#This Row],[Time]])-1),"")</f>
        <v>66</v>
      </c>
      <c r="G73" s="57" cm="1">
        <f t="array" ref="G7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3" s="56" t="s">
        <v>152</v>
      </c>
      <c r="J73" s="56" t="s">
        <v>186</v>
      </c>
      <c r="K73" s="58">
        <v>0.80347222222222225</v>
      </c>
      <c r="L73" s="57">
        <f>IFERROR(IF(Table9[[#This Row],[Name]]="","",IFERROR(IF(Table9[[#This Row],[Time]]="","TBD",J$2-COUNTIF(Table9[Time],"&lt;"&amp;Table9[[#This Row],[Time]])),""))-(COUNTIF(Table9[Time],Table9[[#This Row],[Time]])-1),"")</f>
        <v>66</v>
      </c>
      <c r="M73" s="57" cm="1">
        <f t="array" ref="M7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3" s="56" t="s">
        <v>961</v>
      </c>
      <c r="P73" s="56"/>
      <c r="Q73" s="58">
        <v>0.81597222222222221</v>
      </c>
      <c r="R73" s="57">
        <f>IFERROR(IF(Table18[[#This Row],[Name]]="","",IFERROR(IF(Table18[[#This Row],[Time]]="","TBD",P$2-COUNTIF(Table18[Time],"&lt;"&amp;Table18[[#This Row],[Time]])),""))-(COUNTIF(Table18[Time],Table18[[#This Row],[Time]])-1),"")</f>
        <v>65</v>
      </c>
      <c r="S73" s="57" cm="1">
        <f t="array" ref="S7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3" s="56" t="s">
        <v>1031</v>
      </c>
      <c r="V73" s="56" t="s">
        <v>186</v>
      </c>
      <c r="W73" s="58">
        <v>0.80972222222222223</v>
      </c>
      <c r="X73" s="57">
        <f>IFERROR(IF(Table2[[#This Row],[Name]]="","",IFERROR(IF(Table2[[#This Row],[Time]]="","TBD",V$2-COUNTIF(Table2[Time],"&lt;"&amp;Table2[[#This Row],[Time]])),""))-(COUNTIF(Table2[Time],Table2[[#This Row],[Time]])-1),"")</f>
        <v>66</v>
      </c>
      <c r="Y73" s="57" cm="1">
        <f t="array" ref="Y7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3" s="56" t="s">
        <v>970</v>
      </c>
      <c r="AB73" s="56" t="s">
        <v>186</v>
      </c>
      <c r="AC73" s="58">
        <v>0.79236111111111107</v>
      </c>
      <c r="AD73" s="57">
        <f>IFERROR(IF(Table211[[#This Row],[Name]]="","",IFERROR(IF(Table211[[#This Row],[Time]]="","TBD",AB$2-COUNTIF(Table211[Time],"&lt;"&amp;Table211[[#This Row],[Time]])),""))-(COUNTIF(Table211[Time],Table211[[#This Row],[Time]])-1),"")</f>
        <v>66</v>
      </c>
      <c r="AE73" s="57" cm="1">
        <f t="array" ref="AE73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3" s="56" t="s">
        <v>148</v>
      </c>
      <c r="AH73" s="56" t="s">
        <v>186</v>
      </c>
      <c r="AI73" s="58">
        <v>0.79861111111111116</v>
      </c>
      <c r="AJ7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65</v>
      </c>
      <c r="AK73" s="57" cm="1">
        <f t="array" ref="AK7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3" s="56" t="s">
        <v>941</v>
      </c>
      <c r="AN73" s="56" t="s">
        <v>186</v>
      </c>
      <c r="AO73" s="58">
        <v>0.80694444444444446</v>
      </c>
      <c r="AP7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3" s="57" cm="1">
        <f t="array" ref="AQ7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3" s="56" t="s">
        <v>983</v>
      </c>
      <c r="AT73" s="56" t="s">
        <v>420</v>
      </c>
      <c r="AU73" s="58">
        <v>0.81736111111111109</v>
      </c>
      <c r="AV7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65</v>
      </c>
      <c r="AW73" s="57" cm="1">
        <f t="array" ref="AW7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3" s="56" t="s">
        <v>1021</v>
      </c>
      <c r="AZ73" s="56" t="s">
        <v>186</v>
      </c>
      <c r="BA73" s="58">
        <v>0.81180555555555556</v>
      </c>
      <c r="BB7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3" s="57" cm="1">
        <f t="array" ref="BC7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3" s="56" t="s">
        <v>1016</v>
      </c>
      <c r="BF73" s="56"/>
      <c r="BG73" s="58">
        <v>0.81319444444444444</v>
      </c>
      <c r="BH7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66</v>
      </c>
      <c r="BI73" s="57" cm="1">
        <f t="array" ref="BI7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3" s="56" t="s">
        <v>1010</v>
      </c>
      <c r="BL73" s="56" t="s">
        <v>186</v>
      </c>
      <c r="BM73" s="58">
        <v>0.81527777777777777</v>
      </c>
      <c r="BN7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66</v>
      </c>
      <c r="BO73" s="57" cm="1">
        <f t="array" ref="BO7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3" s="56" t="s">
        <v>947</v>
      </c>
      <c r="BR73" s="56" t="s">
        <v>186</v>
      </c>
      <c r="BS73" s="58">
        <v>0.81458333333333333</v>
      </c>
      <c r="BT7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66</v>
      </c>
      <c r="BU73" s="57" cm="1">
        <f t="array" ref="BU7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3" s="56" t="s">
        <v>1089</v>
      </c>
      <c r="BX73" s="56" t="s">
        <v>420</v>
      </c>
      <c r="BY73" s="58">
        <v>0.80277777777777781</v>
      </c>
      <c r="BZ7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65</v>
      </c>
      <c r="CA73" s="57" cm="1">
        <f t="array" ref="CA7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3" s="56" t="s">
        <v>168</v>
      </c>
      <c r="CD73" s="56" t="s">
        <v>186</v>
      </c>
      <c r="CE73" s="58">
        <v>0.80208333333333337</v>
      </c>
      <c r="CF7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66</v>
      </c>
      <c r="CG73" s="57" cm="1">
        <f t="array" ref="CG7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3" s="56" t="s">
        <v>48</v>
      </c>
      <c r="CJ73" s="56" t="s">
        <v>186</v>
      </c>
      <c r="CK73" s="58">
        <v>0.78333333333333333</v>
      </c>
      <c r="CL73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66</v>
      </c>
      <c r="CM73" s="57" cm="1">
        <f t="array" ref="CM73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3" s="56" t="s">
        <v>73</v>
      </c>
      <c r="DB73" s="56"/>
      <c r="DC73" s="58">
        <v>0.81736111111111109</v>
      </c>
      <c r="DD7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3" s="57" cm="1">
        <f t="array" ref="DE7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3" s="56" t="str">
        <f>IF('Weekly Attendance'!AA355="Yes",'Weekly Attendance'!$D355,"")</f>
        <v>Rayane Jouhere</v>
      </c>
      <c r="DN73" s="56"/>
      <c r="DO73" s="58"/>
      <c r="DP7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3" s="57" t="str" cm="1">
        <f t="array" ref="DQ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4" spans="1:121">
      <c r="A74" s="16">
        <v>67</v>
      </c>
      <c r="B74" s="86"/>
      <c r="C74" s="56" t="s">
        <v>1023</v>
      </c>
      <c r="D74" s="56"/>
      <c r="E74" s="58">
        <v>0.81527777777777777</v>
      </c>
      <c r="F74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4" s="57" cm="1">
        <f t="array" ref="G7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4" s="56" t="s">
        <v>910</v>
      </c>
      <c r="J74" s="56" t="s">
        <v>186</v>
      </c>
      <c r="K74" s="58">
        <v>0.80208333333333337</v>
      </c>
      <c r="L74" s="57">
        <f>IFERROR(IF(Table9[[#This Row],[Name]]="","",IFERROR(IF(Table9[[#This Row],[Time]]="","TBD",J$2-COUNTIF(Table9[Time],"&lt;"&amp;Table9[[#This Row],[Time]])),""))-(COUNTIF(Table9[Time],Table9[[#This Row],[Time]])-1),"")</f>
        <v>67</v>
      </c>
      <c r="M74" s="57" cm="1">
        <f t="array" ref="M7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4" s="56" t="s">
        <v>1090</v>
      </c>
      <c r="P74" s="56" t="s">
        <v>186</v>
      </c>
      <c r="Q74" s="58">
        <v>0.81527777777777777</v>
      </c>
      <c r="R74" s="57">
        <f>IFERROR(IF(Table18[[#This Row],[Name]]="","",IFERROR(IF(Table18[[#This Row],[Time]]="","TBD",P$2-COUNTIF(Table18[Time],"&lt;"&amp;Table18[[#This Row],[Time]])),""))-(COUNTIF(Table18[Time],Table18[[#This Row],[Time]])-1),"")</f>
        <v>67</v>
      </c>
      <c r="S74" s="57" cm="1">
        <f t="array" ref="S7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4" s="56" t="s">
        <v>103</v>
      </c>
      <c r="V74" s="56" t="s">
        <v>186</v>
      </c>
      <c r="W74" s="58">
        <v>0.80833333333333335</v>
      </c>
      <c r="X74" s="57">
        <f>IFERROR(IF(Table2[[#This Row],[Name]]="","",IFERROR(IF(Table2[[#This Row],[Time]]="","TBD",V$2-COUNTIF(Table2[Time],"&lt;"&amp;Table2[[#This Row],[Time]])),""))-(COUNTIF(Table2[Time],Table2[[#This Row],[Time]])-1),"")</f>
        <v>67</v>
      </c>
      <c r="Y74" s="57" cm="1">
        <f t="array" ref="Y7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4" s="56" t="s">
        <v>71</v>
      </c>
      <c r="AB74" s="56" t="s">
        <v>186</v>
      </c>
      <c r="AC74" s="58">
        <v>0.79166666666666663</v>
      </c>
      <c r="AD74" s="57">
        <f>IFERROR(IF(Table211[[#This Row],[Name]]="","",IFERROR(IF(Table211[[#This Row],[Time]]="","TBD",AB$2-COUNTIF(Table211[Time],"&lt;"&amp;Table211[[#This Row],[Time]])),""))-(COUNTIF(Table211[Time],Table211[[#This Row],[Time]])-1),"")</f>
        <v>67</v>
      </c>
      <c r="AE74" s="57" cm="1">
        <f t="array" ref="AE74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4" s="56" t="s">
        <v>902</v>
      </c>
      <c r="AH74" s="56" t="s">
        <v>186</v>
      </c>
      <c r="AI74" s="58">
        <v>0.79374999999999996</v>
      </c>
      <c r="AJ7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4" s="57" cm="1">
        <f t="array" ref="AK7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4" s="56" t="s">
        <v>907</v>
      </c>
      <c r="AN74" s="56" t="s">
        <v>186</v>
      </c>
      <c r="AO74" s="58">
        <v>0.80694444444444446</v>
      </c>
      <c r="AP7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66</v>
      </c>
      <c r="AQ74" s="57" cm="1">
        <f t="array" ref="AQ7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4" s="56" t="s">
        <v>1056</v>
      </c>
      <c r="AT74" s="56" t="s">
        <v>186</v>
      </c>
      <c r="AU74" s="58">
        <v>0.81666666666666665</v>
      </c>
      <c r="AV7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67</v>
      </c>
      <c r="AW74" s="57" cm="1">
        <f t="array" ref="AW7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4" s="56" t="s">
        <v>935</v>
      </c>
      <c r="AZ74" s="56" t="s">
        <v>186</v>
      </c>
      <c r="BA74" s="58">
        <v>0.81180555555555556</v>
      </c>
      <c r="BB7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66</v>
      </c>
      <c r="BC74" s="57" cm="1">
        <f t="array" ref="BC7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4" s="56" t="s">
        <v>980</v>
      </c>
      <c r="BF74" s="56" t="s">
        <v>186</v>
      </c>
      <c r="BG74" s="58">
        <v>0.8125</v>
      </c>
      <c r="BH7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67</v>
      </c>
      <c r="BI74" s="57" cm="1">
        <f t="array" ref="BI7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4" s="56" t="s">
        <v>121</v>
      </c>
      <c r="BL74" s="56"/>
      <c r="BM74" s="58">
        <v>0.81388888888888888</v>
      </c>
      <c r="BN7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67</v>
      </c>
      <c r="BO74" s="57" cm="1">
        <f t="array" ref="BO7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4" s="56" t="s">
        <v>957</v>
      </c>
      <c r="BR74" s="56"/>
      <c r="BS74" s="58">
        <v>0.81388888888888888</v>
      </c>
      <c r="BT7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67</v>
      </c>
      <c r="BU74" s="57" cm="1">
        <f t="array" ref="BU7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4" s="56" t="s">
        <v>915</v>
      </c>
      <c r="BX74" s="56" t="s">
        <v>186</v>
      </c>
      <c r="BY74" s="58">
        <v>0.80138888888888893</v>
      </c>
      <c r="BZ7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67</v>
      </c>
      <c r="CA74" s="57" cm="1">
        <f t="array" ref="CA7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4" s="56" t="s">
        <v>904</v>
      </c>
      <c r="CD74" s="56" t="s">
        <v>186</v>
      </c>
      <c r="CE74" s="58">
        <v>0.80138888888888893</v>
      </c>
      <c r="CF74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67</v>
      </c>
      <c r="CG74" s="57" cm="1">
        <f t="array" ref="CG74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CI74" s="56" t="s">
        <v>152</v>
      </c>
      <c r="CJ74" s="56" t="s">
        <v>186</v>
      </c>
      <c r="CK74" s="58">
        <v>0.77847222222222223</v>
      </c>
      <c r="CL74" s="57">
        <f>IFERROR(IF(Table211121642021222325343536[[#This Row],[Name]]="","",IFERROR(IF(Table211121642021222325343536[[#This Row],[Time]]="","TBD",CJ$2-COUNTIF(Table211121642021222325343536[Time],"&lt;"&amp;Table211121642021222325343536[[#This Row],[Time]])),""))-(COUNTIF(Table211121642021222325343536[Time],Table211121642021222325343536[[#This Row],[Time]])-1),"")</f>
        <v>67</v>
      </c>
      <c r="CM74" s="57" cm="1">
        <f t="array" ref="CM74">IF(ISNUMBER(Table211121642021222325343536[[#This Row],[True Rank]])=TRUE,ROUNDUP(IF(Table211121642021222325343536[[#This Row],[Rebuy]]="Yes",75%,100%)*_xlfn.IFS(Table211121642021222325343536[[#This Row],[True Rank]]=Structures!$B$3,Structures!$D$3,Table211121642021222325343536[[#This Row],[True Rank]]=Structures!$B$4,Structures!$D$4,Table211121642021222325343536[[#This Row],[True Rank]]=Structures!$B$5,Structures!$D$5,Table211121642021222325343536[[#This Row],[True Rank]]&lt;Structures!$C$6,Structures!$D$6,Table211121642021222325343536[[#This Row],[True Rank]]&lt;=_xlfn.PERCENTILE.INC(_xlfn.SEQUENCE(MAX(Table211121642021222325343536[True Rank])),Structures!$C$7),Structures!$D$7,Table211121642021222325343536[[#This Row],[True Rank]]&lt;=_xlfn.PERCENTILE.INC(_xlfn.SEQUENCE(MAX(Table211121642021222325343536[True Rank])),Structures!$C$8),Structures!$D$8,Table211121642021222325343536[[#This Row],[True Rank]]&lt;=_xlfn.PERCENTILE.INC(_xlfn.SEQUENCE(MAX(Table211121642021222325343536[True Rank])),Structures!$C$9),Structures!$D$9),0),Table211121642021222325343536[[#This Row],[True Rank]])</f>
        <v>1</v>
      </c>
      <c r="DA74" s="56" t="s">
        <v>105</v>
      </c>
      <c r="DB74" s="56" t="s">
        <v>186</v>
      </c>
      <c r="DC74" s="58">
        <v>0.81736111111111109</v>
      </c>
      <c r="DD7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4" s="57" cm="1">
        <f t="array" ref="DE7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4" s="56" t="str">
        <f>IF('Weekly Attendance'!AA235="Yes",'Weekly Attendance'!$D235,"")</f>
        <v>Lucy Kim</v>
      </c>
      <c r="DN74" s="56" t="s">
        <v>186</v>
      </c>
      <c r="DO74" s="58"/>
      <c r="DP7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4" s="57" t="str" cm="1">
        <f t="array" ref="DQ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5" spans="1:121">
      <c r="A75" s="16">
        <v>68</v>
      </c>
      <c r="B75" s="86"/>
      <c r="C75" s="56" t="s">
        <v>1091</v>
      </c>
      <c r="D75" s="56"/>
      <c r="E75" s="58">
        <v>0.81527777777777777</v>
      </c>
      <c r="F75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5" s="57" cm="1">
        <f t="array" ref="G7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5" s="56" t="s">
        <v>146</v>
      </c>
      <c r="J75" s="56" t="s">
        <v>186</v>
      </c>
      <c r="K75" s="58">
        <v>0.80138888888888893</v>
      </c>
      <c r="L75" s="57">
        <f>IFERROR(IF(Table9[[#This Row],[Name]]="","",IFERROR(IF(Table9[[#This Row],[Time]]="","TBD",J$2-COUNTIF(Table9[Time],"&lt;"&amp;Table9[[#This Row],[Time]])),""))-(COUNTIF(Table9[Time],Table9[[#This Row],[Time]])-1),"")</f>
        <v>68</v>
      </c>
      <c r="M75" s="57" cm="1">
        <f t="array" ref="M7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5" s="56" t="s">
        <v>158</v>
      </c>
      <c r="P75" s="56"/>
      <c r="Q75" s="58">
        <v>0.81458333333333333</v>
      </c>
      <c r="R75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5" s="57" cm="1">
        <f t="array" ref="S7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5" s="56" t="s">
        <v>1018</v>
      </c>
      <c r="V75" s="56" t="s">
        <v>186</v>
      </c>
      <c r="W75" s="58">
        <v>0.80763888888888891</v>
      </c>
      <c r="X75" s="57">
        <f>IFERROR(IF(Table2[[#This Row],[Name]]="","",IFERROR(IF(Table2[[#This Row],[Time]]="","TBD",V$2-COUNTIF(Table2[Time],"&lt;"&amp;Table2[[#This Row],[Time]])),""))-(COUNTIF(Table2[Time],Table2[[#This Row],[Time]])-1),"")</f>
        <v>68</v>
      </c>
      <c r="Y75" s="57" cm="1">
        <f t="array" ref="Y7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5" s="56" t="s">
        <v>977</v>
      </c>
      <c r="AB75" s="56" t="s">
        <v>186</v>
      </c>
      <c r="AC75" s="58">
        <v>0.7895833333333333</v>
      </c>
      <c r="AD75" s="57">
        <f>IFERROR(IF(Table211[[#This Row],[Name]]="","",IFERROR(IF(Table211[[#This Row],[Time]]="","TBD",AB$2-COUNTIF(Table211[Time],"&lt;"&amp;Table211[[#This Row],[Time]])),""))-(COUNTIF(Table211[Time],Table211[[#This Row],[Time]])-1),"")</f>
        <v>68</v>
      </c>
      <c r="AE75" s="57" cm="1">
        <f t="array" ref="AE75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5" s="56" t="s">
        <v>968</v>
      </c>
      <c r="AH75" s="56" t="s">
        <v>186</v>
      </c>
      <c r="AI75" s="58">
        <v>0.79374999999999996</v>
      </c>
      <c r="AJ7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67</v>
      </c>
      <c r="AK75" s="57" cm="1">
        <f t="array" ref="AK7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5" s="56" t="s">
        <v>75</v>
      </c>
      <c r="AN75" s="56" t="s">
        <v>186</v>
      </c>
      <c r="AO75" s="58">
        <v>0.80555555555555558</v>
      </c>
      <c r="AP7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68</v>
      </c>
      <c r="AQ75" s="57" cm="1">
        <f t="array" ref="AQ7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5" s="56" t="s">
        <v>1092</v>
      </c>
      <c r="AT75" s="56" t="s">
        <v>186</v>
      </c>
      <c r="AU75" s="58">
        <v>0.81597222222222221</v>
      </c>
      <c r="AV7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68</v>
      </c>
      <c r="AW75" s="57" cm="1">
        <f t="array" ref="AW7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5" s="56" t="s">
        <v>38</v>
      </c>
      <c r="AZ75" s="56"/>
      <c r="BA75" s="58">
        <v>0.81111111111111112</v>
      </c>
      <c r="BB7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5" s="57" cm="1">
        <f t="array" ref="BC7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5" s="56" t="s">
        <v>948</v>
      </c>
      <c r="BF75" s="56" t="s">
        <v>186</v>
      </c>
      <c r="BG75" s="58">
        <v>0.81180555555555556</v>
      </c>
      <c r="BH7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5" s="57" cm="1">
        <f t="array" ref="BI7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5" s="56" t="s">
        <v>1093</v>
      </c>
      <c r="BL75" s="56"/>
      <c r="BM75" s="58">
        <v>0.8125</v>
      </c>
      <c r="BN7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5" s="57" cm="1">
        <f t="array" ref="BO7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5" s="56" t="s">
        <v>69</v>
      </c>
      <c r="BR75" s="56" t="s">
        <v>186</v>
      </c>
      <c r="BS75" s="58">
        <v>0.81388888888888888</v>
      </c>
      <c r="BT7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67</v>
      </c>
      <c r="BU75" s="57" cm="1">
        <f t="array" ref="BU7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5" s="56" t="s">
        <v>1094</v>
      </c>
      <c r="BX75" s="56" t="s">
        <v>186</v>
      </c>
      <c r="BY75" s="58">
        <v>0.80138888888888893</v>
      </c>
      <c r="BZ7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67</v>
      </c>
      <c r="CA75" s="57" cm="1">
        <f t="array" ref="CA7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5" s="56" t="s">
        <v>93</v>
      </c>
      <c r="CD75" s="56"/>
      <c r="CE75" s="58">
        <v>0.7993055555555556</v>
      </c>
      <c r="CF75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68</v>
      </c>
      <c r="CG75" s="57" cm="1">
        <f t="array" ref="CG75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5" s="56" t="s">
        <v>99</v>
      </c>
      <c r="DB75" s="56"/>
      <c r="DC75" s="58">
        <v>0.81736111111111109</v>
      </c>
      <c r="DD7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66</v>
      </c>
      <c r="DE75" s="57" cm="1">
        <f t="array" ref="DE7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5" s="56" t="str">
        <f>IF('Weekly Attendance'!AA234="Yes",'Weekly Attendance'!$D234,"")</f>
        <v>Luckshane Imparaza</v>
      </c>
      <c r="DN75" s="56" t="s">
        <v>186</v>
      </c>
      <c r="DO75" s="58"/>
      <c r="DP7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5" s="57" t="str" cm="1">
        <f t="array" ref="DQ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6" spans="1:121">
      <c r="A76" s="16">
        <v>69</v>
      </c>
      <c r="B76" s="86"/>
      <c r="C76" s="56" t="s">
        <v>1095</v>
      </c>
      <c r="D76" s="56"/>
      <c r="E76" s="58">
        <v>0.81527777777777777</v>
      </c>
      <c r="F76" s="57">
        <f>IFERROR(IF(Table4[[#This Row],[Name]]="","",IFERROR(IF(Table4[[#This Row],[Time]]="","TBD",D$2-COUNTIF(Table4[Time],"&lt;"&amp;Table4[[#This Row],[Time]])),""))-(COUNTIF(Table4[Time],Table4[[#This Row],[Time]])-1),"")</f>
        <v>67</v>
      </c>
      <c r="G76" s="57" cm="1">
        <f t="array" ref="G7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6" s="56" t="s">
        <v>961</v>
      </c>
      <c r="J76" s="56" t="s">
        <v>186</v>
      </c>
      <c r="K76" s="58">
        <v>0.80069444444444449</v>
      </c>
      <c r="L76" s="57">
        <f>IFERROR(IF(Table9[[#This Row],[Name]]="","",IFERROR(IF(Table9[[#This Row],[Time]]="","TBD",J$2-COUNTIF(Table9[Time],"&lt;"&amp;Table9[[#This Row],[Time]])),""))-(COUNTIF(Table9[Time],Table9[[#This Row],[Time]])-1),"")</f>
        <v>69</v>
      </c>
      <c r="M76" s="57" cm="1">
        <f t="array" ref="M7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6" s="56" t="s">
        <v>1004</v>
      </c>
      <c r="P76" s="56" t="s">
        <v>186</v>
      </c>
      <c r="Q76" s="58">
        <v>0.81458333333333333</v>
      </c>
      <c r="R76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6" s="57" cm="1">
        <f t="array" ref="S7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6" s="56" t="s">
        <v>956</v>
      </c>
      <c r="V76" s="56" t="s">
        <v>186</v>
      </c>
      <c r="W76" s="58">
        <v>0.79652777777777772</v>
      </c>
      <c r="X76" s="57">
        <f>IFERROR(IF(Table2[[#This Row],[Name]]="","",IFERROR(IF(Table2[[#This Row],[Time]]="","TBD",V$2-COUNTIF(Table2[Time],"&lt;"&amp;Table2[[#This Row],[Time]])),""))-(COUNTIF(Table2[Time],Table2[[#This Row],[Time]])-1),"")</f>
        <v>69</v>
      </c>
      <c r="Y76" s="57" cm="1">
        <f t="array" ref="Y7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6" s="56" t="s">
        <v>127</v>
      </c>
      <c r="AB76" s="56" t="s">
        <v>186</v>
      </c>
      <c r="AC76" s="58">
        <v>0.78819444444444442</v>
      </c>
      <c r="AD76" s="57">
        <f>IFERROR(IF(Table211[[#This Row],[Name]]="","",IFERROR(IF(Table211[[#This Row],[Time]]="","TBD",AB$2-COUNTIF(Table211[Time],"&lt;"&amp;Table211[[#This Row],[Time]])),""))-(COUNTIF(Table211[Time],Table211[[#This Row],[Time]])-1),"")</f>
        <v>69</v>
      </c>
      <c r="AE76" s="57" cm="1">
        <f t="array" ref="AE76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6" s="56" t="s">
        <v>941</v>
      </c>
      <c r="AH76" s="56" t="s">
        <v>186</v>
      </c>
      <c r="AI76" s="58">
        <v>0.79166666666666663</v>
      </c>
      <c r="AJ7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69</v>
      </c>
      <c r="AK76" s="57" cm="1">
        <f t="array" ref="AK7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6" s="56" t="s">
        <v>931</v>
      </c>
      <c r="AN76" s="56" t="s">
        <v>186</v>
      </c>
      <c r="AO76" s="58">
        <v>0.80486111111111114</v>
      </c>
      <c r="AP7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6" s="57" cm="1">
        <f t="array" ref="AQ7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6" s="56" t="s">
        <v>142</v>
      </c>
      <c r="AT76" s="56" t="s">
        <v>420</v>
      </c>
      <c r="AU76" s="58">
        <v>0.81458333333333333</v>
      </c>
      <c r="AV7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6" s="57" cm="1">
        <f t="array" ref="AW7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6" s="56" t="s">
        <v>891</v>
      </c>
      <c r="AZ76" s="56" t="s">
        <v>186</v>
      </c>
      <c r="BA76" s="58">
        <v>0.81111111111111112</v>
      </c>
      <c r="BB7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6" s="57" cm="1">
        <f t="array" ref="BC7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6" s="56" t="s">
        <v>26</v>
      </c>
      <c r="BF76" s="56" t="s">
        <v>186</v>
      </c>
      <c r="BG76" s="58">
        <v>0.81180555555555556</v>
      </c>
      <c r="BH7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6" s="57" cm="1">
        <f t="array" ref="BI7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6" s="56" t="s">
        <v>35</v>
      </c>
      <c r="BL76" s="56" t="s">
        <v>186</v>
      </c>
      <c r="BM76" s="58">
        <v>0.8125</v>
      </c>
      <c r="BN7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6" s="57" cm="1">
        <f t="array" ref="BO7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6" s="56" t="s">
        <v>976</v>
      </c>
      <c r="BR76" s="56" t="s">
        <v>186</v>
      </c>
      <c r="BS76" s="58">
        <v>0.8125</v>
      </c>
      <c r="BT7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69</v>
      </c>
      <c r="BU76" s="57" cm="1">
        <f t="array" ref="BU7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6" s="56" t="s">
        <v>150</v>
      </c>
      <c r="BX76" s="56" t="s">
        <v>186</v>
      </c>
      <c r="BY76" s="58">
        <v>0.8</v>
      </c>
      <c r="BZ7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69</v>
      </c>
      <c r="CA76" s="57" cm="1">
        <f t="array" ref="CA7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6" s="56" t="s">
        <v>939</v>
      </c>
      <c r="CD76" s="56" t="s">
        <v>186</v>
      </c>
      <c r="CE76" s="58">
        <v>0.79791666666666672</v>
      </c>
      <c r="CF76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69</v>
      </c>
      <c r="CG76" s="57" cm="1">
        <f t="array" ref="CG76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6" s="56" t="s">
        <v>999</v>
      </c>
      <c r="DB76" s="56"/>
      <c r="DC76" s="58">
        <v>0.81666666666666665</v>
      </c>
      <c r="DD7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69</v>
      </c>
      <c r="DE76" s="57" cm="1">
        <f t="array" ref="DE7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6" s="56" t="str">
        <f>IF('Weekly Attendance'!AA224="Yes",'Weekly Attendance'!$D224,"")</f>
        <v>Kyle  Chen</v>
      </c>
      <c r="DN76" s="56"/>
      <c r="DO76" s="58"/>
      <c r="DP7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6" s="57" t="str" cm="1">
        <f t="array" ref="DQ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7" spans="1:121">
      <c r="A77" s="16">
        <v>70</v>
      </c>
      <c r="B77" s="86"/>
      <c r="C77" s="56" t="s">
        <v>956</v>
      </c>
      <c r="D77" s="56" t="s">
        <v>186</v>
      </c>
      <c r="E77" s="58">
        <v>0.81458333333333333</v>
      </c>
      <c r="F77" s="57">
        <f>IFERROR(IF(Table4[[#This Row],[Name]]="","",IFERROR(IF(Table4[[#This Row],[Time]]="","TBD",D$2-COUNTIF(Table4[Time],"&lt;"&amp;Table4[[#This Row],[Time]])),""))-(COUNTIF(Table4[Time],Table4[[#This Row],[Time]])-1),"")</f>
        <v>70</v>
      </c>
      <c r="G77" s="57" cm="1">
        <f t="array" ref="G7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7" s="56" t="s">
        <v>1096</v>
      </c>
      <c r="J77" s="56" t="s">
        <v>186</v>
      </c>
      <c r="K77" s="58">
        <v>0.7993055555555556</v>
      </c>
      <c r="L77" s="57">
        <f>IFERROR(IF(Table9[[#This Row],[Name]]="","",IFERROR(IF(Table9[[#This Row],[Time]]="","TBD",J$2-COUNTIF(Table9[Time],"&lt;"&amp;Table9[[#This Row],[Time]])),""))-(COUNTIF(Table9[Time],Table9[[#This Row],[Time]])-1),"")</f>
        <v>70</v>
      </c>
      <c r="M77" s="57" cm="1">
        <f t="array" ref="M7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7" s="56" t="s">
        <v>964</v>
      </c>
      <c r="P77" s="56"/>
      <c r="Q77" s="58">
        <v>0.81458333333333333</v>
      </c>
      <c r="R77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7" s="57" cm="1">
        <f t="array" ref="S7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7" s="56" t="s">
        <v>895</v>
      </c>
      <c r="V77" s="56" t="s">
        <v>186</v>
      </c>
      <c r="W77" s="58">
        <v>0.79305555555555551</v>
      </c>
      <c r="X77" s="57">
        <f>IFERROR(IF(Table2[[#This Row],[Name]]="","",IFERROR(IF(Table2[[#This Row],[Time]]="","TBD",V$2-COUNTIF(Table2[Time],"&lt;"&amp;Table2[[#This Row],[Time]])),""))-(COUNTIF(Table2[Time],Table2[[#This Row],[Time]])-1),"")</f>
        <v>70</v>
      </c>
      <c r="Y77" s="57" cm="1">
        <f t="array" ref="Y7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7" s="56" t="s">
        <v>886</v>
      </c>
      <c r="AB77" s="56" t="s">
        <v>186</v>
      </c>
      <c r="AC77" s="58">
        <v>0.78472222222222221</v>
      </c>
      <c r="AD77" s="57">
        <f>IFERROR(IF(Table211[[#This Row],[Name]]="","",IFERROR(IF(Table211[[#This Row],[Time]]="","TBD",AB$2-COUNTIF(Table211[Time],"&lt;"&amp;Table211[[#This Row],[Time]])),""))-(COUNTIF(Table211[Time],Table211[[#This Row],[Time]])-1),"")</f>
        <v>70</v>
      </c>
      <c r="AE77" s="57" cm="1">
        <f t="array" ref="AE77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7" s="56" t="s">
        <v>895</v>
      </c>
      <c r="AH77" s="56" t="s">
        <v>186</v>
      </c>
      <c r="AI77" s="58">
        <v>0.78541666666666665</v>
      </c>
      <c r="AJ77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70</v>
      </c>
      <c r="AK77" s="57" cm="1">
        <f t="array" ref="AK77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7" s="56" t="s">
        <v>1096</v>
      </c>
      <c r="AN77" s="56" t="s">
        <v>186</v>
      </c>
      <c r="AO77" s="58">
        <v>0.80486111111111114</v>
      </c>
      <c r="AP7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69</v>
      </c>
      <c r="AQ77" s="57" cm="1">
        <f t="array" ref="AQ7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7" s="56" t="s">
        <v>136</v>
      </c>
      <c r="AT77" s="56" t="s">
        <v>186</v>
      </c>
      <c r="AU77" s="58">
        <v>0.81458333333333333</v>
      </c>
      <c r="AV7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69</v>
      </c>
      <c r="AW77" s="57" cm="1">
        <f t="array" ref="AW7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7" s="56" t="s">
        <v>125</v>
      </c>
      <c r="AZ77" s="56" t="s">
        <v>186</v>
      </c>
      <c r="BA77" s="58">
        <v>0.81111111111111112</v>
      </c>
      <c r="BB7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7" s="57" cm="1">
        <f t="array" ref="BC7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7" s="56" t="s">
        <v>1055</v>
      </c>
      <c r="BF77" s="56" t="s">
        <v>186</v>
      </c>
      <c r="BG77" s="58">
        <v>0.81180555555555556</v>
      </c>
      <c r="BH7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7" s="57" cm="1">
        <f t="array" ref="BI7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7" s="56" t="s">
        <v>913</v>
      </c>
      <c r="BL77" s="56" t="s">
        <v>186</v>
      </c>
      <c r="BM77" s="58">
        <v>0.8125</v>
      </c>
      <c r="BN7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68</v>
      </c>
      <c r="BO77" s="57" cm="1">
        <f t="array" ref="BO7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7" s="56" t="s">
        <v>109</v>
      </c>
      <c r="BR77" s="56"/>
      <c r="BS77" s="58">
        <v>0.81180555555555556</v>
      </c>
      <c r="BT7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70</v>
      </c>
      <c r="BU77" s="57" cm="1">
        <f t="array" ref="BU7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7" s="56" t="s">
        <v>1097</v>
      </c>
      <c r="BX77" s="56" t="s">
        <v>186</v>
      </c>
      <c r="BY77" s="58">
        <v>0.79722222222222228</v>
      </c>
      <c r="BZ7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70</v>
      </c>
      <c r="CA77" s="57" cm="1">
        <f t="array" ref="CA7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7" s="56" t="s">
        <v>957</v>
      </c>
      <c r="CD77" s="56"/>
      <c r="CE77" s="58">
        <v>0.79513888888888884</v>
      </c>
      <c r="CF77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70</v>
      </c>
      <c r="CG77" s="57" cm="1">
        <f t="array" ref="CG77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7" s="56" t="s">
        <v>1000</v>
      </c>
      <c r="DB77" s="56"/>
      <c r="DC77" s="58">
        <v>0.81666666666666665</v>
      </c>
      <c r="DD7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69</v>
      </c>
      <c r="DE77" s="57" cm="1">
        <f t="array" ref="DE7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7" s="56" t="str">
        <f>IF('Weekly Attendance'!AA220="Yes",'Weekly Attendance'!$D220,"")</f>
        <v>Kongduo Li</v>
      </c>
      <c r="DN77" s="56" t="s">
        <v>186</v>
      </c>
      <c r="DO77" s="58"/>
      <c r="DP7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7" s="57" t="str" cm="1">
        <f t="array" ref="DQ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8" spans="1:121">
      <c r="A78" s="16">
        <v>71</v>
      </c>
      <c r="B78" s="86"/>
      <c r="C78" s="56" t="s">
        <v>1098</v>
      </c>
      <c r="D78" s="56" t="s">
        <v>186</v>
      </c>
      <c r="E78" s="58">
        <v>0.81319444444444444</v>
      </c>
      <c r="F78" s="57">
        <f>IFERROR(IF(Table4[[#This Row],[Name]]="","",IFERROR(IF(Table4[[#This Row],[Time]]="","TBD",D$2-COUNTIF(Table4[Time],"&lt;"&amp;Table4[[#This Row],[Time]])),""))-(COUNTIF(Table4[Time],Table4[[#This Row],[Time]])-1),"")</f>
        <v>71</v>
      </c>
      <c r="G78" s="57" cm="1">
        <f t="array" ref="G7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8" s="56" t="s">
        <v>890</v>
      </c>
      <c r="J78" s="56" t="s">
        <v>186</v>
      </c>
      <c r="K78" s="58">
        <v>0.79722222222222228</v>
      </c>
      <c r="L78" s="57">
        <f>IFERROR(IF(Table9[[#This Row],[Name]]="","",IFERROR(IF(Table9[[#This Row],[Time]]="","TBD",J$2-COUNTIF(Table9[Time],"&lt;"&amp;Table9[[#This Row],[Time]])),""))-(COUNTIF(Table9[Time],Table9[[#This Row],[Time]])-1),"")</f>
        <v>71</v>
      </c>
      <c r="M78" s="57" cm="1">
        <f t="array" ref="M7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8" s="56" t="s">
        <v>1099</v>
      </c>
      <c r="P78" s="56" t="s">
        <v>186</v>
      </c>
      <c r="Q78" s="58">
        <v>0.81458333333333333</v>
      </c>
      <c r="R78" s="57">
        <f>IFERROR(IF(Table18[[#This Row],[Name]]="","",IFERROR(IF(Table18[[#This Row],[Time]]="","TBD",P$2-COUNTIF(Table18[Time],"&lt;"&amp;Table18[[#This Row],[Time]])),""))-(COUNTIF(Table18[Time],Table18[[#This Row],[Time]])-1),"")</f>
        <v>68</v>
      </c>
      <c r="S78" s="57" cm="1">
        <f t="array" ref="S7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8" s="56" t="s">
        <v>972</v>
      </c>
      <c r="V78" s="56"/>
      <c r="W78" s="58">
        <v>0.79166666666666663</v>
      </c>
      <c r="X78" s="57">
        <f>IFERROR(IF(Table2[[#This Row],[Name]]="","",IFERROR(IF(Table2[[#This Row],[Time]]="","TBD",V$2-COUNTIF(Table2[Time],"&lt;"&amp;Table2[[#This Row],[Time]])),""))-(COUNTIF(Table2[Time],Table2[[#This Row],[Time]])-1),"")</f>
        <v>71</v>
      </c>
      <c r="Y78" s="57" cm="1">
        <f t="array" ref="Y7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8" s="56" t="s">
        <v>1025</v>
      </c>
      <c r="AB78" s="56" t="s">
        <v>186</v>
      </c>
      <c r="AC78" s="58">
        <v>0.78402777777777777</v>
      </c>
      <c r="AD78" s="57">
        <f>IFERROR(IF(Table211[[#This Row],[Name]]="","",IFERROR(IF(Table211[[#This Row],[Time]]="","TBD",AB$2-COUNTIF(Table211[Time],"&lt;"&amp;Table211[[#This Row],[Time]])),""))-(COUNTIF(Table211[Time],Table211[[#This Row],[Time]])-1),"")</f>
        <v>71</v>
      </c>
      <c r="AE78" s="57" cm="1">
        <f t="array" ref="AE78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8" s="56" t="s">
        <v>887</v>
      </c>
      <c r="AH78" s="56" t="s">
        <v>186</v>
      </c>
      <c r="AI78" s="58">
        <v>0.78472222222222221</v>
      </c>
      <c r="AJ78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71</v>
      </c>
      <c r="AK78" s="57" cm="1">
        <f t="array" ref="AK78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8" s="56" t="s">
        <v>29</v>
      </c>
      <c r="AN78" s="56" t="s">
        <v>186</v>
      </c>
      <c r="AO78" s="58">
        <v>0.8041666666666667</v>
      </c>
      <c r="AP7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8" s="57" cm="1">
        <f t="array" ref="AQ7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8" s="56" t="s">
        <v>925</v>
      </c>
      <c r="AT78" s="56" t="s">
        <v>186</v>
      </c>
      <c r="AU78" s="58">
        <v>0.8125</v>
      </c>
      <c r="AV7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8" s="57" cm="1">
        <f t="array" ref="AW7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8" s="56" t="s">
        <v>934</v>
      </c>
      <c r="AZ78" s="56" t="s">
        <v>186</v>
      </c>
      <c r="BA78" s="58">
        <v>0.81111111111111112</v>
      </c>
      <c r="BB7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68</v>
      </c>
      <c r="BC78" s="57" cm="1">
        <f t="array" ref="BC7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8" s="56" t="s">
        <v>1013</v>
      </c>
      <c r="BF78" s="56" t="s">
        <v>186</v>
      </c>
      <c r="BG78" s="58">
        <v>0.81180555555555556</v>
      </c>
      <c r="BH7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68</v>
      </c>
      <c r="BI78" s="57" cm="1">
        <f t="array" ref="BI7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8" s="56" t="s">
        <v>935</v>
      </c>
      <c r="BL78" s="56"/>
      <c r="BM78" s="58">
        <v>0.81180555555555556</v>
      </c>
      <c r="BN7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71</v>
      </c>
      <c r="BO78" s="57" cm="1">
        <f t="array" ref="BO7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8" s="56" t="s">
        <v>916</v>
      </c>
      <c r="BR78" s="56" t="s">
        <v>186</v>
      </c>
      <c r="BS78" s="58">
        <v>0.81111111111111112</v>
      </c>
      <c r="BT7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78" s="57" cm="1">
        <f t="array" ref="BU7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8" s="56" t="s">
        <v>891</v>
      </c>
      <c r="BX78" s="56" t="s">
        <v>186</v>
      </c>
      <c r="BY78" s="58">
        <v>0.7895833333333333</v>
      </c>
      <c r="BZ7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71</v>
      </c>
      <c r="CA78" s="57" cm="1">
        <f t="array" ref="CA7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8" s="56" t="s">
        <v>973</v>
      </c>
      <c r="CD78" s="56" t="s">
        <v>186</v>
      </c>
      <c r="CE78" s="58">
        <v>0.78819444444444442</v>
      </c>
      <c r="CF78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71</v>
      </c>
      <c r="CG78" s="57" cm="1">
        <f t="array" ref="CG78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8" s="56" t="s">
        <v>886</v>
      </c>
      <c r="DB78" s="56"/>
      <c r="DC78" s="58">
        <v>0.81597222222222221</v>
      </c>
      <c r="DD7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78" s="57" cm="1">
        <f t="array" ref="DE7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8" s="56" t="str">
        <f>IF('Weekly Attendance'!AA208="Yes",'Weekly Attendance'!$D208,"")</f>
        <v>Justin Chow</v>
      </c>
      <c r="DN78" s="56"/>
      <c r="DO78" s="58"/>
      <c r="DP7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8" s="57" t="str" cm="1">
        <f t="array" ref="DQ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79" spans="1:121">
      <c r="A79" s="16">
        <v>72</v>
      </c>
      <c r="B79" s="86"/>
      <c r="C79" s="56" t="s">
        <v>142</v>
      </c>
      <c r="D79" s="56" t="s">
        <v>186</v>
      </c>
      <c r="E79" s="58">
        <v>0.8125</v>
      </c>
      <c r="F79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79" s="57" cm="1">
        <f t="array" ref="G7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79" s="56" t="s">
        <v>902</v>
      </c>
      <c r="J79" s="56" t="s">
        <v>186</v>
      </c>
      <c r="K79" s="58">
        <v>0.79652777777777772</v>
      </c>
      <c r="L79" s="57">
        <f>IFERROR(IF(Table9[[#This Row],[Name]]="","",IFERROR(IF(Table9[[#This Row],[Time]]="","TBD",J$2-COUNTIF(Table9[Time],"&lt;"&amp;Table9[[#This Row],[Time]])),""))-(COUNTIF(Table9[Time],Table9[[#This Row],[Time]])-1),"")</f>
        <v>72</v>
      </c>
      <c r="M79" s="57" cm="1">
        <f t="array" ref="M7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79" s="56" t="s">
        <v>934</v>
      </c>
      <c r="P79" s="56" t="s">
        <v>186</v>
      </c>
      <c r="Q79" s="58">
        <v>0.8125</v>
      </c>
      <c r="R79" s="57">
        <f>IFERROR(IF(Table18[[#This Row],[Name]]="","",IFERROR(IF(Table18[[#This Row],[Time]]="","TBD",P$2-COUNTIF(Table18[Time],"&lt;"&amp;Table18[[#This Row],[Time]])),""))-(COUNTIF(Table18[Time],Table18[[#This Row],[Time]])-1),"")</f>
        <v>72</v>
      </c>
      <c r="S79" s="57" cm="1">
        <f t="array" ref="S7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79" s="56" t="s">
        <v>1100</v>
      </c>
      <c r="V79" s="56" t="s">
        <v>186</v>
      </c>
      <c r="W79" s="58">
        <v>0.78541666666666665</v>
      </c>
      <c r="X79" s="57">
        <f>IFERROR(IF(Table2[[#This Row],[Name]]="","",IFERROR(IF(Table2[[#This Row],[Time]]="","TBD",V$2-COUNTIF(Table2[Time],"&lt;"&amp;Table2[[#This Row],[Time]])),""))-(COUNTIF(Table2[Time],Table2[[#This Row],[Time]])-1),"")</f>
        <v>72</v>
      </c>
      <c r="Y79" s="57" cm="1">
        <f t="array" ref="Y7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A79" s="56" t="s">
        <v>41</v>
      </c>
      <c r="AB79" s="56"/>
      <c r="AC79" s="58">
        <v>0.78263888888888888</v>
      </c>
      <c r="AD79" s="57">
        <f>IFERROR(IF(Table211[[#This Row],[Name]]="","",IFERROR(IF(Table211[[#This Row],[Time]]="","TBD",AB$2-COUNTIF(Table211[Time],"&lt;"&amp;Table211[[#This Row],[Time]])),""))-(COUNTIF(Table211[Time],Table211[[#This Row],[Time]])-1),"")</f>
        <v>72</v>
      </c>
      <c r="AE79" s="57" cm="1">
        <f t="array" ref="AE79">IF(ISNUMBER(Table211[[#This Row],[True Rank]])=TRUE,ROUNDUP(IF(Table211[[#This Row],[Rebuy]]="Yes",75%,100%)*_xlfn.IFS(Table211[[#This Row],[True Rank]]=Structures!$B$3,Structures!$D$3,Table211[[#This Row],[True Rank]]=Structures!$B$4,Structures!$D$4,Table211[[#This Row],[True Rank]]=Structures!$B$5,Structures!$D$5,Table211[[#This Row],[True Rank]]&lt;Structures!$C$6,Structures!$D$6,Table211[[#This Row],[True Rank]]&lt;=_xlfn.PERCENTILE.INC(Table211[True Rank],Structures!$C$7),Structures!$D$7,Table211[[#This Row],[True Rank]]&lt;=_xlfn.PERCENTILE.INC(Table211[True Rank],Structures!$C$8),Structures!$D$8,Table211[[#This Row],[True Rank]]&lt;=_xlfn.PERCENTILE.INC(Table211[True Rank],Structures!$C$9),Structures!$D$9),0),Table211[[#This Row],[True Rank]])</f>
        <v>1</v>
      </c>
      <c r="AG79" s="56" t="s">
        <v>954</v>
      </c>
      <c r="AH79" s="56" t="s">
        <v>186</v>
      </c>
      <c r="AI79" s="58">
        <v>0.77777777777777779</v>
      </c>
      <c r="AJ79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72</v>
      </c>
      <c r="AK79" s="57" cm="1">
        <f t="array" ref="AK79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79" s="56" t="s">
        <v>972</v>
      </c>
      <c r="AN79" s="56" t="s">
        <v>186</v>
      </c>
      <c r="AO79" s="58">
        <v>0.8041666666666667</v>
      </c>
      <c r="AP7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79" s="57" cm="1">
        <f t="array" ref="AQ7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79" s="56" t="s">
        <v>1018</v>
      </c>
      <c r="AT79" s="56"/>
      <c r="AU79" s="58">
        <v>0.8125</v>
      </c>
      <c r="AV7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71</v>
      </c>
      <c r="AW79" s="57" cm="1">
        <f t="array" ref="AW7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79" s="56" t="s">
        <v>937</v>
      </c>
      <c r="AZ79" s="56"/>
      <c r="BA79" s="58">
        <v>0.80833333333333335</v>
      </c>
      <c r="BB7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72</v>
      </c>
      <c r="BC79" s="57" cm="1">
        <f t="array" ref="BC7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79" s="56" t="s">
        <v>32</v>
      </c>
      <c r="BF79" s="56" t="s">
        <v>186</v>
      </c>
      <c r="BG79" s="58">
        <v>0.81111111111111112</v>
      </c>
      <c r="BH7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79" s="57" cm="1">
        <f t="array" ref="BI7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79" s="56" t="s">
        <v>978</v>
      </c>
      <c r="BL79" s="56" t="s">
        <v>186</v>
      </c>
      <c r="BM79" s="58">
        <v>0.81180555555555556</v>
      </c>
      <c r="BN7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71</v>
      </c>
      <c r="BO79" s="57" cm="1">
        <f t="array" ref="BO7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79" s="56" t="s">
        <v>1096</v>
      </c>
      <c r="BR79" s="56" t="s">
        <v>186</v>
      </c>
      <c r="BS79" s="58">
        <v>0.81111111111111112</v>
      </c>
      <c r="BT7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79" s="57" cm="1">
        <f t="array" ref="BU7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79" s="56" t="s">
        <v>962</v>
      </c>
      <c r="BX79" s="56" t="s">
        <v>186</v>
      </c>
      <c r="BY79" s="58">
        <v>0.78819444444444442</v>
      </c>
      <c r="BZ7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72</v>
      </c>
      <c r="CA79" s="57" cm="1">
        <f t="array" ref="CA7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79" s="56" t="s">
        <v>1048</v>
      </c>
      <c r="CD79" s="56"/>
      <c r="CE79" s="58">
        <v>0.77708333333333335</v>
      </c>
      <c r="CF79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72</v>
      </c>
      <c r="CG79" s="57" cm="1">
        <f t="array" ref="CG79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79" s="56" t="s">
        <v>989</v>
      </c>
      <c r="DB79" s="56" t="s">
        <v>186</v>
      </c>
      <c r="DC79" s="58">
        <v>0.81597222222222221</v>
      </c>
      <c r="DD7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79" s="57" cm="1">
        <f t="array" ref="DE7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79" s="56" t="str">
        <f>IF('Weekly Attendance'!AA198="Yes",'Weekly Attendance'!$D198,"")</f>
        <v>Jincheng Jiang</v>
      </c>
      <c r="DN79" s="56" t="s">
        <v>186</v>
      </c>
      <c r="DO79" s="58"/>
      <c r="DP7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79" s="57" t="str" cm="1">
        <f t="array" ref="DQ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0" spans="1:121">
      <c r="A80" s="16">
        <v>73</v>
      </c>
      <c r="B80" s="86"/>
      <c r="C80" s="56" t="s">
        <v>925</v>
      </c>
      <c r="D80" s="56" t="s">
        <v>186</v>
      </c>
      <c r="E80" s="58">
        <v>0.8125</v>
      </c>
      <c r="F80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0" s="57" cm="1">
        <f t="array" ref="G8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0" s="56" t="s">
        <v>977</v>
      </c>
      <c r="J80" s="56" t="s">
        <v>186</v>
      </c>
      <c r="K80" s="58">
        <v>0.7944444444444444</v>
      </c>
      <c r="L80" s="57">
        <f>IFERROR(IF(Table9[[#This Row],[Name]]="","",IFERROR(IF(Table9[[#This Row],[Time]]="","TBD",J$2-COUNTIF(Table9[Time],"&lt;"&amp;Table9[[#This Row],[Time]])),""))-(COUNTIF(Table9[Time],Table9[[#This Row],[Time]])-1),"")</f>
        <v>73</v>
      </c>
      <c r="M80" s="57" cm="1">
        <f t="array" ref="M8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0" s="56" t="s">
        <v>56</v>
      </c>
      <c r="P80" s="56" t="s">
        <v>186</v>
      </c>
      <c r="Q80" s="58">
        <v>0.81180555555555556</v>
      </c>
      <c r="R80" s="57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0" s="57" cm="1">
        <f t="array" ref="S8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0" s="56" t="s">
        <v>983</v>
      </c>
      <c r="V80" s="56" t="s">
        <v>186</v>
      </c>
      <c r="W80" s="58">
        <v>0.78402777777777777</v>
      </c>
      <c r="X80" s="57">
        <f>IFERROR(IF(Table2[[#This Row],[Name]]="","",IFERROR(IF(Table2[[#This Row],[Time]]="","TBD",V$2-COUNTIF(Table2[Time],"&lt;"&amp;Table2[[#This Row],[Time]])),""))-(COUNTIF(Table2[Time],Table2[[#This Row],[Time]])-1),"")</f>
        <v>73</v>
      </c>
      <c r="Y80" s="57" cm="1">
        <f t="array" ref="Y8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0" s="56" t="s">
        <v>1101</v>
      </c>
      <c r="AH80" s="56" t="s">
        <v>186</v>
      </c>
      <c r="AI80" s="58">
        <v>6.9444444444444447E-4</v>
      </c>
      <c r="AJ80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0" s="57" cm="1">
        <f t="array" ref="AK80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0" s="56" t="s">
        <v>1102</v>
      </c>
      <c r="AN80" s="56"/>
      <c r="AO80" s="58">
        <v>0.8041666666666667</v>
      </c>
      <c r="AP8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71</v>
      </c>
      <c r="AQ80" s="57" cm="1">
        <f t="array" ref="AQ8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0" s="105" t="s">
        <v>93</v>
      </c>
      <c r="AT80" s="56" t="s">
        <v>420</v>
      </c>
      <c r="AU80" s="58">
        <v>0.81180555555555556</v>
      </c>
      <c r="AV8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73</v>
      </c>
      <c r="AW80" s="57" cm="1">
        <f t="array" ref="AW8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0" s="56" t="s">
        <v>99</v>
      </c>
      <c r="AZ80" s="56" t="s">
        <v>186</v>
      </c>
      <c r="BA80" s="58">
        <v>0.80555555555555558</v>
      </c>
      <c r="BB8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0" s="57" cm="1">
        <f t="array" ref="BC8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0" s="56" t="s">
        <v>132</v>
      </c>
      <c r="BF80" s="56"/>
      <c r="BG80" s="58">
        <v>0.81111111111111112</v>
      </c>
      <c r="BH8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72</v>
      </c>
      <c r="BI80" s="57" cm="1">
        <f t="array" ref="BI8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0" s="56" t="s">
        <v>889</v>
      </c>
      <c r="BL80" s="56" t="s">
        <v>186</v>
      </c>
      <c r="BM80" s="58">
        <v>0.81041666666666667</v>
      </c>
      <c r="BN8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73</v>
      </c>
      <c r="BO80" s="57" cm="1">
        <f t="array" ref="BO8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0" s="56" t="s">
        <v>907</v>
      </c>
      <c r="BR80" s="56" t="s">
        <v>186</v>
      </c>
      <c r="BS80" s="58">
        <v>0.81111111111111112</v>
      </c>
      <c r="BT8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0" s="57" cm="1">
        <f t="array" ref="BU8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0" s="56" t="s">
        <v>1103</v>
      </c>
      <c r="BX80" s="56"/>
      <c r="BY80" s="58">
        <v>0.78472222222222221</v>
      </c>
      <c r="BZ8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73</v>
      </c>
      <c r="CA80" s="57" cm="1">
        <f t="array" ref="CA8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0" s="56" t="s">
        <v>1089</v>
      </c>
      <c r="CD80" s="56" t="s">
        <v>420</v>
      </c>
      <c r="CE80" s="58">
        <v>0.77638888888888891</v>
      </c>
      <c r="CF80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73</v>
      </c>
      <c r="CG80" s="57" cm="1">
        <f t="array" ref="CG80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0" s="56" t="s">
        <v>1009</v>
      </c>
      <c r="DB80" s="56" t="s">
        <v>186</v>
      </c>
      <c r="DC80" s="58">
        <v>0.81597222222222221</v>
      </c>
      <c r="DD8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71</v>
      </c>
      <c r="DE80" s="57" cm="1">
        <f t="array" ref="DE8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0" s="56" t="str">
        <f>IF('Weekly Attendance'!AA197="Yes",'Weekly Attendance'!$D197,"")</f>
        <v>Jiawei Bai</v>
      </c>
      <c r="DN80" s="56" t="s">
        <v>186</v>
      </c>
      <c r="DO80" s="58"/>
      <c r="DP8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0" s="57" t="str" cm="1">
        <f t="array" ref="DQ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1" spans="1:121">
      <c r="A81" s="16">
        <v>74</v>
      </c>
      <c r="B81" s="86"/>
      <c r="C81" s="56" t="s">
        <v>903</v>
      </c>
      <c r="D81" s="56"/>
      <c r="E81" s="58">
        <v>0.8125</v>
      </c>
      <c r="F81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1" s="57" cm="1">
        <f t="array" ref="G8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1" s="56" t="s">
        <v>56</v>
      </c>
      <c r="J81" s="56" t="s">
        <v>186</v>
      </c>
      <c r="K81" s="58">
        <v>0.79166666666666663</v>
      </c>
      <c r="L81" s="57">
        <f>IFERROR(IF(Table9[[#This Row],[Name]]="","",IFERROR(IF(Table9[[#This Row],[Time]]="","TBD",J$2-COUNTIF(Table9[Time],"&lt;"&amp;Table9[[#This Row],[Time]])),""))-(COUNTIF(Table9[Time],Table9[[#This Row],[Time]])-1),"")</f>
        <v>74</v>
      </c>
      <c r="M81" s="57" cm="1">
        <f t="array" ref="M8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1" s="56" t="s">
        <v>928</v>
      </c>
      <c r="P81" s="56" t="s">
        <v>186</v>
      </c>
      <c r="Q81" s="58">
        <v>0.81180555555555556</v>
      </c>
      <c r="R81" s="57">
        <f>IFERROR(IF(Table18[[#This Row],[Name]]="","",IFERROR(IF(Table18[[#This Row],[Time]]="","TBD",P$2-COUNTIF(Table18[Time],"&lt;"&amp;Table18[[#This Row],[Time]])),""))-(COUNTIF(Table18[Time],Table18[[#This Row],[Time]])-1),"")</f>
        <v>73</v>
      </c>
      <c r="S81" s="57" cm="1">
        <f t="array" ref="S8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1" s="56" t="s">
        <v>967</v>
      </c>
      <c r="V81" s="56" t="s">
        <v>186</v>
      </c>
      <c r="W81" s="58">
        <v>0.78402777777777777</v>
      </c>
      <c r="X81" s="57">
        <f>IFERROR(IF(Table2[[#This Row],[Name]]="","",IFERROR(IF(Table2[[#This Row],[Time]]="","TBD",V$2-COUNTIF(Table2[Time],"&lt;"&amp;Table2[[#This Row],[Time]])),""))-(COUNTIF(Table2[Time],Table2[[#This Row],[Time]])-1),"")</f>
        <v>73</v>
      </c>
      <c r="Y81" s="57" cm="1">
        <f t="array" ref="Y8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1" s="56" t="s">
        <v>59</v>
      </c>
      <c r="AH81" s="56" t="s">
        <v>186</v>
      </c>
      <c r="AI81" s="58">
        <v>6.9444444444444447E-4</v>
      </c>
      <c r="AJ81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1" s="57" cm="1">
        <f t="array" ref="AK81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1" s="56" t="s">
        <v>1041</v>
      </c>
      <c r="AN81" s="56" t="s">
        <v>186</v>
      </c>
      <c r="AO81" s="58">
        <v>0.80347222222222225</v>
      </c>
      <c r="AP8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74</v>
      </c>
      <c r="AQ81" s="57" cm="1">
        <f t="array" ref="AQ8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1" s="56" t="s">
        <v>1083</v>
      </c>
      <c r="AT81" s="56" t="s">
        <v>186</v>
      </c>
      <c r="AU81" s="58">
        <v>0.81111111111111112</v>
      </c>
      <c r="AV8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74</v>
      </c>
      <c r="AW81" s="57" cm="1">
        <f t="array" ref="AW8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1" s="56" t="s">
        <v>978</v>
      </c>
      <c r="AZ81" s="56" t="s">
        <v>186</v>
      </c>
      <c r="BA81" s="58">
        <v>0.80555555555555558</v>
      </c>
      <c r="BB8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1" s="57" cm="1">
        <f t="array" ref="BC8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1" s="56" t="s">
        <v>986</v>
      </c>
      <c r="BF81" s="56" t="s">
        <v>186</v>
      </c>
      <c r="BG81" s="58">
        <v>0.80902777777777779</v>
      </c>
      <c r="BH8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74</v>
      </c>
      <c r="BI81" s="57" cm="1">
        <f t="array" ref="BI8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1" s="56" t="s">
        <v>1040</v>
      </c>
      <c r="BL81" s="56"/>
      <c r="BM81" s="58">
        <v>0.80902777777777779</v>
      </c>
      <c r="BN8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74</v>
      </c>
      <c r="BO81" s="57" cm="1">
        <f t="array" ref="BO8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1" s="56" t="s">
        <v>920</v>
      </c>
      <c r="BR81" s="56" t="s">
        <v>186</v>
      </c>
      <c r="BS81" s="58">
        <v>0.81111111111111112</v>
      </c>
      <c r="BT8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1" s="57" cm="1">
        <f t="array" ref="BU8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1" s="56" t="s">
        <v>984</v>
      </c>
      <c r="BX81" s="56" t="s">
        <v>186</v>
      </c>
      <c r="BY81" s="58">
        <v>0.78333333333333333</v>
      </c>
      <c r="BZ8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74</v>
      </c>
      <c r="CA81" s="57" cm="1">
        <f t="array" ref="CA8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1" s="56" t="s">
        <v>20</v>
      </c>
      <c r="CD81" s="56"/>
      <c r="CE81" s="58">
        <v>0.76041666666666663</v>
      </c>
      <c r="CF81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74</v>
      </c>
      <c r="CG81" s="57" cm="1">
        <f t="array" ref="CG81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1" s="56" t="s">
        <v>35</v>
      </c>
      <c r="DB81" s="56" t="s">
        <v>186</v>
      </c>
      <c r="DC81" s="58">
        <v>0.81388888888888888</v>
      </c>
      <c r="DD8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74</v>
      </c>
      <c r="DE81" s="57" cm="1">
        <f t="array" ref="DE8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1" s="56" t="str">
        <f>IF('Weekly Attendance'!AA187="Yes",'Weekly Attendance'!$D187,"")</f>
        <v>Jacob Dusza</v>
      </c>
      <c r="DN81" s="56"/>
      <c r="DO81" s="58"/>
      <c r="DP8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1" s="57" t="str" cm="1">
        <f t="array" ref="DQ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2" spans="1:121">
      <c r="A82" s="16">
        <v>75</v>
      </c>
      <c r="B82" s="86"/>
      <c r="C82" s="56" t="s">
        <v>103</v>
      </c>
      <c r="D82" s="56"/>
      <c r="E82" s="58">
        <v>0.8125</v>
      </c>
      <c r="F82" s="57">
        <f>IFERROR(IF(Table4[[#This Row],[Name]]="","",IFERROR(IF(Table4[[#This Row],[Time]]="","TBD",D$2-COUNTIF(Table4[Time],"&lt;"&amp;Table4[[#This Row],[Time]])),""))-(COUNTIF(Table4[Time],Table4[[#This Row],[Time]])-1),"")</f>
        <v>72</v>
      </c>
      <c r="G82" s="57" cm="1">
        <f t="array" ref="G8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2" s="56" t="s">
        <v>29</v>
      </c>
      <c r="J82" s="56" t="s">
        <v>186</v>
      </c>
      <c r="K82" s="58">
        <v>0.79166666666666663</v>
      </c>
      <c r="L82" s="57">
        <f>IFERROR(IF(Table9[[#This Row],[Name]]="","",IFERROR(IF(Table9[[#This Row],[Time]]="","TBD",J$2-COUNTIF(Table9[Time],"&lt;"&amp;Table9[[#This Row],[Time]])),""))-(COUNTIF(Table9[Time],Table9[[#This Row],[Time]])-1),"")</f>
        <v>74</v>
      </c>
      <c r="M82" s="57" cm="1">
        <f t="array" ref="M8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2" s="56" t="s">
        <v>966</v>
      </c>
      <c r="P82" s="56" t="s">
        <v>186</v>
      </c>
      <c r="Q82" s="58">
        <v>0.81111111111111112</v>
      </c>
      <c r="R82" s="57">
        <f>IFERROR(IF(Table18[[#This Row],[Name]]="","",IFERROR(IF(Table18[[#This Row],[Time]]="","TBD",P$2-COUNTIF(Table18[Time],"&lt;"&amp;Table18[[#This Row],[Time]])),""))-(COUNTIF(Table18[Time],Table18[[#This Row],[Time]])-1),"")</f>
        <v>75</v>
      </c>
      <c r="S82" s="57" cm="1">
        <f t="array" ref="S8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2" s="56" t="s">
        <v>1047</v>
      </c>
      <c r="V82" s="56" t="s">
        <v>186</v>
      </c>
      <c r="W82" s="58">
        <v>6.9444444444444447E-4</v>
      </c>
      <c r="X82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2" s="57" cm="1">
        <f t="array" ref="Y8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2" s="56" t="s">
        <v>1104</v>
      </c>
      <c r="AH82" s="56" t="s">
        <v>186</v>
      </c>
      <c r="AI82" s="58">
        <v>6.9444444444444447E-4</v>
      </c>
      <c r="AJ82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2" s="57" cm="1">
        <f t="array" ref="AK82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2" s="56" t="s">
        <v>47</v>
      </c>
      <c r="AN82" s="56" t="s">
        <v>186</v>
      </c>
      <c r="AO82" s="58">
        <v>0.80277777777777781</v>
      </c>
      <c r="AP8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75</v>
      </c>
      <c r="AQ82" s="57" cm="1">
        <f t="array" ref="AQ8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2" s="56" t="s">
        <v>119</v>
      </c>
      <c r="AT82" s="56" t="s">
        <v>186</v>
      </c>
      <c r="AU82" s="58">
        <v>0.80833333333333335</v>
      </c>
      <c r="AV8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75</v>
      </c>
      <c r="AW82" s="57" cm="1">
        <f t="array" ref="AW8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2" s="56" t="s">
        <v>1070</v>
      </c>
      <c r="AZ82" s="56"/>
      <c r="BA82" s="58">
        <v>0.80555555555555558</v>
      </c>
      <c r="BB8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73</v>
      </c>
      <c r="BC82" s="57" cm="1">
        <f t="array" ref="BC8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2" s="56" t="s">
        <v>48</v>
      </c>
      <c r="BF82" s="56"/>
      <c r="BG82" s="58">
        <v>0.80833333333333335</v>
      </c>
      <c r="BH8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75</v>
      </c>
      <c r="BI82" s="57" cm="1">
        <f t="array" ref="BI8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2" s="56" t="s">
        <v>1105</v>
      </c>
      <c r="BL82" s="56"/>
      <c r="BM82" s="58">
        <v>0.80833333333333335</v>
      </c>
      <c r="BN8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75</v>
      </c>
      <c r="BO82" s="57" cm="1">
        <f t="array" ref="BO8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2" s="56" t="s">
        <v>913</v>
      </c>
      <c r="BR82" s="56" t="s">
        <v>186</v>
      </c>
      <c r="BS82" s="58">
        <v>0.81111111111111112</v>
      </c>
      <c r="BT8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71</v>
      </c>
      <c r="BU82" s="57" cm="1">
        <f t="array" ref="BU8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2" s="56" t="s">
        <v>132</v>
      </c>
      <c r="BX82" s="56" t="s">
        <v>420</v>
      </c>
      <c r="BY82" s="58">
        <v>0.78333333333333333</v>
      </c>
      <c r="BZ8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74</v>
      </c>
      <c r="CA82" s="57" cm="1">
        <f t="array" ref="CA8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2" s="56" t="s">
        <v>968</v>
      </c>
      <c r="CD82" s="56" t="s">
        <v>186</v>
      </c>
      <c r="CE82" s="58">
        <v>6.9444444444444447E-4</v>
      </c>
      <c r="CF82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75</v>
      </c>
      <c r="CG82" s="57" cm="1">
        <f t="array" ref="CG82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2" s="56" t="s">
        <v>919</v>
      </c>
      <c r="DB82" s="56" t="s">
        <v>186</v>
      </c>
      <c r="DC82" s="58">
        <v>0.81319444444444444</v>
      </c>
      <c r="DD8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75</v>
      </c>
      <c r="DE82" s="57" cm="1">
        <f t="array" ref="DE8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2" s="56" t="str">
        <f>IF('Weekly Attendance'!AA179="Yes",'Weekly Attendance'!$D179,"")</f>
        <v>Hooman Nozari</v>
      </c>
      <c r="DN82" s="56"/>
      <c r="DO82" s="58"/>
      <c r="DP8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2" s="57" t="str" cm="1">
        <f t="array" ref="DQ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3" spans="1:121">
      <c r="A83" s="16">
        <v>76</v>
      </c>
      <c r="B83" s="86"/>
      <c r="C83" s="56" t="s">
        <v>934</v>
      </c>
      <c r="D83" s="56"/>
      <c r="E83" s="58">
        <v>0.81111111111111112</v>
      </c>
      <c r="F83" s="57">
        <f>IFERROR(IF(Table4[[#This Row],[Name]]="","",IFERROR(IF(Table4[[#This Row],[Time]]="","TBD",D$2-COUNTIF(Table4[Time],"&lt;"&amp;Table4[[#This Row],[Time]])),""))-(COUNTIF(Table4[Time],Table4[[#This Row],[Time]])-1),"")</f>
        <v>76</v>
      </c>
      <c r="G83" s="57" cm="1">
        <f t="array" ref="G8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3" s="56" t="s">
        <v>978</v>
      </c>
      <c r="J83" s="56" t="s">
        <v>186</v>
      </c>
      <c r="K83" s="58">
        <v>0.7895833333333333</v>
      </c>
      <c r="L83" s="57">
        <f>IFERROR(IF(Table9[[#This Row],[Name]]="","",IFERROR(IF(Table9[[#This Row],[Time]]="","TBD",J$2-COUNTIF(Table9[Time],"&lt;"&amp;Table9[[#This Row],[Time]])),""))-(COUNTIF(Table9[Time],Table9[[#This Row],[Time]])-1),"")</f>
        <v>76</v>
      </c>
      <c r="M83" s="57" cm="1">
        <f t="array" ref="M8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3" s="56" t="s">
        <v>1095</v>
      </c>
      <c r="P83" s="56" t="s">
        <v>186</v>
      </c>
      <c r="Q83" s="58">
        <v>0.80902777777777779</v>
      </c>
      <c r="R83" s="57">
        <f>IFERROR(IF(Table18[[#This Row],[Name]]="","",IFERROR(IF(Table18[[#This Row],[Time]]="","TBD",P$2-COUNTIF(Table18[Time],"&lt;"&amp;Table18[[#This Row],[Time]])),""))-(COUNTIF(Table18[Time],Table18[[#This Row],[Time]])-1),"")</f>
        <v>76</v>
      </c>
      <c r="S83" s="57" cm="1">
        <f t="array" ref="S8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3" s="56" t="s">
        <v>1071</v>
      </c>
      <c r="V83" s="56" t="s">
        <v>186</v>
      </c>
      <c r="W83" s="58">
        <v>6.9444444444444447E-4</v>
      </c>
      <c r="X83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3" s="57" cm="1">
        <f t="array" ref="Y83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3" s="56" t="s">
        <v>946</v>
      </c>
      <c r="AH83" s="56"/>
      <c r="AI83" s="58">
        <v>6.9444444444444447E-4</v>
      </c>
      <c r="AJ83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3" s="57" cm="1">
        <f t="array" ref="AK83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3" s="56" t="s">
        <v>902</v>
      </c>
      <c r="AN83" s="56" t="s">
        <v>186</v>
      </c>
      <c r="AO83" s="58">
        <v>0.7993055555555556</v>
      </c>
      <c r="AP8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3" s="57" cm="1">
        <f t="array" ref="AQ8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3" s="105" t="s">
        <v>156</v>
      </c>
      <c r="AT83" s="56" t="s">
        <v>420</v>
      </c>
      <c r="AU83" s="58">
        <v>0.80347222222222225</v>
      </c>
      <c r="AV8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3" s="57" cm="1">
        <f t="array" ref="AW8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3" s="56" t="s">
        <v>1106</v>
      </c>
      <c r="AZ83" s="56" t="s">
        <v>186</v>
      </c>
      <c r="BA83" s="58">
        <v>0.7993055555555556</v>
      </c>
      <c r="BB8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76</v>
      </c>
      <c r="BC83" s="57" cm="1">
        <f t="array" ref="BC8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3" s="56" t="s">
        <v>890</v>
      </c>
      <c r="BF83" s="56" t="s">
        <v>186</v>
      </c>
      <c r="BG83" s="58">
        <v>0.80625000000000002</v>
      </c>
      <c r="BH8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76</v>
      </c>
      <c r="BI83" s="57" cm="1">
        <f t="array" ref="BI8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3" s="56" t="s">
        <v>1070</v>
      </c>
      <c r="BL83" s="56" t="s">
        <v>186</v>
      </c>
      <c r="BM83" s="58">
        <v>0.80763888888888891</v>
      </c>
      <c r="BN8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76</v>
      </c>
      <c r="BO83" s="57" cm="1">
        <f t="array" ref="BO8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3" s="56" t="s">
        <v>919</v>
      </c>
      <c r="BR83" s="56" t="s">
        <v>186</v>
      </c>
      <c r="BS83" s="58">
        <v>0.81041666666666667</v>
      </c>
      <c r="BT8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76</v>
      </c>
      <c r="BU83" s="57" cm="1">
        <f t="array" ref="BU8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3" s="56" t="s">
        <v>890</v>
      </c>
      <c r="BX83" s="56" t="s">
        <v>186</v>
      </c>
      <c r="BY83" s="58">
        <v>6.9444444444444447E-4</v>
      </c>
      <c r="BZ8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3" s="57" cm="1">
        <f t="array" ref="CA8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CC83" s="56" t="s">
        <v>142</v>
      </c>
      <c r="CD83" s="56" t="s">
        <v>186</v>
      </c>
      <c r="CE83" s="58">
        <v>6.9444444444444447E-4</v>
      </c>
      <c r="CF83" s="57">
        <f>IFERROR(IF(Table2111216420212223253435[[#This Row],[Name]]="","",IFERROR(IF(Table2111216420212223253435[[#This Row],[Time]]="","TBD",CD$2-COUNTIF(Table2111216420212223253435[Time],"&lt;"&amp;Table2111216420212223253435[[#This Row],[Time]])),""))-(COUNTIF(Table2111216420212223253435[Time],Table2111216420212223253435[[#This Row],[Time]])-1),"")</f>
        <v>75</v>
      </c>
      <c r="CG83" s="57" cm="1">
        <f t="array" ref="CG83">IF(ISNUMBER(Table2111216420212223253435[[#This Row],[True Rank]])=TRUE,ROUNDUP(IF(Table2111216420212223253435[[#This Row],[Rebuy]]="Yes",75%,100%)*_xlfn.IFS(Table2111216420212223253435[[#This Row],[True Rank]]=Structures!$B$3,Structures!$D$3,Table2111216420212223253435[[#This Row],[True Rank]]=Structures!$B$4,Structures!$D$4,Table2111216420212223253435[[#This Row],[True Rank]]=Structures!$B$5,Structures!$D$5,Table2111216420212223253435[[#This Row],[True Rank]]&lt;Structures!$C$6,Structures!$D$6,Table2111216420212223253435[[#This Row],[True Rank]]&lt;=_xlfn.PERCENTILE.INC(_xlfn.SEQUENCE(MAX(Table2111216420212223253435[True Rank])),Structures!$C$7),Structures!$D$7,Table2111216420212223253435[[#This Row],[True Rank]]&lt;=_xlfn.PERCENTILE.INC(_xlfn.SEQUENCE(MAX(Table2111216420212223253435[True Rank])),Structures!$C$8),Structures!$D$8,Table2111216420212223253435[[#This Row],[True Rank]]&lt;=_xlfn.PERCENTILE.INC(_xlfn.SEQUENCE(MAX(Table2111216420212223253435[True Rank])),Structures!$C$9),Structures!$D$9),0),Table2111216420212223253435[[#This Row],[True Rank]])</f>
        <v>1</v>
      </c>
      <c r="DA83" s="56" t="s">
        <v>962</v>
      </c>
      <c r="DB83" s="56" t="s">
        <v>186</v>
      </c>
      <c r="DC83" s="58">
        <v>0.81041666666666667</v>
      </c>
      <c r="DD8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76</v>
      </c>
      <c r="DE83" s="57" cm="1">
        <f t="array" ref="DE8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3" s="56" t="str">
        <f>IF('Weekly Attendance'!AA159="Yes",'Weekly Attendance'!$D159,"")</f>
        <v>Eric Song</v>
      </c>
      <c r="DN83" s="56"/>
      <c r="DO83" s="58"/>
      <c r="DP8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3" s="57" t="str" cm="1">
        <f t="array" ref="DQ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4" spans="1:121">
      <c r="A84" s="16">
        <v>77</v>
      </c>
      <c r="B84" s="86"/>
      <c r="C84" s="56" t="s">
        <v>977</v>
      </c>
      <c r="D84" s="56" t="s">
        <v>186</v>
      </c>
      <c r="E84" s="58">
        <v>0.81111111111111112</v>
      </c>
      <c r="F84" s="57">
        <f>IFERROR(IF(Table4[[#This Row],[Name]]="","",IFERROR(IF(Table4[[#This Row],[Time]]="","TBD",D$2-COUNTIF(Table4[Time],"&lt;"&amp;Table4[[#This Row],[Time]])),""))-(COUNTIF(Table4[Time],Table4[[#This Row],[Time]])-1),"")</f>
        <v>76</v>
      </c>
      <c r="G84" s="57" cm="1">
        <f t="array" ref="G8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4" s="56" t="s">
        <v>919</v>
      </c>
      <c r="J84" s="56" t="s">
        <v>186</v>
      </c>
      <c r="K84" s="58">
        <v>0.78611111111111109</v>
      </c>
      <c r="L84" s="57">
        <f>IFERROR(IF(Table9[[#This Row],[Name]]="","",IFERROR(IF(Table9[[#This Row],[Time]]="","TBD",J$2-COUNTIF(Table9[Time],"&lt;"&amp;Table9[[#This Row],[Time]])),""))-(COUNTIF(Table9[Time],Table9[[#This Row],[Time]])-1),"")</f>
        <v>77</v>
      </c>
      <c r="M84" s="57" cm="1">
        <f t="array" ref="M8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4" s="56" t="s">
        <v>1107</v>
      </c>
      <c r="P84" s="56" t="s">
        <v>186</v>
      </c>
      <c r="Q84" s="58">
        <v>0.80763888888888891</v>
      </c>
      <c r="R84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4" s="57" cm="1">
        <f t="array" ref="S8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4" s="56" t="s">
        <v>1084</v>
      </c>
      <c r="V84" s="56" t="s">
        <v>186</v>
      </c>
      <c r="W84" s="58">
        <v>6.9444444444444447E-4</v>
      </c>
      <c r="X84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4" s="57" cm="1">
        <f t="array" ref="Y84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4" s="56" t="s">
        <v>978</v>
      </c>
      <c r="AH84" s="56"/>
      <c r="AI84" s="58">
        <v>6.9444444444444447E-4</v>
      </c>
      <c r="AJ84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4" s="57" cm="1">
        <f t="array" ref="AK84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4" s="56" t="s">
        <v>886</v>
      </c>
      <c r="AN84" s="56" t="s">
        <v>186</v>
      </c>
      <c r="AO84" s="58">
        <v>0.7993055555555556</v>
      </c>
      <c r="AP8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4" s="57" cm="1">
        <f t="array" ref="AQ8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4" s="56" t="s">
        <v>965</v>
      </c>
      <c r="AT84" s="56" t="s">
        <v>420</v>
      </c>
      <c r="AU84" s="58">
        <v>0.80347222222222225</v>
      </c>
      <c r="AV8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76</v>
      </c>
      <c r="AW84" s="57" cm="1">
        <f t="array" ref="AW8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4" s="56" t="s">
        <v>1013</v>
      </c>
      <c r="AZ84" s="56" t="s">
        <v>186</v>
      </c>
      <c r="BA84" s="58">
        <v>0.79861111111111116</v>
      </c>
      <c r="BB8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77</v>
      </c>
      <c r="BC84" s="57" cm="1">
        <f t="array" ref="BC8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4" s="56" t="s">
        <v>162</v>
      </c>
      <c r="BF84" s="56" t="s">
        <v>186</v>
      </c>
      <c r="BG84" s="58">
        <v>0.8041666666666667</v>
      </c>
      <c r="BH8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77</v>
      </c>
      <c r="BI84" s="57" cm="1">
        <f t="array" ref="BI8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4" s="56" t="s">
        <v>69</v>
      </c>
      <c r="BL84" s="56"/>
      <c r="BM84" s="58">
        <v>0.80763888888888891</v>
      </c>
      <c r="BN8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76</v>
      </c>
      <c r="BO84" s="57" cm="1">
        <f t="array" ref="BO8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4" s="56" t="s">
        <v>1108</v>
      </c>
      <c r="BR84" s="56" t="s">
        <v>186</v>
      </c>
      <c r="BS84" s="58">
        <v>0.80833333333333335</v>
      </c>
      <c r="BT8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77</v>
      </c>
      <c r="BU84" s="57" cm="1">
        <f t="array" ref="BU8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4" s="56" t="s">
        <v>176</v>
      </c>
      <c r="BX84" s="56" t="s">
        <v>186</v>
      </c>
      <c r="BY84" s="58">
        <v>6.9444444444444447E-4</v>
      </c>
      <c r="BZ8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4" s="57" cm="1">
        <f t="array" ref="CA8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4" s="56" t="s">
        <v>966</v>
      </c>
      <c r="DB84" s="56" t="s">
        <v>186</v>
      </c>
      <c r="DC84" s="58">
        <v>0.80555555555555558</v>
      </c>
      <c r="DD8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77</v>
      </c>
      <c r="DE84" s="57" cm="1">
        <f t="array" ref="DE8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4" s="56" t="str">
        <f>IF('Weekly Attendance'!AA135="Yes",'Weekly Attendance'!$D135,"")</f>
        <v>Curtis Elve</v>
      </c>
      <c r="DN84" s="56" t="s">
        <v>186</v>
      </c>
      <c r="DO84" s="58"/>
      <c r="DP8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4" s="57" t="str" cm="1">
        <f t="array" ref="DQ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5" spans="1:121" ht="19.5" thickBot="1">
      <c r="A85" s="16">
        <v>78</v>
      </c>
      <c r="B85" s="86"/>
      <c r="C85" s="56" t="s">
        <v>983</v>
      </c>
      <c r="D85" s="56" t="s">
        <v>186</v>
      </c>
      <c r="E85" s="58">
        <v>0.81041666666666667</v>
      </c>
      <c r="F85" s="57">
        <f>IFERROR(IF(Table4[[#This Row],[Name]]="","",IFERROR(IF(Table4[[#This Row],[Time]]="","TBD",D$2-COUNTIF(Table4[Time],"&lt;"&amp;Table4[[#This Row],[Time]])),""))-(COUNTIF(Table4[Time],Table4[[#This Row],[Time]])-1),"")</f>
        <v>78</v>
      </c>
      <c r="G85" s="57" cm="1">
        <f t="array" ref="G8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5" s="56" t="s">
        <v>129</v>
      </c>
      <c r="J85" s="56" t="s">
        <v>186</v>
      </c>
      <c r="K85" s="58">
        <v>0.78541666666666665</v>
      </c>
      <c r="L85" s="57">
        <f>IFERROR(IF(Table9[[#This Row],[Name]]="","",IFERROR(IF(Table9[[#This Row],[Time]]="","TBD",J$2-COUNTIF(Table9[Time],"&lt;"&amp;Table9[[#This Row],[Time]])),""))-(COUNTIF(Table9[Time],Table9[[#This Row],[Time]])-1),"")</f>
        <v>78</v>
      </c>
      <c r="M85" s="57" cm="1">
        <f t="array" ref="M8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5" s="56" t="s">
        <v>1025</v>
      </c>
      <c r="P85" s="56" t="s">
        <v>186</v>
      </c>
      <c r="Q85" s="58">
        <v>0.80763888888888891</v>
      </c>
      <c r="R85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5" s="57" cm="1">
        <f t="array" ref="S8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5" s="56" t="s">
        <v>920</v>
      </c>
      <c r="V85" s="56" t="s">
        <v>186</v>
      </c>
      <c r="W85" s="58">
        <v>6.9444444444444447E-4</v>
      </c>
      <c r="X85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5" s="57" cm="1">
        <f t="array" ref="Y85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5" s="56" t="s">
        <v>20</v>
      </c>
      <c r="AH85" s="56"/>
      <c r="AI85" s="58">
        <v>6.9444444444444447E-4</v>
      </c>
      <c r="AJ85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5" s="57" cm="1">
        <f t="array" ref="AK85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5" s="56" t="s">
        <v>103</v>
      </c>
      <c r="AN85" s="56" t="s">
        <v>186</v>
      </c>
      <c r="AO85" s="58">
        <v>0.7993055555555556</v>
      </c>
      <c r="AP8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76</v>
      </c>
      <c r="AQ85" s="57" cm="1">
        <f t="array" ref="AQ8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5" s="56" t="s">
        <v>1004</v>
      </c>
      <c r="AT85" s="56" t="s">
        <v>186</v>
      </c>
      <c r="AU85" s="58">
        <v>0.80277777777777781</v>
      </c>
      <c r="AV8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78</v>
      </c>
      <c r="AW85" s="57" cm="1">
        <f t="array" ref="AW8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5" s="56" t="s">
        <v>119</v>
      </c>
      <c r="AZ85" s="56" t="s">
        <v>186</v>
      </c>
      <c r="BA85" s="58">
        <v>0.79722222222222228</v>
      </c>
      <c r="BB8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78</v>
      </c>
      <c r="BC85" s="57" cm="1">
        <f t="array" ref="BC8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5" s="56" t="s">
        <v>984</v>
      </c>
      <c r="BF85" s="56"/>
      <c r="BG85" s="58">
        <v>0.79305555555555551</v>
      </c>
      <c r="BH8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78</v>
      </c>
      <c r="BI85" s="57" cm="1">
        <f t="array" ref="BI8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5" s="56" t="s">
        <v>142</v>
      </c>
      <c r="BL85" s="56" t="s">
        <v>186</v>
      </c>
      <c r="BM85" s="58">
        <v>0.80555555555555558</v>
      </c>
      <c r="BN8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78</v>
      </c>
      <c r="BO85" s="57" cm="1">
        <f t="array" ref="BO8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5" s="56" t="s">
        <v>148</v>
      </c>
      <c r="BR85" s="56"/>
      <c r="BS85" s="58">
        <v>0.80625000000000002</v>
      </c>
      <c r="BT8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78</v>
      </c>
      <c r="BU85" s="57" cm="1">
        <f t="array" ref="BU8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5" s="56" t="s">
        <v>1048</v>
      </c>
      <c r="BX85" s="56" t="s">
        <v>186</v>
      </c>
      <c r="BY85" s="58">
        <v>6.9444444444444447E-4</v>
      </c>
      <c r="BZ8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5" s="57" cm="1">
        <f t="array" ref="CA8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5" s="56" t="s">
        <v>43</v>
      </c>
      <c r="DB85" s="56" t="s">
        <v>186</v>
      </c>
      <c r="DC85" s="58">
        <v>0.80347222222222225</v>
      </c>
      <c r="DD8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78</v>
      </c>
      <c r="DE85" s="57" cm="1">
        <f t="array" ref="DE8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5" s="56" t="str">
        <f>IF('Weekly Attendance'!AA120="Yes",'Weekly Attendance'!$D120,"")</f>
        <v>Bhargav Kandlakuti</v>
      </c>
      <c r="DN85" s="56" t="s">
        <v>186</v>
      </c>
      <c r="DO85" s="147"/>
      <c r="DP8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5" s="57" t="str" cm="1">
        <f t="array" ref="DQ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6" spans="1:121">
      <c r="A86" s="16">
        <v>79</v>
      </c>
      <c r="B86" s="86"/>
      <c r="C86" s="56" t="s">
        <v>927</v>
      </c>
      <c r="D86" s="56" t="s">
        <v>186</v>
      </c>
      <c r="E86" s="58">
        <v>0.80972222222222223</v>
      </c>
      <c r="F86" s="57">
        <f>IFERROR(IF(Table4[[#This Row],[Name]]="","",IFERROR(IF(Table4[[#This Row],[Time]]="","TBD",D$2-COUNTIF(Table4[Time],"&lt;"&amp;Table4[[#This Row],[Time]])),""))-(COUNTIF(Table4[Time],Table4[[#This Row],[Time]])-1),"")</f>
        <v>79</v>
      </c>
      <c r="G86" s="57" cm="1">
        <f t="array" ref="G8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6" s="56" t="s">
        <v>971</v>
      </c>
      <c r="J86" s="56" t="s">
        <v>186</v>
      </c>
      <c r="K86" s="58">
        <v>0.78055555555555556</v>
      </c>
      <c r="L86" s="57">
        <f>IFERROR(IF(Table9[[#This Row],[Name]]="","",IFERROR(IF(Table9[[#This Row],[Time]]="","TBD",J$2-COUNTIF(Table9[Time],"&lt;"&amp;Table9[[#This Row],[Time]])),""))-(COUNTIF(Table9[Time],Table9[[#This Row],[Time]])-1),"")</f>
        <v>79</v>
      </c>
      <c r="M86" s="57" cm="1">
        <f t="array" ref="M86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6" s="56" t="s">
        <v>1001</v>
      </c>
      <c r="P86" s="56" t="s">
        <v>186</v>
      </c>
      <c r="Q86" s="58">
        <v>0.80763888888888891</v>
      </c>
      <c r="R86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6" s="57" cm="1">
        <f t="array" ref="S8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6" s="56" t="s">
        <v>1109</v>
      </c>
      <c r="V86" s="56" t="s">
        <v>186</v>
      </c>
      <c r="W86" s="58">
        <v>6.9444444444444447E-4</v>
      </c>
      <c r="X86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6" s="57" cm="1">
        <f t="array" ref="Y86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G86" s="56" t="s">
        <v>960</v>
      </c>
      <c r="AH86" s="56"/>
      <c r="AI86" s="58">
        <v>6.9444444444444447E-4</v>
      </c>
      <c r="AJ86" s="57">
        <f>IFERROR(IF(Table21112[[#This Row],[Name]]="","",IFERROR(IF(Table21112[[#This Row],[Time]]="","TBD",AH$2-COUNTIF(Table21112[Time],"&lt;"&amp;Table21112[[#This Row],[Time]])),""))-(COUNTIF(Table21112[Time],Table21112[[#This Row],[Time]])-1),"")</f>
        <v>73</v>
      </c>
      <c r="AK86" s="57" cm="1">
        <f t="array" ref="AK86">IF(ISNUMBER(Table21112[[#This Row],[True Rank]])=TRUE,ROUNDUP(IF(Table21112[[#This Row],[Rebuy]]="Yes",75%,100%)*_xlfn.IFS(Table21112[[#This Row],[True Rank]]=Structures!$B$3,Structures!$D$3,Table21112[[#This Row],[True Rank]]=Structures!$B$4,Structures!$D$4,Table21112[[#This Row],[True Rank]]=Structures!$B$5,Structures!$D$5,Table21112[[#This Row],[True Rank]]&lt;Structures!$C$6,Structures!$D$6,Table21112[[#This Row],[True Rank]]&lt;=_xlfn.PERCENTILE.INC(Table21112[True Rank],Structures!$C$7),Structures!$D$7,Table21112[[#This Row],[True Rank]]&lt;=_xlfn.PERCENTILE.INC(Table21112[True Rank],Structures!$C$8),Structures!$D$8,Table21112[[#This Row],[True Rank]]&lt;=_xlfn.PERCENTILE.INC(Table21112[True Rank],Structures!$C$9),Structures!$D$9),0),Table21112[[#This Row],[True Rank]])</f>
        <v>1</v>
      </c>
      <c r="AM86" s="56" t="s">
        <v>1001</v>
      </c>
      <c r="AN86" s="56" t="s">
        <v>186</v>
      </c>
      <c r="AO86" s="58">
        <v>0.79652777777777772</v>
      </c>
      <c r="AP8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79</v>
      </c>
      <c r="AQ86" s="57" cm="1">
        <f t="array" ref="AQ8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6" s="56" t="s">
        <v>972</v>
      </c>
      <c r="AT86" s="56"/>
      <c r="AU86" s="58">
        <v>0.80138888888888893</v>
      </c>
      <c r="AV8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79</v>
      </c>
      <c r="AW86" s="57" cm="1">
        <f t="array" ref="AW8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6" s="56" t="s">
        <v>148</v>
      </c>
      <c r="AZ86" s="56" t="s">
        <v>186</v>
      </c>
      <c r="BA86" s="58">
        <v>0.79583333333333328</v>
      </c>
      <c r="BB8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79</v>
      </c>
      <c r="BC86" s="57" cm="1">
        <f t="array" ref="BC8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6" s="56" t="s">
        <v>954</v>
      </c>
      <c r="BF86" s="56" t="s">
        <v>186</v>
      </c>
      <c r="BG86" s="58">
        <v>0.79097222222222219</v>
      </c>
      <c r="BH8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79</v>
      </c>
      <c r="BI86" s="57" cm="1">
        <f t="array" ref="BI8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6" s="56" t="s">
        <v>1004</v>
      </c>
      <c r="BL86" s="56" t="s">
        <v>186</v>
      </c>
      <c r="BM86" s="58">
        <v>0.80486111111111114</v>
      </c>
      <c r="BN8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79</v>
      </c>
      <c r="BO86" s="57" cm="1">
        <f t="array" ref="BO8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6" s="56" t="s">
        <v>142</v>
      </c>
      <c r="BR86" s="56"/>
      <c r="BS86" s="58">
        <v>0.80625000000000002</v>
      </c>
      <c r="BT8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78</v>
      </c>
      <c r="BU86" s="57" cm="1">
        <f t="array" ref="BU8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6" s="56" t="s">
        <v>991</v>
      </c>
      <c r="BX86" s="56"/>
      <c r="BY86" s="58">
        <v>6.9444444444444447E-4</v>
      </c>
      <c r="BZ8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6" s="57" cm="1">
        <f t="array" ref="CA8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6" s="56" t="s">
        <v>148</v>
      </c>
      <c r="DB86" s="56" t="s">
        <v>186</v>
      </c>
      <c r="DC86" s="58">
        <v>0.79722222222222228</v>
      </c>
      <c r="DD8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79</v>
      </c>
      <c r="DE86" s="57" cm="1">
        <f t="array" ref="DE8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6" s="56" t="str">
        <f>IF('Weekly Attendance'!AA94="Yes",'Weekly Attendance'!$D94,"")</f>
        <v>Amal Sathees</v>
      </c>
      <c r="DN86" s="56" t="s">
        <v>186</v>
      </c>
      <c r="DO86" s="58"/>
      <c r="DP8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6" s="57" t="str" cm="1">
        <f t="array" ref="DQ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7" spans="1:121">
      <c r="A87" s="16">
        <v>80</v>
      </c>
      <c r="B87" s="86"/>
      <c r="C87" s="56" t="s">
        <v>152</v>
      </c>
      <c r="D87" s="56" t="s">
        <v>186</v>
      </c>
      <c r="E87" s="58">
        <v>0.80972222222222223</v>
      </c>
      <c r="F87" s="57">
        <f>IFERROR(IF(Table4[[#This Row],[Name]]="","",IFERROR(IF(Table4[[#This Row],[Time]]="","TBD",D$2-COUNTIF(Table4[Time],"&lt;"&amp;Table4[[#This Row],[Time]])),""))-(COUNTIF(Table4[Time],Table4[[#This Row],[Time]])-1),"")</f>
        <v>79</v>
      </c>
      <c r="G87" s="57" cm="1">
        <f t="array" ref="G8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7" s="56" t="s">
        <v>928</v>
      </c>
      <c r="J87" s="56"/>
      <c r="K87" s="58">
        <v>6.9444444444444447E-4</v>
      </c>
      <c r="L87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7" s="57" cm="1">
        <f t="array" ref="M87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7" s="56" t="s">
        <v>136</v>
      </c>
      <c r="P87" s="56"/>
      <c r="Q87" s="58">
        <v>0.80763888888888891</v>
      </c>
      <c r="R87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7" s="57" cm="1">
        <f t="array" ref="S8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7" s="56" t="s">
        <v>902</v>
      </c>
      <c r="V87" s="56"/>
      <c r="W87" s="58">
        <v>6.9444444444444447E-4</v>
      </c>
      <c r="X87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7" s="57" cm="1">
        <f t="array" ref="Y87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7" s="56" t="s">
        <v>995</v>
      </c>
      <c r="AN87" s="56" t="s">
        <v>186</v>
      </c>
      <c r="AO87" s="58">
        <v>0.79513888888888884</v>
      </c>
      <c r="AP8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80</v>
      </c>
      <c r="AQ87" s="57" cm="1">
        <f t="array" ref="AQ8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7" s="56" t="s">
        <v>115</v>
      </c>
      <c r="AT87" s="56" t="s">
        <v>420</v>
      </c>
      <c r="AU87" s="58">
        <v>0.80069444444444449</v>
      </c>
      <c r="AV8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80</v>
      </c>
      <c r="AW87" s="57" cm="1">
        <f t="array" ref="AW8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7" s="56" t="s">
        <v>162</v>
      </c>
      <c r="AZ87" s="56" t="s">
        <v>186</v>
      </c>
      <c r="BA87" s="58">
        <v>0.79513888888888884</v>
      </c>
      <c r="BB8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80</v>
      </c>
      <c r="BC87" s="57" cm="1">
        <f t="array" ref="BC8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7" s="56" t="s">
        <v>152</v>
      </c>
      <c r="BF87" s="56" t="s">
        <v>186</v>
      </c>
      <c r="BG87" s="58">
        <v>0.7895833333333333</v>
      </c>
      <c r="BH87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80</v>
      </c>
      <c r="BI87" s="57" cm="1">
        <f t="array" ref="BI87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7" s="56" t="s">
        <v>87</v>
      </c>
      <c r="BL87" s="56"/>
      <c r="BM87" s="58">
        <v>0.80486111111111114</v>
      </c>
      <c r="BN8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79</v>
      </c>
      <c r="BO87" s="57" cm="1">
        <f t="array" ref="BO8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7" s="56" t="s">
        <v>900</v>
      </c>
      <c r="BR87" s="56" t="s">
        <v>186</v>
      </c>
      <c r="BS87" s="58">
        <v>0.80555555555555558</v>
      </c>
      <c r="BT8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80</v>
      </c>
      <c r="BU87" s="57" cm="1">
        <f t="array" ref="BU8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7" s="56" t="s">
        <v>152</v>
      </c>
      <c r="BX87" s="56"/>
      <c r="BY87" s="58">
        <v>6.9444444444444447E-4</v>
      </c>
      <c r="BZ8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7" s="57" cm="1">
        <f t="array" ref="CA8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7" s="56" t="s">
        <v>984</v>
      </c>
      <c r="DB87" s="56" t="s">
        <v>186</v>
      </c>
      <c r="DC87" s="58">
        <v>0.79652777777777772</v>
      </c>
      <c r="DD8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80</v>
      </c>
      <c r="DE87" s="57" cm="1">
        <f t="array" ref="DE8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7" s="56" t="str">
        <f>IF('Weekly Attendance'!AA92="Yes",'Weekly Attendance'!$D92,"")</f>
        <v>Aliran Kadashev</v>
      </c>
      <c r="DN87" s="56" t="s">
        <v>186</v>
      </c>
      <c r="DO87" s="58"/>
      <c r="DP8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7" s="57" t="str" cm="1">
        <f t="array" ref="DQ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8" spans="1:121">
      <c r="A88" s="16">
        <v>81</v>
      </c>
      <c r="B88" s="86"/>
      <c r="C88" s="56" t="s">
        <v>902</v>
      </c>
      <c r="D88" s="56"/>
      <c r="E88" s="58">
        <v>0.80763888888888891</v>
      </c>
      <c r="F88" s="57">
        <f>IFERROR(IF(Table4[[#This Row],[Name]]="","",IFERROR(IF(Table4[[#This Row],[Time]]="","TBD",D$2-COUNTIF(Table4[Time],"&lt;"&amp;Table4[[#This Row],[Time]])),""))-(COUNTIF(Table4[Time],Table4[[#This Row],[Time]])-1),"")</f>
        <v>81</v>
      </c>
      <c r="G88" s="57" cm="1">
        <f t="array" ref="G8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8" s="56" t="s">
        <v>1033</v>
      </c>
      <c r="J88" s="56"/>
      <c r="K88" s="58">
        <v>6.9444444444444447E-4</v>
      </c>
      <c r="L88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8" s="57" cm="1">
        <f t="array" ref="M88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8" s="56" t="s">
        <v>1055</v>
      </c>
      <c r="P88" s="56"/>
      <c r="Q88" s="58">
        <v>0.80763888888888891</v>
      </c>
      <c r="R88" s="57">
        <f>IFERROR(IF(Table18[[#This Row],[Name]]="","",IFERROR(IF(Table18[[#This Row],[Time]]="","TBD",P$2-COUNTIF(Table18[Time],"&lt;"&amp;Table18[[#This Row],[Time]])),""))-(COUNTIF(Table18[Time],Table18[[#This Row],[Time]])-1),"")</f>
        <v>77</v>
      </c>
      <c r="S88" s="57" cm="1">
        <f t="array" ref="S8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8" s="56" t="s">
        <v>951</v>
      </c>
      <c r="V88" s="56" t="s">
        <v>186</v>
      </c>
      <c r="W88" s="58">
        <v>6.9444444444444447E-4</v>
      </c>
      <c r="X88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8" s="57" cm="1">
        <f t="array" ref="Y88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8" s="56" t="s">
        <v>1053</v>
      </c>
      <c r="AN88" s="56" t="s">
        <v>186</v>
      </c>
      <c r="AO88" s="58">
        <v>0.7944444444444444</v>
      </c>
      <c r="AP88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81</v>
      </c>
      <c r="AQ88" s="57" cm="1">
        <f t="array" ref="AQ88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8" s="56" t="s">
        <v>913</v>
      </c>
      <c r="AT88" s="56" t="s">
        <v>420</v>
      </c>
      <c r="AU88" s="58">
        <v>0.79861111111111116</v>
      </c>
      <c r="AV8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81</v>
      </c>
      <c r="AW88" s="57" cm="1">
        <f t="array" ref="AW8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8" s="56" t="s">
        <v>158</v>
      </c>
      <c r="AZ88" s="56" t="s">
        <v>186</v>
      </c>
      <c r="BA88" s="58">
        <v>0.79236111111111107</v>
      </c>
      <c r="BB8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81</v>
      </c>
      <c r="BC88" s="57" cm="1">
        <f t="array" ref="BC8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8" s="56" t="s">
        <v>109</v>
      </c>
      <c r="BF88" s="56" t="s">
        <v>186</v>
      </c>
      <c r="BG88" s="58">
        <v>0.78541666666666665</v>
      </c>
      <c r="BH88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81</v>
      </c>
      <c r="BI88" s="57" cm="1">
        <f t="array" ref="BI88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8" s="56" t="s">
        <v>902</v>
      </c>
      <c r="BL88" s="56" t="s">
        <v>186</v>
      </c>
      <c r="BM88" s="58">
        <v>0.80347222222222225</v>
      </c>
      <c r="BN8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81</v>
      </c>
      <c r="BO88" s="57" cm="1">
        <f t="array" ref="BO88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8" s="56" t="s">
        <v>1110</v>
      </c>
      <c r="BR88" s="56" t="s">
        <v>186</v>
      </c>
      <c r="BS88" s="58">
        <v>0.80208333333333337</v>
      </c>
      <c r="BT8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81</v>
      </c>
      <c r="BU88" s="57" cm="1">
        <f t="array" ref="BU8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8" s="56" t="s">
        <v>1041</v>
      </c>
      <c r="BX88" s="56" t="s">
        <v>186</v>
      </c>
      <c r="BY88" s="58">
        <v>6.9444444444444447E-4</v>
      </c>
      <c r="BZ8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8" s="57" cm="1">
        <f t="array" ref="CA8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8" s="56" t="s">
        <v>906</v>
      </c>
      <c r="DB88" s="56" t="s">
        <v>186</v>
      </c>
      <c r="DC88" s="58">
        <v>0.79652777777777772</v>
      </c>
      <c r="DD8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80</v>
      </c>
      <c r="DE88" s="57" cm="1">
        <f t="array" ref="DE8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8" s="56" t="str">
        <f>IF('Weekly Attendance'!AA88="Yes",'Weekly Attendance'!$D88,"")</f>
        <v>Alexander Musarai</v>
      </c>
      <c r="DN88" s="56" t="s">
        <v>186</v>
      </c>
      <c r="DO88" s="58"/>
      <c r="DP8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8" s="57" t="str" cm="1">
        <f t="array" ref="DQ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89" spans="1:121">
      <c r="A89" s="16">
        <v>82</v>
      </c>
      <c r="B89" s="86"/>
      <c r="C89" s="56" t="s">
        <v>134</v>
      </c>
      <c r="D89" s="56"/>
      <c r="E89" s="58">
        <v>0.80694444444444446</v>
      </c>
      <c r="F89" s="57">
        <f>IFERROR(IF(Table4[[#This Row],[Name]]="","",IFERROR(IF(Table4[[#This Row],[Time]]="","TBD",D$2-COUNTIF(Table4[Time],"&lt;"&amp;Table4[[#This Row],[Time]])),""))-(COUNTIF(Table4[Time],Table4[[#This Row],[Time]])-1),"")</f>
        <v>82</v>
      </c>
      <c r="G89" s="57" cm="1">
        <f t="array" ref="G8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89" s="56" t="s">
        <v>1111</v>
      </c>
      <c r="J89" s="56"/>
      <c r="K89" s="58">
        <v>6.9444444444444447E-4</v>
      </c>
      <c r="L89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89" s="57" cm="1">
        <f t="array" ref="M89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89" s="56" t="s">
        <v>967</v>
      </c>
      <c r="P89" s="56" t="s">
        <v>186</v>
      </c>
      <c r="Q89" s="58">
        <v>0.80625000000000002</v>
      </c>
      <c r="R89" s="57">
        <f>IFERROR(IF(Table18[[#This Row],[Name]]="","",IFERROR(IF(Table18[[#This Row],[Time]]="","TBD",P$2-COUNTIF(Table18[Time],"&lt;"&amp;Table18[[#This Row],[Time]])),""))-(COUNTIF(Table18[Time],Table18[[#This Row],[Time]])-1),"")</f>
        <v>82</v>
      </c>
      <c r="S89" s="57" cm="1">
        <f t="array" ref="S8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89" s="56" t="s">
        <v>158</v>
      </c>
      <c r="V89" s="56"/>
      <c r="W89" s="58">
        <v>6.9444444444444447E-4</v>
      </c>
      <c r="X89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89" s="57" cm="1">
        <f t="array" ref="Y89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89" s="56" t="s">
        <v>115</v>
      </c>
      <c r="AN89" s="56" t="s">
        <v>186</v>
      </c>
      <c r="AO89" s="58">
        <v>0.79027777777777775</v>
      </c>
      <c r="AP89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82</v>
      </c>
      <c r="AQ89" s="57" cm="1">
        <f t="array" ref="AQ89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89" s="56" t="s">
        <v>919</v>
      </c>
      <c r="AT89" s="56" t="s">
        <v>186</v>
      </c>
      <c r="AU89" s="58">
        <v>0.79791666666666672</v>
      </c>
      <c r="AV8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82</v>
      </c>
      <c r="AW89" s="57" cm="1">
        <f t="array" ref="AW8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89" s="56" t="s">
        <v>1001</v>
      </c>
      <c r="AZ89" s="56" t="s">
        <v>186</v>
      </c>
      <c r="BA89" s="58">
        <v>0.79097222222222219</v>
      </c>
      <c r="BB8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82</v>
      </c>
      <c r="BC89" s="57" cm="1">
        <f t="array" ref="BC8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89" s="56" t="s">
        <v>174</v>
      </c>
      <c r="BF89" s="56"/>
      <c r="BG89" s="58">
        <v>6.9444444444444447E-4</v>
      </c>
      <c r="BH89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89" s="57" cm="1">
        <f t="array" ref="BI89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89" s="56" t="s">
        <v>899</v>
      </c>
      <c r="BL89" s="56" t="s">
        <v>186</v>
      </c>
      <c r="BM89" s="58">
        <v>0.79861111111111116</v>
      </c>
      <c r="BN8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82</v>
      </c>
      <c r="BO89" s="57" cm="1">
        <f t="array" ref="BO8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89" s="56" t="s">
        <v>1039</v>
      </c>
      <c r="BR89" s="56" t="s">
        <v>186</v>
      </c>
      <c r="BS89" s="58">
        <v>0.7944444444444444</v>
      </c>
      <c r="BT8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82</v>
      </c>
      <c r="BU89" s="57" cm="1">
        <f t="array" ref="BU8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89" s="56" t="s">
        <v>1017</v>
      </c>
      <c r="BX89" s="56" t="s">
        <v>186</v>
      </c>
      <c r="BY89" s="58">
        <v>6.9444444444444447E-4</v>
      </c>
      <c r="BZ8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89" s="57" cm="1">
        <f t="array" ref="CA8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89" s="56" t="s">
        <v>947</v>
      </c>
      <c r="DB89" s="56" t="s">
        <v>186</v>
      </c>
      <c r="DC89" s="58">
        <v>0.79513888888888884</v>
      </c>
      <c r="DD8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82</v>
      </c>
      <c r="DE89" s="57" cm="1">
        <f t="array" ref="DE8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89" s="56" t="str">
        <f>IF('Weekly Attendance'!AA81="Yes",'Weekly Attendance'!$D81,"")</f>
        <v>Alan Long</v>
      </c>
      <c r="DN89" s="56"/>
      <c r="DO89" s="58"/>
      <c r="DP8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89" s="57" t="str" cm="1">
        <f t="array" ref="DQ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0" spans="1:121">
      <c r="A90" s="16">
        <v>83</v>
      </c>
      <c r="B90" s="86"/>
      <c r="C90" s="56" t="s">
        <v>1015</v>
      </c>
      <c r="D90" s="56" t="s">
        <v>186</v>
      </c>
      <c r="E90" s="58">
        <v>0.80555555555555558</v>
      </c>
      <c r="F90" s="57">
        <f>IFERROR(IF(Table4[[#This Row],[Name]]="","",IFERROR(IF(Table4[[#This Row],[Time]]="","TBD",D$2-COUNTIF(Table4[Time],"&lt;"&amp;Table4[[#This Row],[Time]])),""))-(COUNTIF(Table4[Time],Table4[[#This Row],[Time]])-1),"")</f>
        <v>83</v>
      </c>
      <c r="G90" s="57" cm="1">
        <f t="array" ref="G9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0" s="56" t="s">
        <v>1112</v>
      </c>
      <c r="J90" s="56"/>
      <c r="K90" s="58">
        <v>6.9444444444444447E-4</v>
      </c>
      <c r="L90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0" s="57" cm="1">
        <f t="array" ref="M90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0" s="56" t="s">
        <v>907</v>
      </c>
      <c r="P90" s="56" t="s">
        <v>186</v>
      </c>
      <c r="Q90" s="58">
        <v>0.80555555555555558</v>
      </c>
      <c r="R90" s="57">
        <f>IFERROR(IF(Table18[[#This Row],[Name]]="","",IFERROR(IF(Table18[[#This Row],[Time]]="","TBD",P$2-COUNTIF(Table18[Time],"&lt;"&amp;Table18[[#This Row],[Time]])),""))-(COUNTIF(Table18[Time],Table18[[#This Row],[Time]])-1),"")</f>
        <v>83</v>
      </c>
      <c r="S90" s="57" cm="1">
        <f t="array" ref="S9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0" s="56" t="s">
        <v>45</v>
      </c>
      <c r="V90" s="56"/>
      <c r="W90" s="58">
        <v>6.9444444444444447E-4</v>
      </c>
      <c r="X90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0" s="57" cm="1">
        <f t="array" ref="Y90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0" s="56" t="s">
        <v>1095</v>
      </c>
      <c r="AN90" s="56"/>
      <c r="AO90" s="58">
        <v>0.7895833333333333</v>
      </c>
      <c r="AP90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83</v>
      </c>
      <c r="AQ90" s="57" cm="1">
        <f t="array" ref="AQ90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0" s="56" t="s">
        <v>971</v>
      </c>
      <c r="AT90" s="56" t="s">
        <v>420</v>
      </c>
      <c r="AU90" s="58">
        <v>0.79374999999999996</v>
      </c>
      <c r="AV9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83</v>
      </c>
      <c r="AW90" s="57" cm="1">
        <f t="array" ref="AW9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0" s="56" t="s">
        <v>973</v>
      </c>
      <c r="AZ90" s="56" t="s">
        <v>186</v>
      </c>
      <c r="BA90" s="58">
        <v>0.78541666666666665</v>
      </c>
      <c r="BB9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0" s="57" cm="1">
        <f t="array" ref="BC9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0" s="56" t="s">
        <v>902</v>
      </c>
      <c r="BF90" s="56" t="s">
        <v>186</v>
      </c>
      <c r="BG90" s="58">
        <v>6.9444444444444447E-4</v>
      </c>
      <c r="BH90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0" s="57" cm="1">
        <f t="array" ref="BI90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0" s="56" t="s">
        <v>1039</v>
      </c>
      <c r="BL90" s="56" t="s">
        <v>186</v>
      </c>
      <c r="BM90" s="58">
        <v>0.79166666666666663</v>
      </c>
      <c r="BN90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83</v>
      </c>
      <c r="BO90" s="57" cm="1">
        <f t="array" ref="BO90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0" s="56" t="s">
        <v>1113</v>
      </c>
      <c r="BR90" s="56" t="s">
        <v>186</v>
      </c>
      <c r="BS90" s="58">
        <v>0.79305555555555551</v>
      </c>
      <c r="BT90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83</v>
      </c>
      <c r="BU90" s="57" cm="1">
        <f t="array" ref="BU90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0" s="56" t="s">
        <v>1114</v>
      </c>
      <c r="BX90" s="56" t="s">
        <v>186</v>
      </c>
      <c r="BY90" s="58">
        <v>6.9444444444444447E-4</v>
      </c>
      <c r="BZ90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0" s="57" cm="1">
        <f t="array" ref="CA90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0" s="56" t="s">
        <v>109</v>
      </c>
      <c r="DB90" s="56" t="s">
        <v>186</v>
      </c>
      <c r="DC90" s="58">
        <v>0.79305555555555551</v>
      </c>
      <c r="DD9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83</v>
      </c>
      <c r="DE90" s="57" cm="1">
        <f t="array" ref="DE9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0" s="158" t="str">
        <f>IF('Weekly Attendance'!AA6="Yes",'Weekly Attendance'!$D6,"")</f>
        <v/>
      </c>
      <c r="DN90" s="56"/>
      <c r="DO90" s="155"/>
      <c r="DP9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0" s="57" t="str" cm="1">
        <f t="array" ref="DQ9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1" spans="1:121">
      <c r="A91" s="16">
        <v>84</v>
      </c>
      <c r="B91" s="86"/>
      <c r="C91" s="56" t="s">
        <v>959</v>
      </c>
      <c r="D91" s="56"/>
      <c r="E91" s="58">
        <v>0.79861111111111116</v>
      </c>
      <c r="F91" s="57">
        <f>IFERROR(IF(Table4[[#This Row],[Name]]="","",IFERROR(IF(Table4[[#This Row],[Time]]="","TBD",D$2-COUNTIF(Table4[Time],"&lt;"&amp;Table4[[#This Row],[Time]])),""))-(COUNTIF(Table4[Time],Table4[[#This Row],[Time]])-1),"")</f>
        <v>84</v>
      </c>
      <c r="G91" s="57" cm="1">
        <f t="array" ref="G9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1" s="56" t="s">
        <v>1115</v>
      </c>
      <c r="J91" s="56"/>
      <c r="K91" s="58">
        <v>6.9444444444444447E-4</v>
      </c>
      <c r="L91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1" s="57" cm="1">
        <f t="array" ref="M91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1" s="56" t="s">
        <v>1116</v>
      </c>
      <c r="P91" s="56" t="s">
        <v>186</v>
      </c>
      <c r="Q91" s="58">
        <v>0.80486111111111114</v>
      </c>
      <c r="R91" s="57">
        <f>IFERROR(IF(Table18[[#This Row],[Name]]="","",IFERROR(IF(Table18[[#This Row],[Time]]="","TBD",P$2-COUNTIF(Table18[Time],"&lt;"&amp;Table18[[#This Row],[Time]])),""))-(COUNTIF(Table18[Time],Table18[[#This Row],[Time]])-1),"")</f>
        <v>84</v>
      </c>
      <c r="S91" s="57" cm="1">
        <f t="array" ref="S9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1" s="56" t="s">
        <v>910</v>
      </c>
      <c r="V91" s="56" t="s">
        <v>186</v>
      </c>
      <c r="W91" s="58">
        <v>6.9444444444444447E-4</v>
      </c>
      <c r="X91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1" s="57" cm="1">
        <f t="array" ref="Y91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1" s="56" t="s">
        <v>121</v>
      </c>
      <c r="AN91" s="56"/>
      <c r="AO91" s="58">
        <v>0.78125</v>
      </c>
      <c r="AP91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84</v>
      </c>
      <c r="AQ91" s="57" cm="1">
        <f t="array" ref="AQ91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1" s="56" t="s">
        <v>895</v>
      </c>
      <c r="AT91" s="56" t="s">
        <v>420</v>
      </c>
      <c r="AU91" s="58">
        <v>0.79097222222222219</v>
      </c>
      <c r="AV9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84</v>
      </c>
      <c r="AW91" s="57" cm="1">
        <f t="array" ref="AW9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1" s="56" t="s">
        <v>35</v>
      </c>
      <c r="AZ91" s="56" t="s">
        <v>186</v>
      </c>
      <c r="BA91" s="58">
        <v>0.78541666666666665</v>
      </c>
      <c r="BB9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83</v>
      </c>
      <c r="BC91" s="57" cm="1">
        <f t="array" ref="BC9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1" s="56" t="s">
        <v>935</v>
      </c>
      <c r="BF91" s="56" t="s">
        <v>186</v>
      </c>
      <c r="BG91" s="58">
        <v>6.9444444444444447E-4</v>
      </c>
      <c r="BH91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1" s="57" cm="1">
        <f t="array" ref="BI91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1" s="56" t="s">
        <v>48</v>
      </c>
      <c r="BL91" s="56" t="s">
        <v>186</v>
      </c>
      <c r="BM91" s="58">
        <v>0.79097222222222219</v>
      </c>
      <c r="BN91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84</v>
      </c>
      <c r="BO91" s="57" cm="1">
        <f t="array" ref="BO91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1" s="56" t="s">
        <v>891</v>
      </c>
      <c r="BR91" s="56" t="s">
        <v>186</v>
      </c>
      <c r="BS91" s="58">
        <v>0.79027777777777775</v>
      </c>
      <c r="BT91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84</v>
      </c>
      <c r="BU91" s="57" cm="1">
        <f t="array" ref="BU91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1" s="56" t="s">
        <v>1043</v>
      </c>
      <c r="BX91" s="56" t="s">
        <v>186</v>
      </c>
      <c r="BY91" s="58">
        <v>6.9444444444444447E-4</v>
      </c>
      <c r="BZ91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1" s="57" cm="1">
        <f t="array" ref="CA91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1" s="56" t="s">
        <v>48</v>
      </c>
      <c r="DB91" s="56" t="s">
        <v>186</v>
      </c>
      <c r="DC91" s="58">
        <v>0.7895833333333333</v>
      </c>
      <c r="DD9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84</v>
      </c>
      <c r="DE91" s="57" cm="1">
        <f t="array" ref="DE9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1" s="56" t="str">
        <f>IF('Weekly Attendance'!AA7="Yes",'Weekly Attendance'!$D7,"")</f>
        <v/>
      </c>
      <c r="DN91" s="56"/>
      <c r="DO91" s="155"/>
      <c r="DP9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1" s="57" t="str" cm="1">
        <f t="array" ref="DQ9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2" spans="1:121">
      <c r="A92" s="16">
        <v>85</v>
      </c>
      <c r="B92" s="86"/>
      <c r="C92" s="56" t="s">
        <v>954</v>
      </c>
      <c r="D92" s="56" t="s">
        <v>186</v>
      </c>
      <c r="E92" s="58">
        <v>0.79861111111111116</v>
      </c>
      <c r="F92" s="57">
        <f>IFERROR(IF(Table4[[#This Row],[Name]]="","",IFERROR(IF(Table4[[#This Row],[Time]]="","TBD",D$2-COUNTIF(Table4[Time],"&lt;"&amp;Table4[[#This Row],[Time]])),""))-(COUNTIF(Table4[Time],Table4[[#This Row],[Time]])-1),"")</f>
        <v>84</v>
      </c>
      <c r="G92" s="57" cm="1">
        <f t="array" ref="G9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2" s="56" t="s">
        <v>99</v>
      </c>
      <c r="J92" s="56" t="s">
        <v>186</v>
      </c>
      <c r="K92" s="58">
        <v>6.9444444444444447E-4</v>
      </c>
      <c r="L92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2" s="57" cm="1">
        <f t="array" ref="M92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2" s="56" t="s">
        <v>142</v>
      </c>
      <c r="P92" s="56"/>
      <c r="Q92" s="58">
        <v>0.8041666666666667</v>
      </c>
      <c r="R92" s="57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2" s="57" cm="1">
        <f t="array" ref="S9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U92" s="56" t="s">
        <v>901</v>
      </c>
      <c r="V92" s="56"/>
      <c r="W92" s="58">
        <v>6.9444444444444447E-4</v>
      </c>
      <c r="X92" s="57">
        <f>IFERROR(IF(Table2[[#This Row],[Name]]="","",IFERROR(IF(Table2[[#This Row],[Time]]="","TBD",V$2-COUNTIF(Table2[Time],"&lt;"&amp;Table2[[#This Row],[Time]])),""))-(COUNTIF(Table2[Time],Table2[[#This Row],[Time]])-1),"")</f>
        <v>75</v>
      </c>
      <c r="Y92" s="57" cm="1">
        <f t="array" ref="Y92">IF(ISNUMBER(Table2[[#This Row],[True Rank]])=TRUE,ROUNDUP(IF(Table2[[#This Row],[Rebuy]]="Yes",75%,100%)*_xlfn.IFS(Table2[[#This Row],[True Rank]]=Structures!$B$3,Structures!$D$3,Table2[[#This Row],[True Rank]]=Structures!$B$4,Structures!$D$4,Table2[[#This Row],[True Rank]]=Structures!$B$5,Structures!$D$5,Table2[[#This Row],[True Rank]]&lt;Structures!$C$6,Structures!$D$6,Table2[[#This Row],[True Rank]]&lt;=_xlfn.PERCENTILE.INC(Table2[True Rank],Structures!$C$7),Structures!$D$7,Table2[[#This Row],[True Rank]]&lt;=_xlfn.PERCENTILE.INC(Table2[True Rank],Structures!$C$8),Structures!$D$8,Table2[[#This Row],[True Rank]]&lt;=_xlfn.PERCENTILE.INC(Table2[True Rank],Structures!$C$9),Structures!$D$9),0),Table2[[#This Row],[True Rank]])</f>
        <v>1</v>
      </c>
      <c r="AM92" s="56" t="s">
        <v>890</v>
      </c>
      <c r="AN92" s="56" t="s">
        <v>186</v>
      </c>
      <c r="AO92" s="58">
        <v>0.77777777777777779</v>
      </c>
      <c r="AP92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85</v>
      </c>
      <c r="AQ92" s="57" cm="1">
        <f t="array" ref="AQ92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2" s="56" t="s">
        <v>980</v>
      </c>
      <c r="AT92" s="56" t="s">
        <v>186</v>
      </c>
      <c r="AU92" s="58">
        <v>6.9444444444444447E-4</v>
      </c>
      <c r="AV9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2" s="57" cm="1">
        <f t="array" ref="AW9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2" s="56" t="s">
        <v>142</v>
      </c>
      <c r="AZ92" s="56" t="s">
        <v>186</v>
      </c>
      <c r="BA92" s="58">
        <v>0.78055555555555556</v>
      </c>
      <c r="BB92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85</v>
      </c>
      <c r="BC92" s="57" cm="1">
        <f t="array" ref="BC92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2" s="56" t="s">
        <v>1029</v>
      </c>
      <c r="BF92" s="56" t="s">
        <v>186</v>
      </c>
      <c r="BG92" s="58">
        <v>6.9444444444444447E-4</v>
      </c>
      <c r="BH92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2" s="57" cm="1">
        <f t="array" ref="BI92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2" s="56" t="s">
        <v>1074</v>
      </c>
      <c r="BL92" s="56" t="s">
        <v>186</v>
      </c>
      <c r="BM92" s="58">
        <v>0.78680555555555554</v>
      </c>
      <c r="BN92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85</v>
      </c>
      <c r="BO92" s="57" cm="1">
        <f t="array" ref="BO92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2" s="56" t="s">
        <v>930</v>
      </c>
      <c r="BR92" s="56" t="s">
        <v>186</v>
      </c>
      <c r="BS92" s="58">
        <v>0.78611111111111109</v>
      </c>
      <c r="BT92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85</v>
      </c>
      <c r="BU92" s="57" cm="1">
        <f t="array" ref="BU92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2" s="56" t="s">
        <v>965</v>
      </c>
      <c r="BX92" s="56"/>
      <c r="BY92" s="58">
        <v>6.9444444444444447E-4</v>
      </c>
      <c r="BZ92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2" s="57" cm="1">
        <f t="array" ref="CA92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2" s="56" t="s">
        <v>87</v>
      </c>
      <c r="DB92" s="56" t="s">
        <v>186</v>
      </c>
      <c r="DC92" s="58">
        <v>0.78888888888888886</v>
      </c>
      <c r="DD9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85</v>
      </c>
      <c r="DE92" s="57" cm="1">
        <f t="array" ref="DE9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2" s="56" t="str">
        <f>IF('Weekly Attendance'!AA8="Yes",'Weekly Attendance'!$D8,"")</f>
        <v/>
      </c>
      <c r="DN92" s="56"/>
      <c r="DO92" s="155"/>
      <c r="DP9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2" s="57" t="str" cm="1">
        <f t="array" ref="DQ9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3" spans="1:121">
      <c r="A93" s="16">
        <v>86</v>
      </c>
      <c r="B93" s="86"/>
      <c r="C93" s="56" t="s">
        <v>1057</v>
      </c>
      <c r="D93" s="56" t="s">
        <v>186</v>
      </c>
      <c r="E93" s="58">
        <v>0.79097222222222219</v>
      </c>
      <c r="F93" s="57">
        <f>IFERROR(IF(Table4[[#This Row],[Name]]="","",IFERROR(IF(Table4[[#This Row],[Time]]="","TBD",D$2-COUNTIF(Table4[Time],"&lt;"&amp;Table4[[#This Row],[Time]])),""))-(COUNTIF(Table4[Time],Table4[[#This Row],[Time]])-1),"")</f>
        <v>86</v>
      </c>
      <c r="G93" s="57" cm="1">
        <f t="array" ref="G9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3" s="56" t="s">
        <v>907</v>
      </c>
      <c r="J93" s="56" t="s">
        <v>186</v>
      </c>
      <c r="K93" s="58">
        <v>6.9444444444444447E-4</v>
      </c>
      <c r="L93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3" s="57" cm="1">
        <f t="array" ref="M93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3" s="56" t="s">
        <v>1102</v>
      </c>
      <c r="P93" s="56"/>
      <c r="Q93" s="58">
        <v>0.8041666666666667</v>
      </c>
      <c r="R93" s="57">
        <f>IFERROR(IF(Table18[[#This Row],[Name]]="","",IFERROR(IF(Table18[[#This Row],[Time]]="","TBD",P$2-COUNTIF(Table18[Time],"&lt;"&amp;Table18[[#This Row],[Time]])),""))-(COUNTIF(Table18[Time],Table18[[#This Row],[Time]])-1),"")</f>
        <v>85</v>
      </c>
      <c r="S93" s="57" cm="1">
        <f t="array" ref="S9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3" s="56" t="s">
        <v>973</v>
      </c>
      <c r="AN93" s="56" t="s">
        <v>186</v>
      </c>
      <c r="AO93" s="58">
        <v>0.77500000000000002</v>
      </c>
      <c r="AP93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86</v>
      </c>
      <c r="AQ93" s="57" cm="1">
        <f t="array" ref="AQ93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3" s="56" t="s">
        <v>1117</v>
      </c>
      <c r="AT93" s="56" t="s">
        <v>420</v>
      </c>
      <c r="AU93" s="58">
        <v>6.9444444444444447E-4</v>
      </c>
      <c r="AV93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3" s="57" cm="1">
        <f t="array" ref="AW93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3" s="56" t="s">
        <v>134</v>
      </c>
      <c r="AZ93" s="56" t="s">
        <v>186</v>
      </c>
      <c r="BA93" s="58">
        <v>0.77777777777777779</v>
      </c>
      <c r="BB93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86</v>
      </c>
      <c r="BC93" s="57" cm="1">
        <f t="array" ref="BC93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3" s="56" t="s">
        <v>95</v>
      </c>
      <c r="BF93" s="56"/>
      <c r="BG93" s="58">
        <v>6.9444444444444447E-4</v>
      </c>
      <c r="BH93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3" s="57" cm="1">
        <f t="array" ref="BI93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3" s="56" t="s">
        <v>29</v>
      </c>
      <c r="BL93" s="56" t="s">
        <v>186</v>
      </c>
      <c r="BM93" s="58">
        <v>0.77777777777777779</v>
      </c>
      <c r="BN93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86</v>
      </c>
      <c r="BO93" s="57" cm="1">
        <f t="array" ref="BO93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3" s="56" t="s">
        <v>107</v>
      </c>
      <c r="BR93" s="56" t="s">
        <v>186</v>
      </c>
      <c r="BS93" s="58">
        <v>0.7729166666666667</v>
      </c>
      <c r="BT93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86</v>
      </c>
      <c r="BU93" s="57" cm="1">
        <f t="array" ref="BU93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3" s="56" t="s">
        <v>1029</v>
      </c>
      <c r="BX93" s="56" t="s">
        <v>186</v>
      </c>
      <c r="BY93" s="58">
        <v>6.9444444444444447E-4</v>
      </c>
      <c r="BZ93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3" s="57" cm="1">
        <f t="array" ref="CA93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3" s="56" t="s">
        <v>928</v>
      </c>
      <c r="DB93" s="56" t="s">
        <v>186</v>
      </c>
      <c r="DC93" s="58">
        <v>0.78680555555555554</v>
      </c>
      <c r="DD9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86</v>
      </c>
      <c r="DE93" s="57" cm="1">
        <f t="array" ref="DE9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3" s="56" t="str">
        <f>IF('Weekly Attendance'!AA10="Yes",'Weekly Attendance'!$D10,"")</f>
        <v/>
      </c>
      <c r="DN93" s="56"/>
      <c r="DO93" s="155"/>
      <c r="DP9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3" s="57" t="str" cm="1">
        <f t="array" ref="DQ9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4" spans="1:121">
      <c r="A94" s="16">
        <v>87</v>
      </c>
      <c r="B94" s="86"/>
      <c r="C94" s="56" t="s">
        <v>1049</v>
      </c>
      <c r="D94" s="56" t="s">
        <v>186</v>
      </c>
      <c r="E94" s="58">
        <v>6.9444444444444447E-4</v>
      </c>
      <c r="F9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4" s="57" cm="1">
        <f t="array" ref="G9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4" s="56" t="s">
        <v>904</v>
      </c>
      <c r="J94" s="56"/>
      <c r="K94" s="58">
        <v>6.9444444444444447E-4</v>
      </c>
      <c r="L94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4" s="57" cm="1">
        <f t="array" ref="M94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4" s="56" t="s">
        <v>1052</v>
      </c>
      <c r="P94" s="56" t="s">
        <v>186</v>
      </c>
      <c r="Q94" s="58">
        <v>0.80347222222222225</v>
      </c>
      <c r="R94" s="57">
        <f>IFERROR(IF(Table18[[#This Row],[Name]]="","",IFERROR(IF(Table18[[#This Row],[Time]]="","TBD",P$2-COUNTIF(Table18[Time],"&lt;"&amp;Table18[[#This Row],[Time]])),""))-(COUNTIF(Table18[Time],Table18[[#This Row],[Time]])-1),"")</f>
        <v>87</v>
      </c>
      <c r="S94" s="57" cm="1">
        <f t="array" ref="S9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4" s="56" t="s">
        <v>136</v>
      </c>
      <c r="AN94" s="56"/>
      <c r="AO94" s="58">
        <v>0.76041666666666663</v>
      </c>
      <c r="AP94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87</v>
      </c>
      <c r="AQ94" s="57" cm="1">
        <f t="array" ref="AQ94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4" s="56" t="s">
        <v>976</v>
      </c>
      <c r="AT94" s="56" t="s">
        <v>186</v>
      </c>
      <c r="AU94" s="58">
        <v>6.9444444444444447E-4</v>
      </c>
      <c r="AV94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4" s="57" cm="1">
        <f t="array" ref="AW94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4" s="56" t="s">
        <v>896</v>
      </c>
      <c r="AZ94" s="56"/>
      <c r="BA94" s="58">
        <v>0.77083333333333337</v>
      </c>
      <c r="BB94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87</v>
      </c>
      <c r="BC94" s="57" cm="1">
        <f t="array" ref="BC94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4" s="56" t="s">
        <v>1118</v>
      </c>
      <c r="BF94" s="56"/>
      <c r="BG94" s="58">
        <v>6.9444444444444447E-4</v>
      </c>
      <c r="BH94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4" s="57" cm="1">
        <f t="array" ref="BI94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4" s="56" t="s">
        <v>160</v>
      </c>
      <c r="BL94" s="56" t="s">
        <v>186</v>
      </c>
      <c r="BM94" s="58">
        <v>0.77430555555555558</v>
      </c>
      <c r="BN94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87</v>
      </c>
      <c r="BO94" s="57" cm="1">
        <f t="array" ref="BO94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4" s="56" t="s">
        <v>902</v>
      </c>
      <c r="BR94" s="56"/>
      <c r="BS94" s="58">
        <v>6.9444444444444447E-4</v>
      </c>
      <c r="BT94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4" s="57" cm="1">
        <f t="array" ref="BU94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4" s="56" t="s">
        <v>973</v>
      </c>
      <c r="BX94" s="56" t="s">
        <v>186</v>
      </c>
      <c r="BY94" s="58">
        <v>6.9444444444444447E-4</v>
      </c>
      <c r="BZ94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4" s="57" cm="1">
        <f t="array" ref="CA94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4" s="56" t="s">
        <v>934</v>
      </c>
      <c r="DB94" s="56" t="s">
        <v>186</v>
      </c>
      <c r="DC94" s="58">
        <v>0.78541666666666665</v>
      </c>
      <c r="DD9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87</v>
      </c>
      <c r="DE94" s="57" cm="1">
        <f t="array" ref="DE9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4" s="56" t="str">
        <f>IF('Weekly Attendance'!AA11="Yes",'Weekly Attendance'!$D11,"")</f>
        <v/>
      </c>
      <c r="DN94" s="56"/>
      <c r="DO94" s="155"/>
      <c r="DP9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4" s="57" t="str" cm="1">
        <f t="array" ref="DQ9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5" spans="1:121">
      <c r="A95" s="16">
        <v>88</v>
      </c>
      <c r="B95" s="86"/>
      <c r="C95" s="56" t="s">
        <v>1119</v>
      </c>
      <c r="D95" s="56" t="s">
        <v>186</v>
      </c>
      <c r="E95" s="58">
        <v>6.9444444444444447E-4</v>
      </c>
      <c r="F9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5" s="57" cm="1">
        <f t="array" ref="G9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I95" s="56" t="s">
        <v>916</v>
      </c>
      <c r="J95" s="56" t="s">
        <v>186</v>
      </c>
      <c r="K95" s="58">
        <v>6.9444444444444447E-4</v>
      </c>
      <c r="L95" s="57">
        <f>IFERROR(IF(Table9[[#This Row],[Name]]="","",IFERROR(IF(Table9[[#This Row],[Time]]="","TBD",J$2-COUNTIF(Table9[Time],"&lt;"&amp;Table9[[#This Row],[Time]])),""))-(COUNTIF(Table9[Time],Table9[[#This Row],[Time]])-1),"")</f>
        <v>80</v>
      </c>
      <c r="M95" s="57" cm="1">
        <f t="array" ref="M95">IF(ISNUMBER(Table9[[#This Row],[True Rank]])=TRUE,ROUNDUP(IF(Table9[[#This Row],[Rebuy]]="Yes",75%,100%)*_xlfn.IFS(Table9[[#This Row],[True Rank]]=Structures!$B$3,Structures!$D$3,Table9[[#This Row],[True Rank]]=Structures!$B$4,Structures!$D$4,Table9[[#This Row],[True Rank]]=Structures!$B$5,Structures!$D$5,Table9[[#This Row],[True Rank]]&lt;Structures!$C$6,Structures!$D$6,Table9[[#This Row],[True Rank]]&lt;=_xlfn.PERCENTILE.INC(Table9[True Rank],Structures!$C$7),Structures!$D$7,Table9[[#This Row],[True Rank]]&lt;=_xlfn.PERCENTILE.INC(Table9[True Rank],Structures!$C$8),Structures!$D$8,Table9[[#This Row],[True Rank]]&lt;=_xlfn.PERCENTILE.INC(Table9[True Rank],Structures!$C$9),Structures!$D$9),0),Table9[[#This Row],[True Rank]])</f>
        <v>1</v>
      </c>
      <c r="O95" s="56" t="s">
        <v>1120</v>
      </c>
      <c r="P95" s="56" t="s">
        <v>186</v>
      </c>
      <c r="Q95" s="58">
        <v>0.80208333333333337</v>
      </c>
      <c r="R95" s="57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5" s="57" cm="1">
        <f t="array" ref="S9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5" s="56" t="s">
        <v>996</v>
      </c>
      <c r="AN95" s="56"/>
      <c r="AO95" s="58">
        <v>6.9444444444444447E-4</v>
      </c>
      <c r="AP95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5" s="57" cm="1">
        <f t="array" ref="AQ95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5" s="56" t="s">
        <v>936</v>
      </c>
      <c r="AT95" s="56" t="s">
        <v>186</v>
      </c>
      <c r="AU95" s="58">
        <v>6.9444444444444447E-4</v>
      </c>
      <c r="AV95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5" s="57" cm="1">
        <f t="array" ref="AW95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5" s="56" t="s">
        <v>1096</v>
      </c>
      <c r="AZ95" s="56" t="s">
        <v>186</v>
      </c>
      <c r="BA95" s="58">
        <v>0.76597222222222228</v>
      </c>
      <c r="BB95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88</v>
      </c>
      <c r="BC95" s="57" cm="1">
        <f t="array" ref="BC95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5" s="56" t="s">
        <v>1040</v>
      </c>
      <c r="BF95" s="56"/>
      <c r="BG95" s="58">
        <v>6.9444444444444447E-4</v>
      </c>
      <c r="BH95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5" s="57" cm="1">
        <f t="array" ref="BI95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5" s="56" t="s">
        <v>896</v>
      </c>
      <c r="BL95" s="56"/>
      <c r="BM95" s="58">
        <v>6.9444444444444447E-4</v>
      </c>
      <c r="BN95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5" s="57" cm="1">
        <f t="array" ref="BO95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5" s="56" t="s">
        <v>899</v>
      </c>
      <c r="BR95" s="56" t="s">
        <v>186</v>
      </c>
      <c r="BS95" s="58">
        <v>6.9444444444444447E-4</v>
      </c>
      <c r="BT95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5" s="57" cm="1">
        <f t="array" ref="BU95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5" s="56" t="s">
        <v>907</v>
      </c>
      <c r="BX95" s="56" t="s">
        <v>186</v>
      </c>
      <c r="BY95" s="58">
        <v>6.9444444444444447E-4</v>
      </c>
      <c r="BZ95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5" s="57" cm="1">
        <f t="array" ref="CA95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5" s="56" t="s">
        <v>895</v>
      </c>
      <c r="DB95" s="56" t="s">
        <v>186</v>
      </c>
      <c r="DC95" s="58">
        <v>0.78472222222222221</v>
      </c>
      <c r="DD9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88</v>
      </c>
      <c r="DE95" s="57" cm="1">
        <f t="array" ref="DE9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5" s="56" t="str">
        <f>IF('Weekly Attendance'!AA13="Yes",'Weekly Attendance'!$D13,"")</f>
        <v/>
      </c>
      <c r="DN95" s="56"/>
      <c r="DO95" s="155"/>
      <c r="DP9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5" s="57" t="str" cm="1">
        <f t="array" ref="DQ9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6" spans="1:121">
      <c r="A96" s="16">
        <v>89</v>
      </c>
      <c r="B96" s="86"/>
      <c r="C96" s="56" t="s">
        <v>80</v>
      </c>
      <c r="D96" s="56" t="s">
        <v>186</v>
      </c>
      <c r="E96" s="58">
        <v>6.9444444444444447E-4</v>
      </c>
      <c r="F9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6" s="57" cm="1">
        <f t="array" ref="G9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6" s="56" t="s">
        <v>93</v>
      </c>
      <c r="P96" s="56" t="s">
        <v>186</v>
      </c>
      <c r="Q96" s="58">
        <v>0.80208333333333337</v>
      </c>
      <c r="R96" s="57">
        <f>IFERROR(IF(Table18[[#This Row],[Name]]="","",IFERROR(IF(Table18[[#This Row],[Time]]="","TBD",P$2-COUNTIF(Table18[Time],"&lt;"&amp;Table18[[#This Row],[Time]])),""))-(COUNTIF(Table18[Time],Table18[[#This Row],[Time]])-1),"")</f>
        <v>88</v>
      </c>
      <c r="S96" s="57" cm="1">
        <f t="array" ref="S9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6" s="56" t="s">
        <v>1029</v>
      </c>
      <c r="AN96" s="56"/>
      <c r="AO96" s="58">
        <v>6.9444444444444447E-4</v>
      </c>
      <c r="AP96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6" s="57" cm="1">
        <f t="array" ref="AQ96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6" s="56" t="s">
        <v>974</v>
      </c>
      <c r="AT96" s="56"/>
      <c r="AU96" s="58">
        <v>6.9444444444444447E-4</v>
      </c>
      <c r="AV96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6" s="57" cm="1">
        <f t="array" ref="AW96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6" s="56" t="s">
        <v>1040</v>
      </c>
      <c r="AZ96" s="56"/>
      <c r="BA96" s="58">
        <v>6.9444444444444447E-4</v>
      </c>
      <c r="BB96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6" s="57" cm="1">
        <f t="array" ref="BC96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E96" s="56" t="s">
        <v>918</v>
      </c>
      <c r="BF96" s="56"/>
      <c r="BG96" s="58">
        <v>6.9444444444444447E-4</v>
      </c>
      <c r="BH96" s="57">
        <f>IFERROR(IF(Table21112164202122[[#This Row],[Name]]="","",IFERROR(IF(Table21112164202122[[#This Row],[Time]]="","TBD",BF$2-COUNTIF(Table21112164202122[Time],"&lt;"&amp;Table21112164202122[[#This Row],[Time]])),""))-(COUNTIF(Table21112164202122[Time],Table21112164202122[[#This Row],[Time]])-1),"")</f>
        <v>82</v>
      </c>
      <c r="BI96" s="57" cm="1">
        <f t="array" ref="BI96">IF(ISNUMBER(Table21112164202122[[#This Row],[True Rank]])=TRUE,ROUNDUP(IF(Table21112164202122[[#This Row],[Rebuy]]="Yes",75%,100%)*_xlfn.IFS(Table21112164202122[[#This Row],[True Rank]]=Structures!$B$3,Structures!$D$3,Table21112164202122[[#This Row],[True Rank]]=Structures!$B$4,Structures!$D$4,Table21112164202122[[#This Row],[True Rank]]=Structures!$B$5,Structures!$D$5,Table21112164202122[[#This Row],[True Rank]]&lt;Structures!$C$6,Structures!$D$6,Table21112164202122[[#This Row],[True Rank]]&lt;=_xlfn.PERCENTILE.INC(Table21112164202122[True Rank],Structures!$C$7),Structures!$D$7,Table21112164202122[[#This Row],[True Rank]]&lt;=_xlfn.PERCENTILE.INC(Table21112164202122[True Rank],Structures!$C$8),Structures!$D$8,Table21112164202122[[#This Row],[True Rank]]&lt;=_xlfn.PERCENTILE.INC(Table21112164202122[True Rank],Structures!$C$9),Structures!$D$9),0),Table21112164202122[[#This Row],[True Rank]])</f>
        <v>1</v>
      </c>
      <c r="BK96" s="56" t="s">
        <v>950</v>
      </c>
      <c r="BL96" s="56" t="s">
        <v>186</v>
      </c>
      <c r="BM96" s="58">
        <v>6.9444444444444447E-4</v>
      </c>
      <c r="BN96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6" s="57" cm="1">
        <f t="array" ref="BO96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6" s="56" t="s">
        <v>1093</v>
      </c>
      <c r="BR96" s="56" t="s">
        <v>186</v>
      </c>
      <c r="BS96" s="58">
        <v>6.9444444444444447E-4</v>
      </c>
      <c r="BT96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6" s="57" cm="1">
        <f t="array" ref="BU96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6" s="56" t="s">
        <v>1121</v>
      </c>
      <c r="BX96" s="56"/>
      <c r="BY96" s="58">
        <v>6.9444444444444447E-4</v>
      </c>
      <c r="BZ96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6" s="57" cm="1">
        <f t="array" ref="CA96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6" s="56" t="s">
        <v>121</v>
      </c>
      <c r="DB96" s="56" t="s">
        <v>186</v>
      </c>
      <c r="DC96" s="58">
        <v>0.78194444444444444</v>
      </c>
      <c r="DD9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89</v>
      </c>
      <c r="DE96" s="57" cm="1">
        <f t="array" ref="DE9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6" s="56" t="str">
        <f>IF('Weekly Attendance'!AA14="Yes",'Weekly Attendance'!$D14,"")</f>
        <v/>
      </c>
      <c r="DN96" s="56"/>
      <c r="DO96" s="155"/>
      <c r="DP9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6" s="57" t="str" cm="1">
        <f t="array" ref="DQ9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7" spans="1:121">
      <c r="A97" s="16">
        <v>90</v>
      </c>
      <c r="B97" s="86"/>
      <c r="C97" s="56" t="s">
        <v>1116</v>
      </c>
      <c r="D97" s="56"/>
      <c r="E97" s="58">
        <v>6.9444444444444447E-4</v>
      </c>
      <c r="F9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7" s="57" cm="1">
        <f t="array" ref="G9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7" s="56" t="s">
        <v>107</v>
      </c>
      <c r="P97" s="56" t="s">
        <v>186</v>
      </c>
      <c r="Q97" s="58">
        <v>0.7993055555555556</v>
      </c>
      <c r="R97" s="57">
        <f>IFERROR(IF(Table18[[#This Row],[Name]]="","",IFERROR(IF(Table18[[#This Row],[Time]]="","TBD",P$2-COUNTIF(Table18[Time],"&lt;"&amp;Table18[[#This Row],[Time]])),""))-(COUNTIF(Table18[Time],Table18[[#This Row],[Time]])-1),"")</f>
        <v>90</v>
      </c>
      <c r="S97" s="57" cm="1">
        <f t="array" ref="S9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M97" s="56" t="s">
        <v>1122</v>
      </c>
      <c r="AN97" s="56" t="s">
        <v>186</v>
      </c>
      <c r="AO97" s="58">
        <v>6.9444444444444447E-4</v>
      </c>
      <c r="AP97" s="57">
        <f>IFERROR(IF(Table21112164[[#This Row],[Name]]="","",IFERROR(IF(Table21112164[[#This Row],[Time]]="","TBD",AN$2-COUNTIF(Table21112164[Time],"&lt;"&amp;Table21112164[[#This Row],[Time]])),""))-(COUNTIF(Table21112164[Time],Table21112164[[#This Row],[Time]])-1),"")</f>
        <v>88</v>
      </c>
      <c r="AQ97" s="57" cm="1">
        <f t="array" ref="AQ97">IF(ISNUMBER(Table21112164[[#This Row],[True Rank]])=TRUE,ROUNDUP(IF(Table21112164[[#This Row],[Rebuy]]="Yes",75%,100%)*_xlfn.IFS(Table21112164[[#This Row],[True Rank]]=Structures!$B$3,Structures!$D$3,Table21112164[[#This Row],[True Rank]]=Structures!$B$4,Structures!$D$4,Table21112164[[#This Row],[True Rank]]=Structures!$B$5,Structures!$D$5,Table21112164[[#This Row],[True Rank]]&lt;Structures!$C$6,Structures!$D$6,Table21112164[[#This Row],[True Rank]]&lt;=_xlfn.PERCENTILE.INC(Table21112164[True Rank],Structures!$C$7),Structures!$D$7,Table21112164[[#This Row],[True Rank]]&lt;=_xlfn.PERCENTILE.INC(Table21112164[True Rank],Structures!$C$8),Structures!$D$8,Table21112164[[#This Row],[True Rank]]&lt;=_xlfn.PERCENTILE.INC(Table21112164[True Rank],Structures!$C$9),Structures!$D$9),0),Table21112164[[#This Row],[True Rank]])</f>
        <v>1</v>
      </c>
      <c r="AS97" s="56" t="s">
        <v>935</v>
      </c>
      <c r="AT97" s="56" t="s">
        <v>186</v>
      </c>
      <c r="AU97" s="58">
        <v>6.9444444444444447E-4</v>
      </c>
      <c r="AV97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7" s="57" cm="1">
        <f t="array" ref="AW97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7" s="56" t="s">
        <v>888</v>
      </c>
      <c r="AZ97" s="56" t="s">
        <v>186</v>
      </c>
      <c r="BA97" s="58">
        <v>6.9444444444444447E-4</v>
      </c>
      <c r="BB97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7" s="57" cm="1">
        <f t="array" ref="BC97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7" s="56" t="s">
        <v>1123</v>
      </c>
      <c r="BL97" s="56"/>
      <c r="BM97" s="58">
        <v>6.9444444444444447E-4</v>
      </c>
      <c r="BN97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7" s="57" cm="1">
        <f t="array" ref="BO97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7" s="56" t="s">
        <v>906</v>
      </c>
      <c r="BR97" s="56" t="s">
        <v>186</v>
      </c>
      <c r="BS97" s="58">
        <v>6.9444444444444447E-4</v>
      </c>
      <c r="BT97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7" s="57" cm="1">
        <f t="array" ref="BU97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7" s="56" t="s">
        <v>1124</v>
      </c>
      <c r="BX97" s="56" t="s">
        <v>186</v>
      </c>
      <c r="BY97" s="58">
        <v>6.9444444444444447E-4</v>
      </c>
      <c r="BZ97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7" s="57" cm="1">
        <f t="array" ref="CA97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7" s="56" t="s">
        <v>954</v>
      </c>
      <c r="DB97" s="56"/>
      <c r="DC97" s="58">
        <v>6.9444444444444447E-4</v>
      </c>
      <c r="DD9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7" s="57" cm="1">
        <f t="array" ref="DE9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7" s="56" t="str">
        <f>IF('Weekly Attendance'!AA15="Yes",'Weekly Attendance'!$D15,"")</f>
        <v/>
      </c>
      <c r="DN97" s="56"/>
      <c r="DO97" s="155"/>
      <c r="DP9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7" s="57" t="str" cm="1">
        <f t="array" ref="DQ9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8" spans="1:121">
      <c r="A98" s="16">
        <v>91</v>
      </c>
      <c r="B98" s="86"/>
      <c r="C98" s="56" t="s">
        <v>930</v>
      </c>
      <c r="D98" s="56"/>
      <c r="E98" s="58">
        <v>6.9444444444444447E-4</v>
      </c>
      <c r="F98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8" s="57" cm="1">
        <f t="array" ref="G9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8" s="56" t="s">
        <v>910</v>
      </c>
      <c r="P98" s="56" t="s">
        <v>186</v>
      </c>
      <c r="Q98" s="58">
        <v>0.79583333333333328</v>
      </c>
      <c r="R98" s="57">
        <f>IFERROR(IF(Table18[[#This Row],[Name]]="","",IFERROR(IF(Table18[[#This Row],[Time]]="","TBD",P$2-COUNTIF(Table18[Time],"&lt;"&amp;Table18[[#This Row],[Time]])),""))-(COUNTIF(Table18[Time],Table18[[#This Row],[Time]])-1),"")</f>
        <v>91</v>
      </c>
      <c r="S98" s="57" cm="1">
        <f t="array" ref="S98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98" s="56" t="s">
        <v>904</v>
      </c>
      <c r="AT98" s="56" t="s">
        <v>186</v>
      </c>
      <c r="AU98" s="58">
        <v>6.9444444444444447E-4</v>
      </c>
      <c r="AV98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8" s="57" cm="1">
        <f t="array" ref="AW98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8" s="56" t="s">
        <v>1029</v>
      </c>
      <c r="AZ98" s="56"/>
      <c r="BA98" s="58">
        <v>6.9444444444444447E-4</v>
      </c>
      <c r="BB98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8" s="57" cm="1">
        <f t="array" ref="BC98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8" s="56" t="s">
        <v>921</v>
      </c>
      <c r="BL98" s="56"/>
      <c r="BM98" s="58">
        <v>6.9444444444444447E-4</v>
      </c>
      <c r="BN98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8" s="57" t="s">
        <v>1125</v>
      </c>
      <c r="BQ98" s="56" t="s">
        <v>66</v>
      </c>
      <c r="BR98" s="56"/>
      <c r="BS98" s="58">
        <v>6.9444444444444447E-4</v>
      </c>
      <c r="BT98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8" s="57" cm="1">
        <f t="array" ref="BU98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8" s="56" t="s">
        <v>95</v>
      </c>
      <c r="BX98" s="56"/>
      <c r="BY98" s="58">
        <v>6.9444444444444447E-4</v>
      </c>
      <c r="BZ98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8" s="57" cm="1">
        <f t="array" ref="CA98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8" s="56" t="s">
        <v>111</v>
      </c>
      <c r="DB98" s="56" t="s">
        <v>186</v>
      </c>
      <c r="DC98" s="58">
        <v>6.9444444444444447E-4</v>
      </c>
      <c r="DD98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8" s="57" cm="1">
        <f t="array" ref="DE98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8" s="56" t="str">
        <f>IF('Weekly Attendance'!AA16="Yes",'Weekly Attendance'!$D16,"")</f>
        <v/>
      </c>
      <c r="DN98" s="56"/>
      <c r="DO98" s="155"/>
      <c r="DP9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8" s="57" t="str" cm="1">
        <f t="array" ref="DQ9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99" spans="1:121" ht="19.5" thickBot="1">
      <c r="A99" s="16">
        <v>92</v>
      </c>
      <c r="B99" s="86"/>
      <c r="C99" s="56" t="s">
        <v>899</v>
      </c>
      <c r="D99" s="56"/>
      <c r="E99" s="58">
        <v>6.9444444444444447E-4</v>
      </c>
      <c r="F99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99" s="57" cm="1">
        <f t="array" ref="G9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99" s="56" t="s">
        <v>973</v>
      </c>
      <c r="P99" s="56" t="s">
        <v>186</v>
      </c>
      <c r="Q99" s="58">
        <v>0.79374999999999996</v>
      </c>
      <c r="R99" s="57">
        <f>IFERROR(IF(Table18[[#This Row],[Name]]="","",IFERROR(IF(Table18[[#This Row],[Time]]="","TBD",P$2-COUNTIF(Table18[Time],"&lt;"&amp;Table18[[#This Row],[Time]])),""))-(COUNTIF(Table18[Time],Table18[[#This Row],[Time]])-1),"")</f>
        <v>92</v>
      </c>
      <c r="S99" s="57" cm="1">
        <f t="array" ref="S99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99" s="56" t="s">
        <v>1029</v>
      </c>
      <c r="AT99" s="56" t="s">
        <v>420</v>
      </c>
      <c r="AU99" s="58">
        <v>6.9444444444444447E-4</v>
      </c>
      <c r="AV99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99" s="57" cm="1">
        <f t="array" ref="AW99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99" s="56" t="s">
        <v>1015</v>
      </c>
      <c r="AZ99" s="56"/>
      <c r="BA99" s="58">
        <v>6.9444444444444447E-4</v>
      </c>
      <c r="BB99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99" s="57" cm="1">
        <f t="array" ref="BC99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BK99" s="56" t="s">
        <v>911</v>
      </c>
      <c r="BL99" s="56" t="s">
        <v>186</v>
      </c>
      <c r="BM99" s="58">
        <v>6.9444444444444447E-4</v>
      </c>
      <c r="BN99" s="57">
        <f>IFERROR(IF(Table2111216420212223[[#This Row],[Name]]="","",IFERROR(IF(Table2111216420212223[[#This Row],[Time]]="","TBD",BL$2-COUNTIF(Table2111216420212223[Time],"&lt;"&amp;Table2111216420212223[[#This Row],[Time]])),""))-(COUNTIF(Table2111216420212223[Time],Table2111216420212223[[#This Row],[Time]])-1),"")</f>
        <v>88</v>
      </c>
      <c r="BO99" s="57" cm="1">
        <f t="array" ref="BO99">IF(ISNUMBER(Table2111216420212223[[#This Row],[True Rank]])=TRUE,ROUNDUP(IF(Table2111216420212223[[#This Row],[Rebuy]]="Yes",75%,100%)*_xlfn.IFS(Table2111216420212223[[#This Row],[True Rank]]=Structures!$B$3,Structures!$D$3,Table2111216420212223[[#This Row],[True Rank]]=Structures!$B$4,Structures!$D$4,Table2111216420212223[[#This Row],[True Rank]]=Structures!$B$5,Structures!$D$5,Table2111216420212223[[#This Row],[True Rank]]&lt;Structures!$C$6,Structures!$D$6,Table2111216420212223[[#This Row],[True Rank]]&lt;=_xlfn.PERCENTILE.INC(Table2111216420212223[True Rank],Structures!$C$7),Structures!$D$7,Table2111216420212223[[#This Row],[True Rank]]&lt;=_xlfn.PERCENTILE.INC(Table2111216420212223[True Rank],Structures!$C$8),Structures!$D$8,Table2111216420212223[[#This Row],[True Rank]]&lt;=_xlfn.PERCENTILE.INC(Table2111216420212223[True Rank],Structures!$C$9),Structures!$D$9),0),Table2111216420212223[[#This Row],[True Rank]])</f>
        <v>1</v>
      </c>
      <c r="BQ99" s="56" t="s">
        <v>1126</v>
      </c>
      <c r="BR99" s="56"/>
      <c r="BS99" s="58">
        <v>6.9444444444444447E-4</v>
      </c>
      <c r="BT99" s="57">
        <f>IFERROR(IF(Table211121642021222325[[#This Row],[Name]]="","",IFERROR(IF(Table211121642021222325[[#This Row],[Time]]="","TBD",BR$2-COUNTIF(Table211121642021222325[Time],"&lt;"&amp;Table211121642021222325[[#This Row],[Time]])),""))-(COUNTIF(Table211121642021222325[Time],Table211121642021222325[[#This Row],[Time]])-1),"")</f>
        <v>87</v>
      </c>
      <c r="BU99" s="57" cm="1">
        <f t="array" ref="BU99">IF(ISNUMBER(Table211121642021222325[[#This Row],[True Rank]])=TRUE,ROUNDUP(IF(Table211121642021222325[[#This Row],[Rebuy]]="Yes",75%,100%)*_xlfn.IFS(Table211121642021222325[[#This Row],[True Rank]]=Structures!$B$3,Structures!$D$3,Table211121642021222325[[#This Row],[True Rank]]=Structures!$B$4,Structures!$D$4,Table211121642021222325[[#This Row],[True Rank]]=Structures!$B$5,Structures!$D$5,Table211121642021222325[[#This Row],[True Rank]]&lt;Structures!$C$6,Structures!$D$6,Table211121642021222325[[#This Row],[True Rank]]&lt;=_xlfn.PERCENTILE.INC(_xlfn.SEQUENCE(MAX(Table211121642021222325[True Rank])),Structures!$C$7),Structures!$D$7,Table211121642021222325[[#This Row],[True Rank]]&lt;=_xlfn.PERCENTILE.INC(_xlfn.SEQUENCE(MAX(Table211121642021222325[True Rank])),Structures!$C$8),Structures!$D$8,Table211121642021222325[[#This Row],[True Rank]]&lt;=_xlfn.PERCENTILE.INC(_xlfn.SEQUENCE(MAX(Table211121642021222325[True Rank])),Structures!$C$9),Structures!$D$9),0),Table211121642021222325[[#This Row],[True Rank]])</f>
        <v>1</v>
      </c>
      <c r="BW99" s="56" t="s">
        <v>922</v>
      </c>
      <c r="BX99" s="56"/>
      <c r="BY99" s="147">
        <v>6.9444444444444447E-4</v>
      </c>
      <c r="BZ99" s="57">
        <f>IFERROR(IF(Table21112164202122232534[[#This Row],[Name]]="","",IFERROR(IF(Table21112164202122232534[[#This Row],[Time]]="","TBD",BX$2-COUNTIF(Table21112164202122232534[Time],"&lt;"&amp;Table21112164202122232534[[#This Row],[Time]])),""))-(COUNTIF(Table21112164202122232534[Time],Table21112164202122232534[[#This Row],[Time]])-1),"")</f>
        <v>76</v>
      </c>
      <c r="CA99" s="57" cm="1">
        <f t="array" ref="CA99">IF(ISNUMBER(Table21112164202122232534[[#This Row],[True Rank]])=TRUE,ROUNDUP(IF(Table21112164202122232534[[#This Row],[Rebuy]]="Yes",75%,100%)*_xlfn.IFS(Table21112164202122232534[[#This Row],[True Rank]]=Structures!$B$3,Structures!$D$3,Table21112164202122232534[[#This Row],[True Rank]]=Structures!$B$4,Structures!$D$4,Table21112164202122232534[[#This Row],[True Rank]]=Structures!$B$5,Structures!$D$5,Table21112164202122232534[[#This Row],[True Rank]]&lt;Structures!$C$6,Structures!$D$6,Table21112164202122232534[[#This Row],[True Rank]]&lt;=_xlfn.PERCENTILE.INC(_xlfn.SEQUENCE(MAX(Table21112164202122232534[True Rank])),Structures!$C$7),Structures!$D$7,Table21112164202122232534[[#This Row],[True Rank]]&lt;=_xlfn.PERCENTILE.INC(_xlfn.SEQUENCE(MAX(Table21112164202122232534[True Rank])),Structures!$C$8),Structures!$D$8,Table21112164202122232534[[#This Row],[True Rank]]&lt;=_xlfn.PERCENTILE.INC(_xlfn.SEQUENCE(MAX(Table21112164202122232534[True Rank])),Structures!$C$9),Structures!$D$9),0),Table21112164202122232534[[#This Row],[True Rank]])</f>
        <v>1</v>
      </c>
      <c r="DA99" s="56" t="s">
        <v>1107</v>
      </c>
      <c r="DB99" s="56" t="s">
        <v>186</v>
      </c>
      <c r="DC99" s="58">
        <v>6.9444444444444447E-4</v>
      </c>
      <c r="DD99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99" s="57" cm="1">
        <f t="array" ref="DE99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99" s="56" t="str">
        <f>IF('Weekly Attendance'!AA18="Yes",'Weekly Attendance'!$D18,"")</f>
        <v/>
      </c>
      <c r="DN99" s="56"/>
      <c r="DO99" s="155"/>
      <c r="DP9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99" s="57" t="str" cm="1">
        <f t="array" ref="DQ9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0" spans="1:121">
      <c r="A100" s="16">
        <v>93</v>
      </c>
      <c r="B100" s="86"/>
      <c r="C100" s="56" t="s">
        <v>1056</v>
      </c>
      <c r="D100" s="56"/>
      <c r="E100" s="58">
        <v>6.9444444444444447E-4</v>
      </c>
      <c r="F100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0" s="57" cm="1">
        <f t="array" ref="G10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0" s="56" t="s">
        <v>997</v>
      </c>
      <c r="P100" s="56" t="s">
        <v>186</v>
      </c>
      <c r="Q100" s="58">
        <v>0.79305555555555551</v>
      </c>
      <c r="R100" s="57">
        <f>IFERROR(IF(Table18[[#This Row],[Name]]="","",IFERROR(IF(Table18[[#This Row],[Time]]="","TBD",P$2-COUNTIF(Table18[Time],"&lt;"&amp;Table18[[#This Row],[Time]])),""))-(COUNTIF(Table18[Time],Table18[[#This Row],[Time]])-1),"")</f>
        <v>93</v>
      </c>
      <c r="S100" s="57" cm="1">
        <f t="array" ref="S100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0" s="56" t="s">
        <v>1084</v>
      </c>
      <c r="AT100" s="56" t="s">
        <v>186</v>
      </c>
      <c r="AU100" s="58">
        <v>6.9444444444444447E-4</v>
      </c>
      <c r="AV100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0" s="57" cm="1">
        <f t="array" ref="AW100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100" s="56" t="s">
        <v>1123</v>
      </c>
      <c r="AZ100" s="56" t="s">
        <v>186</v>
      </c>
      <c r="BA100" s="58">
        <v>6.9444444444444447E-4</v>
      </c>
      <c r="BB100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0" s="57" cm="1">
        <f t="array" ref="BC100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DA100" s="56" t="s">
        <v>158</v>
      </c>
      <c r="DB100" s="56"/>
      <c r="DC100" s="58">
        <v>6.9444444444444447E-4</v>
      </c>
      <c r="DD100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0" s="57" cm="1">
        <f t="array" ref="DE100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0" s="56" t="str">
        <f>IF('Weekly Attendance'!AA19="Yes",'Weekly Attendance'!$D19,"")</f>
        <v/>
      </c>
      <c r="DN100" s="56"/>
      <c r="DO100" s="155"/>
      <c r="DP10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0" s="57" t="str" cm="1">
        <f t="array" ref="DQ10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1" spans="1:121">
      <c r="A101" s="16">
        <v>94</v>
      </c>
      <c r="B101" s="86"/>
      <c r="C101" s="56" t="s">
        <v>942</v>
      </c>
      <c r="D101" s="56"/>
      <c r="E101" s="58">
        <v>6.9444444444444447E-4</v>
      </c>
      <c r="F101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1" s="57" cm="1">
        <f t="array" ref="G10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1" s="56" t="s">
        <v>1122</v>
      </c>
      <c r="P101" s="56"/>
      <c r="Q101" s="58">
        <v>0.79027777777777775</v>
      </c>
      <c r="R101" s="57">
        <f>IFERROR(IF(Table18[[#This Row],[Name]]="","",IFERROR(IF(Table18[[#This Row],[Time]]="","TBD",P$2-COUNTIF(Table18[Time],"&lt;"&amp;Table18[[#This Row],[Time]])),""))-(COUNTIF(Table18[Time],Table18[[#This Row],[Time]])-1),"")</f>
        <v>94</v>
      </c>
      <c r="S101" s="57" cm="1">
        <f t="array" ref="S101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1" s="56" t="s">
        <v>1040</v>
      </c>
      <c r="AT101" s="56"/>
      <c r="AU101" s="58">
        <v>6.9444444444444447E-4</v>
      </c>
      <c r="AV101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1" s="57" cm="1">
        <f t="array" ref="AW101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AY101" s="56" t="s">
        <v>1127</v>
      </c>
      <c r="AZ101" s="56"/>
      <c r="BA101" s="58">
        <v>6.9444444444444447E-4</v>
      </c>
      <c r="BB101" s="57">
        <f>IFERROR(IF(Table211121642021[[#This Row],[Name]]="","",IFERROR(IF(Table211121642021[[#This Row],[Time]]="","TBD",AZ$2-COUNTIF(Table211121642021[Time],"&lt;"&amp;Table211121642021[[#This Row],[Time]])),""))-(COUNTIF(Table211121642021[Time],Table211121642021[[#This Row],[Time]])-1),"")</f>
        <v>89</v>
      </c>
      <c r="BC101" s="57" cm="1">
        <f t="array" ref="BC101">IF(ISNUMBER(Table211121642021[[#This Row],[True Rank]])=TRUE,ROUNDUP(IF(Table211121642021[[#This Row],[Rebuy]]="Yes",75%,100%)*_xlfn.IFS(Table211121642021[[#This Row],[True Rank]]=Structures!$B$3,Structures!$D$3,Table211121642021[[#This Row],[True Rank]]=Structures!$B$4,Structures!$D$4,Table211121642021[[#This Row],[True Rank]]=Structures!$B$5,Structures!$D$5,Table211121642021[[#This Row],[True Rank]]&lt;Structures!$C$6,Structures!$D$6,Table211121642021[[#This Row],[True Rank]]&lt;=_xlfn.PERCENTILE.INC(Table211121642021[True Rank],Structures!$C$7),Structures!$D$7,Table211121642021[[#This Row],[True Rank]]&lt;=_xlfn.PERCENTILE.INC(Table211121642021[True Rank],Structures!$C$8),Structures!$D$8,Table211121642021[[#This Row],[True Rank]]&lt;=_xlfn.PERCENTILE.INC(Table211121642021[True Rank],Structures!$C$9),Structures!$D$9),0),Table211121642021[[#This Row],[True Rank]])</f>
        <v>1</v>
      </c>
      <c r="DA101" s="56" t="s">
        <v>1093</v>
      </c>
      <c r="DB101" s="56" t="s">
        <v>186</v>
      </c>
      <c r="DC101" s="58">
        <v>6.9444444444444447E-4</v>
      </c>
      <c r="DD101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1" s="57" cm="1">
        <f t="array" ref="DE101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1" s="56" t="str">
        <f>IF('Weekly Attendance'!AA20="Yes",'Weekly Attendance'!$D20,"")</f>
        <v/>
      </c>
      <c r="DN101" s="56"/>
      <c r="DO101" s="155"/>
      <c r="DP10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1" s="57" t="str" cm="1">
        <f t="array" ref="DQ10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2" spans="1:121">
      <c r="A102" s="16">
        <v>95</v>
      </c>
      <c r="B102" s="86"/>
      <c r="C102" s="56" t="s">
        <v>976</v>
      </c>
      <c r="D102" s="56"/>
      <c r="E102" s="58">
        <v>6.9444444444444447E-4</v>
      </c>
      <c r="F102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2" s="57" cm="1">
        <f t="array" ref="G10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2" s="56" t="s">
        <v>965</v>
      </c>
      <c r="P102" s="56" t="s">
        <v>186</v>
      </c>
      <c r="Q102" s="58">
        <v>0.78680555555555554</v>
      </c>
      <c r="R102" s="57">
        <f>IFERROR(IF(Table18[[#This Row],[Name]]="","",IFERROR(IF(Table18[[#This Row],[Time]]="","TBD",P$2-COUNTIF(Table18[Time],"&lt;"&amp;Table18[[#This Row],[Time]])),""))-(COUNTIF(Table18[Time],Table18[[#This Row],[Time]])-1),"")</f>
        <v>95</v>
      </c>
      <c r="S102" s="57" cm="1">
        <f t="array" ref="S102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AS102" s="56" t="s">
        <v>918</v>
      </c>
      <c r="AT102" s="56"/>
      <c r="AU102" s="58">
        <v>6.9444444444444447E-4</v>
      </c>
      <c r="AV102" s="57">
        <f>IFERROR(IF(Table2111216420[[#This Row],[Name]]="","",IFERROR(IF(Table2111216420[[#This Row],[Time]]="","TBD",AT$2-COUNTIF(Table2111216420[Time],"&lt;"&amp;Table2111216420[[#This Row],[Time]])),""))-(COUNTIF(Table2111216420[Time],Table2111216420[[#This Row],[Time]])-1),"")</f>
        <v>85</v>
      </c>
      <c r="AW102" s="57" cm="1">
        <f t="array" ref="AW102">IF(ISNUMBER(Table2111216420[[#This Row],[True Rank]])=TRUE,ROUNDUP(IF(Table2111216420[[#This Row],[Rebuy]]="Yes",75%,100%)*_xlfn.IFS(Table2111216420[[#This Row],[True Rank]]=Structures!$B$3,Structures!$D$3,Table2111216420[[#This Row],[True Rank]]=Structures!$B$4,Structures!$D$4,Table2111216420[[#This Row],[True Rank]]=Structures!$B$5,Structures!$D$5,Table2111216420[[#This Row],[True Rank]]&lt;Structures!$C$6,Structures!$D$6,Table2111216420[[#This Row],[True Rank]]&lt;=_xlfn.PERCENTILE.INC(Table2111216420[True Rank],Structures!$C$7),Structures!$D$7,Table2111216420[[#This Row],[True Rank]]&lt;=_xlfn.PERCENTILE.INC(Table2111216420[True Rank],Structures!$C$8),Structures!$D$8,Table2111216420[[#This Row],[True Rank]]&lt;=_xlfn.PERCENTILE.INC(Table2111216420[True Rank],Structures!$C$9),Structures!$D$9),0),Table2111216420[[#This Row],[True Rank]])</f>
        <v>1</v>
      </c>
      <c r="DA102" s="56" t="s">
        <v>1128</v>
      </c>
      <c r="DB102" s="56" t="s">
        <v>186</v>
      </c>
      <c r="DC102" s="58">
        <v>6.9444444444444447E-4</v>
      </c>
      <c r="DD102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2" s="57" cm="1">
        <f t="array" ref="DE102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2" s="56" t="str">
        <f>IF('Weekly Attendance'!AA21="Yes",'Weekly Attendance'!$D21,"")</f>
        <v/>
      </c>
      <c r="DN102" s="56"/>
      <c r="DO102" s="155"/>
      <c r="DP10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2" s="57" t="str" cm="1">
        <f t="array" ref="DQ10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3" spans="1:121">
      <c r="A103" s="16">
        <v>96</v>
      </c>
      <c r="B103" s="86"/>
      <c r="C103" s="56" t="s">
        <v>150</v>
      </c>
      <c r="D103" s="56"/>
      <c r="E103" s="58">
        <v>6.9444444444444447E-4</v>
      </c>
      <c r="F103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3" s="57" cm="1">
        <f t="array" ref="G10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3" s="56" t="s">
        <v>895</v>
      </c>
      <c r="P103" s="56" t="s">
        <v>186</v>
      </c>
      <c r="Q103" s="58">
        <v>0.78263888888888888</v>
      </c>
      <c r="R103" s="57">
        <f>IFERROR(IF(Table18[[#This Row],[Name]]="","",IFERROR(IF(Table18[[#This Row],[Time]]="","TBD",P$2-COUNTIF(Table18[Time],"&lt;"&amp;Table18[[#This Row],[Time]])),""))-(COUNTIF(Table18[Time],Table18[[#This Row],[Time]])-1),"")</f>
        <v>96</v>
      </c>
      <c r="S103" s="57" cm="1">
        <f t="array" ref="S103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3" s="56" t="s">
        <v>909</v>
      </c>
      <c r="DB103" s="56" t="s">
        <v>186</v>
      </c>
      <c r="DC103" s="58">
        <v>6.9444444444444447E-4</v>
      </c>
      <c r="DD103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3" s="57" cm="1">
        <f t="array" ref="DE103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3" s="56" t="str">
        <f>IF('Weekly Attendance'!AA22="Yes",'Weekly Attendance'!$D22,"")</f>
        <v/>
      </c>
      <c r="DN103" s="56"/>
      <c r="DO103" s="155"/>
      <c r="DP10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3" s="57" t="str" cm="1">
        <f t="array" ref="DQ10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4" spans="1:121">
      <c r="A104" s="16">
        <v>97</v>
      </c>
      <c r="B104" s="86"/>
      <c r="C104" s="56" t="s">
        <v>936</v>
      </c>
      <c r="D104" s="56"/>
      <c r="E104" s="58">
        <v>6.9444444444444447E-4</v>
      </c>
      <c r="F10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4" s="57" cm="1">
        <f t="array" ref="G10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4" s="56" t="s">
        <v>1057</v>
      </c>
      <c r="P104" s="56" t="s">
        <v>186</v>
      </c>
      <c r="Q104" s="58">
        <v>0.76944444444444449</v>
      </c>
      <c r="R104" s="57">
        <f>IFERROR(IF(Table18[[#This Row],[Name]]="","",IFERROR(IF(Table18[[#This Row],[Time]]="","TBD",P$2-COUNTIF(Table18[Time],"&lt;"&amp;Table18[[#This Row],[Time]])),""))-(COUNTIF(Table18[Time],Table18[[#This Row],[Time]])-1),"")</f>
        <v>97</v>
      </c>
      <c r="S104" s="57" cm="1">
        <f t="array" ref="S104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4" s="56" t="s">
        <v>904</v>
      </c>
      <c r="DB104" s="56"/>
      <c r="DC104" s="58">
        <v>6.9444444444444447E-4</v>
      </c>
      <c r="DD104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4" s="57" cm="1">
        <f t="array" ref="DE104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4" s="56" t="str">
        <f>IF('Weekly Attendance'!AA23="Yes",'Weekly Attendance'!$D23,"")</f>
        <v/>
      </c>
      <c r="DN104" s="56"/>
      <c r="DO104" s="155"/>
      <c r="DP10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4" s="57" t="str" cm="1">
        <f t="array" ref="DQ10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5" spans="1:121">
      <c r="A105" s="16">
        <v>98</v>
      </c>
      <c r="B105" s="86"/>
      <c r="C105" s="56" t="s">
        <v>146</v>
      </c>
      <c r="D105" s="56"/>
      <c r="E105" s="58">
        <v>6.9444444444444447E-4</v>
      </c>
      <c r="F10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5" s="57" cm="1">
        <f t="array" ref="G10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5" s="56" t="s">
        <v>1036</v>
      </c>
      <c r="P105" s="56" t="s">
        <v>186</v>
      </c>
      <c r="Q105" s="58">
        <v>6.9444444444444447E-4</v>
      </c>
      <c r="R105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5" s="57" cm="1">
        <f t="array" ref="S105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5" s="56" t="s">
        <v>1036</v>
      </c>
      <c r="DB105" s="56" t="s">
        <v>186</v>
      </c>
      <c r="DC105" s="58">
        <v>6.9444444444444447E-4</v>
      </c>
      <c r="DD105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5" s="57" cm="1">
        <f t="array" ref="DE105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5" s="56" t="str">
        <f>IF('Weekly Attendance'!AA24="Yes",'Weekly Attendance'!$D24,"")</f>
        <v/>
      </c>
      <c r="DN105" s="56"/>
      <c r="DO105" s="155"/>
      <c r="DP10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5" s="57" t="str" cm="1">
        <f t="array" ref="DQ10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6" spans="1:121">
      <c r="A106" s="16">
        <v>99</v>
      </c>
      <c r="B106" s="86"/>
      <c r="C106" s="56" t="s">
        <v>1041</v>
      </c>
      <c r="D106" s="56"/>
      <c r="E106" s="58">
        <v>6.9444444444444447E-4</v>
      </c>
      <c r="F10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6" s="57" cm="1">
        <f t="array" ref="G10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6" s="56" t="s">
        <v>1129</v>
      </c>
      <c r="P106" s="56"/>
      <c r="Q106" s="58">
        <v>6.9444444444444447E-4</v>
      </c>
      <c r="R106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6" s="57" cm="1">
        <f t="array" ref="S106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6" s="56" t="s">
        <v>1042</v>
      </c>
      <c r="DB106" s="56"/>
      <c r="DC106" s="58">
        <v>6.9444444444444447E-4</v>
      </c>
      <c r="DD106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6" s="57" cm="1">
        <f t="array" ref="DE106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6" s="56" t="str">
        <f>IF('Weekly Attendance'!AA26="Yes",'Weekly Attendance'!$D26,"")</f>
        <v/>
      </c>
      <c r="DN106" s="56"/>
      <c r="DO106" s="155"/>
      <c r="DP10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6" s="57" t="str" cm="1">
        <f t="array" ref="DQ10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7" spans="1:121">
      <c r="A107" s="16">
        <v>100</v>
      </c>
      <c r="B107" s="86"/>
      <c r="C107" s="56" t="s">
        <v>1063</v>
      </c>
      <c r="D107" s="56"/>
      <c r="E107" s="58">
        <v>6.9444444444444447E-4</v>
      </c>
      <c r="F10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7" s="57" cm="1">
        <f t="array" ref="G10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O107" s="56" t="s">
        <v>1130</v>
      </c>
      <c r="P107" s="56"/>
      <c r="Q107" s="58">
        <v>6.9444444444444447E-4</v>
      </c>
      <c r="R107" s="57">
        <f>IFERROR(IF(Table18[[#This Row],[Name]]="","",IFERROR(IF(Table18[[#This Row],[Time]]="","TBD",P$2-COUNTIF(Table18[Time],"&lt;"&amp;Table18[[#This Row],[Time]])),""))-(COUNTIF(Table18[Time],Table18[[#This Row],[Time]])-1),"")</f>
        <v>98</v>
      </c>
      <c r="S107" s="57" cm="1">
        <f t="array" ref="S107">IF(ISNUMBER(Table18[[#This Row],[True Rank]])=TRUE,ROUNDUP(IF(Table18[[#This Row],[Rebuy]]="Yes",75%,100%)*_xlfn.IFS(Table18[[#This Row],[True Rank]]=Structures!$B$3,Structures!$D$3,Table18[[#This Row],[True Rank]]=Structures!$B$4,Structures!$D$4,Table18[[#This Row],[True Rank]]=Structures!$B$5,Structures!$D$5,Table18[[#This Row],[True Rank]]&lt;Structures!$C$6,Structures!$D$6,Table18[[#This Row],[True Rank]]&lt;=_xlfn.PERCENTILE.INC(Table18[True Rank],Structures!$C$7),Structures!$D$7,Table18[[#This Row],[True Rank]]&lt;=_xlfn.PERCENTILE.INC(Table18[True Rank],Structures!$C$8),Structures!$D$8,Table18[[#This Row],[True Rank]]&lt;=_xlfn.PERCENTILE.INC(Table18[True Rank],Structures!$C$9),Structures!$D$9),0),Table18[[#This Row],[True Rank]])</f>
        <v>1</v>
      </c>
      <c r="DA107" s="56" t="s">
        <v>1082</v>
      </c>
      <c r="DB107" s="56" t="s">
        <v>186</v>
      </c>
      <c r="DC107" s="58">
        <v>6.9444444444444447E-4</v>
      </c>
      <c r="DD107" s="57">
        <f>IFERROR(IF(Table2111216420212223253435363739[[#This Row],[Name]]="","",IFERROR(IF(Table2111216420212223253435363739[[#This Row],[Time]]="","TBD",DB$2-COUNTIF(Table2111216420212223253435363739[Time],"&lt;"&amp;Table2111216420212223253435363739[[#This Row],[Time]])),""))-(COUNTIF(Table2111216420212223253435363739[Time],Table2111216420212223253435363739[[#This Row],[Time]])-1),"")</f>
        <v>90</v>
      </c>
      <c r="DE107" s="57" cm="1">
        <f t="array" ref="DE107">IF(ISNUMBER(Table2111216420212223253435363739[[#This Row],[True Rank]])=TRUE,ROUNDUP(IF(Table2111216420212223253435363739[[#This Row],[Rebuy]]="Yes",75%,100%)*_xlfn.IFS(Table2111216420212223253435363739[[#This Row],[True Rank]]=Structures!$B$3,Structures!$D$3,Table2111216420212223253435363739[[#This Row],[True Rank]]=Structures!$B$4,Structures!$D$4,Table2111216420212223253435363739[[#This Row],[True Rank]]=Structures!$B$5,Structures!$D$5,Table2111216420212223253435363739[[#This Row],[True Rank]]&lt;Structures!$C$6,Structures!$D$6,Table2111216420212223253435363739[[#This Row],[True Rank]]&lt;=_xlfn.PERCENTILE.INC(_xlfn.SEQUENCE(MAX(Table2111216420212223253435363739[True Rank])),Structures!$C$7),Structures!$D$7,Table2111216420212223253435363739[[#This Row],[True Rank]]&lt;=_xlfn.PERCENTILE.INC(_xlfn.SEQUENCE(MAX(Table2111216420212223253435363739[True Rank])),Structures!$C$8),Structures!$D$8,Table2111216420212223253435363739[[#This Row],[True Rank]]&lt;=_xlfn.PERCENTILE.INC(_xlfn.SEQUENCE(MAX(Table2111216420212223253435363739[True Rank])),Structures!$C$9),Structures!$D$9),0),Table2111216420212223253435363739[[#This Row],[True Rank]])</f>
        <v>1</v>
      </c>
      <c r="DM107" s="56" t="str">
        <f>IF('Weekly Attendance'!AA27="Yes",'Weekly Attendance'!$D27,"")</f>
        <v/>
      </c>
      <c r="DN107" s="56"/>
      <c r="DO107" s="155"/>
      <c r="DP10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7" s="57" t="str" cm="1">
        <f t="array" ref="DQ10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8" spans="1:121">
      <c r="A108" s="16">
        <v>101</v>
      </c>
      <c r="B108" s="86"/>
      <c r="C108" s="56" t="s">
        <v>1043</v>
      </c>
      <c r="D108" s="56" t="s">
        <v>186</v>
      </c>
      <c r="E108" s="58">
        <v>6.9444444444444447E-4</v>
      </c>
      <c r="F108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8" s="57" cm="1">
        <f t="array" ref="G108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08" s="40"/>
      <c r="DM108" s="56" t="str">
        <f>IF('Weekly Attendance'!AA28="Yes",'Weekly Attendance'!$D28,"")</f>
        <v/>
      </c>
      <c r="DN108" s="56"/>
      <c r="DO108" s="155"/>
      <c r="DP10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8" s="57" t="str" cm="1">
        <f t="array" ref="DQ10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09" spans="1:121">
      <c r="A109" s="16">
        <v>102</v>
      </c>
      <c r="B109" s="86"/>
      <c r="C109" s="56" t="s">
        <v>1131</v>
      </c>
      <c r="D109" s="56" t="s">
        <v>186</v>
      </c>
      <c r="E109" s="58">
        <v>6.9444444444444447E-4</v>
      </c>
      <c r="F109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09" s="57" cm="1">
        <f t="array" ref="G109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09" s="40"/>
      <c r="DM109" s="56" t="str">
        <f>IF('Weekly Attendance'!AA29="Yes",'Weekly Attendance'!$D29,"")</f>
        <v/>
      </c>
      <c r="DN109" s="56"/>
      <c r="DO109" s="155"/>
      <c r="DP10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09" s="57" t="str" cm="1">
        <f t="array" ref="DQ10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0" spans="1:121">
      <c r="A110" s="16">
        <v>103</v>
      </c>
      <c r="B110" s="86"/>
      <c r="C110" s="56" t="s">
        <v>71</v>
      </c>
      <c r="D110" s="56" t="s">
        <v>186</v>
      </c>
      <c r="E110" s="58">
        <v>6.9444444444444447E-4</v>
      </c>
      <c r="F110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0" s="57" cm="1">
        <f t="array" ref="G110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0" s="40"/>
      <c r="DM110" s="56" t="str">
        <f>IF('Weekly Attendance'!AA31="Yes",'Weekly Attendance'!$D31,"")</f>
        <v/>
      </c>
      <c r="DN110" s="56"/>
      <c r="DO110" s="155"/>
      <c r="DP11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0" s="57" t="str" cm="1">
        <f t="array" ref="DQ1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1" spans="1:121">
      <c r="A111" s="16">
        <v>104</v>
      </c>
      <c r="B111" s="86"/>
      <c r="C111" s="56" t="s">
        <v>1132</v>
      </c>
      <c r="D111" s="56" t="s">
        <v>186</v>
      </c>
      <c r="E111" s="58">
        <v>6.9444444444444447E-4</v>
      </c>
      <c r="F111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1" s="57" cm="1">
        <f t="array" ref="G111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1" s="40"/>
      <c r="DM111" s="56" t="str">
        <f>IF('Weekly Attendance'!AA34="Yes",'Weekly Attendance'!$D34,"")</f>
        <v/>
      </c>
      <c r="DN111" s="56"/>
      <c r="DO111" s="155"/>
      <c r="DP11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1" s="57" t="str" cm="1">
        <f t="array" ref="DQ1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2" spans="1:121">
      <c r="A112" s="16">
        <v>105</v>
      </c>
      <c r="B112" s="86"/>
      <c r="C112" s="56" t="s">
        <v>1088</v>
      </c>
      <c r="D112" s="56"/>
      <c r="E112" s="58">
        <v>6.9444444444444447E-4</v>
      </c>
      <c r="F112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2" s="57" cm="1">
        <f t="array" ref="G112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2" s="40"/>
      <c r="DM112" s="56" t="str">
        <f>IF('Weekly Attendance'!AA35="Yes",'Weekly Attendance'!$D35,"")</f>
        <v/>
      </c>
      <c r="DN112" s="56"/>
      <c r="DO112" s="155"/>
      <c r="DP11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2" s="57" t="str" cm="1">
        <f t="array" ref="DQ1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3" spans="1:121">
      <c r="A113" s="16">
        <v>106</v>
      </c>
      <c r="B113" s="86"/>
      <c r="C113" s="56" t="s">
        <v>891</v>
      </c>
      <c r="D113" s="56"/>
      <c r="E113" s="58">
        <v>6.9444444444444447E-4</v>
      </c>
      <c r="F113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3" s="57" cm="1">
        <f t="array" ref="G113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3" s="40"/>
      <c r="DM113" s="56" t="str">
        <f>IF('Weekly Attendance'!AA36="Yes",'Weekly Attendance'!$D36,"")</f>
        <v/>
      </c>
      <c r="DN113" s="56"/>
      <c r="DO113" s="155"/>
      <c r="DP11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3" s="57" t="str" cm="1">
        <f t="array" ref="DQ1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4" spans="1:121">
      <c r="A114" s="16">
        <v>107</v>
      </c>
      <c r="B114" s="86"/>
      <c r="C114" s="56" t="s">
        <v>1122</v>
      </c>
      <c r="D114" s="56"/>
      <c r="E114" s="58">
        <v>6.9444444444444447E-4</v>
      </c>
      <c r="F114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4" s="57" cm="1">
        <f t="array" ref="G114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4" s="40"/>
      <c r="DM114" s="56" t="str">
        <f>IF('Weekly Attendance'!AA37="Yes",'Weekly Attendance'!$D37,"")</f>
        <v/>
      </c>
      <c r="DN114" s="56"/>
      <c r="DO114" s="155"/>
      <c r="DP11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4" s="57" t="str" cm="1">
        <f t="array" ref="DQ1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5" spans="1:121">
      <c r="A115" s="16">
        <v>108</v>
      </c>
      <c r="B115" s="86"/>
      <c r="C115" s="56" t="s">
        <v>101</v>
      </c>
      <c r="D115" s="56"/>
      <c r="E115" s="58">
        <v>6.9444444444444447E-4</v>
      </c>
      <c r="F115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5" s="57" cm="1">
        <f t="array" ref="G115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5" s="40"/>
      <c r="DM115" s="56" t="str">
        <f>IF('Weekly Attendance'!AA38="Yes",'Weekly Attendance'!$D38,"")</f>
        <v/>
      </c>
      <c r="DN115" s="56"/>
      <c r="DO115" s="155"/>
      <c r="DP11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5" s="57" t="str" cm="1">
        <f t="array" ref="DQ1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6" spans="1:121">
      <c r="A116" s="16">
        <v>109</v>
      </c>
      <c r="B116" s="86"/>
      <c r="C116" s="56" t="s">
        <v>866</v>
      </c>
      <c r="D116" s="56"/>
      <c r="E116" s="58">
        <v>6.9444444444444447E-4</v>
      </c>
      <c r="F116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6" s="57" cm="1">
        <f t="array" ref="G116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6" s="40"/>
      <c r="DM116" s="56" t="str">
        <f>IF('Weekly Attendance'!AA41="Yes",'Weekly Attendance'!$D41,"")</f>
        <v/>
      </c>
      <c r="DN116" s="56"/>
      <c r="DO116" s="155"/>
      <c r="DP11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6" s="57" t="str" cm="1">
        <f t="array" ref="DQ1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7" spans="1:121">
      <c r="A117" s="16">
        <v>110</v>
      </c>
      <c r="B117" s="86"/>
      <c r="C117" s="56" t="s">
        <v>1029</v>
      </c>
      <c r="D117" s="56"/>
      <c r="E117" s="58">
        <v>6.9444444444444447E-4</v>
      </c>
      <c r="F117" s="57">
        <f>IFERROR(IF(Table4[[#This Row],[Name]]="","",IFERROR(IF(Table4[[#This Row],[Time]]="","TBD",D$2-COUNTIF(Table4[Time],"&lt;"&amp;Table4[[#This Row],[Time]])),""))-(COUNTIF(Table4[Time],Table4[[#This Row],[Time]])-1),"")</f>
        <v>87</v>
      </c>
      <c r="G117" s="57" cm="1">
        <f t="array" ref="G117">IF(ISNUMBER(Table4[[#This Row],[True Rank]])=TRUE,ROUNDUP(IF(Table4[[#This Row],[Rebuy]]="Yes",75%,100%)*_xlfn.IFS(Table4[[#This Row],[True Rank]]=Structures!$B$3,Structures!$D$3,Table4[[#This Row],[True Rank]]=Structures!$B$4,Structures!$D$4,Table4[[#This Row],[True Rank]]=Structures!$B$5,Structures!$D$5,Table4[[#This Row],[True Rank]]&lt;Structures!$C$6,Structures!$D$6,Table4[[#This Row],[True Rank]]&lt;=_xlfn.PERCENTILE.INC(Table4[True Rank],Structures!$C$7),Structures!$D$7,Table4[[#This Row],[True Rank]]&lt;=_xlfn.PERCENTILE.INC(Table4[True Rank],Structures!$C$8),Structures!$D$8,Table4[[#This Row],[True Rank]]&lt;=_xlfn.PERCENTILE.INC(Table4[True Rank],Structures!$C$9),Structures!$D$9),0),Table4[[#This Row],[True Rank]])</f>
        <v>1</v>
      </c>
      <c r="R117" s="40"/>
      <c r="DM117" s="56" t="str">
        <f>IF('Weekly Attendance'!AA42="Yes",'Weekly Attendance'!$D42,"")</f>
        <v/>
      </c>
      <c r="DN117" s="56"/>
      <c r="DO117" s="155"/>
      <c r="DP11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7" s="57" t="str" cm="1">
        <f t="array" ref="DQ1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8" spans="1:121">
      <c r="A118" s="16">
        <v>111</v>
      </c>
      <c r="B118" s="86"/>
      <c r="F118" s="40"/>
      <c r="G118"/>
      <c r="R118" s="40"/>
      <c r="DM118" s="56" t="str">
        <f>IF('Weekly Attendance'!AA43="Yes",'Weekly Attendance'!$D43,"")</f>
        <v/>
      </c>
      <c r="DN118" s="56"/>
      <c r="DO118" s="155"/>
      <c r="DP11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8" s="57" t="str" cm="1">
        <f t="array" ref="DQ1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19" spans="1:121">
      <c r="A119" s="16">
        <v>112</v>
      </c>
      <c r="B119" s="86"/>
      <c r="F119" s="40"/>
      <c r="G119"/>
      <c r="R119" s="40"/>
      <c r="DM119" s="56" t="str">
        <f>IF('Weekly Attendance'!AA44="Yes",'Weekly Attendance'!$D44,"")</f>
        <v/>
      </c>
      <c r="DN119" s="56"/>
      <c r="DO119" s="155"/>
      <c r="DP11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19" s="57" t="str" cm="1">
        <f t="array" ref="DQ1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0" spans="1:121">
      <c r="A120" s="16">
        <v>113</v>
      </c>
      <c r="B120" s="86"/>
      <c r="F120" s="40"/>
      <c r="G120"/>
      <c r="R120" s="40"/>
      <c r="DM120" s="56" t="str">
        <f>IF('Weekly Attendance'!AA45="Yes",'Weekly Attendance'!$D45,"")</f>
        <v/>
      </c>
      <c r="DN120" s="56"/>
      <c r="DO120" s="155"/>
      <c r="DP12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0" s="57" t="str" cm="1">
        <f t="array" ref="DQ1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1" spans="1:121">
      <c r="A121" s="16">
        <v>114</v>
      </c>
      <c r="B121" s="86"/>
      <c r="F121" s="40"/>
      <c r="G121"/>
      <c r="R121" s="40"/>
      <c r="DM121" s="56" t="str">
        <f>IF('Weekly Attendance'!AA47="Yes",'Weekly Attendance'!$D47,"")</f>
        <v/>
      </c>
      <c r="DN121" s="56"/>
      <c r="DO121" s="155"/>
      <c r="DP12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1" s="57" t="str" cm="1">
        <f t="array" ref="DQ1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2" spans="1:121">
      <c r="A122" s="16">
        <v>115</v>
      </c>
      <c r="B122" s="86"/>
      <c r="F122" s="40"/>
      <c r="G122"/>
      <c r="R122" s="40"/>
      <c r="DM122" s="56" t="str">
        <f>IF('Weekly Attendance'!AA51="Yes",'Weekly Attendance'!$D51,"")</f>
        <v/>
      </c>
      <c r="DN122" s="56"/>
      <c r="DO122" s="155"/>
      <c r="DP12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2" s="57" t="str" cm="1">
        <f t="array" ref="DQ1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3" spans="1:121">
      <c r="A123" s="16">
        <v>116</v>
      </c>
      <c r="B123" s="86"/>
      <c r="F123" s="40"/>
      <c r="G123"/>
      <c r="R123" s="40"/>
      <c r="DM123" s="56" t="str">
        <f>IF('Weekly Attendance'!AA52="Yes",'Weekly Attendance'!$D52,"")</f>
        <v/>
      </c>
      <c r="DN123" s="56"/>
      <c r="DO123" s="155"/>
      <c r="DP12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3" s="57" t="str" cm="1">
        <f t="array" ref="DQ1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4" spans="1:121">
      <c r="A124" s="16">
        <v>117</v>
      </c>
      <c r="B124" s="86"/>
      <c r="F124" s="40"/>
      <c r="G124"/>
      <c r="R124" s="40"/>
      <c r="DM124" s="56" t="str">
        <f>IF('Weekly Attendance'!AA59="Yes",'Weekly Attendance'!$D59,"")</f>
        <v/>
      </c>
      <c r="DN124" s="56"/>
      <c r="DO124" s="155"/>
      <c r="DP12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4" s="57" t="str" cm="1">
        <f t="array" ref="DQ1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5" spans="1:121">
      <c r="A125" s="16">
        <v>118</v>
      </c>
      <c r="B125" s="86"/>
      <c r="F125" s="40"/>
      <c r="G125"/>
      <c r="R125" s="40"/>
      <c r="DM125" s="56" t="str">
        <f>IF('Weekly Attendance'!AA60="Yes",'Weekly Attendance'!$D60,"")</f>
        <v/>
      </c>
      <c r="DN125" s="56"/>
      <c r="DO125" s="155"/>
      <c r="DP12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5" s="57" t="str" cm="1">
        <f t="array" ref="DQ1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6" spans="1:121">
      <c r="A126" s="16">
        <v>119</v>
      </c>
      <c r="B126" s="86"/>
      <c r="F126" s="40"/>
      <c r="G126"/>
      <c r="R126" s="40"/>
      <c r="DM126" s="56" t="str">
        <f>IF('Weekly Attendance'!AA61="Yes",'Weekly Attendance'!$D61,"")</f>
        <v/>
      </c>
      <c r="DN126" s="56"/>
      <c r="DO126" s="155"/>
      <c r="DP12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6" s="57" t="str" cm="1">
        <f t="array" ref="DQ1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7" spans="1:121">
      <c r="A127" s="16">
        <v>120</v>
      </c>
      <c r="B127" s="86"/>
      <c r="F127" s="40"/>
      <c r="G127"/>
      <c r="R127" s="40"/>
      <c r="DM127" s="56" t="str">
        <f>IF('Weekly Attendance'!AA62="Yes",'Weekly Attendance'!$D62,"")</f>
        <v/>
      </c>
      <c r="DN127" s="56"/>
      <c r="DO127" s="155"/>
      <c r="DP12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7" s="57" t="str" cm="1">
        <f t="array" ref="DQ1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8" spans="1:121">
      <c r="A128" s="16">
        <v>121</v>
      </c>
      <c r="B128" s="86"/>
      <c r="F128" s="40"/>
      <c r="G128"/>
      <c r="R128" s="40"/>
      <c r="DM128" s="56" t="str">
        <f>IF('Weekly Attendance'!AA64="Yes",'Weekly Attendance'!$D64,"")</f>
        <v/>
      </c>
      <c r="DN128" s="56"/>
      <c r="DO128" s="155"/>
      <c r="DP12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8" s="57" t="str" cm="1">
        <f t="array" ref="DQ1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29" spans="1:121">
      <c r="A129" s="16">
        <v>122</v>
      </c>
      <c r="B129" s="86"/>
      <c r="F129" s="40"/>
      <c r="G129"/>
      <c r="R129" s="40"/>
      <c r="DM129" s="56" t="str">
        <f>IF('Weekly Attendance'!AA67="Yes",'Weekly Attendance'!$D67,"")</f>
        <v/>
      </c>
      <c r="DN129" s="56"/>
      <c r="DO129" s="58"/>
      <c r="DP12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29" s="57" t="str" cm="1">
        <f t="array" ref="DQ1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0" spans="1:121">
      <c r="A130" s="16">
        <v>123</v>
      </c>
      <c r="B130" s="86"/>
      <c r="F130" s="40"/>
      <c r="G130"/>
      <c r="R130" s="40"/>
      <c r="DM130" s="56" t="str">
        <f>IF('Weekly Attendance'!AA68="Yes",'Weekly Attendance'!$D68,"")</f>
        <v/>
      </c>
      <c r="DN130" s="56"/>
      <c r="DO130" s="58"/>
      <c r="DP13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0" s="57" t="str" cm="1">
        <f t="array" ref="DQ1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1" spans="1:121">
      <c r="A131" s="16">
        <v>124</v>
      </c>
      <c r="B131" s="86"/>
      <c r="F131" s="40"/>
      <c r="G131"/>
      <c r="R131" s="40"/>
      <c r="DM131" s="56" t="str">
        <f>IF('Weekly Attendance'!AA69="Yes",'Weekly Attendance'!$D69,"")</f>
        <v/>
      </c>
      <c r="DN131" s="56"/>
      <c r="DO131" s="58"/>
      <c r="DP13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1" s="57" t="str" cm="1">
        <f t="array" ref="DQ1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2" spans="1:121">
      <c r="A132" s="16">
        <v>125</v>
      </c>
      <c r="B132" s="86"/>
      <c r="F132" s="40"/>
      <c r="G132"/>
      <c r="R132" s="40"/>
      <c r="DM132" s="56" t="str">
        <f>IF('Weekly Attendance'!AA70="Yes",'Weekly Attendance'!$D70,"")</f>
        <v/>
      </c>
      <c r="DN132" s="56"/>
      <c r="DO132" s="58"/>
      <c r="DP13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2" s="57" t="str" cm="1">
        <f t="array" ref="DQ1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3" spans="1:121">
      <c r="A133" s="16">
        <v>126</v>
      </c>
      <c r="B133" s="86"/>
      <c r="F133" s="40"/>
      <c r="G133"/>
      <c r="R133" s="40"/>
      <c r="DM133" s="56" t="str">
        <f>IF('Weekly Attendance'!AA71="Yes",'Weekly Attendance'!$D71,"")</f>
        <v/>
      </c>
      <c r="DN133" s="56"/>
      <c r="DO133" s="58"/>
      <c r="DP13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3" s="57" t="str" cm="1">
        <f t="array" ref="DQ1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4" spans="1:121">
      <c r="A134" s="16">
        <v>127</v>
      </c>
      <c r="B134" s="86"/>
      <c r="F134" s="40"/>
      <c r="G134"/>
      <c r="R134" s="40"/>
      <c r="DM134" s="56" t="str">
        <f>IF('Weekly Attendance'!AA73="Yes",'Weekly Attendance'!$D73,"")</f>
        <v/>
      </c>
      <c r="DN134" s="56"/>
      <c r="DO134" s="58"/>
      <c r="DP13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4" s="57" t="str" cm="1">
        <f t="array" ref="DQ1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5" spans="1:121">
      <c r="A135" s="16">
        <v>128</v>
      </c>
      <c r="B135" s="86"/>
      <c r="F135" s="40"/>
      <c r="G135"/>
      <c r="R135" s="40"/>
      <c r="DM135" s="56" t="str">
        <f>IF('Weekly Attendance'!AA75="Yes",'Weekly Attendance'!$D75,"")</f>
        <v/>
      </c>
      <c r="DN135" s="56"/>
      <c r="DO135" s="58"/>
      <c r="DP13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5" s="57" t="str" cm="1">
        <f t="array" ref="DQ1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6" spans="1:121">
      <c r="A136" s="16">
        <v>129</v>
      </c>
      <c r="B136" s="86"/>
      <c r="F136" s="40"/>
      <c r="G136"/>
      <c r="R136" s="40"/>
      <c r="DM136" s="56" t="str">
        <f>IF('Weekly Attendance'!AA76="Yes",'Weekly Attendance'!$D76,"")</f>
        <v/>
      </c>
      <c r="DN136" s="56"/>
      <c r="DO136" s="58"/>
      <c r="DP13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6" s="57" t="str" cm="1">
        <f t="array" ref="DQ1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7" spans="1:121">
      <c r="A137" s="16">
        <v>130</v>
      </c>
      <c r="B137" s="86"/>
      <c r="F137" s="40"/>
      <c r="G137"/>
      <c r="R137" s="40"/>
      <c r="DM137" s="56" t="str">
        <f>IF('Weekly Attendance'!AA77="Yes",'Weekly Attendance'!$D77,"")</f>
        <v/>
      </c>
      <c r="DN137" s="56"/>
      <c r="DO137" s="58"/>
      <c r="DP13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7" s="57" t="str" cm="1">
        <f t="array" ref="DQ1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8" spans="1:121">
      <c r="A138" s="16">
        <v>131</v>
      </c>
      <c r="B138" s="86"/>
      <c r="F138" s="40"/>
      <c r="G138"/>
      <c r="R138" s="40"/>
      <c r="DM138" s="56" t="str">
        <f>IF('Weekly Attendance'!AA78="Yes",'Weekly Attendance'!$D78,"")</f>
        <v/>
      </c>
      <c r="DN138" s="56"/>
      <c r="DO138" s="58"/>
      <c r="DP13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8" s="57" t="str" cm="1">
        <f t="array" ref="DQ1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39" spans="1:121">
      <c r="A139" s="16">
        <v>132</v>
      </c>
      <c r="B139" s="86"/>
      <c r="F139" s="40"/>
      <c r="G139"/>
      <c r="R139" s="40"/>
      <c r="DM139" s="56" t="str">
        <f>IF('Weekly Attendance'!AA79="Yes",'Weekly Attendance'!$D79,"")</f>
        <v/>
      </c>
      <c r="DN139" s="56"/>
      <c r="DO139" s="58"/>
      <c r="DP13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39" s="57" t="str" cm="1">
        <f t="array" ref="DQ1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0" spans="1:121">
      <c r="A140" s="16">
        <v>133</v>
      </c>
      <c r="B140" s="86"/>
      <c r="F140" s="40"/>
      <c r="G140"/>
      <c r="R140" s="40"/>
      <c r="DM140" s="56" t="str">
        <f>IF('Weekly Attendance'!AA80="Yes",'Weekly Attendance'!$D80,"")</f>
        <v/>
      </c>
      <c r="DN140" s="56"/>
      <c r="DO140" s="58"/>
      <c r="DP14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0" s="57" t="str" cm="1">
        <f t="array" ref="DQ1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1" spans="1:121">
      <c r="A141" s="16">
        <v>134</v>
      </c>
      <c r="B141" s="86"/>
      <c r="F141" s="40"/>
      <c r="G141"/>
      <c r="R141" s="40"/>
      <c r="DM141" s="56" t="str">
        <f>IF('Weekly Attendance'!AA82="Yes",'Weekly Attendance'!$D82,"")</f>
        <v/>
      </c>
      <c r="DN141" s="56"/>
      <c r="DO141" s="58"/>
      <c r="DP14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1" s="57" t="str" cm="1">
        <f t="array" ref="DQ1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2" spans="1:121">
      <c r="A142" s="16">
        <v>135</v>
      </c>
      <c r="B142" s="86"/>
      <c r="F142" s="40"/>
      <c r="G142"/>
      <c r="R142" s="40"/>
      <c r="DM142" s="56" t="str">
        <f>IF('Weekly Attendance'!AA83="Yes",'Weekly Attendance'!$D83,"")</f>
        <v/>
      </c>
      <c r="DN142" s="56"/>
      <c r="DO142" s="58"/>
      <c r="DP14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2" s="57" t="str" cm="1">
        <f t="array" ref="DQ1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3" spans="1:121">
      <c r="A143" s="16">
        <v>136</v>
      </c>
      <c r="B143" s="86"/>
      <c r="F143" s="40"/>
      <c r="G143"/>
      <c r="R143" s="40"/>
      <c r="DM143" s="56" t="str">
        <f>IF('Weekly Attendance'!AA85="Yes",'Weekly Attendance'!$D85,"")</f>
        <v/>
      </c>
      <c r="DN143" s="56"/>
      <c r="DO143" s="58"/>
      <c r="DP14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3" s="57" t="str" cm="1">
        <f t="array" ref="DQ1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4" spans="1:121">
      <c r="A144" s="16">
        <v>137</v>
      </c>
      <c r="B144" s="86"/>
      <c r="F144" s="40"/>
      <c r="G144"/>
      <c r="R144" s="40"/>
      <c r="DM144" s="56" t="str">
        <f>IF('Weekly Attendance'!AA87="Yes",'Weekly Attendance'!$D87,"")</f>
        <v/>
      </c>
      <c r="DN144" s="56"/>
      <c r="DO144" s="58"/>
      <c r="DP14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4" s="57" t="str" cm="1">
        <f t="array" ref="DQ1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5" spans="1:121">
      <c r="A145" s="16">
        <v>138</v>
      </c>
      <c r="B145" s="86"/>
      <c r="F145" s="40"/>
      <c r="G145"/>
      <c r="R145" s="40"/>
      <c r="DM145" s="56" t="str">
        <f>IF('Weekly Attendance'!AA89="Yes",'Weekly Attendance'!$D89,"")</f>
        <v/>
      </c>
      <c r="DN145" s="56"/>
      <c r="DO145" s="58"/>
      <c r="DP14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5" s="57" t="str" cm="1">
        <f t="array" ref="DQ1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6" spans="1:121">
      <c r="A146" s="16">
        <v>139</v>
      </c>
      <c r="B146" s="86"/>
      <c r="F146" s="40"/>
      <c r="G146"/>
      <c r="R146" s="40"/>
      <c r="DM146" s="56" t="str">
        <f>IF('Weekly Attendance'!AA90="Yes",'Weekly Attendance'!$D90,"")</f>
        <v/>
      </c>
      <c r="DN146" s="56"/>
      <c r="DO146" s="58"/>
      <c r="DP14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6" s="57" t="str" cm="1">
        <f t="array" ref="DQ1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7" spans="1:121">
      <c r="A147" s="16">
        <v>140</v>
      </c>
      <c r="B147" s="86"/>
      <c r="F147" s="40"/>
      <c r="G147"/>
      <c r="R147" s="40"/>
      <c r="DM147" s="56" t="str">
        <f>IF('Weekly Attendance'!AA91="Yes",'Weekly Attendance'!$D91,"")</f>
        <v/>
      </c>
      <c r="DN147" s="56"/>
      <c r="DO147" s="58"/>
      <c r="DP14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7" s="57" t="str" cm="1">
        <f t="array" ref="DQ1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8" spans="1:121">
      <c r="A148" s="16">
        <v>141</v>
      </c>
      <c r="B148" s="86"/>
      <c r="F148" s="40"/>
      <c r="G148"/>
      <c r="R148" s="40"/>
      <c r="DM148" s="56" t="str">
        <f>IF('Weekly Attendance'!AA93="Yes",'Weekly Attendance'!$D93,"")</f>
        <v/>
      </c>
      <c r="DN148" s="56"/>
      <c r="DO148" s="58"/>
      <c r="DP14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8" s="57" t="str" cm="1">
        <f t="array" ref="DQ1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49" spans="1:121">
      <c r="A149" s="16">
        <v>142</v>
      </c>
      <c r="B149" s="86"/>
      <c r="F149" s="40"/>
      <c r="G149"/>
      <c r="R149" s="40"/>
      <c r="DM149" s="56" t="str">
        <f>IF('Weekly Attendance'!AA96="Yes",'Weekly Attendance'!$D96,"")</f>
        <v/>
      </c>
      <c r="DN149" s="56"/>
      <c r="DO149" s="58"/>
      <c r="DP14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49" s="57" t="str" cm="1">
        <f t="array" ref="DQ1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0" spans="1:121">
      <c r="A150" s="16">
        <v>143</v>
      </c>
      <c r="B150" s="86"/>
      <c r="F150" s="40"/>
      <c r="G150"/>
      <c r="R150" s="40"/>
      <c r="DM150" s="56" t="str">
        <f>IF('Weekly Attendance'!AA97="Yes",'Weekly Attendance'!$D97,"")</f>
        <v/>
      </c>
      <c r="DN150" s="56"/>
      <c r="DO150" s="58"/>
      <c r="DP15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0" s="57" t="str" cm="1">
        <f t="array" ref="DQ1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1" spans="1:121">
      <c r="A151" s="16">
        <v>144</v>
      </c>
      <c r="B151" s="86"/>
      <c r="F151" s="40"/>
      <c r="G151"/>
      <c r="R151" s="40"/>
      <c r="DM151" s="56" t="str">
        <f>IF('Weekly Attendance'!AA99="Yes",'Weekly Attendance'!$D99,"")</f>
        <v/>
      </c>
      <c r="DN151" s="56"/>
      <c r="DO151" s="58"/>
      <c r="DP15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1" s="57" t="str" cm="1">
        <f t="array" ref="DQ1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2" spans="1:121">
      <c r="A152" s="16">
        <v>145</v>
      </c>
      <c r="B152" s="86"/>
      <c r="F152" s="40"/>
      <c r="G152"/>
      <c r="R152" s="40"/>
      <c r="DM152" s="56" t="str">
        <f>IF('Weekly Attendance'!AA100="Yes",'Weekly Attendance'!$D100,"")</f>
        <v/>
      </c>
      <c r="DN152" s="56"/>
      <c r="DO152" s="58"/>
      <c r="DP15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2" s="57" t="str" cm="1">
        <f t="array" ref="DQ1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3" spans="1:121">
      <c r="A153" s="16">
        <v>146</v>
      </c>
      <c r="B153" s="86"/>
      <c r="F153" s="40"/>
      <c r="G153"/>
      <c r="R153" s="40"/>
      <c r="DM153" s="56" t="str">
        <f>IF('Weekly Attendance'!AA101="Yes",'Weekly Attendance'!$D101,"")</f>
        <v/>
      </c>
      <c r="DN153" s="56"/>
      <c r="DO153" s="58"/>
      <c r="DP15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3" s="57" t="str" cm="1">
        <f t="array" ref="DQ1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4" spans="1:121">
      <c r="A154" s="16">
        <v>147</v>
      </c>
      <c r="B154" s="86"/>
      <c r="F154" s="40"/>
      <c r="G154"/>
      <c r="R154" s="40"/>
      <c r="DM154" s="56" t="str">
        <f>IF('Weekly Attendance'!AA102="Yes",'Weekly Attendance'!$D102,"")</f>
        <v/>
      </c>
      <c r="DN154" s="56"/>
      <c r="DO154" s="58"/>
      <c r="DP15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4" s="57" t="str" cm="1">
        <f t="array" ref="DQ1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5" spans="1:121">
      <c r="A155" s="16">
        <v>148</v>
      </c>
      <c r="B155" s="86"/>
      <c r="F155" s="40"/>
      <c r="G155"/>
      <c r="R155" s="40"/>
      <c r="DM155" s="56" t="str">
        <f>IF('Weekly Attendance'!AA103="Yes",'Weekly Attendance'!$D103,"")</f>
        <v/>
      </c>
      <c r="DN155" s="56"/>
      <c r="DO155" s="58"/>
      <c r="DP15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5" s="57" t="str" cm="1">
        <f t="array" ref="DQ1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6" spans="1:121">
      <c r="A156" s="16">
        <v>149</v>
      </c>
      <c r="B156" s="86"/>
      <c r="F156" s="40"/>
      <c r="G156"/>
      <c r="R156" s="40"/>
      <c r="DM156" s="56" t="str">
        <f>IF('Weekly Attendance'!AA105="Yes",'Weekly Attendance'!$D105,"")</f>
        <v/>
      </c>
      <c r="DN156" s="56"/>
      <c r="DO156" s="58"/>
      <c r="DP15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6" s="57" t="str" cm="1">
        <f t="array" ref="DQ1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7" spans="1:121">
      <c r="A157" s="16">
        <v>150</v>
      </c>
      <c r="B157" s="86"/>
      <c r="F157" s="40"/>
      <c r="G157"/>
      <c r="R157" s="40"/>
      <c r="DM157" s="56" t="str">
        <f>IF('Weekly Attendance'!AA106="Yes",'Weekly Attendance'!$D106,"")</f>
        <v/>
      </c>
      <c r="DN157" s="56"/>
      <c r="DO157" s="58"/>
      <c r="DP15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7" s="57" t="str" cm="1">
        <f t="array" ref="DQ1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8" spans="1:121">
      <c r="A158" s="16">
        <v>151</v>
      </c>
      <c r="B158" s="86"/>
      <c r="F158" s="40"/>
      <c r="G158"/>
      <c r="R158" s="40"/>
      <c r="DM158" s="56" t="str">
        <f>IF('Weekly Attendance'!AA107="Yes",'Weekly Attendance'!$D107,"")</f>
        <v/>
      </c>
      <c r="DN158" s="56"/>
      <c r="DO158" s="58"/>
      <c r="DP15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8" s="57" t="str" cm="1">
        <f t="array" ref="DQ1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59" spans="1:121">
      <c r="A159" s="16">
        <v>152</v>
      </c>
      <c r="B159" s="86"/>
      <c r="F159" s="40"/>
      <c r="G159"/>
      <c r="R159" s="40"/>
      <c r="DM159" s="56" t="str">
        <f>IF('Weekly Attendance'!AA108="Yes",'Weekly Attendance'!$D108,"")</f>
        <v/>
      </c>
      <c r="DN159" s="56"/>
      <c r="DO159" s="58"/>
      <c r="DP15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59" s="57" t="str" cm="1">
        <f t="array" ref="DQ1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0" spans="1:121">
      <c r="A160" s="16">
        <v>153</v>
      </c>
      <c r="B160" s="86"/>
      <c r="F160" s="40"/>
      <c r="G160"/>
      <c r="R160" s="40"/>
      <c r="DM160" s="56" t="str">
        <f>IF('Weekly Attendance'!AA109="Yes",'Weekly Attendance'!$D109,"")</f>
        <v/>
      </c>
      <c r="DN160" s="56"/>
      <c r="DO160" s="58"/>
      <c r="DP16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0" s="57" t="str" cm="1">
        <f t="array" ref="DQ1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1" spans="1:121">
      <c r="A161" s="16">
        <v>154</v>
      </c>
      <c r="B161" s="86"/>
      <c r="F161" s="40"/>
      <c r="G161"/>
      <c r="R161" s="40"/>
      <c r="DM161" s="56" t="str">
        <f>IF('Weekly Attendance'!AA110="Yes",'Weekly Attendance'!$D110,"")</f>
        <v/>
      </c>
      <c r="DN161" s="56"/>
      <c r="DO161" s="58"/>
      <c r="DP16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1" s="57" t="str" cm="1">
        <f t="array" ref="DQ1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2" spans="1:121">
      <c r="A162" s="16">
        <v>155</v>
      </c>
      <c r="B162" s="86"/>
      <c r="F162" s="40"/>
      <c r="G162"/>
      <c r="R162" s="40"/>
      <c r="DM162" s="56" t="str">
        <f>IF('Weekly Attendance'!AA111="Yes",'Weekly Attendance'!$D111,"")</f>
        <v/>
      </c>
      <c r="DN162" s="56"/>
      <c r="DO162" s="58"/>
      <c r="DP16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2" s="57" t="str" cm="1">
        <f t="array" ref="DQ1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3" spans="1:121">
      <c r="A163" s="16">
        <v>156</v>
      </c>
      <c r="B163" s="86"/>
      <c r="F163" s="40"/>
      <c r="G163"/>
      <c r="R163" s="40"/>
      <c r="DM163" s="56" t="str">
        <f>IF('Weekly Attendance'!AA112="Yes",'Weekly Attendance'!$D112,"")</f>
        <v/>
      </c>
      <c r="DN163" s="56"/>
      <c r="DO163" s="58"/>
      <c r="DP16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3" s="57" t="str" cm="1">
        <f t="array" ref="DQ1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4" spans="1:121">
      <c r="A164" s="16">
        <v>157</v>
      </c>
      <c r="B164" s="86"/>
      <c r="F164" s="40"/>
      <c r="G164"/>
      <c r="R164" s="40"/>
      <c r="DM164" s="56" t="str">
        <f>IF('Weekly Attendance'!AA113="Yes",'Weekly Attendance'!$D113,"")</f>
        <v/>
      </c>
      <c r="DN164" s="56"/>
      <c r="DO164" s="58"/>
      <c r="DP16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4" s="57" t="str" cm="1">
        <f t="array" ref="DQ1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5" spans="1:121">
      <c r="A165" s="16">
        <v>158</v>
      </c>
      <c r="B165" s="86"/>
      <c r="F165" s="40"/>
      <c r="G165"/>
      <c r="R165" s="40"/>
      <c r="DM165" s="56" t="str">
        <f>IF('Weekly Attendance'!AA114="Yes",'Weekly Attendance'!$D114,"")</f>
        <v/>
      </c>
      <c r="DN165" s="56"/>
      <c r="DO165" s="58"/>
      <c r="DP16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5" s="57" t="str" cm="1">
        <f t="array" ref="DQ1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6" spans="1:121">
      <c r="A166" s="16">
        <v>159</v>
      </c>
      <c r="B166" s="86"/>
      <c r="F166" s="40"/>
      <c r="G166"/>
      <c r="R166" s="40"/>
      <c r="DM166" s="56" t="str">
        <f>IF('Weekly Attendance'!AA115="Yes",'Weekly Attendance'!$D115,"")</f>
        <v/>
      </c>
      <c r="DN166" s="56"/>
      <c r="DO166" s="58"/>
      <c r="DP16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6" s="57" t="str" cm="1">
        <f t="array" ref="DQ1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7" spans="1:121">
      <c r="A167" s="16">
        <v>160</v>
      </c>
      <c r="B167" s="86"/>
      <c r="F167" s="40"/>
      <c r="G167"/>
      <c r="R167" s="40"/>
      <c r="DM167" s="56" t="str">
        <f>IF('Weekly Attendance'!AA116="Yes",'Weekly Attendance'!$D116,"")</f>
        <v/>
      </c>
      <c r="DN167" s="56"/>
      <c r="DO167" s="58"/>
      <c r="DP16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7" s="57" t="str" cm="1">
        <f t="array" ref="DQ1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8" spans="1:121">
      <c r="A168" s="16">
        <v>161</v>
      </c>
      <c r="B168" s="86"/>
      <c r="F168" s="40"/>
      <c r="G168"/>
      <c r="R168" s="40"/>
      <c r="DM168" s="56" t="str">
        <f>IF('Weekly Attendance'!AA117="Yes",'Weekly Attendance'!$D117,"")</f>
        <v/>
      </c>
      <c r="DN168" s="56"/>
      <c r="DO168" s="58"/>
      <c r="DP16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8" s="57" t="str" cm="1">
        <f t="array" ref="DQ1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69" spans="1:121">
      <c r="A169" s="16">
        <v>162</v>
      </c>
      <c r="B169" s="86"/>
      <c r="F169" s="40"/>
      <c r="G169"/>
      <c r="R169" s="40"/>
      <c r="DM169" s="56" t="str">
        <f>IF('Weekly Attendance'!AA118="Yes",'Weekly Attendance'!$D118,"")</f>
        <v/>
      </c>
      <c r="DN169" s="56"/>
      <c r="DO169" s="58"/>
      <c r="DP16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69" s="57" t="str" cm="1">
        <f t="array" ref="DQ1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0" spans="1:121">
      <c r="A170" s="16">
        <v>163</v>
      </c>
      <c r="B170" s="86"/>
      <c r="F170" s="40"/>
      <c r="G170"/>
      <c r="R170" s="40"/>
      <c r="DM170" s="56" t="str">
        <f>IF('Weekly Attendance'!AA119="Yes",'Weekly Attendance'!$D119,"")</f>
        <v/>
      </c>
      <c r="DN170" s="56"/>
      <c r="DO170" s="58"/>
      <c r="DP17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0" s="57" t="str" cm="1">
        <f t="array" ref="DQ1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1" spans="1:121">
      <c r="A171" s="16">
        <v>164</v>
      </c>
      <c r="B171" s="86"/>
      <c r="F171" s="40"/>
      <c r="G171"/>
      <c r="R171" s="40"/>
      <c r="DM171" s="56" t="str">
        <f>IF('Weekly Attendance'!AA121="Yes",'Weekly Attendance'!$D121,"")</f>
        <v/>
      </c>
      <c r="DN171" s="56"/>
      <c r="DO171" s="58"/>
      <c r="DP17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1" s="57" t="str" cm="1">
        <f t="array" ref="DQ1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2" spans="1:121">
      <c r="A172" s="16">
        <v>165</v>
      </c>
      <c r="B172" s="86"/>
      <c r="F172" s="40"/>
      <c r="G172"/>
      <c r="R172" s="40"/>
      <c r="DM172" s="56" t="str">
        <f>IF('Weekly Attendance'!AA122="Yes",'Weekly Attendance'!$D122,"")</f>
        <v/>
      </c>
      <c r="DN172" s="56"/>
      <c r="DO172" s="58"/>
      <c r="DP17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2" s="57" t="str" cm="1">
        <f t="array" ref="DQ1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3" spans="1:121">
      <c r="A173" s="16">
        <v>166</v>
      </c>
      <c r="B173" s="86"/>
      <c r="F173" s="40"/>
      <c r="G173"/>
      <c r="R173" s="40"/>
      <c r="DM173" s="56" t="str">
        <f>IF('Weekly Attendance'!AA123="Yes",'Weekly Attendance'!$D123,"")</f>
        <v/>
      </c>
      <c r="DN173" s="56"/>
      <c r="DO173" s="58"/>
      <c r="DP17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3" s="57" t="str" cm="1">
        <f t="array" ref="DQ1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4" spans="1:121">
      <c r="A174" s="16">
        <v>167</v>
      </c>
      <c r="B174" s="86"/>
      <c r="F174" s="40"/>
      <c r="G174"/>
      <c r="R174" s="40"/>
      <c r="DM174" s="56" t="str">
        <f>IF('Weekly Attendance'!AA124="Yes",'Weekly Attendance'!$D124,"")</f>
        <v/>
      </c>
      <c r="DN174" s="56"/>
      <c r="DO174" s="58"/>
      <c r="DP17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4" s="57" t="str" cm="1">
        <f t="array" ref="DQ1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5" spans="1:121">
      <c r="A175" s="16">
        <v>168</v>
      </c>
      <c r="B175" s="86"/>
      <c r="F175" s="40"/>
      <c r="G175"/>
      <c r="R175" s="40"/>
      <c r="DM175" s="56" t="str">
        <f>IF('Weekly Attendance'!AA125="Yes",'Weekly Attendance'!$D125,"")</f>
        <v/>
      </c>
      <c r="DN175" s="56"/>
      <c r="DO175" s="58"/>
      <c r="DP17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5" s="57" t="str" cm="1">
        <f t="array" ref="DQ1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6" spans="1:121">
      <c r="A176" s="16">
        <v>169</v>
      </c>
      <c r="B176" s="86"/>
      <c r="F176" s="40"/>
      <c r="G176"/>
      <c r="R176" s="40"/>
      <c r="DM176" s="56" t="str">
        <f>IF('Weekly Attendance'!AA126="Yes",'Weekly Attendance'!$D126,"")</f>
        <v/>
      </c>
      <c r="DN176" s="56"/>
      <c r="DO176" s="58"/>
      <c r="DP17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6" s="57" t="str" cm="1">
        <f t="array" ref="DQ1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7" spans="1:121">
      <c r="A177" s="16">
        <v>170</v>
      </c>
      <c r="B177" s="86"/>
      <c r="F177" s="40"/>
      <c r="G177"/>
      <c r="R177" s="40"/>
      <c r="DM177" s="56" t="str">
        <f>IF('Weekly Attendance'!AA127="Yes",'Weekly Attendance'!$D127,"")</f>
        <v/>
      </c>
      <c r="DN177" s="56"/>
      <c r="DO177" s="58"/>
      <c r="DP17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7" s="57" t="str" cm="1">
        <f t="array" ref="DQ1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8" spans="1:121">
      <c r="A178" s="16">
        <v>171</v>
      </c>
      <c r="B178" s="86"/>
      <c r="F178" s="40"/>
      <c r="G178"/>
      <c r="R178" s="40"/>
      <c r="DM178" s="56" t="str">
        <f>IF('Weekly Attendance'!AA128="Yes",'Weekly Attendance'!$D128,"")</f>
        <v/>
      </c>
      <c r="DN178" s="56"/>
      <c r="DO178" s="58"/>
      <c r="DP17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8" s="57" t="str" cm="1">
        <f t="array" ref="DQ1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79" spans="1:121">
      <c r="A179" s="16">
        <v>172</v>
      </c>
      <c r="B179" s="86"/>
      <c r="F179" s="40"/>
      <c r="G179"/>
      <c r="R179" s="40"/>
      <c r="DM179" s="56" t="str">
        <f>IF('Weekly Attendance'!AA129="Yes",'Weekly Attendance'!$D129,"")</f>
        <v/>
      </c>
      <c r="DN179" s="56"/>
      <c r="DO179" s="58"/>
      <c r="DP17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79" s="57" t="str" cm="1">
        <f t="array" ref="DQ1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0" spans="1:121">
      <c r="A180" s="16">
        <v>173</v>
      </c>
      <c r="B180" s="86"/>
      <c r="F180" s="40"/>
      <c r="G180"/>
      <c r="R180" s="40"/>
      <c r="DM180" s="56" t="str">
        <f>IF('Weekly Attendance'!AA130="Yes",'Weekly Attendance'!$D130,"")</f>
        <v/>
      </c>
      <c r="DN180" s="56"/>
      <c r="DO180" s="58"/>
      <c r="DP18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0" s="57" t="str" cm="1">
        <f t="array" ref="DQ1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1" spans="1:121">
      <c r="A181" s="16">
        <v>174</v>
      </c>
      <c r="B181" s="86"/>
      <c r="F181" s="40"/>
      <c r="G181"/>
      <c r="R181" s="40"/>
      <c r="DM181" s="56" t="str">
        <f>IF('Weekly Attendance'!AA131="Yes",'Weekly Attendance'!$D131,"")</f>
        <v/>
      </c>
      <c r="DN181" s="56"/>
      <c r="DO181" s="58"/>
      <c r="DP18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1" s="57" t="str" cm="1">
        <f t="array" ref="DQ1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2" spans="1:121">
      <c r="A182" s="16">
        <v>175</v>
      </c>
      <c r="B182" s="86"/>
      <c r="F182" s="40"/>
      <c r="G182"/>
      <c r="R182" s="40"/>
      <c r="DM182" s="56" t="str">
        <f>IF('Weekly Attendance'!AA132="Yes",'Weekly Attendance'!$D132,"")</f>
        <v/>
      </c>
      <c r="DN182" s="56"/>
      <c r="DO182" s="58"/>
      <c r="DP18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2" s="57" t="str" cm="1">
        <f t="array" ref="DQ1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3" spans="1:121">
      <c r="A183" s="16">
        <v>176</v>
      </c>
      <c r="B183" s="86"/>
      <c r="F183" s="40"/>
      <c r="G183"/>
      <c r="R183" s="40"/>
      <c r="DM183" s="56" t="str">
        <f>IF('Weekly Attendance'!AA133="Yes",'Weekly Attendance'!$D133,"")</f>
        <v/>
      </c>
      <c r="DN183" s="56"/>
      <c r="DO183" s="58"/>
      <c r="DP18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3" s="57" t="str" cm="1">
        <f t="array" ref="DQ1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4" spans="1:121">
      <c r="A184" s="16">
        <v>177</v>
      </c>
      <c r="B184" s="86"/>
      <c r="F184" s="40"/>
      <c r="G184"/>
      <c r="R184" s="40"/>
      <c r="DM184" s="56" t="str">
        <f>IF('Weekly Attendance'!AA134="Yes",'Weekly Attendance'!$D134,"")</f>
        <v/>
      </c>
      <c r="DN184" s="56"/>
      <c r="DO184" s="58"/>
      <c r="DP18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4" s="57" t="str" cm="1">
        <f t="array" ref="DQ1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5" spans="1:121">
      <c r="A185" s="16">
        <v>178</v>
      </c>
      <c r="B185" s="86"/>
      <c r="F185" s="40"/>
      <c r="G185"/>
      <c r="R185" s="40"/>
      <c r="DM185" s="56" t="str">
        <f>IF('Weekly Attendance'!AA136="Yes",'Weekly Attendance'!$D136,"")</f>
        <v/>
      </c>
      <c r="DN185" s="56"/>
      <c r="DO185" s="58"/>
      <c r="DP18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5" s="57" t="str" cm="1">
        <f t="array" ref="DQ1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6" spans="1:121">
      <c r="A186" s="16">
        <v>179</v>
      </c>
      <c r="B186" s="86"/>
      <c r="F186" s="40"/>
      <c r="G186"/>
      <c r="R186" s="40"/>
      <c r="DM186" s="56" t="str">
        <f>IF('Weekly Attendance'!AA138="Yes",'Weekly Attendance'!$D138,"")</f>
        <v/>
      </c>
      <c r="DN186" s="56"/>
      <c r="DO186" s="58"/>
      <c r="DP18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6" s="57" t="str" cm="1">
        <f t="array" ref="DQ1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7" spans="1:121">
      <c r="A187" s="16">
        <v>180</v>
      </c>
      <c r="B187" s="86"/>
      <c r="F187" s="40"/>
      <c r="G187"/>
      <c r="R187" s="40"/>
      <c r="DM187" s="56" t="str">
        <f>IF('Weekly Attendance'!AA139="Yes",'Weekly Attendance'!$D139,"")</f>
        <v/>
      </c>
      <c r="DN187" s="56"/>
      <c r="DO187" s="58"/>
      <c r="DP18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7" s="57" t="str" cm="1">
        <f t="array" ref="DQ1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8" spans="1:121">
      <c r="A188" s="16">
        <v>181</v>
      </c>
      <c r="B188" s="86"/>
      <c r="F188" s="40"/>
      <c r="G188"/>
      <c r="R188" s="40"/>
      <c r="DM188" s="56" t="str">
        <f>IF('Weekly Attendance'!AA140="Yes",'Weekly Attendance'!$D140,"")</f>
        <v/>
      </c>
      <c r="DN188" s="56"/>
      <c r="DO188" s="58"/>
      <c r="DP18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8" s="57" t="str" cm="1">
        <f t="array" ref="DQ1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89" spans="1:121">
      <c r="A189" s="16">
        <v>182</v>
      </c>
      <c r="B189" s="86"/>
      <c r="F189" s="40"/>
      <c r="G189"/>
      <c r="R189" s="40"/>
      <c r="DM189" s="56" t="str">
        <f>IF('Weekly Attendance'!AA141="Yes",'Weekly Attendance'!$D141,"")</f>
        <v/>
      </c>
      <c r="DN189" s="56"/>
      <c r="DO189" s="58"/>
      <c r="DP18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89" s="57" t="str" cm="1">
        <f t="array" ref="DQ1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0" spans="1:121">
      <c r="A190" s="16">
        <v>183</v>
      </c>
      <c r="B190" s="86"/>
      <c r="F190" s="40"/>
      <c r="G190"/>
      <c r="R190" s="40"/>
      <c r="DM190" s="56" t="str">
        <f>IF('Weekly Attendance'!AA142="Yes",'Weekly Attendance'!$D142,"")</f>
        <v/>
      </c>
      <c r="DN190" s="56"/>
      <c r="DO190" s="58"/>
      <c r="DP19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0" s="57" t="str" cm="1">
        <f t="array" ref="DQ19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1" spans="1:121">
      <c r="A191" s="16">
        <v>184</v>
      </c>
      <c r="B191" s="86"/>
      <c r="F191" s="40"/>
      <c r="G191"/>
      <c r="R191" s="40"/>
      <c r="DM191" s="56" t="str">
        <f>IF('Weekly Attendance'!AA143="Yes",'Weekly Attendance'!$D143,"")</f>
        <v/>
      </c>
      <c r="DN191" s="56"/>
      <c r="DO191" s="58"/>
      <c r="DP19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1" s="57" t="str" cm="1">
        <f t="array" ref="DQ19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2" spans="1:121">
      <c r="A192" s="16">
        <v>185</v>
      </c>
      <c r="B192" s="86"/>
      <c r="F192" s="40"/>
      <c r="G192"/>
      <c r="R192" s="40"/>
      <c r="DM192" s="56" t="str">
        <f>IF('Weekly Attendance'!AA144="Yes",'Weekly Attendance'!$D144,"")</f>
        <v/>
      </c>
      <c r="DN192" s="56"/>
      <c r="DO192" s="58"/>
      <c r="DP19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2" s="57" t="str" cm="1">
        <f t="array" ref="DQ19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3" spans="1:121">
      <c r="A193" s="16">
        <v>186</v>
      </c>
      <c r="B193" s="86"/>
      <c r="F193" s="40"/>
      <c r="G193"/>
      <c r="R193" s="40"/>
      <c r="DM193" s="56" t="str">
        <f>IF('Weekly Attendance'!AA145="Yes",'Weekly Attendance'!$D145,"")</f>
        <v/>
      </c>
      <c r="DN193" s="56"/>
      <c r="DO193" s="58"/>
      <c r="DP19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3" s="57" t="str" cm="1">
        <f t="array" ref="DQ19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4" spans="1:121">
      <c r="A194" s="16">
        <v>187</v>
      </c>
      <c r="B194" s="86"/>
      <c r="F194" s="40"/>
      <c r="G194"/>
      <c r="R194" s="40"/>
      <c r="DM194" s="56" t="str">
        <f>IF('Weekly Attendance'!AA146="Yes",'Weekly Attendance'!$D146,"")</f>
        <v/>
      </c>
      <c r="DN194" s="56"/>
      <c r="DO194" s="58"/>
      <c r="DP19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4" s="57" t="str" cm="1">
        <f t="array" ref="DQ19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5" spans="1:121">
      <c r="A195" s="16">
        <v>188</v>
      </c>
      <c r="B195" s="86"/>
      <c r="F195" s="40"/>
      <c r="G195"/>
      <c r="R195" s="40"/>
      <c r="DM195" s="56" t="str">
        <f>IF('Weekly Attendance'!AA147="Yes",'Weekly Attendance'!$D147,"")</f>
        <v/>
      </c>
      <c r="DN195" s="56"/>
      <c r="DO195" s="58"/>
      <c r="DP19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5" s="57" t="str" cm="1">
        <f t="array" ref="DQ19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6" spans="1:121">
      <c r="A196" s="16">
        <v>189</v>
      </c>
      <c r="B196" s="86"/>
      <c r="F196" s="40"/>
      <c r="G196"/>
      <c r="R196" s="40"/>
      <c r="DM196" s="56" t="str">
        <f>IF('Weekly Attendance'!AA150="Yes",'Weekly Attendance'!$D150,"")</f>
        <v/>
      </c>
      <c r="DN196" s="56"/>
      <c r="DO196" s="58"/>
      <c r="DP19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6" s="57" t="str" cm="1">
        <f t="array" ref="DQ19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7" spans="1:121">
      <c r="A197" s="16">
        <v>190</v>
      </c>
      <c r="B197" s="86"/>
      <c r="F197" s="40"/>
      <c r="G197"/>
      <c r="R197" s="40"/>
      <c r="DM197" s="56" t="str">
        <f>IF('Weekly Attendance'!AA151="Yes",'Weekly Attendance'!$D151,"")</f>
        <v/>
      </c>
      <c r="DN197" s="56"/>
      <c r="DO197" s="58"/>
      <c r="DP19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7" s="57" t="str" cm="1">
        <f t="array" ref="DQ19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8" spans="1:121">
      <c r="A198" s="16">
        <v>191</v>
      </c>
      <c r="B198" s="86"/>
      <c r="F198" s="40"/>
      <c r="G198"/>
      <c r="R198" s="40"/>
      <c r="DM198" s="56" t="str">
        <f>IF('Weekly Attendance'!AA152="Yes",'Weekly Attendance'!$D152,"")</f>
        <v/>
      </c>
      <c r="DN198" s="56"/>
      <c r="DO198" s="58"/>
      <c r="DP19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8" s="57" t="str" cm="1">
        <f t="array" ref="DQ19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199" spans="1:121">
      <c r="A199" s="16">
        <v>192</v>
      </c>
      <c r="B199" s="86"/>
      <c r="F199" s="40"/>
      <c r="G199"/>
      <c r="R199" s="40"/>
      <c r="DM199" s="56" t="str">
        <f>IF('Weekly Attendance'!AA153="Yes",'Weekly Attendance'!$D153,"")</f>
        <v/>
      </c>
      <c r="DN199" s="56"/>
      <c r="DO199" s="58"/>
      <c r="DP19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199" s="57" t="str" cm="1">
        <f t="array" ref="DQ19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0" spans="1:121">
      <c r="A200" s="16">
        <v>193</v>
      </c>
      <c r="B200" s="86"/>
      <c r="F200" s="40"/>
      <c r="G200"/>
      <c r="R200" s="40"/>
      <c r="DM200" s="56" t="str">
        <f>IF('Weekly Attendance'!AA154="Yes",'Weekly Attendance'!$D154,"")</f>
        <v/>
      </c>
      <c r="DN200" s="56"/>
      <c r="DO200" s="58"/>
      <c r="DP20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0" s="57" t="str" cm="1">
        <f t="array" ref="DQ20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1" spans="1:121">
      <c r="A201" s="16">
        <v>194</v>
      </c>
      <c r="B201" s="86"/>
      <c r="F201" s="40"/>
      <c r="G201"/>
      <c r="R201" s="40"/>
      <c r="DM201" s="56" t="str">
        <f>IF('Weekly Attendance'!AA155="Yes",'Weekly Attendance'!$D155,"")</f>
        <v/>
      </c>
      <c r="DN201" s="56"/>
      <c r="DO201" s="58"/>
      <c r="DP20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1" s="57" t="str" cm="1">
        <f t="array" ref="DQ20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2" spans="1:121">
      <c r="A202" s="16">
        <v>195</v>
      </c>
      <c r="B202" s="86"/>
      <c r="F202" s="40"/>
      <c r="G202"/>
      <c r="R202" s="40"/>
      <c r="DM202" s="56" t="str">
        <f>IF('Weekly Attendance'!AA156="Yes",'Weekly Attendance'!$D156,"")</f>
        <v/>
      </c>
      <c r="DN202" s="56"/>
      <c r="DO202" s="58"/>
      <c r="DP20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2" s="57" t="str" cm="1">
        <f t="array" ref="DQ20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3" spans="1:121">
      <c r="A203" s="16">
        <v>196</v>
      </c>
      <c r="B203" s="86"/>
      <c r="F203" s="40"/>
      <c r="G203"/>
      <c r="R203" s="40"/>
      <c r="DM203" s="56" t="str">
        <f>IF('Weekly Attendance'!AA157="Yes",'Weekly Attendance'!$D157,"")</f>
        <v/>
      </c>
      <c r="DN203" s="56"/>
      <c r="DO203" s="58"/>
      <c r="DP20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3" s="57" t="str" cm="1">
        <f t="array" ref="DQ20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4" spans="1:121">
      <c r="A204" s="16">
        <v>197</v>
      </c>
      <c r="B204" s="86"/>
      <c r="F204" s="40"/>
      <c r="G204"/>
      <c r="R204" s="40"/>
      <c r="DM204" s="56" t="str">
        <f>IF('Weekly Attendance'!AA158="Yes",'Weekly Attendance'!$D158,"")</f>
        <v/>
      </c>
      <c r="DN204" s="56"/>
      <c r="DO204" s="58"/>
      <c r="DP20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4" s="57" t="str" cm="1">
        <f t="array" ref="DQ20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5" spans="1:121">
      <c r="A205" s="16">
        <v>198</v>
      </c>
      <c r="B205" s="86"/>
      <c r="F205" s="40"/>
      <c r="G205"/>
      <c r="R205" s="40"/>
      <c r="DM205" s="56" t="str">
        <f>IF('Weekly Attendance'!AA161="Yes",'Weekly Attendance'!$D161,"")</f>
        <v/>
      </c>
      <c r="DN205" s="56"/>
      <c r="DO205" s="58"/>
      <c r="DP20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5" s="57" t="str" cm="1">
        <f t="array" ref="DQ20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6" spans="1:121">
      <c r="A206" s="16">
        <v>199</v>
      </c>
      <c r="B206" s="86"/>
      <c r="F206" s="40"/>
      <c r="G206"/>
      <c r="R206" s="40"/>
      <c r="DM206" s="56" t="str">
        <f>IF('Weekly Attendance'!AA162="Yes",'Weekly Attendance'!$D162,"")</f>
        <v/>
      </c>
      <c r="DN206" s="56"/>
      <c r="DO206" s="58"/>
      <c r="DP20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6" s="57" t="str" cm="1">
        <f t="array" ref="DQ20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7" spans="1:121">
      <c r="A207" s="16">
        <v>200</v>
      </c>
      <c r="B207" s="86"/>
      <c r="F207" s="40"/>
      <c r="G207"/>
      <c r="R207" s="40"/>
      <c r="DM207" s="56" t="str">
        <f>IF('Weekly Attendance'!AA163="Yes",'Weekly Attendance'!$D163,"")</f>
        <v/>
      </c>
      <c r="DN207" s="56"/>
      <c r="DO207" s="58"/>
      <c r="DP20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7" s="57" t="str" cm="1">
        <f t="array" ref="DQ20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8" spans="1:121">
      <c r="A208" s="16">
        <v>201</v>
      </c>
      <c r="B208" s="86"/>
      <c r="F208" s="40"/>
      <c r="G208"/>
      <c r="R208" s="40"/>
      <c r="DM208" s="56" t="str">
        <f>IF('Weekly Attendance'!AA164="Yes",'Weekly Attendance'!$D164,"")</f>
        <v/>
      </c>
      <c r="DN208" s="56"/>
      <c r="DO208" s="58"/>
      <c r="DP20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8" s="57" t="str" cm="1">
        <f t="array" ref="DQ20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09" spans="1:121">
      <c r="A209" s="16">
        <v>202</v>
      </c>
      <c r="B209" s="86"/>
      <c r="F209" s="40"/>
      <c r="G209"/>
      <c r="R209" s="40"/>
      <c r="DM209" s="56" t="str">
        <f>IF('Weekly Attendance'!AA165="Yes",'Weekly Attendance'!$D165,"")</f>
        <v/>
      </c>
      <c r="DN209" s="56"/>
      <c r="DO209" s="58"/>
      <c r="DP20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09" s="57" t="str" cm="1">
        <f t="array" ref="DQ20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0" spans="1:121">
      <c r="A210" s="16">
        <v>203</v>
      </c>
      <c r="B210" s="86"/>
      <c r="F210" s="40"/>
      <c r="G210"/>
      <c r="R210" s="40"/>
      <c r="DM210" s="56" t="str">
        <f>IF('Weekly Attendance'!AA167="Yes",'Weekly Attendance'!$D167,"")</f>
        <v/>
      </c>
      <c r="DN210" s="56"/>
      <c r="DO210" s="58"/>
      <c r="DP21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0" s="57" t="str" cm="1">
        <f t="array" ref="DQ2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1" spans="1:121">
      <c r="A211" s="16">
        <v>204</v>
      </c>
      <c r="B211" s="86"/>
      <c r="F211" s="40"/>
      <c r="G211"/>
      <c r="R211" s="40"/>
      <c r="DM211" s="56" t="str">
        <f>IF('Weekly Attendance'!AA168="Yes",'Weekly Attendance'!$D168,"")</f>
        <v/>
      </c>
      <c r="DN211" s="56"/>
      <c r="DO211" s="58"/>
      <c r="DP21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1" s="57" t="str" cm="1">
        <f t="array" ref="DQ2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2" spans="1:121">
      <c r="A212" s="16">
        <v>205</v>
      </c>
      <c r="B212" s="86"/>
      <c r="F212" s="40"/>
      <c r="G212"/>
      <c r="R212" s="40"/>
      <c r="DM212" s="56" t="str">
        <f>IF('Weekly Attendance'!AA169="Yes",'Weekly Attendance'!$D169,"")</f>
        <v/>
      </c>
      <c r="DN212" s="56"/>
      <c r="DO212" s="58"/>
      <c r="DP21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2" s="57" t="str" cm="1">
        <f t="array" ref="DQ2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3" spans="1:121">
      <c r="A213" s="16">
        <v>206</v>
      </c>
      <c r="B213" s="86"/>
      <c r="F213" s="40"/>
      <c r="G213"/>
      <c r="R213" s="40"/>
      <c r="DM213" s="56" t="str">
        <f>IF('Weekly Attendance'!AA170="Yes",'Weekly Attendance'!$D170,"")</f>
        <v/>
      </c>
      <c r="DN213" s="56"/>
      <c r="DO213" s="58"/>
      <c r="DP21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3" s="57" t="str" cm="1">
        <f t="array" ref="DQ2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4" spans="1:121">
      <c r="A214" s="16">
        <v>207</v>
      </c>
      <c r="B214" s="86"/>
      <c r="F214" s="40"/>
      <c r="G214"/>
      <c r="R214" s="40"/>
      <c r="DM214" s="56" t="str">
        <f>IF('Weekly Attendance'!AA171="Yes",'Weekly Attendance'!$D171,"")</f>
        <v/>
      </c>
      <c r="DN214" s="56"/>
      <c r="DO214" s="58"/>
      <c r="DP21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4" s="57" t="str" cm="1">
        <f t="array" ref="DQ2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5" spans="1:121">
      <c r="A215" s="16">
        <v>208</v>
      </c>
      <c r="B215" s="86"/>
      <c r="F215" s="40"/>
      <c r="G215"/>
      <c r="R215" s="40"/>
      <c r="DM215" s="56" t="str">
        <f>IF('Weekly Attendance'!AA172="Yes",'Weekly Attendance'!$D172,"")</f>
        <v/>
      </c>
      <c r="DN215" s="56"/>
      <c r="DO215" s="58"/>
      <c r="DP21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5" s="57" t="str" cm="1">
        <f t="array" ref="DQ2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6" spans="1:121">
      <c r="A216" s="16">
        <v>209</v>
      </c>
      <c r="B216" s="86"/>
      <c r="F216" s="40"/>
      <c r="G216"/>
      <c r="R216" s="40"/>
      <c r="DM216" s="56" t="str">
        <f>IF('Weekly Attendance'!AA173="Yes",'Weekly Attendance'!$D173,"")</f>
        <v/>
      </c>
      <c r="DN216" s="56"/>
      <c r="DO216" s="58"/>
      <c r="DP21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6" s="57" t="str" cm="1">
        <f t="array" ref="DQ2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7" spans="1:121">
      <c r="A217" s="16">
        <v>210</v>
      </c>
      <c r="B217" s="86"/>
      <c r="F217" s="40"/>
      <c r="G217"/>
      <c r="R217" s="40"/>
      <c r="DM217" s="56" t="str">
        <f>IF('Weekly Attendance'!AA174="Yes",'Weekly Attendance'!$D174,"")</f>
        <v/>
      </c>
      <c r="DN217" s="56"/>
      <c r="DO217" s="58"/>
      <c r="DP21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7" s="57" t="str" cm="1">
        <f t="array" ref="DQ2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8" spans="1:121">
      <c r="A218" s="16">
        <v>211</v>
      </c>
      <c r="B218" s="86"/>
      <c r="F218" s="40"/>
      <c r="G218"/>
      <c r="R218" s="40"/>
      <c r="DM218" s="56" t="str">
        <f>IF('Weekly Attendance'!AA176="Yes",'Weekly Attendance'!$D176,"")</f>
        <v/>
      </c>
      <c r="DN218" s="56"/>
      <c r="DO218" s="58"/>
      <c r="DP21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8" s="57" t="str" cm="1">
        <f t="array" ref="DQ2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19" spans="1:121">
      <c r="A219" s="16">
        <v>212</v>
      </c>
      <c r="B219" s="86"/>
      <c r="F219" s="40"/>
      <c r="G219"/>
      <c r="R219" s="40"/>
      <c r="DM219" s="56" t="str">
        <f>IF('Weekly Attendance'!AA177="Yes",'Weekly Attendance'!$D177,"")</f>
        <v/>
      </c>
      <c r="DN219" s="56"/>
      <c r="DO219" s="58"/>
      <c r="DP21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19" s="57" t="str" cm="1">
        <f t="array" ref="DQ2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0" spans="1:121">
      <c r="A220" s="16">
        <v>213</v>
      </c>
      <c r="B220" s="86"/>
      <c r="F220" s="40"/>
      <c r="G220"/>
      <c r="R220" s="40"/>
      <c r="DM220" s="56" t="str">
        <f>IF('Weekly Attendance'!AA178="Yes",'Weekly Attendance'!$D178,"")</f>
        <v/>
      </c>
      <c r="DN220" s="56"/>
      <c r="DO220" s="58"/>
      <c r="DP22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0" s="57" t="str" cm="1">
        <f t="array" ref="DQ2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1" spans="1:121">
      <c r="A221" s="16">
        <v>214</v>
      </c>
      <c r="B221" s="86"/>
      <c r="F221" s="40"/>
      <c r="G221"/>
      <c r="R221" s="40"/>
      <c r="DM221" s="56" t="str">
        <f>IF('Weekly Attendance'!AA181="Yes",'Weekly Attendance'!$D181,"")</f>
        <v/>
      </c>
      <c r="DN221" s="56"/>
      <c r="DO221" s="58"/>
      <c r="DP22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1" s="57" t="str" cm="1">
        <f t="array" ref="DQ2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2" spans="1:121">
      <c r="A222" s="16">
        <v>215</v>
      </c>
      <c r="B222" s="86"/>
      <c r="F222" s="40"/>
      <c r="G222"/>
      <c r="R222" s="40"/>
      <c r="DM222" s="56" t="str">
        <f>IF('Weekly Attendance'!AA183="Yes",'Weekly Attendance'!$D183,"")</f>
        <v/>
      </c>
      <c r="DN222" s="56"/>
      <c r="DO222" s="58"/>
      <c r="DP22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2" s="57" t="str" cm="1">
        <f t="array" ref="DQ2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3" spans="1:121">
      <c r="A223" s="16">
        <v>216</v>
      </c>
      <c r="B223" s="86"/>
      <c r="F223" s="40"/>
      <c r="G223"/>
      <c r="R223" s="40"/>
      <c r="DM223" s="56" t="str">
        <f>IF('Weekly Attendance'!AA184="Yes",'Weekly Attendance'!$D184,"")</f>
        <v/>
      </c>
      <c r="DN223" s="56"/>
      <c r="DO223" s="58"/>
      <c r="DP22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3" s="57" t="str" cm="1">
        <f t="array" ref="DQ2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4" spans="1:121">
      <c r="A224" s="16">
        <v>217</v>
      </c>
      <c r="B224" s="86"/>
      <c r="F224" s="40"/>
      <c r="G224"/>
      <c r="DM224" s="56" t="str">
        <f>IF('Weekly Attendance'!AA185="Yes",'Weekly Attendance'!$D185,"")</f>
        <v/>
      </c>
      <c r="DN224" s="56"/>
      <c r="DO224" s="58"/>
      <c r="DP22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4" s="57" t="str" cm="1">
        <f t="array" ref="DQ2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5" spans="1:121">
      <c r="A225" s="16">
        <v>218</v>
      </c>
      <c r="B225" s="86"/>
      <c r="F225" s="40"/>
      <c r="G225"/>
      <c r="DM225" s="56" t="str">
        <f>IF('Weekly Attendance'!AA186="Yes",'Weekly Attendance'!$D186,"")</f>
        <v/>
      </c>
      <c r="DN225" s="56"/>
      <c r="DO225" s="58"/>
      <c r="DP22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5" s="57" t="str" cm="1">
        <f t="array" ref="DQ2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6" spans="1:121">
      <c r="A226" s="16">
        <v>219</v>
      </c>
      <c r="B226" s="86"/>
      <c r="F226" s="40"/>
      <c r="G226"/>
      <c r="DM226" s="56" t="str">
        <f>IF('Weekly Attendance'!AA188="Yes",'Weekly Attendance'!$D188,"")</f>
        <v/>
      </c>
      <c r="DN226" s="56"/>
      <c r="DO226" s="58"/>
      <c r="DP22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6" s="57" t="str" cm="1">
        <f t="array" ref="DQ2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7" spans="1:121">
      <c r="A227" s="16">
        <v>220</v>
      </c>
      <c r="B227" s="86"/>
      <c r="F227" s="40"/>
      <c r="G227"/>
      <c r="DM227" s="56" t="str">
        <f>IF('Weekly Attendance'!AA190="Yes",'Weekly Attendance'!$D190,"")</f>
        <v/>
      </c>
      <c r="DN227" s="56"/>
      <c r="DO227" s="58"/>
      <c r="DP22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7" s="57" t="str" cm="1">
        <f t="array" ref="DQ2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8" spans="1:121">
      <c r="A228" s="16">
        <v>221</v>
      </c>
      <c r="B228" s="86"/>
      <c r="F228" s="40"/>
      <c r="G228"/>
      <c r="DM228" s="56" t="str">
        <f>IF('Weekly Attendance'!AA191="Yes",'Weekly Attendance'!$D191,"")</f>
        <v/>
      </c>
      <c r="DN228" s="56"/>
      <c r="DO228" s="58"/>
      <c r="DP22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8" s="57" t="str" cm="1">
        <f t="array" ref="DQ2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29" spans="1:121">
      <c r="A229" s="16">
        <v>222</v>
      </c>
      <c r="B229" s="86"/>
      <c r="F229" s="40"/>
      <c r="G229"/>
      <c r="DM229" s="56" t="str">
        <f>IF('Weekly Attendance'!AA192="Yes",'Weekly Attendance'!$D192,"")</f>
        <v/>
      </c>
      <c r="DN229" s="56"/>
      <c r="DO229" s="58"/>
      <c r="DP22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29" s="57" t="str" cm="1">
        <f t="array" ref="DQ2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0" spans="1:121">
      <c r="A230" s="16">
        <v>223</v>
      </c>
      <c r="B230" s="86"/>
      <c r="F230" s="40"/>
      <c r="G230"/>
      <c r="DM230" s="56" t="str">
        <f>IF('Weekly Attendance'!AA193="Yes",'Weekly Attendance'!$D193,"")</f>
        <v/>
      </c>
      <c r="DN230" s="56"/>
      <c r="DO230" s="58"/>
      <c r="DP23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0" s="57" t="str" cm="1">
        <f t="array" ref="DQ2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1" spans="1:121">
      <c r="A231" s="16">
        <v>224</v>
      </c>
      <c r="B231" s="86"/>
      <c r="F231" s="40"/>
      <c r="G231"/>
      <c r="DM231" s="56" t="str">
        <f>IF('Weekly Attendance'!AA194="Yes",'Weekly Attendance'!$D194,"")</f>
        <v/>
      </c>
      <c r="DN231" s="56"/>
      <c r="DO231" s="58"/>
      <c r="DP23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1" s="57" t="str" cm="1">
        <f t="array" ref="DQ2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2" spans="1:121">
      <c r="A232" s="16">
        <v>225</v>
      </c>
      <c r="B232" s="86"/>
      <c r="F232" s="40"/>
      <c r="G232"/>
      <c r="DM232" s="56" t="str">
        <f>IF('Weekly Attendance'!AA195="Yes",'Weekly Attendance'!$D195,"")</f>
        <v/>
      </c>
      <c r="DN232" s="56"/>
      <c r="DO232" s="58"/>
      <c r="DP23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2" s="57" t="str" cm="1">
        <f t="array" ref="DQ2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3" spans="1:121">
      <c r="A233" s="16">
        <v>226</v>
      </c>
      <c r="B233" s="86"/>
      <c r="F233" s="40"/>
      <c r="G233"/>
      <c r="DM233" s="56" t="str">
        <f>IF('Weekly Attendance'!AA196="Yes",'Weekly Attendance'!$D196,"")</f>
        <v/>
      </c>
      <c r="DN233" s="56"/>
      <c r="DO233" s="58"/>
      <c r="DP23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3" s="57" t="str" cm="1">
        <f t="array" ref="DQ2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4" spans="1:121">
      <c r="A234" s="16">
        <v>227</v>
      </c>
      <c r="B234" s="86"/>
      <c r="F234" s="40"/>
      <c r="G234"/>
      <c r="DM234" s="56" t="str">
        <f>IF('Weekly Attendance'!AA199="Yes",'Weekly Attendance'!$D199,"")</f>
        <v/>
      </c>
      <c r="DN234" s="56"/>
      <c r="DO234" s="58"/>
      <c r="DP23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4" s="57" t="str" cm="1">
        <f t="array" ref="DQ2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5" spans="1:121">
      <c r="A235" s="16">
        <v>228</v>
      </c>
      <c r="B235" s="86"/>
      <c r="F235" s="40"/>
      <c r="G235"/>
      <c r="DM235" s="56" t="str">
        <f>IF('Weekly Attendance'!AA200="Yes",'Weekly Attendance'!$D200,"")</f>
        <v/>
      </c>
      <c r="DN235" s="56"/>
      <c r="DO235" s="58"/>
      <c r="DP23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5" s="57" t="str" cm="1">
        <f t="array" ref="DQ2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6" spans="1:121">
      <c r="A236" s="16">
        <v>229</v>
      </c>
      <c r="B236" s="86"/>
      <c r="F236" s="40"/>
      <c r="G236"/>
      <c r="DM236" s="56" t="str">
        <f>IF('Weekly Attendance'!AA201="Yes",'Weekly Attendance'!$D201,"")</f>
        <v/>
      </c>
      <c r="DN236" s="56"/>
      <c r="DO236" s="58"/>
      <c r="DP23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6" s="57" t="str" cm="1">
        <f t="array" ref="DQ2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7" spans="1:121">
      <c r="A237" s="16">
        <v>230</v>
      </c>
      <c r="B237" s="86"/>
      <c r="F237" s="40"/>
      <c r="G237"/>
      <c r="DM237" s="56" t="str">
        <f>IF('Weekly Attendance'!AA202="Yes",'Weekly Attendance'!$D202,"")</f>
        <v/>
      </c>
      <c r="DN237" s="56"/>
      <c r="DO237" s="58"/>
      <c r="DP23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7" s="57" t="str" cm="1">
        <f t="array" ref="DQ2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8" spans="1:121">
      <c r="A238" s="16">
        <v>231</v>
      </c>
      <c r="B238" s="86"/>
      <c r="F238" s="40"/>
      <c r="G238"/>
      <c r="DM238" s="56" t="str">
        <f>IF('Weekly Attendance'!AA203="Yes",'Weekly Attendance'!$D203,"")</f>
        <v/>
      </c>
      <c r="DN238" s="56"/>
      <c r="DO238" s="58"/>
      <c r="DP23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8" s="57" t="str" cm="1">
        <f t="array" ref="DQ2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39" spans="1:121">
      <c r="A239" s="16">
        <v>232</v>
      </c>
      <c r="B239" s="86"/>
      <c r="F239" s="40"/>
      <c r="G239"/>
      <c r="DM239" s="56" t="str">
        <f>IF('Weekly Attendance'!AA204="Yes",'Weekly Attendance'!$D204,"")</f>
        <v/>
      </c>
      <c r="DN239" s="56"/>
      <c r="DO239" s="58"/>
      <c r="DP23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39" s="57" t="str" cm="1">
        <f t="array" ref="DQ2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0" spans="1:121">
      <c r="A240" s="16">
        <v>233</v>
      </c>
      <c r="B240" s="86"/>
      <c r="F240" s="40"/>
      <c r="G240"/>
      <c r="DM240" s="56" t="str">
        <f>IF('Weekly Attendance'!AA205="Yes",'Weekly Attendance'!$D205,"")</f>
        <v/>
      </c>
      <c r="DN240" s="56"/>
      <c r="DO240" s="58"/>
      <c r="DP24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0" s="57" t="str" cm="1">
        <f t="array" ref="DQ2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1" spans="1:121">
      <c r="A241" s="16">
        <v>234</v>
      </c>
      <c r="B241" s="86"/>
      <c r="F241" s="40"/>
      <c r="G241"/>
      <c r="DM241" s="56" t="str">
        <f>IF('Weekly Attendance'!AA206="Yes",'Weekly Attendance'!$D206,"")</f>
        <v/>
      </c>
      <c r="DN241" s="56"/>
      <c r="DO241" s="58"/>
      <c r="DP24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1" s="57" t="str" cm="1">
        <f t="array" ref="DQ2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2" spans="1:121">
      <c r="A242" s="16">
        <v>235</v>
      </c>
      <c r="B242" s="86"/>
      <c r="F242" s="40"/>
      <c r="G242"/>
      <c r="DM242" s="56" t="str">
        <f>IF('Weekly Attendance'!AA207="Yes",'Weekly Attendance'!$D207,"")</f>
        <v/>
      </c>
      <c r="DN242" s="56"/>
      <c r="DO242" s="58"/>
      <c r="DP24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2" s="57" t="str" cm="1">
        <f t="array" ref="DQ2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3" spans="1:121">
      <c r="A243" s="16">
        <v>236</v>
      </c>
      <c r="B243" s="86"/>
      <c r="F243" s="40"/>
      <c r="G243"/>
      <c r="DM243" s="56" t="str">
        <f>IF('Weekly Attendance'!AA209="Yes",'Weekly Attendance'!$D209,"")</f>
        <v/>
      </c>
      <c r="DN243" s="56"/>
      <c r="DO243" s="58"/>
      <c r="DP24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3" s="57" t="str" cm="1">
        <f t="array" ref="DQ2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4" spans="1:121">
      <c r="A244" s="16">
        <v>237</v>
      </c>
      <c r="B244" s="86"/>
      <c r="F244" s="40"/>
      <c r="G244"/>
      <c r="DM244" s="56" t="str">
        <f>IF('Weekly Attendance'!AA210="Yes",'Weekly Attendance'!$D210,"")</f>
        <v/>
      </c>
      <c r="DN244" s="56"/>
      <c r="DO244" s="58"/>
      <c r="DP24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4" s="57" t="str" cm="1">
        <f t="array" ref="DQ2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5" spans="1:121">
      <c r="A245" s="16">
        <v>238</v>
      </c>
      <c r="B245" s="86"/>
      <c r="F245" s="40"/>
      <c r="G245"/>
      <c r="DM245" s="56" t="str">
        <f>IF('Weekly Attendance'!AA213="Yes",'Weekly Attendance'!$D213,"")</f>
        <v/>
      </c>
      <c r="DN245" s="56"/>
      <c r="DO245" s="58"/>
      <c r="DP24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5" s="57" t="str" cm="1">
        <f t="array" ref="DQ2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6" spans="1:121">
      <c r="A246" s="16">
        <v>239</v>
      </c>
      <c r="B246" s="86"/>
      <c r="F246" s="40"/>
      <c r="G246"/>
      <c r="DM246" s="56" t="str">
        <f>IF('Weekly Attendance'!AA214="Yes",'Weekly Attendance'!$D214,"")</f>
        <v/>
      </c>
      <c r="DN246" s="56"/>
      <c r="DO246" s="58"/>
      <c r="DP24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6" s="57" t="str" cm="1">
        <f t="array" ref="DQ2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7" spans="1:121">
      <c r="A247" s="16">
        <v>240</v>
      </c>
      <c r="B247" s="86"/>
      <c r="F247" s="40"/>
      <c r="G247"/>
      <c r="DM247" s="56" t="str">
        <f>IF('Weekly Attendance'!AA215="Yes",'Weekly Attendance'!$D215,"")</f>
        <v/>
      </c>
      <c r="DN247" s="56"/>
      <c r="DO247" s="58"/>
      <c r="DP24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7" s="57" t="str" cm="1">
        <f t="array" ref="DQ2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8" spans="1:121">
      <c r="A248" s="16">
        <v>241</v>
      </c>
      <c r="B248" s="86"/>
      <c r="F248" s="40"/>
      <c r="G248"/>
      <c r="DM248" s="56" t="str">
        <f>IF('Weekly Attendance'!AA216="Yes",'Weekly Attendance'!$D216,"")</f>
        <v/>
      </c>
      <c r="DN248" s="56"/>
      <c r="DO248" s="58"/>
      <c r="DP24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8" s="57" t="str" cm="1">
        <f t="array" ref="DQ2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49" spans="1:121">
      <c r="A249" s="16">
        <v>242</v>
      </c>
      <c r="B249" s="86"/>
      <c r="F249" s="40"/>
      <c r="G249"/>
      <c r="DM249" s="56" t="str">
        <f>IF('Weekly Attendance'!AA217="Yes",'Weekly Attendance'!$D217,"")</f>
        <v/>
      </c>
      <c r="DN249" s="56"/>
      <c r="DO249" s="58"/>
      <c r="DP24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49" s="57" t="str" cm="1">
        <f t="array" ref="DQ2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0" spans="1:121">
      <c r="A250" s="16">
        <v>243</v>
      </c>
      <c r="B250" s="86"/>
      <c r="F250" s="40"/>
      <c r="G250"/>
      <c r="DM250" s="56" t="str">
        <f>IF('Weekly Attendance'!AA218="Yes",'Weekly Attendance'!$D218,"")</f>
        <v/>
      </c>
      <c r="DN250" s="56"/>
      <c r="DO250" s="58"/>
      <c r="DP25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0" s="57" t="str" cm="1">
        <f t="array" ref="DQ2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1" spans="1:121">
      <c r="A251" s="16">
        <v>244</v>
      </c>
      <c r="B251" s="86"/>
      <c r="F251" s="40"/>
      <c r="G251"/>
      <c r="DM251" s="56" t="str">
        <f>IF('Weekly Attendance'!AA219="Yes",'Weekly Attendance'!$D219,"")</f>
        <v/>
      </c>
      <c r="DN251" s="56"/>
      <c r="DO251" s="58"/>
      <c r="DP25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1" s="57" t="str" cm="1">
        <f t="array" ref="DQ2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2" spans="1:121">
      <c r="A252" s="16">
        <v>245</v>
      </c>
      <c r="B252" s="86"/>
      <c r="F252" s="40"/>
      <c r="G252"/>
      <c r="DM252" s="56" t="str">
        <f>IF('Weekly Attendance'!AA222="Yes",'Weekly Attendance'!$D222,"")</f>
        <v/>
      </c>
      <c r="DN252" s="56"/>
      <c r="DO252" s="58"/>
      <c r="DP25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2" s="57" t="str" cm="1">
        <f t="array" ref="DQ2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3" spans="1:121">
      <c r="A253" s="16">
        <v>246</v>
      </c>
      <c r="B253" s="86"/>
      <c r="F253" s="40"/>
      <c r="G253"/>
      <c r="DM253" s="56" t="str">
        <f>IF('Weekly Attendance'!AA223="Yes",'Weekly Attendance'!$D223,"")</f>
        <v/>
      </c>
      <c r="DN253" s="56"/>
      <c r="DO253" s="58"/>
      <c r="DP25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3" s="57" t="str" cm="1">
        <f t="array" ref="DQ2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4" spans="1:121">
      <c r="A254" s="16">
        <v>247</v>
      </c>
      <c r="B254" s="86"/>
      <c r="F254" s="40"/>
      <c r="G254"/>
      <c r="DM254" s="56" t="str">
        <f>IF('Weekly Attendance'!AA225="Yes",'Weekly Attendance'!$D225,"")</f>
        <v/>
      </c>
      <c r="DN254" s="56"/>
      <c r="DO254" s="58"/>
      <c r="DP25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4" s="57" t="str" cm="1">
        <f t="array" ref="DQ2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5" spans="1:121">
      <c r="A255" s="16">
        <v>248</v>
      </c>
      <c r="B255" s="86"/>
      <c r="F255" s="40"/>
      <c r="G255"/>
      <c r="DM255" s="56" t="str">
        <f>IF('Weekly Attendance'!AA226="Yes",'Weekly Attendance'!$D226,"")</f>
        <v/>
      </c>
      <c r="DN255" s="56"/>
      <c r="DO255" s="58"/>
      <c r="DP25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5" s="57" t="str" cm="1">
        <f t="array" ref="DQ2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6" spans="1:121">
      <c r="A256" s="16">
        <v>249</v>
      </c>
      <c r="B256" s="86"/>
      <c r="F256" s="40"/>
      <c r="G256"/>
      <c r="DM256" s="56" t="str">
        <f>IF('Weekly Attendance'!AA227="Yes",'Weekly Attendance'!$D227,"")</f>
        <v/>
      </c>
      <c r="DN256" s="56"/>
      <c r="DO256" s="58"/>
      <c r="DP25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6" s="57" t="str" cm="1">
        <f t="array" ref="DQ2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7" spans="1:121">
      <c r="A257" s="16">
        <v>250</v>
      </c>
      <c r="B257" s="86"/>
      <c r="F257" s="40"/>
      <c r="G257"/>
      <c r="DM257" s="56" t="str">
        <f>IF('Weekly Attendance'!AA229="Yes",'Weekly Attendance'!$D229,"")</f>
        <v/>
      </c>
      <c r="DN257" s="56"/>
      <c r="DO257" s="58"/>
      <c r="DP25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7" s="57" t="str" cm="1">
        <f t="array" ref="DQ2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8" spans="1:121">
      <c r="A258" s="16">
        <v>251</v>
      </c>
      <c r="B258" s="86"/>
      <c r="F258" s="40"/>
      <c r="G258"/>
      <c r="DM258" s="56" t="str">
        <f>IF('Weekly Attendance'!AA231="Yes",'Weekly Attendance'!$D231,"")</f>
        <v/>
      </c>
      <c r="DN258" s="56"/>
      <c r="DO258" s="58"/>
      <c r="DP25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8" s="57" t="str" cm="1">
        <f t="array" ref="DQ2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59" spans="1:121">
      <c r="A259" s="16">
        <v>252</v>
      </c>
      <c r="B259" s="86"/>
      <c r="F259" s="40"/>
      <c r="G259"/>
      <c r="DM259" s="56" t="str">
        <f>IF('Weekly Attendance'!AA232="Yes",'Weekly Attendance'!$D232,"")</f>
        <v/>
      </c>
      <c r="DN259" s="56"/>
      <c r="DO259" s="58"/>
      <c r="DP25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59" s="57" t="str" cm="1">
        <f t="array" ref="DQ2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0" spans="1:121">
      <c r="A260" s="16">
        <v>253</v>
      </c>
      <c r="B260" s="86"/>
      <c r="F260" s="40"/>
      <c r="G260"/>
      <c r="DM260" s="56" t="str">
        <f>IF('Weekly Attendance'!AA233="Yes",'Weekly Attendance'!$D233,"")</f>
        <v/>
      </c>
      <c r="DN260" s="56"/>
      <c r="DO260" s="58"/>
      <c r="DP26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0" s="57" t="str" cm="1">
        <f t="array" ref="DQ2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1" spans="1:121">
      <c r="A261" s="16">
        <v>254</v>
      </c>
      <c r="B261" s="86"/>
      <c r="F261" s="40"/>
      <c r="G261"/>
      <c r="DM261" s="56" t="str">
        <f>IF('Weekly Attendance'!AA236="Yes",'Weekly Attendance'!$D236,"")</f>
        <v/>
      </c>
      <c r="DN261" s="56"/>
      <c r="DO261" s="58"/>
      <c r="DP26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1" s="57" t="str" cm="1">
        <f t="array" ref="DQ2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2" spans="1:121">
      <c r="A262" s="16">
        <v>255</v>
      </c>
      <c r="B262" s="86"/>
      <c r="F262" s="40"/>
      <c r="G262"/>
      <c r="DM262" s="56" t="str">
        <f>IF('Weekly Attendance'!AA238="Yes",'Weekly Attendance'!$D238,"")</f>
        <v/>
      </c>
      <c r="DN262" s="56"/>
      <c r="DO262" s="58"/>
      <c r="DP26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2" s="57" t="str" cm="1">
        <f t="array" ref="DQ2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3" spans="1:121">
      <c r="A263" s="16">
        <v>256</v>
      </c>
      <c r="B263" s="86"/>
      <c r="F263" s="40"/>
      <c r="G263"/>
      <c r="DM263" s="56" t="str">
        <f>IF('Weekly Attendance'!AA239="Yes",'Weekly Attendance'!$D239,"")</f>
        <v/>
      </c>
      <c r="DN263" s="56"/>
      <c r="DO263" s="58"/>
      <c r="DP26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3" s="57" t="str" cm="1">
        <f t="array" ref="DQ2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4" spans="1:121">
      <c r="A264" s="16">
        <v>257</v>
      </c>
      <c r="B264" s="86"/>
      <c r="F264" s="40"/>
      <c r="G264"/>
      <c r="DM264" s="56" t="str">
        <f>IF('Weekly Attendance'!AA240="Yes",'Weekly Attendance'!$D240,"")</f>
        <v/>
      </c>
      <c r="DN264" s="56"/>
      <c r="DO264" s="58"/>
      <c r="DP26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4" s="57" t="str" cm="1">
        <f t="array" ref="DQ2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5" spans="1:121">
      <c r="A265" s="16">
        <v>258</v>
      </c>
      <c r="B265" s="86"/>
      <c r="F265" s="40"/>
      <c r="G265"/>
      <c r="DM265" s="56" t="str">
        <f>IF('Weekly Attendance'!AA241="Yes",'Weekly Attendance'!$D241,"")</f>
        <v/>
      </c>
      <c r="DN265" s="56"/>
      <c r="DO265" s="58"/>
      <c r="DP26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5" s="57" t="str" cm="1">
        <f t="array" ref="DQ2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6" spans="1:121">
      <c r="A266" s="16">
        <v>259</v>
      </c>
      <c r="B266" s="86"/>
      <c r="F266" s="40"/>
      <c r="G266"/>
      <c r="DM266" s="56" t="str">
        <f>IF('Weekly Attendance'!AA243="Yes",'Weekly Attendance'!$D243,"")</f>
        <v/>
      </c>
      <c r="DN266" s="56"/>
      <c r="DO266" s="58"/>
      <c r="DP26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6" s="57" t="str" cm="1">
        <f t="array" ref="DQ2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7" spans="1:121">
      <c r="A267" s="16">
        <v>260</v>
      </c>
      <c r="B267" s="86"/>
      <c r="F267" s="40"/>
      <c r="G267"/>
      <c r="DM267" s="56" t="str">
        <f>IF('Weekly Attendance'!AA244="Yes",'Weekly Attendance'!$D244,"")</f>
        <v/>
      </c>
      <c r="DN267" s="56"/>
      <c r="DO267" s="58"/>
      <c r="DP26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7" s="57" t="str" cm="1">
        <f t="array" ref="DQ2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8" spans="1:121">
      <c r="A268" s="16">
        <v>261</v>
      </c>
      <c r="B268" s="86"/>
      <c r="F268" s="40"/>
      <c r="G268"/>
      <c r="DM268" s="56" t="str">
        <f>IF('Weekly Attendance'!AA245="Yes",'Weekly Attendance'!$D245,"")</f>
        <v/>
      </c>
      <c r="DN268" s="56"/>
      <c r="DO268" s="58"/>
      <c r="DP26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8" s="57" t="str" cm="1">
        <f t="array" ref="DQ2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69" spans="1:121">
      <c r="A269" s="16">
        <v>262</v>
      </c>
      <c r="B269" s="86"/>
      <c r="F269" s="40"/>
      <c r="G269"/>
      <c r="DM269" s="56" t="str">
        <f>IF('Weekly Attendance'!AA246="Yes",'Weekly Attendance'!$D246,"")</f>
        <v/>
      </c>
      <c r="DN269" s="56"/>
      <c r="DO269" s="58"/>
      <c r="DP26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69" s="57" t="str" cm="1">
        <f t="array" ref="DQ2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0" spans="1:121">
      <c r="A270" s="16">
        <v>263</v>
      </c>
      <c r="B270" s="86"/>
      <c r="F270" s="40"/>
      <c r="G270"/>
      <c r="DM270" s="56" t="str">
        <f>IF('Weekly Attendance'!AA247="Yes",'Weekly Attendance'!$D247,"")</f>
        <v/>
      </c>
      <c r="DN270" s="56"/>
      <c r="DO270" s="58"/>
      <c r="DP27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0" s="57" t="str" cm="1">
        <f t="array" ref="DQ2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1" spans="1:121">
      <c r="A271" s="16">
        <v>264</v>
      </c>
      <c r="B271" s="86"/>
      <c r="F271" s="40"/>
      <c r="G271"/>
      <c r="DM271" s="56" t="str">
        <f>IF('Weekly Attendance'!AA248="Yes",'Weekly Attendance'!$D248,"")</f>
        <v/>
      </c>
      <c r="DN271" s="56"/>
      <c r="DO271" s="58"/>
      <c r="DP27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1" s="57" t="str" cm="1">
        <f t="array" ref="DQ2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2" spans="1:121">
      <c r="A272" s="16">
        <v>265</v>
      </c>
      <c r="B272" s="86"/>
      <c r="F272" s="40"/>
      <c r="G272"/>
      <c r="DM272" s="56" t="str">
        <f>IF('Weekly Attendance'!AA249="Yes",'Weekly Attendance'!$D249,"")</f>
        <v/>
      </c>
      <c r="DN272" s="56"/>
      <c r="DO272" s="58"/>
      <c r="DP27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2" s="57" t="str" cm="1">
        <f t="array" ref="DQ2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3" spans="1:121">
      <c r="A273" s="16">
        <v>266</v>
      </c>
      <c r="B273" s="86"/>
      <c r="F273" s="40"/>
      <c r="G273"/>
      <c r="DM273" s="56" t="str">
        <f>IF('Weekly Attendance'!AA251="Yes",'Weekly Attendance'!$D251,"")</f>
        <v/>
      </c>
      <c r="DN273" s="56"/>
      <c r="DO273" s="58"/>
      <c r="DP27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3" s="57" t="str" cm="1">
        <f t="array" ref="DQ2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4" spans="1:121">
      <c r="A274" s="16">
        <v>267</v>
      </c>
      <c r="B274" s="86"/>
      <c r="F274" s="40"/>
      <c r="G274"/>
      <c r="DM274" s="56" t="str">
        <f>IF('Weekly Attendance'!AA252="Yes",'Weekly Attendance'!$D252,"")</f>
        <v/>
      </c>
      <c r="DN274" s="56"/>
      <c r="DO274" s="58"/>
      <c r="DP27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4" s="57" t="str" cm="1">
        <f t="array" ref="DQ2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5" spans="1:121">
      <c r="A275" s="16">
        <v>268</v>
      </c>
      <c r="B275" s="86"/>
      <c r="F275" s="40"/>
      <c r="G275"/>
      <c r="DM275" s="56" t="str">
        <f>IF('Weekly Attendance'!AA253="Yes",'Weekly Attendance'!$D253,"")</f>
        <v/>
      </c>
      <c r="DN275" s="56"/>
      <c r="DO275" s="58"/>
      <c r="DP27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5" s="57" t="str" cm="1">
        <f t="array" ref="DQ2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6" spans="1:121">
      <c r="A276" s="16">
        <v>269</v>
      </c>
      <c r="B276" s="86"/>
      <c r="F276" s="40"/>
      <c r="G276"/>
      <c r="DM276" s="56" t="str">
        <f>IF('Weekly Attendance'!AA254="Yes",'Weekly Attendance'!$D254,"")</f>
        <v/>
      </c>
      <c r="DN276" s="56"/>
      <c r="DO276" s="58"/>
      <c r="DP27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6" s="57" t="str" cm="1">
        <f t="array" ref="DQ2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7" spans="1:121">
      <c r="A277" s="16">
        <v>270</v>
      </c>
      <c r="B277" s="86"/>
      <c r="F277" s="40"/>
      <c r="G277"/>
      <c r="DM277" s="56" t="str">
        <f>IF('Weekly Attendance'!AA255="Yes",'Weekly Attendance'!$D255,"")</f>
        <v/>
      </c>
      <c r="DN277" s="56"/>
      <c r="DO277" s="58"/>
      <c r="DP27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7" s="57" t="str" cm="1">
        <f t="array" ref="DQ2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8" spans="1:121">
      <c r="A278" s="16">
        <v>271</v>
      </c>
      <c r="B278" s="86"/>
      <c r="F278" s="40"/>
      <c r="G278"/>
      <c r="DM278" s="56" t="str">
        <f>IF('Weekly Attendance'!AA257="Yes",'Weekly Attendance'!$D257,"")</f>
        <v/>
      </c>
      <c r="DN278" s="56"/>
      <c r="DO278" s="58"/>
      <c r="DP27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8" s="57" t="str" cm="1">
        <f t="array" ref="DQ2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79" spans="1:121">
      <c r="A279" s="16">
        <v>272</v>
      </c>
      <c r="B279" s="86"/>
      <c r="F279" s="40"/>
      <c r="G279"/>
      <c r="DM279" s="56" t="str">
        <f>IF('Weekly Attendance'!AA258="Yes",'Weekly Attendance'!$D258,"")</f>
        <v/>
      </c>
      <c r="DN279" s="56"/>
      <c r="DO279" s="58"/>
      <c r="DP27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79" s="57" t="str" cm="1">
        <f t="array" ref="DQ2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0" spans="1:121">
      <c r="A280" s="16">
        <v>273</v>
      </c>
      <c r="B280" s="86"/>
      <c r="F280" s="40"/>
      <c r="G280"/>
      <c r="DM280" s="56" t="str">
        <f>IF('Weekly Attendance'!AA259="Yes",'Weekly Attendance'!$D259,"")</f>
        <v/>
      </c>
      <c r="DN280" s="56"/>
      <c r="DO280" s="58"/>
      <c r="DP28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0" s="57" t="str" cm="1">
        <f t="array" ref="DQ2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1" spans="1:121">
      <c r="A281" s="16">
        <v>274</v>
      </c>
      <c r="B281" s="86"/>
      <c r="F281" s="40"/>
      <c r="G281"/>
      <c r="DM281" s="56" t="str">
        <f>IF('Weekly Attendance'!AA260="Yes",'Weekly Attendance'!$D260,"")</f>
        <v/>
      </c>
      <c r="DN281" s="56"/>
      <c r="DO281" s="58"/>
      <c r="DP28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1" s="57" t="str" cm="1">
        <f t="array" ref="DQ2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2" spans="1:121">
      <c r="A282" s="16">
        <v>275</v>
      </c>
      <c r="B282" s="86"/>
      <c r="F282" s="40"/>
      <c r="G282"/>
      <c r="DM282" s="56" t="str">
        <f>IF('Weekly Attendance'!AA261="Yes",'Weekly Attendance'!$D261,"")</f>
        <v/>
      </c>
      <c r="DN282" s="56"/>
      <c r="DO282" s="58"/>
      <c r="DP28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2" s="57" t="str" cm="1">
        <f t="array" ref="DQ2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3" spans="1:121">
      <c r="A283" s="16">
        <v>276</v>
      </c>
      <c r="B283" s="86"/>
      <c r="F283" s="40"/>
      <c r="G283"/>
      <c r="DM283" s="56" t="str">
        <f>IF('Weekly Attendance'!AA262="Yes",'Weekly Attendance'!$D262,"")</f>
        <v/>
      </c>
      <c r="DN283" s="56"/>
      <c r="DO283" s="58"/>
      <c r="DP28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3" s="57" t="str" cm="1">
        <f t="array" ref="DQ2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4" spans="1:121">
      <c r="A284" s="16">
        <v>277</v>
      </c>
      <c r="B284" s="86"/>
      <c r="F284" s="40"/>
      <c r="G284"/>
      <c r="DM284" s="56" t="str">
        <f>IF('Weekly Attendance'!AA263="Yes",'Weekly Attendance'!$D263,"")</f>
        <v/>
      </c>
      <c r="DN284" s="56"/>
      <c r="DO284" s="58"/>
      <c r="DP28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4" s="57" t="str" cm="1">
        <f t="array" ref="DQ2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5" spans="1:121">
      <c r="A285" s="16">
        <v>278</v>
      </c>
      <c r="B285" s="86"/>
      <c r="F285" s="40"/>
      <c r="G285"/>
      <c r="DM285" s="56" t="str">
        <f>IF('Weekly Attendance'!AA265="Yes",'Weekly Attendance'!$D265,"")</f>
        <v/>
      </c>
      <c r="DN285" s="56"/>
      <c r="DO285" s="58"/>
      <c r="DP28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5" s="57" t="str" cm="1">
        <f t="array" ref="DQ2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6" spans="1:121">
      <c r="A286" s="16">
        <v>279</v>
      </c>
      <c r="B286" s="86"/>
      <c r="F286" s="40"/>
      <c r="G286"/>
      <c r="DM286" s="56" t="str">
        <f>IF('Weekly Attendance'!AA267="Yes",'Weekly Attendance'!$D267,"")</f>
        <v/>
      </c>
      <c r="DN286" s="56"/>
      <c r="DO286" s="58"/>
      <c r="DP28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6" s="57" t="str" cm="1">
        <f t="array" ref="DQ2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7" spans="1:121">
      <c r="A287" s="16">
        <v>280</v>
      </c>
      <c r="B287" s="86"/>
      <c r="F287" s="40"/>
      <c r="G287"/>
      <c r="DM287" s="56" t="str">
        <f>IF('Weekly Attendance'!AA269="Yes",'Weekly Attendance'!$D269,"")</f>
        <v/>
      </c>
      <c r="DN287" s="56"/>
      <c r="DO287" s="58"/>
      <c r="DP28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7" s="57" t="str" cm="1">
        <f t="array" ref="DQ2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8" spans="1:121">
      <c r="A288" s="16">
        <v>281</v>
      </c>
      <c r="B288" s="86"/>
      <c r="F288" s="40"/>
      <c r="G288"/>
      <c r="DM288" s="56" t="str">
        <f>IF('Weekly Attendance'!AA271="Yes",'Weekly Attendance'!$D271,"")</f>
        <v/>
      </c>
      <c r="DN288" s="56"/>
      <c r="DO288" s="58"/>
      <c r="DP28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8" s="57" t="str" cm="1">
        <f t="array" ref="DQ2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89" spans="1:121">
      <c r="A289" s="16">
        <v>282</v>
      </c>
      <c r="B289" s="86"/>
      <c r="F289" s="40"/>
      <c r="G289"/>
      <c r="DM289" s="56" t="str">
        <f>IF('Weekly Attendance'!AA272="Yes",'Weekly Attendance'!$D272,"")</f>
        <v/>
      </c>
      <c r="DN289" s="56"/>
      <c r="DO289" s="58"/>
      <c r="DP28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89" s="57" t="str" cm="1">
        <f t="array" ref="DQ2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0" spans="1:121">
      <c r="A290" s="16">
        <v>283</v>
      </c>
      <c r="B290" s="86"/>
      <c r="F290" s="40"/>
      <c r="G290"/>
      <c r="DM290" s="56" t="str">
        <f>IF('Weekly Attendance'!AA273="Yes",'Weekly Attendance'!$D273,"")</f>
        <v/>
      </c>
      <c r="DN290" s="56"/>
      <c r="DO290" s="58"/>
      <c r="DP29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0" s="57" t="str" cm="1">
        <f t="array" ref="DQ29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1" spans="1:121">
      <c r="A291" s="16">
        <v>284</v>
      </c>
      <c r="B291" s="86"/>
      <c r="F291" s="40"/>
      <c r="G291"/>
      <c r="DM291" s="56" t="str">
        <f>IF('Weekly Attendance'!AA274="Yes",'Weekly Attendance'!$D274,"")</f>
        <v/>
      </c>
      <c r="DN291" s="56"/>
      <c r="DO291" s="58"/>
      <c r="DP29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1" s="57" t="str" cm="1">
        <f t="array" ref="DQ29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2" spans="1:121">
      <c r="A292" s="16">
        <v>285</v>
      </c>
      <c r="B292" s="86"/>
      <c r="F292" s="40"/>
      <c r="G292"/>
      <c r="DM292" s="56" t="str">
        <f>IF('Weekly Attendance'!AA275="Yes",'Weekly Attendance'!$D275,"")</f>
        <v/>
      </c>
      <c r="DN292" s="56"/>
      <c r="DO292" s="58"/>
      <c r="DP29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2" s="57" t="str" cm="1">
        <f t="array" ref="DQ29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3" spans="1:121">
      <c r="A293" s="16">
        <v>286</v>
      </c>
      <c r="B293" s="86"/>
      <c r="F293" s="40"/>
      <c r="G293"/>
      <c r="DM293" s="56" t="str">
        <f>IF('Weekly Attendance'!AA276="Yes",'Weekly Attendance'!$D276,"")</f>
        <v/>
      </c>
      <c r="DN293" s="56"/>
      <c r="DO293" s="58"/>
      <c r="DP29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3" s="57" t="str" cm="1">
        <f t="array" ref="DQ29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4" spans="1:121">
      <c r="A294" s="16">
        <v>287</v>
      </c>
      <c r="B294" s="86"/>
      <c r="F294" s="40"/>
      <c r="G294"/>
      <c r="DM294" s="56" t="str">
        <f>IF('Weekly Attendance'!AA277="Yes",'Weekly Attendance'!$D277,"")</f>
        <v/>
      </c>
      <c r="DN294" s="56"/>
      <c r="DO294" s="58"/>
      <c r="DP29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4" s="57" t="str" cm="1">
        <f t="array" ref="DQ29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5" spans="1:121">
      <c r="A295" s="16">
        <v>288</v>
      </c>
      <c r="B295" s="86"/>
      <c r="F295" s="40"/>
      <c r="G295"/>
      <c r="DM295" s="56" t="str">
        <f>IF('Weekly Attendance'!AA279="Yes",'Weekly Attendance'!$D279,"")</f>
        <v/>
      </c>
      <c r="DN295" s="56"/>
      <c r="DO295" s="58"/>
      <c r="DP29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5" s="57" t="str" cm="1">
        <f t="array" ref="DQ29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6" spans="1:121">
      <c r="A296" s="16">
        <v>289</v>
      </c>
      <c r="B296" s="86"/>
      <c r="F296" s="40"/>
      <c r="G296"/>
      <c r="DM296" s="56" t="str">
        <f>IF('Weekly Attendance'!AA280="Yes",'Weekly Attendance'!$D280,"")</f>
        <v/>
      </c>
      <c r="DN296" s="56"/>
      <c r="DO296" s="58"/>
      <c r="DP29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6" s="57" t="str" cm="1">
        <f t="array" ref="DQ29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7" spans="1:121">
      <c r="A297" s="16">
        <v>290</v>
      </c>
      <c r="B297" s="86"/>
      <c r="F297" s="40"/>
      <c r="G297"/>
      <c r="DM297" s="56" t="str">
        <f>IF('Weekly Attendance'!AA281="Yes",'Weekly Attendance'!$D281,"")</f>
        <v/>
      </c>
      <c r="DN297" s="56"/>
      <c r="DO297" s="58"/>
      <c r="DP29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7" s="57" t="str" cm="1">
        <f t="array" ref="DQ29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8" spans="1:121">
      <c r="A298" s="16">
        <v>291</v>
      </c>
      <c r="B298" s="86"/>
      <c r="F298" s="40"/>
      <c r="G298"/>
      <c r="DM298" s="56" t="str">
        <f>IF('Weekly Attendance'!AA283="Yes",'Weekly Attendance'!$D283,"")</f>
        <v/>
      </c>
      <c r="DN298" s="56"/>
      <c r="DO298" s="58"/>
      <c r="DP29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8" s="57" t="str" cm="1">
        <f t="array" ref="DQ29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299" spans="1:121">
      <c r="A299" s="16">
        <v>292</v>
      </c>
      <c r="B299" s="86"/>
      <c r="F299" s="40"/>
      <c r="G299"/>
      <c r="DM299" s="56" t="str">
        <f>IF('Weekly Attendance'!AA284="Yes",'Weekly Attendance'!$D284,"")</f>
        <v/>
      </c>
      <c r="DN299" s="56"/>
      <c r="DO299" s="58"/>
      <c r="DP29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299" s="57" t="str" cm="1">
        <f t="array" ref="DQ29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0" spans="1:121">
      <c r="A300" s="16">
        <v>293</v>
      </c>
      <c r="B300" s="86"/>
      <c r="F300" s="40"/>
      <c r="G300"/>
      <c r="DM300" s="56" t="str">
        <f>IF('Weekly Attendance'!AA285="Yes",'Weekly Attendance'!$D285,"")</f>
        <v/>
      </c>
      <c r="DN300" s="56"/>
      <c r="DO300" s="58"/>
      <c r="DP30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0" s="57" t="str" cm="1">
        <f t="array" ref="DQ30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1" spans="1:121">
      <c r="A301" s="16">
        <v>294</v>
      </c>
      <c r="B301" s="86"/>
      <c r="F301" s="40"/>
      <c r="G301"/>
      <c r="DM301" s="56" t="str">
        <f>IF('Weekly Attendance'!AA286="Yes",'Weekly Attendance'!$D286,"")</f>
        <v/>
      </c>
      <c r="DN301" s="56"/>
      <c r="DO301" s="58"/>
      <c r="DP30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1" s="57" t="str" cm="1">
        <f t="array" ref="DQ30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2" spans="1:121">
      <c r="A302" s="16">
        <v>295</v>
      </c>
      <c r="B302" s="86"/>
      <c r="F302" s="40"/>
      <c r="G302"/>
      <c r="DM302" s="56" t="str">
        <f>IF('Weekly Attendance'!AA287="Yes",'Weekly Attendance'!$D287,"")</f>
        <v/>
      </c>
      <c r="DN302" s="56"/>
      <c r="DO302" s="58"/>
      <c r="DP30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2" s="57" t="str" cm="1">
        <f t="array" ref="DQ30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3" spans="1:121">
      <c r="A303" s="16">
        <v>296</v>
      </c>
      <c r="B303" s="86"/>
      <c r="F303" s="40"/>
      <c r="G303"/>
      <c r="DM303" s="56" t="str">
        <f>IF('Weekly Attendance'!AA288="Yes",'Weekly Attendance'!$D288,"")</f>
        <v/>
      </c>
      <c r="DN303" s="56"/>
      <c r="DO303" s="58"/>
      <c r="DP30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3" s="57" t="str" cm="1">
        <f t="array" ref="DQ30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4" spans="1:121">
      <c r="A304" s="16">
        <v>297</v>
      </c>
      <c r="B304" s="86"/>
      <c r="F304" s="40"/>
      <c r="G304"/>
      <c r="DM304" s="56" t="str">
        <f>IF('Weekly Attendance'!AA289="Yes",'Weekly Attendance'!$D289,"")</f>
        <v/>
      </c>
      <c r="DN304" s="56"/>
      <c r="DO304" s="58"/>
      <c r="DP30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4" s="57" t="str" cm="1">
        <f t="array" ref="DQ30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5" spans="1:121">
      <c r="A305" s="16">
        <v>298</v>
      </c>
      <c r="B305" s="86"/>
      <c r="F305" s="40"/>
      <c r="G305"/>
      <c r="DM305" s="56" t="str">
        <f>IF('Weekly Attendance'!AA290="Yes",'Weekly Attendance'!$D290,"")</f>
        <v/>
      </c>
      <c r="DN305" s="56"/>
      <c r="DO305" s="58"/>
      <c r="DP30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5" s="57" t="str" cm="1">
        <f t="array" ref="DQ30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6" spans="1:121">
      <c r="A306" s="16">
        <v>299</v>
      </c>
      <c r="B306" s="86"/>
      <c r="F306" s="40"/>
      <c r="G306"/>
      <c r="DM306" s="56" t="str">
        <f>IF('Weekly Attendance'!AA291="Yes",'Weekly Attendance'!$D291,"")</f>
        <v/>
      </c>
      <c r="DN306" s="56"/>
      <c r="DO306" s="58"/>
      <c r="DP30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6" s="57" t="str" cm="1">
        <f t="array" ref="DQ30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7" spans="1:121">
      <c r="A307" s="16">
        <v>300</v>
      </c>
      <c r="B307" s="86"/>
      <c r="F307" s="40"/>
      <c r="G307"/>
      <c r="DM307" s="56" t="str">
        <f>IF('Weekly Attendance'!AA292="Yes",'Weekly Attendance'!$D292,"")</f>
        <v/>
      </c>
      <c r="DN307" s="56"/>
      <c r="DO307" s="58"/>
      <c r="DP30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7" s="57" t="str" cm="1">
        <f t="array" ref="DQ30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8" spans="1:121">
      <c r="A308" s="16">
        <v>301</v>
      </c>
      <c r="B308" s="86"/>
      <c r="F308" s="40"/>
      <c r="G308"/>
      <c r="DM308" s="56" t="str">
        <f>IF('Weekly Attendance'!AA293="Yes",'Weekly Attendance'!$D293,"")</f>
        <v/>
      </c>
      <c r="DN308" s="56"/>
      <c r="DO308" s="58"/>
      <c r="DP30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8" s="57" t="str" cm="1">
        <f t="array" ref="DQ30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09" spans="1:121">
      <c r="A309" s="16">
        <v>302</v>
      </c>
      <c r="B309" s="86"/>
      <c r="F309" s="40"/>
      <c r="G309"/>
      <c r="DM309" s="56" t="str">
        <f>IF('Weekly Attendance'!AA294="Yes",'Weekly Attendance'!$D294,"")</f>
        <v/>
      </c>
      <c r="DN309" s="56"/>
      <c r="DO309" s="58"/>
      <c r="DP30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09" s="57" t="str" cm="1">
        <f t="array" ref="DQ30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0" spans="1:121">
      <c r="A310" s="16">
        <v>303</v>
      </c>
      <c r="B310" s="86"/>
      <c r="F310" s="40"/>
      <c r="G310"/>
      <c r="DM310" s="56" t="str">
        <f>IF('Weekly Attendance'!AA295="Yes",'Weekly Attendance'!$D295,"")</f>
        <v/>
      </c>
      <c r="DN310" s="56"/>
      <c r="DO310" s="58"/>
      <c r="DP31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0" s="57" t="str" cm="1">
        <f t="array" ref="DQ3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1" spans="1:121">
      <c r="A311" s="16">
        <v>304</v>
      </c>
      <c r="B311" s="86"/>
      <c r="F311" s="40"/>
      <c r="G311"/>
      <c r="DM311" s="56" t="str">
        <f>IF('Weekly Attendance'!AA296="Yes",'Weekly Attendance'!$D296,"")</f>
        <v/>
      </c>
      <c r="DN311" s="56"/>
      <c r="DO311" s="58"/>
      <c r="DP31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1" s="57" t="str" cm="1">
        <f t="array" ref="DQ3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2" spans="1:121">
      <c r="A312" s="16">
        <v>305</v>
      </c>
      <c r="B312" s="86"/>
      <c r="F312" s="40"/>
      <c r="G312"/>
      <c r="DM312" s="56" t="str">
        <f>IF('Weekly Attendance'!AA297="Yes",'Weekly Attendance'!$D297,"")</f>
        <v/>
      </c>
      <c r="DN312" s="56"/>
      <c r="DO312" s="58"/>
      <c r="DP31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2" s="57" t="str" cm="1">
        <f t="array" ref="DQ3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3" spans="1:121">
      <c r="A313" s="16">
        <v>306</v>
      </c>
      <c r="B313" s="86"/>
      <c r="F313" s="40"/>
      <c r="G313"/>
      <c r="DM313" s="56" t="str">
        <f>IF('Weekly Attendance'!AA298="Yes",'Weekly Attendance'!$D298,"")</f>
        <v/>
      </c>
      <c r="DN313" s="56"/>
      <c r="DO313" s="58"/>
      <c r="DP31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3" s="57" t="str" cm="1">
        <f t="array" ref="DQ3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4" spans="1:121">
      <c r="A314" s="16">
        <v>307</v>
      </c>
      <c r="B314" s="86"/>
      <c r="F314" s="40"/>
      <c r="G314"/>
      <c r="DM314" s="56" t="str">
        <f>IF('Weekly Attendance'!AA299="Yes",'Weekly Attendance'!$D299,"")</f>
        <v/>
      </c>
      <c r="DN314" s="56"/>
      <c r="DO314" s="58"/>
      <c r="DP31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4" s="57" t="str" cm="1">
        <f t="array" ref="DQ3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5" spans="1:121">
      <c r="A315" s="16">
        <v>308</v>
      </c>
      <c r="B315" s="86"/>
      <c r="F315" s="40"/>
      <c r="G315"/>
      <c r="DM315" s="56" t="str">
        <f>IF('Weekly Attendance'!AA300="Yes",'Weekly Attendance'!$D300,"")</f>
        <v/>
      </c>
      <c r="DN315" s="56"/>
      <c r="DO315" s="58"/>
      <c r="DP31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5" s="57" t="str" cm="1">
        <f t="array" ref="DQ3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6" spans="1:121">
      <c r="A316" s="16">
        <v>309</v>
      </c>
      <c r="B316" s="86"/>
      <c r="F316" s="40"/>
      <c r="G316"/>
      <c r="DM316" s="56" t="str">
        <f>IF('Weekly Attendance'!AA301="Yes",'Weekly Attendance'!$D301,"")</f>
        <v/>
      </c>
      <c r="DN316" s="56"/>
      <c r="DO316" s="58"/>
      <c r="DP31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6" s="57" t="str" cm="1">
        <f t="array" ref="DQ3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7" spans="1:121">
      <c r="A317" s="16">
        <v>310</v>
      </c>
      <c r="B317" s="86"/>
      <c r="F317" s="40"/>
      <c r="G317"/>
      <c r="DM317" s="56" t="str">
        <f>IF('Weekly Attendance'!AA302="Yes",'Weekly Attendance'!$D302,"")</f>
        <v/>
      </c>
      <c r="DN317" s="56"/>
      <c r="DO317" s="58"/>
      <c r="DP31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7" s="57" t="str" cm="1">
        <f t="array" ref="DQ3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8" spans="1:121">
      <c r="A318" s="16">
        <v>311</v>
      </c>
      <c r="B318" s="86"/>
      <c r="F318" s="40"/>
      <c r="G318"/>
      <c r="DM318" s="56" t="str">
        <f>IF('Weekly Attendance'!AA304="Yes",'Weekly Attendance'!$D304,"")</f>
        <v/>
      </c>
      <c r="DN318" s="56"/>
      <c r="DO318" s="58"/>
      <c r="DP31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8" s="57" t="str" cm="1">
        <f t="array" ref="DQ3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19" spans="1:121">
      <c r="A319" s="16">
        <v>312</v>
      </c>
      <c r="B319" s="86"/>
      <c r="F319" s="40"/>
      <c r="G319"/>
      <c r="DM319" s="56" t="str">
        <f>IF('Weekly Attendance'!AA306="Yes",'Weekly Attendance'!$D306,"")</f>
        <v/>
      </c>
      <c r="DN319" s="56"/>
      <c r="DO319" s="58"/>
      <c r="DP31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19" s="57" t="str" cm="1">
        <f t="array" ref="DQ3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0" spans="1:121">
      <c r="A320" s="16">
        <v>313</v>
      </c>
      <c r="B320" s="86"/>
      <c r="F320" s="40"/>
      <c r="G320"/>
      <c r="DM320" s="56" t="str">
        <f>IF('Weekly Attendance'!AA307="Yes",'Weekly Attendance'!$D307,"")</f>
        <v/>
      </c>
      <c r="DN320" s="56"/>
      <c r="DO320" s="58"/>
      <c r="DP32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0" s="57" t="str" cm="1">
        <f t="array" ref="DQ3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1" spans="1:121">
      <c r="A321" s="16">
        <v>314</v>
      </c>
      <c r="B321" s="86"/>
      <c r="F321" s="40"/>
      <c r="G321"/>
      <c r="DM321" s="56" t="str">
        <f>IF('Weekly Attendance'!AA308="Yes",'Weekly Attendance'!$D308,"")</f>
        <v/>
      </c>
      <c r="DN321" s="56"/>
      <c r="DO321" s="58"/>
      <c r="DP32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1" s="57" t="str" cm="1">
        <f t="array" ref="DQ3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2" spans="1:121">
      <c r="A322" s="16">
        <v>315</v>
      </c>
      <c r="B322" s="86"/>
      <c r="F322" s="40"/>
      <c r="G322"/>
      <c r="DM322" s="56" t="str">
        <f>IF('Weekly Attendance'!AA309="Yes",'Weekly Attendance'!$D309,"")</f>
        <v/>
      </c>
      <c r="DN322" s="56"/>
      <c r="DO322" s="58"/>
      <c r="DP32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2" s="57" t="str" cm="1">
        <f t="array" ref="DQ3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3" spans="1:121">
      <c r="A323" s="16">
        <v>316</v>
      </c>
      <c r="B323" s="86"/>
      <c r="F323" s="40"/>
      <c r="G323"/>
      <c r="DM323" s="56" t="str">
        <f>IF('Weekly Attendance'!AA311="Yes",'Weekly Attendance'!$D311,"")</f>
        <v/>
      </c>
      <c r="DN323" s="56"/>
      <c r="DO323" s="58"/>
      <c r="DP32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3" s="57" t="str" cm="1">
        <f t="array" ref="DQ3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4" spans="1:121">
      <c r="A324" s="16">
        <v>317</v>
      </c>
      <c r="B324" s="86"/>
      <c r="F324" s="40"/>
      <c r="G324"/>
      <c r="DM324" s="56" t="str">
        <f>IF('Weekly Attendance'!AA312="Yes",'Weekly Attendance'!$D312,"")</f>
        <v/>
      </c>
      <c r="DN324" s="56"/>
      <c r="DO324" s="58"/>
      <c r="DP32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4" s="57" t="str" cm="1">
        <f t="array" ref="DQ3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5" spans="1:121">
      <c r="A325" s="16">
        <v>318</v>
      </c>
      <c r="B325" s="86"/>
      <c r="F325" s="40"/>
      <c r="G325"/>
      <c r="DM325" s="56" t="str">
        <f>IF('Weekly Attendance'!AA313="Yes",'Weekly Attendance'!$D313,"")</f>
        <v/>
      </c>
      <c r="DN325" s="56"/>
      <c r="DO325" s="58"/>
      <c r="DP32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5" s="57" t="str" cm="1">
        <f t="array" ref="DQ3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6" spans="1:121">
      <c r="A326" s="16">
        <v>319</v>
      </c>
      <c r="B326" s="86"/>
      <c r="F326" s="40"/>
      <c r="G326"/>
      <c r="DM326" s="56" t="str">
        <f>IF('Weekly Attendance'!AA314="Yes",'Weekly Attendance'!$D314,"")</f>
        <v/>
      </c>
      <c r="DN326" s="56"/>
      <c r="DO326" s="58"/>
      <c r="DP32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6" s="57" t="str" cm="1">
        <f t="array" ref="DQ3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7" spans="1:121">
      <c r="A327" s="16">
        <v>320</v>
      </c>
      <c r="B327" s="86"/>
      <c r="F327" s="40"/>
      <c r="G327"/>
      <c r="DM327" s="56" t="str">
        <f>IF('Weekly Attendance'!AA315="Yes",'Weekly Attendance'!$D315,"")</f>
        <v/>
      </c>
      <c r="DN327" s="56"/>
      <c r="DO327" s="58"/>
      <c r="DP32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7" s="57" t="str" cm="1">
        <f t="array" ref="DQ3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8" spans="1:121">
      <c r="A328" s="16">
        <v>321</v>
      </c>
      <c r="B328" s="86"/>
      <c r="F328" s="40"/>
      <c r="G328"/>
      <c r="DM328" s="56" t="str">
        <f>IF('Weekly Attendance'!AA316="Yes",'Weekly Attendance'!$D316,"")</f>
        <v/>
      </c>
      <c r="DN328" s="56"/>
      <c r="DO328" s="58"/>
      <c r="DP32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8" s="57" t="str" cm="1">
        <f t="array" ref="DQ3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29" spans="1:121">
      <c r="A329" s="16">
        <v>322</v>
      </c>
      <c r="B329" s="86"/>
      <c r="F329" s="40"/>
      <c r="G329"/>
      <c r="DM329" s="56" t="str">
        <f>IF('Weekly Attendance'!AA317="Yes",'Weekly Attendance'!$D317,"")</f>
        <v/>
      </c>
      <c r="DN329" s="56"/>
      <c r="DO329" s="58"/>
      <c r="DP32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29" s="57" t="str" cm="1">
        <f t="array" ref="DQ3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0" spans="1:121">
      <c r="A330" s="16">
        <v>323</v>
      </c>
      <c r="B330" s="86"/>
      <c r="F330" s="40"/>
      <c r="G330"/>
      <c r="DM330" s="56" t="str">
        <f>IF('Weekly Attendance'!AA318="Yes",'Weekly Attendance'!$D318,"")</f>
        <v/>
      </c>
      <c r="DN330" s="56"/>
      <c r="DO330" s="58"/>
      <c r="DP33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0" s="57" t="str" cm="1">
        <f t="array" ref="DQ3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1" spans="1:121">
      <c r="A331" s="16">
        <v>324</v>
      </c>
      <c r="B331" s="86"/>
      <c r="F331" s="40"/>
      <c r="G331"/>
      <c r="DM331" s="56" t="str">
        <f>IF('Weekly Attendance'!AA320="Yes",'Weekly Attendance'!$D320,"")</f>
        <v/>
      </c>
      <c r="DN331" s="56"/>
      <c r="DO331" s="58"/>
      <c r="DP33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1" s="57" t="str" cm="1">
        <f t="array" ref="DQ3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2" spans="1:121">
      <c r="A332" s="16">
        <v>325</v>
      </c>
      <c r="B332" s="86"/>
      <c r="F332" s="40"/>
      <c r="G332"/>
      <c r="DM332" s="56" t="str">
        <f>IF('Weekly Attendance'!AA321="Yes",'Weekly Attendance'!$D321,"")</f>
        <v/>
      </c>
      <c r="DN332" s="56"/>
      <c r="DO332" s="58"/>
      <c r="DP33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2" s="57" t="str" cm="1">
        <f t="array" ref="DQ3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3" spans="1:121">
      <c r="A333" s="16">
        <v>326</v>
      </c>
      <c r="B333" s="86"/>
      <c r="F333" s="40"/>
      <c r="G333"/>
      <c r="DM333" s="56" t="str">
        <f>IF('Weekly Attendance'!AA322="Yes",'Weekly Attendance'!$D322,"")</f>
        <v/>
      </c>
      <c r="DN333" s="56"/>
      <c r="DO333" s="58"/>
      <c r="DP33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3" s="57" t="str" cm="1">
        <f t="array" ref="DQ3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4" spans="1:121">
      <c r="A334" s="16">
        <v>327</v>
      </c>
      <c r="B334" s="86"/>
      <c r="F334" s="40"/>
      <c r="G334"/>
      <c r="DM334" s="56" t="str">
        <f>IF('Weekly Attendance'!AA323="Yes",'Weekly Attendance'!$D323,"")</f>
        <v/>
      </c>
      <c r="DN334" s="56"/>
      <c r="DO334" s="58"/>
      <c r="DP33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4" s="57" t="str" cm="1">
        <f t="array" ref="DQ3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5" spans="1:121">
      <c r="A335" s="16">
        <v>328</v>
      </c>
      <c r="B335" s="86"/>
      <c r="F335" s="40"/>
      <c r="G335"/>
      <c r="DM335" s="56" t="str">
        <f>IF('Weekly Attendance'!AA324="Yes",'Weekly Attendance'!$D324,"")</f>
        <v/>
      </c>
      <c r="DN335" s="56"/>
      <c r="DO335" s="58"/>
      <c r="DP33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5" s="57" t="str" cm="1">
        <f t="array" ref="DQ3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6" spans="1:121">
      <c r="A336" s="16">
        <v>329</v>
      </c>
      <c r="B336" s="86"/>
      <c r="F336" s="40"/>
      <c r="G336"/>
      <c r="DM336" s="56" t="str">
        <f>IF('Weekly Attendance'!AA325="Yes",'Weekly Attendance'!$D325,"")</f>
        <v/>
      </c>
      <c r="DN336" s="56"/>
      <c r="DO336" s="58"/>
      <c r="DP33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6" s="57" t="str" cm="1">
        <f t="array" ref="DQ3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7" spans="1:121">
      <c r="A337" s="16">
        <v>330</v>
      </c>
      <c r="B337" s="86"/>
      <c r="F337" s="40"/>
      <c r="G337"/>
      <c r="DM337" s="56" t="str">
        <f>IF('Weekly Attendance'!AA326="Yes",'Weekly Attendance'!$D326,"")</f>
        <v/>
      </c>
      <c r="DN337" s="56"/>
      <c r="DO337" s="58"/>
      <c r="DP33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7" s="57" t="str" cm="1">
        <f t="array" ref="DQ3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8" spans="1:121">
      <c r="A338" s="16">
        <v>331</v>
      </c>
      <c r="B338" s="86"/>
      <c r="F338" s="40"/>
      <c r="G338"/>
      <c r="DM338" s="56" t="str">
        <f>IF('Weekly Attendance'!AA327="Yes",'Weekly Attendance'!$D327,"")</f>
        <v/>
      </c>
      <c r="DN338" s="56"/>
      <c r="DO338" s="58"/>
      <c r="DP33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8" s="57" t="str" cm="1">
        <f t="array" ref="DQ3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39" spans="1:121">
      <c r="A339" s="16">
        <v>332</v>
      </c>
      <c r="B339" s="86"/>
      <c r="F339" s="40"/>
      <c r="G339"/>
      <c r="DM339" s="56" t="str">
        <f>IF('Weekly Attendance'!AA328="Yes",'Weekly Attendance'!$D328,"")</f>
        <v/>
      </c>
      <c r="DN339" s="56"/>
      <c r="DO339" s="58"/>
      <c r="DP33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39" s="57" t="str" cm="1">
        <f t="array" ref="DQ3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0" spans="1:121">
      <c r="A340" s="16">
        <v>333</v>
      </c>
      <c r="B340" s="86"/>
      <c r="F340" s="40"/>
      <c r="G340"/>
      <c r="DM340" s="56" t="str">
        <f>IF('Weekly Attendance'!AA330="Yes",'Weekly Attendance'!$D330,"")</f>
        <v/>
      </c>
      <c r="DN340" s="56"/>
      <c r="DO340" s="58"/>
      <c r="DP34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0" s="57" t="str" cm="1">
        <f t="array" ref="DQ3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1" spans="1:121">
      <c r="A341" s="16">
        <v>334</v>
      </c>
      <c r="B341" s="86"/>
      <c r="F341" s="40"/>
      <c r="G341"/>
      <c r="DM341" s="56" t="str">
        <f>IF('Weekly Attendance'!AA331="Yes",'Weekly Attendance'!$D331,"")</f>
        <v/>
      </c>
      <c r="DN341" s="56"/>
      <c r="DO341" s="58"/>
      <c r="DP34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1" s="57" t="str" cm="1">
        <f t="array" ref="DQ3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2" spans="1:121">
      <c r="A342" s="16">
        <v>335</v>
      </c>
      <c r="B342" s="86"/>
      <c r="F342" s="40"/>
      <c r="G342"/>
      <c r="DM342" s="56" t="str">
        <f>IF('Weekly Attendance'!AA332="Yes",'Weekly Attendance'!$D332,"")</f>
        <v/>
      </c>
      <c r="DN342" s="56"/>
      <c r="DO342" s="58"/>
      <c r="DP34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2" s="57" t="str" cm="1">
        <f t="array" ref="DQ3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3" spans="1:121">
      <c r="A343" s="16">
        <v>336</v>
      </c>
      <c r="B343" s="86"/>
      <c r="F343" s="40"/>
      <c r="G343"/>
      <c r="DM343" s="56" t="str">
        <f>IF('Weekly Attendance'!AA335="Yes",'Weekly Attendance'!$D335,"")</f>
        <v/>
      </c>
      <c r="DN343" s="56"/>
      <c r="DO343" s="58"/>
      <c r="DP34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3" s="57" t="str" cm="1">
        <f t="array" ref="DQ3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4" spans="1:121">
      <c r="A344" s="16">
        <v>337</v>
      </c>
      <c r="B344" s="86"/>
      <c r="F344" s="40"/>
      <c r="G344"/>
      <c r="DM344" s="56" t="str">
        <f>IF('Weekly Attendance'!AA336="Yes",'Weekly Attendance'!$D336,"")</f>
        <v/>
      </c>
      <c r="DN344" s="56"/>
      <c r="DO344" s="58"/>
      <c r="DP34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4" s="57" t="str" cm="1">
        <f t="array" ref="DQ3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5" spans="1:121">
      <c r="A345" s="16">
        <v>338</v>
      </c>
      <c r="B345" s="86"/>
      <c r="F345" s="40"/>
      <c r="G345"/>
      <c r="DM345" s="56" t="str">
        <f>IF('Weekly Attendance'!AA337="Yes",'Weekly Attendance'!$D337,"")</f>
        <v/>
      </c>
      <c r="DN345" s="56"/>
      <c r="DO345" s="58"/>
      <c r="DP34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5" s="57" t="str" cm="1">
        <f t="array" ref="DQ3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6" spans="1:121">
      <c r="A346" s="16">
        <v>339</v>
      </c>
      <c r="B346" s="86"/>
      <c r="F346" s="40"/>
      <c r="G346"/>
      <c r="DM346" s="56" t="str">
        <f>IF('Weekly Attendance'!AA338="Yes",'Weekly Attendance'!$D338,"")</f>
        <v/>
      </c>
      <c r="DN346" s="56"/>
      <c r="DO346" s="58"/>
      <c r="DP34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6" s="57" t="str" cm="1">
        <f t="array" ref="DQ3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7" spans="1:121">
      <c r="A347" s="16">
        <v>340</v>
      </c>
      <c r="B347" s="86"/>
      <c r="F347" s="40"/>
      <c r="G347"/>
      <c r="DM347" s="56" t="str">
        <f>IF('Weekly Attendance'!AA339="Yes",'Weekly Attendance'!$D339,"")</f>
        <v/>
      </c>
      <c r="DN347" s="56"/>
      <c r="DO347" s="58"/>
      <c r="DP34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7" s="57" t="str" cm="1">
        <f t="array" ref="DQ3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8" spans="1:121">
      <c r="A348" s="16">
        <v>341</v>
      </c>
      <c r="B348" s="86"/>
      <c r="F348" s="40"/>
      <c r="G348"/>
      <c r="DM348" s="56" t="str">
        <f>IF('Weekly Attendance'!AA340="Yes",'Weekly Attendance'!$D340,"")</f>
        <v/>
      </c>
      <c r="DN348" s="56"/>
      <c r="DO348" s="58"/>
      <c r="DP34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8" s="57" t="str" cm="1">
        <f t="array" ref="DQ3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49" spans="1:121">
      <c r="A349" s="16">
        <v>342</v>
      </c>
      <c r="B349" s="86"/>
      <c r="F349" s="40"/>
      <c r="G349"/>
      <c r="DM349" s="56" t="str">
        <f>IF('Weekly Attendance'!AA342="Yes",'Weekly Attendance'!$D342,"")</f>
        <v/>
      </c>
      <c r="DN349" s="56"/>
      <c r="DO349" s="58"/>
      <c r="DP34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49" s="57" t="str" cm="1">
        <f t="array" ref="DQ3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0" spans="1:121">
      <c r="A350" s="16">
        <v>343</v>
      </c>
      <c r="B350" s="86"/>
      <c r="F350" s="40"/>
      <c r="G350"/>
      <c r="DM350" s="56" t="str">
        <f>IF('Weekly Attendance'!AA343="Yes",'Weekly Attendance'!$D343,"")</f>
        <v/>
      </c>
      <c r="DN350" s="56"/>
      <c r="DO350" s="58"/>
      <c r="DP35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0" s="57" t="str" cm="1">
        <f t="array" ref="DQ3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1" spans="1:121">
      <c r="A351" s="16">
        <v>344</v>
      </c>
      <c r="B351" s="86"/>
      <c r="F351" s="40"/>
      <c r="G351"/>
      <c r="DM351" s="56" t="str">
        <f>IF('Weekly Attendance'!AA344="Yes",'Weekly Attendance'!$D344,"")</f>
        <v/>
      </c>
      <c r="DN351" s="56"/>
      <c r="DO351" s="58"/>
      <c r="DP35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1" s="57" t="str" cm="1">
        <f t="array" ref="DQ3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2" spans="1:121">
      <c r="A352" s="16">
        <v>345</v>
      </c>
      <c r="B352" s="86"/>
      <c r="F352" s="40"/>
      <c r="G352"/>
      <c r="DM352" s="56" t="str">
        <f>IF('Weekly Attendance'!AA345="Yes",'Weekly Attendance'!$D345,"")</f>
        <v/>
      </c>
      <c r="DN352" s="56"/>
      <c r="DO352" s="58"/>
      <c r="DP35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2" s="57" t="str" cm="1">
        <f t="array" ref="DQ3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3" spans="1:121">
      <c r="A353" s="16">
        <v>346</v>
      </c>
      <c r="B353" s="86"/>
      <c r="F353" s="40"/>
      <c r="G353"/>
      <c r="DM353" s="56" t="str">
        <f>IF('Weekly Attendance'!AA346="Yes",'Weekly Attendance'!$D346,"")</f>
        <v/>
      </c>
      <c r="DN353" s="56"/>
      <c r="DO353" s="58"/>
      <c r="DP35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3" s="57" t="str" cm="1">
        <f t="array" ref="DQ3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4" spans="1:121">
      <c r="A354" s="16">
        <v>347</v>
      </c>
      <c r="B354" s="86"/>
      <c r="F354" s="40"/>
      <c r="G354"/>
      <c r="DM354" s="56" t="str">
        <f>IF('Weekly Attendance'!AA349="Yes",'Weekly Attendance'!$D349,"")</f>
        <v/>
      </c>
      <c r="DN354" s="56"/>
      <c r="DO354" s="58"/>
      <c r="DP35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4" s="57" t="str" cm="1">
        <f t="array" ref="DQ3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5" spans="1:121">
      <c r="A355" s="16">
        <v>348</v>
      </c>
      <c r="B355" s="86"/>
      <c r="F355" s="40"/>
      <c r="G355"/>
      <c r="DM355" s="56" t="str">
        <f>IF('Weekly Attendance'!AA351="Yes",'Weekly Attendance'!$D351,"")</f>
        <v/>
      </c>
      <c r="DN355" s="56"/>
      <c r="DO355" s="58"/>
      <c r="DP35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5" s="57" t="str" cm="1">
        <f t="array" ref="DQ3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6" spans="1:121">
      <c r="A356" s="16">
        <v>349</v>
      </c>
      <c r="B356" s="86"/>
      <c r="F356" s="40"/>
      <c r="G356"/>
      <c r="DM356" s="56" t="str">
        <f>IF('Weekly Attendance'!AA352="Yes",'Weekly Attendance'!$D352,"")</f>
        <v/>
      </c>
      <c r="DN356" s="56"/>
      <c r="DO356" s="58"/>
      <c r="DP35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6" s="57" t="str" cm="1">
        <f t="array" ref="DQ3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7" spans="1:121">
      <c r="A357" s="16">
        <v>350</v>
      </c>
      <c r="B357" s="86"/>
      <c r="F357" s="40"/>
      <c r="G357"/>
      <c r="DM357" s="56" t="str">
        <f>IF('Weekly Attendance'!AA354="Yes",'Weekly Attendance'!$D354,"")</f>
        <v/>
      </c>
      <c r="DN357" s="56"/>
      <c r="DO357" s="58"/>
      <c r="DP35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7" s="57" t="str" cm="1">
        <f t="array" ref="DQ3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8" spans="1:121">
      <c r="A358" s="16">
        <v>351</v>
      </c>
      <c r="B358" s="86"/>
      <c r="F358" s="40"/>
      <c r="G358"/>
      <c r="DM358" s="56" t="str">
        <f>IF('Weekly Attendance'!AA356="Yes",'Weekly Attendance'!$D356,"")</f>
        <v/>
      </c>
      <c r="DN358" s="56"/>
      <c r="DO358" s="58"/>
      <c r="DP35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8" s="57" t="str" cm="1">
        <f t="array" ref="DQ3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59" spans="1:121">
      <c r="A359" s="16">
        <v>352</v>
      </c>
      <c r="B359" s="86"/>
      <c r="F359" s="40"/>
      <c r="G359"/>
      <c r="DM359" s="56" t="str">
        <f>IF('Weekly Attendance'!AA357="Yes",'Weekly Attendance'!$D357,"")</f>
        <v/>
      </c>
      <c r="DN359" s="56"/>
      <c r="DO359" s="58"/>
      <c r="DP35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59" s="57" t="str" cm="1">
        <f t="array" ref="DQ3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0" spans="1:121">
      <c r="A360" s="16">
        <v>353</v>
      </c>
      <c r="B360" s="86"/>
      <c r="F360" s="40"/>
      <c r="G360"/>
      <c r="DM360" s="56" t="str">
        <f>IF('Weekly Attendance'!AA358="Yes",'Weekly Attendance'!$D358,"")</f>
        <v/>
      </c>
      <c r="DN360" s="56"/>
      <c r="DO360" s="58"/>
      <c r="DP36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0" s="57" t="str" cm="1">
        <f t="array" ref="DQ3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1" spans="1:121">
      <c r="A361" s="16">
        <v>354</v>
      </c>
      <c r="B361" s="86"/>
      <c r="F361" s="40"/>
      <c r="G361"/>
      <c r="DM361" s="56" t="str">
        <f>IF('Weekly Attendance'!AA359="Yes",'Weekly Attendance'!$D359,"")</f>
        <v/>
      </c>
      <c r="DN361" s="56"/>
      <c r="DO361" s="58"/>
      <c r="DP36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1" s="57" t="str" cm="1">
        <f t="array" ref="DQ3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2" spans="1:121">
      <c r="A362" s="16">
        <v>355</v>
      </c>
      <c r="B362" s="86"/>
      <c r="F362" s="40"/>
      <c r="G362"/>
      <c r="DM362" s="56" t="str">
        <f>IF('Weekly Attendance'!AA360="Yes",'Weekly Attendance'!$D360,"")</f>
        <v/>
      </c>
      <c r="DN362" s="56"/>
      <c r="DO362" s="58"/>
      <c r="DP36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2" s="57" t="str" cm="1">
        <f t="array" ref="DQ3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3" spans="1:121">
      <c r="A363" s="16">
        <v>356</v>
      </c>
      <c r="B363" s="86"/>
      <c r="F363" s="40"/>
      <c r="G363"/>
      <c r="DM363" s="56" t="str">
        <f>IF('Weekly Attendance'!AA361="Yes",'Weekly Attendance'!$D361,"")</f>
        <v/>
      </c>
      <c r="DN363" s="56"/>
      <c r="DO363" s="58"/>
      <c r="DP36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3" s="57" t="str" cm="1">
        <f t="array" ref="DQ3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4" spans="1:121">
      <c r="A364" s="16">
        <v>357</v>
      </c>
      <c r="B364" s="86"/>
      <c r="F364" s="40"/>
      <c r="G364"/>
      <c r="DM364" s="56" t="str">
        <f>IF('Weekly Attendance'!AA362="Yes",'Weekly Attendance'!$D362,"")</f>
        <v/>
      </c>
      <c r="DN364" s="56"/>
      <c r="DO364" s="58"/>
      <c r="DP36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4" s="57" t="str" cm="1">
        <f t="array" ref="DQ3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5" spans="1:121">
      <c r="A365" s="16">
        <v>358</v>
      </c>
      <c r="B365" s="86"/>
      <c r="F365" s="40"/>
      <c r="G365"/>
      <c r="DM365" s="56" t="str">
        <f>IF('Weekly Attendance'!AA363="Yes",'Weekly Attendance'!$D363,"")</f>
        <v/>
      </c>
      <c r="DN365" s="56"/>
      <c r="DO365" s="58"/>
      <c r="DP36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5" s="57" t="str" cm="1">
        <f t="array" ref="DQ3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6" spans="1:121">
      <c r="A366" s="16">
        <v>359</v>
      </c>
      <c r="B366" s="86"/>
      <c r="F366" s="40"/>
      <c r="G366"/>
      <c r="DM366" s="56" t="str">
        <f>IF('Weekly Attendance'!AA364="Yes",'Weekly Attendance'!$D364,"")</f>
        <v/>
      </c>
      <c r="DN366" s="56"/>
      <c r="DO366" s="58"/>
      <c r="DP36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6" s="57" t="str" cm="1">
        <f t="array" ref="DQ3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7" spans="1:121">
      <c r="A367" s="16">
        <v>360</v>
      </c>
      <c r="B367" s="86"/>
      <c r="F367" s="40"/>
      <c r="G367"/>
      <c r="DM367" s="56" t="str">
        <f>IF('Weekly Attendance'!AA365="Yes",'Weekly Attendance'!$D365,"")</f>
        <v/>
      </c>
      <c r="DN367" s="56"/>
      <c r="DO367" s="58"/>
      <c r="DP36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7" s="57" t="str" cm="1">
        <f t="array" ref="DQ3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8" spans="1:121">
      <c r="A368" s="16">
        <v>361</v>
      </c>
      <c r="B368" s="86"/>
      <c r="F368" s="40"/>
      <c r="G368"/>
      <c r="DM368" s="56" t="str">
        <f>IF('Weekly Attendance'!AA366="Yes",'Weekly Attendance'!$D366,"")</f>
        <v/>
      </c>
      <c r="DN368" s="56"/>
      <c r="DO368" s="58"/>
      <c r="DP36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8" s="57" t="str" cm="1">
        <f t="array" ref="DQ3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69" spans="1:121">
      <c r="A369" s="16">
        <v>362</v>
      </c>
      <c r="B369" s="86"/>
      <c r="F369" s="40"/>
      <c r="G369"/>
      <c r="DM369" s="56" t="str">
        <f>IF('Weekly Attendance'!AA367="Yes",'Weekly Attendance'!$D367,"")</f>
        <v/>
      </c>
      <c r="DN369" s="56"/>
      <c r="DO369" s="58"/>
      <c r="DP36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69" s="57" t="str" cm="1">
        <f t="array" ref="DQ3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0" spans="1:121">
      <c r="A370" s="16">
        <v>363</v>
      </c>
      <c r="B370" s="86"/>
      <c r="F370" s="40"/>
      <c r="G370"/>
      <c r="DM370" s="56" t="str">
        <f>IF('Weekly Attendance'!AA368="Yes",'Weekly Attendance'!$D368,"")</f>
        <v/>
      </c>
      <c r="DN370" s="56"/>
      <c r="DO370" s="58"/>
      <c r="DP37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0" s="57" t="str" cm="1">
        <f t="array" ref="DQ3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1" spans="1:121">
      <c r="A371" s="16">
        <v>364</v>
      </c>
      <c r="B371" s="86"/>
      <c r="F371" s="40"/>
      <c r="G371"/>
      <c r="DM371" s="56" t="str">
        <f>IF('Weekly Attendance'!AA369="Yes",'Weekly Attendance'!$D369,"")</f>
        <v/>
      </c>
      <c r="DN371" s="56"/>
      <c r="DO371" s="58"/>
      <c r="DP37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1" s="57" t="str" cm="1">
        <f t="array" ref="DQ3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2" spans="1:121">
      <c r="A372" s="16">
        <v>365</v>
      </c>
      <c r="B372" s="86"/>
      <c r="F372" s="40"/>
      <c r="G372"/>
      <c r="DM372" s="56" t="str">
        <f>IF('Weekly Attendance'!AA370="Yes",'Weekly Attendance'!$D370,"")</f>
        <v/>
      </c>
      <c r="DN372" s="56"/>
      <c r="DO372" s="58"/>
      <c r="DP37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2" s="57" t="str" cm="1">
        <f t="array" ref="DQ3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3" spans="1:121">
      <c r="A373" s="16">
        <v>366</v>
      </c>
      <c r="B373" s="86"/>
      <c r="F373" s="40"/>
      <c r="G373"/>
      <c r="DM373" s="56" t="str">
        <f>IF('Weekly Attendance'!AA371="Yes",'Weekly Attendance'!$D371,"")</f>
        <v/>
      </c>
      <c r="DN373" s="56"/>
      <c r="DO373" s="58"/>
      <c r="DP37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3" s="57" t="str" cm="1">
        <f t="array" ref="DQ3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4" spans="1:121">
      <c r="A374" s="16">
        <v>367</v>
      </c>
      <c r="B374" s="86"/>
      <c r="F374" s="40"/>
      <c r="G374"/>
      <c r="DM374" s="56" t="str">
        <f>IF('Weekly Attendance'!AA372="Yes",'Weekly Attendance'!$D372,"")</f>
        <v/>
      </c>
      <c r="DN374" s="56"/>
      <c r="DO374" s="58"/>
      <c r="DP37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4" s="57" t="str" cm="1">
        <f t="array" ref="DQ3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5" spans="1:121">
      <c r="A375" s="16">
        <v>368</v>
      </c>
      <c r="B375" s="86"/>
      <c r="F375" s="40"/>
      <c r="G375"/>
      <c r="DM375" s="56" t="str">
        <f>IF('Weekly Attendance'!AA373="Yes",'Weekly Attendance'!$D373,"")</f>
        <v/>
      </c>
      <c r="DN375" s="56"/>
      <c r="DO375" s="58"/>
      <c r="DP37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5" s="57" t="str" cm="1">
        <f t="array" ref="DQ3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6" spans="1:121">
      <c r="A376" s="16">
        <v>369</v>
      </c>
      <c r="B376" s="86"/>
      <c r="F376" s="40"/>
      <c r="G376"/>
      <c r="DM376" s="56" t="str">
        <f>IF('Weekly Attendance'!AA374="Yes",'Weekly Attendance'!$D374,"")</f>
        <v/>
      </c>
      <c r="DN376" s="56"/>
      <c r="DO376" s="58"/>
      <c r="DP37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6" s="57" t="str" cm="1">
        <f t="array" ref="DQ3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7" spans="1:121">
      <c r="A377" s="16">
        <v>370</v>
      </c>
      <c r="B377" s="86"/>
      <c r="F377" s="40"/>
      <c r="G377"/>
      <c r="DM377" s="56" t="str">
        <f>IF('Weekly Attendance'!AA375="Yes",'Weekly Attendance'!$D375,"")</f>
        <v/>
      </c>
      <c r="DN377" s="56"/>
      <c r="DO377" s="58"/>
      <c r="DP37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7" s="57" t="str" cm="1">
        <f t="array" ref="DQ3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8" spans="1:121">
      <c r="A378" s="16">
        <v>371</v>
      </c>
      <c r="B378" s="86"/>
      <c r="F378" s="40"/>
      <c r="G378"/>
      <c r="DM378" s="56" t="str">
        <f>IF('Weekly Attendance'!AA376="Yes",'Weekly Attendance'!$D376,"")</f>
        <v/>
      </c>
      <c r="DN378" s="56"/>
      <c r="DO378" s="58"/>
      <c r="DP37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8" s="57" t="str" cm="1">
        <f t="array" ref="DQ3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79" spans="1:121">
      <c r="A379" s="16">
        <v>372</v>
      </c>
      <c r="B379" s="86"/>
      <c r="F379" s="40"/>
      <c r="G379"/>
      <c r="DM379" s="56" t="str">
        <f>IF('Weekly Attendance'!AA377="Yes",'Weekly Attendance'!$D377,"")</f>
        <v/>
      </c>
      <c r="DN379" s="56"/>
      <c r="DO379" s="58"/>
      <c r="DP37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79" s="57" t="str" cm="1">
        <f t="array" ref="DQ3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0" spans="1:121">
      <c r="A380" s="16">
        <v>373</v>
      </c>
      <c r="B380" s="86"/>
      <c r="F380" s="40"/>
      <c r="G380"/>
      <c r="DM380" s="56" t="str">
        <f>IF('Weekly Attendance'!AA378="Yes",'Weekly Attendance'!$D378,"")</f>
        <v/>
      </c>
      <c r="DN380" s="56"/>
      <c r="DO380" s="58"/>
      <c r="DP38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0" s="57" t="str" cm="1">
        <f t="array" ref="DQ3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1" spans="1:121">
      <c r="A381" s="16">
        <v>374</v>
      </c>
      <c r="B381" s="86"/>
      <c r="F381" s="40"/>
      <c r="G381"/>
      <c r="DM381" s="56" t="str">
        <f>IF('Weekly Attendance'!AA379="Yes",'Weekly Attendance'!$D379,"")</f>
        <v/>
      </c>
      <c r="DN381" s="56"/>
      <c r="DO381" s="58"/>
      <c r="DP38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1" s="57" t="str" cm="1">
        <f t="array" ref="DQ3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2" spans="1:121">
      <c r="A382" s="16">
        <v>375</v>
      </c>
      <c r="B382" s="86"/>
      <c r="F382" s="40"/>
      <c r="G382"/>
      <c r="DM382" s="56" t="str">
        <f>IF('Weekly Attendance'!AA380="Yes",'Weekly Attendance'!$D380,"")</f>
        <v/>
      </c>
      <c r="DN382" s="56"/>
      <c r="DO382" s="58"/>
      <c r="DP38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2" s="57" t="str" cm="1">
        <f t="array" ref="DQ3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3" spans="1:121">
      <c r="A383" s="16">
        <v>376</v>
      </c>
      <c r="B383" s="86"/>
      <c r="F383" s="40"/>
      <c r="G383"/>
      <c r="DM383" s="56" t="str">
        <f>IF('Weekly Attendance'!AA381="Yes",'Weekly Attendance'!$D381,"")</f>
        <v/>
      </c>
      <c r="DN383" s="56"/>
      <c r="DO383" s="58"/>
      <c r="DP38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3" s="57" t="str" cm="1">
        <f t="array" ref="DQ3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4" spans="1:121">
      <c r="A384" s="16">
        <v>377</v>
      </c>
      <c r="B384" s="86"/>
      <c r="F384" s="40"/>
      <c r="G384"/>
      <c r="DM384" s="56" t="str">
        <f>IF('Weekly Attendance'!AA382="Yes",'Weekly Attendance'!$D382,"")</f>
        <v/>
      </c>
      <c r="DN384" s="56"/>
      <c r="DO384" s="58"/>
      <c r="DP38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4" s="57" t="str" cm="1">
        <f t="array" ref="DQ3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5" spans="1:121">
      <c r="A385" s="16">
        <v>378</v>
      </c>
      <c r="B385" s="86"/>
      <c r="F385" s="40"/>
      <c r="G385"/>
      <c r="DM385" s="56" t="str">
        <f>IF('Weekly Attendance'!AA383="Yes",'Weekly Attendance'!$D383,"")</f>
        <v/>
      </c>
      <c r="DN385" s="56"/>
      <c r="DO385" s="58"/>
      <c r="DP38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5" s="57" t="str" cm="1">
        <f t="array" ref="DQ3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6" spans="1:121">
      <c r="A386" s="16">
        <v>379</v>
      </c>
      <c r="B386" s="86"/>
      <c r="F386" s="40"/>
      <c r="G386"/>
      <c r="DM386" s="56" t="str">
        <f>IF('Weekly Attendance'!AA384="Yes",'Weekly Attendance'!$D384,"")</f>
        <v/>
      </c>
      <c r="DN386" s="56"/>
      <c r="DO386" s="58"/>
      <c r="DP38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6" s="57" t="str" cm="1">
        <f t="array" ref="DQ3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7" spans="1:121">
      <c r="A387" s="16">
        <v>380</v>
      </c>
      <c r="B387" s="86"/>
      <c r="F387" s="40"/>
      <c r="G387"/>
      <c r="DM387" s="56" t="str">
        <f>IF('Weekly Attendance'!AA385="Yes",'Weekly Attendance'!$D385,"")</f>
        <v/>
      </c>
      <c r="DN387" s="56"/>
      <c r="DO387" s="58"/>
      <c r="DP38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7" s="57" t="str" cm="1">
        <f t="array" ref="DQ3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8" spans="1:121">
      <c r="A388" s="16">
        <v>381</v>
      </c>
      <c r="B388" s="86"/>
      <c r="F388" s="40"/>
      <c r="G388"/>
      <c r="DM388" s="56" t="str">
        <f>IF('Weekly Attendance'!AA386="Yes",'Weekly Attendance'!$D386,"")</f>
        <v/>
      </c>
      <c r="DN388" s="56"/>
      <c r="DO388" s="58"/>
      <c r="DP38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8" s="57" t="str" cm="1">
        <f t="array" ref="DQ3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89" spans="1:121">
      <c r="A389" s="16">
        <v>382</v>
      </c>
      <c r="B389" s="86"/>
      <c r="F389" s="40"/>
      <c r="G389"/>
      <c r="DM389" s="56" t="str">
        <f>IF('Weekly Attendance'!AA387="Yes",'Weekly Attendance'!$D387,"")</f>
        <v/>
      </c>
      <c r="DN389" s="56"/>
      <c r="DO389" s="58"/>
      <c r="DP38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89" s="57" t="str" cm="1">
        <f t="array" ref="DQ3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0" spans="1:121">
      <c r="A390" s="16">
        <v>383</v>
      </c>
      <c r="B390" s="86"/>
      <c r="F390" s="40"/>
      <c r="G390"/>
      <c r="DM390" s="56" t="str">
        <f>IF('Weekly Attendance'!AA388="Yes",'Weekly Attendance'!$D388,"")</f>
        <v/>
      </c>
      <c r="DN390" s="56"/>
      <c r="DO390" s="58"/>
      <c r="DP39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0" s="57" t="str" cm="1">
        <f t="array" ref="DQ39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1" spans="1:121">
      <c r="A391" s="16">
        <v>384</v>
      </c>
      <c r="B391" s="86"/>
      <c r="F391" s="40"/>
      <c r="G391"/>
      <c r="DM391" s="56" t="str">
        <f>IF('Weekly Attendance'!AA389="Yes",'Weekly Attendance'!$D389,"")</f>
        <v/>
      </c>
      <c r="DN391" s="56"/>
      <c r="DO391" s="58"/>
      <c r="DP39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1" s="57" t="str" cm="1">
        <f t="array" ref="DQ39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2" spans="1:121">
      <c r="A392" s="16">
        <v>385</v>
      </c>
      <c r="B392" s="86"/>
      <c r="F392" s="40"/>
      <c r="G392"/>
      <c r="DM392" s="56" t="str">
        <f>IF('Weekly Attendance'!AA390="Yes",'Weekly Attendance'!$D390,"")</f>
        <v/>
      </c>
      <c r="DN392" s="56"/>
      <c r="DO392" s="58"/>
      <c r="DP39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2" s="57" t="str" cm="1">
        <f t="array" ref="DQ39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3" spans="1:121">
      <c r="A393" s="16">
        <v>386</v>
      </c>
      <c r="B393" s="86"/>
      <c r="F393" s="40"/>
      <c r="G393"/>
      <c r="DM393" s="56" t="str">
        <f>IF('Weekly Attendance'!AA391="Yes",'Weekly Attendance'!$D391,"")</f>
        <v/>
      </c>
      <c r="DN393" s="56"/>
      <c r="DO393" s="58"/>
      <c r="DP39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3" s="57" t="str" cm="1">
        <f t="array" ref="DQ39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4" spans="1:121">
      <c r="A394" s="16">
        <v>387</v>
      </c>
      <c r="B394" s="86"/>
      <c r="F394" s="40"/>
      <c r="G394"/>
      <c r="DM394" s="56" t="str">
        <f>IF('Weekly Attendance'!AA392="Yes",'Weekly Attendance'!$D392,"")</f>
        <v/>
      </c>
      <c r="DN394" s="56"/>
      <c r="DO394" s="58"/>
      <c r="DP39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4" s="57" t="str" cm="1">
        <f t="array" ref="DQ39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5" spans="1:121">
      <c r="A395" s="16">
        <v>388</v>
      </c>
      <c r="B395" s="86"/>
      <c r="F395" s="40"/>
      <c r="G395"/>
      <c r="DM395" s="56" t="str">
        <f>IF('Weekly Attendance'!AA393="Yes",'Weekly Attendance'!$D393,"")</f>
        <v/>
      </c>
      <c r="DN395" s="56"/>
      <c r="DO395" s="58"/>
      <c r="DP39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5" s="57" t="str" cm="1">
        <f t="array" ref="DQ39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6" spans="1:121">
      <c r="A396" s="16">
        <v>389</v>
      </c>
      <c r="B396" s="86"/>
      <c r="F396" s="40"/>
      <c r="G396"/>
      <c r="DM396" s="56" t="str">
        <f>IF('Weekly Attendance'!AA394="Yes",'Weekly Attendance'!$D394,"")</f>
        <v/>
      </c>
      <c r="DN396" s="56"/>
      <c r="DO396" s="58"/>
      <c r="DP39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6" s="57" t="str" cm="1">
        <f t="array" ref="DQ39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7" spans="1:121">
      <c r="A397" s="16">
        <v>390</v>
      </c>
      <c r="B397" s="86"/>
      <c r="F397" s="40"/>
      <c r="G397"/>
      <c r="DM397" s="56" t="str">
        <f>IF('Weekly Attendance'!AA395="Yes",'Weekly Attendance'!$D395,"")</f>
        <v/>
      </c>
      <c r="DN397" s="56"/>
      <c r="DO397" s="58"/>
      <c r="DP39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7" s="57" t="str" cm="1">
        <f t="array" ref="DQ39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8" spans="1:121">
      <c r="A398" s="16">
        <v>391</v>
      </c>
      <c r="B398" s="86"/>
      <c r="F398" s="40"/>
      <c r="G398"/>
      <c r="DM398" s="56" t="str">
        <f>IF('Weekly Attendance'!AA396="Yes",'Weekly Attendance'!$D396,"")</f>
        <v/>
      </c>
      <c r="DN398" s="56"/>
      <c r="DO398" s="58"/>
      <c r="DP39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8" s="57" t="str" cm="1">
        <f t="array" ref="DQ39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399" spans="1:121">
      <c r="A399" s="16">
        <v>392</v>
      </c>
      <c r="B399" s="86"/>
      <c r="F399" s="40"/>
      <c r="G399"/>
      <c r="DM399" s="56" t="str">
        <f>IF('Weekly Attendance'!AA397="Yes",'Weekly Attendance'!$D397,"")</f>
        <v/>
      </c>
      <c r="DN399" s="56"/>
      <c r="DO399" s="58"/>
      <c r="DP39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399" s="57" t="str" cm="1">
        <f t="array" ref="DQ39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0" spans="1:121">
      <c r="A400" s="16">
        <v>393</v>
      </c>
      <c r="B400" s="86"/>
      <c r="F400" s="40"/>
      <c r="G400"/>
      <c r="DM400" s="56" t="str">
        <f>IF('Weekly Attendance'!AA398="Yes",'Weekly Attendance'!$D398,"")</f>
        <v/>
      </c>
      <c r="DN400" s="56"/>
      <c r="DO400" s="58"/>
      <c r="DP40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0" s="57" t="str" cm="1">
        <f t="array" ref="DQ40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1" spans="1:121">
      <c r="A401" s="16">
        <v>394</v>
      </c>
      <c r="B401" s="86"/>
      <c r="F401" s="40"/>
      <c r="G401"/>
      <c r="DM401" s="56" t="str">
        <f>IF('Weekly Attendance'!AA399="Yes",'Weekly Attendance'!$D399,"")</f>
        <v/>
      </c>
      <c r="DN401" s="56"/>
      <c r="DO401" s="58"/>
      <c r="DP40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1" s="57" t="str" cm="1">
        <f t="array" ref="DQ40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2" spans="1:121">
      <c r="A402" s="16">
        <v>395</v>
      </c>
      <c r="B402" s="86"/>
      <c r="DM402" s="56" t="str">
        <f>IF('Weekly Attendance'!AA400="Yes",'Weekly Attendance'!$D400,"")</f>
        <v/>
      </c>
      <c r="DN402" s="56"/>
      <c r="DO402" s="58"/>
      <c r="DP40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2" s="57" t="str" cm="1">
        <f t="array" ref="DQ40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3" spans="1:121">
      <c r="A403" s="16">
        <v>396</v>
      </c>
      <c r="B403" s="86"/>
      <c r="DM403" s="56" t="str">
        <f>IF('Weekly Attendance'!AA401="Yes",'Weekly Attendance'!$D401,"")</f>
        <v/>
      </c>
      <c r="DN403" s="56"/>
      <c r="DO403" s="58"/>
      <c r="DP40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3" s="57" t="str" cm="1">
        <f t="array" ref="DQ40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4" spans="1:121">
      <c r="A404" s="16">
        <v>397</v>
      </c>
      <c r="B404" s="86"/>
      <c r="DM404" s="56" t="str">
        <f>IF('Weekly Attendance'!AA402="Yes",'Weekly Attendance'!$D402,"")</f>
        <v/>
      </c>
      <c r="DN404" s="56"/>
      <c r="DO404" s="58"/>
      <c r="DP40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4" s="57" t="str" cm="1">
        <f t="array" ref="DQ40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5" spans="1:121">
      <c r="A405" s="16">
        <v>398</v>
      </c>
      <c r="B405" s="86"/>
      <c r="DM405" s="56" t="str">
        <f>IF('Weekly Attendance'!AA403="Yes",'Weekly Attendance'!$D403,"")</f>
        <v/>
      </c>
      <c r="DN405" s="56"/>
      <c r="DO405" s="58"/>
      <c r="DP40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5" s="57" t="str" cm="1">
        <f t="array" ref="DQ40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6" spans="1:121">
      <c r="A406" s="16">
        <v>399</v>
      </c>
      <c r="B406" s="86"/>
      <c r="DM406" s="56" t="str">
        <f>IF('Weekly Attendance'!AA404="Yes",'Weekly Attendance'!$D404,"")</f>
        <v/>
      </c>
      <c r="DN406" s="56"/>
      <c r="DO406" s="58"/>
      <c r="DP40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6" s="57" t="str" cm="1">
        <f t="array" ref="DQ40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7" spans="1:121">
      <c r="A407" s="16">
        <v>400</v>
      </c>
      <c r="B407" s="86"/>
      <c r="DM407" s="56" t="str">
        <f>IF('Weekly Attendance'!AA405="Yes",'Weekly Attendance'!$D405,"")</f>
        <v/>
      </c>
      <c r="DN407" s="56"/>
      <c r="DO407" s="58"/>
      <c r="DP40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7" s="57" t="str" cm="1">
        <f t="array" ref="DQ40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8" spans="1:121">
      <c r="A408" s="16">
        <v>401</v>
      </c>
      <c r="B408" s="86"/>
      <c r="DM408" s="56" t="str">
        <f>IF('Weekly Attendance'!AA406="Yes",'Weekly Attendance'!$D406,"")</f>
        <v/>
      </c>
      <c r="DN408" s="56"/>
      <c r="DO408" s="58"/>
      <c r="DP40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8" s="57" t="str" cm="1">
        <f t="array" ref="DQ40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09" spans="1:121">
      <c r="A409" s="16">
        <v>402</v>
      </c>
      <c r="B409" s="86"/>
      <c r="DM409" s="56" t="str">
        <f>IF('Weekly Attendance'!AA407="Yes",'Weekly Attendance'!$D407,"")</f>
        <v/>
      </c>
      <c r="DN409" s="56"/>
      <c r="DO409" s="58"/>
      <c r="DP40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09" s="57" t="str" cm="1">
        <f t="array" ref="DQ40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0" spans="1:121">
      <c r="A410" s="16">
        <v>403</v>
      </c>
      <c r="B410" s="86"/>
      <c r="DM410" s="56" t="str">
        <f>IF('Weekly Attendance'!AA408="Yes",'Weekly Attendance'!$D408,"")</f>
        <v/>
      </c>
      <c r="DN410" s="56"/>
      <c r="DO410" s="58"/>
      <c r="DP41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0" s="57" t="str" cm="1">
        <f t="array" ref="DQ41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1" spans="1:121">
      <c r="A411" s="16">
        <v>404</v>
      </c>
      <c r="B411" s="86"/>
      <c r="DM411" s="56" t="str">
        <f>IF('Weekly Attendance'!AA409="Yes",'Weekly Attendance'!$D409,"")</f>
        <v/>
      </c>
      <c r="DN411" s="56"/>
      <c r="DO411" s="58"/>
      <c r="DP41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1" s="57" t="str" cm="1">
        <f t="array" ref="DQ41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2" spans="1:121">
      <c r="A412" s="16">
        <v>405</v>
      </c>
      <c r="B412" s="86"/>
      <c r="DM412" s="56" t="str">
        <f>IF('Weekly Attendance'!AA410="Yes",'Weekly Attendance'!$D410,"")</f>
        <v/>
      </c>
      <c r="DN412" s="56"/>
      <c r="DO412" s="58"/>
      <c r="DP41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2" s="57" t="str" cm="1">
        <f t="array" ref="DQ41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3" spans="1:121">
      <c r="A413" s="16">
        <v>406</v>
      </c>
      <c r="B413" s="86"/>
      <c r="DM413" s="56" t="str">
        <f>IF('Weekly Attendance'!AA411="Yes",'Weekly Attendance'!$D411,"")</f>
        <v/>
      </c>
      <c r="DN413" s="56"/>
      <c r="DO413" s="58"/>
      <c r="DP41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3" s="57" t="str" cm="1">
        <f t="array" ref="DQ41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4" spans="1:121">
      <c r="A414" s="16">
        <v>407</v>
      </c>
      <c r="B414" s="86"/>
      <c r="DM414" s="56" t="str">
        <f>IF('Weekly Attendance'!AA412="Yes",'Weekly Attendance'!$D412,"")</f>
        <v/>
      </c>
      <c r="DN414" s="56"/>
      <c r="DO414" s="58"/>
      <c r="DP41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4" s="57" t="str" cm="1">
        <f t="array" ref="DQ41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5" spans="1:121">
      <c r="A415" s="16">
        <v>408</v>
      </c>
      <c r="B415" s="86"/>
      <c r="DM415" s="56" t="str">
        <f>IF('Weekly Attendance'!AA413="Yes",'Weekly Attendance'!$D413,"")</f>
        <v/>
      </c>
      <c r="DN415" s="56"/>
      <c r="DO415" s="58"/>
      <c r="DP41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5" s="57" t="str" cm="1">
        <f t="array" ref="DQ41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6" spans="1:121">
      <c r="A416" s="16">
        <v>409</v>
      </c>
      <c r="B416" s="86"/>
      <c r="DM416" s="56" t="str">
        <f>IF('Weekly Attendance'!AA414="Yes",'Weekly Attendance'!$D414,"")</f>
        <v/>
      </c>
      <c r="DN416" s="56"/>
      <c r="DO416" s="58"/>
      <c r="DP41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6" s="57" t="str" cm="1">
        <f t="array" ref="DQ41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7" spans="1:121">
      <c r="A417" s="16">
        <v>410</v>
      </c>
      <c r="B417" s="86"/>
      <c r="DM417" s="56" t="str">
        <f>IF('Weekly Attendance'!AA415="Yes",'Weekly Attendance'!$D415,"")</f>
        <v/>
      </c>
      <c r="DN417" s="56"/>
      <c r="DO417" s="58"/>
      <c r="DP41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7" s="57" t="str" cm="1">
        <f t="array" ref="DQ41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8" spans="1:121">
      <c r="A418" s="16">
        <v>411</v>
      </c>
      <c r="B418" s="86"/>
      <c r="DM418" s="56" t="str">
        <f>IF('Weekly Attendance'!AA416="Yes",'Weekly Attendance'!$D416,"")</f>
        <v/>
      </c>
      <c r="DN418" s="56"/>
      <c r="DO418" s="58"/>
      <c r="DP41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8" s="57" t="str" cm="1">
        <f t="array" ref="DQ41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19" spans="1:121">
      <c r="A419" s="16">
        <v>412</v>
      </c>
      <c r="B419" s="86"/>
      <c r="DM419" s="56" t="str">
        <f>IF('Weekly Attendance'!AA417="Yes",'Weekly Attendance'!$D417,"")</f>
        <v/>
      </c>
      <c r="DN419" s="56"/>
      <c r="DO419" s="58"/>
      <c r="DP41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19" s="57" t="str" cm="1">
        <f t="array" ref="DQ41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0" spans="1:121">
      <c r="A420" s="16">
        <v>413</v>
      </c>
      <c r="B420" s="86"/>
      <c r="DM420" s="56" t="str">
        <f>IF('Weekly Attendance'!AA418="Yes",'Weekly Attendance'!$D418,"")</f>
        <v/>
      </c>
      <c r="DN420" s="56"/>
      <c r="DO420" s="58"/>
      <c r="DP42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0" s="57" t="str" cm="1">
        <f t="array" ref="DQ42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1" spans="1:121">
      <c r="A421" s="16">
        <v>414</v>
      </c>
      <c r="B421" s="86"/>
      <c r="DM421" s="56" t="str">
        <f>IF('Weekly Attendance'!AA419="Yes",'Weekly Attendance'!$D419,"")</f>
        <v/>
      </c>
      <c r="DN421" s="56"/>
      <c r="DO421" s="58"/>
      <c r="DP42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1" s="57" t="str" cm="1">
        <f t="array" ref="DQ42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2" spans="1:121">
      <c r="A422" s="16">
        <v>415</v>
      </c>
      <c r="B422" s="86"/>
      <c r="DM422" s="56" t="str">
        <f>IF('Weekly Attendance'!AA420="Yes",'Weekly Attendance'!$D420,"")</f>
        <v/>
      </c>
      <c r="DN422" s="56"/>
      <c r="DO422" s="58"/>
      <c r="DP42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2" s="57" t="str" cm="1">
        <f t="array" ref="DQ42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3" spans="1:121">
      <c r="A423" s="16">
        <v>416</v>
      </c>
      <c r="B423" s="86"/>
      <c r="DM423" s="56" t="str">
        <f>IF('Weekly Attendance'!AA421="Yes",'Weekly Attendance'!$D421,"")</f>
        <v/>
      </c>
      <c r="DN423" s="56"/>
      <c r="DO423" s="58"/>
      <c r="DP42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3" s="57" t="str" cm="1">
        <f t="array" ref="DQ42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4" spans="1:121">
      <c r="A424" s="16">
        <v>417</v>
      </c>
      <c r="B424" s="86"/>
      <c r="DM424" s="56" t="str">
        <f>IF('Weekly Attendance'!AA422="Yes",'Weekly Attendance'!$D422,"")</f>
        <v/>
      </c>
      <c r="DN424" s="56"/>
      <c r="DO424" s="58"/>
      <c r="DP42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4" s="57" t="str" cm="1">
        <f t="array" ref="DQ42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5" spans="1:121">
      <c r="A425" s="16">
        <v>418</v>
      </c>
      <c r="B425" s="86"/>
      <c r="DM425" s="56" t="str">
        <f>IF('Weekly Attendance'!AA423="Yes",'Weekly Attendance'!$D423,"")</f>
        <v/>
      </c>
      <c r="DN425" s="56"/>
      <c r="DO425" s="58"/>
      <c r="DP42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5" s="57" t="str" cm="1">
        <f t="array" ref="DQ42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6" spans="1:121">
      <c r="A426" s="16">
        <v>419</v>
      </c>
      <c r="B426" s="86"/>
      <c r="DM426" s="56" t="str">
        <f>IF('Weekly Attendance'!AA424="Yes",'Weekly Attendance'!$D424,"")</f>
        <v/>
      </c>
      <c r="DN426" s="56"/>
      <c r="DO426" s="58"/>
      <c r="DP42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6" s="57" t="str" cm="1">
        <f t="array" ref="DQ42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7" spans="1:121">
      <c r="A427" s="16">
        <v>420</v>
      </c>
      <c r="B427" s="86"/>
      <c r="DM427" s="56" t="str">
        <f>IF('Weekly Attendance'!AA425="Yes",'Weekly Attendance'!$D425,"")</f>
        <v/>
      </c>
      <c r="DN427" s="56"/>
      <c r="DO427" s="58"/>
      <c r="DP42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7" s="57" t="str" cm="1">
        <f t="array" ref="DQ42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8" spans="1:121">
      <c r="A428" s="16">
        <v>421</v>
      </c>
      <c r="B428" s="86"/>
      <c r="DM428" s="56" t="str">
        <f>IF('Weekly Attendance'!AA426="Yes",'Weekly Attendance'!$D426,"")</f>
        <v/>
      </c>
      <c r="DN428" s="56"/>
      <c r="DO428" s="58"/>
      <c r="DP42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8" s="57" t="str" cm="1">
        <f t="array" ref="DQ42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29" spans="1:121">
      <c r="A429" s="16">
        <v>422</v>
      </c>
      <c r="B429" s="86"/>
      <c r="DM429" s="56" t="str">
        <f>IF('Weekly Attendance'!AA427="Yes",'Weekly Attendance'!$D427,"")</f>
        <v/>
      </c>
      <c r="DN429" s="56"/>
      <c r="DO429" s="58"/>
      <c r="DP42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29" s="57" t="str" cm="1">
        <f t="array" ref="DQ42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0" spans="1:121">
      <c r="A430" s="16">
        <v>423</v>
      </c>
      <c r="B430" s="86"/>
      <c r="DM430" s="56" t="str">
        <f>IF('Weekly Attendance'!AA428="Yes",'Weekly Attendance'!$D428,"")</f>
        <v/>
      </c>
      <c r="DN430" s="56"/>
      <c r="DO430" s="58"/>
      <c r="DP43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0" s="57" t="str" cm="1">
        <f t="array" ref="DQ43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1" spans="1:121">
      <c r="A431" s="16">
        <v>424</v>
      </c>
      <c r="B431" s="86"/>
      <c r="DM431" s="56" t="str">
        <f>IF('Weekly Attendance'!AA429="Yes",'Weekly Attendance'!$D429,"")</f>
        <v/>
      </c>
      <c r="DN431" s="56"/>
      <c r="DO431" s="58"/>
      <c r="DP43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1" s="57" t="str" cm="1">
        <f t="array" ref="DQ43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2" spans="1:121">
      <c r="A432" s="16">
        <v>425</v>
      </c>
      <c r="B432" s="86"/>
      <c r="DM432" s="56" t="str">
        <f>IF('Weekly Attendance'!AA430="Yes",'Weekly Attendance'!$D430,"")</f>
        <v/>
      </c>
      <c r="DN432" s="56"/>
      <c r="DO432" s="58"/>
      <c r="DP43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2" s="57" t="str" cm="1">
        <f t="array" ref="DQ43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3" spans="1:121">
      <c r="A433" s="16">
        <v>426</v>
      </c>
      <c r="B433" s="86"/>
      <c r="DM433" s="56" t="str">
        <f>IF('Weekly Attendance'!AA431="Yes",'Weekly Attendance'!$D431,"")</f>
        <v/>
      </c>
      <c r="DN433" s="56"/>
      <c r="DO433" s="58"/>
      <c r="DP43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3" s="57" t="str" cm="1">
        <f t="array" ref="DQ43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4" spans="1:121">
      <c r="A434" s="16">
        <v>427</v>
      </c>
      <c r="B434" s="86"/>
      <c r="DM434" s="56" t="str">
        <f>IF('Weekly Attendance'!AA432="Yes",'Weekly Attendance'!$D432,"")</f>
        <v/>
      </c>
      <c r="DN434" s="56"/>
      <c r="DO434" s="58"/>
      <c r="DP43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4" s="57" t="str" cm="1">
        <f t="array" ref="DQ43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5" spans="1:121">
      <c r="A435" s="16">
        <v>428</v>
      </c>
      <c r="B435" s="86"/>
      <c r="DM435" s="56" t="str">
        <f>IF('Weekly Attendance'!AA433="Yes",'Weekly Attendance'!$D433,"")</f>
        <v/>
      </c>
      <c r="DN435" s="56"/>
      <c r="DO435" s="58"/>
      <c r="DP43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5" s="57" t="str" cm="1">
        <f t="array" ref="DQ43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6" spans="1:121">
      <c r="A436" s="16">
        <v>429</v>
      </c>
      <c r="B436" s="86"/>
      <c r="DM436" s="56" t="str">
        <f>IF('Weekly Attendance'!AA434="Yes",'Weekly Attendance'!$D434,"")</f>
        <v/>
      </c>
      <c r="DN436" s="56"/>
      <c r="DO436" s="58"/>
      <c r="DP43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6" s="57" t="str" cm="1">
        <f t="array" ref="DQ43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7" spans="1:121">
      <c r="A437" s="16">
        <v>430</v>
      </c>
      <c r="B437" s="86"/>
      <c r="DM437" s="56" t="str">
        <f>IF('Weekly Attendance'!AA435="Yes",'Weekly Attendance'!$D435,"")</f>
        <v/>
      </c>
      <c r="DN437" s="56"/>
      <c r="DO437" s="58"/>
      <c r="DP43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7" s="57" t="str" cm="1">
        <f t="array" ref="DQ43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8" spans="1:121">
      <c r="A438" s="16">
        <v>431</v>
      </c>
      <c r="B438" s="86"/>
      <c r="DM438" s="56" t="str">
        <f>IF('Weekly Attendance'!AA436="Yes",'Weekly Attendance'!$D436,"")</f>
        <v/>
      </c>
      <c r="DN438" s="56"/>
      <c r="DO438" s="58"/>
      <c r="DP43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8" s="57" t="str" cm="1">
        <f t="array" ref="DQ43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39" spans="1:121">
      <c r="A439" s="16">
        <v>432</v>
      </c>
      <c r="B439" s="86"/>
      <c r="DM439" s="56" t="str">
        <f>IF('Weekly Attendance'!AA437="Yes",'Weekly Attendance'!$D437,"")</f>
        <v/>
      </c>
      <c r="DN439" s="56"/>
      <c r="DO439" s="58"/>
      <c r="DP43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39" s="57" t="str" cm="1">
        <f t="array" ref="DQ43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0" spans="1:121">
      <c r="A440" s="16">
        <v>433</v>
      </c>
      <c r="B440" s="86"/>
      <c r="DM440" s="56" t="str">
        <f>IF('Weekly Attendance'!AA438="Yes",'Weekly Attendance'!$D438,"")</f>
        <v/>
      </c>
      <c r="DN440" s="56"/>
      <c r="DO440" s="58"/>
      <c r="DP44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0" s="57" t="str" cm="1">
        <f t="array" ref="DQ44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1" spans="1:121">
      <c r="A441" s="16">
        <v>434</v>
      </c>
      <c r="B441" s="86"/>
      <c r="DM441" s="56" t="str">
        <f>IF('Weekly Attendance'!AA439="Yes",'Weekly Attendance'!$D439,"")</f>
        <v/>
      </c>
      <c r="DN441" s="56"/>
      <c r="DO441" s="58"/>
      <c r="DP44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1" s="57" t="str" cm="1">
        <f t="array" ref="DQ44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2" spans="1:121">
      <c r="A442" s="16">
        <v>435</v>
      </c>
      <c r="B442" s="86"/>
      <c r="DM442" s="56" t="str">
        <f>IF('Weekly Attendance'!AA440="Yes",'Weekly Attendance'!$D440,"")</f>
        <v/>
      </c>
      <c r="DN442" s="56"/>
      <c r="DO442" s="58"/>
      <c r="DP44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2" s="57" t="str" cm="1">
        <f t="array" ref="DQ44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3" spans="1:121">
      <c r="A443" s="16">
        <v>436</v>
      </c>
      <c r="B443" s="86"/>
      <c r="DM443" s="56" t="str">
        <f>IF('Weekly Attendance'!AA441="Yes",'Weekly Attendance'!$D441,"")</f>
        <v/>
      </c>
      <c r="DN443" s="56"/>
      <c r="DO443" s="58"/>
      <c r="DP44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3" s="57" t="str" cm="1">
        <f t="array" ref="DQ44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4" spans="1:121">
      <c r="A444" s="16">
        <v>437</v>
      </c>
      <c r="B444" s="86"/>
      <c r="DM444" s="56" t="str">
        <f>IF('Weekly Attendance'!AA442="Yes",'Weekly Attendance'!$D442,"")</f>
        <v/>
      </c>
      <c r="DN444" s="56"/>
      <c r="DO444" s="58"/>
      <c r="DP44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4" s="57" t="str" cm="1">
        <f t="array" ref="DQ44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5" spans="1:121">
      <c r="A445" s="16">
        <v>438</v>
      </c>
      <c r="B445" s="86"/>
      <c r="DM445" s="56" t="str">
        <f>IF('Weekly Attendance'!AA443="Yes",'Weekly Attendance'!$D443,"")</f>
        <v/>
      </c>
      <c r="DN445" s="56"/>
      <c r="DO445" s="58"/>
      <c r="DP44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5" s="57" t="str" cm="1">
        <f t="array" ref="DQ44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6" spans="1:121">
      <c r="A446" s="16">
        <v>439</v>
      </c>
      <c r="B446" s="86"/>
      <c r="DM446" s="56" t="str">
        <f>IF('Weekly Attendance'!AA444="Yes",'Weekly Attendance'!$D444,"")</f>
        <v/>
      </c>
      <c r="DN446" s="56"/>
      <c r="DO446" s="58"/>
      <c r="DP44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6" s="57" t="str" cm="1">
        <f t="array" ref="DQ44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7" spans="1:121">
      <c r="A447" s="16">
        <v>440</v>
      </c>
      <c r="B447" s="86"/>
      <c r="DM447" s="56" t="str">
        <f>IF('Weekly Attendance'!AA445="Yes",'Weekly Attendance'!$D445,"")</f>
        <v/>
      </c>
      <c r="DN447" s="56"/>
      <c r="DO447" s="58"/>
      <c r="DP44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7" s="57" t="str" cm="1">
        <f t="array" ref="DQ44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8" spans="1:121">
      <c r="A448" s="16">
        <v>441</v>
      </c>
      <c r="B448" s="86"/>
      <c r="DM448" s="56" t="str">
        <f>IF('Weekly Attendance'!AA446="Yes",'Weekly Attendance'!$D446,"")</f>
        <v/>
      </c>
      <c r="DN448" s="56"/>
      <c r="DO448" s="58"/>
      <c r="DP44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8" s="57" t="str" cm="1">
        <f t="array" ref="DQ44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49" spans="1:121">
      <c r="A449" s="16">
        <v>442</v>
      </c>
      <c r="B449" s="86"/>
      <c r="DM449" s="56" t="str">
        <f>IF('Weekly Attendance'!AA447="Yes",'Weekly Attendance'!$D447,"")</f>
        <v/>
      </c>
      <c r="DN449" s="56"/>
      <c r="DO449" s="58"/>
      <c r="DP44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49" s="57" t="str" cm="1">
        <f t="array" ref="DQ44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0" spans="1:121">
      <c r="A450" s="16">
        <v>443</v>
      </c>
      <c r="B450" s="86"/>
      <c r="DM450" s="56" t="str">
        <f>IF('Weekly Attendance'!AA448="Yes",'Weekly Attendance'!$D448,"")</f>
        <v/>
      </c>
      <c r="DN450" s="56"/>
      <c r="DO450" s="58"/>
      <c r="DP45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0" s="57" t="str" cm="1">
        <f t="array" ref="DQ45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1" spans="1:121">
      <c r="A451" s="16">
        <v>444</v>
      </c>
      <c r="B451" s="86"/>
      <c r="DM451" s="56" t="str">
        <f>IF('Weekly Attendance'!AA449="Yes",'Weekly Attendance'!$D449,"")</f>
        <v/>
      </c>
      <c r="DN451" s="56"/>
      <c r="DO451" s="58"/>
      <c r="DP45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1" s="57" t="str" cm="1">
        <f t="array" ref="DQ45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2" spans="1:121">
      <c r="A452" s="16">
        <v>445</v>
      </c>
      <c r="B452" s="86"/>
      <c r="DM452" s="56" t="str">
        <f>IF('Weekly Attendance'!AA450="Yes",'Weekly Attendance'!$D450,"")</f>
        <v/>
      </c>
      <c r="DN452" s="56"/>
      <c r="DO452" s="58"/>
      <c r="DP45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2" s="57" t="str" cm="1">
        <f t="array" ref="DQ45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3" spans="1:121">
      <c r="A453" s="16">
        <v>446</v>
      </c>
      <c r="B453" s="86"/>
      <c r="DM453" s="56" t="str">
        <f>IF('Weekly Attendance'!AA451="Yes",'Weekly Attendance'!$D451,"")</f>
        <v/>
      </c>
      <c r="DN453" s="56"/>
      <c r="DO453" s="58"/>
      <c r="DP45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3" s="57" t="str" cm="1">
        <f t="array" ref="DQ45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4" spans="1:121">
      <c r="A454" s="16">
        <v>447</v>
      </c>
      <c r="B454" s="86"/>
      <c r="DM454" s="56" t="str">
        <f>IF('Weekly Attendance'!AA452="Yes",'Weekly Attendance'!$D452,"")</f>
        <v/>
      </c>
      <c r="DN454" s="56"/>
      <c r="DO454" s="58"/>
      <c r="DP45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4" s="57" t="str" cm="1">
        <f t="array" ref="DQ45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5" spans="1:121">
      <c r="A455" s="16">
        <v>448</v>
      </c>
      <c r="B455" s="86"/>
      <c r="DM455" s="56" t="str">
        <f>IF('Weekly Attendance'!AA453="Yes",'Weekly Attendance'!$D453,"")</f>
        <v/>
      </c>
      <c r="DN455" s="56"/>
      <c r="DO455" s="58"/>
      <c r="DP45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5" s="57" t="str" cm="1">
        <f t="array" ref="DQ45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6" spans="1:121">
      <c r="A456" s="16">
        <v>449</v>
      </c>
      <c r="B456" s="86"/>
      <c r="DM456" s="56" t="str">
        <f>IF('Weekly Attendance'!AA454="Yes",'Weekly Attendance'!$D454,"")</f>
        <v/>
      </c>
      <c r="DN456" s="56"/>
      <c r="DO456" s="58"/>
      <c r="DP45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6" s="57" t="str" cm="1">
        <f t="array" ref="DQ45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7" spans="1:121">
      <c r="A457" s="16">
        <v>450</v>
      </c>
      <c r="B457" s="86"/>
      <c r="DM457" s="56" t="str">
        <f>IF('Weekly Attendance'!AA455="Yes",'Weekly Attendance'!$D455,"")</f>
        <v/>
      </c>
      <c r="DN457" s="56"/>
      <c r="DO457" s="58"/>
      <c r="DP45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7" s="57" t="str" cm="1">
        <f t="array" ref="DQ45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8" spans="1:121">
      <c r="A458" s="16">
        <v>451</v>
      </c>
      <c r="B458" s="86"/>
      <c r="DM458" s="56" t="str">
        <f>IF('Weekly Attendance'!AA456="Yes",'Weekly Attendance'!$D456,"")</f>
        <v/>
      </c>
      <c r="DN458" s="56"/>
      <c r="DO458" s="58"/>
      <c r="DP45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8" s="57" t="str" cm="1">
        <f t="array" ref="DQ45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59" spans="1:121">
      <c r="A459" s="16">
        <v>452</v>
      </c>
      <c r="B459" s="86"/>
      <c r="DM459" s="56" t="str">
        <f>IF('Weekly Attendance'!AA457="Yes",'Weekly Attendance'!$D457,"")</f>
        <v/>
      </c>
      <c r="DN459" s="56"/>
      <c r="DO459" s="58"/>
      <c r="DP45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59" s="57" t="str" cm="1">
        <f t="array" ref="DQ45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0" spans="1:121">
      <c r="A460" s="16">
        <v>453</v>
      </c>
      <c r="B460" s="86"/>
      <c r="DM460" s="56" t="str">
        <f>IF('Weekly Attendance'!AA458="Yes",'Weekly Attendance'!$D458,"")</f>
        <v/>
      </c>
      <c r="DN460" s="56"/>
      <c r="DO460" s="58"/>
      <c r="DP46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0" s="57" t="str" cm="1">
        <f t="array" ref="DQ46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1" spans="1:121">
      <c r="A461" s="16">
        <v>454</v>
      </c>
      <c r="B461" s="86"/>
      <c r="DM461" s="56" t="str">
        <f>IF('Weekly Attendance'!AA459="Yes",'Weekly Attendance'!$D459,"")</f>
        <v/>
      </c>
      <c r="DN461" s="56"/>
      <c r="DO461" s="58"/>
      <c r="DP46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1" s="57" t="str" cm="1">
        <f t="array" ref="DQ46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2" spans="1:121">
      <c r="A462" s="16">
        <v>455</v>
      </c>
      <c r="B462" s="86"/>
      <c r="DM462" s="56" t="str">
        <f>IF('Weekly Attendance'!AA460="Yes",'Weekly Attendance'!$D460,"")</f>
        <v/>
      </c>
      <c r="DN462" s="56"/>
      <c r="DO462" s="58"/>
      <c r="DP46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2" s="57" t="str" cm="1">
        <f t="array" ref="DQ46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3" spans="1:121">
      <c r="A463" s="16">
        <v>456</v>
      </c>
      <c r="B463" s="86"/>
      <c r="DM463" s="56" t="str">
        <f>IF('Weekly Attendance'!AA461="Yes",'Weekly Attendance'!$D461,"")</f>
        <v/>
      </c>
      <c r="DN463" s="56"/>
      <c r="DO463" s="58"/>
      <c r="DP46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3" s="57" t="str" cm="1">
        <f t="array" ref="DQ46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4" spans="1:121">
      <c r="A464" s="16">
        <v>457</v>
      </c>
      <c r="B464" s="86"/>
      <c r="DM464" s="56" t="str">
        <f>IF('Weekly Attendance'!AA462="Yes",'Weekly Attendance'!$D462,"")</f>
        <v/>
      </c>
      <c r="DN464" s="56"/>
      <c r="DO464" s="58"/>
      <c r="DP46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4" s="57" t="str" cm="1">
        <f t="array" ref="DQ46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5" spans="1:121">
      <c r="A465" s="16">
        <v>458</v>
      </c>
      <c r="B465" s="86"/>
      <c r="DM465" s="56" t="str">
        <f>IF('Weekly Attendance'!AA463="Yes",'Weekly Attendance'!$D463,"")</f>
        <v/>
      </c>
      <c r="DN465" s="56"/>
      <c r="DO465" s="58"/>
      <c r="DP46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5" s="57" t="str" cm="1">
        <f t="array" ref="DQ46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6" spans="1:121">
      <c r="A466" s="16">
        <v>459</v>
      </c>
      <c r="B466" s="86"/>
      <c r="DM466" s="56" t="str">
        <f>IF('Weekly Attendance'!AA464="Yes",'Weekly Attendance'!$D464,"")</f>
        <v/>
      </c>
      <c r="DN466" s="56"/>
      <c r="DO466" s="58"/>
      <c r="DP46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6" s="57" t="str" cm="1">
        <f t="array" ref="DQ46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7" spans="1:121">
      <c r="A467" s="16">
        <v>460</v>
      </c>
      <c r="B467" s="86"/>
      <c r="DM467" s="56" t="str">
        <f>IF('Weekly Attendance'!AA465="Yes",'Weekly Attendance'!$D465,"")</f>
        <v/>
      </c>
      <c r="DN467" s="56"/>
      <c r="DO467" s="58"/>
      <c r="DP46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7" s="57" t="str" cm="1">
        <f t="array" ref="DQ46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8" spans="1:121">
      <c r="A468" s="16">
        <v>461</v>
      </c>
      <c r="B468" s="86"/>
      <c r="DM468" s="56" t="str">
        <f>IF('Weekly Attendance'!AA466="Yes",'Weekly Attendance'!$D466,"")</f>
        <v/>
      </c>
      <c r="DN468" s="56"/>
      <c r="DO468" s="58"/>
      <c r="DP46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8" s="57" t="str" cm="1">
        <f t="array" ref="DQ46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69" spans="1:121">
      <c r="A469" s="16">
        <v>462</v>
      </c>
      <c r="B469" s="86"/>
      <c r="DM469" s="56" t="str">
        <f>IF('Weekly Attendance'!AA467="Yes",'Weekly Attendance'!$D467,"")</f>
        <v/>
      </c>
      <c r="DN469" s="56"/>
      <c r="DO469" s="58"/>
      <c r="DP46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69" s="57" t="str" cm="1">
        <f t="array" ref="DQ46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0" spans="1:121">
      <c r="A470" s="16">
        <v>463</v>
      </c>
      <c r="B470" s="86"/>
      <c r="DM470" s="56" t="str">
        <f>IF('Weekly Attendance'!AA468="Yes",'Weekly Attendance'!$D468,"")</f>
        <v/>
      </c>
      <c r="DN470" s="56"/>
      <c r="DO470" s="58"/>
      <c r="DP47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0" s="57" t="str" cm="1">
        <f t="array" ref="DQ47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1" spans="1:121">
      <c r="A471" s="16">
        <v>464</v>
      </c>
      <c r="B471" s="86"/>
      <c r="DM471" s="56" t="str">
        <f>IF('Weekly Attendance'!AA469="Yes",'Weekly Attendance'!$D469,"")</f>
        <v/>
      </c>
      <c r="DN471" s="56"/>
      <c r="DO471" s="58"/>
      <c r="DP47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1" s="57" t="str" cm="1">
        <f t="array" ref="DQ47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2" spans="1:121">
      <c r="A472" s="16">
        <v>465</v>
      </c>
      <c r="B472" s="86"/>
      <c r="DM472" s="56" t="str">
        <f>IF('Weekly Attendance'!AA470="Yes",'Weekly Attendance'!$D470,"")</f>
        <v/>
      </c>
      <c r="DN472" s="56"/>
      <c r="DO472" s="58"/>
      <c r="DP47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2" s="57" t="str" cm="1">
        <f t="array" ref="DQ47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3" spans="1:121">
      <c r="A473" s="16">
        <v>466</v>
      </c>
      <c r="B473" s="86"/>
      <c r="DM473" s="56" t="str">
        <f>IF('Weekly Attendance'!AA471="Yes",'Weekly Attendance'!$D471,"")</f>
        <v/>
      </c>
      <c r="DN473" s="56"/>
      <c r="DO473" s="58"/>
      <c r="DP47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3" s="57" t="str" cm="1">
        <f t="array" ref="DQ47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4" spans="1:121">
      <c r="A474" s="16">
        <v>467</v>
      </c>
      <c r="B474" s="86"/>
      <c r="DM474" s="56" t="str">
        <f>IF('Weekly Attendance'!AA472="Yes",'Weekly Attendance'!$D472,"")</f>
        <v/>
      </c>
      <c r="DN474" s="56"/>
      <c r="DO474" s="58"/>
      <c r="DP47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4" s="57" t="str" cm="1">
        <f t="array" ref="DQ47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5" spans="1:121">
      <c r="A475" s="16">
        <v>468</v>
      </c>
      <c r="B475" s="86"/>
      <c r="DM475" s="56" t="str">
        <f>IF('Weekly Attendance'!AA473="Yes",'Weekly Attendance'!$D473,"")</f>
        <v/>
      </c>
      <c r="DN475" s="56"/>
      <c r="DO475" s="58"/>
      <c r="DP47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5" s="57" t="str" cm="1">
        <f t="array" ref="DQ47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6" spans="1:121">
      <c r="A476" s="16">
        <v>469</v>
      </c>
      <c r="B476" s="86"/>
      <c r="DM476" s="56" t="str">
        <f>IF('Weekly Attendance'!AA474="Yes",'Weekly Attendance'!$D474,"")</f>
        <v/>
      </c>
      <c r="DN476" s="56"/>
      <c r="DO476" s="58"/>
      <c r="DP47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6" s="57" t="str" cm="1">
        <f t="array" ref="DQ47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7" spans="1:121">
      <c r="A477" s="16">
        <v>470</v>
      </c>
      <c r="B477" s="86"/>
      <c r="DM477" s="56" t="str">
        <f>IF('Weekly Attendance'!AA475="Yes",'Weekly Attendance'!$D475,"")</f>
        <v/>
      </c>
      <c r="DN477" s="56"/>
      <c r="DO477" s="58"/>
      <c r="DP47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7" s="57" t="str" cm="1">
        <f t="array" ref="DQ47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8" spans="1:121">
      <c r="A478" s="16">
        <v>471</v>
      </c>
      <c r="B478" s="86"/>
      <c r="DM478" s="56" t="str">
        <f>IF('Weekly Attendance'!AA476="Yes",'Weekly Attendance'!$D476,"")</f>
        <v/>
      </c>
      <c r="DN478" s="56"/>
      <c r="DO478" s="58"/>
      <c r="DP47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8" s="57" t="str" cm="1">
        <f t="array" ref="DQ47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79" spans="1:121">
      <c r="A479" s="16">
        <v>472</v>
      </c>
      <c r="B479" s="86"/>
      <c r="DM479" s="56" t="str">
        <f>IF('Weekly Attendance'!AA477="Yes",'Weekly Attendance'!$D477,"")</f>
        <v/>
      </c>
      <c r="DN479" s="56"/>
      <c r="DO479" s="58"/>
      <c r="DP47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79" s="57" t="str" cm="1">
        <f t="array" ref="DQ47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0" spans="1:121">
      <c r="A480" s="16">
        <v>473</v>
      </c>
      <c r="B480" s="86"/>
      <c r="DM480" s="56" t="str">
        <f>IF('Weekly Attendance'!AA478="Yes",'Weekly Attendance'!$D478,"")</f>
        <v/>
      </c>
      <c r="DN480" s="56"/>
      <c r="DO480" s="58"/>
      <c r="DP48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0" s="57" t="str" cm="1">
        <f t="array" ref="DQ48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1" spans="1:121">
      <c r="A481" s="16">
        <v>474</v>
      </c>
      <c r="B481" s="86"/>
      <c r="DM481" s="56" t="str">
        <f>IF('Weekly Attendance'!AA479="Yes",'Weekly Attendance'!$D479,"")</f>
        <v/>
      </c>
      <c r="DN481" s="56"/>
      <c r="DO481" s="58"/>
      <c r="DP48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1" s="57" t="str" cm="1">
        <f t="array" ref="DQ48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2" spans="1:121">
      <c r="A482" s="16">
        <v>475</v>
      </c>
      <c r="B482" s="86"/>
      <c r="DM482" s="56" t="str">
        <f>IF('Weekly Attendance'!AA480="Yes",'Weekly Attendance'!$D480,"")</f>
        <v/>
      </c>
      <c r="DN482" s="56"/>
      <c r="DO482" s="58"/>
      <c r="DP48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2" s="57" t="str" cm="1">
        <f t="array" ref="DQ48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3" spans="1:121">
      <c r="A483" s="16">
        <v>476</v>
      </c>
      <c r="B483" s="86"/>
      <c r="DM483" s="56" t="str">
        <f>IF('Weekly Attendance'!AA481="Yes",'Weekly Attendance'!$D481,"")</f>
        <v/>
      </c>
      <c r="DN483" s="56"/>
      <c r="DO483" s="58"/>
      <c r="DP48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3" s="57" t="str" cm="1">
        <f t="array" ref="DQ48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4" spans="1:121">
      <c r="A484" s="16">
        <v>477</v>
      </c>
      <c r="B484" s="86"/>
      <c r="DM484" s="56" t="str">
        <f>IF('Weekly Attendance'!AA482="Yes",'Weekly Attendance'!$D482,"")</f>
        <v/>
      </c>
      <c r="DN484" s="56"/>
      <c r="DO484" s="58"/>
      <c r="DP48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4" s="57" t="str" cm="1">
        <f t="array" ref="DQ48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5" spans="1:121">
      <c r="A485" s="16">
        <v>478</v>
      </c>
      <c r="B485" s="86"/>
      <c r="DM485" s="56" t="str">
        <f>IF('Weekly Attendance'!AA483="Yes",'Weekly Attendance'!$D483,"")</f>
        <v/>
      </c>
      <c r="DN485" s="56"/>
      <c r="DO485" s="58"/>
      <c r="DP48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5" s="57" t="str" cm="1">
        <f t="array" ref="DQ48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6" spans="1:121">
      <c r="A486" s="16">
        <v>479</v>
      </c>
      <c r="B486" s="86"/>
      <c r="DM486" s="56" t="str">
        <f>IF('Weekly Attendance'!AA484="Yes",'Weekly Attendance'!$D484,"")</f>
        <v/>
      </c>
      <c r="DN486" s="56"/>
      <c r="DO486" s="58"/>
      <c r="DP48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6" s="57" t="str" cm="1">
        <f t="array" ref="DQ48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7" spans="1:121">
      <c r="A487" s="16">
        <v>480</v>
      </c>
      <c r="B487" s="86"/>
      <c r="DM487" s="56" t="str">
        <f>IF('Weekly Attendance'!AA485="Yes",'Weekly Attendance'!$D485,"")</f>
        <v/>
      </c>
      <c r="DN487" s="56"/>
      <c r="DO487" s="58"/>
      <c r="DP48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7" s="57" t="str" cm="1">
        <f t="array" ref="DQ48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8" spans="1:121">
      <c r="A488" s="16">
        <v>481</v>
      </c>
      <c r="B488" s="86"/>
      <c r="DM488" s="56" t="str">
        <f>IF('Weekly Attendance'!AA486="Yes",'Weekly Attendance'!$D486,"")</f>
        <v/>
      </c>
      <c r="DN488" s="56"/>
      <c r="DO488" s="58"/>
      <c r="DP48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8" s="57" t="str" cm="1">
        <f t="array" ref="DQ48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89" spans="1:121">
      <c r="A489" s="16">
        <v>482</v>
      </c>
      <c r="B489" s="86"/>
      <c r="DM489" s="56" t="str">
        <f>IF('Weekly Attendance'!AA487="Yes",'Weekly Attendance'!$D487,"")</f>
        <v/>
      </c>
      <c r="DN489" s="56"/>
      <c r="DO489" s="58"/>
      <c r="DP48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89" s="57" t="str" cm="1">
        <f t="array" ref="DQ48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0" spans="1:121">
      <c r="A490" s="16">
        <v>483</v>
      </c>
      <c r="B490" s="86"/>
      <c r="DM490" s="56" t="str">
        <f>IF('Weekly Attendance'!AA488="Yes",'Weekly Attendance'!$D488,"")</f>
        <v/>
      </c>
      <c r="DN490" s="56"/>
      <c r="DO490" s="58"/>
      <c r="DP49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0" s="57" t="str" cm="1">
        <f t="array" ref="DQ49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1" spans="1:121">
      <c r="A491" s="16">
        <v>484</v>
      </c>
      <c r="B491" s="86"/>
      <c r="DM491" s="56" t="str">
        <f>IF('Weekly Attendance'!AA489="Yes",'Weekly Attendance'!$D489,"")</f>
        <v/>
      </c>
      <c r="DN491" s="56"/>
      <c r="DO491" s="58"/>
      <c r="DP491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1" s="57" t="str" cm="1">
        <f t="array" ref="DQ491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2" spans="1:121">
      <c r="A492" s="16">
        <v>485</v>
      </c>
      <c r="B492" s="86"/>
      <c r="DM492" s="56" t="str">
        <f>IF('Weekly Attendance'!AA490="Yes",'Weekly Attendance'!$D490,"")</f>
        <v/>
      </c>
      <c r="DN492" s="56"/>
      <c r="DO492" s="58"/>
      <c r="DP492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2" s="57" t="str" cm="1">
        <f t="array" ref="DQ492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3" spans="1:121">
      <c r="A493" s="16">
        <v>486</v>
      </c>
      <c r="B493" s="86"/>
      <c r="DM493" s="56" t="str">
        <f>IF('Weekly Attendance'!AA491="Yes",'Weekly Attendance'!$D491,"")</f>
        <v/>
      </c>
      <c r="DN493" s="56"/>
      <c r="DO493" s="58"/>
      <c r="DP493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3" s="57" t="str" cm="1">
        <f t="array" ref="DQ493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4" spans="1:121">
      <c r="A494" s="16">
        <v>487</v>
      </c>
      <c r="B494" s="86"/>
      <c r="DM494" s="56" t="str">
        <f>IF('Weekly Attendance'!AA492="Yes",'Weekly Attendance'!$D492,"")</f>
        <v/>
      </c>
      <c r="DN494" s="56"/>
      <c r="DO494" s="58"/>
      <c r="DP494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4" s="57" t="str" cm="1">
        <f t="array" ref="DQ494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5" spans="1:121">
      <c r="A495" s="16">
        <v>488</v>
      </c>
      <c r="B495" s="86"/>
      <c r="DM495" s="56" t="str">
        <f>IF('Weekly Attendance'!AA493="Yes",'Weekly Attendance'!$D493,"")</f>
        <v/>
      </c>
      <c r="DN495" s="56"/>
      <c r="DO495" s="58"/>
      <c r="DP495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5" s="57" t="str" cm="1">
        <f t="array" ref="DQ495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6" spans="1:121">
      <c r="A496" s="16">
        <v>489</v>
      </c>
      <c r="B496" s="86"/>
      <c r="DM496" s="56" t="str">
        <f>IF('Weekly Attendance'!AA494="Yes",'Weekly Attendance'!$D494,"")</f>
        <v/>
      </c>
      <c r="DN496" s="56"/>
      <c r="DO496" s="58"/>
      <c r="DP496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6" s="57" t="str" cm="1">
        <f t="array" ref="DQ496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7" spans="1:121">
      <c r="A497" s="16">
        <v>490</v>
      </c>
      <c r="B497" s="86"/>
      <c r="DM497" s="56" t="str">
        <f>IF('Weekly Attendance'!AA495="Yes",'Weekly Attendance'!$D495,"")</f>
        <v/>
      </c>
      <c r="DN497" s="56"/>
      <c r="DO497" s="58"/>
      <c r="DP497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7" s="57" t="str" cm="1">
        <f t="array" ref="DQ497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8" spans="1:121">
      <c r="A498" s="16">
        <v>491</v>
      </c>
      <c r="B498" s="86"/>
      <c r="DM498" s="56" t="str">
        <f>IF('Weekly Attendance'!AA496="Yes",'Weekly Attendance'!$D496,"")</f>
        <v/>
      </c>
      <c r="DN498" s="56"/>
      <c r="DO498" s="58"/>
      <c r="DP498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8" s="57" t="str" cm="1">
        <f t="array" ref="DQ498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499" spans="1:121">
      <c r="A499" s="16">
        <v>492</v>
      </c>
      <c r="B499" s="86"/>
      <c r="DM499" s="56" t="str">
        <f>IF('Weekly Attendance'!AA497="Yes",'Weekly Attendance'!$D497,"")</f>
        <v/>
      </c>
      <c r="DN499" s="56"/>
      <c r="DO499" s="58"/>
      <c r="DP499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499" s="57" t="str" cm="1">
        <f t="array" ref="DQ499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500" spans="1:121">
      <c r="A500" s="16">
        <v>493</v>
      </c>
      <c r="B500" s="86"/>
      <c r="DM500" s="56" t="str">
        <f>IF('Weekly Attendance'!AA498="Yes",'Weekly Attendance'!$D498,"")</f>
        <v/>
      </c>
      <c r="DN500" s="56"/>
      <c r="DO500" s="58"/>
      <c r="DP500" s="57" t="str">
        <f>IFERROR(IF(Table21112164202122232534353637384140[[#This Row],[Name]]="","",IFERROR(IF(Table21112164202122232534353637384140[[#This Row],[Time]]="","TBD",DN$2-COUNTIF(Table21112164202122232534353637384140[Time],"&lt;"&amp;Table21112164202122232534353637384140[[#This Row],[Time]])),""))-(COUNTIF(Table21112164202122232534353637384140[Time],Table21112164202122232534353637384140[[#This Row],[Time]])-1),"")</f>
        <v/>
      </c>
      <c r="DQ500" s="57" t="str" cm="1">
        <f t="array" ref="DQ500">IF(ISNUMBER(Table21112164202122232534353637384140[[#This Row],[True Rank]])=TRUE,ROUNDUP(IF(Table21112164202122232534353637384140[[#This Row],[Rebuy]]="Yes",75%,100%)*_xlfn.IFS(Table21112164202122232534353637384140[[#This Row],[True Rank]]=Structures!$B$3,Structures!$D$3,Table21112164202122232534353637384140[[#This Row],[True Rank]]=Structures!$B$4,Structures!$D$4,Table21112164202122232534353637384140[[#This Row],[True Rank]]=Structures!$B$5,Structures!$D$5,Table21112164202122232534353637384140[[#This Row],[True Rank]]&lt;Structures!$C$6,Structures!$D$6,Table21112164202122232534353637384140[[#This Row],[True Rank]]&lt;=_xlfn.PERCENTILE.INC(_xlfn.SEQUENCE(MAX(Table21112164202122232534353637384140[True Rank])),Structures!$C$7),Structures!$D$7,Table21112164202122232534353637384140[[#This Row],[True Rank]]&lt;=_xlfn.PERCENTILE.INC(_xlfn.SEQUENCE(MAX(Table21112164202122232534353637384140[True Rank])),Structures!$C$8),Structures!$D$8,Table21112164202122232534353637384140[[#This Row],[True Rank]]&lt;=_xlfn.PERCENTILE.INC(_xlfn.SEQUENCE(MAX(Table21112164202122232534353637384140[True Rank])),Structures!$C$9),Structures!$D$9),0),Table21112164202122232534353637384140[[#This Row],[True Rank]])</f>
        <v/>
      </c>
    </row>
    <row r="501" spans="1:121">
      <c r="A501" s="16">
        <v>494</v>
      </c>
      <c r="B501" s="86"/>
    </row>
    <row r="502" spans="1:121">
      <c r="A502" s="16">
        <v>495</v>
      </c>
      <c r="B502" s="86"/>
    </row>
    <row r="503" spans="1:121">
      <c r="A503" s="16">
        <v>496</v>
      </c>
      <c r="B503" s="86"/>
    </row>
    <row r="504" spans="1:121">
      <c r="A504" s="7"/>
      <c r="B504" s="7"/>
    </row>
  </sheetData>
  <sortState xmlns:xlrd2="http://schemas.microsoft.com/office/spreadsheetml/2017/richdata2" ref="N8:X373">
    <sortCondition ref="O7:O373"/>
  </sortState>
  <mergeCells count="21">
    <mergeCell ref="AY6:BC6"/>
    <mergeCell ref="AM6:AQ6"/>
    <mergeCell ref="AS6:AW6"/>
    <mergeCell ref="C6:G6"/>
    <mergeCell ref="U6:Y6"/>
    <mergeCell ref="O6:S6"/>
    <mergeCell ref="AA6:AE6"/>
    <mergeCell ref="AG6:AK6"/>
    <mergeCell ref="I6:M6"/>
    <mergeCell ref="BK6:BO6"/>
    <mergeCell ref="BE6:BI6"/>
    <mergeCell ref="CO6:CS6"/>
    <mergeCell ref="CI6:CM6"/>
    <mergeCell ref="CC6:CG6"/>
    <mergeCell ref="BW6:CA6"/>
    <mergeCell ref="BQ6:BU6"/>
    <mergeCell ref="DM6:DQ6"/>
    <mergeCell ref="DG6:DK6"/>
    <mergeCell ref="CU6:CY6"/>
    <mergeCell ref="DA6:DE6"/>
    <mergeCell ref="DB5:DD5"/>
  </mergeCells>
  <phoneticPr fontId="4" type="noConversion"/>
  <pageMargins left="0.7" right="0.7" top="0.75" bottom="0.75" header="0.3" footer="0.3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9" id="{D544A299-55C0-44B9-846D-50928C855C66}">
            <xm:f>F1=Structures!$B$3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30" id="{6859FB85-81CB-4EC2-A295-278FDB3E79F3}">
            <xm:f>F1=Structures!$B$5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31" id="{F97C6918-BC9A-4B56-9FC6-96362043C2AF}">
            <xm:f>F1=Structures!$B$4</xm:f>
            <x14:dxf>
              <fill>
                <patternFill>
                  <bgColor rgb="FFA7A7AD"/>
                </patternFill>
              </fill>
            </x14:dxf>
          </x14:cfRule>
          <xm:sqref>C1:C1048576 I1:I1048576 O1:O1048576 U1:U1048576 AA1:AA1048576 AG1:AG1048576 AM1:AM1048576 AS1:AS1048576 AY1:AY1048576 BE1:BE1048576 BK1:BK1048576 BQ1:BQ1048576 BW1:BW1048576 CC1:CC1048576 CI1:CI1048576 CO1:CO1048576 CU1:CU1048576 DA1:DA1048576 DG1:DG1048576 DM1:DM1048576</xm:sqref>
        </x14:conditionalFormatting>
        <x14:conditionalFormatting xmlns:xm="http://schemas.microsoft.com/office/excel/2006/main">
          <x14:cfRule type="expression" priority="22" id="{609994E6-5FA8-40F5-8B25-19744090BEEF}">
            <xm:f>CT5=Structures!$B$3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3" id="{668FB49D-5E49-42F4-8F50-C8ED1F990F69}">
            <xm:f>CT5=Structures!$B$5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4" id="{4E84E5DD-9F78-407E-8A20-A18A3909D19B}">
            <xm:f>CT5=Structures!$B$4</xm:f>
            <x14:dxf>
              <fill>
                <patternFill>
                  <bgColor rgb="FFA7A7AD"/>
                </patternFill>
              </fill>
            </x14:dxf>
          </x14:cfRule>
          <xm:sqref>CQ5</xm:sqref>
        </x14:conditionalFormatting>
        <x14:conditionalFormatting xmlns:xm="http://schemas.microsoft.com/office/excel/2006/main">
          <x14:cfRule type="expression" priority="25" id="{8793C418-56B0-4FB0-AEBE-F437EA0BABF9}">
            <xm:f>CZ5=Structures!$B$3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6" id="{543D3D1B-FF58-46D3-A434-3A2A76E46609}">
            <xm:f>CZ5=Structures!$B$5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7" id="{F0BCEAB8-252A-408D-B11B-AEC725919B3A}">
            <xm:f>CZ5=Structures!$B$4</xm:f>
            <x14:dxf>
              <fill>
                <patternFill>
                  <bgColor rgb="FFA7A7AD"/>
                </patternFill>
              </fill>
            </x14:dxf>
          </x14:cfRule>
          <xm:sqref>CW5</xm:sqref>
        </x14:conditionalFormatting>
        <x14:conditionalFormatting xmlns:xm="http://schemas.microsoft.com/office/excel/2006/main">
          <x14:cfRule type="expression" priority="19" id="{3ABC476A-7ED2-4C37-9660-E1FE968B92C4}">
            <xm:f>DF4=Structures!$B$3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0" id="{409CB8EF-779F-4DAB-A56D-D6F89FDE0635}">
            <xm:f>DF4=Structures!$B$5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1" id="{54786023-D81B-483D-BC0B-AE6521FD6DAB}">
            <xm:f>DF4=Structures!$B$4</xm:f>
            <x14:dxf>
              <fill>
                <patternFill>
                  <bgColor rgb="FFA7A7AD"/>
                </patternFill>
              </fill>
            </x14:dxf>
          </x14:cfRule>
          <xm:sqref>DC4</xm:sqref>
        </x14:conditionalFormatting>
        <x14:conditionalFormatting xmlns:xm="http://schemas.microsoft.com/office/excel/2006/main">
          <x14:cfRule type="expression" priority="7" id="{950EDC73-DB1A-4438-A207-13165CBDA825}">
            <xm:f>DL5=Structures!$B$3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8" id="{FB18BD0D-F722-4151-B244-0E6DE56A324C}">
            <xm:f>DL5=Structures!$B$5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9" id="{856F3C9F-33C4-44F3-8A70-A13FAD9C954E}">
            <xm:f>DL5=Structures!$B$4</xm:f>
            <x14:dxf>
              <fill>
                <patternFill>
                  <bgColor rgb="FFA7A7AD"/>
                </patternFill>
              </fill>
            </x14:dxf>
          </x14:cfRule>
          <xm:sqref>DI5</xm:sqref>
        </x14:conditionalFormatting>
        <x14:conditionalFormatting xmlns:xm="http://schemas.microsoft.com/office/excel/2006/main">
          <x14:cfRule type="expression" priority="1" id="{EA0A39CB-F5A3-47A1-A62E-9446290EB2D9}">
            <xm:f>DR5=Structures!$B$3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" id="{54F65144-80C3-4072-9E87-BCC60A8650EB}">
            <xm:f>DR5=Structures!$B$5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3" id="{695FCAB0-57CB-46F1-9A6E-730A91E63C14}">
            <xm:f>DR5=Structures!$B$4</xm:f>
            <x14:dxf>
              <fill>
                <patternFill>
                  <bgColor rgb="FFA7A7AD"/>
                </patternFill>
              </fill>
            </x14:dxf>
          </x14:cfRule>
          <xm:sqref>DO5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325476-FBE7-4388-B680-FB9710799F01}">
          <x14:formula1>
            <xm:f>Structures!$M$3:$M$4</xm:f>
          </x14:formula1>
          <xm:sqref>J8:J95 BR67:BR99 BR43:BR65 BR8:BR41 BL67:BL99 BL43:BL65 BL8:BL41 BF67:BF96 BF43:BF65 BF8:BF41 AZ8:AZ101 AT8:AT102 V8:V87 P8:P107 AB8:AB79 AH8:AH86 BX67:BX91 BX43:BX65 BX8:BX41 CD67:CD83 CD43:CD65 CD8:CD41 CJ43:CJ65 CJ8:CJ41 CP43:CP65 CP8:CP41 CV43:CV63 DB67:DB83 DB43:DB65 CV8:CV31 CV33:CV41 DB8:DB41 DH8:DH67 DN8:DN500</xm:sqref>
        </x14:dataValidation>
        <x14:dataValidation type="list" allowBlank="1" showInputMessage="1" showErrorMessage="1" xr:uid="{A9B625A3-7D24-42BB-BAC7-80692DD8B14E}">
          <x14:formula1>
            <xm:f>Structures!$O$3:$O$13</xm:f>
          </x14:formula1>
          <xm:sqref>AG6 AM6 AS6 AY6 BE6 AA6</xm:sqref>
        </x14:dataValidation>
        <x14:dataValidation type="list" allowBlank="1" showInputMessage="1" showErrorMessage="1" xr:uid="{FD487C70-85BF-43D2-BC2A-E0CF37CC9C71}">
          <x14:formula1>
            <xm:f>Structures!$O$3:$O$33</xm:f>
          </x14:formula1>
          <xm:sqref>BK6:BO6 CI6:CM6 CC6:CG6 BW6:CA6 BQ6:BU6 CO6:CS6 CU6:CY6 DA6:DE6 DG6:DK6 DM6:DQ6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776F-364E-457C-AAA1-BB28C6EC9E3F}">
  <dimension ref="B1:AA200"/>
  <sheetViews>
    <sheetView zoomScale="85" zoomScaleNormal="85" workbookViewId="0">
      <selection activeCell="G10" sqref="G10"/>
    </sheetView>
  </sheetViews>
  <sheetFormatPr defaultRowHeight="15"/>
  <cols>
    <col min="2" max="2" width="14.140625" bestFit="1" customWidth="1"/>
    <col min="3" max="3" width="20.85546875" bestFit="1" customWidth="1"/>
    <col min="4" max="4" width="13.140625" customWidth="1"/>
    <col min="5" max="5" width="13.42578125" bestFit="1" customWidth="1"/>
    <col min="6" max="6" width="22.140625" customWidth="1"/>
    <col min="7" max="7" width="22.42578125" style="9" customWidth="1"/>
    <col min="8" max="8" width="15.85546875" style="9" customWidth="1"/>
    <col min="10" max="11" width="20.140625" bestFit="1" customWidth="1"/>
    <col min="12" max="12" width="10.7109375" bestFit="1" customWidth="1"/>
    <col min="13" max="13" width="10.28515625" bestFit="1" customWidth="1"/>
    <col min="14" max="14" width="12.42578125" bestFit="1" customWidth="1"/>
    <col min="16" max="16" width="7.7109375" customWidth="1"/>
    <col min="17" max="17" width="15.42578125" customWidth="1"/>
    <col min="18" max="18" width="28.7109375" customWidth="1"/>
    <col min="19" max="19" width="26.7109375" customWidth="1"/>
    <col min="20" max="20" width="6.140625" customWidth="1"/>
    <col min="21" max="21" width="13.7109375" hidden="1" customWidth="1"/>
    <col min="22" max="22" width="27.85546875" customWidth="1"/>
    <col min="23" max="23" width="27" customWidth="1"/>
    <col min="24" max="24" width="6.140625" customWidth="1"/>
    <col min="25" max="25" width="13.7109375" hidden="1" customWidth="1"/>
    <col min="26" max="26" width="27" customWidth="1"/>
    <col min="27" max="27" width="29.140625" customWidth="1"/>
  </cols>
  <sheetData>
    <row r="1" spans="2:27" ht="7.5" customHeight="1" thickBot="1">
      <c r="B1" s="40">
        <f t="shared" ref="B1:F1" si="0">SUM(B2:B3)</f>
        <v>0</v>
      </c>
      <c r="C1" s="40"/>
      <c r="D1" s="40">
        <f t="shared" si="0"/>
        <v>63</v>
      </c>
      <c r="E1" s="40">
        <f t="shared" si="0"/>
        <v>0</v>
      </c>
      <c r="F1" s="40">
        <f t="shared" si="0"/>
        <v>0</v>
      </c>
      <c r="G1" s="40">
        <f>SUM(G2:G3)</f>
        <v>315025</v>
      </c>
      <c r="H1" s="40"/>
    </row>
    <row r="2" spans="2:27" ht="21">
      <c r="B2" s="19" t="s">
        <v>1</v>
      </c>
      <c r="C2" s="143"/>
      <c r="D2" s="20" cm="1">
        <f t="array" ref="D2">SUMPRODUCT(--(LEN(Table21112164202122232533[Buy-In])&gt;0))</f>
        <v>44</v>
      </c>
      <c r="F2" s="19" t="s">
        <v>875</v>
      </c>
      <c r="G2" s="20">
        <f>D2-D4</f>
        <v>25</v>
      </c>
      <c r="H2" s="141"/>
      <c r="I2" t="s">
        <v>177</v>
      </c>
      <c r="J2" s="140" t="s">
        <v>1133</v>
      </c>
      <c r="K2" s="140" t="s">
        <v>17</v>
      </c>
      <c r="L2" s="140" t="s">
        <v>1134</v>
      </c>
      <c r="M2" s="140" t="s">
        <v>197</v>
      </c>
      <c r="N2" s="140" t="s">
        <v>1135</v>
      </c>
      <c r="R2" s="167" t="s">
        <v>1136</v>
      </c>
      <c r="S2" s="167"/>
      <c r="T2" s="124"/>
      <c r="V2" s="167" t="s">
        <v>1137</v>
      </c>
      <c r="W2" s="167"/>
      <c r="Z2" s="167" t="s">
        <v>1138</v>
      </c>
      <c r="AA2" s="167"/>
    </row>
    <row r="3" spans="2:27" ht="25.5" thickBot="1">
      <c r="B3" s="21" t="s">
        <v>2</v>
      </c>
      <c r="C3" s="144"/>
      <c r="D3" s="22" cm="1">
        <f t="array" ref="D3">SUMPRODUCT(--(Table21112164202122232533[Rebuy]&lt;&gt;""))</f>
        <v>19</v>
      </c>
      <c r="F3" s="21" t="s">
        <v>877</v>
      </c>
      <c r="G3" s="22">
        <f>5000*(D2+D3)</f>
        <v>315000</v>
      </c>
      <c r="H3" s="141"/>
      <c r="I3">
        <v>1</v>
      </c>
      <c r="J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3" t="s">
        <v>47</v>
      </c>
      <c r="L3" t="s">
        <v>1139</v>
      </c>
      <c r="M3" t="s">
        <v>1139</v>
      </c>
      <c r="N3">
        <f t="shared" ref="N3:N34" ca="1" si="1">RAND()</f>
        <v>0.61722944136094249</v>
      </c>
      <c r="Q3" s="125">
        <f ca="1">COUNTIF(Table11[Table '#],"Table1")</f>
        <v>8</v>
      </c>
      <c r="R3" s="139" t="s">
        <v>1140</v>
      </c>
      <c r="S3" s="139" t="s">
        <v>1141</v>
      </c>
      <c r="T3" s="124"/>
      <c r="U3" s="125">
        <f ca="1">COUNTIF(Table11[Table '#],"Table2")</f>
        <v>9</v>
      </c>
      <c r="V3" s="139" t="s">
        <v>1140</v>
      </c>
      <c r="W3" s="139" t="s">
        <v>1141</v>
      </c>
      <c r="Y3" s="125">
        <f ca="1">COUNTIF(Table11[Table '#],"Table3")</f>
        <v>9</v>
      </c>
      <c r="Z3" s="139" t="s">
        <v>1140</v>
      </c>
      <c r="AA3" s="139" t="s">
        <v>1141</v>
      </c>
    </row>
    <row r="4" spans="2:27" ht="21.75" thickBot="1">
      <c r="B4" s="23" t="s">
        <v>878</v>
      </c>
      <c r="C4" s="145"/>
      <c r="D4" s="24" cm="1">
        <f t="array" ref="D4">SUMPRODUCT(--(Table21112164202122232533[Rebuy]&lt;&gt;""))</f>
        <v>19</v>
      </c>
      <c r="F4" s="23" t="s">
        <v>879</v>
      </c>
      <c r="G4" s="87">
        <f>IFERROR(G3/G2,"Complete")</f>
        <v>12600</v>
      </c>
      <c r="H4" s="142"/>
      <c r="I4">
        <v>2</v>
      </c>
      <c r="J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4" t="s">
        <v>886</v>
      </c>
      <c r="L4" t="s">
        <v>1142</v>
      </c>
      <c r="M4" t="s">
        <v>1139</v>
      </c>
      <c r="N4">
        <f t="shared" ca="1" si="1"/>
        <v>0.69758146505820928</v>
      </c>
      <c r="Q4" s="126" cm="1">
        <f t="array" aca="1" ref="Q4" ca="1">AVERAGE(AVERAGE(_xlfn.XLOOKUP(Table14[Button - UTG],Table11[Name],Table11[Rank],"Glitch",0,1)),AVERAGE(_xlfn.XLOOKUP(Table14[UTG + 1 - CO],Table11[Name],Table11[Rank])))</f>
        <v>27.375</v>
      </c>
      <c r="R4" s="127" t="str" cm="1">
        <f t="array" aca="1" ref="R4" ca="1">IFERROR(INDEX(_xlfn._xlws.FILTER(Table11[Name], Table11[Table '#] = "Table1"), ROW(I1)), "")</f>
        <v>Sam Ahn</v>
      </c>
      <c r="S4" s="128" t="str" cm="1">
        <f t="array" aca="1" ref="S4" ca="1">IFERROR(INDEX(_xlfn._xlws.FILTER(Table11[Name], Table11[Table '#] = "Table1"), ROW(I5)), "")</f>
        <v>Qingtong Hu</v>
      </c>
      <c r="T4" s="124"/>
      <c r="U4" s="126" cm="1">
        <f t="array" aca="1" ref="U4" ca="1">AVERAGE(AVERAGE(_xlfn.XLOOKUP(Table20[Button - UTG],Table11[Name],Table11[Rank],"Glitch",0,1)),AVERAGE(_xlfn.XLOOKUP(Table20[UTG + 1 - CO],Table11[Name],Table11[Rank])))</f>
        <v>20.875</v>
      </c>
      <c r="V4" s="127" t="str" cm="1">
        <f t="array" aca="1" ref="V4" ca="1">IFERROR(INDEX(_xlfn._xlws.FILTER(Table11[Name], Table11[Table '#] = "Table2"), ROW(I1)), "")</f>
        <v>Samuel Sax-Marton</v>
      </c>
      <c r="W4" s="128" t="str" cm="1">
        <f t="array" aca="1" ref="W4" ca="1">IFERROR(INDEX(_xlfn._xlws.FILTER(Table11[Name], Table11[Table '#] = "Table2"), ROW(I5)), "")</f>
        <v>Zain Husain</v>
      </c>
      <c r="Y4" s="126" cm="1">
        <f t="array" aca="1" ref="Y4" ca="1">AVERAGE(AVERAGE(_xlfn.XLOOKUP(Table21[Button - UTG],Table11[Name],Table11[Rank],"Glitch",0,1)),AVERAGE(_xlfn.XLOOKUP(Table21[UTG + 1 - CO],Table11[Name],Table11[Rank])))</f>
        <v>24.125</v>
      </c>
      <c r="Z4" s="127" t="str" cm="1">
        <f t="array" aca="1" ref="Z4" ca="1">IFERROR(INDEX(_xlfn._xlws.FILTER(Table11[Name],Table11[Table '#]="Table3"),ROW(I1)),"")</f>
        <v>Taidhg Tajalli</v>
      </c>
      <c r="AA4" s="134" t="str" cm="1">
        <f t="array" aca="1" ref="AA4" ca="1">IFERROR(INDEX(_xlfn._xlws.FILTER(Table11[Name], Table11[Table '#] = "Table3"), ROW(I5)), "")</f>
        <v>Richard Sonibare</v>
      </c>
    </row>
    <row r="5" spans="2:27" ht="21.75" thickBot="1">
      <c r="E5" s="123" t="s">
        <v>1143</v>
      </c>
      <c r="G5"/>
      <c r="H5"/>
      <c r="I5">
        <v>3</v>
      </c>
      <c r="J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5" t="s">
        <v>899</v>
      </c>
      <c r="L5" t="s">
        <v>1144</v>
      </c>
      <c r="M5" t="s">
        <v>1139</v>
      </c>
      <c r="N5">
        <f t="shared" ca="1" si="1"/>
        <v>8.2042402784485047E-2</v>
      </c>
      <c r="Q5" s="129">
        <f ca="1">SUM(VALUE(_xlfn.XLOOKUP($R$4, Table11[Name], Table11[Stack Size], "WTF", 0)), VALUE(_xlfn.XLOOKUP($R$5, Table11[Name], Table11[Stack Size], "WTF", 0)), VALUE(_xlfn.XLOOKUP($R$6, Table11[Name], Table11[Stack Size], "WTF", 0)), VALUE(_xlfn.XLOOKUP($R$7, Table11[Name], Table11[Stack Size], "WTF", 0)), VALUE(_xlfn.XLOOKUP($S$4, Table11[Name], Table11[Stack Size], "WTF", 0)), VALUE(_xlfn.XLOOKUP($S$5, Table11[Name], Table11[Stack Size], "WTF", 0)), VALUE(_xlfn.XLOOKUP($S$6, Table11[Name], Table11[Stack Size], "WTF", 0)), VALUE(_xlfn.XLOOKUP($S$7, Table11[Name], Table11[Stack Size], "WTF", 0)))/8</f>
        <v>8937.5</v>
      </c>
      <c r="R5" s="130" t="str" cm="1">
        <f t="array" aca="1" ref="R5" ca="1">IFERROR(INDEX(_xlfn._xlws.FILTER(Table11[Name], Table11[Table '#] = "Table1"), ROW(I2)), "")</f>
        <v>Tommy Truong</v>
      </c>
      <c r="S5" s="131" t="str" cm="1">
        <f t="array" aca="1" ref="S5" ca="1">IFERROR(INDEX(_xlfn._xlws.FILTER(Table11[Name], Table11[Table '#] = "Table1"), ROW(I6)), "")</f>
        <v>Noella Or</v>
      </c>
      <c r="T5" s="124"/>
      <c r="U5" s="129">
        <f ca="1">SUM(VALUE(_xlfn.XLOOKUP($V$4, Table11[Name], Table11[Stack Size], "WTF", 0)), VALUE(_xlfn.XLOOKUP($V$5, Table11[Name], Table11[Stack Size], "WTF", 0)), VALUE(_xlfn.XLOOKUP($V$6, Table11[Name], Table11[Stack Size], "WTF", 0)), VALUE(_xlfn.XLOOKUP($V$7, Table11[Name], Table11[Stack Size], "WTF", 0)), VALUE(_xlfn.XLOOKUP($W$4, Table11[Name], Table11[Stack Size], "WTF", 0)), VALUE(_xlfn.XLOOKUP($W$5, Table11[Name], Table11[Stack Size], "WTF", 0)), VALUE(_xlfn.XLOOKUP($W$6, Table11[Name], Table11[Stack Size], "WTF", 0)), VALUE(_xlfn.XLOOKUP($W$7, Table11[Name], Table11[Stack Size], "WTF", 0)))/8</f>
        <v>9250</v>
      </c>
      <c r="V5" s="130" t="str" cm="1">
        <f t="array" aca="1" ref="V5" ca="1">IFERROR(INDEX(_xlfn._xlws.FILTER(Table11[Name], Table11[Table '#] = "Table2"), ROW(I2)), "")</f>
        <v>Eric Song</v>
      </c>
      <c r="W5" s="131" t="str" cm="1">
        <f t="array" aca="1" ref="W5" ca="1">IFERROR(INDEX(_xlfn._xlws.FILTER(Table11[Name], Table11[Table '#] = "Table2"), ROW(I6)), "")</f>
        <v>Hatim Adamjee</v>
      </c>
      <c r="Y5" s="129">
        <f ca="1">SUM(VALUE(_xlfn.XLOOKUP($Z$4, Table11[Name], Table11[Stack Size], "WTF", 0)), VALUE(_xlfn.XLOOKUP($Z$5, Table11[Name], Table11[Stack Size], "WTF", 0)), VALUE(_xlfn.XLOOKUP($Z$6, Table11[Name], Table11[Stack Size], "WTF", 0)), VALUE(_xlfn.XLOOKUP($Z$7, Table11[Name], Table11[Stack Size], "WTF", 0)), VALUE(_xlfn.XLOOKUP($AA$4, Table11[Name], Table11[Stack Size], "WTF", 0)), VALUE(_xlfn.XLOOKUP($AA$5, Table11[Name], Table11[Stack Size], "WTF", 0)), VALUE(_xlfn.XLOOKUP($AA$6, Table11[Name], Table11[Stack Size], "WTF", 0)), VALUE(_xlfn.XLOOKUP($AA$7, Table11[Name], Table11[Stack Size], "WTF", 0)))/8</f>
        <v>9125</v>
      </c>
      <c r="Z5" s="130" t="str" cm="1">
        <f t="array" aca="1" ref="Z5" ca="1">IFERROR(INDEX(_xlfn._xlws.FILTER(Table11[Name],Table11[Table '#]="Table3"),ROW(I2)),"")</f>
        <v>Gabe Mclellan</v>
      </c>
      <c r="AA5" s="128" t="str" cm="1">
        <f t="array" aca="1" ref="AA5" ca="1">IFERROR(INDEX(_xlfn._xlws.FILTER(Table11[Name], Table11[Table '#] = "Table3"), ROW(I6)), "")</f>
        <v>Matthew Barclay</v>
      </c>
    </row>
    <row r="6" spans="2:27" ht="21">
      <c r="B6" s="163">
        <v>46051</v>
      </c>
      <c r="C6" s="164"/>
      <c r="D6" s="164"/>
      <c r="E6" s="164"/>
      <c r="F6" s="164"/>
      <c r="G6" s="165"/>
      <c r="H6" s="8"/>
      <c r="I6">
        <v>4</v>
      </c>
      <c r="J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6" t="s">
        <v>890</v>
      </c>
      <c r="L6" t="s">
        <v>1145</v>
      </c>
      <c r="M6" t="s">
        <v>1139</v>
      </c>
      <c r="N6">
        <f t="shared" ca="1" si="1"/>
        <v>0.15638338516384542</v>
      </c>
      <c r="Q6" s="125"/>
      <c r="R6" s="132" t="str" cm="1">
        <f t="array" aca="1" ref="R6" ca="1">IFERROR(INDEX(_xlfn._xlws.FILTER(Table11[Name], Table11[Table '#] = "Table1"), ROW(I3)), "")</f>
        <v xml:space="preserve">Dan De Leary </v>
      </c>
      <c r="S6" s="133" t="str" cm="1">
        <f t="array" aca="1" ref="S6" ca="1">IFERROR(INDEX(_xlfn._xlws.FILTER(Table11[Name], Table11[Table '#] = "Table1"), ROW(I7)), "")</f>
        <v>Jinglang Sun</v>
      </c>
      <c r="T6" s="124"/>
      <c r="V6" s="132" t="str" cm="1">
        <f t="array" aca="1" ref="V6" ca="1">IFERROR(INDEX(_xlfn._xlws.FILTER(Table11[Name], Table11[Table '#] = "Table2"), ROW(I3)), "")</f>
        <v>Kongduo Li</v>
      </c>
      <c r="W6" s="133" t="str" cm="1">
        <f t="array" aca="1" ref="W6" ca="1">IFERROR(INDEX(_xlfn._xlws.FILTER(Table11[Name], Table11[Table '#] = "Table2"), ROW(I7)), "")</f>
        <v>Marcus Athwal</v>
      </c>
      <c r="Z6" s="132" t="str" cm="1">
        <f t="array" aca="1" ref="Z6" ca="1">IFERROR(INDEX(_xlfn._xlws.FILTER(Table11[Name],Table11[Table '#]="Table3"),ROW(I3)),"")</f>
        <v>Richard Pan</v>
      </c>
      <c r="AA6" s="131" t="str" cm="1">
        <f t="array" aca="1" ref="AA6" ca="1">IFERROR(INDEX(_xlfn._xlws.FILTER(Table11[Name], Table11[Table '#] = "Table3"), ROW(I7)), "")</f>
        <v>Chris Kim</v>
      </c>
    </row>
    <row r="7" spans="2:27" ht="21">
      <c r="B7" s="59" t="s">
        <v>1133</v>
      </c>
      <c r="C7" s="59" t="s">
        <v>17</v>
      </c>
      <c r="D7" s="59" t="s">
        <v>1146</v>
      </c>
      <c r="E7" s="59" t="s">
        <v>883</v>
      </c>
      <c r="F7" s="59" t="s">
        <v>884</v>
      </c>
      <c r="G7" s="59" t="s">
        <v>177</v>
      </c>
      <c r="H7" s="59"/>
      <c r="I7">
        <v>5</v>
      </c>
      <c r="J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7" t="s">
        <v>109</v>
      </c>
      <c r="L7" t="s">
        <v>1147</v>
      </c>
      <c r="M7" t="s">
        <v>1139</v>
      </c>
      <c r="N7">
        <f t="shared" ca="1" si="1"/>
        <v>0.35552816005605359</v>
      </c>
      <c r="Q7" s="125"/>
      <c r="R7" s="134" t="str" cm="1">
        <f t="array" aca="1" ref="R7" ca="1">IFERROR(INDEX(_xlfn._xlws.FILTER(Table11[Name], Table11[Table '#] = "Table1"), ROW(I4)), "")</f>
        <v>Priyansh Sharma</v>
      </c>
      <c r="S7" s="135" t="str" cm="1">
        <f t="array" aca="1" ref="S7" ca="1">IFERROR(INDEX(_xlfn._xlws.FILTER(Table11[Name], Table11[Table '#] = "Table1"), ROW(I8)), "")</f>
        <v>Kalyan Jande</v>
      </c>
      <c r="T7" s="124"/>
      <c r="V7" s="134" t="str" cm="1">
        <f t="array" aca="1" ref="V7" ca="1">IFERROR(INDEX(_xlfn._xlws.FILTER(Table11[Name], Table11[Table '#] = "Table2"), ROW(I4)), "")</f>
        <v>Daniel Li</v>
      </c>
      <c r="W7" s="135" t="str" cm="1">
        <f t="array" aca="1" ref="W7" ca="1">IFERROR(INDEX(_xlfn._xlws.FILTER(Table11[Name], Table11[Table '#] = "Table2"), ROW(I8)), "")</f>
        <v>Anthony Braccio</v>
      </c>
      <c r="Z7" s="134" t="str" cm="1">
        <f t="array" aca="1" ref="Z7" ca="1">IFERROR(INDEX(_xlfn._xlws.FILTER(Table11[Name],Table11[Table '#]="Table3"),ROW(I4)),"")</f>
        <v>River Jiang</v>
      </c>
      <c r="AA7" s="133" t="str" cm="1">
        <f t="array" aca="1" ref="AA7" ca="1">IFERROR(INDEX(_xlfn._xlws.FILTER(Table11[Name], Table11[Table '#] = "Table3"), ROW(I8)), "")</f>
        <v>Edward Dong</v>
      </c>
    </row>
    <row r="8" spans="2:27" ht="19.5" customHeight="1">
      <c r="B8" s="56" t="s">
        <v>1148</v>
      </c>
      <c r="C8" s="56" t="s">
        <v>901</v>
      </c>
      <c r="D8" s="56" t="s">
        <v>186</v>
      </c>
      <c r="E8" s="56" t="s">
        <v>186</v>
      </c>
      <c r="F8" s="148">
        <v>0.91874999999999996</v>
      </c>
      <c r="G8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8" s="57"/>
      <c r="I8">
        <v>6</v>
      </c>
      <c r="J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8" t="s">
        <v>132</v>
      </c>
      <c r="L8" t="s">
        <v>1149</v>
      </c>
      <c r="M8" t="s">
        <v>1139</v>
      </c>
      <c r="N8">
        <f t="shared" ca="1" si="1"/>
        <v>0.47069622408004641</v>
      </c>
      <c r="Q8" s="125"/>
      <c r="T8" s="124"/>
      <c r="Z8" s="137"/>
      <c r="AA8" s="135" t="str" cm="1">
        <f t="array" aca="1" ref="AA8" ca="1">IFERROR(INDEX(_xlfn._xlws.FILTER(Table11[Name], Table11[Table '#] = "Table3"), ROW(I9)), "")</f>
        <v>Noah George</v>
      </c>
    </row>
    <row r="9" spans="2:27" ht="19.5" customHeight="1">
      <c r="B9" s="56" t="s">
        <v>1150</v>
      </c>
      <c r="C9" s="56" t="s">
        <v>887</v>
      </c>
      <c r="D9" s="56" t="s">
        <v>186</v>
      </c>
      <c r="E9" s="56" t="s">
        <v>186</v>
      </c>
      <c r="F9" s="148">
        <v>0.8256944444444444</v>
      </c>
      <c r="G9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9" s="57"/>
      <c r="I9">
        <v>7</v>
      </c>
      <c r="J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9" t="s">
        <v>43</v>
      </c>
      <c r="L9" t="str">
        <f ca="1">INDEX(Table11[Helper],MATCH(LARGE(Table11[Random],ROW()-2),Table11[Random],0))</f>
        <v>Table4</v>
      </c>
      <c r="M9" t="str">
        <f>"Table" &amp; ROUNDUP((ROW()-2)/8,0)</f>
        <v>Table1</v>
      </c>
      <c r="N9">
        <f t="shared" ca="1" si="1"/>
        <v>0.89276520313408791</v>
      </c>
      <c r="Q9" s="125"/>
      <c r="R9" s="167" t="s">
        <v>1151</v>
      </c>
      <c r="S9" s="167"/>
      <c r="T9" s="124"/>
      <c r="V9" s="167" t="s">
        <v>1152</v>
      </c>
      <c r="W9" s="167"/>
      <c r="Z9" s="167" t="s">
        <v>1153</v>
      </c>
      <c r="AA9" s="167"/>
    </row>
    <row r="10" spans="2:27" ht="19.5" customHeight="1">
      <c r="B10" s="56" t="s">
        <v>1154</v>
      </c>
      <c r="C10" s="56" t="s">
        <v>946</v>
      </c>
      <c r="D10" s="56" t="s">
        <v>186</v>
      </c>
      <c r="E10" s="56" t="s">
        <v>186</v>
      </c>
      <c r="F10" s="148">
        <v>0.82291666666666663</v>
      </c>
      <c r="G10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0" s="57"/>
      <c r="I10">
        <v>8</v>
      </c>
      <c r="J1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0" t="s">
        <v>888</v>
      </c>
      <c r="L10" t="str">
        <f ca="1">INDEX(Table11[Helper],MATCH(LARGE(Table11[Random],ROW()-8),Table11[Random],0))</f>
        <v>Table6</v>
      </c>
      <c r="M10" t="s">
        <v>1139</v>
      </c>
      <c r="N10">
        <f t="shared" ca="1" si="1"/>
        <v>0.16756281347338942</v>
      </c>
      <c r="Q10" s="125">
        <f ca="1">COUNTIF(Table11[Table '#],"Table4")</f>
        <v>10</v>
      </c>
      <c r="R10" s="139" t="s">
        <v>1140</v>
      </c>
      <c r="S10" s="139" t="s">
        <v>1141</v>
      </c>
      <c r="T10" s="124"/>
      <c r="U10" s="125">
        <f ca="1">COUNTIF(Table11[Table '#],"Table5")</f>
        <v>8</v>
      </c>
      <c r="V10" s="139" t="s">
        <v>1140</v>
      </c>
      <c r="W10" s="139" t="s">
        <v>1141</v>
      </c>
      <c r="Y10" s="125">
        <f ca="1">COUNTIF(Table11[Table '#],"Table6")</f>
        <v>8</v>
      </c>
      <c r="Z10" s="139" t="s">
        <v>1140</v>
      </c>
      <c r="AA10" s="139" t="s">
        <v>1141</v>
      </c>
    </row>
    <row r="11" spans="2:27" ht="19.5" customHeight="1">
      <c r="B11" s="56" t="s">
        <v>1150</v>
      </c>
      <c r="C11" s="56" t="s">
        <v>886</v>
      </c>
      <c r="D11" s="56" t="s">
        <v>186</v>
      </c>
      <c r="E11" s="56" t="s">
        <v>186</v>
      </c>
      <c r="F11" s="148">
        <v>0.81388888888888888</v>
      </c>
      <c r="G1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1" s="57"/>
      <c r="I11">
        <v>9</v>
      </c>
      <c r="J1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1" t="s">
        <v>891</v>
      </c>
      <c r="L11" t="str">
        <f ca="1">INDEX(Table11[Helper],MATCH(LARGE(Table11[Random],ROW()-8),Table11[Random],0))</f>
        <v>Table2</v>
      </c>
      <c r="M11" t="s">
        <v>1142</v>
      </c>
      <c r="N11">
        <f t="shared" ca="1" si="1"/>
        <v>0.35805498917402034</v>
      </c>
      <c r="Q11" s="126" cm="1">
        <f t="array" aca="1" ref="Q11" ca="1">(4*(AVERAGE(_xlfn.XLOOKUP(Table22[Button - UTG],Table11[Name],Table11[Rank],"Glitch",0,1)))+5*AVERAGE(_xlfn.XLOOKUP(Table22[UTG + 1 - CO],Table11[Name],Table11[Rank])))/9</f>
        <v>20.111111111111111</v>
      </c>
      <c r="R11" s="127" t="str" cm="1">
        <f t="array" aca="1" ref="R11" ca="1">IFERROR(INDEX(_xlfn._xlws.FILTER(Table11[Name], Table11[Table '#] = "Table4"), ROW(I1)), "")</f>
        <v>Ian Imrie</v>
      </c>
      <c r="S11" s="134" t="str" cm="1">
        <f t="array" aca="1" ref="S11" ca="1">IFERROR(INDEX(_xlfn._xlws.FILTER(Table11[Name], Table11[Table '#] = "Table4"), ROW(I5)), "")</f>
        <v>Thomas Liu</v>
      </c>
      <c r="T11" s="124"/>
      <c r="U11" s="126" t="e" cm="1">
        <f t="array" aca="1" ref="U11" ca="1">(4*(AVERAGE(_xlfn.XLOOKUP(Table38[Button - UTG],Table11[Name],Table11[Rank],"Glitch",0,1)))+5*AVERAGE(_xlfn.XLOOKUP(Table38[UTG + 1 - CO],Table11[Name],Table11[Rank])))/9</f>
        <v>#N/A</v>
      </c>
      <c r="V11" s="127" t="str" cm="1">
        <f t="array" aca="1" ref="V11" ca="1">IFERROR(INDEX(_xlfn._xlws.FILTER(Table11[Name], Table11[Table '#] = "Table5"), ROW(I1)), "")</f>
        <v>Elliott Beames</v>
      </c>
      <c r="W11" s="134" t="str" cm="1">
        <f t="array" aca="1" ref="W11" ca="1">IFERROR(INDEX(_xlfn._xlws.FILTER(Table11[Name], Table11[Table '#] = "Table5"), ROW(I5)), "")</f>
        <v>Aidan Kwong</v>
      </c>
      <c r="Y11" s="126" t="e" cm="1">
        <f t="array" aca="1" ref="Y11" ca="1">(4*(AVERAGE(_xlfn.XLOOKUP(Table42[Button - UTG],Table11[Name],Table11[Rank],"Glitch",0,1)))+5*AVERAGE(_xlfn.XLOOKUP(Table42[UTG + 1 - CO],Table11[Name],Table11[Rank])))/9</f>
        <v>#N/A</v>
      </c>
      <c r="Z11" s="127" t="str" cm="1">
        <f t="array" aca="1" ref="Z11" ca="1">IFERROR(INDEX(_xlfn._xlws.FILTER(Table11[Name], Table11[Table '#] = "Table6"), ROW(I1)), "")</f>
        <v>Matthew Fernandes</v>
      </c>
      <c r="AA11" s="134" t="str" cm="1">
        <f t="array" aca="1" ref="AA11" ca="1">IFERROR(INDEX(_xlfn._xlws.FILTER(Table11[Name], Table11[Table '#] = "Table6"), ROW(I5)), "")</f>
        <v>Ryan Chen</v>
      </c>
    </row>
    <row r="12" spans="2:27" ht="19.5" customHeight="1">
      <c r="B12" s="56" t="s">
        <v>1155</v>
      </c>
      <c r="C12" s="56" t="s">
        <v>943</v>
      </c>
      <c r="D12" s="56" t="s">
        <v>186</v>
      </c>
      <c r="E12" s="56" t="s">
        <v>186</v>
      </c>
      <c r="F12" s="148">
        <v>0.81388888888888888</v>
      </c>
      <c r="G12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2" s="57"/>
      <c r="I12">
        <v>10</v>
      </c>
      <c r="J1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2" t="s">
        <v>887</v>
      </c>
      <c r="L12" t="str">
        <f ca="1">INDEX(Table11[Helper],MATCH(LARGE(Table11[Random],ROW()-8),Table11[Random],0))</f>
        <v>Table3</v>
      </c>
      <c r="M12" t="s">
        <v>1142</v>
      </c>
      <c r="N12">
        <f t="shared" ca="1" si="1"/>
        <v>0.74311697983208147</v>
      </c>
      <c r="Q12" s="129">
        <f ca="1">SUM(VALUE(_xlfn.XLOOKUP($R$11, Table11[Name], Table11[Stack Size], "WTF", 0)), VALUE(_xlfn.XLOOKUP($R$12, Table11[Name], Table11[Stack Size], "WTF", 0)), VALUE(_xlfn.XLOOKUP($R$13, Table11[Name], Table11[Stack Size], "WTF", 0)), VALUE(_xlfn.XLOOKUP($R$14, Table11[Name], Table11[Stack Size], "WTF", 0)), VALUE(_xlfn.XLOOKUP($S$11, Table11[Name], Table11[Stack Size], "WTF", 0)), VALUE(_xlfn.XLOOKUP($S$12, Table11[Name], Table11[Stack Size], "WTF", 0)), VALUE(_xlfn.XLOOKUP($S$13, Table11[Name], Table11[Stack Size], "WTF", 0)), VALUE(_xlfn.XLOOKUP($S$14, Table11[Name], Table11[Stack Size], "WTF", 0)), VALUE(_xlfn.XLOOKUP($S$15, Table11[Name], Table11[Stack Size], "WTF", 0)))/9</f>
        <v>9333.3333333333339</v>
      </c>
      <c r="R12" s="130" t="str" cm="1">
        <f t="array" aca="1" ref="R12" ca="1">IFERROR(INDEX(_xlfn._xlws.FILTER(Table11[Name], Table11[Table '#] = "Table4"), ROW(I2)), "")</f>
        <v>Pavel Zykmund</v>
      </c>
      <c r="S12" s="128" t="str" cm="1">
        <f t="array" aca="1" ref="S12" ca="1">IFERROR(INDEX(_xlfn._xlws.FILTER(Table11[Name], Table11[Table '#] = "Table4"), ROW(I6)), "")</f>
        <v>Dikang Fu</v>
      </c>
      <c r="T12" s="124"/>
      <c r="U12" s="129" t="e">
        <f ca="1">SUM(VALUE(_xlfn.XLOOKUP($V$11, Table11[Name], Table11[Stack Size], "WTF", 0)), VALUE(_xlfn.XLOOKUP($V$12, Table11[Name], Table11[Stack Size], "WTF", 0)), VALUE(_xlfn.XLOOKUP($V$13, Table11[Name], Table11[Stack Size], "WTF", 0)), VALUE(_xlfn.XLOOKUP($V$14, Table11[Name], Table11[Stack Size], "WTF", 0)), VALUE(_xlfn.XLOOKUP($W$11, Table11[Name], Table11[Stack Size], "WTF", 0)), VALUE(_xlfn.XLOOKUP($W$12, Table11[Name], Table11[Stack Size], "WTF", 0)), VALUE(_xlfn.XLOOKUP($W$13, Table11[Name], Table11[Stack Size], "WTF", 0)), VALUE(_xlfn.XLOOKUP($W$14, Table11[Name], Table11[Stack Size], "WTF", 0)), VALUE(_xlfn.XLOOKUP($W$15, Table11[Name], Table11[Stack Size], "WTF", 0)))/9</f>
        <v>#VALUE!</v>
      </c>
      <c r="V12" s="130" t="str" cm="1">
        <f t="array" aca="1" ref="V12" ca="1">IFERROR(INDEX(_xlfn._xlws.FILTER(Table11[Name], Table11[Table '#] = "Table5"), ROW(I2)), "")</f>
        <v>Victor Pivtoran</v>
      </c>
      <c r="W12" s="128" t="str" cm="1">
        <f t="array" aca="1" ref="W12" ca="1">IFERROR(INDEX(_xlfn._xlws.FILTER(Table11[Name], Table11[Table '#] = "Table5"), ROW(I6)), "")</f>
        <v>Sawyer Sanderson</v>
      </c>
      <c r="Y12" s="129" t="e">
        <f ca="1">SUM(VALUE(_xlfn.XLOOKUP($Z$11, Table11[Name], Table11[Stack Size], "WTF", 0)), VALUE(_xlfn.XLOOKUP($Z$12, Table11[Name], Table11[Stack Size], "WTF", 0)), VALUE(_xlfn.XLOOKUP($Z$13, Table11[Name], Table11[Stack Size], "WTF", 0)), VALUE(_xlfn.XLOOKUP($Z$14, Table11[Name], Table11[Stack Size], "WTF", 0)), VALUE(_xlfn.XLOOKUP($AA$11, Table11[Name], Table11[Stack Size], "WTF", 0)), VALUE(_xlfn.XLOOKUP($AA$12, Table11[Name], Table11[Stack Size], "WTF", 0)), VALUE(_xlfn.XLOOKUP($AA$13, Table11[Name], Table11[Stack Size], "WTF", 0)), VALUE(_xlfn.XLOOKUP($AA$14, Table11[Name], Table11[Stack Size], "WTF", 0)), VALUE(_xlfn.XLOOKUP($AA$15, Table11[Name], Table11[Stack Size], "WTF", 0)))/9</f>
        <v>#VALUE!</v>
      </c>
      <c r="Z12" s="130" t="str" cm="1">
        <f t="array" aca="1" ref="Z12" ca="1">IFERROR(INDEX(_xlfn._xlws.FILTER(Table11[Name], Table11[Table '#] = "Table6"), ROW(I2)), "")</f>
        <v>Edison Li</v>
      </c>
      <c r="AA12" s="128" t="str" cm="1">
        <f t="array" aca="1" ref="AA12" ca="1">IFERROR(INDEX(_xlfn._xlws.FILTER(Table11[Name], Table11[Table '#] = "Table6"), ROW(I6)), "")</f>
        <v>Ilya Beuermann</v>
      </c>
    </row>
    <row r="13" spans="2:27" ht="19.5" customHeight="1">
      <c r="B13" s="56" t="s">
        <v>1155</v>
      </c>
      <c r="C13" s="56" t="s">
        <v>978</v>
      </c>
      <c r="D13" s="56" t="s">
        <v>186</v>
      </c>
      <c r="E13" s="56" t="s">
        <v>186</v>
      </c>
      <c r="F13" s="148">
        <v>0.81319444444444444</v>
      </c>
      <c r="G13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3" s="57"/>
      <c r="I13">
        <v>10</v>
      </c>
      <c r="J1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10,000</v>
      </c>
      <c r="K13" t="s">
        <v>900</v>
      </c>
      <c r="L13" t="str">
        <f ca="1">INDEX(Table11[Helper],MATCH(LARGE(Table11[Random],ROW()-8),Table11[Random],0))</f>
        <v>Table1</v>
      </c>
      <c r="M13" t="s">
        <v>1142</v>
      </c>
      <c r="N13">
        <f t="shared" ca="1" si="1"/>
        <v>0.1787763441763619</v>
      </c>
      <c r="Q13" s="125"/>
      <c r="R13" s="136" t="str" cm="1">
        <f t="array" aca="1" ref="R13" ca="1">IFERROR(INDEX(_xlfn._xlws.FILTER(Table11[Name], Table11[Table '#] = "Table4"), ROW(I3)), "")</f>
        <v>Daniel Musoni</v>
      </c>
      <c r="S13" s="131" t="str" cm="1">
        <f t="array" aca="1" ref="S13" ca="1">IFERROR(INDEX(_xlfn._xlws.FILTER(Table11[Name], Table11[Table '#] = "Table4"), ROW(I7)), "")</f>
        <v>Alexander Kowalski</v>
      </c>
      <c r="T13" s="124"/>
      <c r="V13" s="136" t="str" cm="1">
        <f t="array" aca="1" ref="V13" ca="1">IFERROR(INDEX(_xlfn._xlws.FILTER(Table11[Name], Table11[Table '#] = "Table5"), ROW(I3)), "")</f>
        <v>Liam Carter</v>
      </c>
      <c r="W13" s="131" t="str" cm="1">
        <f t="array" aca="1" ref="W13" ca="1">IFERROR(INDEX(_xlfn._xlws.FILTER(Table11[Name], Table11[Table '#] = "Table5"), ROW(I7)), "")</f>
        <v>Adrian Liu</v>
      </c>
      <c r="Z13" s="136" t="str" cm="1">
        <f t="array" aca="1" ref="Z13" ca="1">IFERROR(INDEX(_xlfn._xlws.FILTER(Table11[Name], Table11[Table '#] = "Table6"), ROW(I3)), "")</f>
        <v>Yue Wang</v>
      </c>
      <c r="AA13" s="131" t="str" cm="1">
        <f t="array" aca="1" ref="AA13" ca="1">IFERROR(INDEX(_xlfn._xlws.FILTER(Table11[Name], Table11[Table '#] = "Table6"), ROW(I7)), "")</f>
        <v>Lucy Kim</v>
      </c>
    </row>
    <row r="14" spans="2:27" ht="19.5" customHeight="1">
      <c r="B14" s="56" t="s">
        <v>1156</v>
      </c>
      <c r="C14" s="56" t="s">
        <v>152</v>
      </c>
      <c r="D14" s="56" t="s">
        <v>186</v>
      </c>
      <c r="E14" s="56" t="s">
        <v>186</v>
      </c>
      <c r="F14" s="148">
        <v>0.80277777777777781</v>
      </c>
      <c r="G14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4" s="57"/>
      <c r="I14">
        <v>12</v>
      </c>
      <c r="J1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4" t="s">
        <v>160</v>
      </c>
      <c r="L14" t="str">
        <f ca="1">INDEX(Table11[Helper],MATCH(LARGE(Table11[Random],ROW()-8),Table11[Random],0))</f>
        <v>Table3</v>
      </c>
      <c r="M14" t="s">
        <v>1142</v>
      </c>
      <c r="N14">
        <f t="shared" ca="1" si="1"/>
        <v>0.88520104450633164</v>
      </c>
      <c r="R14" s="132" t="str" cm="1">
        <f t="array" aca="1" ref="R14" ca="1">IFERROR(INDEX(_xlfn._xlws.FILTER(Table11[Name], Table11[Table '#] = "Table4"), ROW(I4)), "")</f>
        <v>Verissa Liu</v>
      </c>
      <c r="S14" s="133" t="str" cm="1">
        <f t="array" aca="1" ref="S14" ca="1">IFERROR(INDEX(_xlfn._xlws.FILTER(Table11[Name], Table11[Table '#] = "Table4"), ROW(I8)), "")</f>
        <v>William Vu</v>
      </c>
      <c r="T14" s="124"/>
      <c r="V14" s="132" t="str" cm="1">
        <f t="array" aca="1" ref="V14" ca="1">IFERROR(INDEX(_xlfn._xlws.FILTER(Table11[Name], Table11[Table '#] = "Table5"), ROW(I4)), "")</f>
        <v>Luckshane Imparaza</v>
      </c>
      <c r="W14" s="133" t="str" cm="1">
        <f t="array" aca="1" ref="W14" ca="1">IFERROR(INDEX(_xlfn._xlws.FILTER(Table11[Name], Table11[Table '#] = "Table5"), ROW(I8)), "")</f>
        <v>Dominic Chiera</v>
      </c>
      <c r="Z14" s="132" t="str" cm="1">
        <f t="array" aca="1" ref="Z14" ca="1">IFERROR(INDEX(_xlfn._xlws.FILTER(Table11[Name], Table11[Table '#] = "Table6"), ROW(I4)), "")</f>
        <v>Hooman Nozari</v>
      </c>
      <c r="AA14" s="133" t="str" cm="1">
        <f t="array" aca="1" ref="AA14" ca="1">IFERROR(INDEX(_xlfn._xlws.FILTER(Table11[Name], Table11[Table '#] = "Table6"), ROW(I8)), "")</f>
        <v>Punit Guddeti</v>
      </c>
    </row>
    <row r="15" spans="2:27" ht="19.5" customHeight="1">
      <c r="B15" s="56" t="s">
        <v>1148</v>
      </c>
      <c r="C15" s="56" t="s">
        <v>889</v>
      </c>
      <c r="D15" s="56" t="s">
        <v>186</v>
      </c>
      <c r="E15" s="56" t="s">
        <v>186</v>
      </c>
      <c r="F15" s="148">
        <v>0.79513888888888884</v>
      </c>
      <c r="G15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15" s="57"/>
      <c r="I15">
        <v>12</v>
      </c>
      <c r="J1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5" t="s">
        <v>889</v>
      </c>
      <c r="L15" t="str">
        <f ca="1">INDEX(Table11[Helper],MATCH(LARGE(Table11[Random],ROW()-8),Table11[Random],0))</f>
        <v>Table4</v>
      </c>
      <c r="M15" t="s">
        <v>1142</v>
      </c>
      <c r="N15">
        <f t="shared" ca="1" si="1"/>
        <v>0.67772794246156376</v>
      </c>
      <c r="R15" s="137"/>
      <c r="S15" s="135" t="str" cm="1">
        <f t="array" aca="1" ref="S15" ca="1">IFERROR(INDEX(_xlfn._xlws.FILTER(Table11[Name], Table11[Table '#] = "Table4"), ROW(I10)), "")</f>
        <v>Yoni Silbershatz</v>
      </c>
      <c r="T15" s="124"/>
      <c r="V15" s="137"/>
      <c r="W15" s="135" t="str" cm="1">
        <f t="array" aca="1" ref="W15" ca="1">IFERROR(INDEX(_xlfn._xlws.FILTER(Table11[Name], Table11[Table '#] = "Table5"), ROW(I10)), "")</f>
        <v/>
      </c>
      <c r="Z15" s="137"/>
      <c r="AA15" s="135" t="str" cm="1">
        <f t="array" aca="1" ref="AA15" ca="1">IFERROR(INDEX(_xlfn._xlws.FILTER(Table11[Name], Table11[Table '#] = "Table6"), ROW(I10)), "")</f>
        <v/>
      </c>
    </row>
    <row r="16" spans="2:27" ht="19.5" customHeight="1">
      <c r="B16" s="56" t="s">
        <v>1150</v>
      </c>
      <c r="C16" s="56" t="s">
        <v>47</v>
      </c>
      <c r="D16" s="56" t="s">
        <v>186</v>
      </c>
      <c r="E16" s="56"/>
      <c r="F16" s="148"/>
      <c r="G1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6" s="57"/>
      <c r="I16">
        <v>12</v>
      </c>
      <c r="J1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6" t="s">
        <v>903</v>
      </c>
      <c r="L16" t="str">
        <f ca="1">INDEX(Table11[Helper],MATCH(LARGE(Table11[Random],ROW()-8),Table11[Random],0))</f>
        <v>Table2</v>
      </c>
      <c r="M16" t="s">
        <v>1142</v>
      </c>
      <c r="N16">
        <f t="shared" ca="1" si="1"/>
        <v>0.987865026877356</v>
      </c>
      <c r="T16" s="124"/>
    </row>
    <row r="17" spans="2:27" ht="19.5" customHeight="1">
      <c r="B17" s="56" t="s">
        <v>1150</v>
      </c>
      <c r="C17" s="56" t="s">
        <v>899</v>
      </c>
      <c r="D17" s="56" t="s">
        <v>186</v>
      </c>
      <c r="E17" s="56"/>
      <c r="F17" s="148"/>
      <c r="G1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7" s="57"/>
      <c r="I17">
        <v>12</v>
      </c>
      <c r="J1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7" t="s">
        <v>901</v>
      </c>
      <c r="L17" t="str">
        <f ca="1">INDEX(Table11[Helper],MATCH(LARGE(Table11[Random],ROW()-8),Table11[Random],0))</f>
        <v>Table6</v>
      </c>
      <c r="M17" t="s">
        <v>1142</v>
      </c>
      <c r="N17">
        <f t="shared" ca="1" si="1"/>
        <v>0.51048674700872643</v>
      </c>
      <c r="T17" s="124"/>
    </row>
    <row r="18" spans="2:27" ht="19.5" customHeight="1">
      <c r="B18" s="56" t="s">
        <v>1150</v>
      </c>
      <c r="C18" s="56" t="s">
        <v>890</v>
      </c>
      <c r="D18" s="56" t="s">
        <v>186</v>
      </c>
      <c r="E18" s="56"/>
      <c r="F18" s="148"/>
      <c r="G1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8" s="57"/>
      <c r="I18">
        <v>16</v>
      </c>
      <c r="J1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8" t="s">
        <v>168</v>
      </c>
      <c r="L18" t="str">
        <f ca="1">INDEX(Table11[Helper],MATCH(LARGE(Table11[Random],ROW()-8),Table11[Random],0))</f>
        <v>Table4</v>
      </c>
      <c r="M18" t="s">
        <v>1142</v>
      </c>
      <c r="N18">
        <f t="shared" ca="1" si="1"/>
        <v>0.97143815998712568</v>
      </c>
      <c r="R18" s="127" t="s">
        <v>11</v>
      </c>
      <c r="S18" s="137" t="s">
        <v>1157</v>
      </c>
      <c r="V18" s="138" t="e">
        <f ca="1">(8*($Q$4+$U$4+$Y$4)+9*($Q$11+$U$11+$Y$11))/51</f>
        <v>#N/A</v>
      </c>
      <c r="W18" t="s">
        <v>1158</v>
      </c>
      <c r="AA18" s="40" t="e">
        <f ca="1">(8*(Q5+U5+Y5)+9*(Q12+U12+Y12))/51</f>
        <v>#VALUE!</v>
      </c>
    </row>
    <row r="19" spans="2:27" ht="19.5" customHeight="1">
      <c r="B19" s="56" t="s">
        <v>1150</v>
      </c>
      <c r="C19" s="56" t="s">
        <v>109</v>
      </c>
      <c r="D19" s="56" t="s">
        <v>190</v>
      </c>
      <c r="E19" s="56"/>
      <c r="F19" s="148"/>
      <c r="G1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19" s="57"/>
      <c r="I19">
        <v>16</v>
      </c>
      <c r="J1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19" t="s">
        <v>908</v>
      </c>
      <c r="L19" t="str">
        <f ca="1">INDEX(Table11[Helper],MATCH(LARGE(Table11[Random],ROW()-8),Table11[Random],0))</f>
        <v>Table3</v>
      </c>
      <c r="M19" t="s">
        <v>1142</v>
      </c>
      <c r="N19">
        <f t="shared" ca="1" si="1"/>
        <v>0.30502764119948211</v>
      </c>
      <c r="R19" s="135" t="s">
        <v>1159</v>
      </c>
      <c r="S19" s="137" t="s">
        <v>1160</v>
      </c>
      <c r="AA19" cm="1">
        <f t="array" ref="AA19">AVERAGE(VALUE(Table11[Stack Size]))</f>
        <v>9009.6153846153848</v>
      </c>
    </row>
    <row r="20" spans="2:27" ht="19.5" customHeight="1">
      <c r="B20" s="56" t="s">
        <v>1150</v>
      </c>
      <c r="C20" s="56" t="s">
        <v>132</v>
      </c>
      <c r="D20" s="56" t="s">
        <v>186</v>
      </c>
      <c r="E20" s="56"/>
      <c r="F20" s="148"/>
      <c r="G2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0" s="57"/>
      <c r="I20">
        <v>18</v>
      </c>
      <c r="J2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0" t="s">
        <v>902</v>
      </c>
      <c r="L20" t="str">
        <f ca="1">INDEX(Table11[Helper],MATCH(LARGE(Table11[Random],ROW()-8),Table11[Random],0))</f>
        <v>Table4</v>
      </c>
      <c r="M20" t="s">
        <v>1144</v>
      </c>
      <c r="N20">
        <f t="shared" ca="1" si="1"/>
        <v>0.94592719307312201</v>
      </c>
      <c r="R20" s="133" t="s">
        <v>1161</v>
      </c>
      <c r="S20" s="137" t="s">
        <v>1162</v>
      </c>
      <c r="V20" s="168" t="s">
        <v>1163</v>
      </c>
      <c r="W20" s="168"/>
    </row>
    <row r="21" spans="2:27" ht="19.5" customHeight="1">
      <c r="B21" s="56" t="s">
        <v>1150</v>
      </c>
      <c r="C21" s="56" t="s">
        <v>43</v>
      </c>
      <c r="D21" s="56" t="s">
        <v>186</v>
      </c>
      <c r="E21" s="56" t="s">
        <v>186</v>
      </c>
      <c r="F21" s="148"/>
      <c r="G2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1" s="57"/>
      <c r="I21">
        <v>19</v>
      </c>
      <c r="J2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1" t="s">
        <v>911</v>
      </c>
      <c r="L21" t="str">
        <f ca="1">INDEX(Table11[Helper],MATCH(LARGE(Table11[Random],ROW()-8),Table11[Random],0))</f>
        <v>Table2</v>
      </c>
      <c r="M21" t="s">
        <v>1144</v>
      </c>
      <c r="N21">
        <f t="shared" ca="1" si="1"/>
        <v>0.22207245724751212</v>
      </c>
      <c r="R21" s="131" t="s">
        <v>12</v>
      </c>
      <c r="S21" s="137" t="s">
        <v>1164</v>
      </c>
      <c r="V21" s="169" t="e">
        <f ca="1">IF(AND($Q$4&gt;=$X$21,$U$4&gt;=$X$21,$Y$4&gt;=$X$21,$Q$11&gt;=$X$21,$U$11&gt;=$X$21,$Y$11&gt;=$X$21)=TRUE,"No tables are too strong",_xlfn.TEXTJOIN(" &amp; ",TRUE,IF(Q4&lt;=$X$21,"Table 1 is too strong",""),IF(U4&lt;=$X$21,"Table 2 is too strong",""),IF(Y4&lt;=$X$21,"Table 3 is too strong",""),IF(Q11&lt;=$X$21,"Table 4 is too strong",""),IF(U11&lt;=$X$21,"Table 5 is too strong",""),IF(Y11&lt;=$X$21,"Table 6 is too strong","")))</f>
        <v>#N/A</v>
      </c>
      <c r="W21" s="169"/>
      <c r="X21" s="125">
        <v>20</v>
      </c>
      <c r="Y21" t="s">
        <v>1165</v>
      </c>
    </row>
    <row r="22" spans="2:27" ht="19.5" customHeight="1">
      <c r="B22" s="56" t="s">
        <v>1150</v>
      </c>
      <c r="C22" s="56" t="s">
        <v>888</v>
      </c>
      <c r="D22" s="56" t="s">
        <v>186</v>
      </c>
      <c r="E22" s="56"/>
      <c r="F22" s="148"/>
      <c r="G2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2" s="57"/>
      <c r="I22">
        <v>20</v>
      </c>
      <c r="J2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9500</v>
      </c>
      <c r="K22" t="s">
        <v>107</v>
      </c>
      <c r="L22" t="str">
        <f ca="1">INDEX(Table11[Helper],MATCH(LARGE(Table11[Random],ROW()-8),Table11[Random],0))</f>
        <v>Table4</v>
      </c>
      <c r="M22" t="s">
        <v>1144</v>
      </c>
      <c r="N22">
        <f t="shared" ca="1" si="1"/>
        <v>0.23560759837834</v>
      </c>
      <c r="R22" s="128" t="s">
        <v>13</v>
      </c>
      <c r="S22" s="137" t="s">
        <v>1166</v>
      </c>
      <c r="V22" s="169" t="e">
        <f ca="1">IF(AND($Q$4&lt;=$X$22,$U$4&lt;=$X$22,$Y$4&lt;=$X$22,$Q$11&lt;=$X$22,$U$11&lt;=$X$22,$Y$11&lt;=$X$22) = TRUE, "No tables are too weak", _xlfn.TEXTJOIN(" &amp; ", TRUE, IF($Q$4 &gt;=$X$22, "Table 1 is too weak", ""), IF($U$4 &gt;=$X$22, "Table 2 is too weak", ""), IF($Y$4 &gt;=$X$22, "Table 3 is too weak", ""), IF($Q$11 &gt;=$X$22, "Table 4 is too weak", ""), IF($U$11 &gt;=$X$22, "Table 5 is too weak", ""), IF($Y$11 &gt;=$X$22, "Table 6 is too weak", "")))</f>
        <v>#N/A</v>
      </c>
      <c r="W22" s="169"/>
      <c r="X22" s="125">
        <v>30</v>
      </c>
      <c r="Y22" t="s">
        <v>1167</v>
      </c>
    </row>
    <row r="23" spans="2:27" ht="19.5" customHeight="1">
      <c r="B23" s="56" t="s">
        <v>1150</v>
      </c>
      <c r="C23" s="56" t="s">
        <v>891</v>
      </c>
      <c r="D23" s="56" t="s">
        <v>186</v>
      </c>
      <c r="E23" s="56" t="s">
        <v>186</v>
      </c>
      <c r="F23" s="148"/>
      <c r="G23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3" s="57"/>
      <c r="I23">
        <v>21</v>
      </c>
      <c r="J2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3" t="s">
        <v>919</v>
      </c>
      <c r="L23" t="str">
        <f ca="1">INDEX(Table11[Helper],MATCH(LARGE(Table11[Random],ROW()-8),Table11[Random],0))</f>
        <v>Table5</v>
      </c>
      <c r="M23" t="s">
        <v>1144</v>
      </c>
      <c r="N23">
        <f t="shared" ca="1" si="1"/>
        <v>0.66286885791884964</v>
      </c>
      <c r="R23" s="134" t="s">
        <v>1168</v>
      </c>
      <c r="S23" s="137" t="s">
        <v>1169</v>
      </c>
    </row>
    <row r="24" spans="2:27" ht="19.5" customHeight="1">
      <c r="B24" s="146" t="s">
        <v>1150</v>
      </c>
      <c r="C24" s="56" t="s">
        <v>900</v>
      </c>
      <c r="D24" s="56" t="s">
        <v>186</v>
      </c>
      <c r="E24" s="56"/>
      <c r="F24" s="148"/>
      <c r="G2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4" s="57"/>
      <c r="I24">
        <v>22</v>
      </c>
      <c r="J2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4" t="s">
        <v>929</v>
      </c>
      <c r="L24" t="str">
        <f ca="1">INDEX(Table11[Helper],MATCH(LARGE(Table11[Random],ROW()-8),Table11[Random],0))</f>
        <v>Table1</v>
      </c>
      <c r="M24" t="s">
        <v>1144</v>
      </c>
      <c r="N24">
        <f t="shared" ca="1" si="1"/>
        <v>0.8923135184440647</v>
      </c>
      <c r="R24" s="132" t="s">
        <v>1170</v>
      </c>
      <c r="S24" s="137" t="s">
        <v>1171</v>
      </c>
    </row>
    <row r="25" spans="2:27" ht="19.5" customHeight="1">
      <c r="B25" s="56" t="s">
        <v>1148</v>
      </c>
      <c r="C25" s="56" t="s">
        <v>160</v>
      </c>
      <c r="D25" s="56" t="s">
        <v>186</v>
      </c>
      <c r="E25" s="56"/>
      <c r="F25" s="148"/>
      <c r="G2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5" s="57"/>
      <c r="I25">
        <v>22</v>
      </c>
      <c r="J2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5" t="s">
        <v>894</v>
      </c>
      <c r="L25" t="str">
        <f ca="1">INDEX(Table11[Helper],MATCH(LARGE(Table11[Random],ROW()-8),Table11[Random],0))</f>
        <v>Table5</v>
      </c>
      <c r="M25" t="s">
        <v>1144</v>
      </c>
      <c r="N25">
        <f t="shared" ca="1" si="1"/>
        <v>0.22597718403166633</v>
      </c>
      <c r="R25" s="136" t="s">
        <v>1172</v>
      </c>
      <c r="S25" s="137" t="s">
        <v>1173</v>
      </c>
    </row>
    <row r="26" spans="2:27" ht="19.5" customHeight="1">
      <c r="B26" s="56" t="s">
        <v>1148</v>
      </c>
      <c r="C26" s="56" t="s">
        <v>903</v>
      </c>
      <c r="D26" s="56" t="s">
        <v>186</v>
      </c>
      <c r="E26" s="56"/>
      <c r="F26" s="148"/>
      <c r="G2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6" s="57"/>
      <c r="I26">
        <v>22</v>
      </c>
      <c r="J2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6" t="s">
        <v>930</v>
      </c>
      <c r="L26" t="str">
        <f ca="1">INDEX(Table11[Helper],MATCH(LARGE(Table11[Random],ROW()-8),Table11[Random],0))</f>
        <v>Table2</v>
      </c>
      <c r="M26" t="s">
        <v>1144</v>
      </c>
      <c r="N26">
        <f t="shared" ca="1" si="1"/>
        <v>0.79634862050038002</v>
      </c>
      <c r="R26" s="130" t="s">
        <v>1174</v>
      </c>
      <c r="S26" s="137" t="s">
        <v>1175</v>
      </c>
    </row>
    <row r="27" spans="2:27" ht="19.5" customHeight="1">
      <c r="B27" s="56" t="s">
        <v>1148</v>
      </c>
      <c r="C27" s="56" t="s">
        <v>168</v>
      </c>
      <c r="D27" s="56" t="s">
        <v>186</v>
      </c>
      <c r="E27" s="56"/>
      <c r="F27" s="148"/>
      <c r="G2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7" s="57"/>
      <c r="I27">
        <v>25</v>
      </c>
      <c r="J2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7" t="s">
        <v>898</v>
      </c>
      <c r="L27" t="str">
        <f ca="1">INDEX(Table11[Helper],MATCH(LARGE(Table11[Random],ROW()-8),Table11[Random],0))</f>
        <v>Table3</v>
      </c>
      <c r="M27" t="s">
        <v>1144</v>
      </c>
      <c r="N27">
        <f t="shared" ca="1" si="1"/>
        <v>0.65557864500681184</v>
      </c>
    </row>
    <row r="28" spans="2:27" ht="19.5" customHeight="1">
      <c r="B28" s="56" t="s">
        <v>1148</v>
      </c>
      <c r="C28" s="56" t="s">
        <v>908</v>
      </c>
      <c r="D28" s="56" t="s">
        <v>186</v>
      </c>
      <c r="E28" s="56" t="s">
        <v>186</v>
      </c>
      <c r="F28" s="148"/>
      <c r="G28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28" s="57"/>
      <c r="I28">
        <v>26</v>
      </c>
      <c r="J2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8" t="s">
        <v>48</v>
      </c>
      <c r="L28" t="str">
        <f ca="1">INDEX(Table11[Helper],MATCH(LARGE(Table11[Random],ROW()-8),Table11[Random],0))</f>
        <v>Table3</v>
      </c>
      <c r="M28" t="s">
        <v>1145</v>
      </c>
      <c r="N28">
        <f t="shared" ca="1" si="1"/>
        <v>0.72948689133223277</v>
      </c>
    </row>
    <row r="29" spans="2:27" ht="19.5" customHeight="1">
      <c r="B29" s="56" t="s">
        <v>1148</v>
      </c>
      <c r="C29" s="56" t="s">
        <v>902</v>
      </c>
      <c r="D29" s="56" t="s">
        <v>186</v>
      </c>
      <c r="E29" s="56"/>
      <c r="F29" s="148"/>
      <c r="G2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29" s="57"/>
      <c r="I29">
        <v>26</v>
      </c>
      <c r="J2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29" t="s">
        <v>152</v>
      </c>
      <c r="L29" t="str">
        <f ca="1">INDEX(Table11[Helper],MATCH(LARGE(Table11[Random],ROW()-8),Table11[Random],0))</f>
        <v>Table1</v>
      </c>
      <c r="M29" t="s">
        <v>1145</v>
      </c>
      <c r="N29">
        <f t="shared" ca="1" si="1"/>
        <v>0.81729259955413225</v>
      </c>
    </row>
    <row r="30" spans="2:27" ht="19.5" customHeight="1">
      <c r="B30" s="56" t="s">
        <v>1148</v>
      </c>
      <c r="C30" s="56" t="s">
        <v>911</v>
      </c>
      <c r="D30" s="56"/>
      <c r="E30" s="56"/>
      <c r="F30" s="148"/>
      <c r="G3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0" s="57"/>
      <c r="I30">
        <v>28</v>
      </c>
      <c r="J3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0" t="s">
        <v>913</v>
      </c>
      <c r="L30" t="str">
        <f ca="1">INDEX(Table11[Helper],MATCH(LARGE(Table11[Random],ROW()-8),Table11[Random],0))</f>
        <v>Table4</v>
      </c>
      <c r="M30" t="s">
        <v>1145</v>
      </c>
      <c r="N30">
        <f t="shared" ca="1" si="1"/>
        <v>0.77947260219584524</v>
      </c>
    </row>
    <row r="31" spans="2:27" ht="19.5" customHeight="1">
      <c r="B31" s="56" t="s">
        <v>1148</v>
      </c>
      <c r="C31" s="56" t="s">
        <v>107</v>
      </c>
      <c r="D31" s="56" t="s">
        <v>186</v>
      </c>
      <c r="E31" s="56" t="s">
        <v>186</v>
      </c>
      <c r="F31" s="148"/>
      <c r="G3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1" s="57"/>
      <c r="I31">
        <v>29</v>
      </c>
      <c r="J3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1" t="s">
        <v>907</v>
      </c>
      <c r="L31" t="str">
        <f ca="1">INDEX(Table11[Helper],MATCH(LARGE(Table11[Random],ROW()-8),Table11[Random],0))</f>
        <v>Table2</v>
      </c>
      <c r="M31" t="s">
        <v>1145</v>
      </c>
      <c r="N31">
        <f t="shared" ca="1" si="1"/>
        <v>0.41624363864568137</v>
      </c>
    </row>
    <row r="32" spans="2:27" ht="19.5" customHeight="1">
      <c r="B32" s="56" t="s">
        <v>1156</v>
      </c>
      <c r="C32" s="56" t="s">
        <v>919</v>
      </c>
      <c r="D32" s="56" t="s">
        <v>186</v>
      </c>
      <c r="E32" s="56"/>
      <c r="F32" s="148"/>
      <c r="G3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2" s="57"/>
      <c r="I32">
        <v>29</v>
      </c>
      <c r="J3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2" t="s">
        <v>926</v>
      </c>
      <c r="L32" t="str">
        <f ca="1">INDEX(Table11[Helper],MATCH(LARGE(Table11[Random],ROW()-8),Table11[Random],0))</f>
        <v>Table6</v>
      </c>
      <c r="M32" t="s">
        <v>1145</v>
      </c>
      <c r="N32">
        <f t="shared" ca="1" si="1"/>
        <v>0.89224320398344603</v>
      </c>
    </row>
    <row r="33" spans="2:25" ht="19.5" customHeight="1">
      <c r="B33" s="56" t="s">
        <v>1156</v>
      </c>
      <c r="C33" s="56" t="s">
        <v>929</v>
      </c>
      <c r="D33" s="56" t="s">
        <v>186</v>
      </c>
      <c r="E33" s="56"/>
      <c r="F33" s="148"/>
      <c r="G3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3" s="57"/>
      <c r="I33">
        <v>29</v>
      </c>
      <c r="J3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3" t="s">
        <v>941</v>
      </c>
      <c r="L33" t="str">
        <f ca="1">INDEX(Table11[Helper],MATCH(LARGE(Table11[Random],ROW()-8),Table11[Random],0))</f>
        <v>Table5</v>
      </c>
      <c r="M33" t="s">
        <v>1145</v>
      </c>
      <c r="N33">
        <f t="shared" ca="1" si="1"/>
        <v>0.34345911277011565</v>
      </c>
    </row>
    <row r="34" spans="2:25" ht="19.5" customHeight="1">
      <c r="B34" s="56" t="s">
        <v>1156</v>
      </c>
      <c r="C34" s="56" t="s">
        <v>894</v>
      </c>
      <c r="D34" s="56" t="s">
        <v>186</v>
      </c>
      <c r="E34" s="56"/>
      <c r="F34" s="148"/>
      <c r="G3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4" s="57"/>
      <c r="I34">
        <v>29</v>
      </c>
      <c r="J3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4" t="s">
        <v>976</v>
      </c>
      <c r="L34" t="str">
        <f ca="1">INDEX(Table11[Helper],MATCH(LARGE(Table11[Random],ROW()-8),Table11[Random],0))</f>
        <v>Table1</v>
      </c>
      <c r="M34" t="s">
        <v>1145</v>
      </c>
      <c r="N34">
        <f t="shared" ca="1" si="1"/>
        <v>5.065328097447519E-2</v>
      </c>
    </row>
    <row r="35" spans="2:25" ht="19.5" customHeight="1">
      <c r="B35" s="56" t="s">
        <v>1156</v>
      </c>
      <c r="C35" s="56" t="s">
        <v>930</v>
      </c>
      <c r="D35" s="56" t="s">
        <v>420</v>
      </c>
      <c r="E35" s="56" t="s">
        <v>186</v>
      </c>
      <c r="F35" s="148"/>
      <c r="G35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5" s="57"/>
      <c r="I35">
        <v>29</v>
      </c>
      <c r="J3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9000</v>
      </c>
      <c r="K35" t="s">
        <v>910</v>
      </c>
      <c r="L35" t="str">
        <f ca="1">INDEX(Table11[Helper],MATCH(LARGE(Table11[Random],ROW()-8),Table11[Random],0))</f>
        <v>Table4</v>
      </c>
      <c r="M35" t="s">
        <v>1145</v>
      </c>
      <c r="N35">
        <f t="shared" ref="N35:N54" ca="1" si="2">RAND()</f>
        <v>0.11274458515329822</v>
      </c>
      <c r="Y35">
        <v>9</v>
      </c>
    </row>
    <row r="36" spans="2:25" ht="19.5" customHeight="1">
      <c r="B36" s="56" t="s">
        <v>1156</v>
      </c>
      <c r="C36" s="56" t="s">
        <v>898</v>
      </c>
      <c r="D36" s="56"/>
      <c r="E36" s="56"/>
      <c r="F36" s="148"/>
      <c r="G36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6" s="57"/>
      <c r="I36">
        <v>34</v>
      </c>
      <c r="J3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6" t="s">
        <v>23</v>
      </c>
      <c r="L36" t="str">
        <f ca="1">INDEX(Table11[Helper],MATCH(LARGE(Table11[Random],ROW()-8),Table11[Random],0))</f>
        <v>Table6</v>
      </c>
      <c r="M36" t="s">
        <v>1145</v>
      </c>
      <c r="N36">
        <f t="shared" ca="1" si="2"/>
        <v>0.53726577296454747</v>
      </c>
    </row>
    <row r="37" spans="2:25" ht="19.5" customHeight="1">
      <c r="B37" s="56" t="s">
        <v>1156</v>
      </c>
      <c r="C37" s="56" t="s">
        <v>48</v>
      </c>
      <c r="D37" s="56" t="s">
        <v>186</v>
      </c>
      <c r="E37" s="56"/>
      <c r="F37" s="148"/>
      <c r="G3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7" s="57"/>
      <c r="I37">
        <v>34</v>
      </c>
      <c r="J3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7" t="s">
        <v>53</v>
      </c>
      <c r="L37" t="str">
        <f ca="1">INDEX(Table11[Helper],MATCH(LARGE(Table11[Random],ROW()-8),Table11[Random],0))</f>
        <v>Table5</v>
      </c>
      <c r="M37" t="s">
        <v>1147</v>
      </c>
      <c r="N37">
        <f t="shared" ca="1" si="2"/>
        <v>7.4144988535095324E-3</v>
      </c>
      <c r="R37">
        <f>AVERAGE(Table11[Rank])</f>
        <v>25.634615384615383</v>
      </c>
    </row>
    <row r="38" spans="2:25" ht="19.5" customHeight="1">
      <c r="B38" s="56" t="s">
        <v>1156</v>
      </c>
      <c r="C38" s="56" t="s">
        <v>913</v>
      </c>
      <c r="D38" s="56" t="s">
        <v>186</v>
      </c>
      <c r="E38" s="56"/>
      <c r="F38" s="148"/>
      <c r="G3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38" s="57"/>
      <c r="I38">
        <v>34</v>
      </c>
      <c r="J3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8" t="s">
        <v>129</v>
      </c>
      <c r="L38" t="str">
        <f ca="1">INDEX(Table11[Helper],MATCH(LARGE(Table11[Random],ROW()-8),Table11[Random],0))</f>
        <v>Table2</v>
      </c>
      <c r="M38" t="s">
        <v>1147</v>
      </c>
      <c r="N38">
        <f t="shared" ca="1" si="2"/>
        <v>0.22713411223813562</v>
      </c>
    </row>
    <row r="39" spans="2:25" ht="19.5" customHeight="1">
      <c r="B39" s="56" t="s">
        <v>1156</v>
      </c>
      <c r="C39" s="56" t="s">
        <v>907</v>
      </c>
      <c r="D39" s="56" t="s">
        <v>186</v>
      </c>
      <c r="E39" s="56" t="s">
        <v>186</v>
      </c>
      <c r="F39" s="148"/>
      <c r="G39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39" s="57"/>
      <c r="I39">
        <v>37</v>
      </c>
      <c r="J3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39" t="s">
        <v>144</v>
      </c>
      <c r="L39" t="str">
        <f ca="1">INDEX(Table11[Helper],MATCH(LARGE(Table11[Random],ROW()-8),Table11[Random],0))</f>
        <v>Table1</v>
      </c>
      <c r="M39" t="s">
        <v>1147</v>
      </c>
      <c r="N39">
        <f t="shared" ca="1" si="2"/>
        <v>7.6665630312913957E-2</v>
      </c>
    </row>
    <row r="40" spans="2:25" ht="19.5" customHeight="1">
      <c r="B40" s="56" t="s">
        <v>1156</v>
      </c>
      <c r="C40" s="56" t="s">
        <v>926</v>
      </c>
      <c r="D40" s="56"/>
      <c r="E40" s="56"/>
      <c r="F40" s="148"/>
      <c r="G4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0" s="57"/>
      <c r="I40">
        <v>38</v>
      </c>
      <c r="J4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0" t="s">
        <v>978</v>
      </c>
      <c r="L40" t="str">
        <f ca="1">INDEX(Table11[Helper],MATCH(LARGE(Table11[Random],ROW()-8),Table11[Random],0))</f>
        <v>Table4</v>
      </c>
      <c r="M40" t="s">
        <v>1147</v>
      </c>
      <c r="N40">
        <f t="shared" ca="1" si="2"/>
        <v>0.69223825475115452</v>
      </c>
    </row>
    <row r="41" spans="2:25" ht="19.5" customHeight="1">
      <c r="B41" s="56" t="s">
        <v>1156</v>
      </c>
      <c r="C41" s="56" t="s">
        <v>941</v>
      </c>
      <c r="D41" s="56" t="s">
        <v>186</v>
      </c>
      <c r="E41" s="56"/>
      <c r="F41" s="148"/>
      <c r="G41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1" s="57"/>
      <c r="I41">
        <v>39</v>
      </c>
      <c r="J4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1" t="s">
        <v>973</v>
      </c>
      <c r="L41" t="str">
        <f ca="1">INDEX(Table11[Helper],MATCH(LARGE(Table11[Random],ROW()-8),Table11[Random],0))</f>
        <v>Table6</v>
      </c>
      <c r="M41" t="s">
        <v>1147</v>
      </c>
      <c r="N41">
        <f t="shared" ca="1" si="2"/>
        <v>0.70677812866377443</v>
      </c>
    </row>
    <row r="42" spans="2:25" ht="19.5" customHeight="1">
      <c r="B42" s="56" t="s">
        <v>1156</v>
      </c>
      <c r="C42" s="56" t="s">
        <v>976</v>
      </c>
      <c r="D42" s="56" t="s">
        <v>186</v>
      </c>
      <c r="E42" s="56"/>
      <c r="F42" s="148"/>
      <c r="G4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2" s="57"/>
      <c r="I42">
        <v>40</v>
      </c>
      <c r="J4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2" t="s">
        <v>166</v>
      </c>
      <c r="L42" t="str">
        <f ca="1">INDEX(Table11[Helper],MATCH(LARGE(Table11[Random],ROW()-8),Table11[Random],0))</f>
        <v>Table5</v>
      </c>
      <c r="M42" t="s">
        <v>1147</v>
      </c>
      <c r="N42">
        <f t="shared" ca="1" si="2"/>
        <v>0.47485103322680644</v>
      </c>
    </row>
    <row r="43" spans="2:25" ht="19.5" customHeight="1">
      <c r="B43" s="56" t="s">
        <v>1156</v>
      </c>
      <c r="C43" s="56" t="s">
        <v>910</v>
      </c>
      <c r="D43" s="56"/>
      <c r="E43" s="56"/>
      <c r="F43" s="148"/>
      <c r="G4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3" s="57"/>
      <c r="I43">
        <v>40</v>
      </c>
      <c r="J4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8500</v>
      </c>
      <c r="K43" t="s">
        <v>943</v>
      </c>
      <c r="L43" t="str">
        <f ca="1">INDEX(Table11[Helper],MATCH(LARGE(Table11[Random],ROW()-8),Table11[Random],0))</f>
        <v>Table2</v>
      </c>
      <c r="M43" t="s">
        <v>1147</v>
      </c>
      <c r="N43">
        <f t="shared" ca="1" si="2"/>
        <v>0.39352029852895842</v>
      </c>
    </row>
    <row r="44" spans="2:25" ht="19.5" customHeight="1">
      <c r="B44" s="56" t="s">
        <v>1155</v>
      </c>
      <c r="C44" s="56" t="s">
        <v>23</v>
      </c>
      <c r="D44" s="56" t="s">
        <v>186</v>
      </c>
      <c r="E44" s="56" t="s">
        <v>186</v>
      </c>
      <c r="F44" s="148"/>
      <c r="G44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44" s="57"/>
      <c r="I44">
        <v>42</v>
      </c>
      <c r="J4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4" t="s">
        <v>912</v>
      </c>
      <c r="L44" t="str">
        <f ca="1">INDEX(Table11[Helper],MATCH(LARGE(Table11[Random],ROW()-8),Table11[Random],0))</f>
        <v>Table5</v>
      </c>
      <c r="M44" t="s">
        <v>1147</v>
      </c>
      <c r="N44">
        <f t="shared" ca="1" si="2"/>
        <v>0.32546305471576731</v>
      </c>
    </row>
    <row r="45" spans="2:25" ht="19.5" customHeight="1">
      <c r="B45" s="56" t="s">
        <v>1155</v>
      </c>
      <c r="C45" s="56" t="s">
        <v>53</v>
      </c>
      <c r="D45" s="56"/>
      <c r="E45" s="56"/>
      <c r="F45" s="148"/>
      <c r="G4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5" s="57"/>
      <c r="I45">
        <v>42</v>
      </c>
      <c r="J45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5" t="s">
        <v>931</v>
      </c>
      <c r="L45" t="str">
        <f ca="1">INDEX(Table11[Helper],MATCH(LARGE(Table11[Random],ROW()-8),Table11[Random],0))</f>
        <v>Table6</v>
      </c>
      <c r="M45" t="s">
        <v>1147</v>
      </c>
      <c r="N45">
        <f t="shared" ca="1" si="2"/>
        <v>0.27957199010808598</v>
      </c>
    </row>
    <row r="46" spans="2:25" ht="19.5" customHeight="1">
      <c r="B46" s="56" t="s">
        <v>1155</v>
      </c>
      <c r="C46" s="56" t="s">
        <v>129</v>
      </c>
      <c r="D46" s="56" t="s">
        <v>186</v>
      </c>
      <c r="E46" s="56" t="s">
        <v>186</v>
      </c>
      <c r="F46" s="148"/>
      <c r="G46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46" s="57"/>
      <c r="I46">
        <v>42</v>
      </c>
      <c r="J46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6" t="s">
        <v>934</v>
      </c>
      <c r="L46" t="str">
        <f ca="1">INDEX(Table11[Helper],MATCH(LARGE(Table11[Random],ROW()-8),Table11[Random],0))</f>
        <v>Table6</v>
      </c>
      <c r="M46" t="s">
        <v>1149</v>
      </c>
      <c r="N46">
        <f t="shared" ca="1" si="2"/>
        <v>0.40797088110849089</v>
      </c>
    </row>
    <row r="47" spans="2:25" ht="19.5" customHeight="1">
      <c r="B47" s="56" t="s">
        <v>1155</v>
      </c>
      <c r="C47" s="56" t="s">
        <v>144</v>
      </c>
      <c r="D47" s="56" t="s">
        <v>186</v>
      </c>
      <c r="E47" s="56"/>
      <c r="F47" s="148"/>
      <c r="G47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7" s="57"/>
      <c r="I47">
        <v>45</v>
      </c>
      <c r="J47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7" t="s">
        <v>893</v>
      </c>
      <c r="L47" t="str">
        <f ca="1">INDEX(Table11[Helper],MATCH(LARGE(Table11[Random],ROW()-8),Table11[Random],0))</f>
        <v>Table3</v>
      </c>
      <c r="M47" t="s">
        <v>1149</v>
      </c>
      <c r="N47">
        <f t="shared" ca="1" si="2"/>
        <v>0.47760889352742952</v>
      </c>
    </row>
    <row r="48" spans="2:25" ht="19.5" customHeight="1">
      <c r="B48" s="56" t="s">
        <v>1155</v>
      </c>
      <c r="C48" s="56" t="s">
        <v>973</v>
      </c>
      <c r="D48" s="56" t="s">
        <v>186</v>
      </c>
      <c r="E48" s="56"/>
      <c r="F48" s="148"/>
      <c r="G4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8" s="57"/>
      <c r="I48">
        <v>45</v>
      </c>
      <c r="J48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8" t="s">
        <v>964</v>
      </c>
      <c r="L48" t="str">
        <f ca="1">INDEX(Table11[Helper],MATCH(LARGE(Table11[Random],ROW()-8),Table11[Random],0))</f>
        <v>Table5</v>
      </c>
      <c r="M48" t="s">
        <v>1149</v>
      </c>
      <c r="N48">
        <f t="shared" ca="1" si="2"/>
        <v>0.33831815365890539</v>
      </c>
    </row>
    <row r="49" spans="2:14" ht="19.5" customHeight="1">
      <c r="B49" s="56" t="s">
        <v>1155</v>
      </c>
      <c r="C49" s="56" t="s">
        <v>166</v>
      </c>
      <c r="D49" s="56"/>
      <c r="E49" s="56"/>
      <c r="F49" s="148"/>
      <c r="G4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49" s="57"/>
      <c r="I49">
        <v>47</v>
      </c>
      <c r="J49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49" t="s">
        <v>38</v>
      </c>
      <c r="L49" t="str">
        <f ca="1">INDEX(Table11[Helper],MATCH(LARGE(Table11[Random],ROW()-8),Table11[Random],0))</f>
        <v>Table3</v>
      </c>
      <c r="M49" t="s">
        <v>1149</v>
      </c>
      <c r="N49">
        <f t="shared" ca="1" si="2"/>
        <v>0.10247803256254329</v>
      </c>
    </row>
    <row r="50" spans="2:14" ht="19.5" customHeight="1">
      <c r="B50" s="56" t="s">
        <v>1154</v>
      </c>
      <c r="C50" s="56" t="s">
        <v>912</v>
      </c>
      <c r="D50" s="56" t="s">
        <v>186</v>
      </c>
      <c r="E50" s="56"/>
      <c r="F50" s="148"/>
      <c r="G50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0" s="57"/>
      <c r="I50">
        <v>47</v>
      </c>
      <c r="J50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0" t="s">
        <v>142</v>
      </c>
      <c r="L50" t="str">
        <f ca="1">INDEX(Table11[Helper],MATCH(LARGE(Table11[Random],ROW()-8),Table11[Random],0))</f>
        <v>Table3</v>
      </c>
      <c r="M50" t="s">
        <v>1149</v>
      </c>
      <c r="N50">
        <f t="shared" ca="1" si="2"/>
        <v>0.23971879297472554</v>
      </c>
    </row>
    <row r="51" spans="2:14" ht="19.5" customHeight="1">
      <c r="B51" s="56" t="s">
        <v>1154</v>
      </c>
      <c r="C51" s="56" t="s">
        <v>931</v>
      </c>
      <c r="D51" s="56" t="s">
        <v>186</v>
      </c>
      <c r="E51" s="56" t="s">
        <v>186</v>
      </c>
      <c r="F51" s="148"/>
      <c r="G51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1" s="57"/>
      <c r="I51">
        <v>47</v>
      </c>
      <c r="J51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1" t="s">
        <v>148</v>
      </c>
      <c r="L51" t="str">
        <f ca="1">INDEX(Table11[Helper],MATCH(LARGE(Table11[Random],ROW()-8),Table11[Random],0))</f>
        <v>Table2</v>
      </c>
      <c r="M51" t="s">
        <v>1149</v>
      </c>
      <c r="N51">
        <f t="shared" ca="1" si="2"/>
        <v>0.81769567244802277</v>
      </c>
    </row>
    <row r="52" spans="2:14" ht="19.5" customHeight="1">
      <c r="B52" s="56" t="s">
        <v>1154</v>
      </c>
      <c r="C52" s="56" t="s">
        <v>934</v>
      </c>
      <c r="D52" s="56" t="s">
        <v>186</v>
      </c>
      <c r="E52" s="56"/>
      <c r="F52" s="148"/>
      <c r="G52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2" s="57"/>
      <c r="I52">
        <v>47</v>
      </c>
      <c r="J52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2" t="s">
        <v>946</v>
      </c>
      <c r="L52" t="str">
        <f ca="1">INDEX(Table11[Helper],MATCH(LARGE(Table11[Random],ROW()-8),Table11[Random],0))</f>
        <v>Table1</v>
      </c>
      <c r="M52" t="s">
        <v>1149</v>
      </c>
      <c r="N52">
        <f t="shared" ca="1" si="2"/>
        <v>0.98048565225248285</v>
      </c>
    </row>
    <row r="53" spans="2:14" ht="19.5" customHeight="1">
      <c r="B53" s="56" t="s">
        <v>1154</v>
      </c>
      <c r="C53" s="56" t="s">
        <v>893</v>
      </c>
      <c r="D53" s="56"/>
      <c r="E53" s="56"/>
      <c r="F53" s="148"/>
      <c r="G53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3" s="57"/>
      <c r="I53">
        <v>47</v>
      </c>
      <c r="J53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3" t="s">
        <v>935</v>
      </c>
      <c r="L53" t="str">
        <f ca="1">INDEX(Table11[Helper],MATCH(LARGE(Table11[Random],ROW()-8),Table11[Random],0))</f>
        <v>Table1</v>
      </c>
      <c r="M53" t="s">
        <v>1149</v>
      </c>
      <c r="N53">
        <f t="shared" ca="1" si="2"/>
        <v>0.27778223952837178</v>
      </c>
    </row>
    <row r="54" spans="2:14" ht="19.5" customHeight="1">
      <c r="B54" s="56" t="s">
        <v>1154</v>
      </c>
      <c r="C54" s="56" t="s">
        <v>964</v>
      </c>
      <c r="D54" s="56" t="s">
        <v>186</v>
      </c>
      <c r="E54" s="56"/>
      <c r="F54" s="148"/>
      <c r="G54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4" s="57"/>
      <c r="I54">
        <v>47</v>
      </c>
      <c r="J54" s="6" t="str">
        <f>IF(Table11[[#This Row],[Rank]]&lt;11,"10,000",(IF(Table11[[#This Row],[Rank]]&lt;21,"9500",(IF(Table11[[#This Row],[Rank]]&lt;31,"9000",(IF(Table11[[#This Row],[Rank]]&lt;41,"8500",(IF(Table11[[#This Row],[Rank]]&lt;51,"8000","Out of Top 50")))))))))</f>
        <v>8000</v>
      </c>
      <c r="K54" t="s">
        <v>954</v>
      </c>
      <c r="L54" t="str">
        <f ca="1">INDEX(Table11[Helper],MATCH(LARGE(Table11[Random],ROW()-8),Table11[Random],0))</f>
        <v>Table4</v>
      </c>
      <c r="M54" t="s">
        <v>1149</v>
      </c>
      <c r="N54">
        <f t="shared" ca="1" si="2"/>
        <v>6.8324966394216147E-2</v>
      </c>
    </row>
    <row r="55" spans="2:14" ht="19.5" customHeight="1">
      <c r="B55" s="56" t="s">
        <v>1154</v>
      </c>
      <c r="C55" s="56" t="s">
        <v>38</v>
      </c>
      <c r="D55" s="56" t="s">
        <v>186</v>
      </c>
      <c r="E55" s="56"/>
      <c r="F55" s="148"/>
      <c r="G55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5" s="57"/>
    </row>
    <row r="56" spans="2:14" ht="19.5" customHeight="1">
      <c r="B56" s="56" t="s">
        <v>1154</v>
      </c>
      <c r="C56" s="56" t="s">
        <v>142</v>
      </c>
      <c r="D56" s="56" t="s">
        <v>186</v>
      </c>
      <c r="E56" s="56" t="s">
        <v>186</v>
      </c>
      <c r="F56" s="148"/>
      <c r="G56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6" s="57"/>
    </row>
    <row r="57" spans="2:14" ht="19.5" customHeight="1">
      <c r="B57" s="56" t="s">
        <v>1154</v>
      </c>
      <c r="C57" s="56" t="s">
        <v>148</v>
      </c>
      <c r="D57" s="56" t="s">
        <v>186</v>
      </c>
      <c r="E57" s="56" t="s">
        <v>186</v>
      </c>
      <c r="F57" s="148"/>
      <c r="G57" s="57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>26</v>
      </c>
      <c r="H57" s="57"/>
    </row>
    <row r="58" spans="2:14" ht="19.5" customHeight="1">
      <c r="B58" s="56" t="s">
        <v>1154</v>
      </c>
      <c r="C58" s="56" t="s">
        <v>935</v>
      </c>
      <c r="D58" s="56"/>
      <c r="E58" s="56"/>
      <c r="F58" s="148"/>
      <c r="G58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8" s="57"/>
    </row>
    <row r="59" spans="2:14" ht="16.5">
      <c r="B59" s="56" t="s">
        <v>1154</v>
      </c>
      <c r="C59" s="56" t="s">
        <v>954</v>
      </c>
      <c r="D59" s="56" t="s">
        <v>420</v>
      </c>
      <c r="E59" s="147"/>
      <c r="F59" s="148"/>
      <c r="G59" s="57" t="str">
        <f>IFERROR(IF(Table21112164202122232533[[#This Row],[Stack Size]]="","",IFERROR(IF(Table21112164202122232533[[#This Row],[Rebuy]]="","TBD",D$2-COUNTIF(Table21112164202122232533[Rebuy],"&lt;"&amp;Table21112164202122232533[[#This Row],[Rebuy]])),""))-(COUNTIF(Table21112164202122232533[Rebuy],Table21112164202122232533[[#This Row],[Rebuy]])-1),"")</f>
        <v/>
      </c>
      <c r="H59" s="57"/>
    </row>
    <row r="60" spans="2:14" ht="16.5">
      <c r="H60" s="57"/>
    </row>
    <row r="61" spans="2:14" ht="16.5">
      <c r="H61" s="57"/>
    </row>
    <row r="62" spans="2:14" ht="16.5">
      <c r="H62" s="57"/>
    </row>
    <row r="63" spans="2:14" ht="16.5">
      <c r="H63" s="57"/>
    </row>
    <row r="64" spans="2:14" ht="16.5">
      <c r="H64" s="57"/>
    </row>
    <row r="65" spans="8:8" ht="16.5">
      <c r="H65" s="57"/>
    </row>
    <row r="66" spans="8:8" ht="16.5">
      <c r="H66" s="57"/>
    </row>
    <row r="67" spans="8:8" ht="16.5">
      <c r="H67" s="57"/>
    </row>
    <row r="68" spans="8:8" ht="16.5">
      <c r="H68" s="57"/>
    </row>
    <row r="69" spans="8:8" ht="16.5">
      <c r="H69" s="57"/>
    </row>
    <row r="70" spans="8:8" ht="16.5">
      <c r="H70" s="57"/>
    </row>
    <row r="71" spans="8:8" ht="16.5">
      <c r="H71" s="57"/>
    </row>
    <row r="72" spans="8:8" ht="16.5">
      <c r="H72" s="57"/>
    </row>
    <row r="73" spans="8:8" ht="16.5">
      <c r="H73" s="57"/>
    </row>
    <row r="74" spans="8:8" ht="16.5">
      <c r="H74" s="57"/>
    </row>
    <row r="75" spans="8:8" ht="16.5">
      <c r="H75" s="57"/>
    </row>
    <row r="76" spans="8:8" ht="16.5">
      <c r="H76" s="57"/>
    </row>
    <row r="77" spans="8:8" ht="16.5">
      <c r="H77" s="57"/>
    </row>
    <row r="78" spans="8:8" ht="16.5">
      <c r="H78" s="57"/>
    </row>
    <row r="79" spans="8:8" ht="16.5">
      <c r="H79" s="57"/>
    </row>
    <row r="80" spans="8:8" ht="16.5">
      <c r="H80" s="57"/>
    </row>
    <row r="81" spans="8:8" ht="16.5">
      <c r="H81" s="57"/>
    </row>
    <row r="82" spans="8:8" ht="16.5">
      <c r="H82" s="57"/>
    </row>
    <row r="83" spans="8:8" ht="16.5">
      <c r="H83" s="57"/>
    </row>
    <row r="84" spans="8:8" ht="16.5">
      <c r="H84" s="57"/>
    </row>
    <row r="85" spans="8:8" ht="16.5">
      <c r="H85" s="57"/>
    </row>
    <row r="86" spans="8:8" ht="16.5">
      <c r="H86" s="57"/>
    </row>
    <row r="87" spans="8:8" ht="16.5">
      <c r="H87" s="57"/>
    </row>
    <row r="88" spans="8:8" ht="16.5">
      <c r="H88" s="57"/>
    </row>
    <row r="89" spans="8:8" ht="16.5">
      <c r="H89" s="57"/>
    </row>
    <row r="90" spans="8:8" ht="16.5">
      <c r="H90" s="57"/>
    </row>
    <row r="91" spans="8:8" ht="16.5">
      <c r="H91" s="57"/>
    </row>
    <row r="92" spans="8:8" ht="16.5">
      <c r="H92" s="57"/>
    </row>
    <row r="93" spans="8:8" ht="16.5">
      <c r="H93" s="57"/>
    </row>
    <row r="94" spans="8:8" ht="16.5">
      <c r="H94" s="57"/>
    </row>
    <row r="95" spans="8:8" ht="16.5">
      <c r="H95" s="57"/>
    </row>
    <row r="96" spans="8:8" ht="16.5">
      <c r="H96" s="57"/>
    </row>
    <row r="97" spans="8:8" ht="16.5">
      <c r="H97" s="57"/>
    </row>
    <row r="98" spans="8:8" ht="16.5">
      <c r="H98" s="57"/>
    </row>
    <row r="99" spans="8:8" ht="16.5">
      <c r="H99" s="57"/>
    </row>
    <row r="100" spans="8:8" ht="16.5">
      <c r="H100" s="57"/>
    </row>
    <row r="101" spans="8:8" ht="16.5">
      <c r="H101" s="57"/>
    </row>
    <row r="102" spans="8:8" ht="16.5">
      <c r="H102" s="57"/>
    </row>
    <row r="103" spans="8:8" ht="16.5">
      <c r="H103" s="57"/>
    </row>
    <row r="104" spans="8:8" ht="16.5">
      <c r="H104" s="57"/>
    </row>
    <row r="105" spans="8:8" ht="16.5">
      <c r="H105" s="57"/>
    </row>
    <row r="106" spans="8:8" ht="16.5">
      <c r="H106" s="57"/>
    </row>
    <row r="107" spans="8:8" ht="16.5">
      <c r="H107" s="57"/>
    </row>
    <row r="108" spans="8:8" ht="16.5">
      <c r="H108" s="57"/>
    </row>
    <row r="109" spans="8:8" ht="16.5">
      <c r="H109" s="57"/>
    </row>
    <row r="110" spans="8:8" ht="16.5">
      <c r="H110" s="57"/>
    </row>
    <row r="111" spans="8:8" ht="16.5">
      <c r="H111" s="57"/>
    </row>
    <row r="112" spans="8:8" ht="16.5">
      <c r="H112" s="57"/>
    </row>
    <row r="113" spans="8:8" ht="16.5">
      <c r="H113" s="57"/>
    </row>
    <row r="114" spans="8:8" ht="16.5">
      <c r="H114" s="57"/>
    </row>
    <row r="115" spans="8:8" ht="16.5">
      <c r="H115" s="57"/>
    </row>
    <row r="116" spans="8:8" ht="16.5">
      <c r="H116" s="57"/>
    </row>
    <row r="117" spans="8:8" ht="16.5">
      <c r="H117" s="57"/>
    </row>
    <row r="118" spans="8:8" ht="16.5">
      <c r="H118" s="57"/>
    </row>
    <row r="119" spans="8:8" ht="16.5">
      <c r="H119" s="57"/>
    </row>
    <row r="120" spans="8:8" ht="16.5">
      <c r="H120" s="57"/>
    </row>
    <row r="121" spans="8:8" ht="16.5">
      <c r="H121" s="57"/>
    </row>
    <row r="122" spans="8:8" ht="16.5">
      <c r="H122" s="57"/>
    </row>
    <row r="123" spans="8:8" ht="16.5">
      <c r="H123" s="57"/>
    </row>
    <row r="124" spans="8:8" ht="16.5">
      <c r="H124" s="57"/>
    </row>
    <row r="125" spans="8:8" ht="16.5">
      <c r="H125" s="57"/>
    </row>
    <row r="126" spans="8:8" ht="16.5">
      <c r="H126" s="57"/>
    </row>
    <row r="127" spans="8:8" ht="16.5">
      <c r="H127" s="57"/>
    </row>
    <row r="128" spans="8:8" ht="16.5">
      <c r="H128" s="57"/>
    </row>
    <row r="129" spans="8:8" ht="16.5">
      <c r="H129" s="57"/>
    </row>
    <row r="130" spans="8:8" ht="16.5">
      <c r="H130" s="57"/>
    </row>
    <row r="131" spans="8:8" ht="16.5">
      <c r="H131" s="57"/>
    </row>
    <row r="132" spans="8:8" ht="16.5">
      <c r="H132" s="57"/>
    </row>
    <row r="133" spans="8:8" ht="16.5">
      <c r="H133" s="57"/>
    </row>
    <row r="134" spans="8:8" ht="16.5">
      <c r="H134" s="57"/>
    </row>
    <row r="135" spans="8:8" ht="16.5">
      <c r="H135" s="57"/>
    </row>
    <row r="136" spans="8:8" ht="16.5">
      <c r="H136" s="57"/>
    </row>
    <row r="137" spans="8:8" ht="16.5">
      <c r="H137" s="57"/>
    </row>
    <row r="138" spans="8:8" ht="16.5">
      <c r="H138" s="57"/>
    </row>
    <row r="139" spans="8:8" ht="16.5">
      <c r="H139" s="57"/>
    </row>
    <row r="140" spans="8:8" ht="16.5">
      <c r="H140" s="57"/>
    </row>
    <row r="141" spans="8:8" ht="16.5">
      <c r="H141" s="57"/>
    </row>
    <row r="142" spans="8:8" ht="16.5">
      <c r="H142" s="57"/>
    </row>
    <row r="143" spans="8:8" ht="16.5">
      <c r="H143" s="57"/>
    </row>
    <row r="144" spans="8:8" ht="16.5">
      <c r="H144" s="57"/>
    </row>
    <row r="145" spans="8:8" ht="16.5">
      <c r="H145" s="57"/>
    </row>
    <row r="146" spans="8:8" ht="16.5">
      <c r="H146" s="57"/>
    </row>
    <row r="147" spans="8:8" ht="16.5">
      <c r="H147" s="57"/>
    </row>
    <row r="148" spans="8:8" ht="16.5">
      <c r="H148" s="57"/>
    </row>
    <row r="149" spans="8:8" ht="16.5">
      <c r="H149" s="57"/>
    </row>
    <row r="150" spans="8:8" ht="16.5">
      <c r="H150" s="57"/>
    </row>
    <row r="151" spans="8:8" ht="16.5">
      <c r="H151" s="57"/>
    </row>
    <row r="152" spans="8:8" ht="16.5">
      <c r="H152" s="57"/>
    </row>
    <row r="153" spans="8:8" ht="16.5">
      <c r="H153" s="57"/>
    </row>
    <row r="154" spans="8:8" ht="16.5">
      <c r="H154" s="57"/>
    </row>
    <row r="155" spans="8:8" ht="16.5">
      <c r="H155" s="57"/>
    </row>
    <row r="156" spans="8:8" ht="16.5">
      <c r="H156" s="57"/>
    </row>
    <row r="157" spans="8:8" ht="16.5">
      <c r="H157" s="57"/>
    </row>
    <row r="158" spans="8:8" ht="16.5">
      <c r="H158" s="57"/>
    </row>
    <row r="159" spans="8:8" ht="16.5">
      <c r="H159" s="57"/>
    </row>
    <row r="160" spans="8:8" ht="16.5">
      <c r="H160" s="57"/>
    </row>
    <row r="161" spans="8:8" ht="16.5">
      <c r="H161" s="57"/>
    </row>
    <row r="162" spans="8:8" ht="16.5">
      <c r="H162" s="57"/>
    </row>
    <row r="163" spans="8:8" ht="16.5">
      <c r="H163" s="57"/>
    </row>
    <row r="164" spans="8:8" ht="16.5">
      <c r="H164" s="57"/>
    </row>
    <row r="165" spans="8:8" ht="16.5">
      <c r="H165" s="57"/>
    </row>
    <row r="166" spans="8:8" ht="16.5">
      <c r="H166" s="57"/>
    </row>
    <row r="167" spans="8:8" ht="16.5">
      <c r="H167" s="57"/>
    </row>
    <row r="168" spans="8:8" ht="16.5">
      <c r="H168" s="57"/>
    </row>
    <row r="169" spans="8:8" ht="16.5">
      <c r="H169" s="57"/>
    </row>
    <row r="170" spans="8:8" ht="16.5">
      <c r="H170" s="57"/>
    </row>
    <row r="171" spans="8:8" ht="16.5">
      <c r="H171" s="57"/>
    </row>
    <row r="172" spans="8:8" ht="16.5">
      <c r="H172" s="57"/>
    </row>
    <row r="173" spans="8:8" ht="16.5">
      <c r="H173" s="57"/>
    </row>
    <row r="174" spans="8:8" ht="16.5">
      <c r="H174" s="57"/>
    </row>
    <row r="175" spans="8:8" ht="16.5">
      <c r="H175" s="57"/>
    </row>
    <row r="176" spans="8:8" ht="16.5">
      <c r="H176" s="57"/>
    </row>
    <row r="177" spans="8:8" ht="16.5">
      <c r="H177" s="57"/>
    </row>
    <row r="178" spans="8:8" ht="16.5">
      <c r="H178" s="57"/>
    </row>
    <row r="179" spans="8:8" ht="16.5">
      <c r="H179" s="57"/>
    </row>
    <row r="180" spans="8:8" ht="16.5">
      <c r="H180" s="57"/>
    </row>
    <row r="181" spans="8:8" ht="16.5">
      <c r="H181" s="57"/>
    </row>
    <row r="182" spans="8:8" ht="16.5">
      <c r="H182" s="57"/>
    </row>
    <row r="183" spans="8:8" ht="16.5">
      <c r="H183" s="57"/>
    </row>
    <row r="184" spans="8:8" ht="16.5">
      <c r="H184" s="57"/>
    </row>
    <row r="185" spans="8:8" ht="16.5">
      <c r="H185" s="57"/>
    </row>
    <row r="186" spans="8:8" ht="16.5">
      <c r="H186" s="57"/>
    </row>
    <row r="187" spans="8:8" ht="16.5">
      <c r="H187" s="57"/>
    </row>
    <row r="188" spans="8:8" ht="16.5">
      <c r="H188" s="57"/>
    </row>
    <row r="189" spans="8:8" ht="16.5">
      <c r="H189" s="57"/>
    </row>
    <row r="190" spans="8:8" ht="16.5">
      <c r="H190" s="57"/>
    </row>
    <row r="191" spans="8:8" ht="16.5">
      <c r="H191" s="57"/>
    </row>
    <row r="192" spans="8:8" ht="16.5">
      <c r="H192" s="57"/>
    </row>
    <row r="193" spans="8:8" ht="16.5">
      <c r="H193" s="57"/>
    </row>
    <row r="194" spans="8:8" ht="16.5">
      <c r="H194" s="57"/>
    </row>
    <row r="195" spans="8:8" ht="16.5">
      <c r="H195" s="57"/>
    </row>
    <row r="196" spans="8:8" ht="16.5">
      <c r="H196" s="57"/>
    </row>
    <row r="197" spans="8:8" ht="16.5">
      <c r="H197" s="57"/>
    </row>
    <row r="198" spans="8:8" ht="16.5">
      <c r="H198" s="57"/>
    </row>
    <row r="199" spans="8:8" ht="16.5">
      <c r="H199" s="57"/>
    </row>
    <row r="200" spans="8:8" ht="16.5">
      <c r="H200" s="57"/>
    </row>
  </sheetData>
  <mergeCells count="10">
    <mergeCell ref="V20:W20"/>
    <mergeCell ref="V21:W21"/>
    <mergeCell ref="V22:W22"/>
    <mergeCell ref="R2:S2"/>
    <mergeCell ref="V2:W2"/>
    <mergeCell ref="Z2:AA2"/>
    <mergeCell ref="R9:S9"/>
    <mergeCell ref="V9:W9"/>
    <mergeCell ref="Z9:AA9"/>
    <mergeCell ref="B6:G6"/>
  </mergeCells>
  <conditionalFormatting sqref="Q4 U4 Y4 Q11 U11 Y11 S17">
    <cfRule type="cellIs" dxfId="137" priority="4" operator="between">
      <formula>$X$22</formula>
      <formula>50</formula>
    </cfRule>
  </conditionalFormatting>
  <conditionalFormatting sqref="Q4 U4 Y4 Q11 U11 Y11">
    <cfRule type="cellIs" dxfId="136" priority="5" operator="between">
      <formula>0</formula>
      <formula>$X$21</formula>
    </cfRule>
  </conditionalFormatting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9" id="{7D531DFC-8165-4ED1-A806-F35640558CDF}">
            <xm:f>F1=Structures!$B$3</xm:f>
            <x14:dxf>
              <fill>
                <patternFill>
                  <bgColor rgb="FFD6AF36"/>
                </patternFill>
              </fill>
            </x14:dxf>
          </x14:cfRule>
          <x14:cfRule type="expression" priority="200" id="{9FFCAA85-3D3B-468C-B41A-2CAB47E3D453}">
            <xm:f>F1=Structures!$B$5</xm:f>
            <x14:dxf>
              <font>
                <color theme="0"/>
              </font>
              <fill>
                <patternFill>
                  <bgColor rgb="FFA77044"/>
                </patternFill>
              </fill>
            </x14:dxf>
          </x14:cfRule>
          <x14:cfRule type="expression" priority="201" id="{675DA222-0DAD-44A0-A15C-691D3A24606C}">
            <xm:f>F1=Structures!$B$4</xm:f>
            <x14:dxf>
              <fill>
                <patternFill>
                  <bgColor rgb="FFA7A7AD"/>
                </patternFill>
              </fill>
            </x14:dxf>
          </x14:cfRule>
          <xm:sqref>B1:C1048576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30E3A6-D803-4834-97F6-67ACDF41E08A}">
          <x14:formula1>
            <xm:f>Structures!$M$3:$M$4</xm:f>
          </x14:formula1>
          <xm:sqref>D8:D41 E8:E59 D43:D58</xm:sqref>
        </x14:dataValidation>
        <x14:dataValidation type="list" allowBlank="1" showInputMessage="1" showErrorMessage="1" xr:uid="{B0B89D98-C214-4C9E-9232-DE79EE21E416}">
          <x14:formula1>
            <xm:f>Structures!$O$3:$O$33</xm:f>
          </x14:formula1>
          <xm:sqref>B6:H6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F70C-3C1B-4195-B6F3-BA9C3F98D0C7}">
  <dimension ref="A3:AG390"/>
  <sheetViews>
    <sheetView zoomScale="115" zoomScaleNormal="115" workbookViewId="0">
      <pane xSplit="2" ySplit="5" topLeftCell="S6" activePane="bottomRight" state="frozen"/>
      <selection pane="bottomRight" activeCell="C1" sqref="C1"/>
      <selection pane="bottomLeft" activeCell="A6" sqref="A6"/>
      <selection pane="topRight" activeCell="C1" sqref="C1"/>
    </sheetView>
  </sheetViews>
  <sheetFormatPr defaultColWidth="8.85546875" defaultRowHeight="1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3" width="25.7109375" customWidth="1"/>
  </cols>
  <sheetData>
    <row r="3" spans="1:33" s="44" customFormat="1" ht="18.75">
      <c r="A3"/>
      <c r="B3"/>
      <c r="C3"/>
      <c r="D3" s="43" t="s">
        <v>1176</v>
      </c>
      <c r="M3" s="44" t="s">
        <v>1177</v>
      </c>
    </row>
    <row r="4" spans="1:33" s="44" customFormat="1" ht="23.25" customHeight="1">
      <c r="A4"/>
      <c r="B4"/>
      <c r="C4"/>
      <c r="D4" s="45" t="str">
        <f>'Weekly Attendance'!H3</f>
        <v>Tournament 1</v>
      </c>
      <c r="E4" s="45" t="str">
        <f>'Weekly Attendance'!I3</f>
        <v>Tournament 2</v>
      </c>
      <c r="F4" s="45" t="str">
        <f>'Weekly Attendance'!J3</f>
        <v>Tournament 3</v>
      </c>
      <c r="G4" s="45" t="str">
        <f>'Weekly Attendance'!K3</f>
        <v>Tournament 4</v>
      </c>
      <c r="H4" s="45" t="str">
        <f>'Weekly Attendance'!L3</f>
        <v>Tournament 5</v>
      </c>
      <c r="I4" s="45" t="str">
        <f>'Weekly Attendance'!M3</f>
        <v>Tournament 6</v>
      </c>
      <c r="J4" s="45" t="str">
        <f>'Weekly Attendance'!N3</f>
        <v>Tournament 7</v>
      </c>
      <c r="K4" s="45" t="str">
        <f>'Weekly Attendance'!O3</f>
        <v>Tournament 8</v>
      </c>
      <c r="L4" s="45" t="str">
        <f>'Weekly Attendance'!P3</f>
        <v>Tournament 9</v>
      </c>
      <c r="M4" s="45" t="str">
        <f>'Weekly Attendance'!Q3</f>
        <v>Tournament 10</v>
      </c>
      <c r="N4" s="45" t="str">
        <f>'Weekly Attendance'!R3</f>
        <v>Tournament 11</v>
      </c>
      <c r="O4" s="45" t="str">
        <f>'Weekly Attendance'!S3</f>
        <v>Tournament 12</v>
      </c>
      <c r="P4" s="45" t="str">
        <f>'Weekly Attendance'!T3</f>
        <v>Tournament 13</v>
      </c>
      <c r="Q4" s="45" t="str">
        <f>'Weekly Attendance'!U3</f>
        <v>Tournament 14</v>
      </c>
      <c r="R4" s="45" t="str">
        <f>'Weekly Attendance'!V3</f>
        <v>Tournament 15</v>
      </c>
      <c r="S4" s="45" t="str">
        <f>'Weekly Attendance'!W3</f>
        <v>Tournament 16</v>
      </c>
      <c r="T4" s="45" t="str">
        <f>'Weekly Attendance'!X3</f>
        <v>Tournament 17</v>
      </c>
      <c r="U4" s="45" t="str">
        <f>'Weekly Attendance'!Y3</f>
        <v>Tournament 18</v>
      </c>
      <c r="V4" s="45" t="str">
        <f>'Weekly Attendance'!Z3</f>
        <v>Tournament 19</v>
      </c>
      <c r="W4" s="45" t="str">
        <f>'Weekly Attendance'!AA3</f>
        <v>Tournament 20</v>
      </c>
      <c r="X4" s="45" t="str">
        <f>'Weekly Attendance'!AB3</f>
        <v>Tournament 21</v>
      </c>
      <c r="Y4" s="45" t="str">
        <f>'Weekly Attendance'!AC3</f>
        <v>Tournament 22</v>
      </c>
      <c r="Z4" s="45" t="str">
        <f>'Weekly Attendance'!AD3</f>
        <v>Tournament 23</v>
      </c>
      <c r="AA4" s="45" t="str">
        <f>'Weekly Attendance'!AE3</f>
        <v>Tournament 24</v>
      </c>
      <c r="AB4" s="45" t="str">
        <f>'Weekly Attendance'!AF3</f>
        <v>Tournament 25</v>
      </c>
      <c r="AC4" s="45" t="str">
        <f>'Weekly Attendance'!AG3</f>
        <v>Tournament 26</v>
      </c>
      <c r="AD4" s="45" t="str">
        <f>'Weekly Attendance'!AH3</f>
        <v>Tournament 27</v>
      </c>
      <c r="AE4" s="45" t="str">
        <f>'Weekly Attendance'!AI3</f>
        <v>Tournament 28</v>
      </c>
      <c r="AF4" s="45" t="str">
        <f>'Weekly Attendance'!AJ3</f>
        <v>Tournament 29</v>
      </c>
      <c r="AG4" s="45" t="e">
        <f>'Weekly Attendance'!#REF!</f>
        <v>#REF!</v>
      </c>
    </row>
    <row r="5" spans="1:33">
      <c r="B5" s="41" t="s">
        <v>17</v>
      </c>
      <c r="C5" s="41" t="s">
        <v>1178</v>
      </c>
      <c r="D5" s="42" t="s">
        <v>272</v>
      </c>
      <c r="E5" s="42" t="s">
        <v>273</v>
      </c>
      <c r="F5" s="42" t="s">
        <v>274</v>
      </c>
      <c r="G5" s="42" t="s">
        <v>275</v>
      </c>
      <c r="H5" s="42" t="s">
        <v>276</v>
      </c>
      <c r="I5" s="42" t="s">
        <v>277</v>
      </c>
      <c r="J5" s="42" t="s">
        <v>278</v>
      </c>
      <c r="K5" s="42" t="s">
        <v>279</v>
      </c>
      <c r="L5" s="42" t="s">
        <v>280</v>
      </c>
      <c r="M5" s="42" t="s">
        <v>281</v>
      </c>
      <c r="N5" s="42" t="s">
        <v>282</v>
      </c>
      <c r="O5" s="42" t="s">
        <v>283</v>
      </c>
      <c r="P5" s="42" t="s">
        <v>284</v>
      </c>
      <c r="Q5" s="42" t="s">
        <v>285</v>
      </c>
      <c r="R5" s="42" t="s">
        <v>286</v>
      </c>
      <c r="S5" s="42" t="s">
        <v>287</v>
      </c>
      <c r="T5" s="42" t="s">
        <v>288</v>
      </c>
      <c r="U5" s="42" t="s">
        <v>289</v>
      </c>
      <c r="V5" s="42" t="s">
        <v>290</v>
      </c>
      <c r="W5" s="42" t="s">
        <v>291</v>
      </c>
      <c r="X5" s="42" t="s">
        <v>1179</v>
      </c>
      <c r="Y5" s="42" t="s">
        <v>1180</v>
      </c>
      <c r="Z5" s="42" t="s">
        <v>1181</v>
      </c>
      <c r="AA5" s="42" t="s">
        <v>1182</v>
      </c>
      <c r="AB5" s="42" t="s">
        <v>1183</v>
      </c>
      <c r="AC5" s="42" t="s">
        <v>1184</v>
      </c>
      <c r="AD5" s="42" t="s">
        <v>1185</v>
      </c>
      <c r="AE5" s="42" t="s">
        <v>1186</v>
      </c>
      <c r="AF5" s="42" t="s">
        <v>1187</v>
      </c>
      <c r="AG5" s="42" t="s">
        <v>1188</v>
      </c>
    </row>
    <row r="6" spans="1:33">
      <c r="B6" t="str">
        <f>IFERROR(Table5[[#This Row],[Full name]],"")</f>
        <v>David Ribkoff</v>
      </c>
      <c r="C6" s="68">
        <f>SUM(Table16[[#This Row],[September 30, 2025]:[Column18]])</f>
        <v>20</v>
      </c>
      <c r="D6" t="str">
        <f>_xlfn.XLOOKUP(Table16[[#This Row],[Name]],Table4[Name],Table4[Points],"DNP",0,1)</f>
        <v>DNP</v>
      </c>
      <c r="E6" t="str">
        <f>_xlfn.XLOOKUP(Table16[[#This Row],[Name]],Table9[Name],Table9[Points],"DNP",0,1)</f>
        <v>DNP</v>
      </c>
      <c r="F6">
        <f>_xlfn.XLOOKUP(Table16[[#This Row],[Name]],Table18[Name],Table18[Points],"DNP",0,1)</f>
        <v>1</v>
      </c>
      <c r="G6" t="str">
        <f>_xlfn.XLOOKUP(Table16[[#This Row],[Name]],Table2[Name],Table2[Points],"DNP",0,1)</f>
        <v>DNP</v>
      </c>
      <c r="H6" t="str">
        <f>_xlfn.XLOOKUP(Table16[[#This Row],[Name]],Table211[Name],Table211[Points],"DNP",0,1)</f>
        <v>DNP</v>
      </c>
      <c r="I6">
        <f>_xlfn.XLOOKUP(Table16[[#This Row],[Name]],Table21112[Name],Table21112[Points],"DNP",0,1)</f>
        <v>1</v>
      </c>
      <c r="J6">
        <f>_xlfn.XLOOKUP(Table16[[#This Row],[Name]],Table21112164[Name],Table21112164[Points],"DNP",0,1)</f>
        <v>10</v>
      </c>
      <c r="K6" t="str">
        <f>_xlfn.XLOOKUP(Table16[[#This Row],[Name]],Table2111216420[Name],Table2111216420[Points],"DNP",0,1)</f>
        <v>DNP</v>
      </c>
      <c r="L6" t="str">
        <f>_xlfn.XLOOKUP(Table16[[#This Row],[Name]],Table211121642021[Name],Table211121642021[Points],"DNP",0,1)</f>
        <v>DNP</v>
      </c>
      <c r="M6">
        <f>_xlfn.XLOOKUP(Table16[[#This Row],[Name]],Table21112164202122[Name],Table21112164202122[Points],"DNP",0,1)</f>
        <v>2</v>
      </c>
      <c r="N6">
        <f>_xlfn.XLOOKUP(Table16[[#This Row],[Name]],Table2111216420212223[Name],Table2111216420212223[Points],"DNP",0,1)</f>
        <v>4</v>
      </c>
      <c r="O6" t="str">
        <f>_xlfn.XLOOKUP(Table16[[#This Row],[Name]],Table211121642021222325[Name],Table211121642021222325[Points],"DNP",0,1)</f>
        <v>DNP</v>
      </c>
      <c r="P6" t="str">
        <f>_xlfn.XLOOKUP(Table16[[#This Row],[Name]],Table21112164202122232534[Name],Table21112164202122232534[Points],"DNP",0,1)</f>
        <v>DNP</v>
      </c>
      <c r="Q6">
        <f>_xlfn.XLOOKUP(Table16[[#This Row],[Name]],Table2111216420212223253435[Name],Table2111216420212223253435[Points],"DNP",0,1)</f>
        <v>1</v>
      </c>
      <c r="R6" t="str">
        <f>_xlfn.XLOOKUP(Table16[[#This Row],[Name]],Table211121642021222325343536[Name],Table211121642021222325343536[Points],"DNP",0,1)</f>
        <v>DNP</v>
      </c>
      <c r="S6" t="str">
        <f>_xlfn.XLOOKUP(Table16[[#This Row],[Name]],Table21112164202122232534353637[Name],Table21112164202122232534353637[Points],"DNP",0,1)</f>
        <v>DNP</v>
      </c>
      <c r="T6">
        <f>_xlfn.XLOOKUP(Table16[[#This Row],[Name]],Table2111216420212223253435363738[Name],Table2111216420212223253435363738[Points],"DNP",0,1)</f>
        <v>1</v>
      </c>
      <c r="U6" t="str">
        <f>_xlfn.XLOOKUP(Table16[[#This Row],[Name]],Table2111216420212223253435363739[Name],Table2111216420212223253435363739[Points],"DNP",0,1)</f>
        <v>DNP</v>
      </c>
      <c r="V6" t="str">
        <f>_xlfn.XLOOKUP(Table16[[#This Row],[Name]],Table211121642021222325343536373841[Name],Table211121642021222325343536373841[Points],"DNP",0,1)</f>
        <v>DNP</v>
      </c>
    </row>
    <row r="7" spans="1:33">
      <c r="B7" t="str">
        <f>IFERROR(Table5[[#This Row],[Full name]],"")</f>
        <v>Ryan Chen</v>
      </c>
      <c r="C7" s="68">
        <f>SUM(Table16[[#This Row],[September 30, 2025]:[Column18]])</f>
        <v>34</v>
      </c>
      <c r="D7">
        <f>_xlfn.XLOOKUP(Table16[[#This Row],[Name]],Table4[Name],Table4[Points],"DNP",0,1)</f>
        <v>4</v>
      </c>
      <c r="E7">
        <f>_xlfn.XLOOKUP(Table16[[#This Row],[Name]],Table9[Name],Table9[Points],"DNP",0,1)</f>
        <v>1</v>
      </c>
      <c r="F7">
        <f>_xlfn.XLOOKUP(Table16[[#This Row],[Name]],Table18[Name],Table18[Points],"DNP",0,1)</f>
        <v>2</v>
      </c>
      <c r="G7" t="str">
        <f>_xlfn.XLOOKUP(Table16[[#This Row],[Name]],Table2[Name],Table2[Points],"DNP",0,1)</f>
        <v>DNP</v>
      </c>
      <c r="H7">
        <f>_xlfn.XLOOKUP(Table16[[#This Row],[Name]],Table211[Name],Table211[Points],"DNP",0,1)</f>
        <v>8</v>
      </c>
      <c r="I7">
        <f>_xlfn.XLOOKUP(Table16[[#This Row],[Name]],Table21112[Name],Table21112[Points],"DNP",0,1)</f>
        <v>1</v>
      </c>
      <c r="J7">
        <f>_xlfn.XLOOKUP(Table16[[#This Row],[Name]],Table21112164[Name],Table21112164[Points],"DNP",0,1)</f>
        <v>2</v>
      </c>
      <c r="K7">
        <f>_xlfn.XLOOKUP(Table16[[#This Row],[Name]],Table2111216420[Name],Table2111216420[Points],"DNP",0,1)</f>
        <v>4</v>
      </c>
      <c r="L7" t="str">
        <f>_xlfn.XLOOKUP(Table16[[#This Row],[Name]],Table211121642021[Name],Table211121642021[Points],"DNP",0,1)</f>
        <v>DNP</v>
      </c>
      <c r="M7">
        <f>_xlfn.XLOOKUP(Table16[[#This Row],[Name]],Table21112164202122[Name],Table21112164202122[Points],"DNP",0,1)</f>
        <v>2</v>
      </c>
      <c r="N7">
        <f>_xlfn.XLOOKUP(Table16[[#This Row],[Name]],Table2111216420212223[Name],Table2111216420212223[Points],"DNP",0,1)</f>
        <v>2</v>
      </c>
      <c r="O7">
        <f>_xlfn.XLOOKUP(Table16[[#This Row],[Name]],Table211121642021222325[Name],Table211121642021222325[Points],"DNP",0,1)</f>
        <v>1</v>
      </c>
      <c r="P7">
        <f>_xlfn.XLOOKUP(Table16[[#This Row],[Name]],Table21112164202122232534[Name],Table21112164202122232534[Points],"DNP",0,1)</f>
        <v>1</v>
      </c>
      <c r="Q7" t="str">
        <f>_xlfn.XLOOKUP(Table16[[#This Row],[Name]],Table2111216420212223253435[Name],Table2111216420212223253435[Points],"DNP",0,1)</f>
        <v>DNP</v>
      </c>
      <c r="R7" t="str">
        <f>_xlfn.XLOOKUP(Table16[[#This Row],[Name]],Table211121642021222325343536[Name],Table211121642021222325343536[Points],"DNP",0,1)</f>
        <v>DNP</v>
      </c>
      <c r="S7">
        <f>_xlfn.XLOOKUP(Table16[[#This Row],[Name]],Table21112164202122232534353637[Name],Table21112164202122232534353637[Points],"DNP",0,1)</f>
        <v>4</v>
      </c>
      <c r="T7" t="str">
        <f>_xlfn.XLOOKUP(Table16[[#This Row],[Name]],Table2111216420212223253435363738[Name],Table2111216420212223253435363738[Points],"DNP",0,1)</f>
        <v>DNP</v>
      </c>
      <c r="U7">
        <f>_xlfn.XLOOKUP(Table16[[#This Row],[Name]],Table2111216420212223253435363739[Name],Table2111216420212223253435363739[Points],"DNP",0,1)</f>
        <v>1</v>
      </c>
      <c r="V7">
        <f>_xlfn.XLOOKUP(Table16[[#This Row],[Name]],Table211121642021222325343536373841[Name],Table211121642021222325343536373841[Points],"DNP",0,1)</f>
        <v>1</v>
      </c>
    </row>
    <row r="8" spans="1:33">
      <c r="B8" t="str">
        <f>IFERROR(Table5[[#This Row],[Full name]],"")</f>
        <v>Myles MacPherson</v>
      </c>
      <c r="C8" s="68">
        <f>SUM(Table16[[#This Row],[September 30, 2025]:[Column18]])</f>
        <v>5</v>
      </c>
      <c r="D8" t="str">
        <f>_xlfn.XLOOKUP(Table16[[#This Row],[Name]],Table4[Name],Table4[Points],"DNP",0,1)</f>
        <v>DNP</v>
      </c>
      <c r="E8" t="str">
        <f>_xlfn.XLOOKUP(Table16[[#This Row],[Name]],Table9[Name],Table9[Points],"DNP",0,1)</f>
        <v>DNP</v>
      </c>
      <c r="F8" t="str">
        <f>_xlfn.XLOOKUP(Table16[[#This Row],[Name]],Table18[Name],Table18[Points],"DNP",0,1)</f>
        <v>DNP</v>
      </c>
      <c r="G8" t="str">
        <f>_xlfn.XLOOKUP(Table16[[#This Row],[Name]],Table2[Name],Table2[Points],"DNP",0,1)</f>
        <v>DNP</v>
      </c>
      <c r="H8" t="str">
        <f>_xlfn.XLOOKUP(Table16[[#This Row],[Name]],Table211[Name],Table211[Points],"DNP",0,1)</f>
        <v>DNP</v>
      </c>
      <c r="I8" t="str">
        <f>_xlfn.XLOOKUP(Table16[[#This Row],[Name]],Table21112[Name],Table21112[Points],"DNP",0,1)</f>
        <v>DNP</v>
      </c>
      <c r="J8" t="str">
        <f>_xlfn.XLOOKUP(Table16[[#This Row],[Name]],Table21112164[Name],Table21112164[Points],"DNP",0,1)</f>
        <v>DNP</v>
      </c>
      <c r="K8" t="str">
        <f>_xlfn.XLOOKUP(Table16[[#This Row],[Name]],Table2111216420[Name],Table2111216420[Points],"DNP",0,1)</f>
        <v>DNP</v>
      </c>
      <c r="L8">
        <f>_xlfn.XLOOKUP(Table16[[#This Row],[Name]],Table211121642021[Name],Table211121642021[Points],"DNP",0,1)</f>
        <v>1</v>
      </c>
      <c r="M8">
        <f>_xlfn.XLOOKUP(Table16[[#This Row],[Name]],Table21112164202122[Name],Table21112164202122[Points],"DNP",0,1)</f>
        <v>1</v>
      </c>
      <c r="N8" t="str">
        <f>_xlfn.XLOOKUP(Table16[[#This Row],[Name]],Table2111216420212223[Name],Table2111216420212223[Points],"DNP",0,1)</f>
        <v>DNP</v>
      </c>
      <c r="O8" t="str">
        <f>_xlfn.XLOOKUP(Table16[[#This Row],[Name]],Table211121642021222325[Name],Table211121642021222325[Points],"DNP",0,1)</f>
        <v>DNP</v>
      </c>
      <c r="P8" t="str">
        <f>_xlfn.XLOOKUP(Table16[[#This Row],[Name]],Table21112164202122232534[Name],Table21112164202122232534[Points],"DNP",0,1)</f>
        <v>DNP</v>
      </c>
      <c r="Q8">
        <f>_xlfn.XLOOKUP(Table16[[#This Row],[Name]],Table2111216420212223253435[Name],Table2111216420212223253435[Points],"DNP",0,1)</f>
        <v>2</v>
      </c>
      <c r="R8" t="str">
        <f>_xlfn.XLOOKUP(Table16[[#This Row],[Name]],Table211121642021222325343536[Name],Table211121642021222325343536[Points],"DNP",0,1)</f>
        <v>DNP</v>
      </c>
      <c r="S8" t="str">
        <f>_xlfn.XLOOKUP(Table16[[#This Row],[Name]],Table21112164202122232534353637[Name],Table21112164202122232534353637[Points],"DNP",0,1)</f>
        <v>DNP</v>
      </c>
      <c r="T8" t="str">
        <f>_xlfn.XLOOKUP(Table16[[#This Row],[Name]],Table2111216420212223253435363738[Name],Table2111216420212223253435363738[Points],"DNP",0,1)</f>
        <v>DNP</v>
      </c>
      <c r="U8">
        <f>_xlfn.XLOOKUP(Table16[[#This Row],[Name]],Table2111216420212223253435363739[Name],Table2111216420212223253435363739[Points],"DNP",0,1)</f>
        <v>1</v>
      </c>
      <c r="V8" t="str">
        <f>_xlfn.XLOOKUP(Table16[[#This Row],[Name]],Table211121642021222325343536373841[Name],Table211121642021222325343536373841[Points],"DNP",0,1)</f>
        <v>DNP</v>
      </c>
    </row>
    <row r="9" spans="1:33">
      <c r="B9" t="str">
        <f>IFERROR(Table5[[#This Row],[Full name]],"")</f>
        <v>Tyler Mah</v>
      </c>
      <c r="C9" s="68">
        <f>SUM(Table16[[#This Row],[September 30, 2025]:[Column18]])</f>
        <v>13</v>
      </c>
      <c r="D9">
        <f>_xlfn.XLOOKUP(Table16[[#This Row],[Name]],Table4[Name],Table4[Points],"DNP",0,1)</f>
        <v>10</v>
      </c>
      <c r="E9">
        <f>_xlfn.XLOOKUP(Table16[[#This Row],[Name]],Table9[Name],Table9[Points],"DNP",0,1)</f>
        <v>1</v>
      </c>
      <c r="F9" t="str">
        <f>_xlfn.XLOOKUP(Table16[[#This Row],[Name]],Table18[Name],Table18[Points],"DNP",0,1)</f>
        <v>DNP</v>
      </c>
      <c r="G9" t="str">
        <f>_xlfn.XLOOKUP(Table16[[#This Row],[Name]],Table2[Name],Table2[Points],"DNP",0,1)</f>
        <v>DNP</v>
      </c>
      <c r="H9" t="str">
        <f>_xlfn.XLOOKUP(Table16[[#This Row],[Name]],Table211[Name],Table211[Points],"DNP",0,1)</f>
        <v>DNP</v>
      </c>
      <c r="I9" t="str">
        <f>_xlfn.XLOOKUP(Table16[[#This Row],[Name]],Table21112[Name],Table21112[Points],"DNP",0,1)</f>
        <v>DNP</v>
      </c>
      <c r="J9">
        <f>_xlfn.XLOOKUP(Table16[[#This Row],[Name]],Table21112164[Name],Table21112164[Points],"DNP",0,1)</f>
        <v>1</v>
      </c>
      <c r="K9" t="str">
        <f>_xlfn.XLOOKUP(Table16[[#This Row],[Name]],Table2111216420[Name],Table2111216420[Points],"DNP",0,1)</f>
        <v>DNP</v>
      </c>
      <c r="L9" t="str">
        <f>_xlfn.XLOOKUP(Table16[[#This Row],[Name]],Table211121642021[Name],Table211121642021[Points],"DNP",0,1)</f>
        <v>DNP</v>
      </c>
      <c r="M9" t="str">
        <f>_xlfn.XLOOKUP(Table16[[#This Row],[Name]],Table21112164202122[Name],Table21112164202122[Points],"DNP",0,1)</f>
        <v>DNP</v>
      </c>
      <c r="N9">
        <f>_xlfn.XLOOKUP(Table16[[#This Row],[Name]],Table2111216420212223[Name],Table2111216420212223[Points],"DNP",0,1)</f>
        <v>1</v>
      </c>
      <c r="O9" t="str">
        <f>_xlfn.XLOOKUP(Table16[[#This Row],[Name]],Table211121642021222325[Name],Table211121642021222325[Points],"DNP",0,1)</f>
        <v>DNP</v>
      </c>
      <c r="P9" t="str">
        <f>_xlfn.XLOOKUP(Table16[[#This Row],[Name]],Table21112164202122232534[Name],Table21112164202122232534[Points],"DNP",0,1)</f>
        <v>DNP</v>
      </c>
      <c r="Q9" t="str">
        <f>_xlfn.XLOOKUP(Table16[[#This Row],[Name]],Table2111216420212223253435[Name],Table2111216420212223253435[Points],"DNP",0,1)</f>
        <v>DNP</v>
      </c>
      <c r="R9" t="str">
        <f>_xlfn.XLOOKUP(Table16[[#This Row],[Name]],Table211121642021222325343536[Name],Table211121642021222325343536[Points],"DNP",0,1)</f>
        <v>DNP</v>
      </c>
      <c r="S9" t="str">
        <f>_xlfn.XLOOKUP(Table16[[#This Row],[Name]],Table21112164202122232534353637[Name],Table21112164202122232534353637[Points],"DNP",0,1)</f>
        <v>DNP</v>
      </c>
      <c r="T9" t="str">
        <f>_xlfn.XLOOKUP(Table16[[#This Row],[Name]],Table2111216420212223253435363738[Name],Table2111216420212223253435363738[Points],"DNP",0,1)</f>
        <v>DNP</v>
      </c>
      <c r="U9" t="str">
        <f>_xlfn.XLOOKUP(Table16[[#This Row],[Name]],Table2111216420212223253435363739[Name],Table2111216420212223253435363739[Points],"DNP",0,1)</f>
        <v>DNP</v>
      </c>
      <c r="V9" t="str">
        <f>_xlfn.XLOOKUP(Table16[[#This Row],[Name]],Table211121642021222325343536373841[Name],Table211121642021222325343536373841[Points],"DNP",0,1)</f>
        <v>DNP</v>
      </c>
    </row>
    <row r="10" spans="1:33">
      <c r="B10" t="str">
        <f>IFERROR(Table5[[#This Row],[Full name]],"")</f>
        <v>Nathan Fenske</v>
      </c>
      <c r="C10" s="68">
        <f>SUM(Table16[[#This Row],[September 30, 2025]:[Column18]])</f>
        <v>3</v>
      </c>
      <c r="D10">
        <f>_xlfn.XLOOKUP(Table16[[#This Row],[Name]],Table4[Name],Table4[Points],"DNP",0,1)</f>
        <v>1</v>
      </c>
      <c r="E10" t="str">
        <f>_xlfn.XLOOKUP(Table16[[#This Row],[Name]],Table9[Name],Table9[Points],"DNP",0,1)</f>
        <v>DNP</v>
      </c>
      <c r="F10" t="str">
        <f>_xlfn.XLOOKUP(Table16[[#This Row],[Name]],Table18[Name],Table18[Points],"DNP",0,1)</f>
        <v>DNP</v>
      </c>
      <c r="G10">
        <f>_xlfn.XLOOKUP(Table16[[#This Row],[Name]],Table2[Name],Table2[Points],"DNP",0,1)</f>
        <v>1</v>
      </c>
      <c r="H10" t="str">
        <f>_xlfn.XLOOKUP(Table16[[#This Row],[Name]],Table211[Name],Table211[Points],"DNP",0,1)</f>
        <v>DNP</v>
      </c>
      <c r="I10" t="str">
        <f>_xlfn.XLOOKUP(Table16[[#This Row],[Name]],Table21112[Name],Table21112[Points],"DNP",0,1)</f>
        <v>DNP</v>
      </c>
      <c r="J10" t="str">
        <f>_xlfn.XLOOKUP(Table16[[#This Row],[Name]],Table21112164[Name],Table21112164[Points],"DNP",0,1)</f>
        <v>DNP</v>
      </c>
      <c r="K10" t="str">
        <f>_xlfn.XLOOKUP(Table16[[#This Row],[Name]],Table2111216420[Name],Table2111216420[Points],"DNP",0,1)</f>
        <v>DNP</v>
      </c>
      <c r="L10" t="str">
        <f>_xlfn.XLOOKUP(Table16[[#This Row],[Name]],Table211121642021[Name],Table211121642021[Points],"DNP",0,1)</f>
        <v>DNP</v>
      </c>
      <c r="M10">
        <f>_xlfn.XLOOKUP(Table16[[#This Row],[Name]],Table21112164202122[Name],Table21112164202122[Points],"DNP",0,1)</f>
        <v>1</v>
      </c>
      <c r="N10" t="str">
        <f>_xlfn.XLOOKUP(Table16[[#This Row],[Name]],Table2111216420212223[Name],Table2111216420212223[Points],"DNP",0,1)</f>
        <v>DNP</v>
      </c>
      <c r="O10" t="str">
        <f>_xlfn.XLOOKUP(Table16[[#This Row],[Name]],Table211121642021222325[Name],Table211121642021222325[Points],"DNP",0,1)</f>
        <v>DNP</v>
      </c>
      <c r="P10" t="str">
        <f>_xlfn.XLOOKUP(Table16[[#This Row],[Name]],Table21112164202122232534[Name],Table21112164202122232534[Points],"DNP",0,1)</f>
        <v>DNP</v>
      </c>
      <c r="Q10" t="str">
        <f>_xlfn.XLOOKUP(Table16[[#This Row],[Name]],Table2111216420212223253435[Name],Table2111216420212223253435[Points],"DNP",0,1)</f>
        <v>DNP</v>
      </c>
      <c r="R10" t="str">
        <f>_xlfn.XLOOKUP(Table16[[#This Row],[Name]],Table211121642021222325343536[Name],Table211121642021222325343536[Points],"DNP",0,1)</f>
        <v>DNP</v>
      </c>
      <c r="S10" t="str">
        <f>_xlfn.XLOOKUP(Table16[[#This Row],[Name]],Table21112164202122232534353637[Name],Table21112164202122232534353637[Points],"DNP",0,1)</f>
        <v>DNP</v>
      </c>
      <c r="T10" t="str">
        <f>_xlfn.XLOOKUP(Table16[[#This Row],[Name]],Table2111216420212223253435363738[Name],Table2111216420212223253435363738[Points],"DNP",0,1)</f>
        <v>DNP</v>
      </c>
      <c r="U10" t="str">
        <f>_xlfn.XLOOKUP(Table16[[#This Row],[Name]],Table2111216420212223253435363739[Name],Table2111216420212223253435363739[Points],"DNP",0,1)</f>
        <v>DNP</v>
      </c>
      <c r="V10" t="str">
        <f>_xlfn.XLOOKUP(Table16[[#This Row],[Name]],Table211121642021222325343536373841[Name],Table211121642021222325343536373841[Points],"DNP",0,1)</f>
        <v>DNP</v>
      </c>
    </row>
    <row r="11" spans="1:33">
      <c r="B11" t="str">
        <f>IFERROR(Table5[[#This Row],[Full name]],"")</f>
        <v>Jackie Cai</v>
      </c>
      <c r="C11" s="68">
        <f>SUM(Table16[[#This Row],[September 30, 2025]:[Column18]])</f>
        <v>21</v>
      </c>
      <c r="D11">
        <f>_xlfn.XLOOKUP(Table16[[#This Row],[Name]],Table4[Name],Table4[Points],"DNP",0,1)</f>
        <v>4</v>
      </c>
      <c r="E11" t="str">
        <f>_xlfn.XLOOKUP(Table16[[#This Row],[Name]],Table9[Name],Table9[Points],"DNP",0,1)</f>
        <v>DNP</v>
      </c>
      <c r="F11" t="str">
        <f>_xlfn.XLOOKUP(Table16[[#This Row],[Name]],Table18[Name],Table18[Points],"DNP",0,1)</f>
        <v>DNP</v>
      </c>
      <c r="G11" t="str">
        <f>_xlfn.XLOOKUP(Table16[[#This Row],[Name]],Table2[Name],Table2[Points],"DNP",0,1)</f>
        <v>DNP</v>
      </c>
      <c r="H11" t="str">
        <f>_xlfn.XLOOKUP(Table16[[#This Row],[Name]],Table211[Name],Table211[Points],"DNP",0,1)</f>
        <v>DNP</v>
      </c>
      <c r="I11" t="str">
        <f>_xlfn.XLOOKUP(Table16[[#This Row],[Name]],Table21112[Name],Table21112[Points],"DNP",0,1)</f>
        <v>DNP</v>
      </c>
      <c r="J11">
        <f>_xlfn.XLOOKUP(Table16[[#This Row],[Name]],Table21112164[Name],Table21112164[Points],"DNP",0,1)</f>
        <v>4</v>
      </c>
      <c r="K11" t="str">
        <f>_xlfn.XLOOKUP(Table16[[#This Row],[Name]],Table2111216420[Name],Table2111216420[Points],"DNP",0,1)</f>
        <v>DNP</v>
      </c>
      <c r="L11">
        <f>_xlfn.XLOOKUP(Table16[[#This Row],[Name]],Table211121642021[Name],Table211121642021[Points],"DNP",0,1)</f>
        <v>1</v>
      </c>
      <c r="M11" t="str">
        <f>_xlfn.XLOOKUP(Table16[[#This Row],[Name]],Table21112164202122[Name],Table21112164202122[Points],"DNP",0,1)</f>
        <v>DNP</v>
      </c>
      <c r="N11">
        <f>_xlfn.XLOOKUP(Table16[[#This Row],[Name]],Table2111216420212223[Name],Table2111216420212223[Points],"DNP",0,1)</f>
        <v>1</v>
      </c>
      <c r="O11" t="str">
        <f>_xlfn.XLOOKUP(Table16[[#This Row],[Name]],Table211121642021222325[Name],Table211121642021222325[Points],"DNP",0,1)</f>
        <v>DNP</v>
      </c>
      <c r="P11">
        <f>_xlfn.XLOOKUP(Table16[[#This Row],[Name]],Table21112164202122232534[Name],Table21112164202122232534[Points],"DNP",0,1)</f>
        <v>10</v>
      </c>
      <c r="Q11" t="str">
        <f>_xlfn.XLOOKUP(Table16[[#This Row],[Name]],Table2111216420212223253435[Name],Table2111216420212223253435[Points],"DNP",0,1)</f>
        <v>DNP</v>
      </c>
      <c r="R11" t="str">
        <f>_xlfn.XLOOKUP(Table16[[#This Row],[Name]],Table211121642021222325343536[Name],Table211121642021222325343536[Points],"DNP",0,1)</f>
        <v>DNP</v>
      </c>
      <c r="S11" t="str">
        <f>_xlfn.XLOOKUP(Table16[[#This Row],[Name]],Table21112164202122232534353637[Name],Table21112164202122232534353637[Points],"DNP",0,1)</f>
        <v>DNP</v>
      </c>
      <c r="T11" t="str">
        <f>_xlfn.XLOOKUP(Table16[[#This Row],[Name]],Table2111216420212223253435363738[Name],Table2111216420212223253435363738[Points],"DNP",0,1)</f>
        <v>DNP</v>
      </c>
      <c r="U11">
        <f>_xlfn.XLOOKUP(Table16[[#This Row],[Name]],Table2111216420212223253435363739[Name],Table2111216420212223253435363739[Points],"DNP",0,1)</f>
        <v>1</v>
      </c>
      <c r="V11" t="str">
        <f>_xlfn.XLOOKUP(Table16[[#This Row],[Name]],Table211121642021222325343536373841[Name],Table211121642021222325343536373841[Points],"DNP",0,1)</f>
        <v>DNP</v>
      </c>
    </row>
    <row r="12" spans="1:33">
      <c r="B12" t="str">
        <f>IFERROR(Table5[[#This Row],[Full name]],"")</f>
        <v>Edward Dong</v>
      </c>
      <c r="C12" s="68">
        <f>SUM(Table16[[#This Row],[September 30, 2025]:[Column18]])</f>
        <v>15</v>
      </c>
      <c r="D12">
        <f>_xlfn.XLOOKUP(Table16[[#This Row],[Name]],Table4[Name],Table4[Points],"DNP",0,1)</f>
        <v>1</v>
      </c>
      <c r="E12">
        <f>_xlfn.XLOOKUP(Table16[[#This Row],[Name]],Table9[Name],Table9[Points],"DNP",0,1)</f>
        <v>2</v>
      </c>
      <c r="F12" t="str">
        <f>_xlfn.XLOOKUP(Table16[[#This Row],[Name]],Table18[Name],Table18[Points],"DNP",0,1)</f>
        <v>DNP</v>
      </c>
      <c r="G12">
        <f>_xlfn.XLOOKUP(Table16[[#This Row],[Name]],Table2[Name],Table2[Points],"DNP",0,1)</f>
        <v>3</v>
      </c>
      <c r="H12" t="str">
        <f>_xlfn.XLOOKUP(Table16[[#This Row],[Name]],Table211[Name],Table211[Points],"DNP",0,1)</f>
        <v>DNP</v>
      </c>
      <c r="I12" t="str">
        <f>_xlfn.XLOOKUP(Table16[[#This Row],[Name]],Table21112[Name],Table21112[Points],"DNP",0,1)</f>
        <v>DNP</v>
      </c>
      <c r="J12">
        <f>_xlfn.XLOOKUP(Table16[[#This Row],[Name]],Table21112164[Name],Table21112164[Points],"DNP",0,1)</f>
        <v>3</v>
      </c>
      <c r="K12">
        <f>_xlfn.XLOOKUP(Table16[[#This Row],[Name]],Table2111216420[Name],Table2111216420[Points],"DNP",0,1)</f>
        <v>1</v>
      </c>
      <c r="L12">
        <f>_xlfn.XLOOKUP(Table16[[#This Row],[Name]],Table211121642021[Name],Table211121642021[Points],"DNP",0,1)</f>
        <v>1</v>
      </c>
      <c r="M12">
        <f>_xlfn.XLOOKUP(Table16[[#This Row],[Name]],Table21112164202122[Name],Table21112164202122[Points],"DNP",0,1)</f>
        <v>4</v>
      </c>
      <c r="N12" t="str">
        <f>_xlfn.XLOOKUP(Table16[[#This Row],[Name]],Table2111216420212223[Name],Table2111216420212223[Points],"DNP",0,1)</f>
        <v>DNP</v>
      </c>
      <c r="O12" t="str">
        <f>_xlfn.XLOOKUP(Table16[[#This Row],[Name]],Table211121642021222325[Name],Table211121642021222325[Points],"DNP",0,1)</f>
        <v>DNP</v>
      </c>
      <c r="P12" t="str">
        <f>_xlfn.XLOOKUP(Table16[[#This Row],[Name]],Table21112164202122232534[Name],Table21112164202122232534[Points],"DNP",0,1)</f>
        <v>DNP</v>
      </c>
      <c r="Q12" t="str">
        <f>_xlfn.XLOOKUP(Table16[[#This Row],[Name]],Table2111216420212223253435[Name],Table2111216420212223253435[Points],"DNP",0,1)</f>
        <v>DNP</v>
      </c>
      <c r="R12" t="str">
        <f>_xlfn.XLOOKUP(Table16[[#This Row],[Name]],Table211121642021222325343536[Name],Table211121642021222325343536[Points],"DNP",0,1)</f>
        <v>DNP</v>
      </c>
      <c r="S12" t="str">
        <f>_xlfn.XLOOKUP(Table16[[#This Row],[Name]],Table21112164202122232534353637[Name],Table21112164202122232534353637[Points],"DNP",0,1)</f>
        <v>DNP</v>
      </c>
      <c r="T12" t="str">
        <f>_xlfn.XLOOKUP(Table16[[#This Row],[Name]],Table2111216420212223253435363738[Name],Table2111216420212223253435363738[Points],"DNP",0,1)</f>
        <v>DNP</v>
      </c>
      <c r="U12" t="str">
        <f>_xlfn.XLOOKUP(Table16[[#This Row],[Name]],Table2111216420212223253435363739[Name],Table2111216420212223253435363739[Points],"DNP",0,1)</f>
        <v>DNP</v>
      </c>
      <c r="V12" t="str">
        <f>_xlfn.XLOOKUP(Table16[[#This Row],[Name]],Table211121642021222325343536373841[Name],Table211121642021222325343536373841[Points],"DNP",0,1)</f>
        <v>DNP</v>
      </c>
    </row>
    <row r="13" spans="1:33">
      <c r="B13" t="str">
        <f>IFERROR(Table5[[#This Row],[Full name]],"")</f>
        <v>Kaden Ali</v>
      </c>
      <c r="C13" s="68">
        <f>SUM(Table16[[#This Row],[September 30, 2025]:[Column18]])</f>
        <v>13</v>
      </c>
      <c r="D13">
        <f>_xlfn.XLOOKUP(Table16[[#This Row],[Name]],Table4[Name],Table4[Points],"DNP",0,1)</f>
        <v>2</v>
      </c>
      <c r="E13" t="str">
        <f>_xlfn.XLOOKUP(Table16[[#This Row],[Name]],Table9[Name],Table9[Points],"DNP",0,1)</f>
        <v>DNP</v>
      </c>
      <c r="F13" t="str">
        <f>_xlfn.XLOOKUP(Table16[[#This Row],[Name]],Table18[Name],Table18[Points],"DNP",0,1)</f>
        <v>DNP</v>
      </c>
      <c r="G13" t="str">
        <f>_xlfn.XLOOKUP(Table16[[#This Row],[Name]],Table2[Name],Table2[Points],"DNP",0,1)</f>
        <v>DNP</v>
      </c>
      <c r="H13">
        <f>_xlfn.XLOOKUP(Table16[[#This Row],[Name]],Table211[Name],Table211[Points],"DNP",0,1)</f>
        <v>1</v>
      </c>
      <c r="I13">
        <f>_xlfn.XLOOKUP(Table16[[#This Row],[Name]],Table21112[Name],Table21112[Points],"DNP",0,1)</f>
        <v>1</v>
      </c>
      <c r="J13">
        <f>_xlfn.XLOOKUP(Table16[[#This Row],[Name]],Table21112164[Name],Table21112164[Points],"DNP",0,1)</f>
        <v>2</v>
      </c>
      <c r="K13">
        <f>_xlfn.XLOOKUP(Table16[[#This Row],[Name]],Table2111216420[Name],Table2111216420[Points],"DNP",0,1)</f>
        <v>3</v>
      </c>
      <c r="L13" t="str">
        <f>_xlfn.XLOOKUP(Table16[[#This Row],[Name]],Table211121642021[Name],Table211121642021[Points],"DNP",0,1)</f>
        <v>DNP</v>
      </c>
      <c r="M13">
        <f>_xlfn.XLOOKUP(Table16[[#This Row],[Name]],Table21112164202122[Name],Table21112164202122[Points],"DNP",0,1)</f>
        <v>2</v>
      </c>
      <c r="N13" t="str">
        <f>_xlfn.XLOOKUP(Table16[[#This Row],[Name]],Table2111216420212223[Name],Table2111216420212223[Points],"DNP",0,1)</f>
        <v>DNP</v>
      </c>
      <c r="O13" t="str">
        <f>_xlfn.XLOOKUP(Table16[[#This Row],[Name]],Table211121642021222325[Name],Table211121642021222325[Points],"DNP",0,1)</f>
        <v>DNP</v>
      </c>
      <c r="P13" t="str">
        <f>_xlfn.XLOOKUP(Table16[[#This Row],[Name]],Table21112164202122232534[Name],Table21112164202122232534[Points],"DNP",0,1)</f>
        <v>DNP</v>
      </c>
      <c r="Q13" t="str">
        <f>_xlfn.XLOOKUP(Table16[[#This Row],[Name]],Table2111216420212223253435[Name],Table2111216420212223253435[Points],"DNP",0,1)</f>
        <v>DNP</v>
      </c>
      <c r="R13" t="str">
        <f>_xlfn.XLOOKUP(Table16[[#This Row],[Name]],Table211121642021222325343536[Name],Table211121642021222325343536[Points],"DNP",0,1)</f>
        <v>DNP</v>
      </c>
      <c r="S13">
        <f>_xlfn.XLOOKUP(Table16[[#This Row],[Name]],Table21112164202122232534353637[Name],Table21112164202122232534353637[Points],"DNP",0,1)</f>
        <v>2</v>
      </c>
      <c r="T13" t="str">
        <f>_xlfn.XLOOKUP(Table16[[#This Row],[Name]],Table2111216420212223253435363738[Name],Table2111216420212223253435363738[Points],"DNP",0,1)</f>
        <v>DNP</v>
      </c>
      <c r="U13" t="str">
        <f>_xlfn.XLOOKUP(Table16[[#This Row],[Name]],Table2111216420212223253435363739[Name],Table2111216420212223253435363739[Points],"DNP",0,1)</f>
        <v>DNP</v>
      </c>
      <c r="V13" t="str">
        <f>_xlfn.XLOOKUP(Table16[[#This Row],[Name]],Table211121642021222325343536373841[Name],Table211121642021222325343536373841[Points],"DNP",0,1)</f>
        <v>DNP</v>
      </c>
    </row>
    <row r="14" spans="1:33">
      <c r="B14" t="str">
        <f>IFERROR(Table5[[#This Row],[Full name]],"")</f>
        <v>Matthew Barclay</v>
      </c>
      <c r="C14" s="68">
        <f>SUM(Table16[[#This Row],[September 30, 2025]:[Column18]])</f>
        <v>57</v>
      </c>
      <c r="D14" t="str">
        <f>_xlfn.XLOOKUP(Table16[[#This Row],[Name]],Table4[Name],Table4[Points],"DNP",0,1)</f>
        <v>DNP</v>
      </c>
      <c r="E14">
        <f>_xlfn.XLOOKUP(Table16[[#This Row],[Name]],Table9[Name],Table9[Points],"DNP",0,1)</f>
        <v>1</v>
      </c>
      <c r="F14" t="str">
        <f>_xlfn.XLOOKUP(Table16[[#This Row],[Name]],Table18[Name],Table18[Points],"DNP",0,1)</f>
        <v>DNP</v>
      </c>
      <c r="G14">
        <f>_xlfn.XLOOKUP(Table16[[#This Row],[Name]],Table2[Name],Table2[Points],"DNP",0,1)</f>
        <v>10</v>
      </c>
      <c r="H14" t="str">
        <f>_xlfn.XLOOKUP(Table16[[#This Row],[Name]],Table211[Name],Table211[Points],"DNP",0,1)</f>
        <v>DNP</v>
      </c>
      <c r="I14">
        <f>_xlfn.XLOOKUP(Table16[[#This Row],[Name]],Table21112[Name],Table21112[Points],"DNP",0,1)</f>
        <v>2</v>
      </c>
      <c r="J14">
        <f>_xlfn.XLOOKUP(Table16[[#This Row],[Name]],Table21112164[Name],Table21112164[Points],"DNP",0,1)</f>
        <v>3</v>
      </c>
      <c r="K14">
        <f>_xlfn.XLOOKUP(Table16[[#This Row],[Name]],Table2111216420[Name],Table2111216420[Points],"DNP",0,1)</f>
        <v>8</v>
      </c>
      <c r="L14">
        <f>_xlfn.XLOOKUP(Table16[[#This Row],[Name]],Table211121642021[Name],Table211121642021[Points],"DNP",0,1)</f>
        <v>3</v>
      </c>
      <c r="M14">
        <f>_xlfn.XLOOKUP(Table16[[#This Row],[Name]],Table21112164202122[Name],Table21112164202122[Points],"DNP",0,1)</f>
        <v>1</v>
      </c>
      <c r="N14">
        <f>_xlfn.XLOOKUP(Table16[[#This Row],[Name]],Table2111216420212223[Name],Table2111216420212223[Points],"DNP",0,1)</f>
        <v>1</v>
      </c>
      <c r="O14" t="str">
        <f>_xlfn.XLOOKUP(Table16[[#This Row],[Name]],Table211121642021222325[Name],Table211121642021222325[Points],"DNP",0,1)</f>
        <v>DNP</v>
      </c>
      <c r="P14">
        <f>_xlfn.XLOOKUP(Table16[[#This Row],[Name]],Table21112164202122232534[Name],Table21112164202122232534[Points],"DNP",0,1)</f>
        <v>2</v>
      </c>
      <c r="Q14">
        <f>_xlfn.XLOOKUP(Table16[[#This Row],[Name]],Table2111216420212223253435[Name],Table2111216420212223253435[Points],"DNP",0,1)</f>
        <v>4</v>
      </c>
      <c r="R14">
        <f>_xlfn.XLOOKUP(Table16[[#This Row],[Name]],Table211121642021222325343536[Name],Table211121642021222325343536[Points],"DNP",0,1)</f>
        <v>1</v>
      </c>
      <c r="S14">
        <f>_xlfn.XLOOKUP(Table16[[#This Row],[Name]],Table21112164202122232534353637[Name],Table21112164202122232534353637[Points],"DNP",0,1)</f>
        <v>8</v>
      </c>
      <c r="T14">
        <f>_xlfn.XLOOKUP(Table16[[#This Row],[Name]],Table2111216420212223253435363738[Name],Table2111216420212223253435363738[Points],"DNP",0,1)</f>
        <v>10</v>
      </c>
      <c r="U14">
        <f>_xlfn.XLOOKUP(Table16[[#This Row],[Name]],Table2111216420212223253435363739[Name],Table2111216420212223253435363739[Points],"DNP",0,1)</f>
        <v>1</v>
      </c>
      <c r="V14">
        <f>_xlfn.XLOOKUP(Table16[[#This Row],[Name]],Table211121642021222325343536373841[Name],Table211121642021222325343536373841[Points],"DNP",0,1)</f>
        <v>2</v>
      </c>
    </row>
    <row r="15" spans="1:33">
      <c r="B15" t="str">
        <f>IFERROR(Table5[[#This Row],[Full name]],"")</f>
        <v>Pavel Zykmund</v>
      </c>
      <c r="C15" s="68">
        <f>SUM(Table16[[#This Row],[September 30, 2025]:[Column18]])</f>
        <v>66</v>
      </c>
      <c r="D15">
        <f>_xlfn.XLOOKUP(Table16[[#This Row],[Name]],Table4[Name],Table4[Points],"DNP",0,1)</f>
        <v>4</v>
      </c>
      <c r="E15">
        <f>_xlfn.XLOOKUP(Table16[[#This Row],[Name]],Table9[Name],Table9[Points],"DNP",0,1)</f>
        <v>4</v>
      </c>
      <c r="F15" t="str">
        <f>_xlfn.XLOOKUP(Table16[[#This Row],[Name]],Table18[Name],Table18[Points],"DNP",0,1)</f>
        <v>DNP</v>
      </c>
      <c r="G15">
        <f>_xlfn.XLOOKUP(Table16[[#This Row],[Name]],Table2[Name],Table2[Points],"DNP",0,1)</f>
        <v>2</v>
      </c>
      <c r="H15">
        <f>_xlfn.XLOOKUP(Table16[[#This Row],[Name]],Table211[Name],Table211[Points],"DNP",0,1)</f>
        <v>1</v>
      </c>
      <c r="I15" t="str">
        <f>_xlfn.XLOOKUP(Table16[[#This Row],[Name]],Table21112[Name],Table21112[Points],"DNP",0,1)</f>
        <v>DNP</v>
      </c>
      <c r="J15" t="str">
        <f>_xlfn.XLOOKUP(Table16[[#This Row],[Name]],Table21112164[Name],Table21112164[Points],"DNP",0,1)</f>
        <v>DNP</v>
      </c>
      <c r="K15" t="str">
        <f>_xlfn.XLOOKUP(Table16[[#This Row],[Name]],Table2111216420[Name],Table2111216420[Points],"DNP",0,1)</f>
        <v>DNP</v>
      </c>
      <c r="L15" t="str">
        <f>_xlfn.XLOOKUP(Table16[[#This Row],[Name]],Table211121642021[Name],Table211121642021[Points],"DNP",0,1)</f>
        <v>DNP</v>
      </c>
      <c r="M15">
        <f>_xlfn.XLOOKUP(Table16[[#This Row],[Name]],Table21112164202122[Name],Table21112164202122[Points],"DNP",0,1)</f>
        <v>50</v>
      </c>
      <c r="N15">
        <f>_xlfn.XLOOKUP(Table16[[#This Row],[Name]],Table2111216420212223[Name],Table2111216420212223[Points],"DNP",0,1)</f>
        <v>4</v>
      </c>
      <c r="O15" t="str">
        <f>_xlfn.XLOOKUP(Table16[[#This Row],[Name]],Table211121642021222325[Name],Table211121642021222325[Points],"DNP",0,1)</f>
        <v>DNP</v>
      </c>
      <c r="P15" t="str">
        <f>_xlfn.XLOOKUP(Table16[[#This Row],[Name]],Table21112164202122232534[Name],Table21112164202122232534[Points],"DNP",0,1)</f>
        <v>DNP</v>
      </c>
      <c r="Q15" t="str">
        <f>_xlfn.XLOOKUP(Table16[[#This Row],[Name]],Table2111216420212223253435[Name],Table2111216420212223253435[Points],"DNP",0,1)</f>
        <v>DNP</v>
      </c>
      <c r="R15" t="str">
        <f>_xlfn.XLOOKUP(Table16[[#This Row],[Name]],Table211121642021222325343536[Name],Table211121642021222325343536[Points],"DNP",0,1)</f>
        <v>DNP</v>
      </c>
      <c r="S15" t="str">
        <f>_xlfn.XLOOKUP(Table16[[#This Row],[Name]],Table21112164202122232534353637[Name],Table21112164202122232534353637[Points],"DNP",0,1)</f>
        <v>DNP</v>
      </c>
      <c r="T15" t="str">
        <f>_xlfn.XLOOKUP(Table16[[#This Row],[Name]],Table2111216420212223253435363738[Name],Table2111216420212223253435363738[Points],"DNP",0,1)</f>
        <v>DNP</v>
      </c>
      <c r="U15">
        <f>_xlfn.XLOOKUP(Table16[[#This Row],[Name]],Table2111216420212223253435363739[Name],Table2111216420212223253435363739[Points],"DNP",0,1)</f>
        <v>1</v>
      </c>
      <c r="V15" t="str">
        <f>_xlfn.XLOOKUP(Table16[[#This Row],[Name]],Table211121642021222325343536373841[Name],Table211121642021222325343536373841[Points],"DNP",0,1)</f>
        <v>DNP</v>
      </c>
    </row>
    <row r="16" spans="1:33">
      <c r="B16" t="str">
        <f>IFERROR(Table5[[#This Row],[Full name]],"")</f>
        <v>Rita Shweihat</v>
      </c>
      <c r="C16" s="68">
        <f>SUM(Table16[[#This Row],[September 30, 2025]:[Column18]])</f>
        <v>16</v>
      </c>
      <c r="D16">
        <f>_xlfn.XLOOKUP(Table16[[#This Row],[Name]],Table4[Name],Table4[Points],"DNP",0,1)</f>
        <v>2</v>
      </c>
      <c r="E16" t="str">
        <f>_xlfn.XLOOKUP(Table16[[#This Row],[Name]],Table9[Name],Table9[Points],"DNP",0,1)</f>
        <v>DNP</v>
      </c>
      <c r="F16" t="str">
        <f>_xlfn.XLOOKUP(Table16[[#This Row],[Name]],Table18[Name],Table18[Points],"DNP",0,1)</f>
        <v>DNP</v>
      </c>
      <c r="G16">
        <f>_xlfn.XLOOKUP(Table16[[#This Row],[Name]],Table2[Name],Table2[Points],"DNP",0,1)</f>
        <v>1</v>
      </c>
      <c r="H16">
        <f>_xlfn.XLOOKUP(Table16[[#This Row],[Name]],Table211[Name],Table211[Points],"DNP",0,1)</f>
        <v>1</v>
      </c>
      <c r="I16">
        <f>_xlfn.XLOOKUP(Table16[[#This Row],[Name]],Table21112[Name],Table21112[Points],"DNP",0,1)</f>
        <v>1</v>
      </c>
      <c r="J16">
        <f>_xlfn.XLOOKUP(Table16[[#This Row],[Name]],Table21112164[Name],Table21112164[Points],"DNP",0,1)</f>
        <v>1</v>
      </c>
      <c r="K16">
        <f>_xlfn.XLOOKUP(Table16[[#This Row],[Name]],Table2111216420[Name],Table2111216420[Points],"DNP",0,1)</f>
        <v>1</v>
      </c>
      <c r="L16">
        <f>_xlfn.XLOOKUP(Table16[[#This Row],[Name]],Table211121642021[Name],Table211121642021[Points],"DNP",0,1)</f>
        <v>1</v>
      </c>
      <c r="M16">
        <f>_xlfn.XLOOKUP(Table16[[#This Row],[Name]],Table21112164202122[Name],Table21112164202122[Points],"DNP",0,1)</f>
        <v>2</v>
      </c>
      <c r="N16">
        <f>_xlfn.XLOOKUP(Table16[[#This Row],[Name]],Table2111216420212223[Name],Table2111216420212223[Points],"DNP",0,1)</f>
        <v>4</v>
      </c>
      <c r="O16" t="str">
        <f>_xlfn.XLOOKUP(Table16[[#This Row],[Name]],Table211121642021222325[Name],Table211121642021222325[Points],"DNP",0,1)</f>
        <v>DNP</v>
      </c>
      <c r="P16" t="str">
        <f>_xlfn.XLOOKUP(Table16[[#This Row],[Name]],Table21112164202122232534[Name],Table21112164202122232534[Points],"DNP",0,1)</f>
        <v>DNP</v>
      </c>
      <c r="Q16" t="str">
        <f>_xlfn.XLOOKUP(Table16[[#This Row],[Name]],Table2111216420212223253435[Name],Table2111216420212223253435[Points],"DNP",0,1)</f>
        <v>DNP</v>
      </c>
      <c r="R16" t="str">
        <f>_xlfn.XLOOKUP(Table16[[#This Row],[Name]],Table211121642021222325343536[Name],Table211121642021222325343536[Points],"DNP",0,1)</f>
        <v>DNP</v>
      </c>
      <c r="S16">
        <f>_xlfn.XLOOKUP(Table16[[#This Row],[Name]],Table21112164202122232534353637[Name],Table21112164202122232534353637[Points],"DNP",0,1)</f>
        <v>1</v>
      </c>
      <c r="T16" t="str">
        <f>_xlfn.XLOOKUP(Table16[[#This Row],[Name]],Table2111216420212223253435363738[Name],Table2111216420212223253435363738[Points],"DNP",0,1)</f>
        <v>DNP</v>
      </c>
      <c r="U16">
        <f>_xlfn.XLOOKUP(Table16[[#This Row],[Name]],Table2111216420212223253435363739[Name],Table2111216420212223253435363739[Points],"DNP",0,1)</f>
        <v>1</v>
      </c>
      <c r="V16" t="str">
        <f>_xlfn.XLOOKUP(Table16[[#This Row],[Name]],Table211121642021222325343536373841[Name],Table211121642021222325343536373841[Points],"DNP",0,1)</f>
        <v>DNP</v>
      </c>
    </row>
    <row r="17" spans="2:22">
      <c r="B17" t="str">
        <f>IFERROR(Table5[[#This Row],[Full name]],"")</f>
        <v>Sam Ahn</v>
      </c>
      <c r="C17" s="68">
        <f>SUM(Table16[[#This Row],[September 30, 2025]:[Column18]])</f>
        <v>216</v>
      </c>
      <c r="D17" t="str">
        <f>_xlfn.XLOOKUP(Table16[[#This Row],[Name]],Table4[Name],Table4[Points],"DNP",0,1)</f>
        <v>DNP</v>
      </c>
      <c r="E17">
        <f>_xlfn.XLOOKUP(Table16[[#This Row],[Name]],Table9[Name],Table9[Points],"DNP",0,1)</f>
        <v>30</v>
      </c>
      <c r="F17">
        <f>_xlfn.XLOOKUP(Table16[[#This Row],[Name]],Table18[Name],Table18[Points],"DNP",0,1)</f>
        <v>20</v>
      </c>
      <c r="G17">
        <f>_xlfn.XLOOKUP(Table16[[#This Row],[Name]],Table2[Name],Table2[Points],"DNP",0,1)</f>
        <v>30</v>
      </c>
      <c r="H17">
        <f>_xlfn.XLOOKUP(Table16[[#This Row],[Name]],Table211[Name],Table211[Points],"DNP",0,1)</f>
        <v>50</v>
      </c>
      <c r="I17">
        <f>_xlfn.XLOOKUP(Table16[[#This Row],[Name]],Table21112[Name],Table21112[Points],"DNP",0,1)</f>
        <v>1</v>
      </c>
      <c r="J17">
        <f>_xlfn.XLOOKUP(Table16[[#This Row],[Name]],Table21112164[Name],Table21112164[Points],"DNP",0,1)</f>
        <v>1</v>
      </c>
      <c r="K17">
        <f>_xlfn.XLOOKUP(Table16[[#This Row],[Name]],Table2111216420[Name],Table2111216420[Points],"DNP",0,1)</f>
        <v>10</v>
      </c>
      <c r="L17">
        <f>_xlfn.XLOOKUP(Table16[[#This Row],[Name]],Table211121642021[Name],Table211121642021[Points],"DNP",0,1)</f>
        <v>1</v>
      </c>
      <c r="M17">
        <f>_xlfn.XLOOKUP(Table16[[#This Row],[Name]],Table21112164202122[Name],Table21112164202122[Points],"DNP",0,1)</f>
        <v>10</v>
      </c>
      <c r="N17">
        <f>_xlfn.XLOOKUP(Table16[[#This Row],[Name]],Table2111216420212223[Name],Table2111216420212223[Points],"DNP",0,1)</f>
        <v>2</v>
      </c>
      <c r="O17">
        <f>_xlfn.XLOOKUP(Table16[[#This Row],[Name]],Table211121642021222325[Name],Table211121642021222325[Points],"DNP",0,1)</f>
        <v>10</v>
      </c>
      <c r="P17">
        <f>_xlfn.XLOOKUP(Table16[[#This Row],[Name]],Table21112164202122232534[Name],Table21112164202122232534[Points],"DNP",0,1)</f>
        <v>1</v>
      </c>
      <c r="Q17">
        <f>_xlfn.XLOOKUP(Table16[[#This Row],[Name]],Table2111216420212223253435[Name],Table2111216420212223253435[Points],"DNP",0,1)</f>
        <v>2</v>
      </c>
      <c r="R17">
        <f>_xlfn.XLOOKUP(Table16[[#This Row],[Name]],Table211121642021222325343536[Name],Table211121642021222325343536[Points],"DNP",0,1)</f>
        <v>4</v>
      </c>
      <c r="S17">
        <f>_xlfn.XLOOKUP(Table16[[#This Row],[Name]],Table21112164202122232534353637[Name],Table21112164202122232534353637[Points],"DNP",0,1)</f>
        <v>38</v>
      </c>
      <c r="T17">
        <f>_xlfn.XLOOKUP(Table16[[#This Row],[Name]],Table2111216420212223253435363738[Name],Table2111216420212223253435363738[Points],"DNP",0,1)</f>
        <v>1</v>
      </c>
      <c r="U17">
        <f>_xlfn.XLOOKUP(Table16[[#This Row],[Name]],Table2111216420212223253435363739[Name],Table2111216420212223253435363739[Points],"DNP",0,1)</f>
        <v>4</v>
      </c>
      <c r="V17">
        <f>_xlfn.XLOOKUP(Table16[[#This Row],[Name]],Table211121642021222325343536373841[Name],Table211121642021222325343536373841[Points],"DNP",0,1)</f>
        <v>1</v>
      </c>
    </row>
    <row r="18" spans="2:22">
      <c r="B18" t="str">
        <f>IFERROR(Table5[[#This Row],[Full name]],"")</f>
        <v>Aidan Kwong</v>
      </c>
      <c r="C18" s="68">
        <f>SUM(Table16[[#This Row],[September 30, 2025]:[Column18]])</f>
        <v>57</v>
      </c>
      <c r="D18">
        <f>_xlfn.XLOOKUP(Table16[[#This Row],[Name]],Table4[Name],Table4[Points],"DNP",0,1)</f>
        <v>10</v>
      </c>
      <c r="E18">
        <f>_xlfn.XLOOKUP(Table16[[#This Row],[Name]],Table9[Name],Table9[Points],"DNP",0,1)</f>
        <v>1</v>
      </c>
      <c r="F18">
        <f>_xlfn.XLOOKUP(Table16[[#This Row],[Name]],Table18[Name],Table18[Points],"DNP",0,1)</f>
        <v>2</v>
      </c>
      <c r="G18">
        <f>_xlfn.XLOOKUP(Table16[[#This Row],[Name]],Table2[Name],Table2[Points],"DNP",0,1)</f>
        <v>3</v>
      </c>
      <c r="H18" t="str">
        <f>_xlfn.XLOOKUP(Table16[[#This Row],[Name]],Table211[Name],Table211[Points],"DNP",0,1)</f>
        <v>DNP</v>
      </c>
      <c r="I18" t="str">
        <f>_xlfn.XLOOKUP(Table16[[#This Row],[Name]],Table21112[Name],Table21112[Points],"DNP",0,1)</f>
        <v>DNP</v>
      </c>
      <c r="J18">
        <f>_xlfn.XLOOKUP(Table16[[#This Row],[Name]],Table21112164[Name],Table21112164[Points],"DNP",0,1)</f>
        <v>2</v>
      </c>
      <c r="K18">
        <f>_xlfn.XLOOKUP(Table16[[#This Row],[Name]],Table2111216420[Name],Table2111216420[Points],"DNP",0,1)</f>
        <v>2</v>
      </c>
      <c r="L18">
        <f>_xlfn.XLOOKUP(Table16[[#This Row],[Name]],Table211121642021[Name],Table211121642021[Points],"DNP",0,1)</f>
        <v>2</v>
      </c>
      <c r="M18">
        <f>_xlfn.XLOOKUP(Table16[[#This Row],[Name]],Table21112164202122[Name],Table21112164202122[Points],"DNP",0,1)</f>
        <v>2</v>
      </c>
      <c r="N18">
        <f>_xlfn.XLOOKUP(Table16[[#This Row],[Name]],Table2111216420212223[Name],Table2111216420212223[Points],"DNP",0,1)</f>
        <v>4</v>
      </c>
      <c r="O18">
        <f>_xlfn.XLOOKUP(Table16[[#This Row],[Name]],Table211121642021222325[Name],Table211121642021222325[Points],"DNP",0,1)</f>
        <v>1</v>
      </c>
      <c r="P18">
        <f>_xlfn.XLOOKUP(Table16[[#This Row],[Name]],Table21112164202122232534[Name],Table21112164202122232534[Points],"DNP",0,1)</f>
        <v>1</v>
      </c>
      <c r="Q18">
        <f>_xlfn.XLOOKUP(Table16[[#This Row],[Name]],Table2111216420212223253435[Name],Table2111216420212223253435[Points],"DNP",0,1)</f>
        <v>2</v>
      </c>
      <c r="R18">
        <f>_xlfn.XLOOKUP(Table16[[#This Row],[Name]],Table211121642021222325343536[Name],Table211121642021222325343536[Points],"DNP",0,1)</f>
        <v>1</v>
      </c>
      <c r="S18" t="str">
        <f>_xlfn.XLOOKUP(Table16[[#This Row],[Name]],Table21112164202122232534353637[Name],Table21112164202122232534353637[Points],"DNP",0,1)</f>
        <v>DNP</v>
      </c>
      <c r="T18">
        <f>_xlfn.XLOOKUP(Table16[[#This Row],[Name]],Table2111216420212223253435363738[Name],Table2111216420212223253435363738[Points],"DNP",0,1)</f>
        <v>20</v>
      </c>
      <c r="U18">
        <f>_xlfn.XLOOKUP(Table16[[#This Row],[Name]],Table2111216420212223253435363739[Name],Table2111216420212223253435363739[Points],"DNP",0,1)</f>
        <v>4</v>
      </c>
      <c r="V18" t="str">
        <f>_xlfn.XLOOKUP(Table16[[#This Row],[Name]],Table211121642021222325343536373841[Name],Table211121642021222325343536373841[Points],"DNP",0,1)</f>
        <v>DNP</v>
      </c>
    </row>
    <row r="19" spans="2:22">
      <c r="B19" t="str">
        <f>IFERROR(Table5[[#This Row],[Full name]],"")</f>
        <v>Eduard Zavedei</v>
      </c>
      <c r="C19" s="68">
        <f>SUM(Table16[[#This Row],[September 30, 2025]:[Column18]])</f>
        <v>2</v>
      </c>
      <c r="D19" t="str">
        <f>_xlfn.XLOOKUP(Table16[[#This Row],[Name]],Table4[Name],Table4[Points],"DNP",0,1)</f>
        <v>DNP</v>
      </c>
      <c r="E19">
        <f>_xlfn.XLOOKUP(Table16[[#This Row],[Name]],Table9[Name],Table9[Points],"DNP",0,1)</f>
        <v>1</v>
      </c>
      <c r="F19">
        <f>_xlfn.XLOOKUP(Table16[[#This Row],[Name]],Table18[Name],Table18[Points],"DNP",0,1)</f>
        <v>1</v>
      </c>
      <c r="G19" t="str">
        <f>_xlfn.XLOOKUP(Table16[[#This Row],[Name]],Table2[Name],Table2[Points],"DNP",0,1)</f>
        <v>DNP</v>
      </c>
      <c r="H19" t="str">
        <f>_xlfn.XLOOKUP(Table16[[#This Row],[Name]],Table211[Name],Table211[Points],"DNP",0,1)</f>
        <v>DNP</v>
      </c>
      <c r="I19" t="str">
        <f>_xlfn.XLOOKUP(Table16[[#This Row],[Name]],Table21112[Name],Table21112[Points],"DNP",0,1)</f>
        <v>DNP</v>
      </c>
      <c r="J19" t="str">
        <f>_xlfn.XLOOKUP(Table16[[#This Row],[Name]],Table21112164[Name],Table21112164[Points],"DNP",0,1)</f>
        <v>DNP</v>
      </c>
      <c r="K19" t="str">
        <f>_xlfn.XLOOKUP(Table16[[#This Row],[Name]],Table2111216420[Name],Table2111216420[Points],"DNP",0,1)</f>
        <v>DNP</v>
      </c>
      <c r="L19" t="str">
        <f>_xlfn.XLOOKUP(Table16[[#This Row],[Name]],Table211121642021[Name],Table211121642021[Points],"DNP",0,1)</f>
        <v>DNP</v>
      </c>
      <c r="M19" t="str">
        <f>_xlfn.XLOOKUP(Table16[[#This Row],[Name]],Table21112164202122[Name],Table21112164202122[Points],"DNP",0,1)</f>
        <v>DNP</v>
      </c>
      <c r="N19" t="str">
        <f>_xlfn.XLOOKUP(Table16[[#This Row],[Name]],Table2111216420212223[Name],Table2111216420212223[Points],"DNP",0,1)</f>
        <v>DNP</v>
      </c>
      <c r="O19" t="str">
        <f>_xlfn.XLOOKUP(Table16[[#This Row],[Name]],Table211121642021222325[Name],Table211121642021222325[Points],"DNP",0,1)</f>
        <v>DNP</v>
      </c>
      <c r="P19" t="str">
        <f>_xlfn.XLOOKUP(Table16[[#This Row],[Name]],Table21112164202122232534[Name],Table21112164202122232534[Points],"DNP",0,1)</f>
        <v>DNP</v>
      </c>
      <c r="Q19" t="str">
        <f>_xlfn.XLOOKUP(Table16[[#This Row],[Name]],Table2111216420212223253435[Name],Table2111216420212223253435[Points],"DNP",0,1)</f>
        <v>DNP</v>
      </c>
      <c r="R19" t="str">
        <f>_xlfn.XLOOKUP(Table16[[#This Row],[Name]],Table211121642021222325343536[Name],Table211121642021222325343536[Points],"DNP",0,1)</f>
        <v>DNP</v>
      </c>
      <c r="S19" t="str">
        <f>_xlfn.XLOOKUP(Table16[[#This Row],[Name]],Table21112164202122232534353637[Name],Table21112164202122232534353637[Points],"DNP",0,1)</f>
        <v>DNP</v>
      </c>
      <c r="T19" t="str">
        <f>_xlfn.XLOOKUP(Table16[[#This Row],[Name]],Table2111216420212223253435363738[Name],Table2111216420212223253435363738[Points],"DNP",0,1)</f>
        <v>DNP</v>
      </c>
      <c r="U19" t="str">
        <f>_xlfn.XLOOKUP(Table16[[#This Row],[Name]],Table2111216420212223253435363739[Name],Table2111216420212223253435363739[Points],"DNP",0,1)</f>
        <v>DNP</v>
      </c>
      <c r="V19" t="str">
        <f>_xlfn.XLOOKUP(Table16[[#This Row],[Name]],Table211121642021222325343536373841[Name],Table211121642021222325343536373841[Points],"DNP",0,1)</f>
        <v>DNP</v>
      </c>
    </row>
    <row r="20" spans="2:22">
      <c r="B20" t="str">
        <f>IFERROR(Table5[[#This Row],[Full name]],"")</f>
        <v>Ohemaa Acheampong</v>
      </c>
      <c r="C20" s="68">
        <f>SUM(Table16[[#This Row],[September 30, 2025]:[Column18]])</f>
        <v>1</v>
      </c>
      <c r="D20" t="str">
        <f>_xlfn.XLOOKUP(Table16[[#This Row],[Name]],Table4[Name],Table4[Points],"DNP",0,1)</f>
        <v>DNP</v>
      </c>
      <c r="E20" t="str">
        <f>_xlfn.XLOOKUP(Table16[[#This Row],[Name]],Table9[Name],Table9[Points],"DNP",0,1)</f>
        <v>DNP</v>
      </c>
      <c r="F20" t="str">
        <f>_xlfn.XLOOKUP(Table16[[#This Row],[Name]],Table18[Name],Table18[Points],"DNP",0,1)</f>
        <v>DNP</v>
      </c>
      <c r="G20" t="str">
        <f>_xlfn.XLOOKUP(Table16[[#This Row],[Name]],Table2[Name],Table2[Points],"DNP",0,1)</f>
        <v>DNP</v>
      </c>
      <c r="H20" t="str">
        <f>_xlfn.XLOOKUP(Table16[[#This Row],[Name]],Table211[Name],Table211[Points],"DNP",0,1)</f>
        <v>DNP</v>
      </c>
      <c r="I20">
        <f>_xlfn.XLOOKUP(Table16[[#This Row],[Name]],Table21112[Name],Table21112[Points],"DNP",0,1)</f>
        <v>1</v>
      </c>
      <c r="J20" t="str">
        <f>_xlfn.XLOOKUP(Table16[[#This Row],[Name]],Table21112164[Name],Table21112164[Points],"DNP",0,1)</f>
        <v>DNP</v>
      </c>
      <c r="K20" t="str">
        <f>_xlfn.XLOOKUP(Table16[[#This Row],[Name]],Table2111216420[Name],Table2111216420[Points],"DNP",0,1)</f>
        <v>DNP</v>
      </c>
      <c r="L20" t="str">
        <f>_xlfn.XLOOKUP(Table16[[#This Row],[Name]],Table211121642021[Name],Table211121642021[Points],"DNP",0,1)</f>
        <v>DNP</v>
      </c>
      <c r="M20" t="str">
        <f>_xlfn.XLOOKUP(Table16[[#This Row],[Name]],Table21112164202122[Name],Table21112164202122[Points],"DNP",0,1)</f>
        <v>DNP</v>
      </c>
      <c r="N20" t="str">
        <f>_xlfn.XLOOKUP(Table16[[#This Row],[Name]],Table2111216420212223[Name],Table2111216420212223[Points],"DNP",0,1)</f>
        <v>DNP</v>
      </c>
      <c r="O20" t="str">
        <f>_xlfn.XLOOKUP(Table16[[#This Row],[Name]],Table211121642021222325[Name],Table211121642021222325[Points],"DNP",0,1)</f>
        <v>DNP</v>
      </c>
      <c r="P20" t="str">
        <f>_xlfn.XLOOKUP(Table16[[#This Row],[Name]],Table21112164202122232534[Name],Table21112164202122232534[Points],"DNP",0,1)</f>
        <v>DNP</v>
      </c>
      <c r="Q20" t="str">
        <f>_xlfn.XLOOKUP(Table16[[#This Row],[Name]],Table2111216420212223253435[Name],Table2111216420212223253435[Points],"DNP",0,1)</f>
        <v>DNP</v>
      </c>
      <c r="R20" t="str">
        <f>_xlfn.XLOOKUP(Table16[[#This Row],[Name]],Table211121642021222325343536[Name],Table211121642021222325343536[Points],"DNP",0,1)</f>
        <v>DNP</v>
      </c>
      <c r="S20" t="str">
        <f>_xlfn.XLOOKUP(Table16[[#This Row],[Name]],Table21112164202122232534353637[Name],Table21112164202122232534353637[Points],"DNP",0,1)</f>
        <v>DNP</v>
      </c>
      <c r="T20" t="str">
        <f>_xlfn.XLOOKUP(Table16[[#This Row],[Name]],Table2111216420212223253435363738[Name],Table2111216420212223253435363738[Points],"DNP",0,1)</f>
        <v>DNP</v>
      </c>
      <c r="U20" t="str">
        <f>_xlfn.XLOOKUP(Table16[[#This Row],[Name]],Table2111216420212223253435363739[Name],Table2111216420212223253435363739[Points],"DNP",0,1)</f>
        <v>DNP</v>
      </c>
      <c r="V20" t="str">
        <f>_xlfn.XLOOKUP(Table16[[#This Row],[Name]],Table211121642021222325343536373841[Name],Table211121642021222325343536373841[Points],"DNP",0,1)</f>
        <v>DNP</v>
      </c>
    </row>
    <row r="21" spans="2:22">
      <c r="B21" t="str">
        <f>IFERROR(Table5[[#This Row],[Full name]],"")</f>
        <v>Ben Bulyovsky</v>
      </c>
      <c r="C21" s="68">
        <f>SUM(Table16[[#This Row],[September 30, 2025]:[Column18]])</f>
        <v>4</v>
      </c>
      <c r="D21">
        <f>_xlfn.XLOOKUP(Table16[[#This Row],[Name]],Table4[Name],Table4[Points],"DNP",0,1)</f>
        <v>2</v>
      </c>
      <c r="E21" t="str">
        <f>_xlfn.XLOOKUP(Table16[[#This Row],[Name]],Table9[Name],Table9[Points],"DNP",0,1)</f>
        <v>DNP</v>
      </c>
      <c r="F21" t="str">
        <f>_xlfn.XLOOKUP(Table16[[#This Row],[Name]],Table18[Name],Table18[Points],"DNP",0,1)</f>
        <v>DNP</v>
      </c>
      <c r="G21">
        <f>_xlfn.XLOOKUP(Table16[[#This Row],[Name]],Table2[Name],Table2[Points],"DNP",0,1)</f>
        <v>1</v>
      </c>
      <c r="H21">
        <f>_xlfn.XLOOKUP(Table16[[#This Row],[Name]],Table211[Name],Table211[Points],"DNP",0,1)</f>
        <v>1</v>
      </c>
      <c r="I21" t="str">
        <f>_xlfn.XLOOKUP(Table16[[#This Row],[Name]],Table21112[Name],Table21112[Points],"DNP",0,1)</f>
        <v>DNP</v>
      </c>
      <c r="J21" t="str">
        <f>_xlfn.XLOOKUP(Table16[[#This Row],[Name]],Table21112164[Name],Table21112164[Points],"DNP",0,1)</f>
        <v>DNP</v>
      </c>
      <c r="K21" t="str">
        <f>_xlfn.XLOOKUP(Table16[[#This Row],[Name]],Table2111216420[Name],Table2111216420[Points],"DNP",0,1)</f>
        <v>DNP</v>
      </c>
      <c r="L21" t="str">
        <f>_xlfn.XLOOKUP(Table16[[#This Row],[Name]],Table211121642021[Name],Table211121642021[Points],"DNP",0,1)</f>
        <v>DNP</v>
      </c>
      <c r="M21" t="str">
        <f>_xlfn.XLOOKUP(Table16[[#This Row],[Name]],Table21112164202122[Name],Table21112164202122[Points],"DNP",0,1)</f>
        <v>DNP</v>
      </c>
      <c r="N21" t="str">
        <f>_xlfn.XLOOKUP(Table16[[#This Row],[Name]],Table2111216420212223[Name],Table2111216420212223[Points],"DNP",0,1)</f>
        <v>DNP</v>
      </c>
      <c r="O21" t="str">
        <f>_xlfn.XLOOKUP(Table16[[#This Row],[Name]],Table211121642021222325[Name],Table211121642021222325[Points],"DNP",0,1)</f>
        <v>DNP</v>
      </c>
      <c r="P21" t="str">
        <f>_xlfn.XLOOKUP(Table16[[#This Row],[Name]],Table21112164202122232534[Name],Table21112164202122232534[Points],"DNP",0,1)</f>
        <v>DNP</v>
      </c>
      <c r="Q21" t="str">
        <f>_xlfn.XLOOKUP(Table16[[#This Row],[Name]],Table2111216420212223253435[Name],Table2111216420212223253435[Points],"DNP",0,1)</f>
        <v>DNP</v>
      </c>
      <c r="R21" t="str">
        <f>_xlfn.XLOOKUP(Table16[[#This Row],[Name]],Table211121642021222325343536[Name],Table211121642021222325343536[Points],"DNP",0,1)</f>
        <v>DNP</v>
      </c>
      <c r="S21" t="str">
        <f>_xlfn.XLOOKUP(Table16[[#This Row],[Name]],Table21112164202122232534353637[Name],Table21112164202122232534353637[Points],"DNP",0,1)</f>
        <v>DNP</v>
      </c>
      <c r="T21" t="str">
        <f>_xlfn.XLOOKUP(Table16[[#This Row],[Name]],Table2111216420212223253435363738[Name],Table2111216420212223253435363738[Points],"DNP",0,1)</f>
        <v>DNP</v>
      </c>
      <c r="U21" t="str">
        <f>_xlfn.XLOOKUP(Table16[[#This Row],[Name]],Table2111216420212223253435363739[Name],Table2111216420212223253435363739[Points],"DNP",0,1)</f>
        <v>DNP</v>
      </c>
      <c r="V21" t="str">
        <f>_xlfn.XLOOKUP(Table16[[#This Row],[Name]],Table211121642021222325343536373841[Name],Table211121642021222325343536373841[Points],"DNP",0,1)</f>
        <v>DNP</v>
      </c>
    </row>
    <row r="22" spans="2:22">
      <c r="B22" t="str">
        <f>IFERROR(Table5[[#This Row],[Full name]],"")</f>
        <v>Brock Suidgeest</v>
      </c>
      <c r="C22" s="68">
        <f>SUM(Table16[[#This Row],[September 30, 2025]:[Column18]])</f>
        <v>13</v>
      </c>
      <c r="D22">
        <f>_xlfn.XLOOKUP(Table16[[#This Row],[Name]],Table4[Name],Table4[Points],"DNP",0,1)</f>
        <v>1</v>
      </c>
      <c r="E22" t="str">
        <f>_xlfn.XLOOKUP(Table16[[#This Row],[Name]],Table9[Name],Table9[Points],"DNP",0,1)</f>
        <v>DNP</v>
      </c>
      <c r="F22" t="str">
        <f>_xlfn.XLOOKUP(Table16[[#This Row],[Name]],Table18[Name],Table18[Points],"DNP",0,1)</f>
        <v>DNP</v>
      </c>
      <c r="G22" t="str">
        <f>_xlfn.XLOOKUP(Table16[[#This Row],[Name]],Table2[Name],Table2[Points],"DNP",0,1)</f>
        <v>DNP</v>
      </c>
      <c r="H22" t="str">
        <f>_xlfn.XLOOKUP(Table16[[#This Row],[Name]],Table211[Name],Table211[Points],"DNP",0,1)</f>
        <v>DNP</v>
      </c>
      <c r="I22" t="str">
        <f>_xlfn.XLOOKUP(Table16[[#This Row],[Name]],Table21112[Name],Table21112[Points],"DNP",0,1)</f>
        <v>DNP</v>
      </c>
      <c r="J22" t="str">
        <f>_xlfn.XLOOKUP(Table16[[#This Row],[Name]],Table21112164[Name],Table21112164[Points],"DNP",0,1)</f>
        <v>DNP</v>
      </c>
      <c r="K22" t="str">
        <f>_xlfn.XLOOKUP(Table16[[#This Row],[Name]],Table2111216420[Name],Table2111216420[Points],"DNP",0,1)</f>
        <v>DNP</v>
      </c>
      <c r="L22">
        <f>_xlfn.XLOOKUP(Table16[[#This Row],[Name]],Table211121642021[Name],Table211121642021[Points],"DNP",0,1)</f>
        <v>3</v>
      </c>
      <c r="M22" t="str">
        <f>_xlfn.XLOOKUP(Table16[[#This Row],[Name]],Table21112164202122[Name],Table21112164202122[Points],"DNP",0,1)</f>
        <v>DNP</v>
      </c>
      <c r="N22" t="str">
        <f>_xlfn.XLOOKUP(Table16[[#This Row],[Name]],Table2111216420212223[Name],Table2111216420212223[Points],"DNP",0,1)</f>
        <v>DNP</v>
      </c>
      <c r="O22">
        <f>_xlfn.XLOOKUP(Table16[[#This Row],[Name]],Table211121642021222325[Name],Table211121642021222325[Points],"DNP",0,1)</f>
        <v>1</v>
      </c>
      <c r="P22" t="str">
        <f>_xlfn.XLOOKUP(Table16[[#This Row],[Name]],Table21112164202122232534[Name],Table21112164202122232534[Points],"DNP",0,1)</f>
        <v>DNP</v>
      </c>
      <c r="Q22" t="str">
        <f>_xlfn.XLOOKUP(Table16[[#This Row],[Name]],Table2111216420212223253435[Name],Table2111216420212223253435[Points],"DNP",0,1)</f>
        <v>DNP</v>
      </c>
      <c r="R22" t="str">
        <f>_xlfn.XLOOKUP(Table16[[#This Row],[Name]],Table211121642021222325343536[Name],Table211121642021222325343536[Points],"DNP",0,1)</f>
        <v>DNP</v>
      </c>
      <c r="S22" t="str">
        <f>_xlfn.XLOOKUP(Table16[[#This Row],[Name]],Table21112164202122232534353637[Name],Table21112164202122232534353637[Points],"DNP",0,1)</f>
        <v>DNP</v>
      </c>
      <c r="T22">
        <f>_xlfn.XLOOKUP(Table16[[#This Row],[Name]],Table2111216420212223253435363738[Name],Table2111216420212223253435363738[Points],"DNP",0,1)</f>
        <v>8</v>
      </c>
      <c r="U22" t="str">
        <f>_xlfn.XLOOKUP(Table16[[#This Row],[Name]],Table2111216420212223253435363739[Name],Table2111216420212223253435363739[Points],"DNP",0,1)</f>
        <v>DNP</v>
      </c>
      <c r="V22" t="str">
        <f>_xlfn.XLOOKUP(Table16[[#This Row],[Name]],Table211121642021222325343536373841[Name],Table211121642021222325343536373841[Points],"DNP",0,1)</f>
        <v>DNP</v>
      </c>
    </row>
    <row r="23" spans="2:22">
      <c r="B23" t="str">
        <f>IFERROR(Table5[[#This Row],[Full name]],"")</f>
        <v>Cyrus Bechtold</v>
      </c>
      <c r="C23" s="68">
        <f>SUM(Table16[[#This Row],[September 30, 2025]:[Column18]])</f>
        <v>24</v>
      </c>
      <c r="D23" t="str">
        <f>_xlfn.XLOOKUP(Table16[[#This Row],[Name]],Table4[Name],Table4[Points],"DNP",0,1)</f>
        <v>DNP</v>
      </c>
      <c r="E23">
        <f>_xlfn.XLOOKUP(Table16[[#This Row],[Name]],Table9[Name],Table9[Points],"DNP",0,1)</f>
        <v>2</v>
      </c>
      <c r="F23">
        <f>_xlfn.XLOOKUP(Table16[[#This Row],[Name]],Table18[Name],Table18[Points],"DNP",0,1)</f>
        <v>2</v>
      </c>
      <c r="G23" t="str">
        <f>_xlfn.XLOOKUP(Table16[[#This Row],[Name]],Table2[Name],Table2[Points],"DNP",0,1)</f>
        <v>DNP</v>
      </c>
      <c r="H23" t="str">
        <f>_xlfn.XLOOKUP(Table16[[#This Row],[Name]],Table211[Name],Table211[Points],"DNP",0,1)</f>
        <v>DNP</v>
      </c>
      <c r="I23">
        <f>_xlfn.XLOOKUP(Table16[[#This Row],[Name]],Table21112[Name],Table21112[Points],"DNP",0,1)</f>
        <v>1</v>
      </c>
      <c r="J23" t="str">
        <f>_xlfn.XLOOKUP(Table16[[#This Row],[Name]],Table21112164[Name],Table21112164[Points],"DNP",0,1)</f>
        <v>DNP</v>
      </c>
      <c r="K23">
        <f>_xlfn.XLOOKUP(Table16[[#This Row],[Name]],Table2111216420[Name],Table2111216420[Points],"DNP",0,1)</f>
        <v>2</v>
      </c>
      <c r="L23" t="str">
        <f>_xlfn.XLOOKUP(Table16[[#This Row],[Name]],Table211121642021[Name],Table211121642021[Points],"DNP",0,1)</f>
        <v>DNP</v>
      </c>
      <c r="M23" t="str">
        <f>_xlfn.XLOOKUP(Table16[[#This Row],[Name]],Table21112164202122[Name],Table21112164202122[Points],"DNP",0,1)</f>
        <v>DNP</v>
      </c>
      <c r="N23">
        <f>_xlfn.XLOOKUP(Table16[[#This Row],[Name]],Table2111216420212223[Name],Table2111216420212223[Points],"DNP",0,1)</f>
        <v>1</v>
      </c>
      <c r="O23">
        <f>_xlfn.XLOOKUP(Table16[[#This Row],[Name]],Table211121642021222325[Name],Table211121642021222325[Points],"DNP",0,1)</f>
        <v>1</v>
      </c>
      <c r="P23">
        <f>_xlfn.XLOOKUP(Table16[[#This Row],[Name]],Table21112164202122232534[Name],Table21112164202122232534[Points],"DNP",0,1)</f>
        <v>10</v>
      </c>
      <c r="Q23" t="str">
        <f>_xlfn.XLOOKUP(Table16[[#This Row],[Name]],Table2111216420212223253435[Name],Table2111216420212223253435[Points],"DNP",0,1)</f>
        <v>DNP</v>
      </c>
      <c r="R23">
        <f>_xlfn.XLOOKUP(Table16[[#This Row],[Name]],Table211121642021222325343536[Name],Table211121642021222325343536[Points],"DNP",0,1)</f>
        <v>2</v>
      </c>
      <c r="S23" t="str">
        <f>_xlfn.XLOOKUP(Table16[[#This Row],[Name]],Table21112164202122232534353637[Name],Table21112164202122232534353637[Points],"DNP",0,1)</f>
        <v>DNP</v>
      </c>
      <c r="T23">
        <f>_xlfn.XLOOKUP(Table16[[#This Row],[Name]],Table2111216420212223253435363738[Name],Table2111216420212223253435363738[Points],"DNP",0,1)</f>
        <v>1</v>
      </c>
      <c r="U23">
        <f>_xlfn.XLOOKUP(Table16[[#This Row],[Name]],Table2111216420212223253435363739[Name],Table2111216420212223253435363739[Points],"DNP",0,1)</f>
        <v>2</v>
      </c>
      <c r="V23" t="str">
        <f>_xlfn.XLOOKUP(Table16[[#This Row],[Name]],Table211121642021222325343536373841[Name],Table211121642021222325343536373841[Points],"DNP",0,1)</f>
        <v>DNP</v>
      </c>
    </row>
    <row r="24" spans="2:22">
      <c r="B24" t="str">
        <f>IFERROR(Table5[[#This Row],[Full name]],"")</f>
        <v>Jillian Ouyang</v>
      </c>
      <c r="C24" s="68">
        <f>SUM(Table16[[#This Row],[September 30, 2025]:[Column18]])</f>
        <v>9</v>
      </c>
      <c r="D24">
        <f>_xlfn.XLOOKUP(Table16[[#This Row],[Name]],Table4[Name],Table4[Points],"DNP",0,1)</f>
        <v>1</v>
      </c>
      <c r="E24" t="str">
        <f>_xlfn.XLOOKUP(Table16[[#This Row],[Name]],Table9[Name],Table9[Points],"DNP",0,1)</f>
        <v>DNP</v>
      </c>
      <c r="F24">
        <f>_xlfn.XLOOKUP(Table16[[#This Row],[Name]],Table18[Name],Table18[Points],"DNP",0,1)</f>
        <v>2</v>
      </c>
      <c r="G24" t="str">
        <f>_xlfn.XLOOKUP(Table16[[#This Row],[Name]],Table2[Name],Table2[Points],"DNP",0,1)</f>
        <v>DNP</v>
      </c>
      <c r="H24">
        <f>_xlfn.XLOOKUP(Table16[[#This Row],[Name]],Table211[Name],Table211[Points],"DNP",0,1)</f>
        <v>1</v>
      </c>
      <c r="I24" t="str">
        <f>_xlfn.XLOOKUP(Table16[[#This Row],[Name]],Table21112[Name],Table21112[Points],"DNP",0,1)</f>
        <v>DNP</v>
      </c>
      <c r="J24" t="str">
        <f>_xlfn.XLOOKUP(Table16[[#This Row],[Name]],Table21112164[Name],Table21112164[Points],"DNP",0,1)</f>
        <v>DNP</v>
      </c>
      <c r="K24" t="str">
        <f>_xlfn.XLOOKUP(Table16[[#This Row],[Name]],Table2111216420[Name],Table2111216420[Points],"DNP",0,1)</f>
        <v>DNP</v>
      </c>
      <c r="L24" t="str">
        <f>_xlfn.XLOOKUP(Table16[[#This Row],[Name]],Table211121642021[Name],Table211121642021[Points],"DNP",0,1)</f>
        <v>DNP</v>
      </c>
      <c r="M24">
        <f>_xlfn.XLOOKUP(Table16[[#This Row],[Name]],Table21112164202122[Name],Table21112164202122[Points],"DNP",0,1)</f>
        <v>2</v>
      </c>
      <c r="N24" t="str">
        <f>_xlfn.XLOOKUP(Table16[[#This Row],[Name]],Table2111216420212223[Name],Table2111216420212223[Points],"DNP",0,1)</f>
        <v>DNP</v>
      </c>
      <c r="O24">
        <f>_xlfn.XLOOKUP(Table16[[#This Row],[Name]],Table211121642021222325[Name],Table211121642021222325[Points],"DNP",0,1)</f>
        <v>2</v>
      </c>
      <c r="P24" t="str">
        <f>_xlfn.XLOOKUP(Table16[[#This Row],[Name]],Table21112164202122232534[Name],Table21112164202122232534[Points],"DNP",0,1)</f>
        <v>DNP</v>
      </c>
      <c r="Q24">
        <f>_xlfn.XLOOKUP(Table16[[#This Row],[Name]],Table2111216420212223253435[Name],Table2111216420212223253435[Points],"DNP",0,1)</f>
        <v>1</v>
      </c>
      <c r="R24" t="str">
        <f>_xlfn.XLOOKUP(Table16[[#This Row],[Name]],Table211121642021222325343536[Name],Table211121642021222325343536[Points],"DNP",0,1)</f>
        <v>DNP</v>
      </c>
      <c r="S24" t="str">
        <f>_xlfn.XLOOKUP(Table16[[#This Row],[Name]],Table21112164202122232534353637[Name],Table21112164202122232534353637[Points],"DNP",0,1)</f>
        <v>DNP</v>
      </c>
      <c r="T24" t="str">
        <f>_xlfn.XLOOKUP(Table16[[#This Row],[Name]],Table2111216420212223253435363738[Name],Table2111216420212223253435363738[Points],"DNP",0,1)</f>
        <v>DNP</v>
      </c>
      <c r="U24" t="str">
        <f>_xlfn.XLOOKUP(Table16[[#This Row],[Name]],Table2111216420212223253435363739[Name],Table2111216420212223253435363739[Points],"DNP",0,1)</f>
        <v>DNP</v>
      </c>
      <c r="V24" t="str">
        <f>_xlfn.XLOOKUP(Table16[[#This Row],[Name]],Table211121642021222325343536373841[Name],Table211121642021222325343536373841[Points],"DNP",0,1)</f>
        <v>DNP</v>
      </c>
    </row>
    <row r="25" spans="2:22">
      <c r="B25" t="str">
        <f>IFERROR(Table5[[#This Row],[Full name]],"")</f>
        <v>Rohan Mandi</v>
      </c>
      <c r="C25" s="68">
        <f>SUM(Table16[[#This Row],[September 30, 2025]:[Column18]])</f>
        <v>18</v>
      </c>
      <c r="D25" t="str">
        <f>_xlfn.XLOOKUP(Table16[[#This Row],[Name]],Table4[Name],Table4[Points],"DNP",0,1)</f>
        <v>DNP</v>
      </c>
      <c r="E25">
        <f>_xlfn.XLOOKUP(Table16[[#This Row],[Name]],Table9[Name],Table9[Points],"DNP",0,1)</f>
        <v>2</v>
      </c>
      <c r="F25" t="str">
        <f>_xlfn.XLOOKUP(Table16[[#This Row],[Name]],Table18[Name],Table18[Points],"DNP",0,1)</f>
        <v>DNP</v>
      </c>
      <c r="G25">
        <f>_xlfn.XLOOKUP(Table16[[#This Row],[Name]],Table2[Name],Table2[Points],"DNP",0,1)</f>
        <v>3</v>
      </c>
      <c r="H25" t="str">
        <f>_xlfn.XLOOKUP(Table16[[#This Row],[Name]],Table211[Name],Table211[Points],"DNP",0,1)</f>
        <v>DNP</v>
      </c>
      <c r="I25">
        <f>_xlfn.XLOOKUP(Table16[[#This Row],[Name]],Table21112[Name],Table21112[Points],"DNP",0,1)</f>
        <v>1</v>
      </c>
      <c r="J25" t="str">
        <f>_xlfn.XLOOKUP(Table16[[#This Row],[Name]],Table21112164[Name],Table21112164[Points],"DNP",0,1)</f>
        <v>DNP</v>
      </c>
      <c r="K25">
        <f>_xlfn.XLOOKUP(Table16[[#This Row],[Name]],Table2111216420[Name],Table2111216420[Points],"DNP",0,1)</f>
        <v>1</v>
      </c>
      <c r="L25" t="str">
        <f>_xlfn.XLOOKUP(Table16[[#This Row],[Name]],Table211121642021[Name],Table211121642021[Points],"DNP",0,1)</f>
        <v>DNP</v>
      </c>
      <c r="M25">
        <f>_xlfn.XLOOKUP(Table16[[#This Row],[Name]],Table21112164202122[Name],Table21112164202122[Points],"DNP",0,1)</f>
        <v>4</v>
      </c>
      <c r="N25" t="str">
        <f>_xlfn.XLOOKUP(Table16[[#This Row],[Name]],Table2111216420212223[Name],Table2111216420212223[Points],"DNP",0,1)</f>
        <v>DNP</v>
      </c>
      <c r="O25" t="str">
        <f>_xlfn.XLOOKUP(Table16[[#This Row],[Name]],Table211121642021222325[Name],Table211121642021222325[Points],"DNP",0,1)</f>
        <v>DNP</v>
      </c>
      <c r="P25">
        <f>_xlfn.XLOOKUP(Table16[[#This Row],[Name]],Table21112164202122232534[Name],Table21112164202122232534[Points],"DNP",0,1)</f>
        <v>2</v>
      </c>
      <c r="Q25">
        <f>_xlfn.XLOOKUP(Table16[[#This Row],[Name]],Table2111216420212223253435[Name],Table2111216420212223253435[Points],"DNP",0,1)</f>
        <v>4</v>
      </c>
      <c r="R25" t="str">
        <f>_xlfn.XLOOKUP(Table16[[#This Row],[Name]],Table211121642021222325343536[Name],Table211121642021222325343536[Points],"DNP",0,1)</f>
        <v>DNP</v>
      </c>
      <c r="S25" t="str">
        <f>_xlfn.XLOOKUP(Table16[[#This Row],[Name]],Table21112164202122232534353637[Name],Table21112164202122232534353637[Points],"DNP",0,1)</f>
        <v>DNP</v>
      </c>
      <c r="T25" t="str">
        <f>_xlfn.XLOOKUP(Table16[[#This Row],[Name]],Table2111216420212223253435363738[Name],Table2111216420212223253435363738[Points],"DNP",0,1)</f>
        <v>DNP</v>
      </c>
      <c r="U25">
        <f>_xlfn.XLOOKUP(Table16[[#This Row],[Name]],Table2111216420212223253435363739[Name],Table2111216420212223253435363739[Points],"DNP",0,1)</f>
        <v>1</v>
      </c>
      <c r="V25" t="str">
        <f>_xlfn.XLOOKUP(Table16[[#This Row],[Name]],Table211121642021222325343536373841[Name],Table211121642021222325343536373841[Points],"DNP",0,1)</f>
        <v>DNP</v>
      </c>
    </row>
    <row r="26" spans="2:22">
      <c r="B26" t="str">
        <f>IFERROR(Table5[[#This Row],[Full name]],"")</f>
        <v>Ethan Kim</v>
      </c>
      <c r="C26" s="68">
        <f>SUM(Table16[[#This Row],[September 30, 2025]:[Column18]])</f>
        <v>1</v>
      </c>
      <c r="D26" t="str">
        <f>_xlfn.XLOOKUP(Table16[[#This Row],[Name]],Table4[Name],Table4[Points],"DNP",0,1)</f>
        <v>DNP</v>
      </c>
      <c r="E26" t="str">
        <f>_xlfn.XLOOKUP(Table16[[#This Row],[Name]],Table9[Name],Table9[Points],"DNP",0,1)</f>
        <v>DNP</v>
      </c>
      <c r="F26" t="str">
        <f>_xlfn.XLOOKUP(Table16[[#This Row],[Name]],Table18[Name],Table18[Points],"DNP",0,1)</f>
        <v>DNP</v>
      </c>
      <c r="G26" t="str">
        <f>_xlfn.XLOOKUP(Table16[[#This Row],[Name]],Table2[Name],Table2[Points],"DNP",0,1)</f>
        <v>DNP</v>
      </c>
      <c r="H26" t="str">
        <f>_xlfn.XLOOKUP(Table16[[#This Row],[Name]],Table211[Name],Table211[Points],"DNP",0,1)</f>
        <v>DNP</v>
      </c>
      <c r="I26" t="str">
        <f>_xlfn.XLOOKUP(Table16[[#This Row],[Name]],Table21112[Name],Table21112[Points],"DNP",0,1)</f>
        <v>DNP</v>
      </c>
      <c r="J26">
        <f>_xlfn.XLOOKUP(Table16[[#This Row],[Name]],Table21112164[Name],Table21112164[Points],"DNP",0,1)</f>
        <v>1</v>
      </c>
      <c r="K26" t="str">
        <f>_xlfn.XLOOKUP(Table16[[#This Row],[Name]],Table2111216420[Name],Table2111216420[Points],"DNP",0,1)</f>
        <v>DNP</v>
      </c>
      <c r="L26" t="str">
        <f>_xlfn.XLOOKUP(Table16[[#This Row],[Name]],Table211121642021[Name],Table211121642021[Points],"DNP",0,1)</f>
        <v>DNP</v>
      </c>
      <c r="M26" t="str">
        <f>_xlfn.XLOOKUP(Table16[[#This Row],[Name]],Table21112164202122[Name],Table21112164202122[Points],"DNP",0,1)</f>
        <v>DNP</v>
      </c>
      <c r="N26" t="str">
        <f>_xlfn.XLOOKUP(Table16[[#This Row],[Name]],Table2111216420212223[Name],Table2111216420212223[Points],"DNP",0,1)</f>
        <v>DNP</v>
      </c>
      <c r="O26" t="str">
        <f>_xlfn.XLOOKUP(Table16[[#This Row],[Name]],Table211121642021222325[Name],Table211121642021222325[Points],"DNP",0,1)</f>
        <v>DNP</v>
      </c>
      <c r="P26" t="str">
        <f>_xlfn.XLOOKUP(Table16[[#This Row],[Name]],Table21112164202122232534[Name],Table21112164202122232534[Points],"DNP",0,1)</f>
        <v>DNP</v>
      </c>
      <c r="Q26" t="str">
        <f>_xlfn.XLOOKUP(Table16[[#This Row],[Name]],Table2111216420212223253435[Name],Table2111216420212223253435[Points],"DNP",0,1)</f>
        <v>DNP</v>
      </c>
      <c r="R26" t="str">
        <f>_xlfn.XLOOKUP(Table16[[#This Row],[Name]],Table211121642021222325343536[Name],Table211121642021222325343536[Points],"DNP",0,1)</f>
        <v>DNP</v>
      </c>
      <c r="S26" t="str">
        <f>_xlfn.XLOOKUP(Table16[[#This Row],[Name]],Table21112164202122232534353637[Name],Table21112164202122232534353637[Points],"DNP",0,1)</f>
        <v>DNP</v>
      </c>
      <c r="T26" t="str">
        <f>_xlfn.XLOOKUP(Table16[[#This Row],[Name]],Table2111216420212223253435363738[Name],Table2111216420212223253435363738[Points],"DNP",0,1)</f>
        <v>DNP</v>
      </c>
      <c r="U26" t="str">
        <f>_xlfn.XLOOKUP(Table16[[#This Row],[Name]],Table2111216420212223253435363739[Name],Table2111216420212223253435363739[Points],"DNP",0,1)</f>
        <v>DNP</v>
      </c>
      <c r="V26" t="str">
        <f>_xlfn.XLOOKUP(Table16[[#This Row],[Name]],Table211121642021222325343536373841[Name],Table211121642021222325343536373841[Points],"DNP",0,1)</f>
        <v>DNP</v>
      </c>
    </row>
    <row r="27" spans="2:22">
      <c r="B27" t="str">
        <f>IFERROR(Table5[[#This Row],[Full name]],"")</f>
        <v>Kyler See</v>
      </c>
      <c r="C27" s="68">
        <f>SUM(Table16[[#This Row],[September 30, 2025]:[Column18]])</f>
        <v>3</v>
      </c>
      <c r="D27">
        <f>_xlfn.XLOOKUP(Table16[[#This Row],[Name]],Table4[Name],Table4[Points],"DNP",0,1)</f>
        <v>2</v>
      </c>
      <c r="E27" t="str">
        <f>_xlfn.XLOOKUP(Table16[[#This Row],[Name]],Table9[Name],Table9[Points],"DNP",0,1)</f>
        <v>DNP</v>
      </c>
      <c r="F27" t="str">
        <f>_xlfn.XLOOKUP(Table16[[#This Row],[Name]],Table18[Name],Table18[Points],"DNP",0,1)</f>
        <v>DNP</v>
      </c>
      <c r="G27" t="str">
        <f>_xlfn.XLOOKUP(Table16[[#This Row],[Name]],Table2[Name],Table2[Points],"DNP",0,1)</f>
        <v>DNP</v>
      </c>
      <c r="H27">
        <f>_xlfn.XLOOKUP(Table16[[#This Row],[Name]],Table211[Name],Table211[Points],"DNP",0,1)</f>
        <v>1</v>
      </c>
      <c r="I27" t="str">
        <f>_xlfn.XLOOKUP(Table16[[#This Row],[Name]],Table21112[Name],Table21112[Points],"DNP",0,1)</f>
        <v>DNP</v>
      </c>
      <c r="J27" t="str">
        <f>_xlfn.XLOOKUP(Table16[[#This Row],[Name]],Table21112164[Name],Table21112164[Points],"DNP",0,1)</f>
        <v>DNP</v>
      </c>
      <c r="K27" t="str">
        <f>_xlfn.XLOOKUP(Table16[[#This Row],[Name]],Table2111216420[Name],Table2111216420[Points],"DNP",0,1)</f>
        <v>DNP</v>
      </c>
      <c r="L27" t="str">
        <f>_xlfn.XLOOKUP(Table16[[#This Row],[Name]],Table211121642021[Name],Table211121642021[Points],"DNP",0,1)</f>
        <v>DNP</v>
      </c>
      <c r="M27" t="str">
        <f>_xlfn.XLOOKUP(Table16[[#This Row],[Name]],Table21112164202122[Name],Table21112164202122[Points],"DNP",0,1)</f>
        <v>DNP</v>
      </c>
      <c r="N27" t="str">
        <f>_xlfn.XLOOKUP(Table16[[#This Row],[Name]],Table2111216420212223[Name],Table2111216420212223[Points],"DNP",0,1)</f>
        <v>DNP</v>
      </c>
      <c r="O27" t="str">
        <f>_xlfn.XLOOKUP(Table16[[#This Row],[Name]],Table211121642021222325[Name],Table211121642021222325[Points],"DNP",0,1)</f>
        <v>DNP</v>
      </c>
      <c r="P27" t="str">
        <f>_xlfn.XLOOKUP(Table16[[#This Row],[Name]],Table21112164202122232534[Name],Table21112164202122232534[Points],"DNP",0,1)</f>
        <v>DNP</v>
      </c>
      <c r="Q27" t="str">
        <f>_xlfn.XLOOKUP(Table16[[#This Row],[Name]],Table2111216420212223253435[Name],Table2111216420212223253435[Points],"DNP",0,1)</f>
        <v>DNP</v>
      </c>
      <c r="R27" t="str">
        <f>_xlfn.XLOOKUP(Table16[[#This Row],[Name]],Table211121642021222325343536[Name],Table211121642021222325343536[Points],"DNP",0,1)</f>
        <v>DNP</v>
      </c>
      <c r="S27" t="str">
        <f>_xlfn.XLOOKUP(Table16[[#This Row],[Name]],Table21112164202122232534353637[Name],Table21112164202122232534353637[Points],"DNP",0,1)</f>
        <v>DNP</v>
      </c>
      <c r="T27" t="str">
        <f>_xlfn.XLOOKUP(Table16[[#This Row],[Name]],Table2111216420212223253435363738[Name],Table2111216420212223253435363738[Points],"DNP",0,1)</f>
        <v>DNP</v>
      </c>
      <c r="U27" t="str">
        <f>_xlfn.XLOOKUP(Table16[[#This Row],[Name]],Table2111216420212223253435363739[Name],Table2111216420212223253435363739[Points],"DNP",0,1)</f>
        <v>DNP</v>
      </c>
      <c r="V27" t="str">
        <f>_xlfn.XLOOKUP(Table16[[#This Row],[Name]],Table211121642021222325343536373841[Name],Table211121642021222325343536373841[Points],"DNP",0,1)</f>
        <v>DNP</v>
      </c>
    </row>
    <row r="28" spans="2:22">
      <c r="B28" t="str">
        <f>IFERROR(Table5[[#This Row],[Full name]],"")</f>
        <v>Aaron Kara</v>
      </c>
      <c r="C28" s="68">
        <f>SUM(Table16[[#This Row],[September 30, 2025]:[Column18]])</f>
        <v>6</v>
      </c>
      <c r="D28">
        <f>_xlfn.XLOOKUP(Table16[[#This Row],[Name]],Table4[Name],Table4[Points],"DNP",0,1)</f>
        <v>1</v>
      </c>
      <c r="E28">
        <f>_xlfn.XLOOKUP(Table16[[#This Row],[Name]],Table9[Name],Table9[Points],"DNP",0,1)</f>
        <v>4</v>
      </c>
      <c r="F28">
        <f>_xlfn.XLOOKUP(Table16[[#This Row],[Name]],Table18[Name],Table18[Points],"DNP",0,1)</f>
        <v>1</v>
      </c>
      <c r="G28" t="str">
        <f>_xlfn.XLOOKUP(Table16[[#This Row],[Name]],Table2[Name],Table2[Points],"DNP",0,1)</f>
        <v>DNP</v>
      </c>
      <c r="H28" t="str">
        <f>_xlfn.XLOOKUP(Table16[[#This Row],[Name]],Table211[Name],Table211[Points],"DNP",0,1)</f>
        <v>DNP</v>
      </c>
      <c r="I28" t="str">
        <f>_xlfn.XLOOKUP(Table16[[#This Row],[Name]],Table21112[Name],Table21112[Points],"DNP",0,1)</f>
        <v>DNP</v>
      </c>
      <c r="J28" t="str">
        <f>_xlfn.XLOOKUP(Table16[[#This Row],[Name]],Table21112164[Name],Table21112164[Points],"DNP",0,1)</f>
        <v>DNP</v>
      </c>
      <c r="K28" t="str">
        <f>_xlfn.XLOOKUP(Table16[[#This Row],[Name]],Table2111216420[Name],Table2111216420[Points],"DNP",0,1)</f>
        <v>DNP</v>
      </c>
      <c r="L28" t="str">
        <f>_xlfn.XLOOKUP(Table16[[#This Row],[Name]],Table211121642021[Name],Table211121642021[Points],"DNP",0,1)</f>
        <v>DNP</v>
      </c>
      <c r="M28" t="str">
        <f>_xlfn.XLOOKUP(Table16[[#This Row],[Name]],Table21112164202122[Name],Table21112164202122[Points],"DNP",0,1)</f>
        <v>DNP</v>
      </c>
      <c r="N28" t="str">
        <f>_xlfn.XLOOKUP(Table16[[#This Row],[Name]],Table2111216420212223[Name],Table2111216420212223[Points],"DNP",0,1)</f>
        <v>DNP</v>
      </c>
      <c r="O28" t="str">
        <f>_xlfn.XLOOKUP(Table16[[#This Row],[Name]],Table211121642021222325[Name],Table211121642021222325[Points],"DNP",0,1)</f>
        <v>DNP</v>
      </c>
      <c r="P28" t="str">
        <f>_xlfn.XLOOKUP(Table16[[#This Row],[Name]],Table21112164202122232534[Name],Table21112164202122232534[Points],"DNP",0,1)</f>
        <v>DNP</v>
      </c>
      <c r="Q28" t="str">
        <f>_xlfn.XLOOKUP(Table16[[#This Row],[Name]],Table2111216420212223253435[Name],Table2111216420212223253435[Points],"DNP",0,1)</f>
        <v>DNP</v>
      </c>
      <c r="R28" t="str">
        <f>_xlfn.XLOOKUP(Table16[[#This Row],[Name]],Table211121642021222325343536[Name],Table211121642021222325343536[Points],"DNP",0,1)</f>
        <v>DNP</v>
      </c>
      <c r="S28" t="str">
        <f>_xlfn.XLOOKUP(Table16[[#This Row],[Name]],Table21112164202122232534353637[Name],Table21112164202122232534353637[Points],"DNP",0,1)</f>
        <v>DNP</v>
      </c>
      <c r="T28" t="str">
        <f>_xlfn.XLOOKUP(Table16[[#This Row],[Name]],Table2111216420212223253435363738[Name],Table2111216420212223253435363738[Points],"DNP",0,1)</f>
        <v>DNP</v>
      </c>
      <c r="U28" t="str">
        <f>_xlfn.XLOOKUP(Table16[[#This Row],[Name]],Table2111216420212223253435363739[Name],Table2111216420212223253435363739[Points],"DNP",0,1)</f>
        <v>DNP</v>
      </c>
      <c r="V28" t="str">
        <f>_xlfn.XLOOKUP(Table16[[#This Row],[Name]],Table211121642021222325343536373841[Name],Table211121642021222325343536373841[Points],"DNP",0,1)</f>
        <v>DNP</v>
      </c>
    </row>
    <row r="29" spans="2:22">
      <c r="B29" t="str">
        <f>IFERROR(Table5[[#This Row],[Full name]],"")</f>
        <v>Aiden Ko</v>
      </c>
      <c r="C29" s="68">
        <f>SUM(Table16[[#This Row],[September 30, 2025]:[Column18]])</f>
        <v>0</v>
      </c>
      <c r="D29" t="str">
        <f>_xlfn.XLOOKUP(Table16[[#This Row],[Name]],Table4[Name],Table4[Points],"DNP",0,1)</f>
        <v>DNP</v>
      </c>
      <c r="E29" t="str">
        <f>_xlfn.XLOOKUP(Table16[[#This Row],[Name]],Table9[Name],Table9[Points],"DNP",0,1)</f>
        <v>DNP</v>
      </c>
      <c r="F29" t="str">
        <f>_xlfn.XLOOKUP(Table16[[#This Row],[Name]],Table18[Name],Table18[Points],"DNP",0,1)</f>
        <v>DNP</v>
      </c>
      <c r="G29" t="str">
        <f>_xlfn.XLOOKUP(Table16[[#This Row],[Name]],Table2[Name],Table2[Points],"DNP",0,1)</f>
        <v>DNP</v>
      </c>
      <c r="H29" t="str">
        <f>_xlfn.XLOOKUP(Table16[[#This Row],[Name]],Table211[Name],Table211[Points],"DNP",0,1)</f>
        <v>DNP</v>
      </c>
      <c r="I29" t="str">
        <f>_xlfn.XLOOKUP(Table16[[#This Row],[Name]],Table21112[Name],Table21112[Points],"DNP",0,1)</f>
        <v>DNP</v>
      </c>
      <c r="J29" t="str">
        <f>_xlfn.XLOOKUP(Table16[[#This Row],[Name]],Table21112164[Name],Table21112164[Points],"DNP",0,1)</f>
        <v>DNP</v>
      </c>
      <c r="K29" t="str">
        <f>_xlfn.XLOOKUP(Table16[[#This Row],[Name]],Table2111216420[Name],Table2111216420[Points],"DNP",0,1)</f>
        <v>DNP</v>
      </c>
      <c r="L29" t="str">
        <f>_xlfn.XLOOKUP(Table16[[#This Row],[Name]],Table211121642021[Name],Table211121642021[Points],"DNP",0,1)</f>
        <v>DNP</v>
      </c>
      <c r="M29" t="str">
        <f>_xlfn.XLOOKUP(Table16[[#This Row],[Name]],Table21112164202122[Name],Table21112164202122[Points],"DNP",0,1)</f>
        <v>DNP</v>
      </c>
      <c r="N29" t="str">
        <f>_xlfn.XLOOKUP(Table16[[#This Row],[Name]],Table2111216420212223[Name],Table2111216420212223[Points],"DNP",0,1)</f>
        <v>DNP</v>
      </c>
      <c r="O29" t="str">
        <f>_xlfn.XLOOKUP(Table16[[#This Row],[Name]],Table211121642021222325[Name],Table211121642021222325[Points],"DNP",0,1)</f>
        <v>DNP</v>
      </c>
      <c r="P29" t="str">
        <f>_xlfn.XLOOKUP(Table16[[#This Row],[Name]],Table21112164202122232534[Name],Table21112164202122232534[Points],"DNP",0,1)</f>
        <v>DNP</v>
      </c>
      <c r="Q29" t="str">
        <f>_xlfn.XLOOKUP(Table16[[#This Row],[Name]],Table2111216420212223253435[Name],Table2111216420212223253435[Points],"DNP",0,1)</f>
        <v>DNP</v>
      </c>
      <c r="R29" t="str">
        <f>_xlfn.XLOOKUP(Table16[[#This Row],[Name]],Table211121642021222325343536[Name],Table211121642021222325343536[Points],"DNP",0,1)</f>
        <v>DNP</v>
      </c>
      <c r="S29" t="str">
        <f>_xlfn.XLOOKUP(Table16[[#This Row],[Name]],Table21112164202122232534353637[Name],Table21112164202122232534353637[Points],"DNP",0,1)</f>
        <v>DNP</v>
      </c>
      <c r="T29" t="str">
        <f>_xlfn.XLOOKUP(Table16[[#This Row],[Name]],Table2111216420212223253435363738[Name],Table2111216420212223253435363738[Points],"DNP",0,1)</f>
        <v>DNP</v>
      </c>
      <c r="U29" t="str">
        <f>_xlfn.XLOOKUP(Table16[[#This Row],[Name]],Table2111216420212223253435363739[Name],Table2111216420212223253435363739[Points],"DNP",0,1)</f>
        <v>DNP</v>
      </c>
      <c r="V29" t="str">
        <f>_xlfn.XLOOKUP(Table16[[#This Row],[Name]],Table211121642021222325343536373841[Name],Table211121642021222325343536373841[Points],"DNP",0,1)</f>
        <v>DNP</v>
      </c>
    </row>
    <row r="30" spans="2:22">
      <c r="B30" t="str">
        <f>IFERROR(Table5[[#This Row],[Full name]],"")</f>
        <v>Allen Liu</v>
      </c>
      <c r="C30" s="68">
        <f>SUM(Table16[[#This Row],[September 30, 2025]:[Column18]])</f>
        <v>28</v>
      </c>
      <c r="D30" t="str">
        <f>_xlfn.XLOOKUP(Table16[[#This Row],[Name]],Table4[Name],Table4[Points],"DNP",0,1)</f>
        <v>DNP</v>
      </c>
      <c r="E30" t="str">
        <f>_xlfn.XLOOKUP(Table16[[#This Row],[Name]],Table9[Name],Table9[Points],"DNP",0,1)</f>
        <v>DNP</v>
      </c>
      <c r="F30" t="str">
        <f>_xlfn.XLOOKUP(Table16[[#This Row],[Name]],Table18[Name],Table18[Points],"DNP",0,1)</f>
        <v>DNP</v>
      </c>
      <c r="G30" t="str">
        <f>_xlfn.XLOOKUP(Table16[[#This Row],[Name]],Table2[Name],Table2[Points],"DNP",0,1)</f>
        <v>DNP</v>
      </c>
      <c r="H30" t="str">
        <f>_xlfn.XLOOKUP(Table16[[#This Row],[Name]],Table211[Name],Table211[Points],"DNP",0,1)</f>
        <v>DNP</v>
      </c>
      <c r="I30" t="str">
        <f>_xlfn.XLOOKUP(Table16[[#This Row],[Name]],Table21112[Name],Table21112[Points],"DNP",0,1)</f>
        <v>DNP</v>
      </c>
      <c r="J30" t="str">
        <f>_xlfn.XLOOKUP(Table16[[#This Row],[Name]],Table21112164[Name],Table21112164[Points],"DNP",0,1)</f>
        <v>DNP</v>
      </c>
      <c r="K30" t="str">
        <f>_xlfn.XLOOKUP(Table16[[#This Row],[Name]],Table2111216420[Name],Table2111216420[Points],"DNP",0,1)</f>
        <v>DNP</v>
      </c>
      <c r="L30" t="str">
        <f>_xlfn.XLOOKUP(Table16[[#This Row],[Name]],Table211121642021[Name],Table211121642021[Points],"DNP",0,1)</f>
        <v>DNP</v>
      </c>
      <c r="M30">
        <f>_xlfn.XLOOKUP(Table16[[#This Row],[Name]],Table21112164202122[Name],Table21112164202122[Points],"DNP",0,1)</f>
        <v>10</v>
      </c>
      <c r="N30">
        <f>_xlfn.XLOOKUP(Table16[[#This Row],[Name]],Table2111216420212223[Name],Table2111216420212223[Points],"DNP",0,1)</f>
        <v>1</v>
      </c>
      <c r="O30" t="str">
        <f>_xlfn.XLOOKUP(Table16[[#This Row],[Name]],Table211121642021222325[Name],Table211121642021222325[Points],"DNP",0,1)</f>
        <v>DNP</v>
      </c>
      <c r="P30">
        <f>_xlfn.XLOOKUP(Table16[[#This Row],[Name]],Table21112164202122232534[Name],Table21112164202122232534[Points],"DNP",0,1)</f>
        <v>2</v>
      </c>
      <c r="Q30">
        <f>_xlfn.XLOOKUP(Table16[[#This Row],[Name]],Table2111216420212223253435[Name],Table2111216420212223253435[Points],"DNP",0,1)</f>
        <v>1</v>
      </c>
      <c r="R30">
        <f>_xlfn.XLOOKUP(Table16[[#This Row],[Name]],Table211121642021222325343536[Name],Table211121642021222325343536[Points],"DNP",0,1)</f>
        <v>2</v>
      </c>
      <c r="S30">
        <f>_xlfn.XLOOKUP(Table16[[#This Row],[Name]],Table21112164202122232534353637[Name],Table21112164202122232534353637[Points],"DNP",0,1)</f>
        <v>10</v>
      </c>
      <c r="T30">
        <f>_xlfn.XLOOKUP(Table16[[#This Row],[Name]],Table2111216420212223253435363738[Name],Table2111216420212223253435363738[Points],"DNP",0,1)</f>
        <v>1</v>
      </c>
      <c r="U30">
        <f>_xlfn.XLOOKUP(Table16[[#This Row],[Name]],Table2111216420212223253435363739[Name],Table2111216420212223253435363739[Points],"DNP",0,1)</f>
        <v>1</v>
      </c>
      <c r="V30" t="str">
        <f>_xlfn.XLOOKUP(Table16[[#This Row],[Name]],Table211121642021222325343536373841[Name],Table211121642021222325343536373841[Points],"DNP",0,1)</f>
        <v>DNP</v>
      </c>
    </row>
    <row r="31" spans="2:22">
      <c r="B31" t="str">
        <f>IFERROR(Table5[[#This Row],[Full name]],"")</f>
        <v>Aman Bains</v>
      </c>
      <c r="C31" s="68">
        <f>SUM(Table16[[#This Row],[September 30, 2025]:[Column18]])</f>
        <v>0</v>
      </c>
      <c r="D31" t="str">
        <f>_xlfn.XLOOKUP(Table16[[#This Row],[Name]],Table4[Name],Table4[Points],"DNP",0,1)</f>
        <v>DNP</v>
      </c>
      <c r="E31" t="str">
        <f>_xlfn.XLOOKUP(Table16[[#This Row],[Name]],Table9[Name],Table9[Points],"DNP",0,1)</f>
        <v>DNP</v>
      </c>
      <c r="F31" t="str">
        <f>_xlfn.XLOOKUP(Table16[[#This Row],[Name]],Table18[Name],Table18[Points],"DNP",0,1)</f>
        <v>DNP</v>
      </c>
      <c r="G31" t="str">
        <f>_xlfn.XLOOKUP(Table16[[#This Row],[Name]],Table2[Name],Table2[Points],"DNP",0,1)</f>
        <v>DNP</v>
      </c>
      <c r="H31" t="str">
        <f>_xlfn.XLOOKUP(Table16[[#This Row],[Name]],Table211[Name],Table211[Points],"DNP",0,1)</f>
        <v>DNP</v>
      </c>
      <c r="I31" t="str">
        <f>_xlfn.XLOOKUP(Table16[[#This Row],[Name]],Table21112[Name],Table21112[Points],"DNP",0,1)</f>
        <v>DNP</v>
      </c>
      <c r="J31" t="str">
        <f>_xlfn.XLOOKUP(Table16[[#This Row],[Name]],Table21112164[Name],Table21112164[Points],"DNP",0,1)</f>
        <v>DNP</v>
      </c>
      <c r="K31" t="str">
        <f>_xlfn.XLOOKUP(Table16[[#This Row],[Name]],Table2111216420[Name],Table2111216420[Points],"DNP",0,1)</f>
        <v>DNP</v>
      </c>
      <c r="L31" t="str">
        <f>_xlfn.XLOOKUP(Table16[[#This Row],[Name]],Table211121642021[Name],Table211121642021[Points],"DNP",0,1)</f>
        <v>DNP</v>
      </c>
      <c r="M31" t="str">
        <f>_xlfn.XLOOKUP(Table16[[#This Row],[Name]],Table21112164202122[Name],Table21112164202122[Points],"DNP",0,1)</f>
        <v>DNP</v>
      </c>
      <c r="N31" t="str">
        <f>_xlfn.XLOOKUP(Table16[[#This Row],[Name]],Table2111216420212223[Name],Table2111216420212223[Points],"DNP",0,1)</f>
        <v>DNP</v>
      </c>
      <c r="O31" t="str">
        <f>_xlfn.XLOOKUP(Table16[[#This Row],[Name]],Table211121642021222325[Name],Table211121642021222325[Points],"DNP",0,1)</f>
        <v>DNP</v>
      </c>
      <c r="P31" t="str">
        <f>_xlfn.XLOOKUP(Table16[[#This Row],[Name]],Table21112164202122232534[Name],Table21112164202122232534[Points],"DNP",0,1)</f>
        <v>DNP</v>
      </c>
      <c r="Q31" t="str">
        <f>_xlfn.XLOOKUP(Table16[[#This Row],[Name]],Table2111216420212223253435[Name],Table2111216420212223253435[Points],"DNP",0,1)</f>
        <v>DNP</v>
      </c>
      <c r="R31" t="str">
        <f>_xlfn.XLOOKUP(Table16[[#This Row],[Name]],Table211121642021222325343536[Name],Table211121642021222325343536[Points],"DNP",0,1)</f>
        <v>DNP</v>
      </c>
      <c r="S31" t="str">
        <f>_xlfn.XLOOKUP(Table16[[#This Row],[Name]],Table21112164202122232534353637[Name],Table21112164202122232534353637[Points],"DNP",0,1)</f>
        <v>DNP</v>
      </c>
      <c r="T31" t="str">
        <f>_xlfn.XLOOKUP(Table16[[#This Row],[Name]],Table2111216420212223253435363738[Name],Table2111216420212223253435363738[Points],"DNP",0,1)</f>
        <v>DNP</v>
      </c>
      <c r="U31" t="str">
        <f>_xlfn.XLOOKUP(Table16[[#This Row],[Name]],Table2111216420212223253435363739[Name],Table2111216420212223253435363739[Points],"DNP",0,1)</f>
        <v>DNP</v>
      </c>
      <c r="V31" t="str">
        <f>_xlfn.XLOOKUP(Table16[[#This Row],[Name]],Table211121642021222325343536373841[Name],Table211121642021222325343536373841[Points],"DNP",0,1)</f>
        <v>DNP</v>
      </c>
    </row>
    <row r="32" spans="2:22">
      <c r="B32" t="str">
        <f>IFERROR(Table5[[#This Row],[Full name]],"")</f>
        <v>Anna Yu</v>
      </c>
      <c r="C32" s="68">
        <f>SUM(Table16[[#This Row],[September 30, 2025]:[Column18]])</f>
        <v>29</v>
      </c>
      <c r="D32">
        <f>_xlfn.XLOOKUP(Table16[[#This Row],[Name]],Table4[Name],Table4[Points],"DNP",0,1)</f>
        <v>1</v>
      </c>
      <c r="E32">
        <f>_xlfn.XLOOKUP(Table16[[#This Row],[Name]],Table9[Name],Table9[Points],"DNP",0,1)</f>
        <v>3</v>
      </c>
      <c r="F32">
        <f>_xlfn.XLOOKUP(Table16[[#This Row],[Name]],Table18[Name],Table18[Points],"DNP",0,1)</f>
        <v>1</v>
      </c>
      <c r="G32">
        <f>_xlfn.XLOOKUP(Table16[[#This Row],[Name]],Table2[Name],Table2[Points],"DNP",0,1)</f>
        <v>1</v>
      </c>
      <c r="H32" t="str">
        <f>_xlfn.XLOOKUP(Table16[[#This Row],[Name]],Table211[Name],Table211[Points],"DNP",0,1)</f>
        <v>DNP</v>
      </c>
      <c r="I32">
        <f>_xlfn.XLOOKUP(Table16[[#This Row],[Name]],Table21112[Name],Table21112[Points],"DNP",0,1)</f>
        <v>3</v>
      </c>
      <c r="J32">
        <f>_xlfn.XLOOKUP(Table16[[#This Row],[Name]],Table21112164[Name],Table21112164[Points],"DNP",0,1)</f>
        <v>1</v>
      </c>
      <c r="K32">
        <f>_xlfn.XLOOKUP(Table16[[#This Row],[Name]],Table2111216420[Name],Table2111216420[Points],"DNP",0,1)</f>
        <v>1</v>
      </c>
      <c r="L32">
        <f>_xlfn.XLOOKUP(Table16[[#This Row],[Name]],Table211121642021[Name],Table211121642021[Points],"DNP",0,1)</f>
        <v>1</v>
      </c>
      <c r="M32">
        <f>_xlfn.XLOOKUP(Table16[[#This Row],[Name]],Table21112164202122[Name],Table21112164202122[Points],"DNP",0,1)</f>
        <v>2</v>
      </c>
      <c r="N32">
        <f>_xlfn.XLOOKUP(Table16[[#This Row],[Name]],Table2111216420212223[Name],Table2111216420212223[Points],"DNP",0,1)</f>
        <v>2</v>
      </c>
      <c r="O32">
        <f>_xlfn.XLOOKUP(Table16[[#This Row],[Name]],Table211121642021222325[Name],Table211121642021222325[Points],"DNP",0,1)</f>
        <v>2</v>
      </c>
      <c r="P32">
        <f>_xlfn.XLOOKUP(Table16[[#This Row],[Name]],Table21112164202122232534[Name],Table21112164202122232534[Points],"DNP",0,1)</f>
        <v>3</v>
      </c>
      <c r="Q32">
        <f>_xlfn.XLOOKUP(Table16[[#This Row],[Name]],Table2111216420212223253435[Name],Table2111216420212223253435[Points],"DNP",0,1)</f>
        <v>1</v>
      </c>
      <c r="R32">
        <f>_xlfn.XLOOKUP(Table16[[#This Row],[Name]],Table211121642021222325343536[Name],Table211121642021222325343536[Points],"DNP",0,1)</f>
        <v>4</v>
      </c>
      <c r="S32" t="str">
        <f>_xlfn.XLOOKUP(Table16[[#This Row],[Name]],Table21112164202122232534353637[Name],Table21112164202122232534353637[Points],"DNP",0,1)</f>
        <v>DNP</v>
      </c>
      <c r="T32" t="str">
        <f>_xlfn.XLOOKUP(Table16[[#This Row],[Name]],Table2111216420212223253435363738[Name],Table2111216420212223253435363738[Points],"DNP",0,1)</f>
        <v>DNP</v>
      </c>
      <c r="U32">
        <f>_xlfn.XLOOKUP(Table16[[#This Row],[Name]],Table2111216420212223253435363739[Name],Table2111216420212223253435363739[Points],"DNP",0,1)</f>
        <v>2</v>
      </c>
      <c r="V32">
        <f>_xlfn.XLOOKUP(Table16[[#This Row],[Name]],Table211121642021222325343536373841[Name],Table211121642021222325343536373841[Points],"DNP",0,1)</f>
        <v>1</v>
      </c>
    </row>
    <row r="33" spans="2:22">
      <c r="B33" t="str">
        <f>IFERROR(Table5[[#This Row],[Full name]],"")</f>
        <v>Carson Cull</v>
      </c>
      <c r="C33" s="68">
        <f>SUM(Table16[[#This Row],[September 30, 2025]:[Column18]])</f>
        <v>15</v>
      </c>
      <c r="D33" t="str">
        <f>_xlfn.XLOOKUP(Table16[[#This Row],[Name]],Table4[Name],Table4[Points],"DNP",0,1)</f>
        <v>DNP</v>
      </c>
      <c r="E33" t="str">
        <f>_xlfn.XLOOKUP(Table16[[#This Row],[Name]],Table9[Name],Table9[Points],"DNP",0,1)</f>
        <v>DNP</v>
      </c>
      <c r="F33">
        <f>_xlfn.XLOOKUP(Table16[[#This Row],[Name]],Table18[Name],Table18[Points],"DNP",0,1)</f>
        <v>2</v>
      </c>
      <c r="G33" t="str">
        <f>_xlfn.XLOOKUP(Table16[[#This Row],[Name]],Table2[Name],Table2[Points],"DNP",0,1)</f>
        <v>DNP</v>
      </c>
      <c r="H33" t="str">
        <f>_xlfn.XLOOKUP(Table16[[#This Row],[Name]],Table211[Name],Table211[Points],"DNP",0,1)</f>
        <v>DNP</v>
      </c>
      <c r="I33" t="str">
        <f>_xlfn.XLOOKUP(Table16[[#This Row],[Name]],Table21112[Name],Table21112[Points],"DNP",0,1)</f>
        <v>DNP</v>
      </c>
      <c r="J33">
        <f>_xlfn.XLOOKUP(Table16[[#This Row],[Name]],Table21112164[Name],Table21112164[Points],"DNP",0,1)</f>
        <v>2</v>
      </c>
      <c r="K33">
        <f>_xlfn.XLOOKUP(Table16[[#This Row],[Name]],Table2111216420[Name],Table2111216420[Points],"DNP",0,1)</f>
        <v>2</v>
      </c>
      <c r="L33">
        <f>_xlfn.XLOOKUP(Table16[[#This Row],[Name]],Table211121642021[Name],Table211121642021[Points],"DNP",0,1)</f>
        <v>3</v>
      </c>
      <c r="M33">
        <f>_xlfn.XLOOKUP(Table16[[#This Row],[Name]],Table21112164202122[Name],Table21112164202122[Points],"DNP",0,1)</f>
        <v>1</v>
      </c>
      <c r="N33" t="str">
        <f>_xlfn.XLOOKUP(Table16[[#This Row],[Name]],Table2111216420212223[Name],Table2111216420212223[Points],"DNP",0,1)</f>
        <v>DNP</v>
      </c>
      <c r="O33">
        <f>_xlfn.XLOOKUP(Table16[[#This Row],[Name]],Table211121642021222325[Name],Table211121642021222325[Points],"DNP",0,1)</f>
        <v>2</v>
      </c>
      <c r="P33">
        <f>_xlfn.XLOOKUP(Table16[[#This Row],[Name]],Table21112164202122232534[Name],Table21112164202122232534[Points],"DNP",0,1)</f>
        <v>1</v>
      </c>
      <c r="Q33" t="str">
        <f>_xlfn.XLOOKUP(Table16[[#This Row],[Name]],Table2111216420212223253435[Name],Table2111216420212223253435[Points],"DNP",0,1)</f>
        <v>DNP</v>
      </c>
      <c r="R33" t="str">
        <f>_xlfn.XLOOKUP(Table16[[#This Row],[Name]],Table211121642021222325343536[Name],Table211121642021222325343536[Points],"DNP",0,1)</f>
        <v>DNP</v>
      </c>
      <c r="S33" t="str">
        <f>_xlfn.XLOOKUP(Table16[[#This Row],[Name]],Table21112164202122232534353637[Name],Table21112164202122232534353637[Points],"DNP",0,1)</f>
        <v>DNP</v>
      </c>
      <c r="T33" t="str">
        <f>_xlfn.XLOOKUP(Table16[[#This Row],[Name]],Table2111216420212223253435363738[Name],Table2111216420212223253435363738[Points],"DNP",0,1)</f>
        <v>DNP</v>
      </c>
      <c r="U33">
        <f>_xlfn.XLOOKUP(Table16[[#This Row],[Name]],Table2111216420212223253435363739[Name],Table2111216420212223253435363739[Points],"DNP",0,1)</f>
        <v>2</v>
      </c>
      <c r="V33" t="str">
        <f>_xlfn.XLOOKUP(Table16[[#This Row],[Name]],Table211121642021222325343536373841[Name],Table211121642021222325343536373841[Points],"DNP",0,1)</f>
        <v>DNP</v>
      </c>
    </row>
    <row r="34" spans="2:22">
      <c r="B34" t="str">
        <f>IFERROR(Table5[[#This Row],[Full name]],"")</f>
        <v>Cole Eisen</v>
      </c>
      <c r="C34" s="68">
        <f>SUM(Table16[[#This Row],[September 30, 2025]:[Column18]])</f>
        <v>6</v>
      </c>
      <c r="D34">
        <f>_xlfn.XLOOKUP(Table16[[#This Row],[Name]],Table4[Name],Table4[Points],"DNP",0,1)</f>
        <v>2</v>
      </c>
      <c r="E34">
        <f>_xlfn.XLOOKUP(Table16[[#This Row],[Name]],Table9[Name],Table9[Points],"DNP",0,1)</f>
        <v>2</v>
      </c>
      <c r="F34" t="str">
        <f>_xlfn.XLOOKUP(Table16[[#This Row],[Name]],Table18[Name],Table18[Points],"DNP",0,1)</f>
        <v>DNP</v>
      </c>
      <c r="G34" t="str">
        <f>_xlfn.XLOOKUP(Table16[[#This Row],[Name]],Table2[Name],Table2[Points],"DNP",0,1)</f>
        <v>DNP</v>
      </c>
      <c r="H34">
        <f>_xlfn.XLOOKUP(Table16[[#This Row],[Name]],Table211[Name],Table211[Points],"DNP",0,1)</f>
        <v>2</v>
      </c>
      <c r="I34" t="str">
        <f>_xlfn.XLOOKUP(Table16[[#This Row],[Name]],Table21112[Name],Table21112[Points],"DNP",0,1)</f>
        <v>DNP</v>
      </c>
      <c r="J34" t="str">
        <f>_xlfn.XLOOKUP(Table16[[#This Row],[Name]],Table21112164[Name],Table21112164[Points],"DNP",0,1)</f>
        <v>DNP</v>
      </c>
      <c r="K34" t="str">
        <f>_xlfn.XLOOKUP(Table16[[#This Row],[Name]],Table2111216420[Name],Table2111216420[Points],"DNP",0,1)</f>
        <v>DNP</v>
      </c>
      <c r="L34" t="str">
        <f>_xlfn.XLOOKUP(Table16[[#This Row],[Name]],Table211121642021[Name],Table211121642021[Points],"DNP",0,1)</f>
        <v>DNP</v>
      </c>
      <c r="M34" t="str">
        <f>_xlfn.XLOOKUP(Table16[[#This Row],[Name]],Table21112164202122[Name],Table21112164202122[Points],"DNP",0,1)</f>
        <v>DNP</v>
      </c>
      <c r="N34" t="str">
        <f>_xlfn.XLOOKUP(Table16[[#This Row],[Name]],Table2111216420212223[Name],Table2111216420212223[Points],"DNP",0,1)</f>
        <v>DNP</v>
      </c>
      <c r="O34" t="str">
        <f>_xlfn.XLOOKUP(Table16[[#This Row],[Name]],Table211121642021222325[Name],Table211121642021222325[Points],"DNP",0,1)</f>
        <v>DNP</v>
      </c>
      <c r="P34" t="str">
        <f>_xlfn.XLOOKUP(Table16[[#This Row],[Name]],Table21112164202122232534[Name],Table21112164202122232534[Points],"DNP",0,1)</f>
        <v>DNP</v>
      </c>
      <c r="Q34" t="str">
        <f>_xlfn.XLOOKUP(Table16[[#This Row],[Name]],Table2111216420212223253435[Name],Table2111216420212223253435[Points],"DNP",0,1)</f>
        <v>DNP</v>
      </c>
      <c r="R34" t="str">
        <f>_xlfn.XLOOKUP(Table16[[#This Row],[Name]],Table211121642021222325343536[Name],Table211121642021222325343536[Points],"DNP",0,1)</f>
        <v>DNP</v>
      </c>
      <c r="S34" t="str">
        <f>_xlfn.XLOOKUP(Table16[[#This Row],[Name]],Table21112164202122232534353637[Name],Table21112164202122232534353637[Points],"DNP",0,1)</f>
        <v>DNP</v>
      </c>
      <c r="T34" t="str">
        <f>_xlfn.XLOOKUP(Table16[[#This Row],[Name]],Table2111216420212223253435363738[Name],Table2111216420212223253435363738[Points],"DNP",0,1)</f>
        <v>DNP</v>
      </c>
      <c r="U34" t="str">
        <f>_xlfn.XLOOKUP(Table16[[#This Row],[Name]],Table2111216420212223253435363739[Name],Table2111216420212223253435363739[Points],"DNP",0,1)</f>
        <v>DNP</v>
      </c>
      <c r="V34" t="str">
        <f>_xlfn.XLOOKUP(Table16[[#This Row],[Name]],Table211121642021222325343536373841[Name],Table211121642021222325343536373841[Points],"DNP",0,1)</f>
        <v>DNP</v>
      </c>
    </row>
    <row r="35" spans="2:22">
      <c r="B35" t="str">
        <f>IFERROR(Table5[[#This Row],[Full name]],"")</f>
        <v>Cole Korchinski</v>
      </c>
      <c r="C35" s="68">
        <f>SUM(Table16[[#This Row],[September 30, 2025]:[Column18]])</f>
        <v>8</v>
      </c>
      <c r="D35">
        <f>_xlfn.XLOOKUP(Table16[[#This Row],[Name]],Table4[Name],Table4[Points],"DNP",0,1)</f>
        <v>2</v>
      </c>
      <c r="E35">
        <f>_xlfn.XLOOKUP(Table16[[#This Row],[Name]],Table9[Name],Table9[Points],"DNP",0,1)</f>
        <v>1</v>
      </c>
      <c r="F35" t="str">
        <f>_xlfn.XLOOKUP(Table16[[#This Row],[Name]],Table18[Name],Table18[Points],"DNP",0,1)</f>
        <v>DNP</v>
      </c>
      <c r="G35" t="str">
        <f>_xlfn.XLOOKUP(Table16[[#This Row],[Name]],Table2[Name],Table2[Points],"DNP",0,1)</f>
        <v>DNP</v>
      </c>
      <c r="H35">
        <f>_xlfn.XLOOKUP(Table16[[#This Row],[Name]],Table211[Name],Table211[Points],"DNP",0,1)</f>
        <v>2</v>
      </c>
      <c r="I35" t="str">
        <f>_xlfn.XLOOKUP(Table16[[#This Row],[Name]],Table21112[Name],Table21112[Points],"DNP",0,1)</f>
        <v>DNP</v>
      </c>
      <c r="J35" t="str">
        <f>_xlfn.XLOOKUP(Table16[[#This Row],[Name]],Table21112164[Name],Table21112164[Points],"DNP",0,1)</f>
        <v>DNP</v>
      </c>
      <c r="K35" t="str">
        <f>_xlfn.XLOOKUP(Table16[[#This Row],[Name]],Table2111216420[Name],Table2111216420[Points],"DNP",0,1)</f>
        <v>DNP</v>
      </c>
      <c r="L35">
        <f>_xlfn.XLOOKUP(Table16[[#This Row],[Name]],Table211121642021[Name],Table211121642021[Points],"DNP",0,1)</f>
        <v>1</v>
      </c>
      <c r="M35" t="str">
        <f>_xlfn.XLOOKUP(Table16[[#This Row],[Name]],Table21112164202122[Name],Table21112164202122[Points],"DNP",0,1)</f>
        <v>DNP</v>
      </c>
      <c r="N35" t="str">
        <f>_xlfn.XLOOKUP(Table16[[#This Row],[Name]],Table2111216420212223[Name],Table2111216420212223[Points],"DNP",0,1)</f>
        <v>DNP</v>
      </c>
      <c r="O35" t="str">
        <f>_xlfn.XLOOKUP(Table16[[#This Row],[Name]],Table211121642021222325[Name],Table211121642021222325[Points],"DNP",0,1)</f>
        <v>DNP</v>
      </c>
      <c r="P35" t="str">
        <f>_xlfn.XLOOKUP(Table16[[#This Row],[Name]],Table21112164202122232534[Name],Table21112164202122232534[Points],"DNP",0,1)</f>
        <v>DNP</v>
      </c>
      <c r="Q35" t="str">
        <f>_xlfn.XLOOKUP(Table16[[#This Row],[Name]],Table2111216420212223253435[Name],Table2111216420212223253435[Points],"DNP",0,1)</f>
        <v>DNP</v>
      </c>
      <c r="R35" t="str">
        <f>_xlfn.XLOOKUP(Table16[[#This Row],[Name]],Table211121642021222325343536[Name],Table211121642021222325343536[Points],"DNP",0,1)</f>
        <v>DNP</v>
      </c>
      <c r="S35" t="str">
        <f>_xlfn.XLOOKUP(Table16[[#This Row],[Name]],Table21112164202122232534353637[Name],Table21112164202122232534353637[Points],"DNP",0,1)</f>
        <v>DNP</v>
      </c>
      <c r="T35">
        <f>_xlfn.XLOOKUP(Table16[[#This Row],[Name]],Table2111216420212223253435363738[Name],Table2111216420212223253435363738[Points],"DNP",0,1)</f>
        <v>1</v>
      </c>
      <c r="U35">
        <f>_xlfn.XLOOKUP(Table16[[#This Row],[Name]],Table2111216420212223253435363739[Name],Table2111216420212223253435363739[Points],"DNP",0,1)</f>
        <v>1</v>
      </c>
      <c r="V35" t="str">
        <f>_xlfn.XLOOKUP(Table16[[#This Row],[Name]],Table211121642021222325343536373841[Name],Table211121642021222325343536373841[Points],"DNP",0,1)</f>
        <v>DNP</v>
      </c>
    </row>
    <row r="36" spans="2:22">
      <c r="B36" t="str">
        <f>IFERROR(Table5[[#This Row],[Full name]],"")</f>
        <v>Damon Deng</v>
      </c>
      <c r="C36" s="68">
        <f>SUM(Table16[[#This Row],[September 30, 2025]:[Column18]])</f>
        <v>28</v>
      </c>
      <c r="D36">
        <f>_xlfn.XLOOKUP(Table16[[#This Row],[Name]],Table4[Name],Table4[Points],"DNP",0,1)</f>
        <v>1</v>
      </c>
      <c r="E36" t="str">
        <f>_xlfn.XLOOKUP(Table16[[#This Row],[Name]],Table9[Name],Table9[Points],"DNP",0,1)</f>
        <v>DNP</v>
      </c>
      <c r="F36" t="str">
        <f>_xlfn.XLOOKUP(Table16[[#This Row],[Name]],Table18[Name],Table18[Points],"DNP",0,1)</f>
        <v>DNP</v>
      </c>
      <c r="G36" t="str">
        <f>_xlfn.XLOOKUP(Table16[[#This Row],[Name]],Table2[Name],Table2[Points],"DNP",0,1)</f>
        <v>DNP</v>
      </c>
      <c r="H36" t="str">
        <f>_xlfn.XLOOKUP(Table16[[#This Row],[Name]],Table211[Name],Table211[Points],"DNP",0,1)</f>
        <v>DNP</v>
      </c>
      <c r="I36" t="str">
        <f>_xlfn.XLOOKUP(Table16[[#This Row],[Name]],Table21112[Name],Table21112[Points],"DNP",0,1)</f>
        <v>DNP</v>
      </c>
      <c r="J36" t="str">
        <f>_xlfn.XLOOKUP(Table16[[#This Row],[Name]],Table21112164[Name],Table21112164[Points],"DNP",0,1)</f>
        <v>DNP</v>
      </c>
      <c r="K36" t="str">
        <f>_xlfn.XLOOKUP(Table16[[#This Row],[Name]],Table2111216420[Name],Table2111216420[Points],"DNP",0,1)</f>
        <v>DNP</v>
      </c>
      <c r="L36" t="str">
        <f>_xlfn.XLOOKUP(Table16[[#This Row],[Name]],Table211121642021[Name],Table211121642021[Points],"DNP",0,1)</f>
        <v>DNP</v>
      </c>
      <c r="M36" t="str">
        <f>_xlfn.XLOOKUP(Table16[[#This Row],[Name]],Table21112164202122[Name],Table21112164202122[Points],"DNP",0,1)</f>
        <v>DNP</v>
      </c>
      <c r="N36">
        <f>_xlfn.XLOOKUP(Table16[[#This Row],[Name]],Table2111216420212223[Name],Table2111216420212223[Points],"DNP",0,1)</f>
        <v>20</v>
      </c>
      <c r="O36" t="str">
        <f>_xlfn.XLOOKUP(Table16[[#This Row],[Name]],Table211121642021222325[Name],Table211121642021222325[Points],"DNP",0,1)</f>
        <v>DNP</v>
      </c>
      <c r="P36" t="str">
        <f>_xlfn.XLOOKUP(Table16[[#This Row],[Name]],Table21112164202122232534[Name],Table21112164202122232534[Points],"DNP",0,1)</f>
        <v>DNP</v>
      </c>
      <c r="Q36">
        <f>_xlfn.XLOOKUP(Table16[[#This Row],[Name]],Table2111216420212223253435[Name],Table2111216420212223253435[Points],"DNP",0,1)</f>
        <v>2</v>
      </c>
      <c r="R36">
        <f>_xlfn.XLOOKUP(Table16[[#This Row],[Name]],Table211121642021222325343536[Name],Table211121642021222325343536[Points],"DNP",0,1)</f>
        <v>4</v>
      </c>
      <c r="S36" t="str">
        <f>_xlfn.XLOOKUP(Table16[[#This Row],[Name]],Table21112164202122232534353637[Name],Table21112164202122232534353637[Points],"DNP",0,1)</f>
        <v>DNP</v>
      </c>
      <c r="T36" t="str">
        <f>_xlfn.XLOOKUP(Table16[[#This Row],[Name]],Table2111216420212223253435363738[Name],Table2111216420212223253435363738[Points],"DNP",0,1)</f>
        <v>DNP</v>
      </c>
      <c r="U36" t="str">
        <f>_xlfn.XLOOKUP(Table16[[#This Row],[Name]],Table2111216420212223253435363739[Name],Table2111216420212223253435363739[Points],"DNP",0,1)</f>
        <v>DNP</v>
      </c>
      <c r="V36">
        <f>_xlfn.XLOOKUP(Table16[[#This Row],[Name]],Table211121642021222325343536373841[Name],Table211121642021222325343536373841[Points],"DNP",0,1)</f>
        <v>1</v>
      </c>
    </row>
    <row r="37" spans="2:22">
      <c r="B37" t="str">
        <f>IFERROR(Table5[[#This Row],[Full name]],"")</f>
        <v>Daniel Dillabough</v>
      </c>
      <c r="C37" s="68">
        <f>SUM(Table16[[#This Row],[September 30, 2025]:[Column18]])</f>
        <v>13</v>
      </c>
      <c r="D37">
        <f>_xlfn.XLOOKUP(Table16[[#This Row],[Name]],Table4[Name],Table4[Points],"DNP",0,1)</f>
        <v>1</v>
      </c>
      <c r="E37">
        <f>_xlfn.XLOOKUP(Table16[[#This Row],[Name]],Table9[Name],Table9[Points],"DNP",0,1)</f>
        <v>2</v>
      </c>
      <c r="F37" t="str">
        <f>_xlfn.XLOOKUP(Table16[[#This Row],[Name]],Table18[Name],Table18[Points],"DNP",0,1)</f>
        <v>DNP</v>
      </c>
      <c r="G37">
        <f>_xlfn.XLOOKUP(Table16[[#This Row],[Name]],Table2[Name],Table2[Points],"DNP",0,1)</f>
        <v>1</v>
      </c>
      <c r="H37">
        <f>_xlfn.XLOOKUP(Table16[[#This Row],[Name]],Table211[Name],Table211[Points],"DNP",0,1)</f>
        <v>2</v>
      </c>
      <c r="I37" t="str">
        <f>_xlfn.XLOOKUP(Table16[[#This Row],[Name]],Table21112[Name],Table21112[Points],"DNP",0,1)</f>
        <v>DNP</v>
      </c>
      <c r="J37">
        <f>_xlfn.XLOOKUP(Table16[[#This Row],[Name]],Table21112164[Name],Table21112164[Points],"DNP",0,1)</f>
        <v>1</v>
      </c>
      <c r="K37" t="str">
        <f>_xlfn.XLOOKUP(Table16[[#This Row],[Name]],Table2111216420[Name],Table2111216420[Points],"DNP",0,1)</f>
        <v>DNP</v>
      </c>
      <c r="L37">
        <f>_xlfn.XLOOKUP(Table16[[#This Row],[Name]],Table211121642021[Name],Table211121642021[Points],"DNP",0,1)</f>
        <v>2</v>
      </c>
      <c r="M37">
        <f>_xlfn.XLOOKUP(Table16[[#This Row],[Name]],Table21112164202122[Name],Table21112164202122[Points],"DNP",0,1)</f>
        <v>1</v>
      </c>
      <c r="N37" t="str">
        <f>_xlfn.XLOOKUP(Table16[[#This Row],[Name]],Table2111216420212223[Name],Table2111216420212223[Points],"DNP",0,1)</f>
        <v>DNP</v>
      </c>
      <c r="O37" t="str">
        <f>_xlfn.XLOOKUP(Table16[[#This Row],[Name]],Table211121642021222325[Name],Table211121642021222325[Points],"DNP",0,1)</f>
        <v>DNP</v>
      </c>
      <c r="P37">
        <f>_xlfn.XLOOKUP(Table16[[#This Row],[Name]],Table21112164202122232534[Name],Table21112164202122232534[Points],"DNP",0,1)</f>
        <v>2</v>
      </c>
      <c r="Q37" t="str">
        <f>_xlfn.XLOOKUP(Table16[[#This Row],[Name]],Table2111216420212223253435[Name],Table2111216420212223253435[Points],"DNP",0,1)</f>
        <v>DNP</v>
      </c>
      <c r="R37">
        <f>_xlfn.XLOOKUP(Table16[[#This Row],[Name]],Table211121642021222325343536[Name],Table211121642021222325343536[Points],"DNP",0,1)</f>
        <v>1</v>
      </c>
      <c r="S37" t="str">
        <f>_xlfn.XLOOKUP(Table16[[#This Row],[Name]],Table21112164202122232534353637[Name],Table21112164202122232534353637[Points],"DNP",0,1)</f>
        <v>DNP</v>
      </c>
      <c r="T37" t="str">
        <f>_xlfn.XLOOKUP(Table16[[#This Row],[Name]],Table2111216420212223253435363738[Name],Table2111216420212223253435363738[Points],"DNP",0,1)</f>
        <v>DNP</v>
      </c>
      <c r="U37" t="str">
        <f>_xlfn.XLOOKUP(Table16[[#This Row],[Name]],Table2111216420212223253435363739[Name],Table2111216420212223253435363739[Points],"DNP",0,1)</f>
        <v>DNP</v>
      </c>
      <c r="V37" t="str">
        <f>_xlfn.XLOOKUP(Table16[[#This Row],[Name]],Table211121642021222325343536373841[Name],Table211121642021222325343536373841[Points],"DNP",0,1)</f>
        <v>DNP</v>
      </c>
    </row>
    <row r="38" spans="2:22">
      <c r="B38" t="str">
        <f>IFERROR(Table5[[#This Row],[Full name]],"")</f>
        <v>Darren Poku</v>
      </c>
      <c r="C38" s="68">
        <f>SUM(Table16[[#This Row],[September 30, 2025]:[Column18]])</f>
        <v>14</v>
      </c>
      <c r="D38" t="str">
        <f>_xlfn.XLOOKUP(Table16[[#This Row],[Name]],Table4[Name],Table4[Points],"DNP",0,1)</f>
        <v>DNP</v>
      </c>
      <c r="E38">
        <f>_xlfn.XLOOKUP(Table16[[#This Row],[Name]],Table9[Name],Table9[Points],"DNP",0,1)</f>
        <v>1</v>
      </c>
      <c r="F38">
        <f>_xlfn.XLOOKUP(Table16[[#This Row],[Name]],Table18[Name],Table18[Points],"DNP",0,1)</f>
        <v>2</v>
      </c>
      <c r="G38" t="str">
        <f>_xlfn.XLOOKUP(Table16[[#This Row],[Name]],Table2[Name],Table2[Points],"DNP",0,1)</f>
        <v>DNP</v>
      </c>
      <c r="H38" t="str">
        <f>_xlfn.XLOOKUP(Table16[[#This Row],[Name]],Table211[Name],Table211[Points],"DNP",0,1)</f>
        <v>DNP</v>
      </c>
      <c r="I38">
        <f>_xlfn.XLOOKUP(Table16[[#This Row],[Name]],Table21112[Name],Table21112[Points],"DNP",0,1)</f>
        <v>10</v>
      </c>
      <c r="J38" t="str">
        <f>_xlfn.XLOOKUP(Table16[[#This Row],[Name]],Table21112164[Name],Table21112164[Points],"DNP",0,1)</f>
        <v>DNP</v>
      </c>
      <c r="K38" t="str">
        <f>_xlfn.XLOOKUP(Table16[[#This Row],[Name]],Table2111216420[Name],Table2111216420[Points],"DNP",0,1)</f>
        <v>DNP</v>
      </c>
      <c r="L38" t="str">
        <f>_xlfn.XLOOKUP(Table16[[#This Row],[Name]],Table211121642021[Name],Table211121642021[Points],"DNP",0,1)</f>
        <v>DNP</v>
      </c>
      <c r="M38" t="str">
        <f>_xlfn.XLOOKUP(Table16[[#This Row],[Name]],Table21112164202122[Name],Table21112164202122[Points],"DNP",0,1)</f>
        <v>DNP</v>
      </c>
      <c r="N38" t="str">
        <f>_xlfn.XLOOKUP(Table16[[#This Row],[Name]],Table2111216420212223[Name],Table2111216420212223[Points],"DNP",0,1)</f>
        <v>DNP</v>
      </c>
      <c r="O38" t="str">
        <f>_xlfn.XLOOKUP(Table16[[#This Row],[Name]],Table211121642021222325[Name],Table211121642021222325[Points],"DNP",0,1)</f>
        <v>DNP</v>
      </c>
      <c r="P38" t="str">
        <f>_xlfn.XLOOKUP(Table16[[#This Row],[Name]],Table21112164202122232534[Name],Table21112164202122232534[Points],"DNP",0,1)</f>
        <v>DNP</v>
      </c>
      <c r="Q38" t="str">
        <f>_xlfn.XLOOKUP(Table16[[#This Row],[Name]],Table2111216420212223253435[Name],Table2111216420212223253435[Points],"DNP",0,1)</f>
        <v>DNP</v>
      </c>
      <c r="R38" t="str">
        <f>_xlfn.XLOOKUP(Table16[[#This Row],[Name]],Table211121642021222325343536[Name],Table211121642021222325343536[Points],"DNP",0,1)</f>
        <v>DNP</v>
      </c>
      <c r="S38" t="str">
        <f>_xlfn.XLOOKUP(Table16[[#This Row],[Name]],Table21112164202122232534353637[Name],Table21112164202122232534353637[Points],"DNP",0,1)</f>
        <v>DNP</v>
      </c>
      <c r="T38" t="str">
        <f>_xlfn.XLOOKUP(Table16[[#This Row],[Name]],Table2111216420212223253435363738[Name],Table2111216420212223253435363738[Points],"DNP",0,1)</f>
        <v>DNP</v>
      </c>
      <c r="U38">
        <f>_xlfn.XLOOKUP(Table16[[#This Row],[Name]],Table2111216420212223253435363739[Name],Table2111216420212223253435363739[Points],"DNP",0,1)</f>
        <v>1</v>
      </c>
      <c r="V38" t="str">
        <f>_xlfn.XLOOKUP(Table16[[#This Row],[Name]],Table211121642021222325343536373841[Name],Table211121642021222325343536373841[Points],"DNP",0,1)</f>
        <v>DNP</v>
      </c>
    </row>
    <row r="39" spans="2:22">
      <c r="B39" t="str">
        <f>IFERROR(Table5[[#This Row],[Full name]],"")</f>
        <v>Dikang Fu</v>
      </c>
      <c r="C39" s="68">
        <f>SUM(Table16[[#This Row],[September 30, 2025]:[Column18]])</f>
        <v>50</v>
      </c>
      <c r="D39">
        <f>_xlfn.XLOOKUP(Table16[[#This Row],[Name]],Table4[Name],Table4[Points],"DNP",0,1)</f>
        <v>4</v>
      </c>
      <c r="E39">
        <f>_xlfn.XLOOKUP(Table16[[#This Row],[Name]],Table9[Name],Table9[Points],"DNP",0,1)</f>
        <v>4</v>
      </c>
      <c r="F39">
        <f>_xlfn.XLOOKUP(Table16[[#This Row],[Name]],Table18[Name],Table18[Points],"DNP",0,1)</f>
        <v>1</v>
      </c>
      <c r="G39">
        <f>_xlfn.XLOOKUP(Table16[[#This Row],[Name]],Table2[Name],Table2[Points],"DNP",0,1)</f>
        <v>15</v>
      </c>
      <c r="H39" t="str">
        <f>_xlfn.XLOOKUP(Table16[[#This Row],[Name]],Table211[Name],Table211[Points],"DNP",0,1)</f>
        <v>DNP</v>
      </c>
      <c r="I39">
        <f>_xlfn.XLOOKUP(Table16[[#This Row],[Name]],Table21112[Name],Table21112[Points],"DNP",0,1)</f>
        <v>1</v>
      </c>
      <c r="J39">
        <f>_xlfn.XLOOKUP(Table16[[#This Row],[Name]],Table21112164[Name],Table21112164[Points],"DNP",0,1)</f>
        <v>2</v>
      </c>
      <c r="K39">
        <f>_xlfn.XLOOKUP(Table16[[#This Row],[Name]],Table2111216420[Name],Table2111216420[Points],"DNP",0,1)</f>
        <v>3</v>
      </c>
      <c r="L39">
        <f>_xlfn.XLOOKUP(Table16[[#This Row],[Name]],Table211121642021[Name],Table211121642021[Points],"DNP",0,1)</f>
        <v>4</v>
      </c>
      <c r="M39" t="str">
        <f>_xlfn.XLOOKUP(Table16[[#This Row],[Name]],Table21112164202122[Name],Table21112164202122[Points],"DNP",0,1)</f>
        <v>DNP</v>
      </c>
      <c r="N39" t="str">
        <f>_xlfn.XLOOKUP(Table16[[#This Row],[Name]],Table2111216420212223[Name],Table2111216420212223[Points],"DNP",0,1)</f>
        <v>DNP</v>
      </c>
      <c r="O39">
        <f>_xlfn.XLOOKUP(Table16[[#This Row],[Name]],Table211121642021222325[Name],Table211121642021222325[Points],"DNP",0,1)</f>
        <v>1</v>
      </c>
      <c r="P39">
        <f>_xlfn.XLOOKUP(Table16[[#This Row],[Name]],Table21112164202122232534[Name],Table21112164202122232534[Points],"DNP",0,1)</f>
        <v>1</v>
      </c>
      <c r="Q39">
        <f>_xlfn.XLOOKUP(Table16[[#This Row],[Name]],Table2111216420212223253435[Name],Table2111216420212223253435[Points],"DNP",0,1)</f>
        <v>1</v>
      </c>
      <c r="R39">
        <f>_xlfn.XLOOKUP(Table16[[#This Row],[Name]],Table211121642021222325343536[Name],Table211121642021222325343536[Points],"DNP",0,1)</f>
        <v>1</v>
      </c>
      <c r="S39">
        <f>_xlfn.XLOOKUP(Table16[[#This Row],[Name]],Table21112164202122232534353637[Name],Table21112164202122232534353637[Points],"DNP",0,1)</f>
        <v>1</v>
      </c>
      <c r="T39" t="str">
        <f>_xlfn.XLOOKUP(Table16[[#This Row],[Name]],Table2111216420212223253435363738[Name],Table2111216420212223253435363738[Points],"DNP",0,1)</f>
        <v>DNP</v>
      </c>
      <c r="U39">
        <f>_xlfn.XLOOKUP(Table16[[#This Row],[Name]],Table2111216420212223253435363739[Name],Table2111216420212223253435363739[Points],"DNP",0,1)</f>
        <v>10</v>
      </c>
      <c r="V39">
        <f>_xlfn.XLOOKUP(Table16[[#This Row],[Name]],Table211121642021222325343536373841[Name],Table211121642021222325343536373841[Points],"DNP",0,1)</f>
        <v>1</v>
      </c>
    </row>
    <row r="40" spans="2:22">
      <c r="B40" t="str">
        <f>IFERROR(Table5[[#This Row],[Full name]],"")</f>
        <v>Elliott Beames</v>
      </c>
      <c r="C40" s="68">
        <f>SUM(Table16[[#This Row],[September 30, 2025]:[Column18]])</f>
        <v>94</v>
      </c>
      <c r="D40" t="str">
        <f>_xlfn.XLOOKUP(Table16[[#This Row],[Name]],Table4[Name],Table4[Points],"DNP",0,1)</f>
        <v>DNP</v>
      </c>
      <c r="E40" t="str">
        <f>_xlfn.XLOOKUP(Table16[[#This Row],[Name]],Table9[Name],Table9[Points],"DNP",0,1)</f>
        <v>DNP</v>
      </c>
      <c r="F40" t="str">
        <f>_xlfn.XLOOKUP(Table16[[#This Row],[Name]],Table18[Name],Table18[Points],"DNP",0,1)</f>
        <v>DNP</v>
      </c>
      <c r="G40" t="str">
        <f>_xlfn.XLOOKUP(Table16[[#This Row],[Name]],Table2[Name],Table2[Points],"DNP",0,1)</f>
        <v>DNP</v>
      </c>
      <c r="H40">
        <f>_xlfn.XLOOKUP(Table16[[#This Row],[Name]],Table211[Name],Table211[Points],"DNP",0,1)</f>
        <v>8</v>
      </c>
      <c r="I40">
        <f>_xlfn.XLOOKUP(Table16[[#This Row],[Name]],Table21112[Name],Table21112[Points],"DNP",0,1)</f>
        <v>4</v>
      </c>
      <c r="J40">
        <f>_xlfn.XLOOKUP(Table16[[#This Row],[Name]],Table21112164[Name],Table21112164[Points],"DNP",0,1)</f>
        <v>2</v>
      </c>
      <c r="K40">
        <f>_xlfn.XLOOKUP(Table16[[#This Row],[Name]],Table2111216420[Name],Table2111216420[Points],"DNP",0,1)</f>
        <v>1</v>
      </c>
      <c r="L40">
        <f>_xlfn.XLOOKUP(Table16[[#This Row],[Name]],Table211121642021[Name],Table211121642021[Points],"DNP",0,1)</f>
        <v>50</v>
      </c>
      <c r="M40">
        <f>_xlfn.XLOOKUP(Table16[[#This Row],[Name]],Table21112164202122[Name],Table21112164202122[Points],"DNP",0,1)</f>
        <v>1</v>
      </c>
      <c r="N40">
        <f>_xlfn.XLOOKUP(Table16[[#This Row],[Name]],Table2111216420212223[Name],Table2111216420212223[Points],"DNP",0,1)</f>
        <v>4</v>
      </c>
      <c r="O40">
        <f>_xlfn.XLOOKUP(Table16[[#This Row],[Name]],Table211121642021222325[Name],Table211121642021222325[Points],"DNP",0,1)</f>
        <v>1</v>
      </c>
      <c r="P40">
        <f>_xlfn.XLOOKUP(Table16[[#This Row],[Name]],Table21112164202122232534[Name],Table21112164202122232534[Points],"DNP",0,1)</f>
        <v>8</v>
      </c>
      <c r="Q40">
        <f>_xlfn.XLOOKUP(Table16[[#This Row],[Name]],Table2111216420212223253435[Name],Table2111216420212223253435[Points],"DNP",0,1)</f>
        <v>1</v>
      </c>
      <c r="R40">
        <f>_xlfn.XLOOKUP(Table16[[#This Row],[Name]],Table211121642021222325343536[Name],Table211121642021222325343536[Points],"DNP",0,1)</f>
        <v>1</v>
      </c>
      <c r="S40">
        <f>_xlfn.XLOOKUP(Table16[[#This Row],[Name]],Table21112164202122232534353637[Name],Table21112164202122232534353637[Points],"DNP",0,1)</f>
        <v>1</v>
      </c>
      <c r="T40">
        <f>_xlfn.XLOOKUP(Table16[[#This Row],[Name]],Table2111216420212223253435363738[Name],Table2111216420212223253435363738[Points],"DNP",0,1)</f>
        <v>3</v>
      </c>
      <c r="U40">
        <f>_xlfn.XLOOKUP(Table16[[#This Row],[Name]],Table2111216420212223253435363739[Name],Table2111216420212223253435363739[Points],"DNP",0,1)</f>
        <v>1</v>
      </c>
      <c r="V40">
        <f>_xlfn.XLOOKUP(Table16[[#This Row],[Name]],Table211121642021222325343536373841[Name],Table211121642021222325343536373841[Points],"DNP",0,1)</f>
        <v>8</v>
      </c>
    </row>
    <row r="41" spans="2:22">
      <c r="B41" t="str">
        <f>IFERROR(Table5[[#This Row],[Full name]],"")</f>
        <v>Emma Sproxton</v>
      </c>
      <c r="C41" s="68">
        <f>SUM(Table16[[#This Row],[September 30, 2025]:[Column18]])</f>
        <v>39</v>
      </c>
      <c r="D41" t="str">
        <f>_xlfn.XLOOKUP(Table16[[#This Row],[Name]],Table4[Name],Table4[Points],"DNP",0,1)</f>
        <v>DNP</v>
      </c>
      <c r="E41" t="str">
        <f>_xlfn.XLOOKUP(Table16[[#This Row],[Name]],Table9[Name],Table9[Points],"DNP",0,1)</f>
        <v>DNP</v>
      </c>
      <c r="F41" t="str">
        <f>_xlfn.XLOOKUP(Table16[[#This Row],[Name]],Table18[Name],Table18[Points],"DNP",0,1)</f>
        <v>DNP</v>
      </c>
      <c r="G41">
        <f>_xlfn.XLOOKUP(Table16[[#This Row],[Name]],Table2[Name],Table2[Points],"DNP",0,1)</f>
        <v>1</v>
      </c>
      <c r="H41" t="str">
        <f>_xlfn.XLOOKUP(Table16[[#This Row],[Name]],Table211[Name],Table211[Points],"DNP",0,1)</f>
        <v>DNP</v>
      </c>
      <c r="I41" t="str">
        <f>_xlfn.XLOOKUP(Table16[[#This Row],[Name]],Table21112[Name],Table21112[Points],"DNP",0,1)</f>
        <v>DNP</v>
      </c>
      <c r="J41" t="str">
        <f>_xlfn.XLOOKUP(Table16[[#This Row],[Name]],Table21112164[Name],Table21112164[Points],"DNP",0,1)</f>
        <v>DNP</v>
      </c>
      <c r="K41" t="str">
        <f>_xlfn.XLOOKUP(Table16[[#This Row],[Name]],Table2111216420[Name],Table2111216420[Points],"DNP",0,1)</f>
        <v>DNP</v>
      </c>
      <c r="L41" t="str">
        <f>_xlfn.XLOOKUP(Table16[[#This Row],[Name]],Table211121642021[Name],Table211121642021[Points],"DNP",0,1)</f>
        <v>DNP</v>
      </c>
      <c r="M41" t="str">
        <f>_xlfn.XLOOKUP(Table16[[#This Row],[Name]],Table21112164202122[Name],Table21112164202122[Points],"DNP",0,1)</f>
        <v>DNP</v>
      </c>
      <c r="N41">
        <f>_xlfn.XLOOKUP(Table16[[#This Row],[Name]],Table2111216420212223[Name],Table2111216420212223[Points],"DNP",0,1)</f>
        <v>30</v>
      </c>
      <c r="O41">
        <f>_xlfn.XLOOKUP(Table16[[#This Row],[Name]],Table211121642021222325[Name],Table211121642021222325[Points],"DNP",0,1)</f>
        <v>3</v>
      </c>
      <c r="P41">
        <f>_xlfn.XLOOKUP(Table16[[#This Row],[Name]],Table21112164202122232534[Name],Table21112164202122232534[Points],"DNP",0,1)</f>
        <v>1</v>
      </c>
      <c r="Q41" t="str">
        <f>_xlfn.XLOOKUP(Table16[[#This Row],[Name]],Table2111216420212223253435[Name],Table2111216420212223253435[Points],"DNP",0,1)</f>
        <v>DNP</v>
      </c>
      <c r="R41">
        <f>_xlfn.XLOOKUP(Table16[[#This Row],[Name]],Table211121642021222325343536[Name],Table211121642021222325343536[Points],"DNP",0,1)</f>
        <v>1</v>
      </c>
      <c r="S41" t="str">
        <f>_xlfn.XLOOKUP(Table16[[#This Row],[Name]],Table21112164202122232534353637[Name],Table21112164202122232534353637[Points],"DNP",0,1)</f>
        <v>DNP</v>
      </c>
      <c r="T41">
        <f>_xlfn.XLOOKUP(Table16[[#This Row],[Name]],Table2111216420212223253435363738[Name],Table2111216420212223253435363738[Points],"DNP",0,1)</f>
        <v>1</v>
      </c>
      <c r="U41">
        <f>_xlfn.XLOOKUP(Table16[[#This Row],[Name]],Table2111216420212223253435363739[Name],Table2111216420212223253435363739[Points],"DNP",0,1)</f>
        <v>1</v>
      </c>
      <c r="V41">
        <f>_xlfn.XLOOKUP(Table16[[#This Row],[Name]],Table211121642021222325343536373841[Name],Table211121642021222325343536373841[Points],"DNP",0,1)</f>
        <v>1</v>
      </c>
    </row>
    <row r="42" spans="2:22">
      <c r="B42" t="str">
        <f>IFERROR(Table5[[#This Row],[Full name]],"")</f>
        <v>Forrest Hermary</v>
      </c>
      <c r="C42" s="68">
        <f>SUM(Table16[[#This Row],[September 30, 2025]:[Column18]])</f>
        <v>14</v>
      </c>
      <c r="D42">
        <f>_xlfn.XLOOKUP(Table16[[#This Row],[Name]],Table4[Name],Table4[Points],"DNP",0,1)</f>
        <v>2</v>
      </c>
      <c r="E42">
        <f>_xlfn.XLOOKUP(Table16[[#This Row],[Name]],Table9[Name],Table9[Points],"DNP",0,1)</f>
        <v>8</v>
      </c>
      <c r="F42" t="str">
        <f>_xlfn.XLOOKUP(Table16[[#This Row],[Name]],Table18[Name],Table18[Points],"DNP",0,1)</f>
        <v>DNP</v>
      </c>
      <c r="G42" t="str">
        <f>_xlfn.XLOOKUP(Table16[[#This Row],[Name]],Table2[Name],Table2[Points],"DNP",0,1)</f>
        <v>DNP</v>
      </c>
      <c r="H42">
        <f>_xlfn.XLOOKUP(Table16[[#This Row],[Name]],Table211[Name],Table211[Points],"DNP",0,1)</f>
        <v>1</v>
      </c>
      <c r="I42" t="str">
        <f>_xlfn.XLOOKUP(Table16[[#This Row],[Name]],Table21112[Name],Table21112[Points],"DNP",0,1)</f>
        <v>DNP</v>
      </c>
      <c r="J42">
        <f>_xlfn.XLOOKUP(Table16[[#This Row],[Name]],Table21112164[Name],Table21112164[Points],"DNP",0,1)</f>
        <v>1</v>
      </c>
      <c r="K42">
        <f>_xlfn.XLOOKUP(Table16[[#This Row],[Name]],Table2111216420[Name],Table2111216420[Points],"DNP",0,1)</f>
        <v>1</v>
      </c>
      <c r="L42" t="str">
        <f>_xlfn.XLOOKUP(Table16[[#This Row],[Name]],Table211121642021[Name],Table211121642021[Points],"DNP",0,1)</f>
        <v>DNP</v>
      </c>
      <c r="M42">
        <f>_xlfn.XLOOKUP(Table16[[#This Row],[Name]],Table21112164202122[Name],Table21112164202122[Points],"DNP",0,1)</f>
        <v>1</v>
      </c>
      <c r="N42" t="str">
        <f>_xlfn.XLOOKUP(Table16[[#This Row],[Name]],Table2111216420212223[Name],Table2111216420212223[Points],"DNP",0,1)</f>
        <v>DNP</v>
      </c>
      <c r="O42" t="str">
        <f>_xlfn.XLOOKUP(Table16[[#This Row],[Name]],Table211121642021222325[Name],Table211121642021222325[Points],"DNP",0,1)</f>
        <v>DNP</v>
      </c>
      <c r="P42" t="str">
        <f>_xlfn.XLOOKUP(Table16[[#This Row],[Name]],Table21112164202122232534[Name],Table21112164202122232534[Points],"DNP",0,1)</f>
        <v>DNP</v>
      </c>
      <c r="Q42" t="str">
        <f>_xlfn.XLOOKUP(Table16[[#This Row],[Name]],Table2111216420212223253435[Name],Table2111216420212223253435[Points],"DNP",0,1)</f>
        <v>DNP</v>
      </c>
      <c r="R42" t="str">
        <f>_xlfn.XLOOKUP(Table16[[#This Row],[Name]],Table211121642021222325343536[Name],Table211121642021222325343536[Points],"DNP",0,1)</f>
        <v>DNP</v>
      </c>
      <c r="S42" t="str">
        <f>_xlfn.XLOOKUP(Table16[[#This Row],[Name]],Table21112164202122232534353637[Name],Table21112164202122232534353637[Points],"DNP",0,1)</f>
        <v>DNP</v>
      </c>
      <c r="T42" t="str">
        <f>_xlfn.XLOOKUP(Table16[[#This Row],[Name]],Table2111216420212223253435363738[Name],Table2111216420212223253435363738[Points],"DNP",0,1)</f>
        <v>DNP</v>
      </c>
      <c r="U42" t="str">
        <f>_xlfn.XLOOKUP(Table16[[#This Row],[Name]],Table2111216420212223253435363739[Name],Table2111216420212223253435363739[Points],"DNP",0,1)</f>
        <v>DNP</v>
      </c>
      <c r="V42" t="str">
        <f>_xlfn.XLOOKUP(Table16[[#This Row],[Name]],Table211121642021222325343536373841[Name],Table211121642021222325343536373841[Points],"DNP",0,1)</f>
        <v>DNP</v>
      </c>
    </row>
    <row r="43" spans="2:22">
      <c r="B43" t="str">
        <f>IFERROR(Table5[[#This Row],[Full name]],"")</f>
        <v>Hao Bai</v>
      </c>
      <c r="C43" s="68">
        <f>SUM(Table16[[#This Row],[September 30, 2025]:[Column18]])</f>
        <v>10</v>
      </c>
      <c r="D43" t="str">
        <f>_xlfn.XLOOKUP(Table16[[#This Row],[Name]],Table4[Name],Table4[Points],"DNP",0,1)</f>
        <v>DNP</v>
      </c>
      <c r="E43" t="str">
        <f>_xlfn.XLOOKUP(Table16[[#This Row],[Name]],Table9[Name],Table9[Points],"DNP",0,1)</f>
        <v>DNP</v>
      </c>
      <c r="F43" t="str">
        <f>_xlfn.XLOOKUP(Table16[[#This Row],[Name]],Table18[Name],Table18[Points],"DNP",0,1)</f>
        <v>DNP</v>
      </c>
      <c r="G43" t="str">
        <f>_xlfn.XLOOKUP(Table16[[#This Row],[Name]],Table2[Name],Table2[Points],"DNP",0,1)</f>
        <v>DNP</v>
      </c>
      <c r="H43">
        <f>_xlfn.XLOOKUP(Table16[[#This Row],[Name]],Table211[Name],Table211[Points],"DNP",0,1)</f>
        <v>1</v>
      </c>
      <c r="I43">
        <f>_xlfn.XLOOKUP(Table16[[#This Row],[Name]],Table21112[Name],Table21112[Points],"DNP",0,1)</f>
        <v>2</v>
      </c>
      <c r="J43">
        <f>_xlfn.XLOOKUP(Table16[[#This Row],[Name]],Table21112164[Name],Table21112164[Points],"DNP",0,1)</f>
        <v>1</v>
      </c>
      <c r="K43">
        <f>_xlfn.XLOOKUP(Table16[[#This Row],[Name]],Table2111216420[Name],Table2111216420[Points],"DNP",0,1)</f>
        <v>1</v>
      </c>
      <c r="L43">
        <f>_xlfn.XLOOKUP(Table16[[#This Row],[Name]],Table211121642021[Name],Table211121642021[Points],"DNP",0,1)</f>
        <v>1</v>
      </c>
      <c r="M43">
        <f>_xlfn.XLOOKUP(Table16[[#This Row],[Name]],Table21112164202122[Name],Table21112164202122[Points],"DNP",0,1)</f>
        <v>4</v>
      </c>
      <c r="N43" t="str">
        <f>_xlfn.XLOOKUP(Table16[[#This Row],[Name]],Table2111216420212223[Name],Table2111216420212223[Points],"DNP",0,1)</f>
        <v>DNP</v>
      </c>
      <c r="O43" t="str">
        <f>_xlfn.XLOOKUP(Table16[[#This Row],[Name]],Table211121642021222325[Name],Table211121642021222325[Points],"DNP",0,1)</f>
        <v>DNP</v>
      </c>
      <c r="P43" t="str">
        <f>_xlfn.XLOOKUP(Table16[[#This Row],[Name]],Table21112164202122232534[Name],Table21112164202122232534[Points],"DNP",0,1)</f>
        <v>DNP</v>
      </c>
      <c r="Q43" t="str">
        <f>_xlfn.XLOOKUP(Table16[[#This Row],[Name]],Table2111216420212223253435[Name],Table2111216420212223253435[Points],"DNP",0,1)</f>
        <v>DNP</v>
      </c>
      <c r="R43" t="str">
        <f>_xlfn.XLOOKUP(Table16[[#This Row],[Name]],Table211121642021222325343536[Name],Table211121642021222325343536[Points],"DNP",0,1)</f>
        <v>DNP</v>
      </c>
      <c r="S43" t="str">
        <f>_xlfn.XLOOKUP(Table16[[#This Row],[Name]],Table21112164202122232534353637[Name],Table21112164202122232534353637[Points],"DNP",0,1)</f>
        <v>DNP</v>
      </c>
      <c r="T43" t="str">
        <f>_xlfn.XLOOKUP(Table16[[#This Row],[Name]],Table2111216420212223253435363738[Name],Table2111216420212223253435363738[Points],"DNP",0,1)</f>
        <v>DNP</v>
      </c>
      <c r="U43" t="str">
        <f>_xlfn.XLOOKUP(Table16[[#This Row],[Name]],Table2111216420212223253435363739[Name],Table2111216420212223253435363739[Points],"DNP",0,1)</f>
        <v>DNP</v>
      </c>
      <c r="V43" t="str">
        <f>_xlfn.XLOOKUP(Table16[[#This Row],[Name]],Table211121642021222325343536373841[Name],Table211121642021222325343536373841[Points],"DNP",0,1)</f>
        <v>DNP</v>
      </c>
    </row>
    <row r="44" spans="2:22">
      <c r="B44" t="str">
        <f>IFERROR(Table5[[#This Row],[Full name]],"")</f>
        <v>Himaksh Talreja</v>
      </c>
      <c r="C44" s="68">
        <f>SUM(Table16[[#This Row],[September 30, 2025]:[Column18]])</f>
        <v>6</v>
      </c>
      <c r="D44">
        <f>_xlfn.XLOOKUP(Table16[[#This Row],[Name]],Table4[Name],Table4[Points],"DNP",0,1)</f>
        <v>2</v>
      </c>
      <c r="E44" t="str">
        <f>_xlfn.XLOOKUP(Table16[[#This Row],[Name]],Table9[Name],Table9[Points],"DNP",0,1)</f>
        <v>DNP</v>
      </c>
      <c r="F44" t="str">
        <f>_xlfn.XLOOKUP(Table16[[#This Row],[Name]],Table18[Name],Table18[Points],"DNP",0,1)</f>
        <v>DNP</v>
      </c>
      <c r="G44" t="str">
        <f>_xlfn.XLOOKUP(Table16[[#This Row],[Name]],Table2[Name],Table2[Points],"DNP",0,1)</f>
        <v>DNP</v>
      </c>
      <c r="H44" t="str">
        <f>_xlfn.XLOOKUP(Table16[[#This Row],[Name]],Table211[Name],Table211[Points],"DNP",0,1)</f>
        <v>DNP</v>
      </c>
      <c r="I44" t="str">
        <f>_xlfn.XLOOKUP(Table16[[#This Row],[Name]],Table21112[Name],Table21112[Points],"DNP",0,1)</f>
        <v>DNP</v>
      </c>
      <c r="J44">
        <f>_xlfn.XLOOKUP(Table16[[#This Row],[Name]],Table21112164[Name],Table21112164[Points],"DNP",0,1)</f>
        <v>1</v>
      </c>
      <c r="K44" t="str">
        <f>_xlfn.XLOOKUP(Table16[[#This Row],[Name]],Table2111216420[Name],Table2111216420[Points],"DNP",0,1)</f>
        <v>DNP</v>
      </c>
      <c r="L44" t="str">
        <f>_xlfn.XLOOKUP(Table16[[#This Row],[Name]],Table211121642021[Name],Table211121642021[Points],"DNP",0,1)</f>
        <v>DNP</v>
      </c>
      <c r="M44" t="str">
        <f>_xlfn.XLOOKUP(Table16[[#This Row],[Name]],Table21112164202122[Name],Table21112164202122[Points],"DNP",0,1)</f>
        <v>DNP</v>
      </c>
      <c r="N44">
        <f>_xlfn.XLOOKUP(Table16[[#This Row],[Name]],Table2111216420212223[Name],Table2111216420212223[Points],"DNP",0,1)</f>
        <v>1</v>
      </c>
      <c r="O44" t="str">
        <f>_xlfn.XLOOKUP(Table16[[#This Row],[Name]],Table211121642021222325[Name],Table211121642021222325[Points],"DNP",0,1)</f>
        <v>DNP</v>
      </c>
      <c r="P44" t="str">
        <f>_xlfn.XLOOKUP(Table16[[#This Row],[Name]],Table21112164202122232534[Name],Table21112164202122232534[Points],"DNP",0,1)</f>
        <v>DNP</v>
      </c>
      <c r="Q44" t="str">
        <f>_xlfn.XLOOKUP(Table16[[#This Row],[Name]],Table2111216420212223253435[Name],Table2111216420212223253435[Points],"DNP",0,1)</f>
        <v>DNP</v>
      </c>
      <c r="R44" t="str">
        <f>_xlfn.XLOOKUP(Table16[[#This Row],[Name]],Table211121642021222325343536[Name],Table211121642021222325343536[Points],"DNP",0,1)</f>
        <v>DNP</v>
      </c>
      <c r="S44" t="str">
        <f>_xlfn.XLOOKUP(Table16[[#This Row],[Name]],Table21112164202122232534353637[Name],Table21112164202122232534353637[Points],"DNP",0,1)</f>
        <v>DNP</v>
      </c>
      <c r="T44">
        <f>_xlfn.XLOOKUP(Table16[[#This Row],[Name]],Table2111216420212223253435363738[Name],Table2111216420212223253435363738[Points],"DNP",0,1)</f>
        <v>1</v>
      </c>
      <c r="U44">
        <f>_xlfn.XLOOKUP(Table16[[#This Row],[Name]],Table2111216420212223253435363739[Name],Table2111216420212223253435363739[Points],"DNP",0,1)</f>
        <v>1</v>
      </c>
      <c r="V44" t="str">
        <f>_xlfn.XLOOKUP(Table16[[#This Row],[Name]],Table211121642021222325343536373841[Name],Table211121642021222325343536373841[Points],"DNP",0,1)</f>
        <v>DNP</v>
      </c>
    </row>
    <row r="45" spans="2:22">
      <c r="B45" t="str">
        <f>IFERROR(Table5[[#This Row],[Full name]],"")</f>
        <v>James Kilfoil</v>
      </c>
      <c r="C45" s="68">
        <f>SUM(Table16[[#This Row],[September 30, 2025]:[Column18]])</f>
        <v>13</v>
      </c>
      <c r="D45">
        <f>_xlfn.XLOOKUP(Table16[[#This Row],[Name]],Table4[Name],Table4[Points],"DNP",0,1)</f>
        <v>10</v>
      </c>
      <c r="E45" t="str">
        <f>_xlfn.XLOOKUP(Table16[[#This Row],[Name]],Table9[Name],Table9[Points],"DNP",0,1)</f>
        <v>DNP</v>
      </c>
      <c r="F45" t="str">
        <f>_xlfn.XLOOKUP(Table16[[#This Row],[Name]],Table18[Name],Table18[Points],"DNP",0,1)</f>
        <v>DNP</v>
      </c>
      <c r="G45" t="str">
        <f>_xlfn.XLOOKUP(Table16[[#This Row],[Name]],Table2[Name],Table2[Points],"DNP",0,1)</f>
        <v>DNP</v>
      </c>
      <c r="H45" t="str">
        <f>_xlfn.XLOOKUP(Table16[[#This Row],[Name]],Table211[Name],Table211[Points],"DNP",0,1)</f>
        <v>DNP</v>
      </c>
      <c r="I45" t="str">
        <f>_xlfn.XLOOKUP(Table16[[#This Row],[Name]],Table21112[Name],Table21112[Points],"DNP",0,1)</f>
        <v>DNP</v>
      </c>
      <c r="J45">
        <f>_xlfn.XLOOKUP(Table16[[#This Row],[Name]],Table21112164[Name],Table21112164[Points],"DNP",0,1)</f>
        <v>1</v>
      </c>
      <c r="K45" t="str">
        <f>_xlfn.XLOOKUP(Table16[[#This Row],[Name]],Table2111216420[Name],Table2111216420[Points],"DNP",0,1)</f>
        <v>DNP</v>
      </c>
      <c r="L45">
        <f>_xlfn.XLOOKUP(Table16[[#This Row],[Name]],Table211121642021[Name],Table211121642021[Points],"DNP",0,1)</f>
        <v>1</v>
      </c>
      <c r="M45" t="str">
        <f>_xlfn.XLOOKUP(Table16[[#This Row],[Name]],Table21112164202122[Name],Table21112164202122[Points],"DNP",0,1)</f>
        <v>DNP</v>
      </c>
      <c r="N45">
        <f>_xlfn.XLOOKUP(Table16[[#This Row],[Name]],Table2111216420212223[Name],Table2111216420212223[Points],"DNP",0,1)</f>
        <v>1</v>
      </c>
      <c r="O45" t="str">
        <f>_xlfn.XLOOKUP(Table16[[#This Row],[Name]],Table211121642021222325[Name],Table211121642021222325[Points],"DNP",0,1)</f>
        <v>DNP</v>
      </c>
      <c r="P45" t="str">
        <f>_xlfn.XLOOKUP(Table16[[#This Row],[Name]],Table21112164202122232534[Name],Table21112164202122232534[Points],"DNP",0,1)</f>
        <v>DNP</v>
      </c>
      <c r="Q45" t="str">
        <f>_xlfn.XLOOKUP(Table16[[#This Row],[Name]],Table2111216420212223253435[Name],Table2111216420212223253435[Points],"DNP",0,1)</f>
        <v>DNP</v>
      </c>
      <c r="R45" t="str">
        <f>_xlfn.XLOOKUP(Table16[[#This Row],[Name]],Table211121642021222325343536[Name],Table211121642021222325343536[Points],"DNP",0,1)</f>
        <v>DNP</v>
      </c>
      <c r="S45" t="str">
        <f>_xlfn.XLOOKUP(Table16[[#This Row],[Name]],Table21112164202122232534353637[Name],Table21112164202122232534353637[Points],"DNP",0,1)</f>
        <v>DNP</v>
      </c>
      <c r="T45" t="str">
        <f>_xlfn.XLOOKUP(Table16[[#This Row],[Name]],Table2111216420212223253435363738[Name],Table2111216420212223253435363738[Points],"DNP",0,1)</f>
        <v>DNP</v>
      </c>
      <c r="U45" t="str">
        <f>_xlfn.XLOOKUP(Table16[[#This Row],[Name]],Table2111216420212223253435363739[Name],Table2111216420212223253435363739[Points],"DNP",0,1)</f>
        <v>DNP</v>
      </c>
      <c r="V45" t="str">
        <f>_xlfn.XLOOKUP(Table16[[#This Row],[Name]],Table211121642021222325343536373841[Name],Table211121642021222325343536373841[Points],"DNP",0,1)</f>
        <v>DNP</v>
      </c>
    </row>
    <row r="46" spans="2:22">
      <c r="B46" t="str">
        <f>IFERROR(Table5[[#This Row],[Full name]],"")</f>
        <v>Jared Lipski</v>
      </c>
      <c r="C46" s="68">
        <f>SUM(Table16[[#This Row],[September 30, 2025]:[Column18]])</f>
        <v>18</v>
      </c>
      <c r="D46">
        <f>_xlfn.XLOOKUP(Table16[[#This Row],[Name]],Table4[Name],Table4[Points],"DNP",0,1)</f>
        <v>2</v>
      </c>
      <c r="E46">
        <f>_xlfn.XLOOKUP(Table16[[#This Row],[Name]],Table9[Name],Table9[Points],"DNP",0,1)</f>
        <v>1</v>
      </c>
      <c r="F46" t="str">
        <f>_xlfn.XLOOKUP(Table16[[#This Row],[Name]],Table18[Name],Table18[Points],"DNP",0,1)</f>
        <v>DNP</v>
      </c>
      <c r="G46" t="str">
        <f>_xlfn.XLOOKUP(Table16[[#This Row],[Name]],Table2[Name],Table2[Points],"DNP",0,1)</f>
        <v>DNP</v>
      </c>
      <c r="H46" t="str">
        <f>_xlfn.XLOOKUP(Table16[[#This Row],[Name]],Table211[Name],Table211[Points],"DNP",0,1)</f>
        <v>DNP</v>
      </c>
      <c r="I46">
        <f>_xlfn.XLOOKUP(Table16[[#This Row],[Name]],Table21112[Name],Table21112[Points],"DNP",0,1)</f>
        <v>1</v>
      </c>
      <c r="J46" t="str">
        <f>_xlfn.XLOOKUP(Table16[[#This Row],[Name]],Table21112164[Name],Table21112164[Points],"DNP",0,1)</f>
        <v>DNP</v>
      </c>
      <c r="K46" t="str">
        <f>_xlfn.XLOOKUP(Table16[[#This Row],[Name]],Table2111216420[Name],Table2111216420[Points],"DNP",0,1)</f>
        <v>DNP</v>
      </c>
      <c r="L46">
        <f>_xlfn.XLOOKUP(Table16[[#This Row],[Name]],Table211121642021[Name],Table211121642021[Points],"DNP",0,1)</f>
        <v>1</v>
      </c>
      <c r="M46" t="str">
        <f>_xlfn.XLOOKUP(Table16[[#This Row],[Name]],Table21112164202122[Name],Table21112164202122[Points],"DNP",0,1)</f>
        <v>DNP</v>
      </c>
      <c r="N46">
        <f>_xlfn.XLOOKUP(Table16[[#This Row],[Name]],Table2111216420212223[Name],Table2111216420212223[Points],"DNP",0,1)</f>
        <v>2</v>
      </c>
      <c r="O46">
        <f>_xlfn.XLOOKUP(Table16[[#This Row],[Name]],Table211121642021222325[Name],Table211121642021222325[Points],"DNP",0,1)</f>
        <v>2</v>
      </c>
      <c r="P46">
        <f>_xlfn.XLOOKUP(Table16[[#This Row],[Name]],Table21112164202122232534[Name],Table21112164202122232534[Points],"DNP",0,1)</f>
        <v>1</v>
      </c>
      <c r="Q46" t="str">
        <f>_xlfn.XLOOKUP(Table16[[#This Row],[Name]],Table2111216420212223253435[Name],Table2111216420212223253435[Points],"DNP",0,1)</f>
        <v>DNP</v>
      </c>
      <c r="R46" t="str">
        <f>_xlfn.XLOOKUP(Table16[[#This Row],[Name]],Table211121642021222325343536[Name],Table211121642021222325343536[Points],"DNP",0,1)</f>
        <v>DNP</v>
      </c>
      <c r="S46" t="str">
        <f>_xlfn.XLOOKUP(Table16[[#This Row],[Name]],Table21112164202122232534353637[Name],Table21112164202122232534353637[Points],"DNP",0,1)</f>
        <v>DNP</v>
      </c>
      <c r="T46">
        <f>_xlfn.XLOOKUP(Table16[[#This Row],[Name]],Table2111216420212223253435363738[Name],Table2111216420212223253435363738[Points],"DNP",0,1)</f>
        <v>4</v>
      </c>
      <c r="U46">
        <f>_xlfn.XLOOKUP(Table16[[#This Row],[Name]],Table2111216420212223253435363739[Name],Table2111216420212223253435363739[Points],"DNP",0,1)</f>
        <v>4</v>
      </c>
      <c r="V46" t="str">
        <f>_xlfn.XLOOKUP(Table16[[#This Row],[Name]],Table211121642021222325343536373841[Name],Table211121642021222325343536373841[Points],"DNP",0,1)</f>
        <v>DNP</v>
      </c>
    </row>
    <row r="47" spans="2:22">
      <c r="B47" t="str">
        <f>IFERROR(Table5[[#This Row],[Full name]],"")</f>
        <v>Jayden Agarwal</v>
      </c>
      <c r="C47" s="68">
        <f>SUM(Table16[[#This Row],[September 30, 2025]:[Column18]])</f>
        <v>2</v>
      </c>
      <c r="D47" t="str">
        <f>_xlfn.XLOOKUP(Table16[[#This Row],[Name]],Table4[Name],Table4[Points],"DNP",0,1)</f>
        <v>DNP</v>
      </c>
      <c r="E47">
        <f>_xlfn.XLOOKUP(Table16[[#This Row],[Name]],Table9[Name],Table9[Points],"DNP",0,1)</f>
        <v>1</v>
      </c>
      <c r="F47" t="str">
        <f>_xlfn.XLOOKUP(Table16[[#This Row],[Name]],Table18[Name],Table18[Points],"DNP",0,1)</f>
        <v>DNP</v>
      </c>
      <c r="G47" t="str">
        <f>_xlfn.XLOOKUP(Table16[[#This Row],[Name]],Table2[Name],Table2[Points],"DNP",0,1)</f>
        <v>DNP</v>
      </c>
      <c r="H47">
        <f>_xlfn.XLOOKUP(Table16[[#This Row],[Name]],Table211[Name],Table211[Points],"DNP",0,1)</f>
        <v>1</v>
      </c>
      <c r="I47" t="str">
        <f>_xlfn.XLOOKUP(Table16[[#This Row],[Name]],Table21112[Name],Table21112[Points],"DNP",0,1)</f>
        <v>DNP</v>
      </c>
      <c r="J47" t="str">
        <f>_xlfn.XLOOKUP(Table16[[#This Row],[Name]],Table21112164[Name],Table21112164[Points],"DNP",0,1)</f>
        <v>DNP</v>
      </c>
      <c r="K47" t="str">
        <f>_xlfn.XLOOKUP(Table16[[#This Row],[Name]],Table2111216420[Name],Table2111216420[Points],"DNP",0,1)</f>
        <v>DNP</v>
      </c>
      <c r="L47" t="str">
        <f>_xlfn.XLOOKUP(Table16[[#This Row],[Name]],Table211121642021[Name],Table211121642021[Points],"DNP",0,1)</f>
        <v>DNP</v>
      </c>
      <c r="M47" t="str">
        <f>_xlfn.XLOOKUP(Table16[[#This Row],[Name]],Table21112164202122[Name],Table21112164202122[Points],"DNP",0,1)</f>
        <v>DNP</v>
      </c>
      <c r="N47" t="str">
        <f>_xlfn.XLOOKUP(Table16[[#This Row],[Name]],Table2111216420212223[Name],Table2111216420212223[Points],"DNP",0,1)</f>
        <v>DNP</v>
      </c>
      <c r="O47" t="str">
        <f>_xlfn.XLOOKUP(Table16[[#This Row],[Name]],Table211121642021222325[Name],Table211121642021222325[Points],"DNP",0,1)</f>
        <v>DNP</v>
      </c>
      <c r="P47" t="str">
        <f>_xlfn.XLOOKUP(Table16[[#This Row],[Name]],Table21112164202122232534[Name],Table21112164202122232534[Points],"DNP",0,1)</f>
        <v>DNP</v>
      </c>
      <c r="Q47" t="str">
        <f>_xlfn.XLOOKUP(Table16[[#This Row],[Name]],Table2111216420212223253435[Name],Table2111216420212223253435[Points],"DNP",0,1)</f>
        <v>DNP</v>
      </c>
      <c r="R47" t="str">
        <f>_xlfn.XLOOKUP(Table16[[#This Row],[Name]],Table211121642021222325343536[Name],Table211121642021222325343536[Points],"DNP",0,1)</f>
        <v>DNP</v>
      </c>
      <c r="S47" t="str">
        <f>_xlfn.XLOOKUP(Table16[[#This Row],[Name]],Table21112164202122232534353637[Name],Table21112164202122232534353637[Points],"DNP",0,1)</f>
        <v>DNP</v>
      </c>
      <c r="T47" t="str">
        <f>_xlfn.XLOOKUP(Table16[[#This Row],[Name]],Table2111216420212223253435363738[Name],Table2111216420212223253435363738[Points],"DNP",0,1)</f>
        <v>DNP</v>
      </c>
      <c r="U47" t="str">
        <f>_xlfn.XLOOKUP(Table16[[#This Row],[Name]],Table2111216420212223253435363739[Name],Table2111216420212223253435363739[Points],"DNP",0,1)</f>
        <v>DNP</v>
      </c>
      <c r="V47" t="str">
        <f>_xlfn.XLOOKUP(Table16[[#This Row],[Name]],Table211121642021222325343536373841[Name],Table211121642021222325343536373841[Points],"DNP",0,1)</f>
        <v>DNP</v>
      </c>
    </row>
    <row r="48" spans="2:22">
      <c r="B48" t="str">
        <f>IFERROR(Table5[[#This Row],[Full name]],"")</f>
        <v>Marcus Athwal</v>
      </c>
      <c r="C48" s="68">
        <f>SUM(Table16[[#This Row],[September 30, 2025]:[Column18]])</f>
        <v>55</v>
      </c>
      <c r="D48">
        <f>_xlfn.XLOOKUP(Table16[[#This Row],[Name]],Table4[Name],Table4[Points],"DNP",0,1)</f>
        <v>2</v>
      </c>
      <c r="E48">
        <f>_xlfn.XLOOKUP(Table16[[#This Row],[Name]],Table9[Name],Table9[Points],"DNP",0,1)</f>
        <v>1</v>
      </c>
      <c r="F48">
        <f>_xlfn.XLOOKUP(Table16[[#This Row],[Name]],Table18[Name],Table18[Points],"DNP",0,1)</f>
        <v>10</v>
      </c>
      <c r="G48">
        <f>_xlfn.XLOOKUP(Table16[[#This Row],[Name]],Table2[Name],Table2[Points],"DNP",0,1)</f>
        <v>4</v>
      </c>
      <c r="H48" t="str">
        <f>_xlfn.XLOOKUP(Table16[[#This Row],[Name]],Table211[Name],Table211[Points],"DNP",0,1)</f>
        <v>DNP</v>
      </c>
      <c r="I48">
        <f>_xlfn.XLOOKUP(Table16[[#This Row],[Name]],Table21112[Name],Table21112[Points],"DNP",0,1)</f>
        <v>2</v>
      </c>
      <c r="J48">
        <f>_xlfn.XLOOKUP(Table16[[#This Row],[Name]],Table21112164[Name],Table21112164[Points],"DNP",0,1)</f>
        <v>3</v>
      </c>
      <c r="K48">
        <f>_xlfn.XLOOKUP(Table16[[#This Row],[Name]],Table2111216420[Name],Table2111216420[Points],"DNP",0,1)</f>
        <v>2</v>
      </c>
      <c r="L48" t="str">
        <f>_xlfn.XLOOKUP(Table16[[#This Row],[Name]],Table211121642021[Name],Table211121642021[Points],"DNP",0,1)</f>
        <v>DNP</v>
      </c>
      <c r="M48" t="str">
        <f>_xlfn.XLOOKUP(Table16[[#This Row],[Name]],Table21112164202122[Name],Table21112164202122[Points],"DNP",0,1)</f>
        <v>DNP</v>
      </c>
      <c r="N48">
        <f>_xlfn.XLOOKUP(Table16[[#This Row],[Name]],Table2111216420212223[Name],Table2111216420212223[Points],"DNP",0,1)</f>
        <v>2</v>
      </c>
      <c r="O48">
        <f>_xlfn.XLOOKUP(Table16[[#This Row],[Name]],Table211121642021222325[Name],Table211121642021222325[Points],"DNP",0,1)</f>
        <v>4</v>
      </c>
      <c r="P48">
        <f>_xlfn.XLOOKUP(Table16[[#This Row],[Name]],Table21112164202122232534[Name],Table21112164202122232534[Points],"DNP",0,1)</f>
        <v>8</v>
      </c>
      <c r="Q48">
        <f>_xlfn.XLOOKUP(Table16[[#This Row],[Name]],Table2111216420212223253435[Name],Table2111216420212223253435[Points],"DNP",0,1)</f>
        <v>2</v>
      </c>
      <c r="R48">
        <f>_xlfn.XLOOKUP(Table16[[#This Row],[Name]],Table211121642021222325343536[Name],Table211121642021222325343536[Points],"DNP",0,1)</f>
        <v>1</v>
      </c>
      <c r="S48">
        <f>_xlfn.XLOOKUP(Table16[[#This Row],[Name]],Table21112164202122232534353637[Name],Table21112164202122232534353637[Points],"DNP",0,1)</f>
        <v>4</v>
      </c>
      <c r="T48">
        <f>_xlfn.XLOOKUP(Table16[[#This Row],[Name]],Table2111216420212223253435363738[Name],Table2111216420212223253435363738[Points],"DNP",0,1)</f>
        <v>2</v>
      </c>
      <c r="U48">
        <f>_xlfn.XLOOKUP(Table16[[#This Row],[Name]],Table2111216420212223253435363739[Name],Table2111216420212223253435363739[Points],"DNP",0,1)</f>
        <v>4</v>
      </c>
      <c r="V48">
        <f>_xlfn.XLOOKUP(Table16[[#This Row],[Name]],Table211121642021222325343536373841[Name],Table211121642021222325343536373841[Points],"DNP",0,1)</f>
        <v>4</v>
      </c>
    </row>
    <row r="49" spans="2:22">
      <c r="B49" t="str">
        <f>IFERROR(Table5[[#This Row],[Full name]],"")</f>
        <v>Matthew Pape</v>
      </c>
      <c r="C49" s="68">
        <f>SUM(Table16[[#This Row],[September 30, 2025]:[Column18]])</f>
        <v>58</v>
      </c>
      <c r="D49">
        <f>_xlfn.XLOOKUP(Table16[[#This Row],[Name]],Table4[Name],Table4[Points],"DNP",0,1)</f>
        <v>1</v>
      </c>
      <c r="E49">
        <f>_xlfn.XLOOKUP(Table16[[#This Row],[Name]],Table9[Name],Table9[Points],"DNP",0,1)</f>
        <v>4</v>
      </c>
      <c r="F49" t="str">
        <f>_xlfn.XLOOKUP(Table16[[#This Row],[Name]],Table18[Name],Table18[Points],"DNP",0,1)</f>
        <v>DNP</v>
      </c>
      <c r="G49" t="str">
        <f>_xlfn.XLOOKUP(Table16[[#This Row],[Name]],Table2[Name],Table2[Points],"DNP",0,1)</f>
        <v>DNP</v>
      </c>
      <c r="H49">
        <f>_xlfn.XLOOKUP(Table16[[#This Row],[Name]],Table211[Name],Table211[Points],"DNP",0,1)</f>
        <v>2</v>
      </c>
      <c r="I49" t="str">
        <f>_xlfn.XLOOKUP(Table16[[#This Row],[Name]],Table21112[Name],Table21112[Points],"DNP",0,1)</f>
        <v>DNP</v>
      </c>
      <c r="J49">
        <f>_xlfn.XLOOKUP(Table16[[#This Row],[Name]],Table21112164[Name],Table21112164[Points],"DNP",0,1)</f>
        <v>1</v>
      </c>
      <c r="K49" t="str">
        <f>_xlfn.XLOOKUP(Table16[[#This Row],[Name]],Table2111216420[Name],Table2111216420[Points],"DNP",0,1)</f>
        <v>DNP</v>
      </c>
      <c r="L49">
        <f>_xlfn.XLOOKUP(Table16[[#This Row],[Name]],Table211121642021[Name],Table211121642021[Points],"DNP",0,1)</f>
        <v>1</v>
      </c>
      <c r="M49" t="str">
        <f>_xlfn.XLOOKUP(Table16[[#This Row],[Name]],Table21112164202122[Name],Table21112164202122[Points],"DNP",0,1)</f>
        <v>DNP</v>
      </c>
      <c r="N49">
        <f>_xlfn.XLOOKUP(Table16[[#This Row],[Name]],Table2111216420212223[Name],Table2111216420212223[Points],"DNP",0,1)</f>
        <v>1</v>
      </c>
      <c r="O49">
        <f>_xlfn.XLOOKUP(Table16[[#This Row],[Name]],Table211121642021222325[Name],Table211121642021222325[Points],"DNP",0,1)</f>
        <v>38</v>
      </c>
      <c r="P49" t="str">
        <f>_xlfn.XLOOKUP(Table16[[#This Row],[Name]],Table21112164202122232534[Name],Table21112164202122232534[Points],"DNP",0,1)</f>
        <v>DNP</v>
      </c>
      <c r="Q49" t="str">
        <f>_xlfn.XLOOKUP(Table16[[#This Row],[Name]],Table2111216420212223253435[Name],Table2111216420212223253435[Points],"DNP",0,1)</f>
        <v>DNP</v>
      </c>
      <c r="R49" t="str">
        <f>_xlfn.XLOOKUP(Table16[[#This Row],[Name]],Table211121642021222325343536[Name],Table211121642021222325343536[Points],"DNP",0,1)</f>
        <v>DNP</v>
      </c>
      <c r="S49">
        <f>_xlfn.XLOOKUP(Table16[[#This Row],[Name]],Table21112164202122232534353637[Name],Table21112164202122232534353637[Points],"DNP",0,1)</f>
        <v>10</v>
      </c>
      <c r="T49" t="str">
        <f>_xlfn.XLOOKUP(Table16[[#This Row],[Name]],Table2111216420212223253435363738[Name],Table2111216420212223253435363738[Points],"DNP",0,1)</f>
        <v>DNP</v>
      </c>
      <c r="U49" t="str">
        <f>_xlfn.XLOOKUP(Table16[[#This Row],[Name]],Table2111216420212223253435363739[Name],Table2111216420212223253435363739[Points],"DNP",0,1)</f>
        <v>DNP</v>
      </c>
      <c r="V49" t="str">
        <f>_xlfn.XLOOKUP(Table16[[#This Row],[Name]],Table211121642021222325343536373841[Name],Table211121642021222325343536373841[Points],"DNP",0,1)</f>
        <v>DNP</v>
      </c>
    </row>
    <row r="50" spans="2:22">
      <c r="B50" t="str">
        <f>IFERROR(Table5[[#This Row],[Full name]],"")</f>
        <v>Matthew Fernandes</v>
      </c>
      <c r="C50" s="68">
        <f>SUM(Table16[[#This Row],[September 30, 2025]:[Column18]])</f>
        <v>71</v>
      </c>
      <c r="D50" t="str">
        <f>_xlfn.XLOOKUP(Table16[[#This Row],[Name]],Table4[Name],Table4[Points],"DNP",0,1)</f>
        <v>DNP</v>
      </c>
      <c r="E50" t="str">
        <f>_xlfn.XLOOKUP(Table16[[#This Row],[Name]],Table9[Name],Table9[Points],"DNP",0,1)</f>
        <v>DNP</v>
      </c>
      <c r="F50" t="str">
        <f>_xlfn.XLOOKUP(Table16[[#This Row],[Name]],Table18[Name],Table18[Points],"DNP",0,1)</f>
        <v>DNP</v>
      </c>
      <c r="G50" t="str">
        <f>_xlfn.XLOOKUP(Table16[[#This Row],[Name]],Table2[Name],Table2[Points],"DNP",0,1)</f>
        <v>DNP</v>
      </c>
      <c r="H50" t="str">
        <f>_xlfn.XLOOKUP(Table16[[#This Row],[Name]],Table211[Name],Table211[Points],"DNP",0,1)</f>
        <v>DNP</v>
      </c>
      <c r="I50">
        <f>_xlfn.XLOOKUP(Table16[[#This Row],[Name]],Table21112[Name],Table21112[Points],"DNP",0,1)</f>
        <v>2</v>
      </c>
      <c r="J50">
        <f>_xlfn.XLOOKUP(Table16[[#This Row],[Name]],Table21112164[Name],Table21112164[Points],"DNP",0,1)</f>
        <v>50</v>
      </c>
      <c r="K50">
        <f>_xlfn.XLOOKUP(Table16[[#This Row],[Name]],Table2111216420[Name],Table2111216420[Points],"DNP",0,1)</f>
        <v>2</v>
      </c>
      <c r="L50">
        <f>_xlfn.XLOOKUP(Table16[[#This Row],[Name]],Table211121642021[Name],Table211121642021[Points],"DNP",0,1)</f>
        <v>8</v>
      </c>
      <c r="M50">
        <f>_xlfn.XLOOKUP(Table16[[#This Row],[Name]],Table21112164202122[Name],Table21112164202122[Points],"DNP",0,1)</f>
        <v>1</v>
      </c>
      <c r="N50">
        <f>_xlfn.XLOOKUP(Table16[[#This Row],[Name]],Table2111216420212223[Name],Table2111216420212223[Points],"DNP",0,1)</f>
        <v>1</v>
      </c>
      <c r="O50">
        <f>_xlfn.XLOOKUP(Table16[[#This Row],[Name]],Table211121642021222325[Name],Table211121642021222325[Points],"DNP",0,1)</f>
        <v>2</v>
      </c>
      <c r="P50">
        <f>_xlfn.XLOOKUP(Table16[[#This Row],[Name]],Table21112164202122232534[Name],Table21112164202122232534[Points],"DNP",0,1)</f>
        <v>1</v>
      </c>
      <c r="Q50" t="str">
        <f>_xlfn.XLOOKUP(Table16[[#This Row],[Name]],Table2111216420212223253435[Name],Table2111216420212223253435[Points],"DNP",0,1)</f>
        <v>DNP</v>
      </c>
      <c r="R50" t="str">
        <f>_xlfn.XLOOKUP(Table16[[#This Row],[Name]],Table211121642021222325343536[Name],Table211121642021222325343536[Points],"DNP",0,1)</f>
        <v>DNP</v>
      </c>
      <c r="S50" t="str">
        <f>_xlfn.XLOOKUP(Table16[[#This Row],[Name]],Table21112164202122232534353637[Name],Table21112164202122232534353637[Points],"DNP",0,1)</f>
        <v>DNP</v>
      </c>
      <c r="T50">
        <f>_xlfn.XLOOKUP(Table16[[#This Row],[Name]],Table2111216420212223253435363738[Name],Table2111216420212223253435363738[Points],"DNP",0,1)</f>
        <v>2</v>
      </c>
      <c r="U50">
        <f>_xlfn.XLOOKUP(Table16[[#This Row],[Name]],Table2111216420212223253435363739[Name],Table2111216420212223253435363739[Points],"DNP",0,1)</f>
        <v>2</v>
      </c>
      <c r="V50" t="str">
        <f>_xlfn.XLOOKUP(Table16[[#This Row],[Name]],Table211121642021222325343536373841[Name],Table211121642021222325343536373841[Points],"DNP",0,1)</f>
        <v>DNP</v>
      </c>
    </row>
    <row r="51" spans="2:22">
      <c r="B51" t="str">
        <f>IFERROR(Table5[[#This Row],[Full name]],"")</f>
        <v>Medet Kazbek</v>
      </c>
      <c r="C51" s="68">
        <f>SUM(Table16[[#This Row],[September 30, 2025]:[Column18]])</f>
        <v>8</v>
      </c>
      <c r="D51">
        <f>_xlfn.XLOOKUP(Table16[[#This Row],[Name]],Table4[Name],Table4[Points],"DNP",0,1)</f>
        <v>2</v>
      </c>
      <c r="E51" t="str">
        <f>_xlfn.XLOOKUP(Table16[[#This Row],[Name]],Table9[Name],Table9[Points],"DNP",0,1)</f>
        <v>DNP</v>
      </c>
      <c r="F51">
        <f>_xlfn.XLOOKUP(Table16[[#This Row],[Name]],Table18[Name],Table18[Points],"DNP",0,1)</f>
        <v>1</v>
      </c>
      <c r="G51" t="str">
        <f>_xlfn.XLOOKUP(Table16[[#This Row],[Name]],Table2[Name],Table2[Points],"DNP",0,1)</f>
        <v>DNP</v>
      </c>
      <c r="H51" t="str">
        <f>_xlfn.XLOOKUP(Table16[[#This Row],[Name]],Table211[Name],Table211[Points],"DNP",0,1)</f>
        <v>DNP</v>
      </c>
      <c r="I51">
        <f>_xlfn.XLOOKUP(Table16[[#This Row],[Name]],Table21112[Name],Table21112[Points],"DNP",0,1)</f>
        <v>3</v>
      </c>
      <c r="J51">
        <f>_xlfn.XLOOKUP(Table16[[#This Row],[Name]],Table21112164[Name],Table21112164[Points],"DNP",0,1)</f>
        <v>1</v>
      </c>
      <c r="K51">
        <f>_xlfn.XLOOKUP(Table16[[#This Row],[Name]],Table2111216420[Name],Table2111216420[Points],"DNP",0,1)</f>
        <v>1</v>
      </c>
      <c r="L51" t="str">
        <f>_xlfn.XLOOKUP(Table16[[#This Row],[Name]],Table211121642021[Name],Table211121642021[Points],"DNP",0,1)</f>
        <v>DNP</v>
      </c>
      <c r="M51" t="str">
        <f>_xlfn.XLOOKUP(Table16[[#This Row],[Name]],Table21112164202122[Name],Table21112164202122[Points],"DNP",0,1)</f>
        <v>DNP</v>
      </c>
      <c r="N51" t="str">
        <f>_xlfn.XLOOKUP(Table16[[#This Row],[Name]],Table2111216420212223[Name],Table2111216420212223[Points],"DNP",0,1)</f>
        <v>DNP</v>
      </c>
      <c r="O51" t="str">
        <f>_xlfn.XLOOKUP(Table16[[#This Row],[Name]],Table211121642021222325[Name],Table211121642021222325[Points],"DNP",0,1)</f>
        <v>DNP</v>
      </c>
      <c r="P51" t="str">
        <f>_xlfn.XLOOKUP(Table16[[#This Row],[Name]],Table21112164202122232534[Name],Table21112164202122232534[Points],"DNP",0,1)</f>
        <v>DNP</v>
      </c>
      <c r="Q51" t="str">
        <f>_xlfn.XLOOKUP(Table16[[#This Row],[Name]],Table2111216420212223253435[Name],Table2111216420212223253435[Points],"DNP",0,1)</f>
        <v>DNP</v>
      </c>
      <c r="R51" t="str">
        <f>_xlfn.XLOOKUP(Table16[[#This Row],[Name]],Table211121642021222325343536[Name],Table211121642021222325343536[Points],"DNP",0,1)</f>
        <v>DNP</v>
      </c>
      <c r="S51" t="str">
        <f>_xlfn.XLOOKUP(Table16[[#This Row],[Name]],Table21112164202122232534353637[Name],Table21112164202122232534353637[Points],"DNP",0,1)</f>
        <v>DNP</v>
      </c>
      <c r="T51" t="str">
        <f>_xlfn.XLOOKUP(Table16[[#This Row],[Name]],Table2111216420212223253435363738[Name],Table2111216420212223253435363738[Points],"DNP",0,1)</f>
        <v>DNP</v>
      </c>
      <c r="U51" t="str">
        <f>_xlfn.XLOOKUP(Table16[[#This Row],[Name]],Table2111216420212223253435363739[Name],Table2111216420212223253435363739[Points],"DNP",0,1)</f>
        <v>DNP</v>
      </c>
      <c r="V51" t="str">
        <f>_xlfn.XLOOKUP(Table16[[#This Row],[Name]],Table211121642021222325343536373841[Name],Table211121642021222325343536373841[Points],"DNP",0,1)</f>
        <v>DNP</v>
      </c>
    </row>
    <row r="52" spans="2:22">
      <c r="B52" t="str">
        <f>IFERROR(Table5[[#This Row],[Full name]],"")</f>
        <v>Nathan Visentin</v>
      </c>
      <c r="C52" s="68">
        <f>SUM(Table16[[#This Row],[September 30, 2025]:[Column18]])</f>
        <v>11</v>
      </c>
      <c r="D52">
        <f>_xlfn.XLOOKUP(Table16[[#This Row],[Name]],Table4[Name],Table4[Points],"DNP",0,1)</f>
        <v>10</v>
      </c>
      <c r="E52" t="str">
        <f>_xlfn.XLOOKUP(Table16[[#This Row],[Name]],Table9[Name],Table9[Points],"DNP",0,1)</f>
        <v>DNP</v>
      </c>
      <c r="F52" t="str">
        <f>_xlfn.XLOOKUP(Table16[[#This Row],[Name]],Table18[Name],Table18[Points],"DNP",0,1)</f>
        <v>DNP</v>
      </c>
      <c r="G52" t="str">
        <f>_xlfn.XLOOKUP(Table16[[#This Row],[Name]],Table2[Name],Table2[Points],"DNP",0,1)</f>
        <v>DNP</v>
      </c>
      <c r="H52">
        <f>_xlfn.XLOOKUP(Table16[[#This Row],[Name]],Table211[Name],Table211[Points],"DNP",0,1)</f>
        <v>1</v>
      </c>
      <c r="I52" t="str">
        <f>_xlfn.XLOOKUP(Table16[[#This Row],[Name]],Table21112[Name],Table21112[Points],"DNP",0,1)</f>
        <v>DNP</v>
      </c>
      <c r="J52" t="str">
        <f>_xlfn.XLOOKUP(Table16[[#This Row],[Name]],Table21112164[Name],Table21112164[Points],"DNP",0,1)</f>
        <v>DNP</v>
      </c>
      <c r="K52" t="str">
        <f>_xlfn.XLOOKUP(Table16[[#This Row],[Name]],Table2111216420[Name],Table2111216420[Points],"DNP",0,1)</f>
        <v>DNP</v>
      </c>
      <c r="L52" t="str">
        <f>_xlfn.XLOOKUP(Table16[[#This Row],[Name]],Table211121642021[Name],Table211121642021[Points],"DNP",0,1)</f>
        <v>DNP</v>
      </c>
      <c r="M52" t="str">
        <f>_xlfn.XLOOKUP(Table16[[#This Row],[Name]],Table21112164202122[Name],Table21112164202122[Points],"DNP",0,1)</f>
        <v>DNP</v>
      </c>
      <c r="N52" t="str">
        <f>_xlfn.XLOOKUP(Table16[[#This Row],[Name]],Table2111216420212223[Name],Table2111216420212223[Points],"DNP",0,1)</f>
        <v>DNP</v>
      </c>
      <c r="O52" t="str">
        <f>_xlfn.XLOOKUP(Table16[[#This Row],[Name]],Table211121642021222325[Name],Table211121642021222325[Points],"DNP",0,1)</f>
        <v>DNP</v>
      </c>
      <c r="P52" t="str">
        <f>_xlfn.XLOOKUP(Table16[[#This Row],[Name]],Table21112164202122232534[Name],Table21112164202122232534[Points],"DNP",0,1)</f>
        <v>DNP</v>
      </c>
      <c r="Q52" t="str">
        <f>_xlfn.XLOOKUP(Table16[[#This Row],[Name]],Table2111216420212223253435[Name],Table2111216420212223253435[Points],"DNP",0,1)</f>
        <v>DNP</v>
      </c>
      <c r="R52" t="str">
        <f>_xlfn.XLOOKUP(Table16[[#This Row],[Name]],Table211121642021222325343536[Name],Table211121642021222325343536[Points],"DNP",0,1)</f>
        <v>DNP</v>
      </c>
      <c r="S52" t="str">
        <f>_xlfn.XLOOKUP(Table16[[#This Row],[Name]],Table21112164202122232534353637[Name],Table21112164202122232534353637[Points],"DNP",0,1)</f>
        <v>DNP</v>
      </c>
      <c r="T52" t="str">
        <f>_xlfn.XLOOKUP(Table16[[#This Row],[Name]],Table2111216420212223253435363738[Name],Table2111216420212223253435363738[Points],"DNP",0,1)</f>
        <v>DNP</v>
      </c>
      <c r="U52" t="str">
        <f>_xlfn.XLOOKUP(Table16[[#This Row],[Name]],Table2111216420212223253435363739[Name],Table2111216420212223253435363739[Points],"DNP",0,1)</f>
        <v>DNP</v>
      </c>
      <c r="V52" t="str">
        <f>_xlfn.XLOOKUP(Table16[[#This Row],[Name]],Table211121642021222325343536373841[Name],Table211121642021222325343536373841[Points],"DNP",0,1)</f>
        <v>DNP</v>
      </c>
    </row>
    <row r="53" spans="2:22">
      <c r="B53" t="str">
        <f>IFERROR(Table5[[#This Row],[Full name]],"")</f>
        <v>Noah George</v>
      </c>
      <c r="C53" s="68">
        <f>SUM(Table16[[#This Row],[September 30, 2025]:[Column18]])</f>
        <v>21</v>
      </c>
      <c r="D53">
        <f>_xlfn.XLOOKUP(Table16[[#This Row],[Name]],Table4[Name],Table4[Points],"DNP",0,1)</f>
        <v>1</v>
      </c>
      <c r="E53" t="str">
        <f>_xlfn.XLOOKUP(Table16[[#This Row],[Name]],Table9[Name],Table9[Points],"DNP",0,1)</f>
        <v>DNP</v>
      </c>
      <c r="F53">
        <f>_xlfn.XLOOKUP(Table16[[#This Row],[Name]],Table18[Name],Table18[Points],"DNP",0,1)</f>
        <v>1</v>
      </c>
      <c r="G53">
        <f>_xlfn.XLOOKUP(Table16[[#This Row],[Name]],Table2[Name],Table2[Points],"DNP",0,1)</f>
        <v>2</v>
      </c>
      <c r="H53">
        <f>_xlfn.XLOOKUP(Table16[[#This Row],[Name]],Table211[Name],Table211[Points],"DNP",0,1)</f>
        <v>1</v>
      </c>
      <c r="I53">
        <f>_xlfn.XLOOKUP(Table16[[#This Row],[Name]],Table21112[Name],Table21112[Points],"DNP",0,1)</f>
        <v>3</v>
      </c>
      <c r="J53">
        <f>_xlfn.XLOOKUP(Table16[[#This Row],[Name]],Table21112164[Name],Table21112164[Points],"DNP",0,1)</f>
        <v>1</v>
      </c>
      <c r="K53">
        <f>_xlfn.XLOOKUP(Table16[[#This Row],[Name]],Table2111216420[Name],Table2111216420[Points],"DNP",0,1)</f>
        <v>1</v>
      </c>
      <c r="L53">
        <f>_xlfn.XLOOKUP(Table16[[#This Row],[Name]],Table211121642021[Name],Table211121642021[Points],"DNP",0,1)</f>
        <v>1</v>
      </c>
      <c r="M53">
        <f>_xlfn.XLOOKUP(Table16[[#This Row],[Name]],Table21112164202122[Name],Table21112164202122[Points],"DNP",0,1)</f>
        <v>4</v>
      </c>
      <c r="N53">
        <f>_xlfn.XLOOKUP(Table16[[#This Row],[Name]],Table2111216420212223[Name],Table2111216420212223[Points],"DNP",0,1)</f>
        <v>1</v>
      </c>
      <c r="O53">
        <f>_xlfn.XLOOKUP(Table16[[#This Row],[Name]],Table211121642021222325[Name],Table211121642021222325[Points],"DNP",0,1)</f>
        <v>1</v>
      </c>
      <c r="P53" t="str">
        <f>_xlfn.XLOOKUP(Table16[[#This Row],[Name]],Table21112164202122232534[Name],Table21112164202122232534[Points],"DNP",0,1)</f>
        <v>DNP</v>
      </c>
      <c r="Q53">
        <f>_xlfn.XLOOKUP(Table16[[#This Row],[Name]],Table2111216420212223253435[Name],Table2111216420212223253435[Points],"DNP",0,1)</f>
        <v>1</v>
      </c>
      <c r="R53" t="str">
        <f>_xlfn.XLOOKUP(Table16[[#This Row],[Name]],Table211121642021222325343536[Name],Table211121642021222325343536[Points],"DNP",0,1)</f>
        <v>DNP</v>
      </c>
      <c r="S53">
        <f>_xlfn.XLOOKUP(Table16[[#This Row],[Name]],Table21112164202122232534353637[Name],Table21112164202122232534353637[Points],"DNP",0,1)</f>
        <v>1</v>
      </c>
      <c r="T53" t="str">
        <f>_xlfn.XLOOKUP(Table16[[#This Row],[Name]],Table2111216420212223253435363738[Name],Table2111216420212223253435363738[Points],"DNP",0,1)</f>
        <v>DNP</v>
      </c>
      <c r="U53">
        <f>_xlfn.XLOOKUP(Table16[[#This Row],[Name]],Table2111216420212223253435363739[Name],Table2111216420212223253435363739[Points],"DNP",0,1)</f>
        <v>1</v>
      </c>
      <c r="V53">
        <f>_xlfn.XLOOKUP(Table16[[#This Row],[Name]],Table211121642021222325343536373841[Name],Table211121642021222325343536373841[Points],"DNP",0,1)</f>
        <v>1</v>
      </c>
    </row>
    <row r="54" spans="2:22">
      <c r="B54" t="str">
        <f>IFERROR(Table5[[#This Row],[Full name]],"")</f>
        <v>Noella Or</v>
      </c>
      <c r="C54" s="68">
        <f>SUM(Table16[[#This Row],[September 30, 2025]:[Column18]])</f>
        <v>31</v>
      </c>
      <c r="D54" t="str">
        <f>_xlfn.XLOOKUP(Table16[[#This Row],[Name]],Table4[Name],Table4[Points],"DNP",0,1)</f>
        <v>DNP</v>
      </c>
      <c r="E54" t="str">
        <f>_xlfn.XLOOKUP(Table16[[#This Row],[Name]],Table9[Name],Table9[Points],"DNP",0,1)</f>
        <v>DNP</v>
      </c>
      <c r="F54">
        <f>_xlfn.XLOOKUP(Table16[[#This Row],[Name]],Table18[Name],Table18[Points],"DNP",0,1)</f>
        <v>2</v>
      </c>
      <c r="G54" t="str">
        <f>_xlfn.XLOOKUP(Table16[[#This Row],[Name]],Table2[Name],Table2[Points],"DNP",0,1)</f>
        <v>DNP</v>
      </c>
      <c r="H54" t="str">
        <f>_xlfn.XLOOKUP(Table16[[#This Row],[Name]],Table211[Name],Table211[Points],"DNP",0,1)</f>
        <v>DNP</v>
      </c>
      <c r="I54">
        <f>_xlfn.XLOOKUP(Table16[[#This Row],[Name]],Table21112[Name],Table21112[Points],"DNP",0,1)</f>
        <v>2</v>
      </c>
      <c r="J54">
        <f>_xlfn.XLOOKUP(Table16[[#This Row],[Name]],Table21112164[Name],Table21112164[Points],"DNP",0,1)</f>
        <v>10</v>
      </c>
      <c r="K54">
        <f>_xlfn.XLOOKUP(Table16[[#This Row],[Name]],Table2111216420[Name],Table2111216420[Points],"DNP",0,1)</f>
        <v>2</v>
      </c>
      <c r="L54">
        <f>_xlfn.XLOOKUP(Table16[[#This Row],[Name]],Table211121642021[Name],Table211121642021[Points],"DNP",0,1)</f>
        <v>2</v>
      </c>
      <c r="M54">
        <f>_xlfn.XLOOKUP(Table16[[#This Row],[Name]],Table21112164202122[Name],Table21112164202122[Points],"DNP",0,1)</f>
        <v>4</v>
      </c>
      <c r="N54">
        <f>_xlfn.XLOOKUP(Table16[[#This Row],[Name]],Table2111216420212223[Name],Table2111216420212223[Points],"DNP",0,1)</f>
        <v>1</v>
      </c>
      <c r="O54">
        <f>_xlfn.XLOOKUP(Table16[[#This Row],[Name]],Table211121642021222325[Name],Table211121642021222325[Points],"DNP",0,1)</f>
        <v>2</v>
      </c>
      <c r="P54" t="str">
        <f>_xlfn.XLOOKUP(Table16[[#This Row],[Name]],Table21112164202122232534[Name],Table21112164202122232534[Points],"DNP",0,1)</f>
        <v>DNP</v>
      </c>
      <c r="Q54">
        <f>_xlfn.XLOOKUP(Table16[[#This Row],[Name]],Table2111216420212223253435[Name],Table2111216420212223253435[Points],"DNP",0,1)</f>
        <v>4</v>
      </c>
      <c r="R54" t="str">
        <f>_xlfn.XLOOKUP(Table16[[#This Row],[Name]],Table211121642021222325343536[Name],Table211121642021222325343536[Points],"DNP",0,1)</f>
        <v>DNP</v>
      </c>
      <c r="S54" t="str">
        <f>_xlfn.XLOOKUP(Table16[[#This Row],[Name]],Table21112164202122232534353637[Name],Table21112164202122232534353637[Points],"DNP",0,1)</f>
        <v>DNP</v>
      </c>
      <c r="T54" t="str">
        <f>_xlfn.XLOOKUP(Table16[[#This Row],[Name]],Table2111216420212223253435363738[Name],Table2111216420212223253435363738[Points],"DNP",0,1)</f>
        <v>DNP</v>
      </c>
      <c r="U54">
        <f>_xlfn.XLOOKUP(Table16[[#This Row],[Name]],Table2111216420212223253435363739[Name],Table2111216420212223253435363739[Points],"DNP",0,1)</f>
        <v>2</v>
      </c>
      <c r="V54" t="str">
        <f>_xlfn.XLOOKUP(Table16[[#This Row],[Name]],Table211121642021222325343536373841[Name],Table211121642021222325343536373841[Points],"DNP",0,1)</f>
        <v>DNP</v>
      </c>
    </row>
    <row r="55" spans="2:22">
      <c r="B55" t="str">
        <f>IFERROR(Table5[[#This Row],[Full name]],"")</f>
        <v>Oscar Chen</v>
      </c>
      <c r="C55" s="68">
        <f>SUM(Table16[[#This Row],[September 30, 2025]:[Column18]])</f>
        <v>14</v>
      </c>
      <c r="D55">
        <f>_xlfn.XLOOKUP(Table16[[#This Row],[Name]],Table4[Name],Table4[Points],"DNP",0,1)</f>
        <v>1</v>
      </c>
      <c r="E55">
        <f>_xlfn.XLOOKUP(Table16[[#This Row],[Name]],Table9[Name],Table9[Points],"DNP",0,1)</f>
        <v>1</v>
      </c>
      <c r="F55" t="str">
        <f>_xlfn.XLOOKUP(Table16[[#This Row],[Name]],Table18[Name],Table18[Points],"DNP",0,1)</f>
        <v>DNP</v>
      </c>
      <c r="G55">
        <f>_xlfn.XLOOKUP(Table16[[#This Row],[Name]],Table2[Name],Table2[Points],"DNP",0,1)</f>
        <v>2</v>
      </c>
      <c r="H55" t="str">
        <f>_xlfn.XLOOKUP(Table16[[#This Row],[Name]],Table211[Name],Table211[Points],"DNP",0,1)</f>
        <v>DNP</v>
      </c>
      <c r="I55" t="str">
        <f>_xlfn.XLOOKUP(Table16[[#This Row],[Name]],Table21112[Name],Table21112[Points],"DNP",0,1)</f>
        <v>DNP</v>
      </c>
      <c r="J55" t="str">
        <f>_xlfn.XLOOKUP(Table16[[#This Row],[Name]],Table21112164[Name],Table21112164[Points],"DNP",0,1)</f>
        <v>DNP</v>
      </c>
      <c r="K55" t="str">
        <f>_xlfn.XLOOKUP(Table16[[#This Row],[Name]],Table2111216420[Name],Table2111216420[Points],"DNP",0,1)</f>
        <v>DNP</v>
      </c>
      <c r="L55" t="str">
        <f>_xlfn.XLOOKUP(Table16[[#This Row],[Name]],Table211121642021[Name],Table211121642021[Points],"DNP",0,1)</f>
        <v>DNP</v>
      </c>
      <c r="M55" t="str">
        <f>_xlfn.XLOOKUP(Table16[[#This Row],[Name]],Table21112164202122[Name],Table21112164202122[Points],"DNP",0,1)</f>
        <v>DNP</v>
      </c>
      <c r="N55">
        <f>_xlfn.XLOOKUP(Table16[[#This Row],[Name]],Table2111216420212223[Name],Table2111216420212223[Points],"DNP",0,1)</f>
        <v>4</v>
      </c>
      <c r="O55">
        <f>_xlfn.XLOOKUP(Table16[[#This Row],[Name]],Table211121642021222325[Name],Table211121642021222325[Points],"DNP",0,1)</f>
        <v>1</v>
      </c>
      <c r="P55">
        <f>_xlfn.XLOOKUP(Table16[[#This Row],[Name]],Table21112164202122232534[Name],Table21112164202122232534[Points],"DNP",0,1)</f>
        <v>2</v>
      </c>
      <c r="Q55" t="str">
        <f>_xlfn.XLOOKUP(Table16[[#This Row],[Name]],Table2111216420212223253435[Name],Table2111216420212223253435[Points],"DNP",0,1)</f>
        <v>DNP</v>
      </c>
      <c r="R55" t="str">
        <f>_xlfn.XLOOKUP(Table16[[#This Row],[Name]],Table211121642021222325343536[Name],Table211121642021222325343536[Points],"DNP",0,1)</f>
        <v>DNP</v>
      </c>
      <c r="S55">
        <f>_xlfn.XLOOKUP(Table16[[#This Row],[Name]],Table21112164202122232534353637[Name],Table21112164202122232534353637[Points],"DNP",0,1)</f>
        <v>1</v>
      </c>
      <c r="T55">
        <f>_xlfn.XLOOKUP(Table16[[#This Row],[Name]],Table2111216420212223253435363738[Name],Table2111216420212223253435363738[Points],"DNP",0,1)</f>
        <v>1</v>
      </c>
      <c r="U55" t="str">
        <f>_xlfn.XLOOKUP(Table16[[#This Row],[Name]],Table2111216420212223253435363739[Name],Table2111216420212223253435363739[Points],"DNP",0,1)</f>
        <v>DNP</v>
      </c>
      <c r="V55">
        <f>_xlfn.XLOOKUP(Table16[[#This Row],[Name]],Table211121642021222325343536373841[Name],Table211121642021222325343536373841[Points],"DNP",0,1)</f>
        <v>1</v>
      </c>
    </row>
    <row r="56" spans="2:22">
      <c r="B56" t="str">
        <f>IFERROR(Table5[[#This Row],[Full name]],"")</f>
        <v>Pari Shah</v>
      </c>
      <c r="C56" s="68">
        <f>SUM(Table16[[#This Row],[September 30, 2025]:[Column18]])</f>
        <v>50</v>
      </c>
      <c r="D56">
        <f>_xlfn.XLOOKUP(Table16[[#This Row],[Name]],Table4[Name],Table4[Points],"DNP",0,1)</f>
        <v>4</v>
      </c>
      <c r="E56">
        <f>_xlfn.XLOOKUP(Table16[[#This Row],[Name]],Table9[Name],Table9[Points],"DNP",0,1)</f>
        <v>1</v>
      </c>
      <c r="F56">
        <f>_xlfn.XLOOKUP(Table16[[#This Row],[Name]],Table18[Name],Table18[Points],"DNP",0,1)</f>
        <v>1</v>
      </c>
      <c r="G56">
        <f>_xlfn.XLOOKUP(Table16[[#This Row],[Name]],Table2[Name],Table2[Points],"DNP",0,1)</f>
        <v>1</v>
      </c>
      <c r="H56">
        <f>_xlfn.XLOOKUP(Table16[[#This Row],[Name]],Table211[Name],Table211[Points],"DNP",0,1)</f>
        <v>1</v>
      </c>
      <c r="I56">
        <f>_xlfn.XLOOKUP(Table16[[#This Row],[Name]],Table21112[Name],Table21112[Points],"DNP",0,1)</f>
        <v>1</v>
      </c>
      <c r="J56">
        <f>_xlfn.XLOOKUP(Table16[[#This Row],[Name]],Table21112164[Name],Table21112164[Points],"DNP",0,1)</f>
        <v>2</v>
      </c>
      <c r="K56">
        <f>_xlfn.XLOOKUP(Table16[[#This Row],[Name]],Table2111216420[Name],Table2111216420[Points],"DNP",0,1)</f>
        <v>1</v>
      </c>
      <c r="L56">
        <f>_xlfn.XLOOKUP(Table16[[#This Row],[Name]],Table211121642021[Name],Table211121642021[Points],"DNP",0,1)</f>
        <v>1</v>
      </c>
      <c r="M56">
        <f>_xlfn.XLOOKUP(Table16[[#This Row],[Name]],Table21112164202122[Name],Table21112164202122[Points],"DNP",0,1)</f>
        <v>2</v>
      </c>
      <c r="N56">
        <f>_xlfn.XLOOKUP(Table16[[#This Row],[Name]],Table2111216420212223[Name],Table2111216420212223[Points],"DNP",0,1)</f>
        <v>2</v>
      </c>
      <c r="O56">
        <f>_xlfn.XLOOKUP(Table16[[#This Row],[Name]],Table211121642021222325[Name],Table211121642021222325[Points],"DNP",0,1)</f>
        <v>1</v>
      </c>
      <c r="P56">
        <f>_xlfn.XLOOKUP(Table16[[#This Row],[Name]],Table21112164202122232534[Name],Table21112164202122232534[Points],"DNP",0,1)</f>
        <v>2</v>
      </c>
      <c r="Q56">
        <f>_xlfn.XLOOKUP(Table16[[#This Row],[Name]],Table2111216420212223253435[Name],Table2111216420212223253435[Points],"DNP",0,1)</f>
        <v>23</v>
      </c>
      <c r="R56">
        <f>_xlfn.XLOOKUP(Table16[[#This Row],[Name]],Table211121642021222325343536[Name],Table211121642021222325343536[Points],"DNP",0,1)</f>
        <v>1</v>
      </c>
      <c r="S56">
        <f>_xlfn.XLOOKUP(Table16[[#This Row],[Name]],Table21112164202122232534353637[Name],Table21112164202122232534353637[Points],"DNP",0,1)</f>
        <v>2</v>
      </c>
      <c r="T56">
        <f>_xlfn.XLOOKUP(Table16[[#This Row],[Name]],Table2111216420212223253435363738[Name],Table2111216420212223253435363738[Points],"DNP",0,1)</f>
        <v>2</v>
      </c>
      <c r="U56">
        <f>_xlfn.XLOOKUP(Table16[[#This Row],[Name]],Table2111216420212223253435363739[Name],Table2111216420212223253435363739[Points],"DNP",0,1)</f>
        <v>1</v>
      </c>
      <c r="V56">
        <f>_xlfn.XLOOKUP(Table16[[#This Row],[Name]],Table211121642021222325343536373841[Name],Table211121642021222325343536373841[Points],"DNP",0,1)</f>
        <v>1</v>
      </c>
    </row>
    <row r="57" spans="2:22">
      <c r="B57" t="str">
        <f>IFERROR(Table5[[#This Row],[Full name]],"")</f>
        <v>Pavel Tsymbalyuk</v>
      </c>
      <c r="C57" s="68">
        <f>SUM(Table16[[#This Row],[September 30, 2025]:[Column18]])</f>
        <v>28</v>
      </c>
      <c r="D57">
        <f>_xlfn.XLOOKUP(Table16[[#This Row],[Name]],Table4[Name],Table4[Points],"DNP",0,1)</f>
        <v>1</v>
      </c>
      <c r="E57" t="str">
        <f>_xlfn.XLOOKUP(Table16[[#This Row],[Name]],Table9[Name],Table9[Points],"DNP",0,1)</f>
        <v>DNP</v>
      </c>
      <c r="F57" t="str">
        <f>_xlfn.XLOOKUP(Table16[[#This Row],[Name]],Table18[Name],Table18[Points],"DNP",0,1)</f>
        <v>DNP</v>
      </c>
      <c r="G57">
        <f>_xlfn.XLOOKUP(Table16[[#This Row],[Name]],Table2[Name],Table2[Points],"DNP",0,1)</f>
        <v>2</v>
      </c>
      <c r="H57" t="str">
        <f>_xlfn.XLOOKUP(Table16[[#This Row],[Name]],Table211[Name],Table211[Points],"DNP",0,1)</f>
        <v>DNP</v>
      </c>
      <c r="I57">
        <f>_xlfn.XLOOKUP(Table16[[#This Row],[Name]],Table21112[Name],Table21112[Points],"DNP",0,1)</f>
        <v>2</v>
      </c>
      <c r="J57">
        <f>_xlfn.XLOOKUP(Table16[[#This Row],[Name]],Table21112164[Name],Table21112164[Points],"DNP",0,1)</f>
        <v>3</v>
      </c>
      <c r="K57">
        <f>_xlfn.XLOOKUP(Table16[[#This Row],[Name]],Table2111216420[Name],Table2111216420[Points],"DNP",0,1)</f>
        <v>2</v>
      </c>
      <c r="L57">
        <f>_xlfn.XLOOKUP(Table16[[#This Row],[Name]],Table211121642021[Name],Table211121642021[Points],"DNP",0,1)</f>
        <v>1</v>
      </c>
      <c r="M57" t="str">
        <f>_xlfn.XLOOKUP(Table16[[#This Row],[Name]],Table21112164202122[Name],Table21112164202122[Points],"DNP",0,1)</f>
        <v>DNP</v>
      </c>
      <c r="N57" t="str">
        <f>_xlfn.XLOOKUP(Table16[[#This Row],[Name]],Table2111216420212223[Name],Table2111216420212223[Points],"DNP",0,1)</f>
        <v>DNP</v>
      </c>
      <c r="O57">
        <f>_xlfn.XLOOKUP(Table16[[#This Row],[Name]],Table211121642021222325[Name],Table211121642021222325[Points],"DNP",0,1)</f>
        <v>10</v>
      </c>
      <c r="P57">
        <f>_xlfn.XLOOKUP(Table16[[#This Row],[Name]],Table21112164202122232534[Name],Table21112164202122232534[Points],"DNP",0,1)</f>
        <v>1</v>
      </c>
      <c r="Q57">
        <f>_xlfn.XLOOKUP(Table16[[#This Row],[Name]],Table2111216420212223253435[Name],Table2111216420212223253435[Points],"DNP",0,1)</f>
        <v>4</v>
      </c>
      <c r="R57" t="str">
        <f>_xlfn.XLOOKUP(Table16[[#This Row],[Name]],Table211121642021222325343536[Name],Table211121642021222325343536[Points],"DNP",0,1)</f>
        <v>DNP</v>
      </c>
      <c r="S57" t="str">
        <f>_xlfn.XLOOKUP(Table16[[#This Row],[Name]],Table21112164202122232534353637[Name],Table21112164202122232534353637[Points],"DNP",0,1)</f>
        <v>DNP</v>
      </c>
      <c r="T57" t="str">
        <f>_xlfn.XLOOKUP(Table16[[#This Row],[Name]],Table2111216420212223253435363738[Name],Table2111216420212223253435363738[Points],"DNP",0,1)</f>
        <v>DNP</v>
      </c>
      <c r="U57" t="str">
        <f>_xlfn.XLOOKUP(Table16[[#This Row],[Name]],Table2111216420212223253435363739[Name],Table2111216420212223253435363739[Points],"DNP",0,1)</f>
        <v>DNP</v>
      </c>
      <c r="V57">
        <f>_xlfn.XLOOKUP(Table16[[#This Row],[Name]],Table211121642021222325343536373841[Name],Table211121642021222325343536373841[Points],"DNP",0,1)</f>
        <v>2</v>
      </c>
    </row>
    <row r="58" spans="2:22">
      <c r="B58" t="str">
        <f>IFERROR(Table5[[#This Row],[Full name]],"")</f>
        <v>Priyansh Sharma</v>
      </c>
      <c r="C58" s="68">
        <f>SUM(Table16[[#This Row],[September 30, 2025]:[Column18]])</f>
        <v>39</v>
      </c>
      <c r="D58">
        <f>_xlfn.XLOOKUP(Table16[[#This Row],[Name]],Table4[Name],Table4[Points],"DNP",0,1)</f>
        <v>1</v>
      </c>
      <c r="E58">
        <f>_xlfn.XLOOKUP(Table16[[#This Row],[Name]],Table9[Name],Table9[Points],"DNP",0,1)</f>
        <v>1</v>
      </c>
      <c r="F58">
        <f>_xlfn.XLOOKUP(Table16[[#This Row],[Name]],Table18[Name],Table18[Points],"DNP",0,1)</f>
        <v>10</v>
      </c>
      <c r="G58">
        <f>_xlfn.XLOOKUP(Table16[[#This Row],[Name]],Table2[Name],Table2[Points],"DNP",0,1)</f>
        <v>10</v>
      </c>
      <c r="H58">
        <f>_xlfn.XLOOKUP(Table16[[#This Row],[Name]],Table211[Name],Table211[Points],"DNP",0,1)</f>
        <v>1</v>
      </c>
      <c r="I58">
        <f>_xlfn.XLOOKUP(Table16[[#This Row],[Name]],Table21112[Name],Table21112[Points],"DNP",0,1)</f>
        <v>1</v>
      </c>
      <c r="J58">
        <f>_xlfn.XLOOKUP(Table16[[#This Row],[Name]],Table21112164[Name],Table21112164[Points],"DNP",0,1)</f>
        <v>2</v>
      </c>
      <c r="K58" t="str">
        <f>_xlfn.XLOOKUP(Table16[[#This Row],[Name]],Table2111216420[Name],Table2111216420[Points],"DNP",0,1)</f>
        <v>DNP</v>
      </c>
      <c r="L58">
        <f>_xlfn.XLOOKUP(Table16[[#This Row],[Name]],Table211121642021[Name],Table211121642021[Points],"DNP",0,1)</f>
        <v>1</v>
      </c>
      <c r="M58">
        <f>_xlfn.XLOOKUP(Table16[[#This Row],[Name]],Table21112164202122[Name],Table21112164202122[Points],"DNP",0,1)</f>
        <v>1</v>
      </c>
      <c r="N58" t="str">
        <f>_xlfn.XLOOKUP(Table16[[#This Row],[Name]],Table2111216420212223[Name],Table2111216420212223[Points],"DNP",0,1)</f>
        <v>DNP</v>
      </c>
      <c r="O58">
        <f>_xlfn.XLOOKUP(Table16[[#This Row],[Name]],Table211121642021222325[Name],Table211121642021222325[Points],"DNP",0,1)</f>
        <v>2</v>
      </c>
      <c r="P58">
        <f>_xlfn.XLOOKUP(Table16[[#This Row],[Name]],Table21112164202122232534[Name],Table21112164202122232534[Points],"DNP",0,1)</f>
        <v>1</v>
      </c>
      <c r="Q58">
        <f>_xlfn.XLOOKUP(Table16[[#This Row],[Name]],Table2111216420212223253435[Name],Table2111216420212223253435[Points],"DNP",0,1)</f>
        <v>4</v>
      </c>
      <c r="R58">
        <f>_xlfn.XLOOKUP(Table16[[#This Row],[Name]],Table211121642021222325343536[Name],Table211121642021222325343536[Points],"DNP",0,1)</f>
        <v>1</v>
      </c>
      <c r="S58">
        <f>_xlfn.XLOOKUP(Table16[[#This Row],[Name]],Table21112164202122232534353637[Name],Table21112164202122232534353637[Points],"DNP",0,1)</f>
        <v>1</v>
      </c>
      <c r="T58">
        <f>_xlfn.XLOOKUP(Table16[[#This Row],[Name]],Table2111216420212223253435363738[Name],Table2111216420212223253435363738[Points],"DNP",0,1)</f>
        <v>1</v>
      </c>
      <c r="U58" t="str">
        <f>_xlfn.XLOOKUP(Table16[[#This Row],[Name]],Table2111216420212223253435363739[Name],Table2111216420212223253435363739[Points],"DNP",0,1)</f>
        <v>DNP</v>
      </c>
      <c r="V58">
        <f>_xlfn.XLOOKUP(Table16[[#This Row],[Name]],Table211121642021222325343536373841[Name],Table211121642021222325343536373841[Points],"DNP",0,1)</f>
        <v>1</v>
      </c>
    </row>
    <row r="59" spans="2:22">
      <c r="B59" t="str">
        <f>IFERROR(Table5[[#This Row],[Full name]],"")</f>
        <v>Quenifer Lung</v>
      </c>
      <c r="C59" s="68">
        <f>SUM(Table16[[#This Row],[September 30, 2025]:[Column18]])</f>
        <v>1</v>
      </c>
      <c r="D59" t="str">
        <f>_xlfn.XLOOKUP(Table16[[#This Row],[Name]],Table4[Name],Table4[Points],"DNP",0,1)</f>
        <v>DNP</v>
      </c>
      <c r="E59" t="str">
        <f>_xlfn.XLOOKUP(Table16[[#This Row],[Name]],Table9[Name],Table9[Points],"DNP",0,1)</f>
        <v>DNP</v>
      </c>
      <c r="F59" t="str">
        <f>_xlfn.XLOOKUP(Table16[[#This Row],[Name]],Table18[Name],Table18[Points],"DNP",0,1)</f>
        <v>DNP</v>
      </c>
      <c r="G59" t="str">
        <f>_xlfn.XLOOKUP(Table16[[#This Row],[Name]],Table2[Name],Table2[Points],"DNP",0,1)</f>
        <v>DNP</v>
      </c>
      <c r="H59">
        <f>_xlfn.XLOOKUP(Table16[[#This Row],[Name]],Table211[Name],Table211[Points],"DNP",0,1)</f>
        <v>1</v>
      </c>
      <c r="I59" t="str">
        <f>_xlfn.XLOOKUP(Table16[[#This Row],[Name]],Table21112[Name],Table21112[Points],"DNP",0,1)</f>
        <v>DNP</v>
      </c>
      <c r="J59" t="str">
        <f>_xlfn.XLOOKUP(Table16[[#This Row],[Name]],Table21112164[Name],Table21112164[Points],"DNP",0,1)</f>
        <v>DNP</v>
      </c>
      <c r="K59" t="str">
        <f>_xlfn.XLOOKUP(Table16[[#This Row],[Name]],Table2111216420[Name],Table2111216420[Points],"DNP",0,1)</f>
        <v>DNP</v>
      </c>
      <c r="L59" t="str">
        <f>_xlfn.XLOOKUP(Table16[[#This Row],[Name]],Table211121642021[Name],Table211121642021[Points],"DNP",0,1)</f>
        <v>DNP</v>
      </c>
      <c r="M59" t="str">
        <f>_xlfn.XLOOKUP(Table16[[#This Row],[Name]],Table21112164202122[Name],Table21112164202122[Points],"DNP",0,1)</f>
        <v>DNP</v>
      </c>
      <c r="N59" t="str">
        <f>_xlfn.XLOOKUP(Table16[[#This Row],[Name]],Table2111216420212223[Name],Table2111216420212223[Points],"DNP",0,1)</f>
        <v>DNP</v>
      </c>
      <c r="O59" t="str">
        <f>_xlfn.XLOOKUP(Table16[[#This Row],[Name]],Table211121642021222325[Name],Table211121642021222325[Points],"DNP",0,1)</f>
        <v>DNP</v>
      </c>
      <c r="P59" t="str">
        <f>_xlfn.XLOOKUP(Table16[[#This Row],[Name]],Table21112164202122232534[Name],Table21112164202122232534[Points],"DNP",0,1)</f>
        <v>DNP</v>
      </c>
      <c r="Q59" t="str">
        <f>_xlfn.XLOOKUP(Table16[[#This Row],[Name]],Table2111216420212223253435[Name],Table2111216420212223253435[Points],"DNP",0,1)</f>
        <v>DNP</v>
      </c>
      <c r="R59" t="str">
        <f>_xlfn.XLOOKUP(Table16[[#This Row],[Name]],Table211121642021222325343536[Name],Table211121642021222325343536[Points],"DNP",0,1)</f>
        <v>DNP</v>
      </c>
      <c r="S59" t="str">
        <f>_xlfn.XLOOKUP(Table16[[#This Row],[Name]],Table21112164202122232534353637[Name],Table21112164202122232534353637[Points],"DNP",0,1)</f>
        <v>DNP</v>
      </c>
      <c r="T59" t="str">
        <f>_xlfn.XLOOKUP(Table16[[#This Row],[Name]],Table2111216420212223253435363738[Name],Table2111216420212223253435363738[Points],"DNP",0,1)</f>
        <v>DNP</v>
      </c>
      <c r="U59" t="str">
        <f>_xlfn.XLOOKUP(Table16[[#This Row],[Name]],Table2111216420212223253435363739[Name],Table2111216420212223253435363739[Points],"DNP",0,1)</f>
        <v>DNP</v>
      </c>
      <c r="V59" t="str">
        <f>_xlfn.XLOOKUP(Table16[[#This Row],[Name]],Table211121642021222325343536373841[Name],Table211121642021222325343536373841[Points],"DNP",0,1)</f>
        <v>DNP</v>
      </c>
    </row>
    <row r="60" spans="2:22">
      <c r="B60" t="str">
        <f>IFERROR(Table5[[#This Row],[Full name]],"")</f>
        <v>Rachel Xu</v>
      </c>
      <c r="C60" s="68">
        <f>SUM(Table16[[#This Row],[September 30, 2025]:[Column18]])</f>
        <v>4</v>
      </c>
      <c r="D60" t="str">
        <f>_xlfn.XLOOKUP(Table16[[#This Row],[Name]],Table4[Name],Table4[Points],"DNP",0,1)</f>
        <v>DNP</v>
      </c>
      <c r="E60" t="str">
        <f>_xlfn.XLOOKUP(Table16[[#This Row],[Name]],Table9[Name],Table9[Points],"DNP",0,1)</f>
        <v>DNP</v>
      </c>
      <c r="F60" t="str">
        <f>_xlfn.XLOOKUP(Table16[[#This Row],[Name]],Table18[Name],Table18[Points],"DNP",0,1)</f>
        <v>DNP</v>
      </c>
      <c r="G60" t="str">
        <f>_xlfn.XLOOKUP(Table16[[#This Row],[Name]],Table2[Name],Table2[Points],"DNP",0,1)</f>
        <v>DNP</v>
      </c>
      <c r="H60" t="str">
        <f>_xlfn.XLOOKUP(Table16[[#This Row],[Name]],Table211[Name],Table211[Points],"DNP",0,1)</f>
        <v>DNP</v>
      </c>
      <c r="I60" t="str">
        <f>_xlfn.XLOOKUP(Table16[[#This Row],[Name]],Table21112[Name],Table21112[Points],"DNP",0,1)</f>
        <v>DNP</v>
      </c>
      <c r="J60" t="str">
        <f>_xlfn.XLOOKUP(Table16[[#This Row],[Name]],Table21112164[Name],Table21112164[Points],"DNP",0,1)</f>
        <v>DNP</v>
      </c>
      <c r="K60">
        <f>_xlfn.XLOOKUP(Table16[[#This Row],[Name]],Table2111216420[Name],Table2111216420[Points],"DNP",0,1)</f>
        <v>1</v>
      </c>
      <c r="L60" t="str">
        <f>_xlfn.XLOOKUP(Table16[[#This Row],[Name]],Table211121642021[Name],Table211121642021[Points],"DNP",0,1)</f>
        <v>DNP</v>
      </c>
      <c r="M60" t="str">
        <f>_xlfn.XLOOKUP(Table16[[#This Row],[Name]],Table21112164202122[Name],Table21112164202122[Points],"DNP",0,1)</f>
        <v>DNP</v>
      </c>
      <c r="N60" t="str">
        <f>_xlfn.XLOOKUP(Table16[[#This Row],[Name]],Table2111216420212223[Name],Table2111216420212223[Points],"DNP",0,1)</f>
        <v>DNP</v>
      </c>
      <c r="O60" t="str">
        <f>_xlfn.XLOOKUP(Table16[[#This Row],[Name]],Table211121642021222325[Name],Table211121642021222325[Points],"DNP",0,1)</f>
        <v>DNP</v>
      </c>
      <c r="P60">
        <f>_xlfn.XLOOKUP(Table16[[#This Row],[Name]],Table21112164202122232534[Name],Table21112164202122232534[Points],"DNP",0,1)</f>
        <v>1</v>
      </c>
      <c r="Q60">
        <f>_xlfn.XLOOKUP(Table16[[#This Row],[Name]],Table2111216420212223253435[Name],Table2111216420212223253435[Points],"DNP",0,1)</f>
        <v>1</v>
      </c>
      <c r="R60" t="str">
        <f>_xlfn.XLOOKUP(Table16[[#This Row],[Name]],Table211121642021222325343536[Name],Table211121642021222325343536[Points],"DNP",0,1)</f>
        <v>DNP</v>
      </c>
      <c r="S60" t="str">
        <f>_xlfn.XLOOKUP(Table16[[#This Row],[Name]],Table21112164202122232534353637[Name],Table21112164202122232534353637[Points],"DNP",0,1)</f>
        <v>DNP</v>
      </c>
      <c r="T60">
        <f>_xlfn.XLOOKUP(Table16[[#This Row],[Name]],Table2111216420212223253435363738[Name],Table2111216420212223253435363738[Points],"DNP",0,1)</f>
        <v>1</v>
      </c>
      <c r="U60" t="str">
        <f>_xlfn.XLOOKUP(Table16[[#This Row],[Name]],Table2111216420212223253435363739[Name],Table2111216420212223253435363739[Points],"DNP",0,1)</f>
        <v>DNP</v>
      </c>
      <c r="V60" t="str">
        <f>_xlfn.XLOOKUP(Table16[[#This Row],[Name]],Table211121642021222325343536373841[Name],Table211121642021222325343536373841[Points],"DNP",0,1)</f>
        <v>DNP</v>
      </c>
    </row>
    <row r="61" spans="2:22">
      <c r="B61" t="str">
        <f>IFERROR(Table5[[#This Row],[Full name]],"")</f>
        <v>Ray Macaulay</v>
      </c>
      <c r="C61" s="68">
        <f>SUM(Table16[[#This Row],[September 30, 2025]:[Column18]])</f>
        <v>9</v>
      </c>
      <c r="D61">
        <f>_xlfn.XLOOKUP(Table16[[#This Row],[Name]],Table4[Name],Table4[Points],"DNP",0,1)</f>
        <v>2</v>
      </c>
      <c r="E61">
        <f>_xlfn.XLOOKUP(Table16[[#This Row],[Name]],Table9[Name],Table9[Points],"DNP",0,1)</f>
        <v>1</v>
      </c>
      <c r="F61">
        <f>_xlfn.XLOOKUP(Table16[[#This Row],[Name]],Table18[Name],Table18[Points],"DNP",0,1)</f>
        <v>1</v>
      </c>
      <c r="G61">
        <f>_xlfn.XLOOKUP(Table16[[#This Row],[Name]],Table2[Name],Table2[Points],"DNP",0,1)</f>
        <v>1</v>
      </c>
      <c r="H61">
        <f>_xlfn.XLOOKUP(Table16[[#This Row],[Name]],Table211[Name],Table211[Points],"DNP",0,1)</f>
        <v>1</v>
      </c>
      <c r="I61" t="str">
        <f>_xlfn.XLOOKUP(Table16[[#This Row],[Name]],Table21112[Name],Table21112[Points],"DNP",0,1)</f>
        <v>DNP</v>
      </c>
      <c r="J61" t="str">
        <f>_xlfn.XLOOKUP(Table16[[#This Row],[Name]],Table21112164[Name],Table21112164[Points],"DNP",0,1)</f>
        <v>DNP</v>
      </c>
      <c r="K61" t="str">
        <f>_xlfn.XLOOKUP(Table16[[#This Row],[Name]],Table2111216420[Name],Table2111216420[Points],"DNP",0,1)</f>
        <v>DNP</v>
      </c>
      <c r="L61">
        <f>_xlfn.XLOOKUP(Table16[[#This Row],[Name]],Table211121642021[Name],Table211121642021[Points],"DNP",0,1)</f>
        <v>1</v>
      </c>
      <c r="M61" t="str">
        <f>_xlfn.XLOOKUP(Table16[[#This Row],[Name]],Table21112164202122[Name],Table21112164202122[Points],"DNP",0,1)</f>
        <v>DNP</v>
      </c>
      <c r="N61" t="str">
        <f>_xlfn.XLOOKUP(Table16[[#This Row],[Name]],Table2111216420212223[Name],Table2111216420212223[Points],"DNP",0,1)</f>
        <v>DNP</v>
      </c>
      <c r="O61">
        <f>_xlfn.XLOOKUP(Table16[[#This Row],[Name]],Table211121642021222325[Name],Table211121642021222325[Points],"DNP",0,1)</f>
        <v>1</v>
      </c>
      <c r="P61" t="str">
        <f>_xlfn.XLOOKUP(Table16[[#This Row],[Name]],Table21112164202122232534[Name],Table21112164202122232534[Points],"DNP",0,1)</f>
        <v>DNP</v>
      </c>
      <c r="Q61" t="str">
        <f>_xlfn.XLOOKUP(Table16[[#This Row],[Name]],Table2111216420212223253435[Name],Table2111216420212223253435[Points],"DNP",0,1)</f>
        <v>DNP</v>
      </c>
      <c r="R61" t="str">
        <f>_xlfn.XLOOKUP(Table16[[#This Row],[Name]],Table211121642021222325343536[Name],Table211121642021222325343536[Points],"DNP",0,1)</f>
        <v>DNP</v>
      </c>
      <c r="S61" t="str">
        <f>_xlfn.XLOOKUP(Table16[[#This Row],[Name]],Table21112164202122232534353637[Name],Table21112164202122232534353637[Points],"DNP",0,1)</f>
        <v>DNP</v>
      </c>
      <c r="T61" t="str">
        <f>_xlfn.XLOOKUP(Table16[[#This Row],[Name]],Table2111216420212223253435363738[Name],Table2111216420212223253435363738[Points],"DNP",0,1)</f>
        <v>DNP</v>
      </c>
      <c r="U61">
        <f>_xlfn.XLOOKUP(Table16[[#This Row],[Name]],Table2111216420212223253435363739[Name],Table2111216420212223253435363739[Points],"DNP",0,1)</f>
        <v>1</v>
      </c>
      <c r="V61" t="str">
        <f>_xlfn.XLOOKUP(Table16[[#This Row],[Name]],Table211121642021222325343536373841[Name],Table211121642021222325343536373841[Points],"DNP",0,1)</f>
        <v>DNP</v>
      </c>
    </row>
    <row r="62" spans="2:22">
      <c r="B62" t="str">
        <f>IFERROR(Table5[[#This Row],[Full name]],"")</f>
        <v>Richard Pan</v>
      </c>
      <c r="C62" s="68">
        <f>SUM(Table16[[#This Row],[September 30, 2025]:[Column18]])</f>
        <v>58</v>
      </c>
      <c r="D62">
        <f>_xlfn.XLOOKUP(Table16[[#This Row],[Name]],Table4[Name],Table4[Points],"DNP",0,1)</f>
        <v>30</v>
      </c>
      <c r="E62" t="str">
        <f>_xlfn.XLOOKUP(Table16[[#This Row],[Name]],Table9[Name],Table9[Points],"DNP",0,1)</f>
        <v>DNP</v>
      </c>
      <c r="F62">
        <f>_xlfn.XLOOKUP(Table16[[#This Row],[Name]],Table18[Name],Table18[Points],"DNP",0,1)</f>
        <v>4</v>
      </c>
      <c r="G62">
        <f>_xlfn.XLOOKUP(Table16[[#This Row],[Name]],Table2[Name],Table2[Points],"DNP",0,1)</f>
        <v>1</v>
      </c>
      <c r="H62">
        <f>_xlfn.XLOOKUP(Table16[[#This Row],[Name]],Table211[Name],Table211[Points],"DNP",0,1)</f>
        <v>3</v>
      </c>
      <c r="I62">
        <f>_xlfn.XLOOKUP(Table16[[#This Row],[Name]],Table21112[Name],Table21112[Points],"DNP",0,1)</f>
        <v>2</v>
      </c>
      <c r="J62">
        <f>_xlfn.XLOOKUP(Table16[[#This Row],[Name]],Table21112164[Name],Table21112164[Points],"DNP",0,1)</f>
        <v>2</v>
      </c>
      <c r="K62">
        <f>_xlfn.XLOOKUP(Table16[[#This Row],[Name]],Table2111216420[Name],Table2111216420[Points],"DNP",0,1)</f>
        <v>2</v>
      </c>
      <c r="L62">
        <f>_xlfn.XLOOKUP(Table16[[#This Row],[Name]],Table211121642021[Name],Table211121642021[Points],"DNP",0,1)</f>
        <v>2</v>
      </c>
      <c r="M62">
        <f>_xlfn.XLOOKUP(Table16[[#This Row],[Name]],Table21112164202122[Name],Table21112164202122[Points],"DNP",0,1)</f>
        <v>1</v>
      </c>
      <c r="N62">
        <f>_xlfn.XLOOKUP(Table16[[#This Row],[Name]],Table2111216420212223[Name],Table2111216420212223[Points],"DNP",0,1)</f>
        <v>1</v>
      </c>
      <c r="O62" t="str">
        <f>_xlfn.XLOOKUP(Table16[[#This Row],[Name]],Table211121642021222325[Name],Table211121642021222325[Points],"DNP",0,1)</f>
        <v>DNP</v>
      </c>
      <c r="P62">
        <f>_xlfn.XLOOKUP(Table16[[#This Row],[Name]],Table21112164202122232534[Name],Table21112164202122232534[Points],"DNP",0,1)</f>
        <v>1</v>
      </c>
      <c r="Q62">
        <f>_xlfn.XLOOKUP(Table16[[#This Row],[Name]],Table2111216420212223253435[Name],Table2111216420212223253435[Points],"DNP",0,1)</f>
        <v>2</v>
      </c>
      <c r="R62">
        <f>_xlfn.XLOOKUP(Table16[[#This Row],[Name]],Table211121642021222325343536[Name],Table211121642021222325343536[Points],"DNP",0,1)</f>
        <v>1</v>
      </c>
      <c r="S62">
        <f>_xlfn.XLOOKUP(Table16[[#This Row],[Name]],Table21112164202122232534353637[Name],Table21112164202122232534353637[Points],"DNP",0,1)</f>
        <v>1</v>
      </c>
      <c r="T62">
        <f>_xlfn.XLOOKUP(Table16[[#This Row],[Name]],Table2111216420212223253435363738[Name],Table2111216420212223253435363738[Points],"DNP",0,1)</f>
        <v>1</v>
      </c>
      <c r="U62">
        <f>_xlfn.XLOOKUP(Table16[[#This Row],[Name]],Table2111216420212223253435363739[Name],Table2111216420212223253435363739[Points],"DNP",0,1)</f>
        <v>4</v>
      </c>
      <c r="V62" t="str">
        <f>_xlfn.XLOOKUP(Table16[[#This Row],[Name]],Table211121642021222325343536373841[Name],Table211121642021222325343536373841[Points],"DNP",0,1)</f>
        <v>DNP</v>
      </c>
    </row>
    <row r="63" spans="2:22">
      <c r="B63" t="str">
        <f>IFERROR(Table5[[#This Row],[Full name]],"")</f>
        <v>Sabrina Vong</v>
      </c>
      <c r="C63" s="68">
        <f>SUM(Table16[[#This Row],[September 30, 2025]:[Column18]])</f>
        <v>19</v>
      </c>
      <c r="D63" t="str">
        <f>_xlfn.XLOOKUP(Table16[[#This Row],[Name]],Table4[Name],Table4[Points],"DNP",0,1)</f>
        <v>DNP</v>
      </c>
      <c r="E63" t="str">
        <f>_xlfn.XLOOKUP(Table16[[#This Row],[Name]],Table9[Name],Table9[Points],"DNP",0,1)</f>
        <v>DNP</v>
      </c>
      <c r="F63">
        <f>_xlfn.XLOOKUP(Table16[[#This Row],[Name]],Table18[Name],Table18[Points],"DNP",0,1)</f>
        <v>2</v>
      </c>
      <c r="G63" t="str">
        <f>_xlfn.XLOOKUP(Table16[[#This Row],[Name]],Table2[Name],Table2[Points],"DNP",0,1)</f>
        <v>DNP</v>
      </c>
      <c r="H63">
        <f>_xlfn.XLOOKUP(Table16[[#This Row],[Name]],Table211[Name],Table211[Points],"DNP",0,1)</f>
        <v>4</v>
      </c>
      <c r="I63">
        <f>_xlfn.XLOOKUP(Table16[[#This Row],[Name]],Table21112[Name],Table21112[Points],"DNP",0,1)</f>
        <v>2</v>
      </c>
      <c r="J63">
        <f>_xlfn.XLOOKUP(Table16[[#This Row],[Name]],Table21112164[Name],Table21112164[Points],"DNP",0,1)</f>
        <v>1</v>
      </c>
      <c r="K63">
        <f>_xlfn.XLOOKUP(Table16[[#This Row],[Name]],Table2111216420[Name],Table2111216420[Points],"DNP",0,1)</f>
        <v>2</v>
      </c>
      <c r="L63">
        <f>_xlfn.XLOOKUP(Table16[[#This Row],[Name]],Table211121642021[Name],Table211121642021[Points],"DNP",0,1)</f>
        <v>1</v>
      </c>
      <c r="M63">
        <f>_xlfn.XLOOKUP(Table16[[#This Row],[Name]],Table21112164202122[Name],Table21112164202122[Points],"DNP",0,1)</f>
        <v>1</v>
      </c>
      <c r="N63">
        <f>_xlfn.XLOOKUP(Table16[[#This Row],[Name]],Table2111216420212223[Name],Table2111216420212223[Points],"DNP",0,1)</f>
        <v>1</v>
      </c>
      <c r="O63">
        <f>_xlfn.XLOOKUP(Table16[[#This Row],[Name]],Table211121642021222325[Name],Table211121642021222325[Points],"DNP",0,1)</f>
        <v>2</v>
      </c>
      <c r="P63" t="str">
        <f>_xlfn.XLOOKUP(Table16[[#This Row],[Name]],Table21112164202122232534[Name],Table21112164202122232534[Points],"DNP",0,1)</f>
        <v>DNP</v>
      </c>
      <c r="Q63">
        <f>_xlfn.XLOOKUP(Table16[[#This Row],[Name]],Table2111216420212223253435[Name],Table2111216420212223253435[Points],"DNP",0,1)</f>
        <v>2</v>
      </c>
      <c r="R63" t="str">
        <f>_xlfn.XLOOKUP(Table16[[#This Row],[Name]],Table211121642021222325343536[Name],Table211121642021222325343536[Points],"DNP",0,1)</f>
        <v>DNP</v>
      </c>
      <c r="S63" t="str">
        <f>_xlfn.XLOOKUP(Table16[[#This Row],[Name]],Table21112164202122232534353637[Name],Table21112164202122232534353637[Points],"DNP",0,1)</f>
        <v>DNP</v>
      </c>
      <c r="T63" t="str">
        <f>_xlfn.XLOOKUP(Table16[[#This Row],[Name]],Table2111216420212223253435363738[Name],Table2111216420212223253435363738[Points],"DNP",0,1)</f>
        <v>DNP</v>
      </c>
      <c r="U63">
        <f>_xlfn.XLOOKUP(Table16[[#This Row],[Name]],Table2111216420212223253435363739[Name],Table2111216420212223253435363739[Points],"DNP",0,1)</f>
        <v>1</v>
      </c>
      <c r="V63" t="str">
        <f>_xlfn.XLOOKUP(Table16[[#This Row],[Name]],Table211121642021222325343536373841[Name],Table211121642021222325343536373841[Points],"DNP",0,1)</f>
        <v>DNP</v>
      </c>
    </row>
    <row r="64" spans="2:22">
      <c r="B64" t="str">
        <f>IFERROR(Table5[[#This Row],[Full name]],"")</f>
        <v>Sanjay Snaidero</v>
      </c>
      <c r="C64" s="68">
        <f>SUM(Table16[[#This Row],[September 30, 2025]:[Column18]])</f>
        <v>3</v>
      </c>
      <c r="D64" t="str">
        <f>_xlfn.XLOOKUP(Table16[[#This Row],[Name]],Table4[Name],Table4[Points],"DNP",0,1)</f>
        <v>DNP</v>
      </c>
      <c r="E64" t="str">
        <f>_xlfn.XLOOKUP(Table16[[#This Row],[Name]],Table9[Name],Table9[Points],"DNP",0,1)</f>
        <v>DNP</v>
      </c>
      <c r="F64" t="str">
        <f>_xlfn.XLOOKUP(Table16[[#This Row],[Name]],Table18[Name],Table18[Points],"DNP",0,1)</f>
        <v>DNP</v>
      </c>
      <c r="G64">
        <f>_xlfn.XLOOKUP(Table16[[#This Row],[Name]],Table2[Name],Table2[Points],"DNP",0,1)</f>
        <v>1</v>
      </c>
      <c r="H64" t="str">
        <f>_xlfn.XLOOKUP(Table16[[#This Row],[Name]],Table211[Name],Table211[Points],"DNP",0,1)</f>
        <v>DNP</v>
      </c>
      <c r="I64" t="str">
        <f>_xlfn.XLOOKUP(Table16[[#This Row],[Name]],Table21112[Name],Table21112[Points],"DNP",0,1)</f>
        <v>DNP</v>
      </c>
      <c r="J64" t="str">
        <f>_xlfn.XLOOKUP(Table16[[#This Row],[Name]],Table21112164[Name],Table21112164[Points],"DNP",0,1)</f>
        <v>DNP</v>
      </c>
      <c r="K64" t="str">
        <f>_xlfn.XLOOKUP(Table16[[#This Row],[Name]],Table2111216420[Name],Table2111216420[Points],"DNP",0,1)</f>
        <v>DNP</v>
      </c>
      <c r="L64" t="str">
        <f>_xlfn.XLOOKUP(Table16[[#This Row],[Name]],Table211121642021[Name],Table211121642021[Points],"DNP",0,1)</f>
        <v>DNP</v>
      </c>
      <c r="M64">
        <f>_xlfn.XLOOKUP(Table16[[#This Row],[Name]],Table21112164202122[Name],Table21112164202122[Points],"DNP",0,1)</f>
        <v>2</v>
      </c>
      <c r="N64" t="str">
        <f>_xlfn.XLOOKUP(Table16[[#This Row],[Name]],Table2111216420212223[Name],Table2111216420212223[Points],"DNP",0,1)</f>
        <v>DNP</v>
      </c>
      <c r="O64" t="str">
        <f>_xlfn.XLOOKUP(Table16[[#This Row],[Name]],Table211121642021222325[Name],Table211121642021222325[Points],"DNP",0,1)</f>
        <v>DNP</v>
      </c>
      <c r="P64" t="str">
        <f>_xlfn.XLOOKUP(Table16[[#This Row],[Name]],Table21112164202122232534[Name],Table21112164202122232534[Points],"DNP",0,1)</f>
        <v>DNP</v>
      </c>
      <c r="Q64" t="str">
        <f>_xlfn.XLOOKUP(Table16[[#This Row],[Name]],Table2111216420212223253435[Name],Table2111216420212223253435[Points],"DNP",0,1)</f>
        <v>DNP</v>
      </c>
      <c r="R64" t="str">
        <f>_xlfn.XLOOKUP(Table16[[#This Row],[Name]],Table211121642021222325343536[Name],Table211121642021222325343536[Points],"DNP",0,1)</f>
        <v>DNP</v>
      </c>
      <c r="S64" t="str">
        <f>_xlfn.XLOOKUP(Table16[[#This Row],[Name]],Table21112164202122232534353637[Name],Table21112164202122232534353637[Points],"DNP",0,1)</f>
        <v>DNP</v>
      </c>
      <c r="T64" t="str">
        <f>_xlfn.XLOOKUP(Table16[[#This Row],[Name]],Table2111216420212223253435363738[Name],Table2111216420212223253435363738[Points],"DNP",0,1)</f>
        <v>DNP</v>
      </c>
      <c r="U64" t="str">
        <f>_xlfn.XLOOKUP(Table16[[#This Row],[Name]],Table2111216420212223253435363739[Name],Table2111216420212223253435363739[Points],"DNP",0,1)</f>
        <v>DNP</v>
      </c>
      <c r="V64" t="str">
        <f>_xlfn.XLOOKUP(Table16[[#This Row],[Name]],Table211121642021222325343536373841[Name],Table211121642021222325343536373841[Points],"DNP",0,1)</f>
        <v>DNP</v>
      </c>
    </row>
    <row r="65" spans="2:22">
      <c r="B65" t="str">
        <f>IFERROR(Table5[[#This Row],[Full name]],"")</f>
        <v>Sawyer Sanderson</v>
      </c>
      <c r="C65" s="68">
        <f>SUM(Table16[[#This Row],[September 30, 2025]:[Column18]])</f>
        <v>27</v>
      </c>
      <c r="D65">
        <f>_xlfn.XLOOKUP(Table16[[#This Row],[Name]],Table4[Name],Table4[Points],"DNP",0,1)</f>
        <v>1</v>
      </c>
      <c r="E65" t="str">
        <f>_xlfn.XLOOKUP(Table16[[#This Row],[Name]],Table9[Name],Table9[Points],"DNP",0,1)</f>
        <v>DNP</v>
      </c>
      <c r="F65">
        <f>_xlfn.XLOOKUP(Table16[[#This Row],[Name]],Table18[Name],Table18[Points],"DNP",0,1)</f>
        <v>2</v>
      </c>
      <c r="G65">
        <f>_xlfn.XLOOKUP(Table16[[#This Row],[Name]],Table2[Name],Table2[Points],"DNP",0,1)</f>
        <v>1</v>
      </c>
      <c r="H65" t="str">
        <f>_xlfn.XLOOKUP(Table16[[#This Row],[Name]],Table211[Name],Table211[Points],"DNP",0,1)</f>
        <v>DNP</v>
      </c>
      <c r="I65" t="str">
        <f>_xlfn.XLOOKUP(Table16[[#This Row],[Name]],Table21112[Name],Table21112[Points],"DNP",0,1)</f>
        <v>DNP</v>
      </c>
      <c r="J65">
        <f>_xlfn.XLOOKUP(Table16[[#This Row],[Name]],Table21112164[Name],Table21112164[Points],"DNP",0,1)</f>
        <v>2</v>
      </c>
      <c r="K65">
        <f>_xlfn.XLOOKUP(Table16[[#This Row],[Name]],Table2111216420[Name],Table2111216420[Points],"DNP",0,1)</f>
        <v>1</v>
      </c>
      <c r="L65">
        <f>_xlfn.XLOOKUP(Table16[[#This Row],[Name]],Table211121642021[Name],Table211121642021[Points],"DNP",0,1)</f>
        <v>1</v>
      </c>
      <c r="M65">
        <f>_xlfn.XLOOKUP(Table16[[#This Row],[Name]],Table21112164202122[Name],Table21112164202122[Points],"DNP",0,1)</f>
        <v>10</v>
      </c>
      <c r="N65">
        <f>_xlfn.XLOOKUP(Table16[[#This Row],[Name]],Table2111216420212223[Name],Table2111216420212223[Points],"DNP",0,1)</f>
        <v>2</v>
      </c>
      <c r="O65">
        <f>_xlfn.XLOOKUP(Table16[[#This Row],[Name]],Table211121642021222325[Name],Table211121642021222325[Points],"DNP",0,1)</f>
        <v>1</v>
      </c>
      <c r="P65">
        <f>_xlfn.XLOOKUP(Table16[[#This Row],[Name]],Table21112164202122232534[Name],Table21112164202122232534[Points],"DNP",0,1)</f>
        <v>1</v>
      </c>
      <c r="Q65">
        <f>_xlfn.XLOOKUP(Table16[[#This Row],[Name]],Table2111216420212223253435[Name],Table2111216420212223253435[Points],"DNP",0,1)</f>
        <v>1</v>
      </c>
      <c r="R65" t="str">
        <f>_xlfn.XLOOKUP(Table16[[#This Row],[Name]],Table211121642021222325343536[Name],Table211121642021222325343536[Points],"DNP",0,1)</f>
        <v>DNP</v>
      </c>
      <c r="S65" t="str">
        <f>_xlfn.XLOOKUP(Table16[[#This Row],[Name]],Table21112164202122232534353637[Name],Table21112164202122232534353637[Points],"DNP",0,1)</f>
        <v>DNP</v>
      </c>
      <c r="T65">
        <f>_xlfn.XLOOKUP(Table16[[#This Row],[Name]],Table2111216420212223253435363738[Name],Table2111216420212223253435363738[Points],"DNP",0,1)</f>
        <v>2</v>
      </c>
      <c r="U65">
        <f>_xlfn.XLOOKUP(Table16[[#This Row],[Name]],Table2111216420212223253435363739[Name],Table2111216420212223253435363739[Points],"DNP",0,1)</f>
        <v>2</v>
      </c>
      <c r="V65" t="str">
        <f>_xlfn.XLOOKUP(Table16[[#This Row],[Name]],Table211121642021222325343536373841[Name],Table211121642021222325343536373841[Points],"DNP",0,1)</f>
        <v>DNP</v>
      </c>
    </row>
    <row r="66" spans="2:22">
      <c r="B66" t="str">
        <f>IFERROR(Table5[[#This Row],[Full name]],"")</f>
        <v>Verissa Liu</v>
      </c>
      <c r="C66" s="68">
        <f>SUM(Table16[[#This Row],[September 30, 2025]:[Column18]])</f>
        <v>59</v>
      </c>
      <c r="D66">
        <f>_xlfn.XLOOKUP(Table16[[#This Row],[Name]],Table4[Name],Table4[Points],"DNP",0,1)</f>
        <v>1</v>
      </c>
      <c r="E66">
        <f>_xlfn.XLOOKUP(Table16[[#This Row],[Name]],Table9[Name],Table9[Points],"DNP",0,1)</f>
        <v>2</v>
      </c>
      <c r="F66">
        <f>_xlfn.XLOOKUP(Table16[[#This Row],[Name]],Table18[Name],Table18[Points],"DNP",0,1)</f>
        <v>2</v>
      </c>
      <c r="G66">
        <f>_xlfn.XLOOKUP(Table16[[#This Row],[Name]],Table2[Name],Table2[Points],"DNP",0,1)</f>
        <v>2</v>
      </c>
      <c r="H66">
        <f>_xlfn.XLOOKUP(Table16[[#This Row],[Name]],Table211[Name],Table211[Points],"DNP",0,1)</f>
        <v>20</v>
      </c>
      <c r="I66">
        <f>_xlfn.XLOOKUP(Table16[[#This Row],[Name]],Table21112[Name],Table21112[Points],"DNP",0,1)</f>
        <v>1</v>
      </c>
      <c r="J66">
        <f>_xlfn.XLOOKUP(Table16[[#This Row],[Name]],Table21112164[Name],Table21112164[Points],"DNP",0,1)</f>
        <v>1</v>
      </c>
      <c r="K66">
        <f>_xlfn.XLOOKUP(Table16[[#This Row],[Name]],Table2111216420[Name],Table2111216420[Points],"DNP",0,1)</f>
        <v>4</v>
      </c>
      <c r="L66">
        <f>_xlfn.XLOOKUP(Table16[[#This Row],[Name]],Table211121642021[Name],Table211121642021[Points],"DNP",0,1)</f>
        <v>2</v>
      </c>
      <c r="M66">
        <f>_xlfn.XLOOKUP(Table16[[#This Row],[Name]],Table21112164202122[Name],Table21112164202122[Points],"DNP",0,1)</f>
        <v>8</v>
      </c>
      <c r="N66">
        <f>_xlfn.XLOOKUP(Table16[[#This Row],[Name]],Table2111216420212223[Name],Table2111216420212223[Points],"DNP",0,1)</f>
        <v>4</v>
      </c>
      <c r="O66">
        <f>_xlfn.XLOOKUP(Table16[[#This Row],[Name]],Table211121642021222325[Name],Table211121642021222325[Points],"DNP",0,1)</f>
        <v>1</v>
      </c>
      <c r="P66">
        <f>_xlfn.XLOOKUP(Table16[[#This Row],[Name]],Table21112164202122232534[Name],Table21112164202122232534[Points],"DNP",0,1)</f>
        <v>2</v>
      </c>
      <c r="Q66">
        <f>_xlfn.XLOOKUP(Table16[[#This Row],[Name]],Table2111216420212223253435[Name],Table2111216420212223253435[Points],"DNP",0,1)</f>
        <v>1</v>
      </c>
      <c r="R66">
        <f>_xlfn.XLOOKUP(Table16[[#This Row],[Name]],Table211121642021222325343536[Name],Table211121642021222325343536[Points],"DNP",0,1)</f>
        <v>1</v>
      </c>
      <c r="S66">
        <f>_xlfn.XLOOKUP(Table16[[#This Row],[Name]],Table21112164202122232534353637[Name],Table21112164202122232534353637[Points],"DNP",0,1)</f>
        <v>2</v>
      </c>
      <c r="T66">
        <f>_xlfn.XLOOKUP(Table16[[#This Row],[Name]],Table2111216420212223253435363738[Name],Table2111216420212223253435363738[Points],"DNP",0,1)</f>
        <v>2</v>
      </c>
      <c r="U66">
        <f>_xlfn.XLOOKUP(Table16[[#This Row],[Name]],Table2111216420212223253435363739[Name],Table2111216420212223253435363739[Points],"DNP",0,1)</f>
        <v>2</v>
      </c>
      <c r="V66">
        <f>_xlfn.XLOOKUP(Table16[[#This Row],[Name]],Table211121642021222325343536373841[Name],Table211121642021222325343536373841[Points],"DNP",0,1)</f>
        <v>1</v>
      </c>
    </row>
    <row r="67" spans="2:22">
      <c r="B67" t="str">
        <f>IFERROR(Table5[[#This Row],[Full name]],"")</f>
        <v>William Mah</v>
      </c>
      <c r="C67" s="68">
        <f>SUM(Table16[[#This Row],[September 30, 2025]:[Column18]])</f>
        <v>2</v>
      </c>
      <c r="D67" t="str">
        <f>_xlfn.XLOOKUP(Table16[[#This Row],[Name]],Table4[Name],Table4[Points],"DNP",0,1)</f>
        <v>DNP</v>
      </c>
      <c r="E67" t="str">
        <f>_xlfn.XLOOKUP(Table16[[#This Row],[Name]],Table9[Name],Table9[Points],"DNP",0,1)</f>
        <v>DNP</v>
      </c>
      <c r="F67" t="str">
        <f>_xlfn.XLOOKUP(Table16[[#This Row],[Name]],Table18[Name],Table18[Points],"DNP",0,1)</f>
        <v>DNP</v>
      </c>
      <c r="G67" t="str">
        <f>_xlfn.XLOOKUP(Table16[[#This Row],[Name]],Table2[Name],Table2[Points],"DNP",0,1)</f>
        <v>DNP</v>
      </c>
      <c r="H67" t="str">
        <f>_xlfn.XLOOKUP(Table16[[#This Row],[Name]],Table211[Name],Table211[Points],"DNP",0,1)</f>
        <v>DNP</v>
      </c>
      <c r="I67" t="str">
        <f>_xlfn.XLOOKUP(Table16[[#This Row],[Name]],Table21112[Name],Table21112[Points],"DNP",0,1)</f>
        <v>DNP</v>
      </c>
      <c r="J67" t="str">
        <f>_xlfn.XLOOKUP(Table16[[#This Row],[Name]],Table21112164[Name],Table21112164[Points],"DNP",0,1)</f>
        <v>DNP</v>
      </c>
      <c r="K67" t="str">
        <f>_xlfn.XLOOKUP(Table16[[#This Row],[Name]],Table2111216420[Name],Table2111216420[Points],"DNP",0,1)</f>
        <v>DNP</v>
      </c>
      <c r="L67">
        <f>_xlfn.XLOOKUP(Table16[[#This Row],[Name]],Table211121642021[Name],Table211121642021[Points],"DNP",0,1)</f>
        <v>1</v>
      </c>
      <c r="M67" t="str">
        <f>_xlfn.XLOOKUP(Table16[[#This Row],[Name]],Table21112164202122[Name],Table21112164202122[Points],"DNP",0,1)</f>
        <v>DNP</v>
      </c>
      <c r="N67" t="str">
        <f>_xlfn.XLOOKUP(Table16[[#This Row],[Name]],Table2111216420212223[Name],Table2111216420212223[Points],"DNP",0,1)</f>
        <v>DNP</v>
      </c>
      <c r="O67" t="str">
        <f>_xlfn.XLOOKUP(Table16[[#This Row],[Name]],Table211121642021222325[Name],Table211121642021222325[Points],"DNP",0,1)</f>
        <v>DNP</v>
      </c>
      <c r="P67" t="str">
        <f>_xlfn.XLOOKUP(Table16[[#This Row],[Name]],Table21112164202122232534[Name],Table21112164202122232534[Points],"DNP",0,1)</f>
        <v>DNP</v>
      </c>
      <c r="Q67" t="str">
        <f>_xlfn.XLOOKUP(Table16[[#This Row],[Name]],Table2111216420212223253435[Name],Table2111216420212223253435[Points],"DNP",0,1)</f>
        <v>DNP</v>
      </c>
      <c r="R67">
        <f>_xlfn.XLOOKUP(Table16[[#This Row],[Name]],Table211121642021222325343536[Name],Table211121642021222325343536[Points],"DNP",0,1)</f>
        <v>1</v>
      </c>
      <c r="S67" t="str">
        <f>_xlfn.XLOOKUP(Table16[[#This Row],[Name]],Table21112164202122232534353637[Name],Table21112164202122232534353637[Points],"DNP",0,1)</f>
        <v>DNP</v>
      </c>
      <c r="T67" t="str">
        <f>_xlfn.XLOOKUP(Table16[[#This Row],[Name]],Table2111216420212223253435363738[Name],Table2111216420212223253435363738[Points],"DNP",0,1)</f>
        <v>DNP</v>
      </c>
      <c r="U67" t="str">
        <f>_xlfn.XLOOKUP(Table16[[#This Row],[Name]],Table2111216420212223253435363739[Name],Table2111216420212223253435363739[Points],"DNP",0,1)</f>
        <v>DNP</v>
      </c>
      <c r="V67" t="str">
        <f>_xlfn.XLOOKUP(Table16[[#This Row],[Name]],Table211121642021222325343536373841[Name],Table211121642021222325343536373841[Points],"DNP",0,1)</f>
        <v>DNP</v>
      </c>
    </row>
    <row r="68" spans="2:22">
      <c r="B68" t="str">
        <f>IFERROR(Table5[[#This Row],[Full name]],"")</f>
        <v>Zach Brotman</v>
      </c>
      <c r="C68" s="68">
        <f>SUM(Table16[[#This Row],[September 30, 2025]:[Column18]])</f>
        <v>7</v>
      </c>
      <c r="D68" t="str">
        <f>_xlfn.XLOOKUP(Table16[[#This Row],[Name]],Table4[Name],Table4[Points],"DNP",0,1)</f>
        <v>DNP</v>
      </c>
      <c r="E68" t="str">
        <f>_xlfn.XLOOKUP(Table16[[#This Row],[Name]],Table9[Name],Table9[Points],"DNP",0,1)</f>
        <v>DNP</v>
      </c>
      <c r="F68">
        <f>_xlfn.XLOOKUP(Table16[[#This Row],[Name]],Table18[Name],Table18[Points],"DNP",0,1)</f>
        <v>2</v>
      </c>
      <c r="G68" t="str">
        <f>_xlfn.XLOOKUP(Table16[[#This Row],[Name]],Table2[Name],Table2[Points],"DNP",0,1)</f>
        <v>DNP</v>
      </c>
      <c r="H68" t="str">
        <f>_xlfn.XLOOKUP(Table16[[#This Row],[Name]],Table211[Name],Table211[Points],"DNP",0,1)</f>
        <v>DNP</v>
      </c>
      <c r="I68">
        <f>_xlfn.XLOOKUP(Table16[[#This Row],[Name]],Table21112[Name],Table21112[Points],"DNP",0,1)</f>
        <v>2</v>
      </c>
      <c r="J68" t="str">
        <f>_xlfn.XLOOKUP(Table16[[#This Row],[Name]],Table21112164[Name],Table21112164[Points],"DNP",0,1)</f>
        <v>DNP</v>
      </c>
      <c r="K68" t="str">
        <f>_xlfn.XLOOKUP(Table16[[#This Row],[Name]],Table2111216420[Name],Table2111216420[Points],"DNP",0,1)</f>
        <v>DNP</v>
      </c>
      <c r="L68" t="str">
        <f>_xlfn.XLOOKUP(Table16[[#This Row],[Name]],Table211121642021[Name],Table211121642021[Points],"DNP",0,1)</f>
        <v>DNP</v>
      </c>
      <c r="M68">
        <f>_xlfn.XLOOKUP(Table16[[#This Row],[Name]],Table21112164202122[Name],Table21112164202122[Points],"DNP",0,1)</f>
        <v>1</v>
      </c>
      <c r="N68" t="str">
        <f>_xlfn.XLOOKUP(Table16[[#This Row],[Name]],Table2111216420212223[Name],Table2111216420212223[Points],"DNP",0,1)</f>
        <v>DNP</v>
      </c>
      <c r="O68">
        <f>_xlfn.XLOOKUP(Table16[[#This Row],[Name]],Table211121642021222325[Name],Table211121642021222325[Points],"DNP",0,1)</f>
        <v>1</v>
      </c>
      <c r="P68" t="str">
        <f>_xlfn.XLOOKUP(Table16[[#This Row],[Name]],Table21112164202122232534[Name],Table21112164202122232534[Points],"DNP",0,1)</f>
        <v>DNP</v>
      </c>
      <c r="Q68" t="str">
        <f>_xlfn.XLOOKUP(Table16[[#This Row],[Name]],Table2111216420212223253435[Name],Table2111216420212223253435[Points],"DNP",0,1)</f>
        <v>DNP</v>
      </c>
      <c r="R68" t="str">
        <f>_xlfn.XLOOKUP(Table16[[#This Row],[Name]],Table211121642021222325343536[Name],Table211121642021222325343536[Points],"DNP",0,1)</f>
        <v>DNP</v>
      </c>
      <c r="S68" t="str">
        <f>_xlfn.XLOOKUP(Table16[[#This Row],[Name]],Table21112164202122232534353637[Name],Table21112164202122232534353637[Points],"DNP",0,1)</f>
        <v>DNP</v>
      </c>
      <c r="T68" t="str">
        <f>_xlfn.XLOOKUP(Table16[[#This Row],[Name]],Table2111216420212223253435363738[Name],Table2111216420212223253435363738[Points],"DNP",0,1)</f>
        <v>DNP</v>
      </c>
      <c r="U68">
        <f>_xlfn.XLOOKUP(Table16[[#This Row],[Name]],Table2111216420212223253435363739[Name],Table2111216420212223253435363739[Points],"DNP",0,1)</f>
        <v>1</v>
      </c>
      <c r="V68" t="str">
        <f>_xlfn.XLOOKUP(Table16[[#This Row],[Name]],Table211121642021222325343536373841[Name],Table211121642021222325343536373841[Points],"DNP",0,1)</f>
        <v>DNP</v>
      </c>
    </row>
    <row r="69" spans="2:22">
      <c r="B69" t="str">
        <f>IFERROR(Table5[[#This Row],[Full name]],"")</f>
        <v>Zack Hao</v>
      </c>
      <c r="C69" s="68">
        <f>SUM(Table16[[#This Row],[September 30, 2025]:[Column18]])</f>
        <v>12</v>
      </c>
      <c r="D69">
        <f>_xlfn.XLOOKUP(Table16[[#This Row],[Name]],Table4[Name],Table4[Points],"DNP",0,1)</f>
        <v>2</v>
      </c>
      <c r="E69" t="str">
        <f>_xlfn.XLOOKUP(Table16[[#This Row],[Name]],Table9[Name],Table9[Points],"DNP",0,1)</f>
        <v>DNP</v>
      </c>
      <c r="F69" t="str">
        <f>_xlfn.XLOOKUP(Table16[[#This Row],[Name]],Table18[Name],Table18[Points],"DNP",0,1)</f>
        <v>DNP</v>
      </c>
      <c r="G69">
        <f>_xlfn.XLOOKUP(Table16[[#This Row],[Name]],Table2[Name],Table2[Points],"DNP",0,1)</f>
        <v>1</v>
      </c>
      <c r="H69" t="str">
        <f>_xlfn.XLOOKUP(Table16[[#This Row],[Name]],Table211[Name],Table211[Points],"DNP",0,1)</f>
        <v>DNP</v>
      </c>
      <c r="I69" t="str">
        <f>_xlfn.XLOOKUP(Table16[[#This Row],[Name]],Table21112[Name],Table21112[Points],"DNP",0,1)</f>
        <v>DNP</v>
      </c>
      <c r="J69">
        <f>_xlfn.XLOOKUP(Table16[[#This Row],[Name]],Table21112164[Name],Table21112164[Points],"DNP",0,1)</f>
        <v>2</v>
      </c>
      <c r="K69" t="str">
        <f>_xlfn.XLOOKUP(Table16[[#This Row],[Name]],Table2111216420[Name],Table2111216420[Points],"DNP",0,1)</f>
        <v>DNP</v>
      </c>
      <c r="L69">
        <f>_xlfn.XLOOKUP(Table16[[#This Row],[Name]],Table211121642021[Name],Table211121642021[Points],"DNP",0,1)</f>
        <v>1</v>
      </c>
      <c r="M69" t="str">
        <f>_xlfn.XLOOKUP(Table16[[#This Row],[Name]],Table21112164202122[Name],Table21112164202122[Points],"DNP",0,1)</f>
        <v>DNP</v>
      </c>
      <c r="N69" t="str">
        <f>_xlfn.XLOOKUP(Table16[[#This Row],[Name]],Table2111216420212223[Name],Table2111216420212223[Points],"DNP",0,1)</f>
        <v>DNP</v>
      </c>
      <c r="O69" t="str">
        <f>_xlfn.XLOOKUP(Table16[[#This Row],[Name]],Table211121642021222325[Name],Table211121642021222325[Points],"DNP",0,1)</f>
        <v>DNP</v>
      </c>
      <c r="P69">
        <f>_xlfn.XLOOKUP(Table16[[#This Row],[Name]],Table21112164202122232534[Name],Table21112164202122232534[Points],"DNP",0,1)</f>
        <v>1</v>
      </c>
      <c r="Q69" t="str">
        <f>_xlfn.XLOOKUP(Table16[[#This Row],[Name]],Table2111216420212223253435[Name],Table2111216420212223253435[Points],"DNP",0,1)</f>
        <v>DNP</v>
      </c>
      <c r="R69" t="str">
        <f>_xlfn.XLOOKUP(Table16[[#This Row],[Name]],Table211121642021222325343536[Name],Table211121642021222325343536[Points],"DNP",0,1)</f>
        <v>DNP</v>
      </c>
      <c r="S69" t="str">
        <f>_xlfn.XLOOKUP(Table16[[#This Row],[Name]],Table21112164202122232534353637[Name],Table21112164202122232534353637[Points],"DNP",0,1)</f>
        <v>DNP</v>
      </c>
      <c r="T69">
        <f>_xlfn.XLOOKUP(Table16[[#This Row],[Name]],Table2111216420212223253435363738[Name],Table2111216420212223253435363738[Points],"DNP",0,1)</f>
        <v>3</v>
      </c>
      <c r="U69" t="str">
        <f>_xlfn.XLOOKUP(Table16[[#This Row],[Name]],Table2111216420212223253435363739[Name],Table2111216420212223253435363739[Points],"DNP",0,1)</f>
        <v>DNP</v>
      </c>
      <c r="V69">
        <f>_xlfn.XLOOKUP(Table16[[#This Row],[Name]],Table211121642021222325343536373841[Name],Table211121642021222325343536373841[Points],"DNP",0,1)</f>
        <v>2</v>
      </c>
    </row>
    <row r="70" spans="2:22">
      <c r="B70" t="str">
        <f>IFERROR(Table5[[#This Row],[Full name]],"")</f>
        <v>Aadam Lakhani</v>
      </c>
      <c r="C70" s="68">
        <f>SUM(Table16[[#This Row],[September 30, 2025]:[Column18]])</f>
        <v>1</v>
      </c>
      <c r="D70" t="str">
        <f>_xlfn.XLOOKUP(Table16[[#This Row],[Name]],Table4[Name],Table4[Points],"DNP",0,1)</f>
        <v>DNP</v>
      </c>
      <c r="E70" t="str">
        <f>_xlfn.XLOOKUP(Table16[[#This Row],[Name]],Table9[Name],Table9[Points],"DNP",0,1)</f>
        <v>DNP</v>
      </c>
      <c r="F70" t="str">
        <f>_xlfn.XLOOKUP(Table16[[#This Row],[Name]],Table18[Name],Table18[Points],"DNP",0,1)</f>
        <v>DNP</v>
      </c>
      <c r="G70">
        <f>_xlfn.XLOOKUP(Table16[[#This Row],[Name]],Table2[Name],Table2[Points],"DNP",0,1)</f>
        <v>1</v>
      </c>
      <c r="H70" t="str">
        <f>_xlfn.XLOOKUP(Table16[[#This Row],[Name]],Table211[Name],Table211[Points],"DNP",0,1)</f>
        <v>DNP</v>
      </c>
      <c r="I70" t="str">
        <f>_xlfn.XLOOKUP(Table16[[#This Row],[Name]],Table21112[Name],Table21112[Points],"DNP",0,1)</f>
        <v>DNP</v>
      </c>
      <c r="J70" t="str">
        <f>_xlfn.XLOOKUP(Table16[[#This Row],[Name]],Table21112164[Name],Table21112164[Points],"DNP",0,1)</f>
        <v>DNP</v>
      </c>
      <c r="K70" t="str">
        <f>_xlfn.XLOOKUP(Table16[[#This Row],[Name]],Table2111216420[Name],Table2111216420[Points],"DNP",0,1)</f>
        <v>DNP</v>
      </c>
      <c r="L70" t="str">
        <f>_xlfn.XLOOKUP(Table16[[#This Row],[Name]],Table211121642021[Name],Table211121642021[Points],"DNP",0,1)</f>
        <v>DNP</v>
      </c>
      <c r="M70" t="str">
        <f>_xlfn.XLOOKUP(Table16[[#This Row],[Name]],Table21112164202122[Name],Table21112164202122[Points],"DNP",0,1)</f>
        <v>DNP</v>
      </c>
      <c r="N70" t="str">
        <f>_xlfn.XLOOKUP(Table16[[#This Row],[Name]],Table2111216420212223[Name],Table2111216420212223[Points],"DNP",0,1)</f>
        <v>DNP</v>
      </c>
      <c r="O70" t="str">
        <f>_xlfn.XLOOKUP(Table16[[#This Row],[Name]],Table211121642021222325[Name],Table211121642021222325[Points],"DNP",0,1)</f>
        <v>DNP</v>
      </c>
      <c r="P70" t="str">
        <f>_xlfn.XLOOKUP(Table16[[#This Row],[Name]],Table21112164202122232534[Name],Table21112164202122232534[Points],"DNP",0,1)</f>
        <v>DNP</v>
      </c>
      <c r="Q70" t="str">
        <f>_xlfn.XLOOKUP(Table16[[#This Row],[Name]],Table2111216420212223253435[Name],Table2111216420212223253435[Points],"DNP",0,1)</f>
        <v>DNP</v>
      </c>
      <c r="R70" t="str">
        <f>_xlfn.XLOOKUP(Table16[[#This Row],[Name]],Table211121642021222325343536[Name],Table211121642021222325343536[Points],"DNP",0,1)</f>
        <v>DNP</v>
      </c>
      <c r="S70" t="str">
        <f>_xlfn.XLOOKUP(Table16[[#This Row],[Name]],Table21112164202122232534353637[Name],Table21112164202122232534353637[Points],"DNP",0,1)</f>
        <v>DNP</v>
      </c>
      <c r="T70" t="str">
        <f>_xlfn.XLOOKUP(Table16[[#This Row],[Name]],Table2111216420212223253435363738[Name],Table2111216420212223253435363738[Points],"DNP",0,1)</f>
        <v>DNP</v>
      </c>
      <c r="U70" t="str">
        <f>_xlfn.XLOOKUP(Table16[[#This Row],[Name]],Table2111216420212223253435363739[Name],Table2111216420212223253435363739[Points],"DNP",0,1)</f>
        <v>DNP</v>
      </c>
      <c r="V70" t="str">
        <f>_xlfn.XLOOKUP(Table16[[#This Row],[Name]],Table211121642021222325343536373841[Name],Table211121642021222325343536373841[Points],"DNP",0,1)</f>
        <v>DNP</v>
      </c>
    </row>
    <row r="71" spans="2:22">
      <c r="B71" t="str">
        <f>IFERROR(Table5[[#This Row],[Full name]],"")</f>
        <v>Aakaash Shankar</v>
      </c>
      <c r="C71" s="68">
        <f>SUM(Table16[[#This Row],[September 30, 2025]:[Column18]])</f>
        <v>0</v>
      </c>
      <c r="D71" t="str">
        <f>_xlfn.XLOOKUP(Table16[[#This Row],[Name]],Table4[Name],Table4[Points],"DNP",0,1)</f>
        <v>DNP</v>
      </c>
      <c r="E71" t="str">
        <f>_xlfn.XLOOKUP(Table16[[#This Row],[Name]],Table9[Name],Table9[Points],"DNP",0,1)</f>
        <v>DNP</v>
      </c>
      <c r="F71" t="str">
        <f>_xlfn.XLOOKUP(Table16[[#This Row],[Name]],Table18[Name],Table18[Points],"DNP",0,1)</f>
        <v>DNP</v>
      </c>
      <c r="G71" t="str">
        <f>_xlfn.XLOOKUP(Table16[[#This Row],[Name]],Table2[Name],Table2[Points],"DNP",0,1)</f>
        <v>DNP</v>
      </c>
      <c r="H71" t="str">
        <f>_xlfn.XLOOKUP(Table16[[#This Row],[Name]],Table211[Name],Table211[Points],"DNP",0,1)</f>
        <v>DNP</v>
      </c>
      <c r="I71" t="str">
        <f>_xlfn.XLOOKUP(Table16[[#This Row],[Name]],Table21112[Name],Table21112[Points],"DNP",0,1)</f>
        <v>DNP</v>
      </c>
      <c r="J71" t="str">
        <f>_xlfn.XLOOKUP(Table16[[#This Row],[Name]],Table21112164[Name],Table21112164[Points],"DNP",0,1)</f>
        <v>DNP</v>
      </c>
      <c r="K71" t="str">
        <f>_xlfn.XLOOKUP(Table16[[#This Row],[Name]],Table2111216420[Name],Table2111216420[Points],"DNP",0,1)</f>
        <v>DNP</v>
      </c>
      <c r="L71" t="str">
        <f>_xlfn.XLOOKUP(Table16[[#This Row],[Name]],Table211121642021[Name],Table211121642021[Points],"DNP",0,1)</f>
        <v>DNP</v>
      </c>
      <c r="M71" t="str">
        <f>_xlfn.XLOOKUP(Table16[[#This Row],[Name]],Table21112164202122[Name],Table21112164202122[Points],"DNP",0,1)</f>
        <v>DNP</v>
      </c>
      <c r="N71" t="str">
        <f>_xlfn.XLOOKUP(Table16[[#This Row],[Name]],Table2111216420212223[Name],Table2111216420212223[Points],"DNP",0,1)</f>
        <v>DNP</v>
      </c>
      <c r="O71" t="str">
        <f>_xlfn.XLOOKUP(Table16[[#This Row],[Name]],Table211121642021222325[Name],Table211121642021222325[Points],"DNP",0,1)</f>
        <v>DNP</v>
      </c>
      <c r="P71" t="str">
        <f>_xlfn.XLOOKUP(Table16[[#This Row],[Name]],Table21112164202122232534[Name],Table21112164202122232534[Points],"DNP",0,1)</f>
        <v>DNP</v>
      </c>
      <c r="Q71" t="str">
        <f>_xlfn.XLOOKUP(Table16[[#This Row],[Name]],Table2111216420212223253435[Name],Table2111216420212223253435[Points],"DNP",0,1)</f>
        <v>DNP</v>
      </c>
      <c r="R71" t="str">
        <f>_xlfn.XLOOKUP(Table16[[#This Row],[Name]],Table211121642021222325343536[Name],Table211121642021222325343536[Points],"DNP",0,1)</f>
        <v>DNP</v>
      </c>
      <c r="S71" t="str">
        <f>_xlfn.XLOOKUP(Table16[[#This Row],[Name]],Table21112164202122232534353637[Name],Table21112164202122232534353637[Points],"DNP",0,1)</f>
        <v>DNP</v>
      </c>
      <c r="T71" t="str">
        <f>_xlfn.XLOOKUP(Table16[[#This Row],[Name]],Table2111216420212223253435363738[Name],Table2111216420212223253435363738[Points],"DNP",0,1)</f>
        <v>DNP</v>
      </c>
      <c r="U71" t="str">
        <f>_xlfn.XLOOKUP(Table16[[#This Row],[Name]],Table2111216420212223253435363739[Name],Table2111216420212223253435363739[Points],"DNP",0,1)</f>
        <v>DNP</v>
      </c>
      <c r="V71" t="str">
        <f>_xlfn.XLOOKUP(Table16[[#This Row],[Name]],Table211121642021222325343536373841[Name],Table211121642021222325343536373841[Points],"DNP",0,1)</f>
        <v>DNP</v>
      </c>
    </row>
    <row r="72" spans="2:22">
      <c r="B72" t="str">
        <f>IFERROR(Table5[[#This Row],[Full name]],"")</f>
        <v>Aaron Hamilton</v>
      </c>
      <c r="C72" s="68">
        <f>SUM(Table16[[#This Row],[September 30, 2025]:[Column18]])</f>
        <v>22</v>
      </c>
      <c r="D72" t="str">
        <f>_xlfn.XLOOKUP(Table16[[#This Row],[Name]],Table4[Name],Table4[Points],"DNP",0,1)</f>
        <v>DNP</v>
      </c>
      <c r="E72" t="str">
        <f>_xlfn.XLOOKUP(Table16[[#This Row],[Name]],Table9[Name],Table9[Points],"DNP",0,1)</f>
        <v>DNP</v>
      </c>
      <c r="F72" t="str">
        <f>_xlfn.XLOOKUP(Table16[[#This Row],[Name]],Table18[Name],Table18[Points],"DNP",0,1)</f>
        <v>DNP</v>
      </c>
      <c r="G72" t="str">
        <f>_xlfn.XLOOKUP(Table16[[#This Row],[Name]],Table2[Name],Table2[Points],"DNP",0,1)</f>
        <v>DNP</v>
      </c>
      <c r="H72" t="str">
        <f>_xlfn.XLOOKUP(Table16[[#This Row],[Name]],Table211[Name],Table211[Points],"DNP",0,1)</f>
        <v>DNP</v>
      </c>
      <c r="I72" t="str">
        <f>_xlfn.XLOOKUP(Table16[[#This Row],[Name]],Table21112[Name],Table21112[Points],"DNP",0,1)</f>
        <v>DNP</v>
      </c>
      <c r="J72" t="str">
        <f>_xlfn.XLOOKUP(Table16[[#This Row],[Name]],Table21112164[Name],Table21112164[Points],"DNP",0,1)</f>
        <v>DNP</v>
      </c>
      <c r="K72">
        <f>_xlfn.XLOOKUP(Table16[[#This Row],[Name]],Table2111216420[Name],Table2111216420[Points],"DNP",0,1)</f>
        <v>1</v>
      </c>
      <c r="L72" t="str">
        <f>_xlfn.XLOOKUP(Table16[[#This Row],[Name]],Table211121642021[Name],Table211121642021[Points],"DNP",0,1)</f>
        <v>DNP</v>
      </c>
      <c r="M72">
        <f>_xlfn.XLOOKUP(Table16[[#This Row],[Name]],Table21112164202122[Name],Table21112164202122[Points],"DNP",0,1)</f>
        <v>1</v>
      </c>
      <c r="N72" t="str">
        <f>_xlfn.XLOOKUP(Table16[[#This Row],[Name]],Table2111216420212223[Name],Table2111216420212223[Points],"DNP",0,1)</f>
        <v>DNP</v>
      </c>
      <c r="O72">
        <f>_xlfn.XLOOKUP(Table16[[#This Row],[Name]],Table211121642021222325[Name],Table211121642021222325[Points],"DNP",0,1)</f>
        <v>1</v>
      </c>
      <c r="P72">
        <f>_xlfn.XLOOKUP(Table16[[#This Row],[Name]],Table21112164202122232534[Name],Table21112164202122232534[Points],"DNP",0,1)</f>
        <v>2</v>
      </c>
      <c r="Q72" t="str">
        <f>_xlfn.XLOOKUP(Table16[[#This Row],[Name]],Table2111216420212223253435[Name],Table2111216420212223253435[Points],"DNP",0,1)</f>
        <v>DNP</v>
      </c>
      <c r="R72" t="str">
        <f>_xlfn.XLOOKUP(Table16[[#This Row],[Name]],Table211121642021222325343536[Name],Table211121642021222325343536[Points],"DNP",0,1)</f>
        <v>DNP</v>
      </c>
      <c r="S72">
        <f>_xlfn.XLOOKUP(Table16[[#This Row],[Name]],Table21112164202122232534353637[Name],Table21112164202122232534353637[Points],"DNP",0,1)</f>
        <v>2</v>
      </c>
      <c r="T72" t="str">
        <f>_xlfn.XLOOKUP(Table16[[#This Row],[Name]],Table2111216420212223253435363738[Name],Table2111216420212223253435363738[Points],"DNP",0,1)</f>
        <v>DNP</v>
      </c>
      <c r="U72" t="str">
        <f>_xlfn.XLOOKUP(Table16[[#This Row],[Name]],Table2111216420212223253435363739[Name],Table2111216420212223253435363739[Points],"DNP",0,1)</f>
        <v>DNP</v>
      </c>
      <c r="V72">
        <f>_xlfn.XLOOKUP(Table16[[#This Row],[Name]],Table211121642021222325343536373841[Name],Table211121642021222325343536373841[Points],"DNP",0,1)</f>
        <v>15</v>
      </c>
    </row>
    <row r="73" spans="2:22">
      <c r="B73" t="str">
        <f>IFERROR(Table5[[#This Row],[Full name]],"")</f>
        <v>Aaron Ye</v>
      </c>
      <c r="C73" s="68">
        <f>SUM(Table16[[#This Row],[September 30, 2025]:[Column18]])</f>
        <v>14</v>
      </c>
      <c r="D73">
        <f>_xlfn.XLOOKUP(Table16[[#This Row],[Name]],Table4[Name],Table4[Points],"DNP",0,1)</f>
        <v>1</v>
      </c>
      <c r="E73">
        <f>_xlfn.XLOOKUP(Table16[[#This Row],[Name]],Table9[Name],Table9[Points],"DNP",0,1)</f>
        <v>1</v>
      </c>
      <c r="F73">
        <f>_xlfn.XLOOKUP(Table16[[#This Row],[Name]],Table18[Name],Table18[Points],"DNP",0,1)</f>
        <v>3</v>
      </c>
      <c r="G73" t="str">
        <f>_xlfn.XLOOKUP(Table16[[#This Row],[Name]],Table2[Name],Table2[Points],"DNP",0,1)</f>
        <v>DNP</v>
      </c>
      <c r="H73">
        <f>_xlfn.XLOOKUP(Table16[[#This Row],[Name]],Table211[Name],Table211[Points],"DNP",0,1)</f>
        <v>1</v>
      </c>
      <c r="I73" t="str">
        <f>_xlfn.XLOOKUP(Table16[[#This Row],[Name]],Table21112[Name],Table21112[Points],"DNP",0,1)</f>
        <v>DNP</v>
      </c>
      <c r="J73">
        <f>_xlfn.XLOOKUP(Table16[[#This Row],[Name]],Table21112164[Name],Table21112164[Points],"DNP",0,1)</f>
        <v>4</v>
      </c>
      <c r="K73" t="str">
        <f>_xlfn.XLOOKUP(Table16[[#This Row],[Name]],Table2111216420[Name],Table2111216420[Points],"DNP",0,1)</f>
        <v>DNP</v>
      </c>
      <c r="L73">
        <f>_xlfn.XLOOKUP(Table16[[#This Row],[Name]],Table211121642021[Name],Table211121642021[Points],"DNP",0,1)</f>
        <v>4</v>
      </c>
      <c r="M73" t="str">
        <f>_xlfn.XLOOKUP(Table16[[#This Row],[Name]],Table21112164202122[Name],Table21112164202122[Points],"DNP",0,1)</f>
        <v>DNP</v>
      </c>
      <c r="N73" t="str">
        <f>_xlfn.XLOOKUP(Table16[[#This Row],[Name]],Table2111216420212223[Name],Table2111216420212223[Points],"DNP",0,1)</f>
        <v>DNP</v>
      </c>
      <c r="O73" t="str">
        <f>_xlfn.XLOOKUP(Table16[[#This Row],[Name]],Table211121642021222325[Name],Table211121642021222325[Points],"DNP",0,1)</f>
        <v>DNP</v>
      </c>
      <c r="P73" t="str">
        <f>_xlfn.XLOOKUP(Table16[[#This Row],[Name]],Table21112164202122232534[Name],Table21112164202122232534[Points],"DNP",0,1)</f>
        <v>DNP</v>
      </c>
      <c r="Q73" t="str">
        <f>_xlfn.XLOOKUP(Table16[[#This Row],[Name]],Table2111216420212223253435[Name],Table2111216420212223253435[Points],"DNP",0,1)</f>
        <v>DNP</v>
      </c>
      <c r="R73" t="str">
        <f>_xlfn.XLOOKUP(Table16[[#This Row],[Name]],Table211121642021222325343536[Name],Table211121642021222325343536[Points],"DNP",0,1)</f>
        <v>DNP</v>
      </c>
      <c r="S73" t="str">
        <f>_xlfn.XLOOKUP(Table16[[#This Row],[Name]],Table21112164202122232534353637[Name],Table21112164202122232534353637[Points],"DNP",0,1)</f>
        <v>DNP</v>
      </c>
      <c r="T73" t="str">
        <f>_xlfn.XLOOKUP(Table16[[#This Row],[Name]],Table2111216420212223253435363738[Name],Table2111216420212223253435363738[Points],"DNP",0,1)</f>
        <v>DNP</v>
      </c>
      <c r="U73" t="str">
        <f>_xlfn.XLOOKUP(Table16[[#This Row],[Name]],Table2111216420212223253435363739[Name],Table2111216420212223253435363739[Points],"DNP",0,1)</f>
        <v>DNP</v>
      </c>
      <c r="V73" t="str">
        <f>_xlfn.XLOOKUP(Table16[[#This Row],[Name]],Table211121642021222325343536373841[Name],Table211121642021222325343536373841[Points],"DNP",0,1)</f>
        <v>DNP</v>
      </c>
    </row>
    <row r="74" spans="2:22">
      <c r="B74" t="str">
        <f>IFERROR(Table5[[#This Row],[Full name]],"")</f>
        <v>Abdullah Imran</v>
      </c>
      <c r="C74" s="68">
        <f>SUM(Table16[[#This Row],[September 30, 2025]:[Column18]])</f>
        <v>22</v>
      </c>
      <c r="D74" t="str">
        <f>_xlfn.XLOOKUP(Table16[[#This Row],[Name]],Table4[Name],Table4[Points],"DNP",0,1)</f>
        <v>DNP</v>
      </c>
      <c r="E74" t="str">
        <f>_xlfn.XLOOKUP(Table16[[#This Row],[Name]],Table9[Name],Table9[Points],"DNP",0,1)</f>
        <v>DNP</v>
      </c>
      <c r="F74" t="str">
        <f>_xlfn.XLOOKUP(Table16[[#This Row],[Name]],Table18[Name],Table18[Points],"DNP",0,1)</f>
        <v>DNP</v>
      </c>
      <c r="G74" t="str">
        <f>_xlfn.XLOOKUP(Table16[[#This Row],[Name]],Table2[Name],Table2[Points],"DNP",0,1)</f>
        <v>DNP</v>
      </c>
      <c r="H74" t="str">
        <f>_xlfn.XLOOKUP(Table16[[#This Row],[Name]],Table211[Name],Table211[Points],"DNP",0,1)</f>
        <v>DNP</v>
      </c>
      <c r="I74" t="str">
        <f>_xlfn.XLOOKUP(Table16[[#This Row],[Name]],Table21112[Name],Table21112[Points],"DNP",0,1)</f>
        <v>DNP</v>
      </c>
      <c r="J74" t="str">
        <f>_xlfn.XLOOKUP(Table16[[#This Row],[Name]],Table21112164[Name],Table21112164[Points],"DNP",0,1)</f>
        <v>DNP</v>
      </c>
      <c r="K74" t="str">
        <f>_xlfn.XLOOKUP(Table16[[#This Row],[Name]],Table2111216420[Name],Table2111216420[Points],"DNP",0,1)</f>
        <v>DNP</v>
      </c>
      <c r="L74">
        <f>_xlfn.XLOOKUP(Table16[[#This Row],[Name]],Table211121642021[Name],Table211121642021[Points],"DNP",0,1)</f>
        <v>2</v>
      </c>
      <c r="M74">
        <f>_xlfn.XLOOKUP(Table16[[#This Row],[Name]],Table21112164202122[Name],Table21112164202122[Points],"DNP",0,1)</f>
        <v>2</v>
      </c>
      <c r="N74">
        <f>_xlfn.XLOOKUP(Table16[[#This Row],[Name]],Table2111216420212223[Name],Table2111216420212223[Points],"DNP",0,1)</f>
        <v>2</v>
      </c>
      <c r="O74" t="str">
        <f>_xlfn.XLOOKUP(Table16[[#This Row],[Name]],Table211121642021222325[Name],Table211121642021222325[Points],"DNP",0,1)</f>
        <v>DNP</v>
      </c>
      <c r="P74">
        <f>_xlfn.XLOOKUP(Table16[[#This Row],[Name]],Table21112164202122232534[Name],Table21112164202122232534[Points],"DNP",0,1)</f>
        <v>1</v>
      </c>
      <c r="Q74">
        <f>_xlfn.XLOOKUP(Table16[[#This Row],[Name]],Table2111216420212223253435[Name],Table2111216420212223253435[Points],"DNP",0,1)</f>
        <v>10</v>
      </c>
      <c r="R74">
        <f>_xlfn.XLOOKUP(Table16[[#This Row],[Name]],Table211121642021222325343536[Name],Table211121642021222325343536[Points],"DNP",0,1)</f>
        <v>4</v>
      </c>
      <c r="S74" t="str">
        <f>_xlfn.XLOOKUP(Table16[[#This Row],[Name]],Table21112164202122232534353637[Name],Table21112164202122232534353637[Points],"DNP",0,1)</f>
        <v>DNP</v>
      </c>
      <c r="T74" t="str">
        <f>_xlfn.XLOOKUP(Table16[[#This Row],[Name]],Table2111216420212223253435363738[Name],Table2111216420212223253435363738[Points],"DNP",0,1)</f>
        <v>DNP</v>
      </c>
      <c r="U74">
        <f>_xlfn.XLOOKUP(Table16[[#This Row],[Name]],Table2111216420212223253435363739[Name],Table2111216420212223253435363739[Points],"DNP",0,1)</f>
        <v>1</v>
      </c>
      <c r="V74" t="str">
        <f>_xlfn.XLOOKUP(Table16[[#This Row],[Name]],Table211121642021222325343536373841[Name],Table211121642021222325343536373841[Points],"DNP",0,1)</f>
        <v>DNP</v>
      </c>
    </row>
    <row r="75" spans="2:22">
      <c r="B75" t="str">
        <f>IFERROR(Table5[[#This Row],[Full name]],"")</f>
        <v>Adam Dasilva</v>
      </c>
      <c r="C75" s="68">
        <f>SUM(Table16[[#This Row],[September 30, 2025]:[Column18]])</f>
        <v>4</v>
      </c>
      <c r="D75" t="str">
        <f>_xlfn.XLOOKUP(Table16[[#This Row],[Name]],Table4[Name],Table4[Points],"DNP",0,1)</f>
        <v>DNP</v>
      </c>
      <c r="E75" t="str">
        <f>_xlfn.XLOOKUP(Table16[[#This Row],[Name]],Table9[Name],Table9[Points],"DNP",0,1)</f>
        <v>DNP</v>
      </c>
      <c r="F75" t="str">
        <f>_xlfn.XLOOKUP(Table16[[#This Row],[Name]],Table18[Name],Table18[Points],"DNP",0,1)</f>
        <v>DNP</v>
      </c>
      <c r="G75" t="str">
        <f>_xlfn.XLOOKUP(Table16[[#This Row],[Name]],Table2[Name],Table2[Points],"DNP",0,1)</f>
        <v>DNP</v>
      </c>
      <c r="H75" t="str">
        <f>_xlfn.XLOOKUP(Table16[[#This Row],[Name]],Table211[Name],Table211[Points],"DNP",0,1)</f>
        <v>DNP</v>
      </c>
      <c r="I75">
        <f>_xlfn.XLOOKUP(Table16[[#This Row],[Name]],Table21112[Name],Table21112[Points],"DNP",0,1)</f>
        <v>4</v>
      </c>
      <c r="J75" t="str">
        <f>_xlfn.XLOOKUP(Table16[[#This Row],[Name]],Table21112164[Name],Table21112164[Points],"DNP",0,1)</f>
        <v>DNP</v>
      </c>
      <c r="K75" t="str">
        <f>_xlfn.XLOOKUP(Table16[[#This Row],[Name]],Table2111216420[Name],Table2111216420[Points],"DNP",0,1)</f>
        <v>DNP</v>
      </c>
      <c r="L75" t="str">
        <f>_xlfn.XLOOKUP(Table16[[#This Row],[Name]],Table211121642021[Name],Table211121642021[Points],"DNP",0,1)</f>
        <v>DNP</v>
      </c>
      <c r="M75" t="str">
        <f>_xlfn.XLOOKUP(Table16[[#This Row],[Name]],Table21112164202122[Name],Table21112164202122[Points],"DNP",0,1)</f>
        <v>DNP</v>
      </c>
      <c r="N75" t="str">
        <f>_xlfn.XLOOKUP(Table16[[#This Row],[Name]],Table2111216420212223[Name],Table2111216420212223[Points],"DNP",0,1)</f>
        <v>DNP</v>
      </c>
      <c r="O75" t="str">
        <f>_xlfn.XLOOKUP(Table16[[#This Row],[Name]],Table211121642021222325[Name],Table211121642021222325[Points],"DNP",0,1)</f>
        <v>DNP</v>
      </c>
      <c r="P75" t="str">
        <f>_xlfn.XLOOKUP(Table16[[#This Row],[Name]],Table21112164202122232534[Name],Table21112164202122232534[Points],"DNP",0,1)</f>
        <v>DNP</v>
      </c>
      <c r="Q75" t="str">
        <f>_xlfn.XLOOKUP(Table16[[#This Row],[Name]],Table2111216420212223253435[Name],Table2111216420212223253435[Points],"DNP",0,1)</f>
        <v>DNP</v>
      </c>
      <c r="R75" t="str">
        <f>_xlfn.XLOOKUP(Table16[[#This Row],[Name]],Table211121642021222325343536[Name],Table211121642021222325343536[Points],"DNP",0,1)</f>
        <v>DNP</v>
      </c>
      <c r="S75" t="str">
        <f>_xlfn.XLOOKUP(Table16[[#This Row],[Name]],Table21112164202122232534353637[Name],Table21112164202122232534353637[Points],"DNP",0,1)</f>
        <v>DNP</v>
      </c>
      <c r="T75" t="str">
        <f>_xlfn.XLOOKUP(Table16[[#This Row],[Name]],Table2111216420212223253435363738[Name],Table2111216420212223253435363738[Points],"DNP",0,1)</f>
        <v>DNP</v>
      </c>
      <c r="U75" t="str">
        <f>_xlfn.XLOOKUP(Table16[[#This Row],[Name]],Table2111216420212223253435363739[Name],Table2111216420212223253435363739[Points],"DNP",0,1)</f>
        <v>DNP</v>
      </c>
      <c r="V75" t="str">
        <f>_xlfn.XLOOKUP(Table16[[#This Row],[Name]],Table211121642021222325343536373841[Name],Table211121642021222325343536373841[Points],"DNP",0,1)</f>
        <v>DNP</v>
      </c>
    </row>
    <row r="76" spans="2:22">
      <c r="B76" t="str">
        <f>IFERROR(Table5[[#This Row],[Full name]],"")</f>
        <v>Adrian Liu</v>
      </c>
      <c r="C76" s="68">
        <f>SUM(Table16[[#This Row],[September 30, 2025]:[Column18]])</f>
        <v>18</v>
      </c>
      <c r="D76" t="str">
        <f>_xlfn.XLOOKUP(Table16[[#This Row],[Name]],Table4[Name],Table4[Points],"DNP",0,1)</f>
        <v>DNP</v>
      </c>
      <c r="E76" t="str">
        <f>_xlfn.XLOOKUP(Table16[[#This Row],[Name]],Table9[Name],Table9[Points],"DNP",0,1)</f>
        <v>DNP</v>
      </c>
      <c r="F76" t="str">
        <f>_xlfn.XLOOKUP(Table16[[#This Row],[Name]],Table18[Name],Table18[Points],"DNP",0,1)</f>
        <v>DNP</v>
      </c>
      <c r="G76" t="str">
        <f>_xlfn.XLOOKUP(Table16[[#This Row],[Name]],Table2[Name],Table2[Points],"DNP",0,1)</f>
        <v>DNP</v>
      </c>
      <c r="H76" t="str">
        <f>_xlfn.XLOOKUP(Table16[[#This Row],[Name]],Table211[Name],Table211[Points],"DNP",0,1)</f>
        <v>DNP</v>
      </c>
      <c r="I76" t="str">
        <f>_xlfn.XLOOKUP(Table16[[#This Row],[Name]],Table21112[Name],Table21112[Points],"DNP",0,1)</f>
        <v>DNP</v>
      </c>
      <c r="J76">
        <f>_xlfn.XLOOKUP(Table16[[#This Row],[Name]],Table21112164[Name],Table21112164[Points],"DNP",0,1)</f>
        <v>15</v>
      </c>
      <c r="K76">
        <f>_xlfn.XLOOKUP(Table16[[#This Row],[Name]],Table2111216420[Name],Table2111216420[Points],"DNP",0,1)</f>
        <v>2</v>
      </c>
      <c r="L76" t="str">
        <f>_xlfn.XLOOKUP(Table16[[#This Row],[Name]],Table211121642021[Name],Table211121642021[Points],"DNP",0,1)</f>
        <v>DNP</v>
      </c>
      <c r="M76" t="str">
        <f>_xlfn.XLOOKUP(Table16[[#This Row],[Name]],Table21112164202122[Name],Table21112164202122[Points],"DNP",0,1)</f>
        <v>DNP</v>
      </c>
      <c r="N76" t="str">
        <f>_xlfn.XLOOKUP(Table16[[#This Row],[Name]],Table2111216420212223[Name],Table2111216420212223[Points],"DNP",0,1)</f>
        <v>DNP</v>
      </c>
      <c r="O76" t="str">
        <f>_xlfn.XLOOKUP(Table16[[#This Row],[Name]],Table211121642021222325[Name],Table211121642021222325[Points],"DNP",0,1)</f>
        <v>DNP</v>
      </c>
      <c r="P76" t="str">
        <f>_xlfn.XLOOKUP(Table16[[#This Row],[Name]],Table21112164202122232534[Name],Table21112164202122232534[Points],"DNP",0,1)</f>
        <v>DNP</v>
      </c>
      <c r="Q76" t="str">
        <f>_xlfn.XLOOKUP(Table16[[#This Row],[Name]],Table2111216420212223253435[Name],Table2111216420212223253435[Points],"DNP",0,1)</f>
        <v>DNP</v>
      </c>
      <c r="R76">
        <f>_xlfn.XLOOKUP(Table16[[#This Row],[Name]],Table211121642021222325343536[Name],Table211121642021222325343536[Points],"DNP",0,1)</f>
        <v>1</v>
      </c>
      <c r="S76" t="str">
        <f>_xlfn.XLOOKUP(Table16[[#This Row],[Name]],Table21112164202122232534353637[Name],Table21112164202122232534353637[Points],"DNP",0,1)</f>
        <v>DNP</v>
      </c>
      <c r="T76" t="str">
        <f>_xlfn.XLOOKUP(Table16[[#This Row],[Name]],Table2111216420212223253435363738[Name],Table2111216420212223253435363738[Points],"DNP",0,1)</f>
        <v>DNP</v>
      </c>
      <c r="U76" t="str">
        <f>_xlfn.XLOOKUP(Table16[[#This Row],[Name]],Table2111216420212223253435363739[Name],Table2111216420212223253435363739[Points],"DNP",0,1)</f>
        <v>DNP</v>
      </c>
      <c r="V76" t="str">
        <f>_xlfn.XLOOKUP(Table16[[#This Row],[Name]],Table211121642021222325343536373841[Name],Table211121642021222325343536373841[Points],"DNP",0,1)</f>
        <v>DNP</v>
      </c>
    </row>
    <row r="77" spans="2:22">
      <c r="B77" t="str">
        <f>IFERROR(Table5[[#This Row],[Full name]],"")</f>
        <v>Adrien Soupa</v>
      </c>
      <c r="C77" s="68">
        <f>SUM(Table16[[#This Row],[September 30, 2025]:[Column18]])</f>
        <v>1</v>
      </c>
      <c r="D77" t="str">
        <f>_xlfn.XLOOKUP(Table16[[#This Row],[Name]],Table4[Name],Table4[Points],"DNP",0,1)</f>
        <v>DNP</v>
      </c>
      <c r="E77" t="str">
        <f>_xlfn.XLOOKUP(Table16[[#This Row],[Name]],Table9[Name],Table9[Points],"DNP",0,1)</f>
        <v>DNP</v>
      </c>
      <c r="F77" t="str">
        <f>_xlfn.XLOOKUP(Table16[[#This Row],[Name]],Table18[Name],Table18[Points],"DNP",0,1)</f>
        <v>DNP</v>
      </c>
      <c r="G77" t="str">
        <f>_xlfn.XLOOKUP(Table16[[#This Row],[Name]],Table2[Name],Table2[Points],"DNP",0,1)</f>
        <v>DNP</v>
      </c>
      <c r="H77" t="str">
        <f>_xlfn.XLOOKUP(Table16[[#This Row],[Name]],Table211[Name],Table211[Points],"DNP",0,1)</f>
        <v>DNP</v>
      </c>
      <c r="I77" t="str">
        <f>_xlfn.XLOOKUP(Table16[[#This Row],[Name]],Table21112[Name],Table21112[Points],"DNP",0,1)</f>
        <v>DNP</v>
      </c>
      <c r="J77" t="str">
        <f>_xlfn.XLOOKUP(Table16[[#This Row],[Name]],Table21112164[Name],Table21112164[Points],"DNP",0,1)</f>
        <v>DNP</v>
      </c>
      <c r="K77" t="str">
        <f>_xlfn.XLOOKUP(Table16[[#This Row],[Name]],Table2111216420[Name],Table2111216420[Points],"DNP",0,1)</f>
        <v>DNP</v>
      </c>
      <c r="L77" t="str">
        <f>_xlfn.XLOOKUP(Table16[[#This Row],[Name]],Table211121642021[Name],Table211121642021[Points],"DNP",0,1)</f>
        <v>DNP</v>
      </c>
      <c r="M77" t="str">
        <f>_xlfn.XLOOKUP(Table16[[#This Row],[Name]],Table21112164202122[Name],Table21112164202122[Points],"DNP",0,1)</f>
        <v>DNP</v>
      </c>
      <c r="N77" t="str">
        <f>_xlfn.XLOOKUP(Table16[[#This Row],[Name]],Table2111216420212223[Name],Table2111216420212223[Points],"DNP",0,1)</f>
        <v>DNP</v>
      </c>
      <c r="O77" t="str">
        <f>_xlfn.XLOOKUP(Table16[[#This Row],[Name]],Table211121642021222325[Name],Table211121642021222325[Points],"DNP",0,1)</f>
        <v>DNP</v>
      </c>
      <c r="P77" t="str">
        <f>_xlfn.XLOOKUP(Table16[[#This Row],[Name]],Table21112164202122232534[Name],Table21112164202122232534[Points],"DNP",0,1)</f>
        <v>DNP</v>
      </c>
      <c r="Q77" t="str">
        <f>_xlfn.XLOOKUP(Table16[[#This Row],[Name]],Table2111216420212223253435[Name],Table2111216420212223253435[Points],"DNP",0,1)</f>
        <v>DNP</v>
      </c>
      <c r="R77" t="str">
        <f>_xlfn.XLOOKUP(Table16[[#This Row],[Name]],Table211121642021222325343536[Name],Table211121642021222325343536[Points],"DNP",0,1)</f>
        <v>DNP</v>
      </c>
      <c r="S77">
        <f>_xlfn.XLOOKUP(Table16[[#This Row],[Name]],Table21112164202122232534353637[Name],Table21112164202122232534353637[Points],"DNP",0,1)</f>
        <v>1</v>
      </c>
      <c r="T77" t="str">
        <f>_xlfn.XLOOKUP(Table16[[#This Row],[Name]],Table2111216420212223253435363738[Name],Table2111216420212223253435363738[Points],"DNP",0,1)</f>
        <v>DNP</v>
      </c>
      <c r="U77" t="str">
        <f>_xlfn.XLOOKUP(Table16[[#This Row],[Name]],Table2111216420212223253435363739[Name],Table2111216420212223253435363739[Points],"DNP",0,1)</f>
        <v>DNP</v>
      </c>
      <c r="V77" t="str">
        <f>_xlfn.XLOOKUP(Table16[[#This Row],[Name]],Table211121642021222325343536373841[Name],Table211121642021222325343536373841[Points],"DNP",0,1)</f>
        <v>DNP</v>
      </c>
    </row>
    <row r="78" spans="2:22">
      <c r="B78" t="str">
        <f>IFERROR(Table5[[#This Row],[Full name]],"")</f>
        <v>Ahmed Mohammed</v>
      </c>
      <c r="C78" s="68">
        <f>SUM(Table16[[#This Row],[September 30, 2025]:[Column18]])</f>
        <v>2</v>
      </c>
      <c r="D78" t="str">
        <f>_xlfn.XLOOKUP(Table16[[#This Row],[Name]],Table4[Name],Table4[Points],"DNP",0,1)</f>
        <v>DNP</v>
      </c>
      <c r="E78" t="str">
        <f>_xlfn.XLOOKUP(Table16[[#This Row],[Name]],Table9[Name],Table9[Points],"DNP",0,1)</f>
        <v>DNP</v>
      </c>
      <c r="F78">
        <f>_xlfn.XLOOKUP(Table16[[#This Row],[Name]],Table18[Name],Table18[Points],"DNP",0,1)</f>
        <v>1</v>
      </c>
      <c r="G78" t="str">
        <f>_xlfn.XLOOKUP(Table16[[#This Row],[Name]],Table2[Name],Table2[Points],"DNP",0,1)</f>
        <v>DNP</v>
      </c>
      <c r="H78" t="str">
        <f>_xlfn.XLOOKUP(Table16[[#This Row],[Name]],Table211[Name],Table211[Points],"DNP",0,1)</f>
        <v>DNP</v>
      </c>
      <c r="I78" t="str">
        <f>_xlfn.XLOOKUP(Table16[[#This Row],[Name]],Table21112[Name],Table21112[Points],"DNP",0,1)</f>
        <v>DNP</v>
      </c>
      <c r="J78">
        <f>_xlfn.XLOOKUP(Table16[[#This Row],[Name]],Table21112164[Name],Table21112164[Points],"DNP",0,1)</f>
        <v>1</v>
      </c>
      <c r="K78" t="str">
        <f>_xlfn.XLOOKUP(Table16[[#This Row],[Name]],Table2111216420[Name],Table2111216420[Points],"DNP",0,1)</f>
        <v>DNP</v>
      </c>
      <c r="L78" t="str">
        <f>_xlfn.XLOOKUP(Table16[[#This Row],[Name]],Table211121642021[Name],Table211121642021[Points],"DNP",0,1)</f>
        <v>DNP</v>
      </c>
      <c r="M78" t="str">
        <f>_xlfn.XLOOKUP(Table16[[#This Row],[Name]],Table21112164202122[Name],Table21112164202122[Points],"DNP",0,1)</f>
        <v>DNP</v>
      </c>
      <c r="N78" t="str">
        <f>_xlfn.XLOOKUP(Table16[[#This Row],[Name]],Table2111216420212223[Name],Table2111216420212223[Points],"DNP",0,1)</f>
        <v>DNP</v>
      </c>
      <c r="O78" t="str">
        <f>_xlfn.XLOOKUP(Table16[[#This Row],[Name]],Table211121642021222325[Name],Table211121642021222325[Points],"DNP",0,1)</f>
        <v>DNP</v>
      </c>
      <c r="P78" t="str">
        <f>_xlfn.XLOOKUP(Table16[[#This Row],[Name]],Table21112164202122232534[Name],Table21112164202122232534[Points],"DNP",0,1)</f>
        <v>DNP</v>
      </c>
      <c r="Q78" t="str">
        <f>_xlfn.XLOOKUP(Table16[[#This Row],[Name]],Table2111216420212223253435[Name],Table2111216420212223253435[Points],"DNP",0,1)</f>
        <v>DNP</v>
      </c>
      <c r="R78" t="str">
        <f>_xlfn.XLOOKUP(Table16[[#This Row],[Name]],Table211121642021222325343536[Name],Table211121642021222325343536[Points],"DNP",0,1)</f>
        <v>DNP</v>
      </c>
      <c r="S78" t="str">
        <f>_xlfn.XLOOKUP(Table16[[#This Row],[Name]],Table21112164202122232534353637[Name],Table21112164202122232534353637[Points],"DNP",0,1)</f>
        <v>DNP</v>
      </c>
      <c r="T78" t="str">
        <f>_xlfn.XLOOKUP(Table16[[#This Row],[Name]],Table2111216420212223253435363738[Name],Table2111216420212223253435363738[Points],"DNP",0,1)</f>
        <v>DNP</v>
      </c>
      <c r="U78" t="str">
        <f>_xlfn.XLOOKUP(Table16[[#This Row],[Name]],Table2111216420212223253435363739[Name],Table2111216420212223253435363739[Points],"DNP",0,1)</f>
        <v>DNP</v>
      </c>
      <c r="V78" t="str">
        <f>_xlfn.XLOOKUP(Table16[[#This Row],[Name]],Table211121642021222325343536373841[Name],Table211121642021222325343536373841[Points],"DNP",0,1)</f>
        <v>DNP</v>
      </c>
    </row>
    <row r="79" spans="2:22">
      <c r="B79" t="str">
        <f>IFERROR(Table5[[#This Row],[Full name]],"")</f>
        <v>Aiden Gertler</v>
      </c>
      <c r="C79" s="68">
        <f>SUM(Table16[[#This Row],[September 30, 2025]:[Column18]])</f>
        <v>0</v>
      </c>
      <c r="D79" t="str">
        <f>_xlfn.XLOOKUP(Table16[[#This Row],[Name]],Table4[Name],Table4[Points],"DNP",0,1)</f>
        <v>DNP</v>
      </c>
      <c r="E79" t="str">
        <f>_xlfn.XLOOKUP(Table16[[#This Row],[Name]],Table9[Name],Table9[Points],"DNP",0,1)</f>
        <v>DNP</v>
      </c>
      <c r="F79" t="str">
        <f>_xlfn.XLOOKUP(Table16[[#This Row],[Name]],Table18[Name],Table18[Points],"DNP",0,1)</f>
        <v>DNP</v>
      </c>
      <c r="G79" t="str">
        <f>_xlfn.XLOOKUP(Table16[[#This Row],[Name]],Table2[Name],Table2[Points],"DNP",0,1)</f>
        <v>DNP</v>
      </c>
      <c r="H79" t="str">
        <f>_xlfn.XLOOKUP(Table16[[#This Row],[Name]],Table211[Name],Table211[Points],"DNP",0,1)</f>
        <v>DNP</v>
      </c>
      <c r="I79" t="str">
        <f>_xlfn.XLOOKUP(Table16[[#This Row],[Name]],Table21112[Name],Table21112[Points],"DNP",0,1)</f>
        <v>DNP</v>
      </c>
      <c r="J79" t="str">
        <f>_xlfn.XLOOKUP(Table16[[#This Row],[Name]],Table21112164[Name],Table21112164[Points],"DNP",0,1)</f>
        <v>DNP</v>
      </c>
      <c r="K79" t="str">
        <f>_xlfn.XLOOKUP(Table16[[#This Row],[Name]],Table2111216420[Name],Table2111216420[Points],"DNP",0,1)</f>
        <v>DNP</v>
      </c>
      <c r="L79" t="str">
        <f>_xlfn.XLOOKUP(Table16[[#This Row],[Name]],Table211121642021[Name],Table211121642021[Points],"DNP",0,1)</f>
        <v>DNP</v>
      </c>
      <c r="M79" t="str">
        <f>_xlfn.XLOOKUP(Table16[[#This Row],[Name]],Table21112164202122[Name],Table21112164202122[Points],"DNP",0,1)</f>
        <v>DNP</v>
      </c>
      <c r="N79" t="str">
        <f>_xlfn.XLOOKUP(Table16[[#This Row],[Name]],Table2111216420212223[Name],Table2111216420212223[Points],"DNP",0,1)</f>
        <v>DNP</v>
      </c>
      <c r="O79" t="str">
        <f>_xlfn.XLOOKUP(Table16[[#This Row],[Name]],Table211121642021222325[Name],Table211121642021222325[Points],"DNP",0,1)</f>
        <v>DNP</v>
      </c>
      <c r="P79" t="str">
        <f>_xlfn.XLOOKUP(Table16[[#This Row],[Name]],Table21112164202122232534[Name],Table21112164202122232534[Points],"DNP",0,1)</f>
        <v>DNP</v>
      </c>
      <c r="Q79" t="str">
        <f>_xlfn.XLOOKUP(Table16[[#This Row],[Name]],Table2111216420212223253435[Name],Table2111216420212223253435[Points],"DNP",0,1)</f>
        <v>DNP</v>
      </c>
      <c r="R79" t="str">
        <f>_xlfn.XLOOKUP(Table16[[#This Row],[Name]],Table211121642021222325343536[Name],Table211121642021222325343536[Points],"DNP",0,1)</f>
        <v>DNP</v>
      </c>
      <c r="S79" t="str">
        <f>_xlfn.XLOOKUP(Table16[[#This Row],[Name]],Table21112164202122232534353637[Name],Table21112164202122232534353637[Points],"DNP",0,1)</f>
        <v>DNP</v>
      </c>
      <c r="T79" t="str">
        <f>_xlfn.XLOOKUP(Table16[[#This Row],[Name]],Table2111216420212223253435363738[Name],Table2111216420212223253435363738[Points],"DNP",0,1)</f>
        <v>DNP</v>
      </c>
      <c r="U79" t="str">
        <f>_xlfn.XLOOKUP(Table16[[#This Row],[Name]],Table2111216420212223253435363739[Name],Table2111216420212223253435363739[Points],"DNP",0,1)</f>
        <v>DNP</v>
      </c>
      <c r="V79" t="str">
        <f>_xlfn.XLOOKUP(Table16[[#This Row],[Name]],Table211121642021222325343536373841[Name],Table211121642021222325343536373841[Points],"DNP",0,1)</f>
        <v>DNP</v>
      </c>
    </row>
    <row r="80" spans="2:22">
      <c r="B80" t="str">
        <f>IFERROR(Table5[[#This Row],[Full name]],"")</f>
        <v>Ajai Lingenfelter</v>
      </c>
      <c r="C80" s="68">
        <f>SUM(Table16[[#This Row],[September 30, 2025]:[Column18]])</f>
        <v>0</v>
      </c>
      <c r="D80" t="str">
        <f>_xlfn.XLOOKUP(Table16[[#This Row],[Name]],Table4[Name],Table4[Points],"DNP",0,1)</f>
        <v>DNP</v>
      </c>
      <c r="E80" t="str">
        <f>_xlfn.XLOOKUP(Table16[[#This Row],[Name]],Table9[Name],Table9[Points],"DNP",0,1)</f>
        <v>DNP</v>
      </c>
      <c r="F80" t="str">
        <f>_xlfn.XLOOKUP(Table16[[#This Row],[Name]],Table18[Name],Table18[Points],"DNP",0,1)</f>
        <v>DNP</v>
      </c>
      <c r="G80" t="str">
        <f>_xlfn.XLOOKUP(Table16[[#This Row],[Name]],Table2[Name],Table2[Points],"DNP",0,1)</f>
        <v>DNP</v>
      </c>
      <c r="H80" t="str">
        <f>_xlfn.XLOOKUP(Table16[[#This Row],[Name]],Table211[Name],Table211[Points],"DNP",0,1)</f>
        <v>DNP</v>
      </c>
      <c r="I80" t="str">
        <f>_xlfn.XLOOKUP(Table16[[#This Row],[Name]],Table21112[Name],Table21112[Points],"DNP",0,1)</f>
        <v>DNP</v>
      </c>
      <c r="J80" t="str">
        <f>_xlfn.XLOOKUP(Table16[[#This Row],[Name]],Table21112164[Name],Table21112164[Points],"DNP",0,1)</f>
        <v>DNP</v>
      </c>
      <c r="K80" t="str">
        <f>_xlfn.XLOOKUP(Table16[[#This Row],[Name]],Table2111216420[Name],Table2111216420[Points],"DNP",0,1)</f>
        <v>DNP</v>
      </c>
      <c r="L80" t="str">
        <f>_xlfn.XLOOKUP(Table16[[#This Row],[Name]],Table211121642021[Name],Table211121642021[Points],"DNP",0,1)</f>
        <v>DNP</v>
      </c>
      <c r="M80" t="str">
        <f>_xlfn.XLOOKUP(Table16[[#This Row],[Name]],Table21112164202122[Name],Table21112164202122[Points],"DNP",0,1)</f>
        <v>DNP</v>
      </c>
      <c r="N80" t="str">
        <f>_xlfn.XLOOKUP(Table16[[#This Row],[Name]],Table2111216420212223[Name],Table2111216420212223[Points],"DNP",0,1)</f>
        <v>DNP</v>
      </c>
      <c r="O80" t="str">
        <f>_xlfn.XLOOKUP(Table16[[#This Row],[Name]],Table211121642021222325[Name],Table211121642021222325[Points],"DNP",0,1)</f>
        <v>DNP</v>
      </c>
      <c r="P80" t="str">
        <f>_xlfn.XLOOKUP(Table16[[#This Row],[Name]],Table21112164202122232534[Name],Table21112164202122232534[Points],"DNP",0,1)</f>
        <v>DNP</v>
      </c>
      <c r="Q80" t="str">
        <f>_xlfn.XLOOKUP(Table16[[#This Row],[Name]],Table2111216420212223253435[Name],Table2111216420212223253435[Points],"DNP",0,1)</f>
        <v>DNP</v>
      </c>
      <c r="R80" t="str">
        <f>_xlfn.XLOOKUP(Table16[[#This Row],[Name]],Table211121642021222325343536[Name],Table211121642021222325343536[Points],"DNP",0,1)</f>
        <v>DNP</v>
      </c>
      <c r="S80" t="str">
        <f>_xlfn.XLOOKUP(Table16[[#This Row],[Name]],Table21112164202122232534353637[Name],Table21112164202122232534353637[Points],"DNP",0,1)</f>
        <v>DNP</v>
      </c>
      <c r="T80" t="str">
        <f>_xlfn.XLOOKUP(Table16[[#This Row],[Name]],Table2111216420212223253435363738[Name],Table2111216420212223253435363738[Points],"DNP",0,1)</f>
        <v>DNP</v>
      </c>
      <c r="U80" t="str">
        <f>_xlfn.XLOOKUP(Table16[[#This Row],[Name]],Table2111216420212223253435363739[Name],Table2111216420212223253435363739[Points],"DNP",0,1)</f>
        <v>DNP</v>
      </c>
      <c r="V80" t="str">
        <f>_xlfn.XLOOKUP(Table16[[#This Row],[Name]],Table211121642021222325343536373841[Name],Table211121642021222325343536373841[Points],"DNP",0,1)</f>
        <v>DNP</v>
      </c>
    </row>
    <row r="81" spans="2:22">
      <c r="B81" t="str">
        <f>IFERROR(Table5[[#This Row],[Full name]],"")</f>
        <v>Alan Long</v>
      </c>
      <c r="C81" s="68">
        <f>SUM(Table16[[#This Row],[September 30, 2025]:[Column18]])</f>
        <v>3</v>
      </c>
      <c r="D81">
        <f>_xlfn.XLOOKUP(Table16[[#This Row],[Name]],Table4[Name],Table4[Points],"DNP",0,1)</f>
        <v>1</v>
      </c>
      <c r="E81" t="str">
        <f>_xlfn.XLOOKUP(Table16[[#This Row],[Name]],Table9[Name],Table9[Points],"DNP",0,1)</f>
        <v>DNP</v>
      </c>
      <c r="F81" t="str">
        <f>_xlfn.XLOOKUP(Table16[[#This Row],[Name]],Table18[Name],Table18[Points],"DNP",0,1)</f>
        <v>DNP</v>
      </c>
      <c r="G81" t="str">
        <f>_xlfn.XLOOKUP(Table16[[#This Row],[Name]],Table2[Name],Table2[Points],"DNP",0,1)</f>
        <v>DNP</v>
      </c>
      <c r="H81">
        <f>_xlfn.XLOOKUP(Table16[[#This Row],[Name]],Table211[Name],Table211[Points],"DNP",0,1)</f>
        <v>2</v>
      </c>
      <c r="I81" t="str">
        <f>_xlfn.XLOOKUP(Table16[[#This Row],[Name]],Table21112[Name],Table21112[Points],"DNP",0,1)</f>
        <v>DNP</v>
      </c>
      <c r="J81" t="str">
        <f>_xlfn.XLOOKUP(Table16[[#This Row],[Name]],Table21112164[Name],Table21112164[Points],"DNP",0,1)</f>
        <v>DNP</v>
      </c>
      <c r="K81" t="str">
        <f>_xlfn.XLOOKUP(Table16[[#This Row],[Name]],Table2111216420[Name],Table2111216420[Points],"DNP",0,1)</f>
        <v>DNP</v>
      </c>
      <c r="L81" t="str">
        <f>_xlfn.XLOOKUP(Table16[[#This Row],[Name]],Table211121642021[Name],Table211121642021[Points],"DNP",0,1)</f>
        <v>DNP</v>
      </c>
      <c r="M81" t="str">
        <f>_xlfn.XLOOKUP(Table16[[#This Row],[Name]],Table21112164202122[Name],Table21112164202122[Points],"DNP",0,1)</f>
        <v>DNP</v>
      </c>
      <c r="N81" t="str">
        <f>_xlfn.XLOOKUP(Table16[[#This Row],[Name]],Table2111216420212223[Name],Table2111216420212223[Points],"DNP",0,1)</f>
        <v>DNP</v>
      </c>
      <c r="O81" t="str">
        <f>_xlfn.XLOOKUP(Table16[[#This Row],[Name]],Table211121642021222325[Name],Table211121642021222325[Points],"DNP",0,1)</f>
        <v>DNP</v>
      </c>
      <c r="P81" t="str">
        <f>_xlfn.XLOOKUP(Table16[[#This Row],[Name]],Table21112164202122232534[Name],Table21112164202122232534[Points],"DNP",0,1)</f>
        <v>DNP</v>
      </c>
      <c r="Q81" t="str">
        <f>_xlfn.XLOOKUP(Table16[[#This Row],[Name]],Table2111216420212223253435[Name],Table2111216420212223253435[Points],"DNP",0,1)</f>
        <v>DNP</v>
      </c>
      <c r="R81" t="str">
        <f>_xlfn.XLOOKUP(Table16[[#This Row],[Name]],Table211121642021222325343536[Name],Table211121642021222325343536[Points],"DNP",0,1)</f>
        <v>DNP</v>
      </c>
      <c r="S81" t="str">
        <f>_xlfn.XLOOKUP(Table16[[#This Row],[Name]],Table21112164202122232534353637[Name],Table21112164202122232534353637[Points],"DNP",0,1)</f>
        <v>DNP</v>
      </c>
      <c r="T81" t="str">
        <f>_xlfn.XLOOKUP(Table16[[#This Row],[Name]],Table2111216420212223253435363738[Name],Table2111216420212223253435363738[Points],"DNP",0,1)</f>
        <v>DNP</v>
      </c>
      <c r="U81" t="str">
        <f>_xlfn.XLOOKUP(Table16[[#This Row],[Name]],Table2111216420212223253435363739[Name],Table2111216420212223253435363739[Points],"DNP",0,1)</f>
        <v>DNP</v>
      </c>
      <c r="V81" t="str">
        <f>_xlfn.XLOOKUP(Table16[[#This Row],[Name]],Table211121642021222325343536373841[Name],Table211121642021222325343536373841[Points],"DNP",0,1)</f>
        <v>DNP</v>
      </c>
    </row>
    <row r="82" spans="2:22">
      <c r="B82" t="str">
        <f>IFERROR(Table5[[#This Row],[Full name]],"")</f>
        <v>Alex Fan-Lun</v>
      </c>
      <c r="C82" s="68">
        <f>SUM(Table16[[#This Row],[September 30, 2025]:[Column18]])</f>
        <v>3</v>
      </c>
      <c r="D82" t="str">
        <f>_xlfn.XLOOKUP(Table16[[#This Row],[Name]],Table4[Name],Table4[Points],"DNP",0,1)</f>
        <v>DNP</v>
      </c>
      <c r="E82" t="str">
        <f>_xlfn.XLOOKUP(Table16[[#This Row],[Name]],Table9[Name],Table9[Points],"DNP",0,1)</f>
        <v>DNP</v>
      </c>
      <c r="F82" t="str">
        <f>_xlfn.XLOOKUP(Table16[[#This Row],[Name]],Table18[Name],Table18[Points],"DNP",0,1)</f>
        <v>DNP</v>
      </c>
      <c r="G82">
        <f>_xlfn.XLOOKUP(Table16[[#This Row],[Name]],Table2[Name],Table2[Points],"DNP",0,1)</f>
        <v>1</v>
      </c>
      <c r="H82" t="str">
        <f>_xlfn.XLOOKUP(Table16[[#This Row],[Name]],Table211[Name],Table211[Points],"DNP",0,1)</f>
        <v>DNP</v>
      </c>
      <c r="I82" t="str">
        <f>_xlfn.XLOOKUP(Table16[[#This Row],[Name]],Table21112[Name],Table21112[Points],"DNP",0,1)</f>
        <v>DNP</v>
      </c>
      <c r="J82" t="str">
        <f>_xlfn.XLOOKUP(Table16[[#This Row],[Name]],Table21112164[Name],Table21112164[Points],"DNP",0,1)</f>
        <v>DNP</v>
      </c>
      <c r="K82" t="str">
        <f>_xlfn.XLOOKUP(Table16[[#This Row],[Name]],Table2111216420[Name],Table2111216420[Points],"DNP",0,1)</f>
        <v>DNP</v>
      </c>
      <c r="L82" t="str">
        <f>_xlfn.XLOOKUP(Table16[[#This Row],[Name]],Table211121642021[Name],Table211121642021[Points],"DNP",0,1)</f>
        <v>DNP</v>
      </c>
      <c r="M82" t="str">
        <f>_xlfn.XLOOKUP(Table16[[#This Row],[Name]],Table21112164202122[Name],Table21112164202122[Points],"DNP",0,1)</f>
        <v>DNP</v>
      </c>
      <c r="N82" t="str">
        <f>_xlfn.XLOOKUP(Table16[[#This Row],[Name]],Table2111216420212223[Name],Table2111216420212223[Points],"DNP",0,1)</f>
        <v>DNP</v>
      </c>
      <c r="O82" t="str">
        <f>_xlfn.XLOOKUP(Table16[[#This Row],[Name]],Table211121642021222325[Name],Table211121642021222325[Points],"DNP",0,1)</f>
        <v>DNP</v>
      </c>
      <c r="P82" t="str">
        <f>_xlfn.XLOOKUP(Table16[[#This Row],[Name]],Table21112164202122232534[Name],Table21112164202122232534[Points],"DNP",0,1)</f>
        <v>DNP</v>
      </c>
      <c r="Q82" t="str">
        <f>_xlfn.XLOOKUP(Table16[[#This Row],[Name]],Table2111216420212223253435[Name],Table2111216420212223253435[Points],"DNP",0,1)</f>
        <v>DNP</v>
      </c>
      <c r="R82" t="str">
        <f>_xlfn.XLOOKUP(Table16[[#This Row],[Name]],Table211121642021222325343536[Name],Table211121642021222325343536[Points],"DNP",0,1)</f>
        <v>DNP</v>
      </c>
      <c r="S82" t="str">
        <f>_xlfn.XLOOKUP(Table16[[#This Row],[Name]],Table21112164202122232534353637[Name],Table21112164202122232534353637[Points],"DNP",0,1)</f>
        <v>DNP</v>
      </c>
      <c r="T82" t="str">
        <f>_xlfn.XLOOKUP(Table16[[#This Row],[Name]],Table2111216420212223253435363738[Name],Table2111216420212223253435363738[Points],"DNP",0,1)</f>
        <v>DNP</v>
      </c>
      <c r="U82">
        <f>_xlfn.XLOOKUP(Table16[[#This Row],[Name]],Table2111216420212223253435363739[Name],Table2111216420212223253435363739[Points],"DNP",0,1)</f>
        <v>2</v>
      </c>
      <c r="V82" t="str">
        <f>_xlfn.XLOOKUP(Table16[[#This Row],[Name]],Table211121642021222325343536373841[Name],Table211121642021222325343536373841[Points],"DNP",0,1)</f>
        <v>DNP</v>
      </c>
    </row>
    <row r="83" spans="2:22">
      <c r="B83" t="str">
        <f>IFERROR(Table5[[#This Row],[Full name]],"")</f>
        <v>Alex Xiao</v>
      </c>
      <c r="C83" s="68">
        <f>SUM(Table16[[#This Row],[September 30, 2025]:[Column18]])</f>
        <v>5</v>
      </c>
      <c r="D83" t="str">
        <f>_xlfn.XLOOKUP(Table16[[#This Row],[Name]],Table4[Name],Table4[Points],"DNP",0,1)</f>
        <v>DNP</v>
      </c>
      <c r="E83">
        <f>_xlfn.XLOOKUP(Table16[[#This Row],[Name]],Table9[Name],Table9[Points],"DNP",0,1)</f>
        <v>2</v>
      </c>
      <c r="F83" t="str">
        <f>_xlfn.XLOOKUP(Table16[[#This Row],[Name]],Table18[Name],Table18[Points],"DNP",0,1)</f>
        <v>DNP</v>
      </c>
      <c r="G83" t="str">
        <f>_xlfn.XLOOKUP(Table16[[#This Row],[Name]],Table2[Name],Table2[Points],"DNP",0,1)</f>
        <v>DNP</v>
      </c>
      <c r="H83" t="str">
        <f>_xlfn.XLOOKUP(Table16[[#This Row],[Name]],Table211[Name],Table211[Points],"DNP",0,1)</f>
        <v>DNP</v>
      </c>
      <c r="I83" t="str">
        <f>_xlfn.XLOOKUP(Table16[[#This Row],[Name]],Table21112[Name],Table21112[Points],"DNP",0,1)</f>
        <v>DNP</v>
      </c>
      <c r="J83" t="str">
        <f>_xlfn.XLOOKUP(Table16[[#This Row],[Name]],Table21112164[Name],Table21112164[Points],"DNP",0,1)</f>
        <v>DNP</v>
      </c>
      <c r="K83" t="str">
        <f>_xlfn.XLOOKUP(Table16[[#This Row],[Name]],Table2111216420[Name],Table2111216420[Points],"DNP",0,1)</f>
        <v>DNP</v>
      </c>
      <c r="L83" t="str">
        <f>_xlfn.XLOOKUP(Table16[[#This Row],[Name]],Table211121642021[Name],Table211121642021[Points],"DNP",0,1)</f>
        <v>DNP</v>
      </c>
      <c r="M83" t="str">
        <f>_xlfn.XLOOKUP(Table16[[#This Row],[Name]],Table21112164202122[Name],Table21112164202122[Points],"DNP",0,1)</f>
        <v>DNP</v>
      </c>
      <c r="N83">
        <f>_xlfn.XLOOKUP(Table16[[#This Row],[Name]],Table2111216420212223[Name],Table2111216420212223[Points],"DNP",0,1)</f>
        <v>2</v>
      </c>
      <c r="O83" t="str">
        <f>_xlfn.XLOOKUP(Table16[[#This Row],[Name]],Table211121642021222325[Name],Table211121642021222325[Points],"DNP",0,1)</f>
        <v>DNP</v>
      </c>
      <c r="P83">
        <f>_xlfn.XLOOKUP(Table16[[#This Row],[Name]],Table21112164202122232534[Name],Table21112164202122232534[Points],"DNP",0,1)</f>
        <v>1</v>
      </c>
      <c r="Q83" t="str">
        <f>_xlfn.XLOOKUP(Table16[[#This Row],[Name]],Table2111216420212223253435[Name],Table2111216420212223253435[Points],"DNP",0,1)</f>
        <v>DNP</v>
      </c>
      <c r="R83" t="str">
        <f>_xlfn.XLOOKUP(Table16[[#This Row],[Name]],Table211121642021222325343536[Name],Table211121642021222325343536[Points],"DNP",0,1)</f>
        <v>DNP</v>
      </c>
      <c r="S83" t="str">
        <f>_xlfn.XLOOKUP(Table16[[#This Row],[Name]],Table21112164202122232534353637[Name],Table21112164202122232534353637[Points],"DNP",0,1)</f>
        <v>DNP</v>
      </c>
      <c r="T83" t="str">
        <f>_xlfn.XLOOKUP(Table16[[#This Row],[Name]],Table2111216420212223253435363738[Name],Table2111216420212223253435363738[Points],"DNP",0,1)</f>
        <v>DNP</v>
      </c>
      <c r="U83" t="str">
        <f>_xlfn.XLOOKUP(Table16[[#This Row],[Name]],Table2111216420212223253435363739[Name],Table2111216420212223253435363739[Points],"DNP",0,1)</f>
        <v>DNP</v>
      </c>
      <c r="V83" t="str">
        <f>_xlfn.XLOOKUP(Table16[[#This Row],[Name]],Table211121642021222325343536373841[Name],Table211121642021222325343536373841[Points],"DNP",0,1)</f>
        <v>DNP</v>
      </c>
    </row>
    <row r="84" spans="2:22">
      <c r="B84" t="str">
        <f>IFERROR(Table5[[#This Row],[Full name]],"")</f>
        <v>Alex Nguyen</v>
      </c>
      <c r="C84" s="68">
        <f>SUM(Table16[[#This Row],[September 30, 2025]:[Column18]])</f>
        <v>23</v>
      </c>
      <c r="D84" t="str">
        <f>_xlfn.XLOOKUP(Table16[[#This Row],[Name]],Table4[Name],Table4[Points],"DNP",0,1)</f>
        <v>DNP</v>
      </c>
      <c r="E84" t="str">
        <f>_xlfn.XLOOKUP(Table16[[#This Row],[Name]],Table9[Name],Table9[Points],"DNP",0,1)</f>
        <v>DNP</v>
      </c>
      <c r="F84" t="str">
        <f>_xlfn.XLOOKUP(Table16[[#This Row],[Name]],Table18[Name],Table18[Points],"DNP",0,1)</f>
        <v>DNP</v>
      </c>
      <c r="G84" t="str">
        <f>_xlfn.XLOOKUP(Table16[[#This Row],[Name]],Table2[Name],Table2[Points],"DNP",0,1)</f>
        <v>DNP</v>
      </c>
      <c r="H84" t="str">
        <f>_xlfn.XLOOKUP(Table16[[#This Row],[Name]],Table211[Name],Table211[Points],"DNP",0,1)</f>
        <v>DNP</v>
      </c>
      <c r="I84" t="str">
        <f>_xlfn.XLOOKUP(Table16[[#This Row],[Name]],Table21112[Name],Table21112[Points],"DNP",0,1)</f>
        <v>DNP</v>
      </c>
      <c r="J84" t="str">
        <f>_xlfn.XLOOKUP(Table16[[#This Row],[Name]],Table21112164[Name],Table21112164[Points],"DNP",0,1)</f>
        <v>DNP</v>
      </c>
      <c r="K84" t="str">
        <f>_xlfn.XLOOKUP(Table16[[#This Row],[Name]],Table2111216420[Name],Table2111216420[Points],"DNP",0,1)</f>
        <v>DNP</v>
      </c>
      <c r="L84" t="str">
        <f>_xlfn.XLOOKUP(Table16[[#This Row],[Name]],Table211121642021[Name],Table211121642021[Points],"DNP",0,1)</f>
        <v>DNP</v>
      </c>
      <c r="M84" t="str">
        <f>_xlfn.XLOOKUP(Table16[[#This Row],[Name]],Table21112164202122[Name],Table21112164202122[Points],"DNP",0,1)</f>
        <v>DNP</v>
      </c>
      <c r="N84" t="str">
        <f>_xlfn.XLOOKUP(Table16[[#This Row],[Name]],Table2111216420212223[Name],Table2111216420212223[Points],"DNP",0,1)</f>
        <v>DNP</v>
      </c>
      <c r="O84">
        <f>_xlfn.XLOOKUP(Table16[[#This Row],[Name]],Table211121642021222325[Name],Table211121642021222325[Points],"DNP",0,1)</f>
        <v>10</v>
      </c>
      <c r="P84">
        <f>_xlfn.XLOOKUP(Table16[[#This Row],[Name]],Table21112164202122232534[Name],Table21112164202122232534[Points],"DNP",0,1)</f>
        <v>1</v>
      </c>
      <c r="Q84" t="str">
        <f>_xlfn.XLOOKUP(Table16[[#This Row],[Name]],Table2111216420212223253435[Name],Table2111216420212223253435[Points],"DNP",0,1)</f>
        <v>DNP</v>
      </c>
      <c r="R84">
        <f>_xlfn.XLOOKUP(Table16[[#This Row],[Name]],Table211121642021222325343536[Name],Table211121642021222325343536[Points],"DNP",0,1)</f>
        <v>1</v>
      </c>
      <c r="S84">
        <f>_xlfn.XLOOKUP(Table16[[#This Row],[Name]],Table21112164202122232534353637[Name],Table21112164202122232534353637[Points],"DNP",0,1)</f>
        <v>1</v>
      </c>
      <c r="T84" t="str">
        <f>_xlfn.XLOOKUP(Table16[[#This Row],[Name]],Table2111216420212223253435363738[Name],Table2111216420212223253435363738[Points],"DNP",0,1)</f>
        <v>DNP</v>
      </c>
      <c r="U84">
        <f>_xlfn.XLOOKUP(Table16[[#This Row],[Name]],Table2111216420212223253435363739[Name],Table2111216420212223253435363739[Points],"DNP",0,1)</f>
        <v>10</v>
      </c>
      <c r="V84" t="str">
        <f>_xlfn.XLOOKUP(Table16[[#This Row],[Name]],Table211121642021222325343536373841[Name],Table211121642021222325343536373841[Points],"DNP",0,1)</f>
        <v>DNP</v>
      </c>
    </row>
    <row r="85" spans="2:22">
      <c r="B85" t="str">
        <f>IFERROR(Table5[[#This Row],[Full name]],"")</f>
        <v>Alex Xu</v>
      </c>
      <c r="C85" s="68">
        <f>SUM(Table16[[#This Row],[September 30, 2025]:[Column18]])</f>
        <v>2</v>
      </c>
      <c r="D85" t="str">
        <f>_xlfn.XLOOKUP(Table16[[#This Row],[Name]],Table4[Name],Table4[Points],"DNP",0,1)</f>
        <v>DNP</v>
      </c>
      <c r="E85" t="str">
        <f>_xlfn.XLOOKUP(Table16[[#This Row],[Name]],Table9[Name],Table9[Points],"DNP",0,1)</f>
        <v>DNP</v>
      </c>
      <c r="F85" t="str">
        <f>_xlfn.XLOOKUP(Table16[[#This Row],[Name]],Table18[Name],Table18[Points],"DNP",0,1)</f>
        <v>DNP</v>
      </c>
      <c r="G85" t="str">
        <f>_xlfn.XLOOKUP(Table16[[#This Row],[Name]],Table2[Name],Table2[Points],"DNP",0,1)</f>
        <v>DNP</v>
      </c>
      <c r="H85" t="str">
        <f>_xlfn.XLOOKUP(Table16[[#This Row],[Name]],Table211[Name],Table211[Points],"DNP",0,1)</f>
        <v>DNP</v>
      </c>
      <c r="I85" t="str">
        <f>_xlfn.XLOOKUP(Table16[[#This Row],[Name]],Table21112[Name],Table21112[Points],"DNP",0,1)</f>
        <v>DNP</v>
      </c>
      <c r="J85" t="str">
        <f>_xlfn.XLOOKUP(Table16[[#This Row],[Name]],Table21112164[Name],Table21112164[Points],"DNP",0,1)</f>
        <v>DNP</v>
      </c>
      <c r="K85" t="str">
        <f>_xlfn.XLOOKUP(Table16[[#This Row],[Name]],Table2111216420[Name],Table2111216420[Points],"DNP",0,1)</f>
        <v>DNP</v>
      </c>
      <c r="L85" t="str">
        <f>_xlfn.XLOOKUP(Table16[[#This Row],[Name]],Table211121642021[Name],Table211121642021[Points],"DNP",0,1)</f>
        <v>DNP</v>
      </c>
      <c r="M85" t="str">
        <f>_xlfn.XLOOKUP(Table16[[#This Row],[Name]],Table21112164202122[Name],Table21112164202122[Points],"DNP",0,1)</f>
        <v>DNP</v>
      </c>
      <c r="N85" t="str">
        <f>_xlfn.XLOOKUP(Table16[[#This Row],[Name]],Table2111216420212223[Name],Table2111216420212223[Points],"DNP",0,1)</f>
        <v>DNP</v>
      </c>
      <c r="O85" t="str">
        <f>_xlfn.XLOOKUP(Table16[[#This Row],[Name]],Table211121642021222325[Name],Table211121642021222325[Points],"DNP",0,1)</f>
        <v>DNP</v>
      </c>
      <c r="P85">
        <f>_xlfn.XLOOKUP(Table16[[#This Row],[Name]],Table21112164202122232534[Name],Table21112164202122232534[Points],"DNP",0,1)</f>
        <v>1</v>
      </c>
      <c r="Q85">
        <f>_xlfn.XLOOKUP(Table16[[#This Row],[Name]],Table2111216420212223253435[Name],Table2111216420212223253435[Points],"DNP",0,1)</f>
        <v>1</v>
      </c>
      <c r="R85" t="str">
        <f>_xlfn.XLOOKUP(Table16[[#This Row],[Name]],Table211121642021222325343536[Name],Table211121642021222325343536[Points],"DNP",0,1)</f>
        <v>DNP</v>
      </c>
      <c r="S85" t="str">
        <f>_xlfn.XLOOKUP(Table16[[#This Row],[Name]],Table21112164202122232534353637[Name],Table21112164202122232534353637[Points],"DNP",0,1)</f>
        <v>DNP</v>
      </c>
      <c r="T85" t="str">
        <f>_xlfn.XLOOKUP(Table16[[#This Row],[Name]],Table2111216420212223253435363738[Name],Table2111216420212223253435363738[Points],"DNP",0,1)</f>
        <v>DNP</v>
      </c>
      <c r="U85" t="str">
        <f>_xlfn.XLOOKUP(Table16[[#This Row],[Name]],Table2111216420212223253435363739[Name],Table2111216420212223253435363739[Points],"DNP",0,1)</f>
        <v>DNP</v>
      </c>
      <c r="V85" t="str">
        <f>_xlfn.XLOOKUP(Table16[[#This Row],[Name]],Table211121642021222325343536373841[Name],Table211121642021222325343536373841[Points],"DNP",0,1)</f>
        <v>DNP</v>
      </c>
    </row>
    <row r="86" spans="2:22">
      <c r="B86" t="str">
        <f>IFERROR(Table5[[#This Row],[Full name]],"")</f>
        <v>Alex Yu</v>
      </c>
      <c r="C86" s="68">
        <f>SUM(Table16[[#This Row],[September 30, 2025]:[Column18]])</f>
        <v>3</v>
      </c>
      <c r="D86" t="str">
        <f>_xlfn.XLOOKUP(Table16[[#This Row],[Name]],Table4[Name],Table4[Points],"DNP",0,1)</f>
        <v>DNP</v>
      </c>
      <c r="E86" t="str">
        <f>_xlfn.XLOOKUP(Table16[[#This Row],[Name]],Table9[Name],Table9[Points],"DNP",0,1)</f>
        <v>DNP</v>
      </c>
      <c r="F86" t="str">
        <f>_xlfn.XLOOKUP(Table16[[#This Row],[Name]],Table18[Name],Table18[Points],"DNP",0,1)</f>
        <v>DNP</v>
      </c>
      <c r="G86" t="str">
        <f>_xlfn.XLOOKUP(Table16[[#This Row],[Name]],Table2[Name],Table2[Points],"DNP",0,1)</f>
        <v>DNP</v>
      </c>
      <c r="H86" t="str">
        <f>_xlfn.XLOOKUP(Table16[[#This Row],[Name]],Table211[Name],Table211[Points],"DNP",0,1)</f>
        <v>DNP</v>
      </c>
      <c r="I86" t="str">
        <f>_xlfn.XLOOKUP(Table16[[#This Row],[Name]],Table21112[Name],Table21112[Points],"DNP",0,1)</f>
        <v>DNP</v>
      </c>
      <c r="J86" t="str">
        <f>_xlfn.XLOOKUP(Table16[[#This Row],[Name]],Table21112164[Name],Table21112164[Points],"DNP",0,1)</f>
        <v>DNP</v>
      </c>
      <c r="K86" t="str">
        <f>_xlfn.XLOOKUP(Table16[[#This Row],[Name]],Table2111216420[Name],Table2111216420[Points],"DNP",0,1)</f>
        <v>DNP</v>
      </c>
      <c r="L86" t="str">
        <f>_xlfn.XLOOKUP(Table16[[#This Row],[Name]],Table211121642021[Name],Table211121642021[Points],"DNP",0,1)</f>
        <v>DNP</v>
      </c>
      <c r="M86" t="str">
        <f>_xlfn.XLOOKUP(Table16[[#This Row],[Name]],Table21112164202122[Name],Table21112164202122[Points],"DNP",0,1)</f>
        <v>DNP</v>
      </c>
      <c r="N86" t="str">
        <f>_xlfn.XLOOKUP(Table16[[#This Row],[Name]],Table2111216420212223[Name],Table2111216420212223[Points],"DNP",0,1)</f>
        <v>DNP</v>
      </c>
      <c r="O86" t="str">
        <f>_xlfn.XLOOKUP(Table16[[#This Row],[Name]],Table211121642021222325[Name],Table211121642021222325[Points],"DNP",0,1)</f>
        <v>DNP</v>
      </c>
      <c r="P86" t="str">
        <f>_xlfn.XLOOKUP(Table16[[#This Row],[Name]],Table21112164202122232534[Name],Table21112164202122232534[Points],"DNP",0,1)</f>
        <v>DNP</v>
      </c>
      <c r="Q86">
        <f>_xlfn.XLOOKUP(Table16[[#This Row],[Name]],Table2111216420212223253435[Name],Table2111216420212223253435[Points],"DNP",0,1)</f>
        <v>2</v>
      </c>
      <c r="R86" t="str">
        <f>_xlfn.XLOOKUP(Table16[[#This Row],[Name]],Table211121642021222325343536[Name],Table211121642021222325343536[Points],"DNP",0,1)</f>
        <v>DNP</v>
      </c>
      <c r="S86" t="str">
        <f>_xlfn.XLOOKUP(Table16[[#This Row],[Name]],Table21112164202122232534353637[Name],Table21112164202122232534353637[Points],"DNP",0,1)</f>
        <v>DNP</v>
      </c>
      <c r="T86" t="str">
        <f>_xlfn.XLOOKUP(Table16[[#This Row],[Name]],Table2111216420212223253435363738[Name],Table2111216420212223253435363738[Points],"DNP",0,1)</f>
        <v>DNP</v>
      </c>
      <c r="U86">
        <f>_xlfn.XLOOKUP(Table16[[#This Row],[Name]],Table2111216420212223253435363739[Name],Table2111216420212223253435363739[Points],"DNP",0,1)</f>
        <v>1</v>
      </c>
      <c r="V86" t="str">
        <f>_xlfn.XLOOKUP(Table16[[#This Row],[Name]],Table211121642021222325343536373841[Name],Table211121642021222325343536373841[Points],"DNP",0,1)</f>
        <v>DNP</v>
      </c>
    </row>
    <row r="87" spans="2:22">
      <c r="B87" t="str">
        <f>IFERROR(Table5[[#This Row],[Full name]],"")</f>
        <v>Alexander Kowalski</v>
      </c>
      <c r="C87" s="68">
        <f>SUM(Table16[[#This Row],[September 30, 2025]:[Column18]])</f>
        <v>39</v>
      </c>
      <c r="D87" t="str">
        <f>_xlfn.XLOOKUP(Table16[[#This Row],[Name]],Table4[Name],Table4[Points],"DNP",0,1)</f>
        <v>DNP</v>
      </c>
      <c r="E87">
        <f>_xlfn.XLOOKUP(Table16[[#This Row],[Name]],Table9[Name],Table9[Points],"DNP",0,1)</f>
        <v>2</v>
      </c>
      <c r="F87" t="str">
        <f>_xlfn.XLOOKUP(Table16[[#This Row],[Name]],Table18[Name],Table18[Points],"DNP",0,1)</f>
        <v>DNP</v>
      </c>
      <c r="G87" t="str">
        <f>_xlfn.XLOOKUP(Table16[[#This Row],[Name]],Table2[Name],Table2[Points],"DNP",0,1)</f>
        <v>DNP</v>
      </c>
      <c r="H87">
        <f>_xlfn.XLOOKUP(Table16[[#This Row],[Name]],Table211[Name],Table211[Points],"DNP",0,1)</f>
        <v>1</v>
      </c>
      <c r="I87" t="str">
        <f>_xlfn.XLOOKUP(Table16[[#This Row],[Name]],Table21112[Name],Table21112[Points],"DNP",0,1)</f>
        <v>DNP</v>
      </c>
      <c r="J87">
        <f>_xlfn.XLOOKUP(Table16[[#This Row],[Name]],Table21112164[Name],Table21112164[Points],"DNP",0,1)</f>
        <v>2</v>
      </c>
      <c r="K87">
        <f>_xlfn.XLOOKUP(Table16[[#This Row],[Name]],Table2111216420[Name],Table2111216420[Points],"DNP",0,1)</f>
        <v>1</v>
      </c>
      <c r="L87">
        <f>_xlfn.XLOOKUP(Table16[[#This Row],[Name]],Table211121642021[Name],Table211121642021[Points],"DNP",0,1)</f>
        <v>20</v>
      </c>
      <c r="M87" t="str">
        <f>_xlfn.XLOOKUP(Table16[[#This Row],[Name]],Table21112164202122[Name],Table21112164202122[Points],"DNP",0,1)</f>
        <v>DNP</v>
      </c>
      <c r="N87">
        <f>_xlfn.XLOOKUP(Table16[[#This Row],[Name]],Table2111216420212223[Name],Table2111216420212223[Points],"DNP",0,1)</f>
        <v>1</v>
      </c>
      <c r="O87">
        <f>_xlfn.XLOOKUP(Table16[[#This Row],[Name]],Table211121642021222325[Name],Table211121642021222325[Points],"DNP",0,1)</f>
        <v>1</v>
      </c>
      <c r="P87" t="str">
        <f>_xlfn.XLOOKUP(Table16[[#This Row],[Name]],Table21112164202122232534[Name],Table21112164202122232534[Points],"DNP",0,1)</f>
        <v>DNP</v>
      </c>
      <c r="Q87">
        <f>_xlfn.XLOOKUP(Table16[[#This Row],[Name]],Table2111216420212223253435[Name],Table2111216420212223253435[Points],"DNP",0,1)</f>
        <v>1</v>
      </c>
      <c r="R87">
        <f>_xlfn.XLOOKUP(Table16[[#This Row],[Name]],Table211121642021222325343536[Name],Table211121642021222325343536[Points],"DNP",0,1)</f>
        <v>10</v>
      </c>
      <c r="S87" t="str">
        <f>_xlfn.XLOOKUP(Table16[[#This Row],[Name]],Table21112164202122232534353637[Name],Table21112164202122232534353637[Points],"DNP",0,1)</f>
        <v>DNP</v>
      </c>
      <c r="T87" t="str">
        <f>_xlfn.XLOOKUP(Table16[[#This Row],[Name]],Table2111216420212223253435363738[Name],Table2111216420212223253435363738[Points],"DNP",0,1)</f>
        <v>DNP</v>
      </c>
      <c r="U87" t="str">
        <f>_xlfn.XLOOKUP(Table16[[#This Row],[Name]],Table2111216420212223253435363739[Name],Table2111216420212223253435363739[Points],"DNP",0,1)</f>
        <v>DNP</v>
      </c>
      <c r="V87" t="str">
        <f>_xlfn.XLOOKUP(Table16[[#This Row],[Name]],Table211121642021222325343536373841[Name],Table211121642021222325343536373841[Points],"DNP",0,1)</f>
        <v>DNP</v>
      </c>
    </row>
    <row r="88" spans="2:22">
      <c r="B88" t="str">
        <f>IFERROR(Table5[[#This Row],[Full name]],"")</f>
        <v>Alexander Musarai</v>
      </c>
      <c r="C88" s="68">
        <f>SUM(Table16[[#This Row],[September 30, 2025]:[Column18]])</f>
        <v>21</v>
      </c>
      <c r="D88">
        <f>_xlfn.XLOOKUP(Table16[[#This Row],[Name]],Table4[Name],Table4[Points],"DNP",0,1)</f>
        <v>2</v>
      </c>
      <c r="E88">
        <f>_xlfn.XLOOKUP(Table16[[#This Row],[Name]],Table9[Name],Table9[Points],"DNP",0,1)</f>
        <v>2</v>
      </c>
      <c r="F88" t="str">
        <f>_xlfn.XLOOKUP(Table16[[#This Row],[Name]],Table18[Name],Table18[Points],"DNP",0,1)</f>
        <v>DNP</v>
      </c>
      <c r="G88" t="str">
        <f>_xlfn.XLOOKUP(Table16[[#This Row],[Name]],Table2[Name],Table2[Points],"DNP",0,1)</f>
        <v>DNP</v>
      </c>
      <c r="H88" t="str">
        <f>_xlfn.XLOOKUP(Table16[[#This Row],[Name]],Table211[Name],Table211[Points],"DNP",0,1)</f>
        <v>DNP</v>
      </c>
      <c r="I88" t="str">
        <f>_xlfn.XLOOKUP(Table16[[#This Row],[Name]],Table21112[Name],Table21112[Points],"DNP",0,1)</f>
        <v>DNP</v>
      </c>
      <c r="J88" t="str">
        <f>_xlfn.XLOOKUP(Table16[[#This Row],[Name]],Table21112164[Name],Table21112164[Points],"DNP",0,1)</f>
        <v>DNP</v>
      </c>
      <c r="K88" t="str">
        <f>_xlfn.XLOOKUP(Table16[[#This Row],[Name]],Table2111216420[Name],Table2111216420[Points],"DNP",0,1)</f>
        <v>DNP</v>
      </c>
      <c r="L88" t="str">
        <f>_xlfn.XLOOKUP(Table16[[#This Row],[Name]],Table211121642021[Name],Table211121642021[Points],"DNP",0,1)</f>
        <v>DNP</v>
      </c>
      <c r="M88">
        <f>_xlfn.XLOOKUP(Table16[[#This Row],[Name]],Table21112164202122[Name],Table21112164202122[Points],"DNP",0,1)</f>
        <v>1</v>
      </c>
      <c r="N88">
        <f>_xlfn.XLOOKUP(Table16[[#This Row],[Name]],Table2111216420212223[Name],Table2111216420212223[Points],"DNP",0,1)</f>
        <v>1</v>
      </c>
      <c r="O88">
        <f>_xlfn.XLOOKUP(Table16[[#This Row],[Name]],Table211121642021222325[Name],Table211121642021222325[Points],"DNP",0,1)</f>
        <v>4</v>
      </c>
      <c r="P88">
        <f>_xlfn.XLOOKUP(Table16[[#This Row],[Name]],Table21112164202122232534[Name],Table21112164202122232534[Points],"DNP",0,1)</f>
        <v>2</v>
      </c>
      <c r="Q88">
        <f>_xlfn.XLOOKUP(Table16[[#This Row],[Name]],Table2111216420212223253435[Name],Table2111216420212223253435[Points],"DNP",0,1)</f>
        <v>1</v>
      </c>
      <c r="R88">
        <f>_xlfn.XLOOKUP(Table16[[#This Row],[Name]],Table211121642021222325343536[Name],Table211121642021222325343536[Points],"DNP",0,1)</f>
        <v>2</v>
      </c>
      <c r="S88">
        <f>_xlfn.XLOOKUP(Table16[[#This Row],[Name]],Table21112164202122232534353637[Name],Table21112164202122232534353637[Points],"DNP",0,1)</f>
        <v>1</v>
      </c>
      <c r="T88">
        <f>_xlfn.XLOOKUP(Table16[[#This Row],[Name]],Table2111216420212223253435363738[Name],Table2111216420212223253435363738[Points],"DNP",0,1)</f>
        <v>2</v>
      </c>
      <c r="U88">
        <f>_xlfn.XLOOKUP(Table16[[#This Row],[Name]],Table2111216420212223253435363739[Name],Table2111216420212223253435363739[Points],"DNP",0,1)</f>
        <v>2</v>
      </c>
      <c r="V88">
        <f>_xlfn.XLOOKUP(Table16[[#This Row],[Name]],Table211121642021222325343536373841[Name],Table211121642021222325343536373841[Points],"DNP",0,1)</f>
        <v>1</v>
      </c>
    </row>
    <row r="89" spans="2:22">
      <c r="B89" t="str">
        <f>IFERROR(Table5[[#This Row],[Full name]],"")</f>
        <v>Alexander Li</v>
      </c>
      <c r="C89" s="68">
        <f>SUM(Table16[[#This Row],[September 30, 2025]:[Column18]])</f>
        <v>1</v>
      </c>
      <c r="D89" t="str">
        <f>_xlfn.XLOOKUP(Table16[[#This Row],[Name]],Table4[Name],Table4[Points],"DNP",0,1)</f>
        <v>DNP</v>
      </c>
      <c r="E89" t="str">
        <f>_xlfn.XLOOKUP(Table16[[#This Row],[Name]],Table9[Name],Table9[Points],"DNP",0,1)</f>
        <v>DNP</v>
      </c>
      <c r="F89" t="str">
        <f>_xlfn.XLOOKUP(Table16[[#This Row],[Name]],Table18[Name],Table18[Points],"DNP",0,1)</f>
        <v>DNP</v>
      </c>
      <c r="G89" t="str">
        <f>_xlfn.XLOOKUP(Table16[[#This Row],[Name]],Table2[Name],Table2[Points],"DNP",0,1)</f>
        <v>DNP</v>
      </c>
      <c r="H89" t="str">
        <f>_xlfn.XLOOKUP(Table16[[#This Row],[Name]],Table211[Name],Table211[Points],"DNP",0,1)</f>
        <v>DNP</v>
      </c>
      <c r="I89" t="str">
        <f>_xlfn.XLOOKUP(Table16[[#This Row],[Name]],Table21112[Name],Table21112[Points],"DNP",0,1)</f>
        <v>DNP</v>
      </c>
      <c r="J89" t="str">
        <f>_xlfn.XLOOKUP(Table16[[#This Row],[Name]],Table21112164[Name],Table21112164[Points],"DNP",0,1)</f>
        <v>DNP</v>
      </c>
      <c r="K89" t="str">
        <f>_xlfn.XLOOKUP(Table16[[#This Row],[Name]],Table2111216420[Name],Table2111216420[Points],"DNP",0,1)</f>
        <v>DNP</v>
      </c>
      <c r="L89" t="str">
        <f>_xlfn.XLOOKUP(Table16[[#This Row],[Name]],Table211121642021[Name],Table211121642021[Points],"DNP",0,1)</f>
        <v>DNP</v>
      </c>
      <c r="M89" t="str">
        <f>_xlfn.XLOOKUP(Table16[[#This Row],[Name]],Table21112164202122[Name],Table21112164202122[Points],"DNP",0,1)</f>
        <v>DNP</v>
      </c>
      <c r="N89" t="str">
        <f>_xlfn.XLOOKUP(Table16[[#This Row],[Name]],Table2111216420212223[Name],Table2111216420212223[Points],"DNP",0,1)</f>
        <v>DNP</v>
      </c>
      <c r="O89">
        <f>_xlfn.XLOOKUP(Table16[[#This Row],[Name]],Table211121642021222325[Name],Table211121642021222325[Points],"DNP",0,1)</f>
        <v>1</v>
      </c>
      <c r="P89" t="str">
        <f>_xlfn.XLOOKUP(Table16[[#This Row],[Name]],Table21112164202122232534[Name],Table21112164202122232534[Points],"DNP",0,1)</f>
        <v>DNP</v>
      </c>
      <c r="Q89" t="str">
        <f>_xlfn.XLOOKUP(Table16[[#This Row],[Name]],Table2111216420212223253435[Name],Table2111216420212223253435[Points],"DNP",0,1)</f>
        <v>DNP</v>
      </c>
      <c r="R89" t="str">
        <f>_xlfn.XLOOKUP(Table16[[#This Row],[Name]],Table211121642021222325343536[Name],Table211121642021222325343536[Points],"DNP",0,1)</f>
        <v>DNP</v>
      </c>
      <c r="S89" t="str">
        <f>_xlfn.XLOOKUP(Table16[[#This Row],[Name]],Table21112164202122232534353637[Name],Table21112164202122232534353637[Points],"DNP",0,1)</f>
        <v>DNP</v>
      </c>
      <c r="T89" t="str">
        <f>_xlfn.XLOOKUP(Table16[[#This Row],[Name]],Table2111216420212223253435363738[Name],Table2111216420212223253435363738[Points],"DNP",0,1)</f>
        <v>DNP</v>
      </c>
      <c r="U89" t="str">
        <f>_xlfn.XLOOKUP(Table16[[#This Row],[Name]],Table2111216420212223253435363739[Name],Table2111216420212223253435363739[Points],"DNP",0,1)</f>
        <v>DNP</v>
      </c>
      <c r="V89" t="str">
        <f>_xlfn.XLOOKUP(Table16[[#This Row],[Name]],Table211121642021222325343536373841[Name],Table211121642021222325343536373841[Points],"DNP",0,1)</f>
        <v>DNP</v>
      </c>
    </row>
    <row r="90" spans="2:22">
      <c r="B90" t="str">
        <f>IFERROR(Table5[[#This Row],[Full name]],"")</f>
        <v>Ali Akinci</v>
      </c>
      <c r="C90" s="68">
        <f>SUM(Table16[[#This Row],[September 30, 2025]:[Column18]])</f>
        <v>2</v>
      </c>
      <c r="D90" t="str">
        <f>_xlfn.XLOOKUP(Table16[[#This Row],[Name]],Table4[Name],Table4[Points],"DNP",0,1)</f>
        <v>DNP</v>
      </c>
      <c r="E90" t="str">
        <f>_xlfn.XLOOKUP(Table16[[#This Row],[Name]],Table9[Name],Table9[Points],"DNP",0,1)</f>
        <v>DNP</v>
      </c>
      <c r="F90" t="str">
        <f>_xlfn.XLOOKUP(Table16[[#This Row],[Name]],Table18[Name],Table18[Points],"DNP",0,1)</f>
        <v>DNP</v>
      </c>
      <c r="G90" t="str">
        <f>_xlfn.XLOOKUP(Table16[[#This Row],[Name]],Table2[Name],Table2[Points],"DNP",0,1)</f>
        <v>DNP</v>
      </c>
      <c r="H90" t="str">
        <f>_xlfn.XLOOKUP(Table16[[#This Row],[Name]],Table211[Name],Table211[Points],"DNP",0,1)</f>
        <v>DNP</v>
      </c>
      <c r="I90" t="str">
        <f>_xlfn.XLOOKUP(Table16[[#This Row],[Name]],Table21112[Name],Table21112[Points],"DNP",0,1)</f>
        <v>DNP</v>
      </c>
      <c r="J90" t="str">
        <f>_xlfn.XLOOKUP(Table16[[#This Row],[Name]],Table21112164[Name],Table21112164[Points],"DNP",0,1)</f>
        <v>DNP</v>
      </c>
      <c r="K90">
        <f>_xlfn.XLOOKUP(Table16[[#This Row],[Name]],Table2111216420[Name],Table2111216420[Points],"DNP",0,1)</f>
        <v>2</v>
      </c>
      <c r="L90" t="str">
        <f>_xlfn.XLOOKUP(Table16[[#This Row],[Name]],Table211121642021[Name],Table211121642021[Points],"DNP",0,1)</f>
        <v>DNP</v>
      </c>
      <c r="M90" t="str">
        <f>_xlfn.XLOOKUP(Table16[[#This Row],[Name]],Table21112164202122[Name],Table21112164202122[Points],"DNP",0,1)</f>
        <v>DNP</v>
      </c>
      <c r="N90" t="str">
        <f>_xlfn.XLOOKUP(Table16[[#This Row],[Name]],Table2111216420212223[Name],Table2111216420212223[Points],"DNP",0,1)</f>
        <v>DNP</v>
      </c>
      <c r="O90" t="str">
        <f>_xlfn.XLOOKUP(Table16[[#This Row],[Name]],Table211121642021222325[Name],Table211121642021222325[Points],"DNP",0,1)</f>
        <v>DNP</v>
      </c>
      <c r="P90" t="str">
        <f>_xlfn.XLOOKUP(Table16[[#This Row],[Name]],Table21112164202122232534[Name],Table21112164202122232534[Points],"DNP",0,1)</f>
        <v>DNP</v>
      </c>
      <c r="Q90" t="str">
        <f>_xlfn.XLOOKUP(Table16[[#This Row],[Name]],Table2111216420212223253435[Name],Table2111216420212223253435[Points],"DNP",0,1)</f>
        <v>DNP</v>
      </c>
      <c r="R90" t="str">
        <f>_xlfn.XLOOKUP(Table16[[#This Row],[Name]],Table211121642021222325343536[Name],Table211121642021222325343536[Points],"DNP",0,1)</f>
        <v>DNP</v>
      </c>
      <c r="S90" t="str">
        <f>_xlfn.XLOOKUP(Table16[[#This Row],[Name]],Table21112164202122232534353637[Name],Table21112164202122232534353637[Points],"DNP",0,1)</f>
        <v>DNP</v>
      </c>
      <c r="T90" t="str">
        <f>_xlfn.XLOOKUP(Table16[[#This Row],[Name]],Table2111216420212223253435363738[Name],Table2111216420212223253435363738[Points],"DNP",0,1)</f>
        <v>DNP</v>
      </c>
      <c r="U90" t="str">
        <f>_xlfn.XLOOKUP(Table16[[#This Row],[Name]],Table2111216420212223253435363739[Name],Table2111216420212223253435363739[Points],"DNP",0,1)</f>
        <v>DNP</v>
      </c>
      <c r="V90" t="str">
        <f>_xlfn.XLOOKUP(Table16[[#This Row],[Name]],Table211121642021222325343536373841[Name],Table211121642021222325343536373841[Points],"DNP",0,1)</f>
        <v>DNP</v>
      </c>
    </row>
    <row r="91" spans="2:22">
      <c r="B91" t="str">
        <f>IFERROR(Table5[[#This Row],[Full name]],"")</f>
        <v>Ali Issa</v>
      </c>
      <c r="C91" s="68">
        <f>SUM(Table16[[#This Row],[September 30, 2025]:[Column18]])</f>
        <v>1</v>
      </c>
      <c r="D91">
        <f>_xlfn.XLOOKUP(Table16[[#This Row],[Name]],Table4[Name],Table4[Points],"DNP",0,1)</f>
        <v>1</v>
      </c>
      <c r="E91" t="str">
        <f>_xlfn.XLOOKUP(Table16[[#This Row],[Name]],Table9[Name],Table9[Points],"DNP",0,1)</f>
        <v>DNP</v>
      </c>
      <c r="F91" t="str">
        <f>_xlfn.XLOOKUP(Table16[[#This Row],[Name]],Table18[Name],Table18[Points],"DNP",0,1)</f>
        <v>DNP</v>
      </c>
      <c r="G91" t="str">
        <f>_xlfn.XLOOKUP(Table16[[#This Row],[Name]],Table2[Name],Table2[Points],"DNP",0,1)</f>
        <v>DNP</v>
      </c>
      <c r="H91" t="str">
        <f>_xlfn.XLOOKUP(Table16[[#This Row],[Name]],Table211[Name],Table211[Points],"DNP",0,1)</f>
        <v>DNP</v>
      </c>
      <c r="I91" t="str">
        <f>_xlfn.XLOOKUP(Table16[[#This Row],[Name]],Table21112[Name],Table21112[Points],"DNP",0,1)</f>
        <v>DNP</v>
      </c>
      <c r="J91" t="str">
        <f>_xlfn.XLOOKUP(Table16[[#This Row],[Name]],Table21112164[Name],Table21112164[Points],"DNP",0,1)</f>
        <v>DNP</v>
      </c>
      <c r="K91" t="str">
        <f>_xlfn.XLOOKUP(Table16[[#This Row],[Name]],Table2111216420[Name],Table2111216420[Points],"DNP",0,1)</f>
        <v>DNP</v>
      </c>
      <c r="L91" t="str">
        <f>_xlfn.XLOOKUP(Table16[[#This Row],[Name]],Table211121642021[Name],Table211121642021[Points],"DNP",0,1)</f>
        <v>DNP</v>
      </c>
      <c r="M91" t="str">
        <f>_xlfn.XLOOKUP(Table16[[#This Row],[Name]],Table21112164202122[Name],Table21112164202122[Points],"DNP",0,1)</f>
        <v>DNP</v>
      </c>
      <c r="N91" t="str">
        <f>_xlfn.XLOOKUP(Table16[[#This Row],[Name]],Table2111216420212223[Name],Table2111216420212223[Points],"DNP",0,1)</f>
        <v>DNP</v>
      </c>
      <c r="O91" t="str">
        <f>_xlfn.XLOOKUP(Table16[[#This Row],[Name]],Table211121642021222325[Name],Table211121642021222325[Points],"DNP",0,1)</f>
        <v>DNP</v>
      </c>
      <c r="P91" t="str">
        <f>_xlfn.XLOOKUP(Table16[[#This Row],[Name]],Table21112164202122232534[Name],Table21112164202122232534[Points],"DNP",0,1)</f>
        <v>DNP</v>
      </c>
      <c r="Q91" t="str">
        <f>_xlfn.XLOOKUP(Table16[[#This Row],[Name]],Table2111216420212223253435[Name],Table2111216420212223253435[Points],"DNP",0,1)</f>
        <v>DNP</v>
      </c>
      <c r="R91" t="str">
        <f>_xlfn.XLOOKUP(Table16[[#This Row],[Name]],Table211121642021222325343536[Name],Table211121642021222325343536[Points],"DNP",0,1)</f>
        <v>DNP</v>
      </c>
      <c r="S91" t="str">
        <f>_xlfn.XLOOKUP(Table16[[#This Row],[Name]],Table21112164202122232534353637[Name],Table21112164202122232534353637[Points],"DNP",0,1)</f>
        <v>DNP</v>
      </c>
      <c r="T91" t="str">
        <f>_xlfn.XLOOKUP(Table16[[#This Row],[Name]],Table2111216420212223253435363738[Name],Table2111216420212223253435363738[Points],"DNP",0,1)</f>
        <v>DNP</v>
      </c>
      <c r="U91" t="str">
        <f>_xlfn.XLOOKUP(Table16[[#This Row],[Name]],Table2111216420212223253435363739[Name],Table2111216420212223253435363739[Points],"DNP",0,1)</f>
        <v>DNP</v>
      </c>
      <c r="V91" t="str">
        <f>_xlfn.XLOOKUP(Table16[[#This Row],[Name]],Table211121642021222325343536373841[Name],Table211121642021222325343536373841[Points],"DNP",0,1)</f>
        <v>DNP</v>
      </c>
    </row>
    <row r="92" spans="2:22">
      <c r="B92" t="str">
        <f>IFERROR(Table5[[#This Row],[Full name]],"")</f>
        <v>Aliran Kadashev</v>
      </c>
      <c r="C92" s="68">
        <f>SUM(Table16[[#This Row],[September 30, 2025]:[Column18]])</f>
        <v>25</v>
      </c>
      <c r="D92" t="str">
        <f>_xlfn.XLOOKUP(Table16[[#This Row],[Name]],Table4[Name],Table4[Points],"DNP",0,1)</f>
        <v>DNP</v>
      </c>
      <c r="E92">
        <f>_xlfn.XLOOKUP(Table16[[#This Row],[Name]],Table9[Name],Table9[Points],"DNP",0,1)</f>
        <v>1</v>
      </c>
      <c r="F92">
        <f>_xlfn.XLOOKUP(Table16[[#This Row],[Name]],Table18[Name],Table18[Points],"DNP",0,1)</f>
        <v>1</v>
      </c>
      <c r="G92" t="str">
        <f>_xlfn.XLOOKUP(Table16[[#This Row],[Name]],Table2[Name],Table2[Points],"DNP",0,1)</f>
        <v>DNP</v>
      </c>
      <c r="H92">
        <f>_xlfn.XLOOKUP(Table16[[#This Row],[Name]],Table211[Name],Table211[Points],"DNP",0,1)</f>
        <v>1</v>
      </c>
      <c r="I92">
        <f>_xlfn.XLOOKUP(Table16[[#This Row],[Name]],Table21112[Name],Table21112[Points],"DNP",0,1)</f>
        <v>8</v>
      </c>
      <c r="J92" t="str">
        <f>_xlfn.XLOOKUP(Table16[[#This Row],[Name]],Table21112164[Name],Table21112164[Points],"DNP",0,1)</f>
        <v>DNP</v>
      </c>
      <c r="K92" t="str">
        <f>_xlfn.XLOOKUP(Table16[[#This Row],[Name]],Table2111216420[Name],Table2111216420[Points],"DNP",0,1)</f>
        <v>DNP</v>
      </c>
      <c r="L92">
        <f>_xlfn.XLOOKUP(Table16[[#This Row],[Name]],Table211121642021[Name],Table211121642021[Points],"DNP",0,1)</f>
        <v>1</v>
      </c>
      <c r="M92" t="str">
        <f>_xlfn.XLOOKUP(Table16[[#This Row],[Name]],Table21112164202122[Name],Table21112164202122[Points],"DNP",0,1)</f>
        <v>DNP</v>
      </c>
      <c r="N92" t="str">
        <f>_xlfn.XLOOKUP(Table16[[#This Row],[Name]],Table2111216420212223[Name],Table2111216420212223[Points],"DNP",0,1)</f>
        <v>DNP</v>
      </c>
      <c r="O92" t="str">
        <f>_xlfn.XLOOKUP(Table16[[#This Row],[Name]],Table211121642021222325[Name],Table211121642021222325[Points],"DNP",0,1)</f>
        <v>DNP</v>
      </c>
      <c r="P92" t="str">
        <f>_xlfn.XLOOKUP(Table16[[#This Row],[Name]],Table21112164202122232534[Name],Table21112164202122232534[Points],"DNP",0,1)</f>
        <v>DNP</v>
      </c>
      <c r="Q92" t="str">
        <f>_xlfn.XLOOKUP(Table16[[#This Row],[Name]],Table2111216420212223253435[Name],Table2111216420212223253435[Points],"DNP",0,1)</f>
        <v>DNP</v>
      </c>
      <c r="R92" t="str">
        <f>_xlfn.XLOOKUP(Table16[[#This Row],[Name]],Table211121642021222325343536[Name],Table211121642021222325343536[Points],"DNP",0,1)</f>
        <v>DNP</v>
      </c>
      <c r="S92" t="str">
        <f>_xlfn.XLOOKUP(Table16[[#This Row],[Name]],Table21112164202122232534353637[Name],Table21112164202122232534353637[Points],"DNP",0,1)</f>
        <v>DNP</v>
      </c>
      <c r="T92">
        <f>_xlfn.XLOOKUP(Table16[[#This Row],[Name]],Table2111216420212223253435363738[Name],Table2111216420212223253435363738[Points],"DNP",0,1)</f>
        <v>10</v>
      </c>
      <c r="U92">
        <f>_xlfn.XLOOKUP(Table16[[#This Row],[Name]],Table2111216420212223253435363739[Name],Table2111216420212223253435363739[Points],"DNP",0,1)</f>
        <v>1</v>
      </c>
      <c r="V92">
        <f>_xlfn.XLOOKUP(Table16[[#This Row],[Name]],Table211121642021222325343536373841[Name],Table211121642021222325343536373841[Points],"DNP",0,1)</f>
        <v>2</v>
      </c>
    </row>
    <row r="93" spans="2:22">
      <c r="B93" t="str">
        <f>IFERROR(Table5[[#This Row],[Full name]],"")</f>
        <v>Allen Li</v>
      </c>
      <c r="C93" s="68">
        <f>SUM(Table16[[#This Row],[September 30, 2025]:[Column18]])</f>
        <v>2</v>
      </c>
      <c r="D93" t="str">
        <f>_xlfn.XLOOKUP(Table16[[#This Row],[Name]],Table4[Name],Table4[Points],"DNP",0,1)</f>
        <v>DNP</v>
      </c>
      <c r="E93" t="str">
        <f>_xlfn.XLOOKUP(Table16[[#This Row],[Name]],Table9[Name],Table9[Points],"DNP",0,1)</f>
        <v>DNP</v>
      </c>
      <c r="F93" t="str">
        <f>_xlfn.XLOOKUP(Table16[[#This Row],[Name]],Table18[Name],Table18[Points],"DNP",0,1)</f>
        <v>DNP</v>
      </c>
      <c r="G93" t="str">
        <f>_xlfn.XLOOKUP(Table16[[#This Row],[Name]],Table2[Name],Table2[Points],"DNP",0,1)</f>
        <v>DNP</v>
      </c>
      <c r="H93" t="str">
        <f>_xlfn.XLOOKUP(Table16[[#This Row],[Name]],Table211[Name],Table211[Points],"DNP",0,1)</f>
        <v>DNP</v>
      </c>
      <c r="I93" t="str">
        <f>_xlfn.XLOOKUP(Table16[[#This Row],[Name]],Table21112[Name],Table21112[Points],"DNP",0,1)</f>
        <v>DNP</v>
      </c>
      <c r="J93" t="str">
        <f>_xlfn.XLOOKUP(Table16[[#This Row],[Name]],Table21112164[Name],Table21112164[Points],"DNP",0,1)</f>
        <v>DNP</v>
      </c>
      <c r="K93" t="str">
        <f>_xlfn.XLOOKUP(Table16[[#This Row],[Name]],Table2111216420[Name],Table2111216420[Points],"DNP",0,1)</f>
        <v>DNP</v>
      </c>
      <c r="L93" t="str">
        <f>_xlfn.XLOOKUP(Table16[[#This Row],[Name]],Table211121642021[Name],Table211121642021[Points],"DNP",0,1)</f>
        <v>DNP</v>
      </c>
      <c r="M93" t="str">
        <f>_xlfn.XLOOKUP(Table16[[#This Row],[Name]],Table21112164202122[Name],Table21112164202122[Points],"DNP",0,1)</f>
        <v>DNP</v>
      </c>
      <c r="N93" t="str">
        <f>_xlfn.XLOOKUP(Table16[[#This Row],[Name]],Table2111216420212223[Name],Table2111216420212223[Points],"DNP",0,1)</f>
        <v>DNP</v>
      </c>
      <c r="O93">
        <f>_xlfn.XLOOKUP(Table16[[#This Row],[Name]],Table211121642021222325[Name],Table211121642021222325[Points],"DNP",0,1)</f>
        <v>2</v>
      </c>
      <c r="P93" t="str">
        <f>_xlfn.XLOOKUP(Table16[[#This Row],[Name]],Table21112164202122232534[Name],Table21112164202122232534[Points],"DNP",0,1)</f>
        <v>DNP</v>
      </c>
      <c r="Q93" t="str">
        <f>_xlfn.XLOOKUP(Table16[[#This Row],[Name]],Table2111216420212223253435[Name],Table2111216420212223253435[Points],"DNP",0,1)</f>
        <v>DNP</v>
      </c>
      <c r="R93" t="str">
        <f>_xlfn.XLOOKUP(Table16[[#This Row],[Name]],Table211121642021222325343536[Name],Table211121642021222325343536[Points],"DNP",0,1)</f>
        <v>DNP</v>
      </c>
      <c r="S93" t="str">
        <f>_xlfn.XLOOKUP(Table16[[#This Row],[Name]],Table21112164202122232534353637[Name],Table21112164202122232534353637[Points],"DNP",0,1)</f>
        <v>DNP</v>
      </c>
      <c r="T93" t="str">
        <f>_xlfn.XLOOKUP(Table16[[#This Row],[Name]],Table2111216420212223253435363738[Name],Table2111216420212223253435363738[Points],"DNP",0,1)</f>
        <v>DNP</v>
      </c>
      <c r="U93" t="str">
        <f>_xlfn.XLOOKUP(Table16[[#This Row],[Name]],Table2111216420212223253435363739[Name],Table2111216420212223253435363739[Points],"DNP",0,1)</f>
        <v>DNP</v>
      </c>
      <c r="V93" t="str">
        <f>_xlfn.XLOOKUP(Table16[[#This Row],[Name]],Table211121642021222325343536373841[Name],Table211121642021222325343536373841[Points],"DNP",0,1)</f>
        <v>DNP</v>
      </c>
    </row>
    <row r="94" spans="2:22">
      <c r="B94" t="str">
        <f>IFERROR(Table5[[#This Row],[Full name]],"")</f>
        <v>Amal Sathees</v>
      </c>
      <c r="C94" s="68">
        <f>SUM(Table16[[#This Row],[September 30, 2025]:[Column18]])</f>
        <v>10</v>
      </c>
      <c r="D94" t="str">
        <f>_xlfn.XLOOKUP(Table16[[#This Row],[Name]],Table4[Name],Table4[Points],"DNP",0,1)</f>
        <v>DNP</v>
      </c>
      <c r="E94" t="str">
        <f>_xlfn.XLOOKUP(Table16[[#This Row],[Name]],Table9[Name],Table9[Points],"DNP",0,1)</f>
        <v>DNP</v>
      </c>
      <c r="F94" t="str">
        <f>_xlfn.XLOOKUP(Table16[[#This Row],[Name]],Table18[Name],Table18[Points],"DNP",0,1)</f>
        <v>DNP</v>
      </c>
      <c r="G94" t="str">
        <f>_xlfn.XLOOKUP(Table16[[#This Row],[Name]],Table2[Name],Table2[Points],"DNP",0,1)</f>
        <v>DNP</v>
      </c>
      <c r="H94" t="str">
        <f>_xlfn.XLOOKUP(Table16[[#This Row],[Name]],Table211[Name],Table211[Points],"DNP",0,1)</f>
        <v>DNP</v>
      </c>
      <c r="I94" t="str">
        <f>_xlfn.XLOOKUP(Table16[[#This Row],[Name]],Table21112[Name],Table21112[Points],"DNP",0,1)</f>
        <v>DNP</v>
      </c>
      <c r="J94" t="str">
        <f>_xlfn.XLOOKUP(Table16[[#This Row],[Name]],Table21112164[Name],Table21112164[Points],"DNP",0,1)</f>
        <v>DNP</v>
      </c>
      <c r="K94">
        <f>_xlfn.XLOOKUP(Table16[[#This Row],[Name]],Table2111216420[Name],Table2111216420[Points],"DNP",0,1)</f>
        <v>1</v>
      </c>
      <c r="L94">
        <f>_xlfn.XLOOKUP(Table16[[#This Row],[Name]],Table211121642021[Name],Table211121642021[Points],"DNP",0,1)</f>
        <v>1</v>
      </c>
      <c r="M94">
        <f>_xlfn.XLOOKUP(Table16[[#This Row],[Name]],Table21112164202122[Name],Table21112164202122[Points],"DNP",0,1)</f>
        <v>1</v>
      </c>
      <c r="N94">
        <f>_xlfn.XLOOKUP(Table16[[#This Row],[Name]],Table2111216420212223[Name],Table2111216420212223[Points],"DNP",0,1)</f>
        <v>1</v>
      </c>
      <c r="O94">
        <f>_xlfn.XLOOKUP(Table16[[#This Row],[Name]],Table211121642021222325[Name],Table211121642021222325[Points],"DNP",0,1)</f>
        <v>1</v>
      </c>
      <c r="P94">
        <f>_xlfn.XLOOKUP(Table16[[#This Row],[Name]],Table21112164202122232534[Name],Table21112164202122232534[Points],"DNP",0,1)</f>
        <v>1</v>
      </c>
      <c r="Q94" t="str">
        <f>_xlfn.XLOOKUP(Table16[[#This Row],[Name]],Table2111216420212223253435[Name],Table2111216420212223253435[Points],"DNP",0,1)</f>
        <v>DNP</v>
      </c>
      <c r="R94" t="str">
        <f>_xlfn.XLOOKUP(Table16[[#This Row],[Name]],Table211121642021222325343536[Name],Table211121642021222325343536[Points],"DNP",0,1)</f>
        <v>DNP</v>
      </c>
      <c r="S94" t="str">
        <f>_xlfn.XLOOKUP(Table16[[#This Row],[Name]],Table21112164202122232534353637[Name],Table21112164202122232534353637[Points],"DNP",0,1)</f>
        <v>DNP</v>
      </c>
      <c r="T94">
        <f>_xlfn.XLOOKUP(Table16[[#This Row],[Name]],Table2111216420212223253435363738[Name],Table2111216420212223253435363738[Points],"DNP",0,1)</f>
        <v>1</v>
      </c>
      <c r="U94">
        <f>_xlfn.XLOOKUP(Table16[[#This Row],[Name]],Table2111216420212223253435363739[Name],Table2111216420212223253435363739[Points],"DNP",0,1)</f>
        <v>2</v>
      </c>
      <c r="V94">
        <f>_xlfn.XLOOKUP(Table16[[#This Row],[Name]],Table211121642021222325343536373841[Name],Table211121642021222325343536373841[Points],"DNP",0,1)</f>
        <v>1</v>
      </c>
    </row>
    <row r="95" spans="2:22">
      <c r="B95" t="str">
        <f>IFERROR(Table5[[#This Row],[Full name]],"")</f>
        <v>Amar Aggarwal</v>
      </c>
      <c r="C95" s="68">
        <f>SUM(Table16[[#This Row],[September 30, 2025]:[Column18]])</f>
        <v>4</v>
      </c>
      <c r="D95" t="str">
        <f>_xlfn.XLOOKUP(Table16[[#This Row],[Name]],Table4[Name],Table4[Points],"DNP",0,1)</f>
        <v>DNP</v>
      </c>
      <c r="E95" t="str">
        <f>_xlfn.XLOOKUP(Table16[[#This Row],[Name]],Table9[Name],Table9[Points],"DNP",0,1)</f>
        <v>DNP</v>
      </c>
      <c r="F95" t="str">
        <f>_xlfn.XLOOKUP(Table16[[#This Row],[Name]],Table18[Name],Table18[Points],"DNP",0,1)</f>
        <v>DNP</v>
      </c>
      <c r="G95" t="str">
        <f>_xlfn.XLOOKUP(Table16[[#This Row],[Name]],Table2[Name],Table2[Points],"DNP",0,1)</f>
        <v>DNP</v>
      </c>
      <c r="H95" t="str">
        <f>_xlfn.XLOOKUP(Table16[[#This Row],[Name]],Table211[Name],Table211[Points],"DNP",0,1)</f>
        <v>DNP</v>
      </c>
      <c r="I95" t="str">
        <f>_xlfn.XLOOKUP(Table16[[#This Row],[Name]],Table21112[Name],Table21112[Points],"DNP",0,1)</f>
        <v>DNP</v>
      </c>
      <c r="J95" t="str">
        <f>_xlfn.XLOOKUP(Table16[[#This Row],[Name]],Table21112164[Name],Table21112164[Points],"DNP",0,1)</f>
        <v>DNP</v>
      </c>
      <c r="K95" t="str">
        <f>_xlfn.XLOOKUP(Table16[[#This Row],[Name]],Table2111216420[Name],Table2111216420[Points],"DNP",0,1)</f>
        <v>DNP</v>
      </c>
      <c r="L95">
        <f>_xlfn.XLOOKUP(Table16[[#This Row],[Name]],Table211121642021[Name],Table211121642021[Points],"DNP",0,1)</f>
        <v>2</v>
      </c>
      <c r="M95">
        <f>_xlfn.XLOOKUP(Table16[[#This Row],[Name]],Table21112164202122[Name],Table21112164202122[Points],"DNP",0,1)</f>
        <v>1</v>
      </c>
      <c r="N95" t="str">
        <f>_xlfn.XLOOKUP(Table16[[#This Row],[Name]],Table2111216420212223[Name],Table2111216420212223[Points],"DNP",0,1)</f>
        <v>DNP</v>
      </c>
      <c r="O95">
        <f>_xlfn.XLOOKUP(Table16[[#This Row],[Name]],Table211121642021222325[Name],Table211121642021222325[Points],"DNP",0,1)</f>
        <v>1</v>
      </c>
      <c r="P95" t="str">
        <f>_xlfn.XLOOKUP(Table16[[#This Row],[Name]],Table21112164202122232534[Name],Table21112164202122232534[Points],"DNP",0,1)</f>
        <v>DNP</v>
      </c>
      <c r="Q95" t="str">
        <f>_xlfn.XLOOKUP(Table16[[#This Row],[Name]],Table2111216420212223253435[Name],Table2111216420212223253435[Points],"DNP",0,1)</f>
        <v>DNP</v>
      </c>
      <c r="R95" t="str">
        <f>_xlfn.XLOOKUP(Table16[[#This Row],[Name]],Table211121642021222325343536[Name],Table211121642021222325343536[Points],"DNP",0,1)</f>
        <v>DNP</v>
      </c>
      <c r="S95" t="str">
        <f>_xlfn.XLOOKUP(Table16[[#This Row],[Name]],Table21112164202122232534353637[Name],Table21112164202122232534353637[Points],"DNP",0,1)</f>
        <v>DNP</v>
      </c>
      <c r="T95" t="str">
        <f>_xlfn.XLOOKUP(Table16[[#This Row],[Name]],Table2111216420212223253435363738[Name],Table2111216420212223253435363738[Points],"DNP",0,1)</f>
        <v>DNP</v>
      </c>
      <c r="U95" t="str">
        <f>_xlfn.XLOOKUP(Table16[[#This Row],[Name]],Table2111216420212223253435363739[Name],Table2111216420212223253435363739[Points],"DNP",0,1)</f>
        <v>DNP</v>
      </c>
      <c r="V95" t="str">
        <f>_xlfn.XLOOKUP(Table16[[#This Row],[Name]],Table211121642021222325343536373841[Name],Table211121642021222325343536373841[Points],"DNP",0,1)</f>
        <v>DNP</v>
      </c>
    </row>
    <row r="96" spans="2:22">
      <c r="B96" t="str">
        <f>IFERROR(Table5[[#This Row],[Full name]],"")</f>
        <v>Anas Ahmet</v>
      </c>
      <c r="C96" s="68">
        <f>SUM(Table16[[#This Row],[September 30, 2025]:[Column18]])</f>
        <v>1</v>
      </c>
      <c r="D96" t="str">
        <f>_xlfn.XLOOKUP(Table16[[#This Row],[Name]],Table4[Name],Table4[Points],"DNP",0,1)</f>
        <v>DNP</v>
      </c>
      <c r="E96" t="str">
        <f>_xlfn.XLOOKUP(Table16[[#This Row],[Name]],Table9[Name],Table9[Points],"DNP",0,1)</f>
        <v>DNP</v>
      </c>
      <c r="F96" t="str">
        <f>_xlfn.XLOOKUP(Table16[[#This Row],[Name]],Table18[Name],Table18[Points],"DNP",0,1)</f>
        <v>DNP</v>
      </c>
      <c r="G96" t="str">
        <f>_xlfn.XLOOKUP(Table16[[#This Row],[Name]],Table2[Name],Table2[Points],"DNP",0,1)</f>
        <v>DNP</v>
      </c>
      <c r="H96" t="str">
        <f>_xlfn.XLOOKUP(Table16[[#This Row],[Name]],Table211[Name],Table211[Points],"DNP",0,1)</f>
        <v>DNP</v>
      </c>
      <c r="I96" t="str">
        <f>_xlfn.XLOOKUP(Table16[[#This Row],[Name]],Table21112[Name],Table21112[Points],"DNP",0,1)</f>
        <v>DNP</v>
      </c>
      <c r="J96" t="str">
        <f>_xlfn.XLOOKUP(Table16[[#This Row],[Name]],Table21112164[Name],Table21112164[Points],"DNP",0,1)</f>
        <v>DNP</v>
      </c>
      <c r="K96">
        <f>_xlfn.XLOOKUP(Table16[[#This Row],[Name]],Table2111216420[Name],Table2111216420[Points],"DNP",0,1)</f>
        <v>1</v>
      </c>
      <c r="L96" t="str">
        <f>_xlfn.XLOOKUP(Table16[[#This Row],[Name]],Table211121642021[Name],Table211121642021[Points],"DNP",0,1)</f>
        <v>DNP</v>
      </c>
      <c r="M96" t="str">
        <f>_xlfn.XLOOKUP(Table16[[#This Row],[Name]],Table21112164202122[Name],Table21112164202122[Points],"DNP",0,1)</f>
        <v>DNP</v>
      </c>
      <c r="N96" t="str">
        <f>_xlfn.XLOOKUP(Table16[[#This Row],[Name]],Table2111216420212223[Name],Table2111216420212223[Points],"DNP",0,1)</f>
        <v>DNP</v>
      </c>
      <c r="O96" t="str">
        <f>_xlfn.XLOOKUP(Table16[[#This Row],[Name]],Table211121642021222325[Name],Table211121642021222325[Points],"DNP",0,1)</f>
        <v>DNP</v>
      </c>
      <c r="P96" t="str">
        <f>_xlfn.XLOOKUP(Table16[[#This Row],[Name]],Table21112164202122232534[Name],Table21112164202122232534[Points],"DNP",0,1)</f>
        <v>DNP</v>
      </c>
      <c r="Q96" t="str">
        <f>_xlfn.XLOOKUP(Table16[[#This Row],[Name]],Table2111216420212223253435[Name],Table2111216420212223253435[Points],"DNP",0,1)</f>
        <v>DNP</v>
      </c>
      <c r="R96" t="str">
        <f>_xlfn.XLOOKUP(Table16[[#This Row],[Name]],Table211121642021222325343536[Name],Table211121642021222325343536[Points],"DNP",0,1)</f>
        <v>DNP</v>
      </c>
      <c r="S96" t="str">
        <f>_xlfn.XLOOKUP(Table16[[#This Row],[Name]],Table21112164202122232534353637[Name],Table21112164202122232534353637[Points],"DNP",0,1)</f>
        <v>DNP</v>
      </c>
      <c r="T96" t="str">
        <f>_xlfn.XLOOKUP(Table16[[#This Row],[Name]],Table2111216420212223253435363738[Name],Table2111216420212223253435363738[Points],"DNP",0,1)</f>
        <v>DNP</v>
      </c>
      <c r="U96" t="str">
        <f>_xlfn.XLOOKUP(Table16[[#This Row],[Name]],Table2111216420212223253435363739[Name],Table2111216420212223253435363739[Points],"DNP",0,1)</f>
        <v>DNP</v>
      </c>
      <c r="V96" t="str">
        <f>_xlfn.XLOOKUP(Table16[[#This Row],[Name]],Table211121642021222325343536373841[Name],Table211121642021222325343536373841[Points],"DNP",0,1)</f>
        <v>DNP</v>
      </c>
    </row>
    <row r="97" spans="2:22">
      <c r="B97" t="str">
        <f>IFERROR(Table5[[#This Row],[Full name]],"")</f>
        <v>Andres Pedreros</v>
      </c>
      <c r="C97" s="68">
        <f>SUM(Table16[[#This Row],[September 30, 2025]:[Column18]])</f>
        <v>4</v>
      </c>
      <c r="D97" t="str">
        <f>_xlfn.XLOOKUP(Table16[[#This Row],[Name]],Table4[Name],Table4[Points],"DNP",0,1)</f>
        <v>DNP</v>
      </c>
      <c r="E97" t="str">
        <f>_xlfn.XLOOKUP(Table16[[#This Row],[Name]],Table9[Name],Table9[Points],"DNP",0,1)</f>
        <v>DNP</v>
      </c>
      <c r="F97" t="str">
        <f>_xlfn.XLOOKUP(Table16[[#This Row],[Name]],Table18[Name],Table18[Points],"DNP",0,1)</f>
        <v>DNP</v>
      </c>
      <c r="G97" t="str">
        <f>_xlfn.XLOOKUP(Table16[[#This Row],[Name]],Table2[Name],Table2[Points],"DNP",0,1)</f>
        <v>DNP</v>
      </c>
      <c r="H97" t="str">
        <f>_xlfn.XLOOKUP(Table16[[#This Row],[Name]],Table211[Name],Table211[Points],"DNP",0,1)</f>
        <v>DNP</v>
      </c>
      <c r="I97" t="str">
        <f>_xlfn.XLOOKUP(Table16[[#This Row],[Name]],Table21112[Name],Table21112[Points],"DNP",0,1)</f>
        <v>DNP</v>
      </c>
      <c r="J97" t="str">
        <f>_xlfn.XLOOKUP(Table16[[#This Row],[Name]],Table21112164[Name],Table21112164[Points],"DNP",0,1)</f>
        <v>DNP</v>
      </c>
      <c r="K97" t="str">
        <f>_xlfn.XLOOKUP(Table16[[#This Row],[Name]],Table2111216420[Name],Table2111216420[Points],"DNP",0,1)</f>
        <v>DNP</v>
      </c>
      <c r="L97" t="str">
        <f>_xlfn.XLOOKUP(Table16[[#This Row],[Name]],Table211121642021[Name],Table211121642021[Points],"DNP",0,1)</f>
        <v>DNP</v>
      </c>
      <c r="M97" t="str">
        <f>_xlfn.XLOOKUP(Table16[[#This Row],[Name]],Table21112164202122[Name],Table21112164202122[Points],"DNP",0,1)</f>
        <v>DNP</v>
      </c>
      <c r="N97" t="str">
        <f>_xlfn.XLOOKUP(Table16[[#This Row],[Name]],Table2111216420212223[Name],Table2111216420212223[Points],"DNP",0,1)</f>
        <v>DNP</v>
      </c>
      <c r="O97">
        <f>_xlfn.XLOOKUP(Table16[[#This Row],[Name]],Table211121642021222325[Name],Table211121642021222325[Points],"DNP",0,1)</f>
        <v>4</v>
      </c>
      <c r="P97" t="str">
        <f>_xlfn.XLOOKUP(Table16[[#This Row],[Name]],Table21112164202122232534[Name],Table21112164202122232534[Points],"DNP",0,1)</f>
        <v>DNP</v>
      </c>
      <c r="Q97" t="str">
        <f>_xlfn.XLOOKUP(Table16[[#This Row],[Name]],Table2111216420212223253435[Name],Table2111216420212223253435[Points],"DNP",0,1)</f>
        <v>DNP</v>
      </c>
      <c r="R97" t="str">
        <f>_xlfn.XLOOKUP(Table16[[#This Row],[Name]],Table211121642021222325343536[Name],Table211121642021222325343536[Points],"DNP",0,1)</f>
        <v>DNP</v>
      </c>
      <c r="S97" t="str">
        <f>_xlfn.XLOOKUP(Table16[[#This Row],[Name]],Table21112164202122232534353637[Name],Table21112164202122232534353637[Points],"DNP",0,1)</f>
        <v>DNP</v>
      </c>
      <c r="T97" t="str">
        <f>_xlfn.XLOOKUP(Table16[[#This Row],[Name]],Table2111216420212223253435363738[Name],Table2111216420212223253435363738[Points],"DNP",0,1)</f>
        <v>DNP</v>
      </c>
      <c r="U97" t="str">
        <f>_xlfn.XLOOKUP(Table16[[#This Row],[Name]],Table2111216420212223253435363739[Name],Table2111216420212223253435363739[Points],"DNP",0,1)</f>
        <v>DNP</v>
      </c>
      <c r="V97" t="str">
        <f>_xlfn.XLOOKUP(Table16[[#This Row],[Name]],Table211121642021222325343536373841[Name],Table211121642021222325343536373841[Points],"DNP",0,1)</f>
        <v>DNP</v>
      </c>
    </row>
    <row r="98" spans="2:22">
      <c r="B98" t="str">
        <f>IFERROR(Table5[[#This Row],[Full name]],"")</f>
        <v>Andrew Liu</v>
      </c>
      <c r="C98" s="68">
        <f>SUM(Table16[[#This Row],[September 30, 2025]:[Column18]])</f>
        <v>34</v>
      </c>
      <c r="D98" t="str">
        <f>_xlfn.XLOOKUP(Table16[[#This Row],[Name]],Table4[Name],Table4[Points],"DNP",0,1)</f>
        <v>DNP</v>
      </c>
      <c r="E98" t="str">
        <f>_xlfn.XLOOKUP(Table16[[#This Row],[Name]],Table9[Name],Table9[Points],"DNP",0,1)</f>
        <v>DNP</v>
      </c>
      <c r="F98">
        <f>_xlfn.XLOOKUP(Table16[[#This Row],[Name]],Table18[Name],Table18[Points],"DNP",0,1)</f>
        <v>1</v>
      </c>
      <c r="G98">
        <f>_xlfn.XLOOKUP(Table16[[#This Row],[Name]],Table2[Name],Table2[Points],"DNP",0,1)</f>
        <v>2</v>
      </c>
      <c r="H98" t="str">
        <f>_xlfn.XLOOKUP(Table16[[#This Row],[Name]],Table211[Name],Table211[Points],"DNP",0,1)</f>
        <v>DNP</v>
      </c>
      <c r="I98">
        <f>_xlfn.XLOOKUP(Table16[[#This Row],[Name]],Table21112[Name],Table21112[Points],"DNP",0,1)</f>
        <v>2</v>
      </c>
      <c r="J98" t="str">
        <f>_xlfn.XLOOKUP(Table16[[#This Row],[Name]],Table21112164[Name],Table21112164[Points],"DNP",0,1)</f>
        <v>DNP</v>
      </c>
      <c r="K98" t="str">
        <f>_xlfn.XLOOKUP(Table16[[#This Row],[Name]],Table2111216420[Name],Table2111216420[Points],"DNP",0,1)</f>
        <v>DNP</v>
      </c>
      <c r="L98" t="str">
        <f>_xlfn.XLOOKUP(Table16[[#This Row],[Name]],Table211121642021[Name],Table211121642021[Points],"DNP",0,1)</f>
        <v>DNP</v>
      </c>
      <c r="M98" t="str">
        <f>_xlfn.XLOOKUP(Table16[[#This Row],[Name]],Table21112164202122[Name],Table21112164202122[Points],"DNP",0,1)</f>
        <v>DNP</v>
      </c>
      <c r="N98" t="str">
        <f>_xlfn.XLOOKUP(Table16[[#This Row],[Name]],Table2111216420212223[Name],Table2111216420212223[Points],"DNP",0,1)</f>
        <v>DNP</v>
      </c>
      <c r="O98">
        <f>_xlfn.XLOOKUP(Table16[[#This Row],[Name]],Table211121642021222325[Name],Table211121642021222325[Points],"DNP",0,1)</f>
        <v>4</v>
      </c>
      <c r="P98">
        <f>_xlfn.XLOOKUP(Table16[[#This Row],[Name]],Table21112164202122232534[Name],Table21112164202122232534[Points],"DNP",0,1)</f>
        <v>1</v>
      </c>
      <c r="Q98">
        <f>_xlfn.XLOOKUP(Table16[[#This Row],[Name]],Table2111216420212223253435[Name],Table2111216420212223253435[Points],"DNP",0,1)</f>
        <v>1</v>
      </c>
      <c r="R98">
        <f>_xlfn.XLOOKUP(Table16[[#This Row],[Name]],Table211121642021222325343536[Name],Table211121642021222325343536[Points],"DNP",0,1)</f>
        <v>3</v>
      </c>
      <c r="S98">
        <f>_xlfn.XLOOKUP(Table16[[#This Row],[Name]],Table21112164202122232534353637[Name],Table21112164202122232534353637[Points],"DNP",0,1)</f>
        <v>10</v>
      </c>
      <c r="T98" t="str">
        <f>_xlfn.XLOOKUP(Table16[[#This Row],[Name]],Table2111216420212223253435363738[Name],Table2111216420212223253435363738[Points],"DNP",0,1)</f>
        <v>DNP</v>
      </c>
      <c r="U98" t="str">
        <f>_xlfn.XLOOKUP(Table16[[#This Row],[Name]],Table2111216420212223253435363739[Name],Table2111216420212223253435363739[Points],"DNP",0,1)</f>
        <v>DNP</v>
      </c>
      <c r="V98">
        <f>_xlfn.XLOOKUP(Table16[[#This Row],[Name]],Table211121642021222325343536373841[Name],Table211121642021222325343536373841[Points],"DNP",0,1)</f>
        <v>10</v>
      </c>
    </row>
    <row r="99" spans="2:22">
      <c r="B99" t="str">
        <f>IFERROR(Table5[[#This Row],[Full name]],"")</f>
        <v>Anil Maharaj</v>
      </c>
      <c r="C99" s="68">
        <f>SUM(Table16[[#This Row],[September 30, 2025]:[Column18]])</f>
        <v>1</v>
      </c>
      <c r="D99" t="str">
        <f>_xlfn.XLOOKUP(Table16[[#This Row],[Name]],Table4[Name],Table4[Points],"DNP",0,1)</f>
        <v>DNP</v>
      </c>
      <c r="E99" t="str">
        <f>_xlfn.XLOOKUP(Table16[[#This Row],[Name]],Table9[Name],Table9[Points],"DNP",0,1)</f>
        <v>DNP</v>
      </c>
      <c r="F99">
        <f>_xlfn.XLOOKUP(Table16[[#This Row],[Name]],Table18[Name],Table18[Points],"DNP",0,1)</f>
        <v>1</v>
      </c>
      <c r="G99" t="str">
        <f>_xlfn.XLOOKUP(Table16[[#This Row],[Name]],Table2[Name],Table2[Points],"DNP",0,1)</f>
        <v>DNP</v>
      </c>
      <c r="H99" t="str">
        <f>_xlfn.XLOOKUP(Table16[[#This Row],[Name]],Table211[Name],Table211[Points],"DNP",0,1)</f>
        <v>DNP</v>
      </c>
      <c r="I99" t="str">
        <f>_xlfn.XLOOKUP(Table16[[#This Row],[Name]],Table21112[Name],Table21112[Points],"DNP",0,1)</f>
        <v>DNP</v>
      </c>
      <c r="J99" t="str">
        <f>_xlfn.XLOOKUP(Table16[[#This Row],[Name]],Table21112164[Name],Table21112164[Points],"DNP",0,1)</f>
        <v>DNP</v>
      </c>
      <c r="K99" t="str">
        <f>_xlfn.XLOOKUP(Table16[[#This Row],[Name]],Table2111216420[Name],Table2111216420[Points],"DNP",0,1)</f>
        <v>DNP</v>
      </c>
      <c r="L99" t="str">
        <f>_xlfn.XLOOKUP(Table16[[#This Row],[Name]],Table211121642021[Name],Table211121642021[Points],"DNP",0,1)</f>
        <v>DNP</v>
      </c>
      <c r="M99" t="str">
        <f>_xlfn.XLOOKUP(Table16[[#This Row],[Name]],Table21112164202122[Name],Table21112164202122[Points],"DNP",0,1)</f>
        <v>DNP</v>
      </c>
      <c r="N99" t="str">
        <f>_xlfn.XLOOKUP(Table16[[#This Row],[Name]],Table2111216420212223[Name],Table2111216420212223[Points],"DNP",0,1)</f>
        <v>DNP</v>
      </c>
      <c r="O99" t="str">
        <f>_xlfn.XLOOKUP(Table16[[#This Row],[Name]],Table211121642021222325[Name],Table211121642021222325[Points],"DNP",0,1)</f>
        <v>DNP</v>
      </c>
      <c r="P99" t="str">
        <f>_xlfn.XLOOKUP(Table16[[#This Row],[Name]],Table21112164202122232534[Name],Table21112164202122232534[Points],"DNP",0,1)</f>
        <v>DNP</v>
      </c>
      <c r="Q99" t="str">
        <f>_xlfn.XLOOKUP(Table16[[#This Row],[Name]],Table2111216420212223253435[Name],Table2111216420212223253435[Points],"DNP",0,1)</f>
        <v>DNP</v>
      </c>
      <c r="R99" t="str">
        <f>_xlfn.XLOOKUP(Table16[[#This Row],[Name]],Table211121642021222325343536[Name],Table211121642021222325343536[Points],"DNP",0,1)</f>
        <v>DNP</v>
      </c>
      <c r="S99" t="str">
        <f>_xlfn.XLOOKUP(Table16[[#This Row],[Name]],Table21112164202122232534353637[Name],Table21112164202122232534353637[Points],"DNP",0,1)</f>
        <v>DNP</v>
      </c>
      <c r="T99" t="str">
        <f>_xlfn.XLOOKUP(Table16[[#This Row],[Name]],Table2111216420212223253435363738[Name],Table2111216420212223253435363738[Points],"DNP",0,1)</f>
        <v>DNP</v>
      </c>
      <c r="U99" t="str">
        <f>_xlfn.XLOOKUP(Table16[[#This Row],[Name]],Table2111216420212223253435363739[Name],Table2111216420212223253435363739[Points],"DNP",0,1)</f>
        <v>DNP</v>
      </c>
      <c r="V99" t="str">
        <f>_xlfn.XLOOKUP(Table16[[#This Row],[Name]],Table211121642021222325343536373841[Name],Table211121642021222325343536373841[Points],"DNP",0,1)</f>
        <v>DNP</v>
      </c>
    </row>
    <row r="100" spans="2:22">
      <c r="B100" t="str">
        <f>IFERROR(Table5[[#This Row],[Full name]],"")</f>
        <v>Anthony Braccio</v>
      </c>
      <c r="C100" s="68">
        <f>SUM(Table16[[#This Row],[September 30, 2025]:[Column18]])</f>
        <v>22</v>
      </c>
      <c r="D100" t="str">
        <f>_xlfn.XLOOKUP(Table16[[#This Row],[Name]],Table4[Name],Table4[Points],"DNP",0,1)</f>
        <v>DNP</v>
      </c>
      <c r="E100" t="str">
        <f>_xlfn.XLOOKUP(Table16[[#This Row],[Name]],Table9[Name],Table9[Points],"DNP",0,1)</f>
        <v>DNP</v>
      </c>
      <c r="F100" t="str">
        <f>_xlfn.XLOOKUP(Table16[[#This Row],[Name]],Table18[Name],Table18[Points],"DNP",0,1)</f>
        <v>DNP</v>
      </c>
      <c r="G100" t="str">
        <f>_xlfn.XLOOKUP(Table16[[#This Row],[Name]],Table2[Name],Table2[Points],"DNP",0,1)</f>
        <v>DNP</v>
      </c>
      <c r="H100">
        <f>_xlfn.XLOOKUP(Table16[[#This Row],[Name]],Table211[Name],Table211[Points],"DNP",0,1)</f>
        <v>8</v>
      </c>
      <c r="I100">
        <f>_xlfn.XLOOKUP(Table16[[#This Row],[Name]],Table21112[Name],Table21112[Points],"DNP",0,1)</f>
        <v>2</v>
      </c>
      <c r="J100">
        <f>_xlfn.XLOOKUP(Table16[[#This Row],[Name]],Table21112164[Name],Table21112164[Points],"DNP",0,1)</f>
        <v>2</v>
      </c>
      <c r="K100">
        <f>_xlfn.XLOOKUP(Table16[[#This Row],[Name]],Table2111216420[Name],Table2111216420[Points],"DNP",0,1)</f>
        <v>2</v>
      </c>
      <c r="L100">
        <f>_xlfn.XLOOKUP(Table16[[#This Row],[Name]],Table211121642021[Name],Table211121642021[Points],"DNP",0,1)</f>
        <v>1</v>
      </c>
      <c r="M100">
        <f>_xlfn.XLOOKUP(Table16[[#This Row],[Name]],Table21112164202122[Name],Table21112164202122[Points],"DNP",0,1)</f>
        <v>3</v>
      </c>
      <c r="N100">
        <f>_xlfn.XLOOKUP(Table16[[#This Row],[Name]],Table2111216420212223[Name],Table2111216420212223[Points],"DNP",0,1)</f>
        <v>1</v>
      </c>
      <c r="O100" t="str">
        <f>_xlfn.XLOOKUP(Table16[[#This Row],[Name]],Table211121642021222325[Name],Table211121642021222325[Points],"DNP",0,1)</f>
        <v>DNP</v>
      </c>
      <c r="P100">
        <f>_xlfn.XLOOKUP(Table16[[#This Row],[Name]],Table21112164202122232534[Name],Table21112164202122232534[Points],"DNP",0,1)</f>
        <v>2</v>
      </c>
      <c r="Q100">
        <f>_xlfn.XLOOKUP(Table16[[#This Row],[Name]],Table2111216420212223253435[Name],Table2111216420212223253435[Points],"DNP",0,1)</f>
        <v>1</v>
      </c>
      <c r="R100" t="str">
        <f>_xlfn.XLOOKUP(Table16[[#This Row],[Name]],Table211121642021222325343536[Name],Table211121642021222325343536[Points],"DNP",0,1)</f>
        <v>DNP</v>
      </c>
      <c r="S100" t="str">
        <f>_xlfn.XLOOKUP(Table16[[#This Row],[Name]],Table21112164202122232534353637[Name],Table21112164202122232534353637[Points],"DNP",0,1)</f>
        <v>DNP</v>
      </c>
      <c r="T100" t="str">
        <f>_xlfn.XLOOKUP(Table16[[#This Row],[Name]],Table2111216420212223253435363738[Name],Table2111216420212223253435363738[Points],"DNP",0,1)</f>
        <v>DNP</v>
      </c>
      <c r="U100" t="str">
        <f>_xlfn.XLOOKUP(Table16[[#This Row],[Name]],Table2111216420212223253435363739[Name],Table2111216420212223253435363739[Points],"DNP",0,1)</f>
        <v>DNP</v>
      </c>
      <c r="V100" t="str">
        <f>_xlfn.XLOOKUP(Table16[[#This Row],[Name]],Table211121642021222325343536373841[Name],Table211121642021222325343536373841[Points],"DNP",0,1)</f>
        <v>DNP</v>
      </c>
    </row>
    <row r="101" spans="2:22">
      <c r="B101" t="str">
        <f>IFERROR(Table5[[#This Row],[Full name]],"")</f>
        <v>Anthony Di Pasquale</v>
      </c>
      <c r="C101" s="68">
        <f>SUM(Table16[[#This Row],[September 30, 2025]:[Column18]])</f>
        <v>10</v>
      </c>
      <c r="D101" t="str">
        <f>_xlfn.XLOOKUP(Table16[[#This Row],[Name]],Table4[Name],Table4[Points],"DNP",0,1)</f>
        <v>DNP</v>
      </c>
      <c r="E101" t="str">
        <f>_xlfn.XLOOKUP(Table16[[#This Row],[Name]],Table9[Name],Table9[Points],"DNP",0,1)</f>
        <v>DNP</v>
      </c>
      <c r="F101">
        <f>_xlfn.XLOOKUP(Table16[[#This Row],[Name]],Table18[Name],Table18[Points],"DNP",0,1)</f>
        <v>1</v>
      </c>
      <c r="G101">
        <f>_xlfn.XLOOKUP(Table16[[#This Row],[Name]],Table2[Name],Table2[Points],"DNP",0,1)</f>
        <v>1</v>
      </c>
      <c r="H101" t="str">
        <f>_xlfn.XLOOKUP(Table16[[#This Row],[Name]],Table211[Name],Table211[Points],"DNP",0,1)</f>
        <v>DNP</v>
      </c>
      <c r="I101" t="str">
        <f>_xlfn.XLOOKUP(Table16[[#This Row],[Name]],Table21112[Name],Table21112[Points],"DNP",0,1)</f>
        <v>DNP</v>
      </c>
      <c r="J101" t="str">
        <f>_xlfn.XLOOKUP(Table16[[#This Row],[Name]],Table21112164[Name],Table21112164[Points],"DNP",0,1)</f>
        <v>DNP</v>
      </c>
      <c r="K101">
        <f>_xlfn.XLOOKUP(Table16[[#This Row],[Name]],Table2111216420[Name],Table2111216420[Points],"DNP",0,1)</f>
        <v>1</v>
      </c>
      <c r="L101">
        <f>_xlfn.XLOOKUP(Table16[[#This Row],[Name]],Table211121642021[Name],Table211121642021[Points],"DNP",0,1)</f>
        <v>2</v>
      </c>
      <c r="M101" t="str">
        <f>_xlfn.XLOOKUP(Table16[[#This Row],[Name]],Table21112164202122[Name],Table21112164202122[Points],"DNP",0,1)</f>
        <v>DNP</v>
      </c>
      <c r="N101" t="str">
        <f>_xlfn.XLOOKUP(Table16[[#This Row],[Name]],Table2111216420212223[Name],Table2111216420212223[Points],"DNP",0,1)</f>
        <v>DNP</v>
      </c>
      <c r="O101" t="str">
        <f>_xlfn.XLOOKUP(Table16[[#This Row],[Name]],Table211121642021222325[Name],Table211121642021222325[Points],"DNP",0,1)</f>
        <v>DNP</v>
      </c>
      <c r="P101" t="str">
        <f>_xlfn.XLOOKUP(Table16[[#This Row],[Name]],Table21112164202122232534[Name],Table21112164202122232534[Points],"DNP",0,1)</f>
        <v>DNP</v>
      </c>
      <c r="Q101" t="str">
        <f>_xlfn.XLOOKUP(Table16[[#This Row],[Name]],Table2111216420212223253435[Name],Table2111216420212223253435[Points],"DNP",0,1)</f>
        <v>DNP</v>
      </c>
      <c r="R101" t="str">
        <f>_xlfn.XLOOKUP(Table16[[#This Row],[Name]],Table211121642021222325343536[Name],Table211121642021222325343536[Points],"DNP",0,1)</f>
        <v>DNP</v>
      </c>
      <c r="S101">
        <f>_xlfn.XLOOKUP(Table16[[#This Row],[Name]],Table21112164202122232534353637[Name],Table21112164202122232534353637[Points],"DNP",0,1)</f>
        <v>2</v>
      </c>
      <c r="T101">
        <f>_xlfn.XLOOKUP(Table16[[#This Row],[Name]],Table2111216420212223253435363738[Name],Table2111216420212223253435363738[Points],"DNP",0,1)</f>
        <v>1</v>
      </c>
      <c r="U101">
        <f>_xlfn.XLOOKUP(Table16[[#This Row],[Name]],Table2111216420212223253435363739[Name],Table2111216420212223253435363739[Points],"DNP",0,1)</f>
        <v>2</v>
      </c>
      <c r="V101" t="str">
        <f>_xlfn.XLOOKUP(Table16[[#This Row],[Name]],Table211121642021222325343536373841[Name],Table211121642021222325343536373841[Points],"DNP",0,1)</f>
        <v>DNP</v>
      </c>
    </row>
    <row r="102" spans="2:22">
      <c r="B102" t="str">
        <f>IFERROR(Table5[[#This Row],[Full name]],"")</f>
        <v>Anush Subasan</v>
      </c>
      <c r="C102" s="68">
        <f>SUM(Table16[[#This Row],[September 30, 2025]:[Column18]])</f>
        <v>2</v>
      </c>
      <c r="D102" t="str">
        <f>_xlfn.XLOOKUP(Table16[[#This Row],[Name]],Table4[Name],Table4[Points],"DNP",0,1)</f>
        <v>DNP</v>
      </c>
      <c r="E102" t="str">
        <f>_xlfn.XLOOKUP(Table16[[#This Row],[Name]],Table9[Name],Table9[Points],"DNP",0,1)</f>
        <v>DNP</v>
      </c>
      <c r="F102" t="str">
        <f>_xlfn.XLOOKUP(Table16[[#This Row],[Name]],Table18[Name],Table18[Points],"DNP",0,1)</f>
        <v>DNP</v>
      </c>
      <c r="G102">
        <f>_xlfn.XLOOKUP(Table16[[#This Row],[Name]],Table2[Name],Table2[Points],"DNP",0,1)</f>
        <v>1</v>
      </c>
      <c r="H102">
        <f>_xlfn.XLOOKUP(Table16[[#This Row],[Name]],Table211[Name],Table211[Points],"DNP",0,1)</f>
        <v>1</v>
      </c>
      <c r="I102" t="str">
        <f>_xlfn.XLOOKUP(Table16[[#This Row],[Name]],Table21112[Name],Table21112[Points],"DNP",0,1)</f>
        <v>DNP</v>
      </c>
      <c r="J102" t="str">
        <f>_xlfn.XLOOKUP(Table16[[#This Row],[Name]],Table21112164[Name],Table21112164[Points],"DNP",0,1)</f>
        <v>DNP</v>
      </c>
      <c r="K102" t="str">
        <f>_xlfn.XLOOKUP(Table16[[#This Row],[Name]],Table2111216420[Name],Table2111216420[Points],"DNP",0,1)</f>
        <v>DNP</v>
      </c>
      <c r="L102" t="str">
        <f>_xlfn.XLOOKUP(Table16[[#This Row],[Name]],Table211121642021[Name],Table211121642021[Points],"DNP",0,1)</f>
        <v>DNP</v>
      </c>
      <c r="M102" t="str">
        <f>_xlfn.XLOOKUP(Table16[[#This Row],[Name]],Table21112164202122[Name],Table21112164202122[Points],"DNP",0,1)</f>
        <v>DNP</v>
      </c>
      <c r="N102" t="str">
        <f>_xlfn.XLOOKUP(Table16[[#This Row],[Name]],Table2111216420212223[Name],Table2111216420212223[Points],"DNP",0,1)</f>
        <v>DNP</v>
      </c>
      <c r="O102" t="str">
        <f>_xlfn.XLOOKUP(Table16[[#This Row],[Name]],Table211121642021222325[Name],Table211121642021222325[Points],"DNP",0,1)</f>
        <v>DNP</v>
      </c>
      <c r="P102" t="str">
        <f>_xlfn.XLOOKUP(Table16[[#This Row],[Name]],Table21112164202122232534[Name],Table21112164202122232534[Points],"DNP",0,1)</f>
        <v>DNP</v>
      </c>
      <c r="Q102" t="str">
        <f>_xlfn.XLOOKUP(Table16[[#This Row],[Name]],Table2111216420212223253435[Name],Table2111216420212223253435[Points],"DNP",0,1)</f>
        <v>DNP</v>
      </c>
      <c r="R102" t="str">
        <f>_xlfn.XLOOKUP(Table16[[#This Row],[Name]],Table211121642021222325343536[Name],Table211121642021222325343536[Points],"DNP",0,1)</f>
        <v>DNP</v>
      </c>
      <c r="S102" t="str">
        <f>_xlfn.XLOOKUP(Table16[[#This Row],[Name]],Table21112164202122232534353637[Name],Table21112164202122232534353637[Points],"DNP",0,1)</f>
        <v>DNP</v>
      </c>
      <c r="T102" t="str">
        <f>_xlfn.XLOOKUP(Table16[[#This Row],[Name]],Table2111216420212223253435363738[Name],Table2111216420212223253435363738[Points],"DNP",0,1)</f>
        <v>DNP</v>
      </c>
      <c r="U102" t="str">
        <f>_xlfn.XLOOKUP(Table16[[#This Row],[Name]],Table2111216420212223253435363739[Name],Table2111216420212223253435363739[Points],"DNP",0,1)</f>
        <v>DNP</v>
      </c>
      <c r="V102" t="str">
        <f>_xlfn.XLOOKUP(Table16[[#This Row],[Name]],Table211121642021222325343536373841[Name],Table211121642021222325343536373841[Points],"DNP",0,1)</f>
        <v>DNP</v>
      </c>
    </row>
    <row r="103" spans="2:22">
      <c r="B103" t="str">
        <f>IFERROR(Table5[[#This Row],[Full name]],"")</f>
        <v>Arad Farrahi</v>
      </c>
      <c r="C103" s="68">
        <f>SUM(Table16[[#This Row],[September 30, 2025]:[Column18]])</f>
        <v>2</v>
      </c>
      <c r="D103" t="str">
        <f>_xlfn.XLOOKUP(Table16[[#This Row],[Name]],Table4[Name],Table4[Points],"DNP",0,1)</f>
        <v>DNP</v>
      </c>
      <c r="E103" t="str">
        <f>_xlfn.XLOOKUP(Table16[[#This Row],[Name]],Table9[Name],Table9[Points],"DNP",0,1)</f>
        <v>DNP</v>
      </c>
      <c r="F103" t="str">
        <f>_xlfn.XLOOKUP(Table16[[#This Row],[Name]],Table18[Name],Table18[Points],"DNP",0,1)</f>
        <v>DNP</v>
      </c>
      <c r="G103">
        <f>_xlfn.XLOOKUP(Table16[[#This Row],[Name]],Table2[Name],Table2[Points],"DNP",0,1)</f>
        <v>1</v>
      </c>
      <c r="H103" t="str">
        <f>_xlfn.XLOOKUP(Table16[[#This Row],[Name]],Table211[Name],Table211[Points],"DNP",0,1)</f>
        <v>DNP</v>
      </c>
      <c r="I103" t="str">
        <f>_xlfn.XLOOKUP(Table16[[#This Row],[Name]],Table21112[Name],Table21112[Points],"DNP",0,1)</f>
        <v>DNP</v>
      </c>
      <c r="J103" t="str">
        <f>_xlfn.XLOOKUP(Table16[[#This Row],[Name]],Table21112164[Name],Table21112164[Points],"DNP",0,1)</f>
        <v>DNP</v>
      </c>
      <c r="K103" t="str">
        <f>_xlfn.XLOOKUP(Table16[[#This Row],[Name]],Table2111216420[Name],Table2111216420[Points],"DNP",0,1)</f>
        <v>DNP</v>
      </c>
      <c r="L103" t="str">
        <f>_xlfn.XLOOKUP(Table16[[#This Row],[Name]],Table211121642021[Name],Table211121642021[Points],"DNP",0,1)</f>
        <v>DNP</v>
      </c>
      <c r="M103" t="str">
        <f>_xlfn.XLOOKUP(Table16[[#This Row],[Name]],Table21112164202122[Name],Table21112164202122[Points],"DNP",0,1)</f>
        <v>DNP</v>
      </c>
      <c r="N103" t="str">
        <f>_xlfn.XLOOKUP(Table16[[#This Row],[Name]],Table2111216420212223[Name],Table2111216420212223[Points],"DNP",0,1)</f>
        <v>DNP</v>
      </c>
      <c r="O103">
        <f>_xlfn.XLOOKUP(Table16[[#This Row],[Name]],Table211121642021222325[Name],Table211121642021222325[Points],"DNP",0,1)</f>
        <v>1</v>
      </c>
      <c r="P103" t="str">
        <f>_xlfn.XLOOKUP(Table16[[#This Row],[Name]],Table21112164202122232534[Name],Table21112164202122232534[Points],"DNP",0,1)</f>
        <v>DNP</v>
      </c>
      <c r="Q103" t="str">
        <f>_xlfn.XLOOKUP(Table16[[#This Row],[Name]],Table2111216420212223253435[Name],Table2111216420212223253435[Points],"DNP",0,1)</f>
        <v>DNP</v>
      </c>
      <c r="R103" t="str">
        <f>_xlfn.XLOOKUP(Table16[[#This Row],[Name]],Table211121642021222325343536[Name],Table211121642021222325343536[Points],"DNP",0,1)</f>
        <v>DNP</v>
      </c>
      <c r="S103" t="str">
        <f>_xlfn.XLOOKUP(Table16[[#This Row],[Name]],Table21112164202122232534353637[Name],Table21112164202122232534353637[Points],"DNP",0,1)</f>
        <v>DNP</v>
      </c>
      <c r="T103" t="str">
        <f>_xlfn.XLOOKUP(Table16[[#This Row],[Name]],Table2111216420212223253435363738[Name],Table2111216420212223253435363738[Points],"DNP",0,1)</f>
        <v>DNP</v>
      </c>
      <c r="U103" t="str">
        <f>_xlfn.XLOOKUP(Table16[[#This Row],[Name]],Table2111216420212223253435363739[Name],Table2111216420212223253435363739[Points],"DNP",0,1)</f>
        <v>DNP</v>
      </c>
      <c r="V103" t="str">
        <f>_xlfn.XLOOKUP(Table16[[#This Row],[Name]],Table211121642021222325343536373841[Name],Table211121642021222325343536373841[Points],"DNP",0,1)</f>
        <v>DNP</v>
      </c>
    </row>
    <row r="104" spans="2:22">
      <c r="B104" t="str">
        <f>IFERROR(Table5[[#This Row],[Full name]],"")</f>
        <v>Arad Sahebjamei</v>
      </c>
      <c r="C104" s="68">
        <f>SUM(Table16[[#This Row],[September 30, 2025]:[Column18]])</f>
        <v>1</v>
      </c>
      <c r="D104" t="str">
        <f>_xlfn.XLOOKUP(Table16[[#This Row],[Name]],Table4[Name],Table4[Points],"DNP",0,1)</f>
        <v>DNP</v>
      </c>
      <c r="E104" t="str">
        <f>_xlfn.XLOOKUP(Table16[[#This Row],[Name]],Table9[Name],Table9[Points],"DNP",0,1)</f>
        <v>DNP</v>
      </c>
      <c r="F104" t="str">
        <f>_xlfn.XLOOKUP(Table16[[#This Row],[Name]],Table18[Name],Table18[Points],"DNP",0,1)</f>
        <v>DNP</v>
      </c>
      <c r="G104" t="str">
        <f>_xlfn.XLOOKUP(Table16[[#This Row],[Name]],Table2[Name],Table2[Points],"DNP",0,1)</f>
        <v>DNP</v>
      </c>
      <c r="H104" t="str">
        <f>_xlfn.XLOOKUP(Table16[[#This Row],[Name]],Table211[Name],Table211[Points],"DNP",0,1)</f>
        <v>DNP</v>
      </c>
      <c r="I104" t="str">
        <f>_xlfn.XLOOKUP(Table16[[#This Row],[Name]],Table21112[Name],Table21112[Points],"DNP",0,1)</f>
        <v>DNP</v>
      </c>
      <c r="J104" t="str">
        <f>_xlfn.XLOOKUP(Table16[[#This Row],[Name]],Table21112164[Name],Table21112164[Points],"DNP",0,1)</f>
        <v>DNP</v>
      </c>
      <c r="K104" t="str">
        <f>_xlfn.XLOOKUP(Table16[[#This Row],[Name]],Table2111216420[Name],Table2111216420[Points],"DNP",0,1)</f>
        <v>DNP</v>
      </c>
      <c r="L104" t="str">
        <f>_xlfn.XLOOKUP(Table16[[#This Row],[Name]],Table211121642021[Name],Table211121642021[Points],"DNP",0,1)</f>
        <v>DNP</v>
      </c>
      <c r="M104">
        <f>_xlfn.XLOOKUP(Table16[[#This Row],[Name]],Table21112164202122[Name],Table21112164202122[Points],"DNP",0,1)</f>
        <v>1</v>
      </c>
      <c r="N104" t="str">
        <f>_xlfn.XLOOKUP(Table16[[#This Row],[Name]],Table2111216420212223[Name],Table2111216420212223[Points],"DNP",0,1)</f>
        <v>DNP</v>
      </c>
      <c r="O104" t="str">
        <f>_xlfn.XLOOKUP(Table16[[#This Row],[Name]],Table211121642021222325[Name],Table211121642021222325[Points],"DNP",0,1)</f>
        <v>DNP</v>
      </c>
      <c r="P104" t="str">
        <f>_xlfn.XLOOKUP(Table16[[#This Row],[Name]],Table21112164202122232534[Name],Table21112164202122232534[Points],"DNP",0,1)</f>
        <v>DNP</v>
      </c>
      <c r="Q104" t="str">
        <f>_xlfn.XLOOKUP(Table16[[#This Row],[Name]],Table2111216420212223253435[Name],Table2111216420212223253435[Points],"DNP",0,1)</f>
        <v>DNP</v>
      </c>
      <c r="R104" t="str">
        <f>_xlfn.XLOOKUP(Table16[[#This Row],[Name]],Table211121642021222325343536[Name],Table211121642021222325343536[Points],"DNP",0,1)</f>
        <v>DNP</v>
      </c>
      <c r="S104" t="str">
        <f>_xlfn.XLOOKUP(Table16[[#This Row],[Name]],Table21112164202122232534353637[Name],Table21112164202122232534353637[Points],"DNP",0,1)</f>
        <v>DNP</v>
      </c>
      <c r="T104" t="str">
        <f>_xlfn.XLOOKUP(Table16[[#This Row],[Name]],Table2111216420212223253435363738[Name],Table2111216420212223253435363738[Points],"DNP",0,1)</f>
        <v>DNP</v>
      </c>
      <c r="U104" t="str">
        <f>_xlfn.XLOOKUP(Table16[[#This Row],[Name]],Table2111216420212223253435363739[Name],Table2111216420212223253435363739[Points],"DNP",0,1)</f>
        <v>DNP</v>
      </c>
      <c r="V104" t="str">
        <f>_xlfn.XLOOKUP(Table16[[#This Row],[Name]],Table211121642021222325343536373841[Name],Table211121642021222325343536373841[Points],"DNP",0,1)</f>
        <v>DNP</v>
      </c>
    </row>
    <row r="105" spans="2:22">
      <c r="B105" t="str">
        <f>IFERROR(Table5[[#This Row],[Full name]],"")</f>
        <v>Ari Citak</v>
      </c>
      <c r="C105" s="68">
        <f>SUM(Table16[[#This Row],[September 30, 2025]:[Column18]])</f>
        <v>4</v>
      </c>
      <c r="D105" t="str">
        <f>_xlfn.XLOOKUP(Table16[[#This Row],[Name]],Table4[Name],Table4[Points],"DNP",0,1)</f>
        <v>DNP</v>
      </c>
      <c r="E105">
        <f>_xlfn.XLOOKUP(Table16[[#This Row],[Name]],Table9[Name],Table9[Points],"DNP",0,1)</f>
        <v>4</v>
      </c>
      <c r="F105" t="str">
        <f>_xlfn.XLOOKUP(Table16[[#This Row],[Name]],Table18[Name],Table18[Points],"DNP",0,1)</f>
        <v>DNP</v>
      </c>
      <c r="G105" t="str">
        <f>_xlfn.XLOOKUP(Table16[[#This Row],[Name]],Table2[Name],Table2[Points],"DNP",0,1)</f>
        <v>DNP</v>
      </c>
      <c r="H105" t="str">
        <f>_xlfn.XLOOKUP(Table16[[#This Row],[Name]],Table211[Name],Table211[Points],"DNP",0,1)</f>
        <v>DNP</v>
      </c>
      <c r="I105" t="str">
        <f>_xlfn.XLOOKUP(Table16[[#This Row],[Name]],Table21112[Name],Table21112[Points],"DNP",0,1)</f>
        <v>DNP</v>
      </c>
      <c r="J105" t="str">
        <f>_xlfn.XLOOKUP(Table16[[#This Row],[Name]],Table21112164[Name],Table21112164[Points],"DNP",0,1)</f>
        <v>DNP</v>
      </c>
      <c r="K105" t="str">
        <f>_xlfn.XLOOKUP(Table16[[#This Row],[Name]],Table2111216420[Name],Table2111216420[Points],"DNP",0,1)</f>
        <v>DNP</v>
      </c>
      <c r="L105" t="str">
        <f>_xlfn.XLOOKUP(Table16[[#This Row],[Name]],Table211121642021[Name],Table211121642021[Points],"DNP",0,1)</f>
        <v>DNP</v>
      </c>
      <c r="M105" t="str">
        <f>_xlfn.XLOOKUP(Table16[[#This Row],[Name]],Table21112164202122[Name],Table21112164202122[Points],"DNP",0,1)</f>
        <v>DNP</v>
      </c>
      <c r="N105" t="str">
        <f>_xlfn.XLOOKUP(Table16[[#This Row],[Name]],Table2111216420212223[Name],Table2111216420212223[Points],"DNP",0,1)</f>
        <v>DNP</v>
      </c>
      <c r="O105" t="str">
        <f>_xlfn.XLOOKUP(Table16[[#This Row],[Name]],Table211121642021222325[Name],Table211121642021222325[Points],"DNP",0,1)</f>
        <v>DNP</v>
      </c>
      <c r="P105" t="str">
        <f>_xlfn.XLOOKUP(Table16[[#This Row],[Name]],Table21112164202122232534[Name],Table21112164202122232534[Points],"DNP",0,1)</f>
        <v>DNP</v>
      </c>
      <c r="Q105" t="str">
        <f>_xlfn.XLOOKUP(Table16[[#This Row],[Name]],Table2111216420212223253435[Name],Table2111216420212223253435[Points],"DNP",0,1)</f>
        <v>DNP</v>
      </c>
      <c r="R105" t="str">
        <f>_xlfn.XLOOKUP(Table16[[#This Row],[Name]],Table211121642021222325343536[Name],Table211121642021222325343536[Points],"DNP",0,1)</f>
        <v>DNP</v>
      </c>
      <c r="S105" t="str">
        <f>_xlfn.XLOOKUP(Table16[[#This Row],[Name]],Table21112164202122232534353637[Name],Table21112164202122232534353637[Points],"DNP",0,1)</f>
        <v>DNP</v>
      </c>
      <c r="T105" t="str">
        <f>_xlfn.XLOOKUP(Table16[[#This Row],[Name]],Table2111216420212223253435363738[Name],Table2111216420212223253435363738[Points],"DNP",0,1)</f>
        <v>DNP</v>
      </c>
      <c r="U105" t="str">
        <f>_xlfn.XLOOKUP(Table16[[#This Row],[Name]],Table2111216420212223253435363739[Name],Table2111216420212223253435363739[Points],"DNP",0,1)</f>
        <v>DNP</v>
      </c>
      <c r="V105" t="str">
        <f>_xlfn.XLOOKUP(Table16[[#This Row],[Name]],Table211121642021222325343536373841[Name],Table211121642021222325343536373841[Points],"DNP",0,1)</f>
        <v>DNP</v>
      </c>
    </row>
    <row r="106" spans="2:22">
      <c r="B106" t="str">
        <f>IFERROR(Table5[[#This Row],[Full name]],"")</f>
        <v>Arianna Tan</v>
      </c>
      <c r="C106" s="68">
        <f>SUM(Table16[[#This Row],[September 30, 2025]:[Column18]])</f>
        <v>0</v>
      </c>
      <c r="D106" t="str">
        <f>_xlfn.XLOOKUP(Table16[[#This Row],[Name]],Table4[Name],Table4[Points],"DNP",0,1)</f>
        <v>DNP</v>
      </c>
      <c r="E106" t="str">
        <f>_xlfn.XLOOKUP(Table16[[#This Row],[Name]],Table9[Name],Table9[Points],"DNP",0,1)</f>
        <v>DNP</v>
      </c>
      <c r="F106" t="str">
        <f>_xlfn.XLOOKUP(Table16[[#This Row],[Name]],Table18[Name],Table18[Points],"DNP",0,1)</f>
        <v>DNP</v>
      </c>
      <c r="G106" t="str">
        <f>_xlfn.XLOOKUP(Table16[[#This Row],[Name]],Table2[Name],Table2[Points],"DNP",0,1)</f>
        <v>DNP</v>
      </c>
      <c r="H106" t="str">
        <f>_xlfn.XLOOKUP(Table16[[#This Row],[Name]],Table211[Name],Table211[Points],"DNP",0,1)</f>
        <v>DNP</v>
      </c>
      <c r="I106" t="str">
        <f>_xlfn.XLOOKUP(Table16[[#This Row],[Name]],Table21112[Name],Table21112[Points],"DNP",0,1)</f>
        <v>DNP</v>
      </c>
      <c r="J106" t="str">
        <f>_xlfn.XLOOKUP(Table16[[#This Row],[Name]],Table21112164[Name],Table21112164[Points],"DNP",0,1)</f>
        <v>DNP</v>
      </c>
      <c r="K106" t="str">
        <f>_xlfn.XLOOKUP(Table16[[#This Row],[Name]],Table2111216420[Name],Table2111216420[Points],"DNP",0,1)</f>
        <v>DNP</v>
      </c>
      <c r="L106" t="str">
        <f>_xlfn.XLOOKUP(Table16[[#This Row],[Name]],Table211121642021[Name],Table211121642021[Points],"DNP",0,1)</f>
        <v>DNP</v>
      </c>
      <c r="M106" t="str">
        <f>_xlfn.XLOOKUP(Table16[[#This Row],[Name]],Table21112164202122[Name],Table21112164202122[Points],"DNP",0,1)</f>
        <v>DNP</v>
      </c>
      <c r="N106" t="str">
        <f>_xlfn.XLOOKUP(Table16[[#This Row],[Name]],Table2111216420212223[Name],Table2111216420212223[Points],"DNP",0,1)</f>
        <v>DNP</v>
      </c>
      <c r="O106" t="str">
        <f>_xlfn.XLOOKUP(Table16[[#This Row],[Name]],Table211121642021222325[Name],Table211121642021222325[Points],"DNP",0,1)</f>
        <v>DNP</v>
      </c>
      <c r="P106" t="str">
        <f>_xlfn.XLOOKUP(Table16[[#This Row],[Name]],Table21112164202122232534[Name],Table21112164202122232534[Points],"DNP",0,1)</f>
        <v>DNP</v>
      </c>
      <c r="Q106" t="str">
        <f>_xlfn.XLOOKUP(Table16[[#This Row],[Name]],Table2111216420212223253435[Name],Table2111216420212223253435[Points],"DNP",0,1)</f>
        <v>DNP</v>
      </c>
      <c r="R106" t="str">
        <f>_xlfn.XLOOKUP(Table16[[#This Row],[Name]],Table211121642021222325343536[Name],Table211121642021222325343536[Points],"DNP",0,1)</f>
        <v>DNP</v>
      </c>
      <c r="S106" t="str">
        <f>_xlfn.XLOOKUP(Table16[[#This Row],[Name]],Table21112164202122232534353637[Name],Table21112164202122232534353637[Points],"DNP",0,1)</f>
        <v>DNP</v>
      </c>
      <c r="T106" t="str">
        <f>_xlfn.XLOOKUP(Table16[[#This Row],[Name]],Table2111216420212223253435363738[Name],Table2111216420212223253435363738[Points],"DNP",0,1)</f>
        <v>DNP</v>
      </c>
      <c r="U106" t="str">
        <f>_xlfn.XLOOKUP(Table16[[#This Row],[Name]],Table2111216420212223253435363739[Name],Table2111216420212223253435363739[Points],"DNP",0,1)</f>
        <v>DNP</v>
      </c>
      <c r="V106" t="str">
        <f>_xlfn.XLOOKUP(Table16[[#This Row],[Name]],Table211121642021222325343536373841[Name],Table211121642021222325343536373841[Points],"DNP",0,1)</f>
        <v>DNP</v>
      </c>
    </row>
    <row r="107" spans="2:22">
      <c r="B107" t="str">
        <f>IFERROR(Table5[[#This Row],[Full name]],"")</f>
        <v>Arion Mestanovski</v>
      </c>
      <c r="C107" s="68">
        <f>SUM(Table16[[#This Row],[September 30, 2025]:[Column18]])</f>
        <v>2</v>
      </c>
      <c r="D107" t="str">
        <f>_xlfn.XLOOKUP(Table16[[#This Row],[Name]],Table4[Name],Table4[Points],"DNP",0,1)</f>
        <v>DNP</v>
      </c>
      <c r="E107" t="str">
        <f>_xlfn.XLOOKUP(Table16[[#This Row],[Name]],Table9[Name],Table9[Points],"DNP",0,1)</f>
        <v>DNP</v>
      </c>
      <c r="F107">
        <f>_xlfn.XLOOKUP(Table16[[#This Row],[Name]],Table18[Name],Table18[Points],"DNP",0,1)</f>
        <v>1</v>
      </c>
      <c r="G107" t="str">
        <f>_xlfn.XLOOKUP(Table16[[#This Row],[Name]],Table2[Name],Table2[Points],"DNP",0,1)</f>
        <v>DNP</v>
      </c>
      <c r="H107" t="str">
        <f>_xlfn.XLOOKUP(Table16[[#This Row],[Name]],Table211[Name],Table211[Points],"DNP",0,1)</f>
        <v>DNP</v>
      </c>
      <c r="I107" t="str">
        <f>_xlfn.XLOOKUP(Table16[[#This Row],[Name]],Table21112[Name],Table21112[Points],"DNP",0,1)</f>
        <v>DNP</v>
      </c>
      <c r="J107" t="str">
        <f>_xlfn.XLOOKUP(Table16[[#This Row],[Name]],Table21112164[Name],Table21112164[Points],"DNP",0,1)</f>
        <v>DNP</v>
      </c>
      <c r="K107" t="str">
        <f>_xlfn.XLOOKUP(Table16[[#This Row],[Name]],Table2111216420[Name],Table2111216420[Points],"DNP",0,1)</f>
        <v>DNP</v>
      </c>
      <c r="L107" t="str">
        <f>_xlfn.XLOOKUP(Table16[[#This Row],[Name]],Table211121642021[Name],Table211121642021[Points],"DNP",0,1)</f>
        <v>DNP</v>
      </c>
      <c r="M107" t="str">
        <f>_xlfn.XLOOKUP(Table16[[#This Row],[Name]],Table21112164202122[Name],Table21112164202122[Points],"DNP",0,1)</f>
        <v>DNP</v>
      </c>
      <c r="N107" t="str">
        <f>_xlfn.XLOOKUP(Table16[[#This Row],[Name]],Table2111216420212223[Name],Table2111216420212223[Points],"DNP",0,1)</f>
        <v>DNP</v>
      </c>
      <c r="O107" t="str">
        <f>_xlfn.XLOOKUP(Table16[[#This Row],[Name]],Table211121642021222325[Name],Table211121642021222325[Points],"DNP",0,1)</f>
        <v>DNP</v>
      </c>
      <c r="P107" t="str">
        <f>_xlfn.XLOOKUP(Table16[[#This Row],[Name]],Table21112164202122232534[Name],Table21112164202122232534[Points],"DNP",0,1)</f>
        <v>DNP</v>
      </c>
      <c r="Q107" t="str">
        <f>_xlfn.XLOOKUP(Table16[[#This Row],[Name]],Table2111216420212223253435[Name],Table2111216420212223253435[Points],"DNP",0,1)</f>
        <v>DNP</v>
      </c>
      <c r="R107" t="str">
        <f>_xlfn.XLOOKUP(Table16[[#This Row],[Name]],Table211121642021222325343536[Name],Table211121642021222325343536[Points],"DNP",0,1)</f>
        <v>DNP</v>
      </c>
      <c r="S107" t="str">
        <f>_xlfn.XLOOKUP(Table16[[#This Row],[Name]],Table21112164202122232534353637[Name],Table21112164202122232534353637[Points],"DNP",0,1)</f>
        <v>DNP</v>
      </c>
      <c r="T107" t="str">
        <f>_xlfn.XLOOKUP(Table16[[#This Row],[Name]],Table2111216420212223253435363738[Name],Table2111216420212223253435363738[Points],"DNP",0,1)</f>
        <v>DNP</v>
      </c>
      <c r="U107">
        <f>_xlfn.XLOOKUP(Table16[[#This Row],[Name]],Table2111216420212223253435363739[Name],Table2111216420212223253435363739[Points],"DNP",0,1)</f>
        <v>1</v>
      </c>
      <c r="V107" t="str">
        <f>_xlfn.XLOOKUP(Table16[[#This Row],[Name]],Table211121642021222325343536373841[Name],Table211121642021222325343536373841[Points],"DNP",0,1)</f>
        <v>DNP</v>
      </c>
    </row>
    <row r="108" spans="2:22">
      <c r="B108" t="str">
        <f>IFERROR(Table5[[#This Row],[Full name]],"")</f>
        <v>Arthur Schneider</v>
      </c>
      <c r="C108" s="68">
        <f>SUM(Table16[[#This Row],[September 30, 2025]:[Column18]])</f>
        <v>1</v>
      </c>
      <c r="D108" t="str">
        <f>_xlfn.XLOOKUP(Table16[[#This Row],[Name]],Table4[Name],Table4[Points],"DNP",0,1)</f>
        <v>DNP</v>
      </c>
      <c r="E108" t="str">
        <f>_xlfn.XLOOKUP(Table16[[#This Row],[Name]],Table9[Name],Table9[Points],"DNP",0,1)</f>
        <v>DNP</v>
      </c>
      <c r="F108" t="str">
        <f>_xlfn.XLOOKUP(Table16[[#This Row],[Name]],Table18[Name],Table18[Points],"DNP",0,1)</f>
        <v>DNP</v>
      </c>
      <c r="G108" t="str">
        <f>_xlfn.XLOOKUP(Table16[[#This Row],[Name]],Table2[Name],Table2[Points],"DNP",0,1)</f>
        <v>DNP</v>
      </c>
      <c r="H108" t="str">
        <f>_xlfn.XLOOKUP(Table16[[#This Row],[Name]],Table211[Name],Table211[Points],"DNP",0,1)</f>
        <v>DNP</v>
      </c>
      <c r="I108" t="str">
        <f>_xlfn.XLOOKUP(Table16[[#This Row],[Name]],Table21112[Name],Table21112[Points],"DNP",0,1)</f>
        <v>DNP</v>
      </c>
      <c r="J108" t="str">
        <f>_xlfn.XLOOKUP(Table16[[#This Row],[Name]],Table21112164[Name],Table21112164[Points],"DNP",0,1)</f>
        <v>DNP</v>
      </c>
      <c r="K108" t="str">
        <f>_xlfn.XLOOKUP(Table16[[#This Row],[Name]],Table2111216420[Name],Table2111216420[Points],"DNP",0,1)</f>
        <v>DNP</v>
      </c>
      <c r="L108" t="str">
        <f>_xlfn.XLOOKUP(Table16[[#This Row],[Name]],Table211121642021[Name],Table211121642021[Points],"DNP",0,1)</f>
        <v>DNP</v>
      </c>
      <c r="M108" t="str">
        <f>_xlfn.XLOOKUP(Table16[[#This Row],[Name]],Table21112164202122[Name],Table21112164202122[Points],"DNP",0,1)</f>
        <v>DNP</v>
      </c>
      <c r="N108" t="str">
        <f>_xlfn.XLOOKUP(Table16[[#This Row],[Name]],Table2111216420212223[Name],Table2111216420212223[Points],"DNP",0,1)</f>
        <v>DNP</v>
      </c>
      <c r="O108">
        <f>_xlfn.XLOOKUP(Table16[[#This Row],[Name]],Table211121642021222325[Name],Table211121642021222325[Points],"DNP",0,1)</f>
        <v>1</v>
      </c>
      <c r="P108" t="str">
        <f>_xlfn.XLOOKUP(Table16[[#This Row],[Name]],Table21112164202122232534[Name],Table21112164202122232534[Points],"DNP",0,1)</f>
        <v>DNP</v>
      </c>
      <c r="Q108" t="str">
        <f>_xlfn.XLOOKUP(Table16[[#This Row],[Name]],Table2111216420212223253435[Name],Table2111216420212223253435[Points],"DNP",0,1)</f>
        <v>DNP</v>
      </c>
      <c r="R108" t="str">
        <f>_xlfn.XLOOKUP(Table16[[#This Row],[Name]],Table211121642021222325343536[Name],Table211121642021222325343536[Points],"DNP",0,1)</f>
        <v>DNP</v>
      </c>
      <c r="S108" t="str">
        <f>_xlfn.XLOOKUP(Table16[[#This Row],[Name]],Table21112164202122232534353637[Name],Table21112164202122232534353637[Points],"DNP",0,1)</f>
        <v>DNP</v>
      </c>
      <c r="T108" t="str">
        <f>_xlfn.XLOOKUP(Table16[[#This Row],[Name]],Table2111216420212223253435363738[Name],Table2111216420212223253435363738[Points],"DNP",0,1)</f>
        <v>DNP</v>
      </c>
      <c r="U108" t="str">
        <f>_xlfn.XLOOKUP(Table16[[#This Row],[Name]],Table2111216420212223253435363739[Name],Table2111216420212223253435363739[Points],"DNP",0,1)</f>
        <v>DNP</v>
      </c>
      <c r="V108" t="str">
        <f>_xlfn.XLOOKUP(Table16[[#This Row],[Name]],Table211121642021222325343536373841[Name],Table211121642021222325343536373841[Points],"DNP",0,1)</f>
        <v>DNP</v>
      </c>
    </row>
    <row r="109" spans="2:22">
      <c r="B109" t="str">
        <f>IFERROR(Table5[[#This Row],[Full name]],"")</f>
        <v>Ashley Shanthikumar</v>
      </c>
      <c r="C109" s="68">
        <f>SUM(Table16[[#This Row],[September 30, 2025]:[Column18]])</f>
        <v>5</v>
      </c>
      <c r="D109" t="str">
        <f>_xlfn.XLOOKUP(Table16[[#This Row],[Name]],Table4[Name],Table4[Points],"DNP",0,1)</f>
        <v>DNP</v>
      </c>
      <c r="E109" t="str">
        <f>_xlfn.XLOOKUP(Table16[[#This Row],[Name]],Table9[Name],Table9[Points],"DNP",0,1)</f>
        <v>DNP</v>
      </c>
      <c r="F109">
        <f>_xlfn.XLOOKUP(Table16[[#This Row],[Name]],Table18[Name],Table18[Points],"DNP",0,1)</f>
        <v>1</v>
      </c>
      <c r="G109" t="str">
        <f>_xlfn.XLOOKUP(Table16[[#This Row],[Name]],Table2[Name],Table2[Points],"DNP",0,1)</f>
        <v>DNP</v>
      </c>
      <c r="H109" t="str">
        <f>_xlfn.XLOOKUP(Table16[[#This Row],[Name]],Table211[Name],Table211[Points],"DNP",0,1)</f>
        <v>DNP</v>
      </c>
      <c r="I109" t="str">
        <f>_xlfn.XLOOKUP(Table16[[#This Row],[Name]],Table21112[Name],Table21112[Points],"DNP",0,1)</f>
        <v>DNP</v>
      </c>
      <c r="J109">
        <f>_xlfn.XLOOKUP(Table16[[#This Row],[Name]],Table21112164[Name],Table21112164[Points],"DNP",0,1)</f>
        <v>1</v>
      </c>
      <c r="K109">
        <f>_xlfn.XLOOKUP(Table16[[#This Row],[Name]],Table2111216420[Name],Table2111216420[Points],"DNP",0,1)</f>
        <v>2</v>
      </c>
      <c r="L109" t="str">
        <f>_xlfn.XLOOKUP(Table16[[#This Row],[Name]],Table211121642021[Name],Table211121642021[Points],"DNP",0,1)</f>
        <v>DNP</v>
      </c>
      <c r="M109">
        <f>_xlfn.XLOOKUP(Table16[[#This Row],[Name]],Table21112164202122[Name],Table21112164202122[Points],"DNP",0,1)</f>
        <v>1</v>
      </c>
      <c r="N109" t="str">
        <f>_xlfn.XLOOKUP(Table16[[#This Row],[Name]],Table2111216420212223[Name],Table2111216420212223[Points],"DNP",0,1)</f>
        <v>DNP</v>
      </c>
      <c r="O109" t="str">
        <f>_xlfn.XLOOKUP(Table16[[#This Row],[Name]],Table211121642021222325[Name],Table211121642021222325[Points],"DNP",0,1)</f>
        <v>DNP</v>
      </c>
      <c r="P109" t="str">
        <f>_xlfn.XLOOKUP(Table16[[#This Row],[Name]],Table21112164202122232534[Name],Table21112164202122232534[Points],"DNP",0,1)</f>
        <v>DNP</v>
      </c>
      <c r="Q109" t="str">
        <f>_xlfn.XLOOKUP(Table16[[#This Row],[Name]],Table2111216420212223253435[Name],Table2111216420212223253435[Points],"DNP",0,1)</f>
        <v>DNP</v>
      </c>
      <c r="R109" t="str">
        <f>_xlfn.XLOOKUP(Table16[[#This Row],[Name]],Table211121642021222325343536[Name],Table211121642021222325343536[Points],"DNP",0,1)</f>
        <v>DNP</v>
      </c>
      <c r="S109" t="str">
        <f>_xlfn.XLOOKUP(Table16[[#This Row],[Name]],Table21112164202122232534353637[Name],Table21112164202122232534353637[Points],"DNP",0,1)</f>
        <v>DNP</v>
      </c>
      <c r="T109" t="str">
        <f>_xlfn.XLOOKUP(Table16[[#This Row],[Name]],Table2111216420212223253435363738[Name],Table2111216420212223253435363738[Points],"DNP",0,1)</f>
        <v>DNP</v>
      </c>
      <c r="U109" t="str">
        <f>_xlfn.XLOOKUP(Table16[[#This Row],[Name]],Table2111216420212223253435363739[Name],Table2111216420212223253435363739[Points],"DNP",0,1)</f>
        <v>DNP</v>
      </c>
      <c r="V109" t="str">
        <f>_xlfn.XLOOKUP(Table16[[#This Row],[Name]],Table211121642021222325343536373841[Name],Table211121642021222325343536373841[Points],"DNP",0,1)</f>
        <v>DNP</v>
      </c>
    </row>
    <row r="110" spans="2:22">
      <c r="B110" t="str">
        <f>IFERROR(Table5[[#This Row],[Full name]],"")</f>
        <v>Athan Kang</v>
      </c>
      <c r="C110" s="68">
        <f>SUM(Table16[[#This Row],[September 30, 2025]:[Column18]])</f>
        <v>1</v>
      </c>
      <c r="D110" t="str">
        <f>_xlfn.XLOOKUP(Table16[[#This Row],[Name]],Table4[Name],Table4[Points],"DNP",0,1)</f>
        <v>DNP</v>
      </c>
      <c r="E110" t="str">
        <f>_xlfn.XLOOKUP(Table16[[#This Row],[Name]],Table9[Name],Table9[Points],"DNP",0,1)</f>
        <v>DNP</v>
      </c>
      <c r="F110">
        <f>_xlfn.XLOOKUP(Table16[[#This Row],[Name]],Table18[Name],Table18[Points],"DNP",0,1)</f>
        <v>1</v>
      </c>
      <c r="G110" t="str">
        <f>_xlfn.XLOOKUP(Table16[[#This Row],[Name]],Table2[Name],Table2[Points],"DNP",0,1)</f>
        <v>DNP</v>
      </c>
      <c r="H110" t="str">
        <f>_xlfn.XLOOKUP(Table16[[#This Row],[Name]],Table211[Name],Table211[Points],"DNP",0,1)</f>
        <v>DNP</v>
      </c>
      <c r="I110" t="str">
        <f>_xlfn.XLOOKUP(Table16[[#This Row],[Name]],Table21112[Name],Table21112[Points],"DNP",0,1)</f>
        <v>DNP</v>
      </c>
      <c r="J110" t="str">
        <f>_xlfn.XLOOKUP(Table16[[#This Row],[Name]],Table21112164[Name],Table21112164[Points],"DNP",0,1)</f>
        <v>DNP</v>
      </c>
      <c r="K110" t="str">
        <f>_xlfn.XLOOKUP(Table16[[#This Row],[Name]],Table2111216420[Name],Table2111216420[Points],"DNP",0,1)</f>
        <v>DNP</v>
      </c>
      <c r="L110" t="str">
        <f>_xlfn.XLOOKUP(Table16[[#This Row],[Name]],Table211121642021[Name],Table211121642021[Points],"DNP",0,1)</f>
        <v>DNP</v>
      </c>
      <c r="M110" t="str">
        <f>_xlfn.XLOOKUP(Table16[[#This Row],[Name]],Table21112164202122[Name],Table21112164202122[Points],"DNP",0,1)</f>
        <v>DNP</v>
      </c>
      <c r="N110" t="str">
        <f>_xlfn.XLOOKUP(Table16[[#This Row],[Name]],Table2111216420212223[Name],Table2111216420212223[Points],"DNP",0,1)</f>
        <v>DNP</v>
      </c>
      <c r="O110" t="str">
        <f>_xlfn.XLOOKUP(Table16[[#This Row],[Name]],Table211121642021222325[Name],Table211121642021222325[Points],"DNP",0,1)</f>
        <v>DNP</v>
      </c>
      <c r="P110" t="str">
        <f>_xlfn.XLOOKUP(Table16[[#This Row],[Name]],Table21112164202122232534[Name],Table21112164202122232534[Points],"DNP",0,1)</f>
        <v>DNP</v>
      </c>
      <c r="Q110" t="str">
        <f>_xlfn.XLOOKUP(Table16[[#This Row],[Name]],Table2111216420212223253435[Name],Table2111216420212223253435[Points],"DNP",0,1)</f>
        <v>DNP</v>
      </c>
      <c r="R110" t="str">
        <f>_xlfn.XLOOKUP(Table16[[#This Row],[Name]],Table211121642021222325343536[Name],Table211121642021222325343536[Points],"DNP",0,1)</f>
        <v>DNP</v>
      </c>
      <c r="S110" t="str">
        <f>_xlfn.XLOOKUP(Table16[[#This Row],[Name]],Table21112164202122232534353637[Name],Table21112164202122232534353637[Points],"DNP",0,1)</f>
        <v>DNP</v>
      </c>
      <c r="T110" t="str">
        <f>_xlfn.XLOOKUP(Table16[[#This Row],[Name]],Table2111216420212223253435363738[Name],Table2111216420212223253435363738[Points],"DNP",0,1)</f>
        <v>DNP</v>
      </c>
      <c r="U110" t="str">
        <f>_xlfn.XLOOKUP(Table16[[#This Row],[Name]],Table2111216420212223253435363739[Name],Table2111216420212223253435363739[Points],"DNP",0,1)</f>
        <v>DNP</v>
      </c>
      <c r="V110" t="str">
        <f>_xlfn.XLOOKUP(Table16[[#This Row],[Name]],Table211121642021222325343536373841[Name],Table211121642021222325343536373841[Points],"DNP",0,1)</f>
        <v>DNP</v>
      </c>
    </row>
    <row r="111" spans="2:22">
      <c r="B111" t="str">
        <f>IFERROR(Table5[[#This Row],[Full name]],"")</f>
        <v>Ayham Noor</v>
      </c>
      <c r="C111" s="68">
        <f>SUM(Table16[[#This Row],[September 30, 2025]:[Column18]])</f>
        <v>3</v>
      </c>
      <c r="D111" t="str">
        <f>_xlfn.XLOOKUP(Table16[[#This Row],[Name]],Table4[Name],Table4[Points],"DNP",0,1)</f>
        <v>DNP</v>
      </c>
      <c r="E111">
        <f>_xlfn.XLOOKUP(Table16[[#This Row],[Name]],Table9[Name],Table9[Points],"DNP",0,1)</f>
        <v>1</v>
      </c>
      <c r="F111">
        <f>_xlfn.XLOOKUP(Table16[[#This Row],[Name]],Table18[Name],Table18[Points],"DNP",0,1)</f>
        <v>2</v>
      </c>
      <c r="G111" t="str">
        <f>_xlfn.XLOOKUP(Table16[[#This Row],[Name]],Table2[Name],Table2[Points],"DNP",0,1)</f>
        <v>DNP</v>
      </c>
      <c r="H111" t="str">
        <f>_xlfn.XLOOKUP(Table16[[#This Row],[Name]],Table211[Name],Table211[Points],"DNP",0,1)</f>
        <v>DNP</v>
      </c>
      <c r="I111" t="str">
        <f>_xlfn.XLOOKUP(Table16[[#This Row],[Name]],Table21112[Name],Table21112[Points],"DNP",0,1)</f>
        <v>DNP</v>
      </c>
      <c r="J111" t="str">
        <f>_xlfn.XLOOKUP(Table16[[#This Row],[Name]],Table21112164[Name],Table21112164[Points],"DNP",0,1)</f>
        <v>DNP</v>
      </c>
      <c r="K111" t="str">
        <f>_xlfn.XLOOKUP(Table16[[#This Row],[Name]],Table2111216420[Name],Table2111216420[Points],"DNP",0,1)</f>
        <v>DNP</v>
      </c>
      <c r="L111" t="str">
        <f>_xlfn.XLOOKUP(Table16[[#This Row],[Name]],Table211121642021[Name],Table211121642021[Points],"DNP",0,1)</f>
        <v>DNP</v>
      </c>
      <c r="M111" t="str">
        <f>_xlfn.XLOOKUP(Table16[[#This Row],[Name]],Table21112164202122[Name],Table21112164202122[Points],"DNP",0,1)</f>
        <v>DNP</v>
      </c>
      <c r="N111" t="str">
        <f>_xlfn.XLOOKUP(Table16[[#This Row],[Name]],Table2111216420212223[Name],Table2111216420212223[Points],"DNP",0,1)</f>
        <v>DNP</v>
      </c>
      <c r="O111" t="str">
        <f>_xlfn.XLOOKUP(Table16[[#This Row],[Name]],Table211121642021222325[Name],Table211121642021222325[Points],"DNP",0,1)</f>
        <v>DNP</v>
      </c>
      <c r="P111" t="str">
        <f>_xlfn.XLOOKUP(Table16[[#This Row],[Name]],Table21112164202122232534[Name],Table21112164202122232534[Points],"DNP",0,1)</f>
        <v>DNP</v>
      </c>
      <c r="Q111" t="str">
        <f>_xlfn.XLOOKUP(Table16[[#This Row],[Name]],Table2111216420212223253435[Name],Table2111216420212223253435[Points],"DNP",0,1)</f>
        <v>DNP</v>
      </c>
      <c r="R111" t="str">
        <f>_xlfn.XLOOKUP(Table16[[#This Row],[Name]],Table211121642021222325343536[Name],Table211121642021222325343536[Points],"DNP",0,1)</f>
        <v>DNP</v>
      </c>
      <c r="S111" t="str">
        <f>_xlfn.XLOOKUP(Table16[[#This Row],[Name]],Table21112164202122232534353637[Name],Table21112164202122232534353637[Points],"DNP",0,1)</f>
        <v>DNP</v>
      </c>
      <c r="T111" t="str">
        <f>_xlfn.XLOOKUP(Table16[[#This Row],[Name]],Table2111216420212223253435363738[Name],Table2111216420212223253435363738[Points],"DNP",0,1)</f>
        <v>DNP</v>
      </c>
      <c r="U111" t="str">
        <f>_xlfn.XLOOKUP(Table16[[#This Row],[Name]],Table2111216420212223253435363739[Name],Table2111216420212223253435363739[Points],"DNP",0,1)</f>
        <v>DNP</v>
      </c>
      <c r="V111" t="str">
        <f>_xlfn.XLOOKUP(Table16[[#This Row],[Name]],Table211121642021222325343536373841[Name],Table211121642021222325343536373841[Points],"DNP",0,1)</f>
        <v>DNP</v>
      </c>
    </row>
    <row r="112" spans="2:22">
      <c r="B112" t="str">
        <f>IFERROR(Table5[[#This Row],[Full name]],"")</f>
        <v>Balthazar Plat</v>
      </c>
      <c r="C112" s="68">
        <f>SUM(Table16[[#This Row],[September 30, 2025]:[Column18]])</f>
        <v>1</v>
      </c>
      <c r="D112" t="str">
        <f>_xlfn.XLOOKUP(Table16[[#This Row],[Name]],Table4[Name],Table4[Points],"DNP",0,1)</f>
        <v>DNP</v>
      </c>
      <c r="E112" t="str">
        <f>_xlfn.XLOOKUP(Table16[[#This Row],[Name]],Table9[Name],Table9[Points],"DNP",0,1)</f>
        <v>DNP</v>
      </c>
      <c r="F112" t="str">
        <f>_xlfn.XLOOKUP(Table16[[#This Row],[Name]],Table18[Name],Table18[Points],"DNP",0,1)</f>
        <v>DNP</v>
      </c>
      <c r="G112" t="str">
        <f>_xlfn.XLOOKUP(Table16[[#This Row],[Name]],Table2[Name],Table2[Points],"DNP",0,1)</f>
        <v>DNP</v>
      </c>
      <c r="H112" t="str">
        <f>_xlfn.XLOOKUP(Table16[[#This Row],[Name]],Table211[Name],Table211[Points],"DNP",0,1)</f>
        <v>DNP</v>
      </c>
      <c r="I112" t="str">
        <f>_xlfn.XLOOKUP(Table16[[#This Row],[Name]],Table21112[Name],Table21112[Points],"DNP",0,1)</f>
        <v>DNP</v>
      </c>
      <c r="J112" t="str">
        <f>_xlfn.XLOOKUP(Table16[[#This Row],[Name]],Table21112164[Name],Table21112164[Points],"DNP",0,1)</f>
        <v>DNP</v>
      </c>
      <c r="K112" t="str">
        <f>_xlfn.XLOOKUP(Table16[[#This Row],[Name]],Table2111216420[Name],Table2111216420[Points],"DNP",0,1)</f>
        <v>DNP</v>
      </c>
      <c r="L112" t="str">
        <f>_xlfn.XLOOKUP(Table16[[#This Row],[Name]],Table211121642021[Name],Table211121642021[Points],"DNP",0,1)</f>
        <v>DNP</v>
      </c>
      <c r="M112" t="str">
        <f>_xlfn.XLOOKUP(Table16[[#This Row],[Name]],Table21112164202122[Name],Table21112164202122[Points],"DNP",0,1)</f>
        <v>DNP</v>
      </c>
      <c r="N112">
        <f>_xlfn.XLOOKUP(Table16[[#This Row],[Name]],Table2111216420212223[Name],Table2111216420212223[Points],"DNP",0,1)</f>
        <v>1</v>
      </c>
      <c r="O112" t="str">
        <f>_xlfn.XLOOKUP(Table16[[#This Row],[Name]],Table211121642021222325[Name],Table211121642021222325[Points],"DNP",0,1)</f>
        <v>DNP</v>
      </c>
      <c r="P112" t="str">
        <f>_xlfn.XLOOKUP(Table16[[#This Row],[Name]],Table21112164202122232534[Name],Table21112164202122232534[Points],"DNP",0,1)</f>
        <v>DNP</v>
      </c>
      <c r="Q112" t="str">
        <f>_xlfn.XLOOKUP(Table16[[#This Row],[Name]],Table2111216420212223253435[Name],Table2111216420212223253435[Points],"DNP",0,1)</f>
        <v>DNP</v>
      </c>
      <c r="R112" t="str">
        <f>_xlfn.XLOOKUP(Table16[[#This Row],[Name]],Table211121642021222325343536[Name],Table211121642021222325343536[Points],"DNP",0,1)</f>
        <v>DNP</v>
      </c>
      <c r="S112" t="str">
        <f>_xlfn.XLOOKUP(Table16[[#This Row],[Name]],Table21112164202122232534353637[Name],Table21112164202122232534353637[Points],"DNP",0,1)</f>
        <v>DNP</v>
      </c>
      <c r="T112" t="str">
        <f>_xlfn.XLOOKUP(Table16[[#This Row],[Name]],Table2111216420212223253435363738[Name],Table2111216420212223253435363738[Points],"DNP",0,1)</f>
        <v>DNP</v>
      </c>
      <c r="U112" t="str">
        <f>_xlfn.XLOOKUP(Table16[[#This Row],[Name]],Table2111216420212223253435363739[Name],Table2111216420212223253435363739[Points],"DNP",0,1)</f>
        <v>DNP</v>
      </c>
      <c r="V112" t="str">
        <f>_xlfn.XLOOKUP(Table16[[#This Row],[Name]],Table211121642021222325343536373841[Name],Table211121642021222325343536373841[Points],"DNP",0,1)</f>
        <v>DNP</v>
      </c>
    </row>
    <row r="113" spans="2:22">
      <c r="B113" t="str">
        <f>IFERROR(Table5[[#This Row],[Full name]],"")</f>
        <v>Barron Diao</v>
      </c>
      <c r="C113" s="68">
        <f>SUM(Table16[[#This Row],[September 30, 2025]:[Column18]])</f>
        <v>1</v>
      </c>
      <c r="D113" t="str">
        <f>_xlfn.XLOOKUP(Table16[[#This Row],[Name]],Table4[Name],Table4[Points],"DNP",0,1)</f>
        <v>DNP</v>
      </c>
      <c r="E113" t="str">
        <f>_xlfn.XLOOKUP(Table16[[#This Row],[Name]],Table9[Name],Table9[Points],"DNP",0,1)</f>
        <v>DNP</v>
      </c>
      <c r="F113">
        <f>_xlfn.XLOOKUP(Table16[[#This Row],[Name]],Table18[Name],Table18[Points],"DNP",0,1)</f>
        <v>1</v>
      </c>
      <c r="G113" t="str">
        <f>_xlfn.XLOOKUP(Table16[[#This Row],[Name]],Table2[Name],Table2[Points],"DNP",0,1)</f>
        <v>DNP</v>
      </c>
      <c r="H113" t="str">
        <f>_xlfn.XLOOKUP(Table16[[#This Row],[Name]],Table211[Name],Table211[Points],"DNP",0,1)</f>
        <v>DNP</v>
      </c>
      <c r="I113" t="str">
        <f>_xlfn.XLOOKUP(Table16[[#This Row],[Name]],Table21112[Name],Table21112[Points],"DNP",0,1)</f>
        <v>DNP</v>
      </c>
      <c r="J113" t="str">
        <f>_xlfn.XLOOKUP(Table16[[#This Row],[Name]],Table21112164[Name],Table21112164[Points],"DNP",0,1)</f>
        <v>DNP</v>
      </c>
      <c r="K113" t="str">
        <f>_xlfn.XLOOKUP(Table16[[#This Row],[Name]],Table2111216420[Name],Table2111216420[Points],"DNP",0,1)</f>
        <v>DNP</v>
      </c>
      <c r="L113" t="str">
        <f>_xlfn.XLOOKUP(Table16[[#This Row],[Name]],Table211121642021[Name],Table211121642021[Points],"DNP",0,1)</f>
        <v>DNP</v>
      </c>
      <c r="M113" t="str">
        <f>_xlfn.XLOOKUP(Table16[[#This Row],[Name]],Table21112164202122[Name],Table21112164202122[Points],"DNP",0,1)</f>
        <v>DNP</v>
      </c>
      <c r="N113" t="str">
        <f>_xlfn.XLOOKUP(Table16[[#This Row],[Name]],Table2111216420212223[Name],Table2111216420212223[Points],"DNP",0,1)</f>
        <v>DNP</v>
      </c>
      <c r="O113" t="str">
        <f>_xlfn.XLOOKUP(Table16[[#This Row],[Name]],Table211121642021222325[Name],Table211121642021222325[Points],"DNP",0,1)</f>
        <v>DNP</v>
      </c>
      <c r="P113" t="str">
        <f>_xlfn.XLOOKUP(Table16[[#This Row],[Name]],Table21112164202122232534[Name],Table21112164202122232534[Points],"DNP",0,1)</f>
        <v>DNP</v>
      </c>
      <c r="Q113" t="str">
        <f>_xlfn.XLOOKUP(Table16[[#This Row],[Name]],Table2111216420212223253435[Name],Table2111216420212223253435[Points],"DNP",0,1)</f>
        <v>DNP</v>
      </c>
      <c r="R113" t="str">
        <f>_xlfn.XLOOKUP(Table16[[#This Row],[Name]],Table211121642021222325343536[Name],Table211121642021222325343536[Points],"DNP",0,1)</f>
        <v>DNP</v>
      </c>
      <c r="S113" t="str">
        <f>_xlfn.XLOOKUP(Table16[[#This Row],[Name]],Table21112164202122232534353637[Name],Table21112164202122232534353637[Points],"DNP",0,1)</f>
        <v>DNP</v>
      </c>
      <c r="T113" t="str">
        <f>_xlfn.XLOOKUP(Table16[[#This Row],[Name]],Table2111216420212223253435363738[Name],Table2111216420212223253435363738[Points],"DNP",0,1)</f>
        <v>DNP</v>
      </c>
      <c r="U113" t="str">
        <f>_xlfn.XLOOKUP(Table16[[#This Row],[Name]],Table2111216420212223253435363739[Name],Table2111216420212223253435363739[Points],"DNP",0,1)</f>
        <v>DNP</v>
      </c>
      <c r="V113" t="str">
        <f>_xlfn.XLOOKUP(Table16[[#This Row],[Name]],Table211121642021222325343536373841[Name],Table211121642021222325343536373841[Points],"DNP",0,1)</f>
        <v>DNP</v>
      </c>
    </row>
    <row r="114" spans="2:22">
      <c r="B114" t="str">
        <f>IFERROR(Table5[[#This Row],[Full name]],"")</f>
        <v>Ben Goldstein</v>
      </c>
      <c r="C114" s="68">
        <f>SUM(Table16[[#This Row],[September 30, 2025]:[Column18]])</f>
        <v>3</v>
      </c>
      <c r="D114">
        <f>_xlfn.XLOOKUP(Table16[[#This Row],[Name]],Table4[Name],Table4[Points],"DNP",0,1)</f>
        <v>1</v>
      </c>
      <c r="E114" t="str">
        <f>_xlfn.XLOOKUP(Table16[[#This Row],[Name]],Table9[Name],Table9[Points],"DNP",0,1)</f>
        <v>DNP</v>
      </c>
      <c r="F114">
        <f>_xlfn.XLOOKUP(Table16[[#This Row],[Name]],Table18[Name],Table18[Points],"DNP",0,1)</f>
        <v>2</v>
      </c>
      <c r="G114" t="str">
        <f>_xlfn.XLOOKUP(Table16[[#This Row],[Name]],Table2[Name],Table2[Points],"DNP",0,1)</f>
        <v>DNP</v>
      </c>
      <c r="H114" t="str">
        <f>_xlfn.XLOOKUP(Table16[[#This Row],[Name]],Table211[Name],Table211[Points],"DNP",0,1)</f>
        <v>DNP</v>
      </c>
      <c r="I114" t="str">
        <f>_xlfn.XLOOKUP(Table16[[#This Row],[Name]],Table21112[Name],Table21112[Points],"DNP",0,1)</f>
        <v>DNP</v>
      </c>
      <c r="J114" t="str">
        <f>_xlfn.XLOOKUP(Table16[[#This Row],[Name]],Table21112164[Name],Table21112164[Points],"DNP",0,1)</f>
        <v>DNP</v>
      </c>
      <c r="K114" t="str">
        <f>_xlfn.XLOOKUP(Table16[[#This Row],[Name]],Table2111216420[Name],Table2111216420[Points],"DNP",0,1)</f>
        <v>DNP</v>
      </c>
      <c r="L114" t="str">
        <f>_xlfn.XLOOKUP(Table16[[#This Row],[Name]],Table211121642021[Name],Table211121642021[Points],"DNP",0,1)</f>
        <v>DNP</v>
      </c>
      <c r="M114" t="str">
        <f>_xlfn.XLOOKUP(Table16[[#This Row],[Name]],Table21112164202122[Name],Table21112164202122[Points],"DNP",0,1)</f>
        <v>DNP</v>
      </c>
      <c r="N114" t="str">
        <f>_xlfn.XLOOKUP(Table16[[#This Row],[Name]],Table2111216420212223[Name],Table2111216420212223[Points],"DNP",0,1)</f>
        <v>DNP</v>
      </c>
      <c r="O114" t="str">
        <f>_xlfn.XLOOKUP(Table16[[#This Row],[Name]],Table211121642021222325[Name],Table211121642021222325[Points],"DNP",0,1)</f>
        <v>DNP</v>
      </c>
      <c r="P114" t="str">
        <f>_xlfn.XLOOKUP(Table16[[#This Row],[Name]],Table21112164202122232534[Name],Table21112164202122232534[Points],"DNP",0,1)</f>
        <v>DNP</v>
      </c>
      <c r="Q114" t="str">
        <f>_xlfn.XLOOKUP(Table16[[#This Row],[Name]],Table2111216420212223253435[Name],Table2111216420212223253435[Points],"DNP",0,1)</f>
        <v>DNP</v>
      </c>
      <c r="R114" t="str">
        <f>_xlfn.XLOOKUP(Table16[[#This Row],[Name]],Table211121642021222325343536[Name],Table211121642021222325343536[Points],"DNP",0,1)</f>
        <v>DNP</v>
      </c>
      <c r="S114" t="str">
        <f>_xlfn.XLOOKUP(Table16[[#This Row],[Name]],Table21112164202122232534353637[Name],Table21112164202122232534353637[Points],"DNP",0,1)</f>
        <v>DNP</v>
      </c>
      <c r="T114" t="str">
        <f>_xlfn.XLOOKUP(Table16[[#This Row],[Name]],Table2111216420212223253435363738[Name],Table2111216420212223253435363738[Points],"DNP",0,1)</f>
        <v>DNP</v>
      </c>
      <c r="U114" t="str">
        <f>_xlfn.XLOOKUP(Table16[[#This Row],[Name]],Table2111216420212223253435363739[Name],Table2111216420212223253435363739[Points],"DNP",0,1)</f>
        <v>DNP</v>
      </c>
      <c r="V114" t="str">
        <f>_xlfn.XLOOKUP(Table16[[#This Row],[Name]],Table211121642021222325343536373841[Name],Table211121642021222325343536373841[Points],"DNP",0,1)</f>
        <v>DNP</v>
      </c>
    </row>
    <row r="115" spans="2:22">
      <c r="B115" t="str">
        <f>IFERROR(Table5[[#This Row],[Full name]],"")</f>
        <v>Ben Murphy</v>
      </c>
      <c r="C115" s="68">
        <f>SUM(Table16[[#This Row],[September 30, 2025]:[Column18]])</f>
        <v>0</v>
      </c>
      <c r="D115" t="str">
        <f>_xlfn.XLOOKUP(Table16[[#This Row],[Name]],Table4[Name],Table4[Points],"DNP",0,1)</f>
        <v>DNP</v>
      </c>
      <c r="E115" t="str">
        <f>_xlfn.XLOOKUP(Table16[[#This Row],[Name]],Table9[Name],Table9[Points],"DNP",0,1)</f>
        <v>DNP</v>
      </c>
      <c r="F115" t="str">
        <f>_xlfn.XLOOKUP(Table16[[#This Row],[Name]],Table18[Name],Table18[Points],"DNP",0,1)</f>
        <v>DNP</v>
      </c>
      <c r="G115" t="str">
        <f>_xlfn.XLOOKUP(Table16[[#This Row],[Name]],Table2[Name],Table2[Points],"DNP",0,1)</f>
        <v>DNP</v>
      </c>
      <c r="H115" t="str">
        <f>_xlfn.XLOOKUP(Table16[[#This Row],[Name]],Table211[Name],Table211[Points],"DNP",0,1)</f>
        <v>DNP</v>
      </c>
      <c r="I115" t="str">
        <f>_xlfn.XLOOKUP(Table16[[#This Row],[Name]],Table21112[Name],Table21112[Points],"DNP",0,1)</f>
        <v>DNP</v>
      </c>
      <c r="J115" t="str">
        <f>_xlfn.XLOOKUP(Table16[[#This Row],[Name]],Table21112164[Name],Table21112164[Points],"DNP",0,1)</f>
        <v>DNP</v>
      </c>
      <c r="K115" t="str">
        <f>_xlfn.XLOOKUP(Table16[[#This Row],[Name]],Table2111216420[Name],Table2111216420[Points],"DNP",0,1)</f>
        <v>DNP</v>
      </c>
      <c r="L115" t="str">
        <f>_xlfn.XLOOKUP(Table16[[#This Row],[Name]],Table211121642021[Name],Table211121642021[Points],"DNP",0,1)</f>
        <v>DNP</v>
      </c>
      <c r="M115" t="str">
        <f>_xlfn.XLOOKUP(Table16[[#This Row],[Name]],Table21112164202122[Name],Table21112164202122[Points],"DNP",0,1)</f>
        <v>DNP</v>
      </c>
      <c r="N115" t="str">
        <f>_xlfn.XLOOKUP(Table16[[#This Row],[Name]],Table2111216420212223[Name],Table2111216420212223[Points],"DNP",0,1)</f>
        <v>DNP</v>
      </c>
      <c r="O115" t="str">
        <f>_xlfn.XLOOKUP(Table16[[#This Row],[Name]],Table211121642021222325[Name],Table211121642021222325[Points],"DNP",0,1)</f>
        <v>DNP</v>
      </c>
      <c r="P115" t="str">
        <f>_xlfn.XLOOKUP(Table16[[#This Row],[Name]],Table21112164202122232534[Name],Table21112164202122232534[Points],"DNP",0,1)</f>
        <v>DNP</v>
      </c>
      <c r="Q115" t="str">
        <f>_xlfn.XLOOKUP(Table16[[#This Row],[Name]],Table2111216420212223253435[Name],Table2111216420212223253435[Points],"DNP",0,1)</f>
        <v>DNP</v>
      </c>
      <c r="R115" t="str">
        <f>_xlfn.XLOOKUP(Table16[[#This Row],[Name]],Table211121642021222325343536[Name],Table211121642021222325343536[Points],"DNP",0,1)</f>
        <v>DNP</v>
      </c>
      <c r="S115" t="str">
        <f>_xlfn.XLOOKUP(Table16[[#This Row],[Name]],Table21112164202122232534353637[Name],Table21112164202122232534353637[Points],"DNP",0,1)</f>
        <v>DNP</v>
      </c>
      <c r="T115" t="str">
        <f>_xlfn.XLOOKUP(Table16[[#This Row],[Name]],Table2111216420212223253435363738[Name],Table2111216420212223253435363738[Points],"DNP",0,1)</f>
        <v>DNP</v>
      </c>
      <c r="U115" t="str">
        <f>_xlfn.XLOOKUP(Table16[[#This Row],[Name]],Table2111216420212223253435363739[Name],Table2111216420212223253435363739[Points],"DNP",0,1)</f>
        <v>DNP</v>
      </c>
      <c r="V115" t="str">
        <f>_xlfn.XLOOKUP(Table16[[#This Row],[Name]],Table211121642021222325343536373841[Name],Table211121642021222325343536373841[Points],"DNP",0,1)</f>
        <v>DNP</v>
      </c>
    </row>
    <row r="116" spans="2:22">
      <c r="B116" t="str">
        <f>IFERROR(Table5[[#This Row],[Full name]],"")</f>
        <v>Benjamin Gorospe</v>
      </c>
      <c r="C116" s="68">
        <f>SUM(Table16[[#This Row],[September 30, 2025]:[Column18]])</f>
        <v>1</v>
      </c>
      <c r="D116" t="str">
        <f>_xlfn.XLOOKUP(Table16[[#This Row],[Name]],Table4[Name],Table4[Points],"DNP",0,1)</f>
        <v>DNP</v>
      </c>
      <c r="E116">
        <f>_xlfn.XLOOKUP(Table16[[#This Row],[Name]],Table9[Name],Table9[Points],"DNP",0,1)</f>
        <v>1</v>
      </c>
      <c r="F116" t="str">
        <f>_xlfn.XLOOKUP(Table16[[#This Row],[Name]],Table18[Name],Table18[Points],"DNP",0,1)</f>
        <v>DNP</v>
      </c>
      <c r="G116" t="str">
        <f>_xlfn.XLOOKUP(Table16[[#This Row],[Name]],Table2[Name],Table2[Points],"DNP",0,1)</f>
        <v>DNP</v>
      </c>
      <c r="H116" t="str">
        <f>_xlfn.XLOOKUP(Table16[[#This Row],[Name]],Table211[Name],Table211[Points],"DNP",0,1)</f>
        <v>DNP</v>
      </c>
      <c r="I116" t="str">
        <f>_xlfn.XLOOKUP(Table16[[#This Row],[Name]],Table21112[Name],Table21112[Points],"DNP",0,1)</f>
        <v>DNP</v>
      </c>
      <c r="J116" t="str">
        <f>_xlfn.XLOOKUP(Table16[[#This Row],[Name]],Table21112164[Name],Table21112164[Points],"DNP",0,1)</f>
        <v>DNP</v>
      </c>
      <c r="K116" t="str">
        <f>_xlfn.XLOOKUP(Table16[[#This Row],[Name]],Table2111216420[Name],Table2111216420[Points],"DNP",0,1)</f>
        <v>DNP</v>
      </c>
      <c r="L116" t="str">
        <f>_xlfn.XLOOKUP(Table16[[#This Row],[Name]],Table211121642021[Name],Table211121642021[Points],"DNP",0,1)</f>
        <v>DNP</v>
      </c>
      <c r="M116" t="str">
        <f>_xlfn.XLOOKUP(Table16[[#This Row],[Name]],Table21112164202122[Name],Table21112164202122[Points],"DNP",0,1)</f>
        <v>DNP</v>
      </c>
      <c r="N116" t="str">
        <f>_xlfn.XLOOKUP(Table16[[#This Row],[Name]],Table2111216420212223[Name],Table2111216420212223[Points],"DNP",0,1)</f>
        <v>DNP</v>
      </c>
      <c r="O116" t="str">
        <f>_xlfn.XLOOKUP(Table16[[#This Row],[Name]],Table211121642021222325[Name],Table211121642021222325[Points],"DNP",0,1)</f>
        <v>DNP</v>
      </c>
      <c r="P116" t="str">
        <f>_xlfn.XLOOKUP(Table16[[#This Row],[Name]],Table21112164202122232534[Name],Table21112164202122232534[Points],"DNP",0,1)</f>
        <v>DNP</v>
      </c>
      <c r="Q116" t="str">
        <f>_xlfn.XLOOKUP(Table16[[#This Row],[Name]],Table2111216420212223253435[Name],Table2111216420212223253435[Points],"DNP",0,1)</f>
        <v>DNP</v>
      </c>
      <c r="R116" t="str">
        <f>_xlfn.XLOOKUP(Table16[[#This Row],[Name]],Table211121642021222325343536[Name],Table211121642021222325343536[Points],"DNP",0,1)</f>
        <v>DNP</v>
      </c>
      <c r="S116" t="str">
        <f>_xlfn.XLOOKUP(Table16[[#This Row],[Name]],Table21112164202122232534353637[Name],Table21112164202122232534353637[Points],"DNP",0,1)</f>
        <v>DNP</v>
      </c>
      <c r="T116" t="str">
        <f>_xlfn.XLOOKUP(Table16[[#This Row],[Name]],Table2111216420212223253435363738[Name],Table2111216420212223253435363738[Points],"DNP",0,1)</f>
        <v>DNP</v>
      </c>
      <c r="U116" t="str">
        <f>_xlfn.XLOOKUP(Table16[[#This Row],[Name]],Table2111216420212223253435363739[Name],Table2111216420212223253435363739[Points],"DNP",0,1)</f>
        <v>DNP</v>
      </c>
      <c r="V116" t="str">
        <f>_xlfn.XLOOKUP(Table16[[#This Row],[Name]],Table211121642021222325343536373841[Name],Table211121642021222325343536373841[Points],"DNP",0,1)</f>
        <v>DNP</v>
      </c>
    </row>
    <row r="117" spans="2:22">
      <c r="B117" t="str">
        <f>IFERROR(Table5[[#This Row],[Full name]],"")</f>
        <v>Benjamin Le Brun</v>
      </c>
      <c r="C117" s="68">
        <f>SUM(Table16[[#This Row],[September 30, 2025]:[Column18]])</f>
        <v>0</v>
      </c>
      <c r="D117" t="str">
        <f>_xlfn.XLOOKUP(Table16[[#This Row],[Name]],Table4[Name],Table4[Points],"DNP",0,1)</f>
        <v>DNP</v>
      </c>
      <c r="E117" t="str">
        <f>_xlfn.XLOOKUP(Table16[[#This Row],[Name]],Table9[Name],Table9[Points],"DNP",0,1)</f>
        <v>DNP</v>
      </c>
      <c r="F117" t="str">
        <f>_xlfn.XLOOKUP(Table16[[#This Row],[Name]],Table18[Name],Table18[Points],"DNP",0,1)</f>
        <v>DNP</v>
      </c>
      <c r="G117" t="str">
        <f>_xlfn.XLOOKUP(Table16[[#This Row],[Name]],Table2[Name],Table2[Points],"DNP",0,1)</f>
        <v>DNP</v>
      </c>
      <c r="H117" t="str">
        <f>_xlfn.XLOOKUP(Table16[[#This Row],[Name]],Table211[Name],Table211[Points],"DNP",0,1)</f>
        <v>DNP</v>
      </c>
      <c r="I117" t="str">
        <f>_xlfn.XLOOKUP(Table16[[#This Row],[Name]],Table21112[Name],Table21112[Points],"DNP",0,1)</f>
        <v>DNP</v>
      </c>
      <c r="J117" t="str">
        <f>_xlfn.XLOOKUP(Table16[[#This Row],[Name]],Table21112164[Name],Table21112164[Points],"DNP",0,1)</f>
        <v>DNP</v>
      </c>
      <c r="K117" t="str">
        <f>_xlfn.XLOOKUP(Table16[[#This Row],[Name]],Table2111216420[Name],Table2111216420[Points],"DNP",0,1)</f>
        <v>DNP</v>
      </c>
      <c r="L117" t="str">
        <f>_xlfn.XLOOKUP(Table16[[#This Row],[Name]],Table211121642021[Name],Table211121642021[Points],"DNP",0,1)</f>
        <v>DNP</v>
      </c>
      <c r="M117" t="str">
        <f>_xlfn.XLOOKUP(Table16[[#This Row],[Name]],Table21112164202122[Name],Table21112164202122[Points],"DNP",0,1)</f>
        <v>DNP</v>
      </c>
      <c r="N117" t="str">
        <f>_xlfn.XLOOKUP(Table16[[#This Row],[Name]],Table2111216420212223[Name],Table2111216420212223[Points],"DNP",0,1)</f>
        <v>DNP</v>
      </c>
      <c r="O117" t="str">
        <f>_xlfn.XLOOKUP(Table16[[#This Row],[Name]],Table211121642021222325[Name],Table211121642021222325[Points],"DNP",0,1)</f>
        <v>DNP</v>
      </c>
      <c r="P117" t="str">
        <f>_xlfn.XLOOKUP(Table16[[#This Row],[Name]],Table21112164202122232534[Name],Table21112164202122232534[Points],"DNP",0,1)</f>
        <v>DNP</v>
      </c>
      <c r="Q117" t="str">
        <f>_xlfn.XLOOKUP(Table16[[#This Row],[Name]],Table2111216420212223253435[Name],Table2111216420212223253435[Points],"DNP",0,1)</f>
        <v>DNP</v>
      </c>
      <c r="R117" t="str">
        <f>_xlfn.XLOOKUP(Table16[[#This Row],[Name]],Table211121642021222325343536[Name],Table211121642021222325343536[Points],"DNP",0,1)</f>
        <v>DNP</v>
      </c>
      <c r="S117" t="str">
        <f>_xlfn.XLOOKUP(Table16[[#This Row],[Name]],Table21112164202122232534353637[Name],Table21112164202122232534353637[Points],"DNP",0,1)</f>
        <v>DNP</v>
      </c>
      <c r="T117" t="str">
        <f>_xlfn.XLOOKUP(Table16[[#This Row],[Name]],Table2111216420212223253435363738[Name],Table2111216420212223253435363738[Points],"DNP",0,1)</f>
        <v>DNP</v>
      </c>
      <c r="U117" t="str">
        <f>_xlfn.XLOOKUP(Table16[[#This Row],[Name]],Table2111216420212223253435363739[Name],Table2111216420212223253435363739[Points],"DNP",0,1)</f>
        <v>DNP</v>
      </c>
      <c r="V117" t="str">
        <f>_xlfn.XLOOKUP(Table16[[#This Row],[Name]],Table211121642021222325343536373841[Name],Table211121642021222325343536373841[Points],"DNP",0,1)</f>
        <v>DNP</v>
      </c>
    </row>
    <row r="118" spans="2:22">
      <c r="B118" t="str">
        <f>IFERROR(Table5[[#This Row],[Full name]],"")</f>
        <v>Benjamin Namayandeh</v>
      </c>
      <c r="C118" s="68">
        <f>SUM(Table16[[#This Row],[September 30, 2025]:[Column18]])</f>
        <v>1</v>
      </c>
      <c r="D118" t="str">
        <f>_xlfn.XLOOKUP(Table16[[#This Row],[Name]],Table4[Name],Table4[Points],"DNP",0,1)</f>
        <v>DNP</v>
      </c>
      <c r="E118" t="str">
        <f>_xlfn.XLOOKUP(Table16[[#This Row],[Name]],Table9[Name],Table9[Points],"DNP",0,1)</f>
        <v>DNP</v>
      </c>
      <c r="F118" t="str">
        <f>_xlfn.XLOOKUP(Table16[[#This Row],[Name]],Table18[Name],Table18[Points],"DNP",0,1)</f>
        <v>DNP</v>
      </c>
      <c r="G118" t="str">
        <f>_xlfn.XLOOKUP(Table16[[#This Row],[Name]],Table2[Name],Table2[Points],"DNP",0,1)</f>
        <v>DNP</v>
      </c>
      <c r="H118" t="str">
        <f>_xlfn.XLOOKUP(Table16[[#This Row],[Name]],Table211[Name],Table211[Points],"DNP",0,1)</f>
        <v>DNP</v>
      </c>
      <c r="I118" t="str">
        <f>_xlfn.XLOOKUP(Table16[[#This Row],[Name]],Table21112[Name],Table21112[Points],"DNP",0,1)</f>
        <v>DNP</v>
      </c>
      <c r="J118" t="str">
        <f>_xlfn.XLOOKUP(Table16[[#This Row],[Name]],Table21112164[Name],Table21112164[Points],"DNP",0,1)</f>
        <v>DNP</v>
      </c>
      <c r="K118" t="str">
        <f>_xlfn.XLOOKUP(Table16[[#This Row],[Name]],Table2111216420[Name],Table2111216420[Points],"DNP",0,1)</f>
        <v>DNP</v>
      </c>
      <c r="L118" t="str">
        <f>_xlfn.XLOOKUP(Table16[[#This Row],[Name]],Table211121642021[Name],Table211121642021[Points],"DNP",0,1)</f>
        <v>DNP</v>
      </c>
      <c r="M118">
        <f>_xlfn.XLOOKUP(Table16[[#This Row],[Name]],Table21112164202122[Name],Table21112164202122[Points],"DNP",0,1)</f>
        <v>1</v>
      </c>
      <c r="N118" t="str">
        <f>_xlfn.XLOOKUP(Table16[[#This Row],[Name]],Table2111216420212223[Name],Table2111216420212223[Points],"DNP",0,1)</f>
        <v>DNP</v>
      </c>
      <c r="O118" t="str">
        <f>_xlfn.XLOOKUP(Table16[[#This Row],[Name]],Table211121642021222325[Name],Table211121642021222325[Points],"DNP",0,1)</f>
        <v>DNP</v>
      </c>
      <c r="P118" t="str">
        <f>_xlfn.XLOOKUP(Table16[[#This Row],[Name]],Table21112164202122232534[Name],Table21112164202122232534[Points],"DNP",0,1)</f>
        <v>DNP</v>
      </c>
      <c r="Q118" t="str">
        <f>_xlfn.XLOOKUP(Table16[[#This Row],[Name]],Table2111216420212223253435[Name],Table2111216420212223253435[Points],"DNP",0,1)</f>
        <v>DNP</v>
      </c>
      <c r="R118" t="str">
        <f>_xlfn.XLOOKUP(Table16[[#This Row],[Name]],Table211121642021222325343536[Name],Table211121642021222325343536[Points],"DNP",0,1)</f>
        <v>DNP</v>
      </c>
      <c r="S118" t="str">
        <f>_xlfn.XLOOKUP(Table16[[#This Row],[Name]],Table21112164202122232534353637[Name],Table21112164202122232534353637[Points],"DNP",0,1)</f>
        <v>DNP</v>
      </c>
      <c r="T118" t="str">
        <f>_xlfn.XLOOKUP(Table16[[#This Row],[Name]],Table2111216420212223253435363738[Name],Table2111216420212223253435363738[Points],"DNP",0,1)</f>
        <v>DNP</v>
      </c>
      <c r="U118" t="str">
        <f>_xlfn.XLOOKUP(Table16[[#This Row],[Name]],Table2111216420212223253435363739[Name],Table2111216420212223253435363739[Points],"DNP",0,1)</f>
        <v>DNP</v>
      </c>
      <c r="V118" t="str">
        <f>_xlfn.XLOOKUP(Table16[[#This Row],[Name]],Table211121642021222325343536373841[Name],Table211121642021222325343536373841[Points],"DNP",0,1)</f>
        <v>DNP</v>
      </c>
    </row>
    <row r="119" spans="2:22">
      <c r="B119" t="str">
        <f>IFERROR(Table5[[#This Row],[Full name]],"")</f>
        <v>Benjamin Zheng</v>
      </c>
      <c r="C119" s="68">
        <f>SUM(Table16[[#This Row],[September 30, 2025]:[Column18]])</f>
        <v>16</v>
      </c>
      <c r="D119">
        <f>_xlfn.XLOOKUP(Table16[[#This Row],[Name]],Table4[Name],Table4[Points],"DNP",0,1)</f>
        <v>2</v>
      </c>
      <c r="E119" t="str">
        <f>_xlfn.XLOOKUP(Table16[[#This Row],[Name]],Table9[Name],Table9[Points],"DNP",0,1)</f>
        <v>DNP</v>
      </c>
      <c r="F119" t="str">
        <f>_xlfn.XLOOKUP(Table16[[#This Row],[Name]],Table18[Name],Table18[Points],"DNP",0,1)</f>
        <v>DNP</v>
      </c>
      <c r="G119" t="str">
        <f>_xlfn.XLOOKUP(Table16[[#This Row],[Name]],Table2[Name],Table2[Points],"DNP",0,1)</f>
        <v>DNP</v>
      </c>
      <c r="H119" t="str">
        <f>_xlfn.XLOOKUP(Table16[[#This Row],[Name]],Table211[Name],Table211[Points],"DNP",0,1)</f>
        <v>DNP</v>
      </c>
      <c r="I119" t="str">
        <f>_xlfn.XLOOKUP(Table16[[#This Row],[Name]],Table21112[Name],Table21112[Points],"DNP",0,1)</f>
        <v>DNP</v>
      </c>
      <c r="J119" t="str">
        <f>_xlfn.XLOOKUP(Table16[[#This Row],[Name]],Table21112164[Name],Table21112164[Points],"DNP",0,1)</f>
        <v>DNP</v>
      </c>
      <c r="K119">
        <f>_xlfn.XLOOKUP(Table16[[#This Row],[Name]],Table2111216420[Name],Table2111216420[Points],"DNP",0,1)</f>
        <v>2</v>
      </c>
      <c r="L119">
        <f>_xlfn.XLOOKUP(Table16[[#This Row],[Name]],Table211121642021[Name],Table211121642021[Points],"DNP",0,1)</f>
        <v>1</v>
      </c>
      <c r="M119">
        <f>_xlfn.XLOOKUP(Table16[[#This Row],[Name]],Table21112164202122[Name],Table21112164202122[Points],"DNP",0,1)</f>
        <v>1</v>
      </c>
      <c r="N119">
        <f>_xlfn.XLOOKUP(Table16[[#This Row],[Name]],Table2111216420212223[Name],Table2111216420212223[Points],"DNP",0,1)</f>
        <v>8</v>
      </c>
      <c r="O119" t="str">
        <f>_xlfn.XLOOKUP(Table16[[#This Row],[Name]],Table211121642021222325[Name],Table211121642021222325[Points],"DNP",0,1)</f>
        <v>DNP</v>
      </c>
      <c r="P119" t="str">
        <f>_xlfn.XLOOKUP(Table16[[#This Row],[Name]],Table21112164202122232534[Name],Table21112164202122232534[Points],"DNP",0,1)</f>
        <v>DNP</v>
      </c>
      <c r="Q119" t="str">
        <f>_xlfn.XLOOKUP(Table16[[#This Row],[Name]],Table2111216420212223253435[Name],Table2111216420212223253435[Points],"DNP",0,1)</f>
        <v>DNP</v>
      </c>
      <c r="R119" t="str">
        <f>_xlfn.XLOOKUP(Table16[[#This Row],[Name]],Table211121642021222325343536[Name],Table211121642021222325343536[Points],"DNP",0,1)</f>
        <v>DNP</v>
      </c>
      <c r="S119">
        <f>_xlfn.XLOOKUP(Table16[[#This Row],[Name]],Table21112164202122232534353637[Name],Table21112164202122232534353637[Points],"DNP",0,1)</f>
        <v>2</v>
      </c>
      <c r="T119" t="str">
        <f>_xlfn.XLOOKUP(Table16[[#This Row],[Name]],Table2111216420212223253435363738[Name],Table2111216420212223253435363738[Points],"DNP",0,1)</f>
        <v>DNP</v>
      </c>
      <c r="U119" t="str">
        <f>_xlfn.XLOOKUP(Table16[[#This Row],[Name]],Table2111216420212223253435363739[Name],Table2111216420212223253435363739[Points],"DNP",0,1)</f>
        <v>DNP</v>
      </c>
      <c r="V119" t="str">
        <f>_xlfn.XLOOKUP(Table16[[#This Row],[Name]],Table211121642021222325343536373841[Name],Table211121642021222325343536373841[Points],"DNP",0,1)</f>
        <v>DNP</v>
      </c>
    </row>
    <row r="120" spans="2:22">
      <c r="B120" t="str">
        <f>IFERROR(Table5[[#This Row],[Full name]],"")</f>
        <v>Bhargav Kandlakuti</v>
      </c>
      <c r="C120" s="68">
        <f>SUM(Table16[[#This Row],[September 30, 2025]:[Column18]])</f>
        <v>18</v>
      </c>
      <c r="D120" t="str">
        <f>_xlfn.XLOOKUP(Table16[[#This Row],[Name]],Table4[Name],Table4[Points],"DNP",0,1)</f>
        <v>DNP</v>
      </c>
      <c r="E120" t="str">
        <f>_xlfn.XLOOKUP(Table16[[#This Row],[Name]],Table9[Name],Table9[Points],"DNP",0,1)</f>
        <v>DNP</v>
      </c>
      <c r="F120" t="str">
        <f>_xlfn.XLOOKUP(Table16[[#This Row],[Name]],Table18[Name],Table18[Points],"DNP",0,1)</f>
        <v>DNP</v>
      </c>
      <c r="G120" t="str">
        <f>_xlfn.XLOOKUP(Table16[[#This Row],[Name]],Table2[Name],Table2[Points],"DNP",0,1)</f>
        <v>DNP</v>
      </c>
      <c r="H120">
        <f>_xlfn.XLOOKUP(Table16[[#This Row],[Name]],Table211[Name],Table211[Points],"DNP",0,1)</f>
        <v>1</v>
      </c>
      <c r="I120">
        <f>_xlfn.XLOOKUP(Table16[[#This Row],[Name]],Table21112[Name],Table21112[Points],"DNP",0,1)</f>
        <v>1</v>
      </c>
      <c r="J120" t="str">
        <f>_xlfn.XLOOKUP(Table16[[#This Row],[Name]],Table21112164[Name],Table21112164[Points],"DNP",0,1)</f>
        <v>DNP</v>
      </c>
      <c r="K120" t="str">
        <f>_xlfn.XLOOKUP(Table16[[#This Row],[Name]],Table2111216420[Name],Table2111216420[Points],"DNP",0,1)</f>
        <v>DNP</v>
      </c>
      <c r="L120" t="str">
        <f>_xlfn.XLOOKUP(Table16[[#This Row],[Name]],Table211121642021[Name],Table211121642021[Points],"DNP",0,1)</f>
        <v>DNP</v>
      </c>
      <c r="M120">
        <f>_xlfn.XLOOKUP(Table16[[#This Row],[Name]],Table21112164202122[Name],Table21112164202122[Points],"DNP",0,1)</f>
        <v>8</v>
      </c>
      <c r="N120" t="str">
        <f>_xlfn.XLOOKUP(Table16[[#This Row],[Name]],Table2111216420212223[Name],Table2111216420212223[Points],"DNP",0,1)</f>
        <v>DNP</v>
      </c>
      <c r="O120" t="str">
        <f>_xlfn.XLOOKUP(Table16[[#This Row],[Name]],Table211121642021222325[Name],Table211121642021222325[Points],"DNP",0,1)</f>
        <v>DNP</v>
      </c>
      <c r="P120" t="str">
        <f>_xlfn.XLOOKUP(Table16[[#This Row],[Name]],Table21112164202122232534[Name],Table21112164202122232534[Points],"DNP",0,1)</f>
        <v>DNP</v>
      </c>
      <c r="Q120">
        <f>_xlfn.XLOOKUP(Table16[[#This Row],[Name]],Table2111216420212223253435[Name],Table2111216420212223253435[Points],"DNP",0,1)</f>
        <v>1</v>
      </c>
      <c r="R120">
        <f>_xlfn.XLOOKUP(Table16[[#This Row],[Name]],Table211121642021222325343536[Name],Table211121642021222325343536[Points],"DNP",0,1)</f>
        <v>2</v>
      </c>
      <c r="S120">
        <f>_xlfn.XLOOKUP(Table16[[#This Row],[Name]],Table21112164202122232534353637[Name],Table21112164202122232534353637[Points],"DNP",0,1)</f>
        <v>1</v>
      </c>
      <c r="T120" t="str">
        <f>_xlfn.XLOOKUP(Table16[[#This Row],[Name]],Table2111216420212223253435363738[Name],Table2111216420212223253435363738[Points],"DNP",0,1)</f>
        <v>DNP</v>
      </c>
      <c r="U120">
        <f>_xlfn.XLOOKUP(Table16[[#This Row],[Name]],Table2111216420212223253435363739[Name],Table2111216420212223253435363739[Points],"DNP",0,1)</f>
        <v>3</v>
      </c>
      <c r="V120">
        <f>_xlfn.XLOOKUP(Table16[[#This Row],[Name]],Table211121642021222325343536373841[Name],Table211121642021222325343536373841[Points],"DNP",0,1)</f>
        <v>1</v>
      </c>
    </row>
    <row r="121" spans="2:22">
      <c r="B121" t="str">
        <f>IFERROR(Table5[[#This Row],[Full name]],"")</f>
        <v>Bilal Hachem</v>
      </c>
      <c r="C121" s="68">
        <f>SUM(Table16[[#This Row],[September 30, 2025]:[Column18]])</f>
        <v>1</v>
      </c>
      <c r="D121">
        <f>_xlfn.XLOOKUP(Table16[[#This Row],[Name]],Table4[Name],Table4[Points],"DNP",0,1)</f>
        <v>1</v>
      </c>
      <c r="E121" t="str">
        <f>_xlfn.XLOOKUP(Table16[[#This Row],[Name]],Table9[Name],Table9[Points],"DNP",0,1)</f>
        <v>DNP</v>
      </c>
      <c r="F121" t="str">
        <f>_xlfn.XLOOKUP(Table16[[#This Row],[Name]],Table18[Name],Table18[Points],"DNP",0,1)</f>
        <v>DNP</v>
      </c>
      <c r="G121" t="str">
        <f>_xlfn.XLOOKUP(Table16[[#This Row],[Name]],Table2[Name],Table2[Points],"DNP",0,1)</f>
        <v>DNP</v>
      </c>
      <c r="H121" t="str">
        <f>_xlfn.XLOOKUP(Table16[[#This Row],[Name]],Table211[Name],Table211[Points],"DNP",0,1)</f>
        <v>DNP</v>
      </c>
      <c r="I121" t="str">
        <f>_xlfn.XLOOKUP(Table16[[#This Row],[Name]],Table21112[Name],Table21112[Points],"DNP",0,1)</f>
        <v>DNP</v>
      </c>
      <c r="J121" t="str">
        <f>_xlfn.XLOOKUP(Table16[[#This Row],[Name]],Table21112164[Name],Table21112164[Points],"DNP",0,1)</f>
        <v>DNP</v>
      </c>
      <c r="K121" t="str">
        <f>_xlfn.XLOOKUP(Table16[[#This Row],[Name]],Table2111216420[Name],Table2111216420[Points],"DNP",0,1)</f>
        <v>DNP</v>
      </c>
      <c r="L121" t="str">
        <f>_xlfn.XLOOKUP(Table16[[#This Row],[Name]],Table211121642021[Name],Table211121642021[Points],"DNP",0,1)</f>
        <v>DNP</v>
      </c>
      <c r="M121" t="str">
        <f>_xlfn.XLOOKUP(Table16[[#This Row],[Name]],Table21112164202122[Name],Table21112164202122[Points],"DNP",0,1)</f>
        <v>DNP</v>
      </c>
      <c r="N121" t="str">
        <f>_xlfn.XLOOKUP(Table16[[#This Row],[Name]],Table2111216420212223[Name],Table2111216420212223[Points],"DNP",0,1)</f>
        <v>DNP</v>
      </c>
      <c r="O121" t="str">
        <f>_xlfn.XLOOKUP(Table16[[#This Row],[Name]],Table211121642021222325[Name],Table211121642021222325[Points],"DNP",0,1)</f>
        <v>DNP</v>
      </c>
      <c r="P121" t="str">
        <f>_xlfn.XLOOKUP(Table16[[#This Row],[Name]],Table21112164202122232534[Name],Table21112164202122232534[Points],"DNP",0,1)</f>
        <v>DNP</v>
      </c>
      <c r="Q121" t="str">
        <f>_xlfn.XLOOKUP(Table16[[#This Row],[Name]],Table2111216420212223253435[Name],Table2111216420212223253435[Points],"DNP",0,1)</f>
        <v>DNP</v>
      </c>
      <c r="R121" t="str">
        <f>_xlfn.XLOOKUP(Table16[[#This Row],[Name]],Table211121642021222325343536[Name],Table211121642021222325343536[Points],"DNP",0,1)</f>
        <v>DNP</v>
      </c>
      <c r="S121" t="str">
        <f>_xlfn.XLOOKUP(Table16[[#This Row],[Name]],Table21112164202122232534353637[Name],Table21112164202122232534353637[Points],"DNP",0,1)</f>
        <v>DNP</v>
      </c>
      <c r="T121" t="str">
        <f>_xlfn.XLOOKUP(Table16[[#This Row],[Name]],Table2111216420212223253435363738[Name],Table2111216420212223253435363738[Points],"DNP",0,1)</f>
        <v>DNP</v>
      </c>
      <c r="U121" t="str">
        <f>_xlfn.XLOOKUP(Table16[[#This Row],[Name]],Table2111216420212223253435363739[Name],Table2111216420212223253435363739[Points],"DNP",0,1)</f>
        <v>DNP</v>
      </c>
      <c r="V121" t="str">
        <f>_xlfn.XLOOKUP(Table16[[#This Row],[Name]],Table211121642021222325343536373841[Name],Table211121642021222325343536373841[Points],"DNP",0,1)</f>
        <v>DNP</v>
      </c>
    </row>
    <row r="122" spans="2:22">
      <c r="B122" t="str">
        <f>IFERROR(Table5[[#This Row],[Full name]],"")</f>
        <v>Brandon Roy</v>
      </c>
      <c r="C122" s="68">
        <f>SUM(Table16[[#This Row],[September 30, 2025]:[Column18]])</f>
        <v>3</v>
      </c>
      <c r="D122" t="str">
        <f>_xlfn.XLOOKUP(Table16[[#This Row],[Name]],Table4[Name],Table4[Points],"DNP",0,1)</f>
        <v>DNP</v>
      </c>
      <c r="E122" t="str">
        <f>_xlfn.XLOOKUP(Table16[[#This Row],[Name]],Table9[Name],Table9[Points],"DNP",0,1)</f>
        <v>DNP</v>
      </c>
      <c r="F122" t="str">
        <f>_xlfn.XLOOKUP(Table16[[#This Row],[Name]],Table18[Name],Table18[Points],"DNP",0,1)</f>
        <v>DNP</v>
      </c>
      <c r="G122">
        <f>_xlfn.XLOOKUP(Table16[[#This Row],[Name]],Table2[Name],Table2[Points],"DNP",0,1)</f>
        <v>1</v>
      </c>
      <c r="H122">
        <f>_xlfn.XLOOKUP(Table16[[#This Row],[Name]],Table211[Name],Table211[Points],"DNP",0,1)</f>
        <v>1</v>
      </c>
      <c r="I122" t="str">
        <f>_xlfn.XLOOKUP(Table16[[#This Row],[Name]],Table21112[Name],Table21112[Points],"DNP",0,1)</f>
        <v>DNP</v>
      </c>
      <c r="J122" t="str">
        <f>_xlfn.XLOOKUP(Table16[[#This Row],[Name]],Table21112164[Name],Table21112164[Points],"DNP",0,1)</f>
        <v>DNP</v>
      </c>
      <c r="K122">
        <f>_xlfn.XLOOKUP(Table16[[#This Row],[Name]],Table2111216420[Name],Table2111216420[Points],"DNP",0,1)</f>
        <v>1</v>
      </c>
      <c r="L122" t="str">
        <f>_xlfn.XLOOKUP(Table16[[#This Row],[Name]],Table211121642021[Name],Table211121642021[Points],"DNP",0,1)</f>
        <v>DNP</v>
      </c>
      <c r="M122" t="str">
        <f>_xlfn.XLOOKUP(Table16[[#This Row],[Name]],Table21112164202122[Name],Table21112164202122[Points],"DNP",0,1)</f>
        <v>DNP</v>
      </c>
      <c r="N122" t="str">
        <f>_xlfn.XLOOKUP(Table16[[#This Row],[Name]],Table2111216420212223[Name],Table2111216420212223[Points],"DNP",0,1)</f>
        <v>DNP</v>
      </c>
      <c r="O122" t="str">
        <f>_xlfn.XLOOKUP(Table16[[#This Row],[Name]],Table211121642021222325[Name],Table211121642021222325[Points],"DNP",0,1)</f>
        <v>DNP</v>
      </c>
      <c r="P122" t="str">
        <f>_xlfn.XLOOKUP(Table16[[#This Row],[Name]],Table21112164202122232534[Name],Table21112164202122232534[Points],"DNP",0,1)</f>
        <v>DNP</v>
      </c>
      <c r="Q122" t="str">
        <f>_xlfn.XLOOKUP(Table16[[#This Row],[Name]],Table2111216420212223253435[Name],Table2111216420212223253435[Points],"DNP",0,1)</f>
        <v>DNP</v>
      </c>
      <c r="R122" t="str">
        <f>_xlfn.XLOOKUP(Table16[[#This Row],[Name]],Table211121642021222325343536[Name],Table211121642021222325343536[Points],"DNP",0,1)</f>
        <v>DNP</v>
      </c>
      <c r="S122" t="str">
        <f>_xlfn.XLOOKUP(Table16[[#This Row],[Name]],Table21112164202122232534353637[Name],Table21112164202122232534353637[Points],"DNP",0,1)</f>
        <v>DNP</v>
      </c>
      <c r="T122" t="str">
        <f>_xlfn.XLOOKUP(Table16[[#This Row],[Name]],Table2111216420212223253435363738[Name],Table2111216420212223253435363738[Points],"DNP",0,1)</f>
        <v>DNP</v>
      </c>
      <c r="U122" t="str">
        <f>_xlfn.XLOOKUP(Table16[[#This Row],[Name]],Table2111216420212223253435363739[Name],Table2111216420212223253435363739[Points],"DNP",0,1)</f>
        <v>DNP</v>
      </c>
      <c r="V122" t="str">
        <f>_xlfn.XLOOKUP(Table16[[#This Row],[Name]],Table211121642021222325343536373841[Name],Table211121642021222325343536373841[Points],"DNP",0,1)</f>
        <v>DNP</v>
      </c>
    </row>
    <row r="123" spans="2:22">
      <c r="B123" t="str">
        <f>IFERROR(Table5[[#This Row],[Full name]],"")</f>
        <v>Brayden Nykamp</v>
      </c>
      <c r="C123" s="68">
        <f>SUM(Table16[[#This Row],[September 30, 2025]:[Column18]])</f>
        <v>1</v>
      </c>
      <c r="D123" t="str">
        <f>_xlfn.XLOOKUP(Table16[[#This Row],[Name]],Table4[Name],Table4[Points],"DNP",0,1)</f>
        <v>DNP</v>
      </c>
      <c r="E123" t="str">
        <f>_xlfn.XLOOKUP(Table16[[#This Row],[Name]],Table9[Name],Table9[Points],"DNP",0,1)</f>
        <v>DNP</v>
      </c>
      <c r="F123" t="str">
        <f>_xlfn.XLOOKUP(Table16[[#This Row],[Name]],Table18[Name],Table18[Points],"DNP",0,1)</f>
        <v>DNP</v>
      </c>
      <c r="G123" t="str">
        <f>_xlfn.XLOOKUP(Table16[[#This Row],[Name]],Table2[Name],Table2[Points],"DNP",0,1)</f>
        <v>DNP</v>
      </c>
      <c r="H123" t="str">
        <f>_xlfn.XLOOKUP(Table16[[#This Row],[Name]],Table211[Name],Table211[Points],"DNP",0,1)</f>
        <v>DNP</v>
      </c>
      <c r="I123" t="str">
        <f>_xlfn.XLOOKUP(Table16[[#This Row],[Name]],Table21112[Name],Table21112[Points],"DNP",0,1)</f>
        <v>DNP</v>
      </c>
      <c r="J123" t="str">
        <f>_xlfn.XLOOKUP(Table16[[#This Row],[Name]],Table21112164[Name],Table21112164[Points],"DNP",0,1)</f>
        <v>DNP</v>
      </c>
      <c r="K123" t="str">
        <f>_xlfn.XLOOKUP(Table16[[#This Row],[Name]],Table2111216420[Name],Table2111216420[Points],"DNP",0,1)</f>
        <v>DNP</v>
      </c>
      <c r="L123" t="str">
        <f>_xlfn.XLOOKUP(Table16[[#This Row],[Name]],Table211121642021[Name],Table211121642021[Points],"DNP",0,1)</f>
        <v>DNP</v>
      </c>
      <c r="M123" t="str">
        <f>_xlfn.XLOOKUP(Table16[[#This Row],[Name]],Table21112164202122[Name],Table21112164202122[Points],"DNP",0,1)</f>
        <v>DNP</v>
      </c>
      <c r="N123" t="str">
        <f>_xlfn.XLOOKUP(Table16[[#This Row],[Name]],Table2111216420212223[Name],Table2111216420212223[Points],"DNP",0,1)</f>
        <v>DNP</v>
      </c>
      <c r="O123" t="str">
        <f>_xlfn.XLOOKUP(Table16[[#This Row],[Name]],Table211121642021222325[Name],Table211121642021222325[Points],"DNP",0,1)</f>
        <v>DNP</v>
      </c>
      <c r="P123" t="str">
        <f>_xlfn.XLOOKUP(Table16[[#This Row],[Name]],Table21112164202122232534[Name],Table21112164202122232534[Points],"DNP",0,1)</f>
        <v>DNP</v>
      </c>
      <c r="Q123" t="str">
        <f>_xlfn.XLOOKUP(Table16[[#This Row],[Name]],Table2111216420212223253435[Name],Table2111216420212223253435[Points],"DNP",0,1)</f>
        <v>DNP</v>
      </c>
      <c r="R123" t="str">
        <f>_xlfn.XLOOKUP(Table16[[#This Row],[Name]],Table211121642021222325343536[Name],Table211121642021222325343536[Points],"DNP",0,1)</f>
        <v>DNP</v>
      </c>
      <c r="S123" t="str">
        <f>_xlfn.XLOOKUP(Table16[[#This Row],[Name]],Table21112164202122232534353637[Name],Table21112164202122232534353637[Points],"DNP",0,1)</f>
        <v>DNP</v>
      </c>
      <c r="T123">
        <f>_xlfn.XLOOKUP(Table16[[#This Row],[Name]],Table2111216420212223253435363738[Name],Table2111216420212223253435363738[Points],"DNP",0,1)</f>
        <v>1</v>
      </c>
      <c r="U123" t="str">
        <f>_xlfn.XLOOKUP(Table16[[#This Row],[Name]],Table2111216420212223253435363739[Name],Table2111216420212223253435363739[Points],"DNP",0,1)</f>
        <v>DNP</v>
      </c>
      <c r="V123" t="str">
        <f>_xlfn.XLOOKUP(Table16[[#This Row],[Name]],Table211121642021222325343536373841[Name],Table211121642021222325343536373841[Points],"DNP",0,1)</f>
        <v>DNP</v>
      </c>
    </row>
    <row r="124" spans="2:22">
      <c r="B124" t="str">
        <f>IFERROR(Table5[[#This Row],[Full name]],"")</f>
        <v>Bryce Ector</v>
      </c>
      <c r="C124" s="68">
        <f>SUM(Table16[[#This Row],[September 30, 2025]:[Column18]])</f>
        <v>1</v>
      </c>
      <c r="D124" t="str">
        <f>_xlfn.XLOOKUP(Table16[[#This Row],[Name]],Table4[Name],Table4[Points],"DNP",0,1)</f>
        <v>DNP</v>
      </c>
      <c r="E124">
        <f>_xlfn.XLOOKUP(Table16[[#This Row],[Name]],Table9[Name],Table9[Points],"DNP",0,1)</f>
        <v>1</v>
      </c>
      <c r="F124" t="str">
        <f>_xlfn.XLOOKUP(Table16[[#This Row],[Name]],Table18[Name],Table18[Points],"DNP",0,1)</f>
        <v>DNP</v>
      </c>
      <c r="G124" t="str">
        <f>_xlfn.XLOOKUP(Table16[[#This Row],[Name]],Table2[Name],Table2[Points],"DNP",0,1)</f>
        <v>DNP</v>
      </c>
      <c r="H124" t="str">
        <f>_xlfn.XLOOKUP(Table16[[#This Row],[Name]],Table211[Name],Table211[Points],"DNP",0,1)</f>
        <v>DNP</v>
      </c>
      <c r="I124" t="str">
        <f>_xlfn.XLOOKUP(Table16[[#This Row],[Name]],Table21112[Name],Table21112[Points],"DNP",0,1)</f>
        <v>DNP</v>
      </c>
      <c r="J124" t="str">
        <f>_xlfn.XLOOKUP(Table16[[#This Row],[Name]],Table21112164[Name],Table21112164[Points],"DNP",0,1)</f>
        <v>DNP</v>
      </c>
      <c r="K124" t="str">
        <f>_xlfn.XLOOKUP(Table16[[#This Row],[Name]],Table2111216420[Name],Table2111216420[Points],"DNP",0,1)</f>
        <v>DNP</v>
      </c>
      <c r="L124" t="str">
        <f>_xlfn.XLOOKUP(Table16[[#This Row],[Name]],Table211121642021[Name],Table211121642021[Points],"DNP",0,1)</f>
        <v>DNP</v>
      </c>
      <c r="M124" t="str">
        <f>_xlfn.XLOOKUP(Table16[[#This Row],[Name]],Table21112164202122[Name],Table21112164202122[Points],"DNP",0,1)</f>
        <v>DNP</v>
      </c>
      <c r="N124" t="str">
        <f>_xlfn.XLOOKUP(Table16[[#This Row],[Name]],Table2111216420212223[Name],Table2111216420212223[Points],"DNP",0,1)</f>
        <v>DNP</v>
      </c>
      <c r="O124" t="str">
        <f>_xlfn.XLOOKUP(Table16[[#This Row],[Name]],Table211121642021222325[Name],Table211121642021222325[Points],"DNP",0,1)</f>
        <v>DNP</v>
      </c>
      <c r="P124" t="str">
        <f>_xlfn.XLOOKUP(Table16[[#This Row],[Name]],Table21112164202122232534[Name],Table21112164202122232534[Points],"DNP",0,1)</f>
        <v>DNP</v>
      </c>
      <c r="Q124" t="str">
        <f>_xlfn.XLOOKUP(Table16[[#This Row],[Name]],Table2111216420212223253435[Name],Table2111216420212223253435[Points],"DNP",0,1)</f>
        <v>DNP</v>
      </c>
      <c r="R124" t="str">
        <f>_xlfn.XLOOKUP(Table16[[#This Row],[Name]],Table211121642021222325343536[Name],Table211121642021222325343536[Points],"DNP",0,1)</f>
        <v>DNP</v>
      </c>
      <c r="S124" t="str">
        <f>_xlfn.XLOOKUP(Table16[[#This Row],[Name]],Table21112164202122232534353637[Name],Table21112164202122232534353637[Points],"DNP",0,1)</f>
        <v>DNP</v>
      </c>
      <c r="T124" t="str">
        <f>_xlfn.XLOOKUP(Table16[[#This Row],[Name]],Table2111216420212223253435363738[Name],Table2111216420212223253435363738[Points],"DNP",0,1)</f>
        <v>DNP</v>
      </c>
      <c r="U124" t="str">
        <f>_xlfn.XLOOKUP(Table16[[#This Row],[Name]],Table2111216420212223253435363739[Name],Table2111216420212223253435363739[Points],"DNP",0,1)</f>
        <v>DNP</v>
      </c>
      <c r="V124" t="str">
        <f>_xlfn.XLOOKUP(Table16[[#This Row],[Name]],Table211121642021222325343536373841[Name],Table211121642021222325343536373841[Points],"DNP",0,1)</f>
        <v>DNP</v>
      </c>
    </row>
    <row r="125" spans="2:22">
      <c r="B125" t="str">
        <f>IFERROR(Table5[[#This Row],[Full name]],"")</f>
        <v>Bupa Zhang</v>
      </c>
      <c r="C125" s="68">
        <f>SUM(Table16[[#This Row],[September 30, 2025]:[Column18]])</f>
        <v>1</v>
      </c>
      <c r="D125" t="str">
        <f>_xlfn.XLOOKUP(Table16[[#This Row],[Name]],Table4[Name],Table4[Points],"DNP",0,1)</f>
        <v>DNP</v>
      </c>
      <c r="E125" t="str">
        <f>_xlfn.XLOOKUP(Table16[[#This Row],[Name]],Table9[Name],Table9[Points],"DNP",0,1)</f>
        <v>DNP</v>
      </c>
      <c r="F125" t="str">
        <f>_xlfn.XLOOKUP(Table16[[#This Row],[Name]],Table18[Name],Table18[Points],"DNP",0,1)</f>
        <v>DNP</v>
      </c>
      <c r="G125">
        <f>_xlfn.XLOOKUP(Table16[[#This Row],[Name]],Table2[Name],Table2[Points],"DNP",0,1)</f>
        <v>1</v>
      </c>
      <c r="H125" t="str">
        <f>_xlfn.XLOOKUP(Table16[[#This Row],[Name]],Table211[Name],Table211[Points],"DNP",0,1)</f>
        <v>DNP</v>
      </c>
      <c r="I125" t="str">
        <f>_xlfn.XLOOKUP(Table16[[#This Row],[Name]],Table21112[Name],Table21112[Points],"DNP",0,1)</f>
        <v>DNP</v>
      </c>
      <c r="J125" t="str">
        <f>_xlfn.XLOOKUP(Table16[[#This Row],[Name]],Table21112164[Name],Table21112164[Points],"DNP",0,1)</f>
        <v>DNP</v>
      </c>
      <c r="K125" t="str">
        <f>_xlfn.XLOOKUP(Table16[[#This Row],[Name]],Table2111216420[Name],Table2111216420[Points],"DNP",0,1)</f>
        <v>DNP</v>
      </c>
      <c r="L125" t="str">
        <f>_xlfn.XLOOKUP(Table16[[#This Row],[Name]],Table211121642021[Name],Table211121642021[Points],"DNP",0,1)</f>
        <v>DNP</v>
      </c>
      <c r="M125" t="str">
        <f>_xlfn.XLOOKUP(Table16[[#This Row],[Name]],Table21112164202122[Name],Table21112164202122[Points],"DNP",0,1)</f>
        <v>DNP</v>
      </c>
      <c r="N125" t="str">
        <f>_xlfn.XLOOKUP(Table16[[#This Row],[Name]],Table2111216420212223[Name],Table2111216420212223[Points],"DNP",0,1)</f>
        <v>DNP</v>
      </c>
      <c r="O125" t="str">
        <f>_xlfn.XLOOKUP(Table16[[#This Row],[Name]],Table211121642021222325[Name],Table211121642021222325[Points],"DNP",0,1)</f>
        <v>DNP</v>
      </c>
      <c r="P125" t="str">
        <f>_xlfn.XLOOKUP(Table16[[#This Row],[Name]],Table21112164202122232534[Name],Table21112164202122232534[Points],"DNP",0,1)</f>
        <v>DNP</v>
      </c>
      <c r="Q125" t="str">
        <f>_xlfn.XLOOKUP(Table16[[#This Row],[Name]],Table2111216420212223253435[Name],Table2111216420212223253435[Points],"DNP",0,1)</f>
        <v>DNP</v>
      </c>
      <c r="R125" t="str">
        <f>_xlfn.XLOOKUP(Table16[[#This Row],[Name]],Table211121642021222325343536[Name],Table211121642021222325343536[Points],"DNP",0,1)</f>
        <v>DNP</v>
      </c>
      <c r="S125" t="str">
        <f>_xlfn.XLOOKUP(Table16[[#This Row],[Name]],Table21112164202122232534353637[Name],Table21112164202122232534353637[Points],"DNP",0,1)</f>
        <v>DNP</v>
      </c>
      <c r="T125" t="str">
        <f>_xlfn.XLOOKUP(Table16[[#This Row],[Name]],Table2111216420212223253435363738[Name],Table2111216420212223253435363738[Points],"DNP",0,1)</f>
        <v>DNP</v>
      </c>
      <c r="U125" t="str">
        <f>_xlfn.XLOOKUP(Table16[[#This Row],[Name]],Table2111216420212223253435363739[Name],Table2111216420212223253435363739[Points],"DNP",0,1)</f>
        <v>DNP</v>
      </c>
      <c r="V125" t="str">
        <f>_xlfn.XLOOKUP(Table16[[#This Row],[Name]],Table211121642021222325343536373841[Name],Table211121642021222325343536373841[Points],"DNP",0,1)</f>
        <v>DNP</v>
      </c>
    </row>
    <row r="126" spans="2:22">
      <c r="B126" t="str">
        <f>IFERROR(Table5[[#This Row],[Full name]],"")</f>
        <v>Cameron Tran</v>
      </c>
      <c r="C126" s="68">
        <f>SUM(Table16[[#This Row],[September 30, 2025]:[Column18]])</f>
        <v>0</v>
      </c>
      <c r="D126" t="str">
        <f>_xlfn.XLOOKUP(Table16[[#This Row],[Name]],Table4[Name],Table4[Points],"DNP",0,1)</f>
        <v>DNP</v>
      </c>
      <c r="E126" t="str">
        <f>_xlfn.XLOOKUP(Table16[[#This Row],[Name]],Table9[Name],Table9[Points],"DNP",0,1)</f>
        <v>DNP</v>
      </c>
      <c r="F126" t="str">
        <f>_xlfn.XLOOKUP(Table16[[#This Row],[Name]],Table18[Name],Table18[Points],"DNP",0,1)</f>
        <v>DNP</v>
      </c>
      <c r="G126" t="str">
        <f>_xlfn.XLOOKUP(Table16[[#This Row],[Name]],Table2[Name],Table2[Points],"DNP",0,1)</f>
        <v>DNP</v>
      </c>
      <c r="H126" t="str">
        <f>_xlfn.XLOOKUP(Table16[[#This Row],[Name]],Table211[Name],Table211[Points],"DNP",0,1)</f>
        <v>DNP</v>
      </c>
      <c r="I126" t="str">
        <f>_xlfn.XLOOKUP(Table16[[#This Row],[Name]],Table21112[Name],Table21112[Points],"DNP",0,1)</f>
        <v>DNP</v>
      </c>
      <c r="J126" t="str">
        <f>_xlfn.XLOOKUP(Table16[[#This Row],[Name]],Table21112164[Name],Table21112164[Points],"DNP",0,1)</f>
        <v>DNP</v>
      </c>
      <c r="K126" t="str">
        <f>_xlfn.XLOOKUP(Table16[[#This Row],[Name]],Table2111216420[Name],Table2111216420[Points],"DNP",0,1)</f>
        <v>DNP</v>
      </c>
      <c r="L126" t="str">
        <f>_xlfn.XLOOKUP(Table16[[#This Row],[Name]],Table211121642021[Name],Table211121642021[Points],"DNP",0,1)</f>
        <v>DNP</v>
      </c>
      <c r="M126" t="str">
        <f>_xlfn.XLOOKUP(Table16[[#This Row],[Name]],Table21112164202122[Name],Table21112164202122[Points],"DNP",0,1)</f>
        <v>DNP</v>
      </c>
      <c r="N126" t="str">
        <f>_xlfn.XLOOKUP(Table16[[#This Row],[Name]],Table2111216420212223[Name],Table2111216420212223[Points],"DNP",0,1)</f>
        <v>DNP</v>
      </c>
      <c r="O126" t="str">
        <f>_xlfn.XLOOKUP(Table16[[#This Row],[Name]],Table211121642021222325[Name],Table211121642021222325[Points],"DNP",0,1)</f>
        <v>DNP</v>
      </c>
      <c r="P126" t="str">
        <f>_xlfn.XLOOKUP(Table16[[#This Row],[Name]],Table21112164202122232534[Name],Table21112164202122232534[Points],"DNP",0,1)</f>
        <v>DNP</v>
      </c>
      <c r="Q126" t="str">
        <f>_xlfn.XLOOKUP(Table16[[#This Row],[Name]],Table2111216420212223253435[Name],Table2111216420212223253435[Points],"DNP",0,1)</f>
        <v>DNP</v>
      </c>
      <c r="R126" t="str">
        <f>_xlfn.XLOOKUP(Table16[[#This Row],[Name]],Table211121642021222325343536[Name],Table211121642021222325343536[Points],"DNP",0,1)</f>
        <v>DNP</v>
      </c>
      <c r="S126" t="str">
        <f>_xlfn.XLOOKUP(Table16[[#This Row],[Name]],Table21112164202122232534353637[Name],Table21112164202122232534353637[Points],"DNP",0,1)</f>
        <v>DNP</v>
      </c>
      <c r="T126" t="str">
        <f>_xlfn.XLOOKUP(Table16[[#This Row],[Name]],Table2111216420212223253435363738[Name],Table2111216420212223253435363738[Points],"DNP",0,1)</f>
        <v>DNP</v>
      </c>
      <c r="U126" t="str">
        <f>_xlfn.XLOOKUP(Table16[[#This Row],[Name]],Table2111216420212223253435363739[Name],Table2111216420212223253435363739[Points],"DNP",0,1)</f>
        <v>DNP</v>
      </c>
      <c r="V126" t="str">
        <f>_xlfn.XLOOKUP(Table16[[#This Row],[Name]],Table211121642021222325343536373841[Name],Table211121642021222325343536373841[Points],"DNP",0,1)</f>
        <v>DNP</v>
      </c>
    </row>
    <row r="127" spans="2:22">
      <c r="B127" t="str">
        <f>IFERROR(Table5[[#This Row],[Full name]],"")</f>
        <v>Cameron Minol</v>
      </c>
      <c r="C127" s="68">
        <f>SUM(Table16[[#This Row],[September 30, 2025]:[Column18]])</f>
        <v>3</v>
      </c>
      <c r="D127" t="str">
        <f>_xlfn.XLOOKUP(Table16[[#This Row],[Name]],Table4[Name],Table4[Points],"DNP",0,1)</f>
        <v>DNP</v>
      </c>
      <c r="E127" t="str">
        <f>_xlfn.XLOOKUP(Table16[[#This Row],[Name]],Table9[Name],Table9[Points],"DNP",0,1)</f>
        <v>DNP</v>
      </c>
      <c r="F127" t="str">
        <f>_xlfn.XLOOKUP(Table16[[#This Row],[Name]],Table18[Name],Table18[Points],"DNP",0,1)</f>
        <v>DNP</v>
      </c>
      <c r="G127" t="str">
        <f>_xlfn.XLOOKUP(Table16[[#This Row],[Name]],Table2[Name],Table2[Points],"DNP",0,1)</f>
        <v>DNP</v>
      </c>
      <c r="H127" t="str">
        <f>_xlfn.XLOOKUP(Table16[[#This Row],[Name]],Table211[Name],Table211[Points],"DNP",0,1)</f>
        <v>DNP</v>
      </c>
      <c r="I127" t="str">
        <f>_xlfn.XLOOKUP(Table16[[#This Row],[Name]],Table21112[Name],Table21112[Points],"DNP",0,1)</f>
        <v>DNP</v>
      </c>
      <c r="J127" t="str">
        <f>_xlfn.XLOOKUP(Table16[[#This Row],[Name]],Table21112164[Name],Table21112164[Points],"DNP",0,1)</f>
        <v>DNP</v>
      </c>
      <c r="K127" t="str">
        <f>_xlfn.XLOOKUP(Table16[[#This Row],[Name]],Table2111216420[Name],Table2111216420[Points],"DNP",0,1)</f>
        <v>DNP</v>
      </c>
      <c r="L127" t="str">
        <f>_xlfn.XLOOKUP(Table16[[#This Row],[Name]],Table211121642021[Name],Table211121642021[Points],"DNP",0,1)</f>
        <v>DNP</v>
      </c>
      <c r="M127" t="str">
        <f>_xlfn.XLOOKUP(Table16[[#This Row],[Name]],Table21112164202122[Name],Table21112164202122[Points],"DNP",0,1)</f>
        <v>DNP</v>
      </c>
      <c r="N127" t="str">
        <f>_xlfn.XLOOKUP(Table16[[#This Row],[Name]],Table2111216420212223[Name],Table2111216420212223[Points],"DNP",0,1)</f>
        <v>DNP</v>
      </c>
      <c r="O127" t="str">
        <f>_xlfn.XLOOKUP(Table16[[#This Row],[Name]],Table211121642021222325[Name],Table211121642021222325[Points],"DNP",0,1)</f>
        <v>DNP</v>
      </c>
      <c r="P127" t="str">
        <f>_xlfn.XLOOKUP(Table16[[#This Row],[Name]],Table21112164202122232534[Name],Table21112164202122232534[Points],"DNP",0,1)</f>
        <v>DNP</v>
      </c>
      <c r="Q127" t="str">
        <f>_xlfn.XLOOKUP(Table16[[#This Row],[Name]],Table2111216420212223253435[Name],Table2111216420212223253435[Points],"DNP",0,1)</f>
        <v>DNP</v>
      </c>
      <c r="R127" t="str">
        <f>_xlfn.XLOOKUP(Table16[[#This Row],[Name]],Table211121642021222325343536[Name],Table211121642021222325343536[Points],"DNP",0,1)</f>
        <v>DNP</v>
      </c>
      <c r="S127">
        <f>_xlfn.XLOOKUP(Table16[[#This Row],[Name]],Table21112164202122232534353637[Name],Table21112164202122232534353637[Points],"DNP",0,1)</f>
        <v>3</v>
      </c>
      <c r="T127" t="str">
        <f>_xlfn.XLOOKUP(Table16[[#This Row],[Name]],Table2111216420212223253435363738[Name],Table2111216420212223253435363738[Points],"DNP",0,1)</f>
        <v>DNP</v>
      </c>
      <c r="U127" t="str">
        <f>_xlfn.XLOOKUP(Table16[[#This Row],[Name]],Table2111216420212223253435363739[Name],Table2111216420212223253435363739[Points],"DNP",0,1)</f>
        <v>DNP</v>
      </c>
      <c r="V127" t="str">
        <f>_xlfn.XLOOKUP(Table16[[#This Row],[Name]],Table211121642021222325343536373841[Name],Table211121642021222325343536373841[Points],"DNP",0,1)</f>
        <v>DNP</v>
      </c>
    </row>
    <row r="128" spans="2:22">
      <c r="B128" t="str">
        <f>IFERROR(Table5[[#This Row],[Full name]],"")</f>
        <v>Carter Hollingsworth</v>
      </c>
      <c r="C128" s="68">
        <f>SUM(Table16[[#This Row],[September 30, 2025]:[Column18]])</f>
        <v>11</v>
      </c>
      <c r="D128" t="str">
        <f>_xlfn.XLOOKUP(Table16[[#This Row],[Name]],Table4[Name],Table4[Points],"DNP",0,1)</f>
        <v>DNP</v>
      </c>
      <c r="E128" t="str">
        <f>_xlfn.XLOOKUP(Table16[[#This Row],[Name]],Table9[Name],Table9[Points],"DNP",0,1)</f>
        <v>DNP</v>
      </c>
      <c r="F128" t="str">
        <f>_xlfn.XLOOKUP(Table16[[#This Row],[Name]],Table18[Name],Table18[Points],"DNP",0,1)</f>
        <v>DNP</v>
      </c>
      <c r="G128" t="str">
        <f>_xlfn.XLOOKUP(Table16[[#This Row],[Name]],Table2[Name],Table2[Points],"DNP",0,1)</f>
        <v>DNP</v>
      </c>
      <c r="H128" t="str">
        <f>_xlfn.XLOOKUP(Table16[[#This Row],[Name]],Table211[Name],Table211[Points],"DNP",0,1)</f>
        <v>DNP</v>
      </c>
      <c r="I128" t="str">
        <f>_xlfn.XLOOKUP(Table16[[#This Row],[Name]],Table21112[Name],Table21112[Points],"DNP",0,1)</f>
        <v>DNP</v>
      </c>
      <c r="J128" t="str">
        <f>_xlfn.XLOOKUP(Table16[[#This Row],[Name]],Table21112164[Name],Table21112164[Points],"DNP",0,1)</f>
        <v>DNP</v>
      </c>
      <c r="K128" t="str">
        <f>_xlfn.XLOOKUP(Table16[[#This Row],[Name]],Table2111216420[Name],Table2111216420[Points],"DNP",0,1)</f>
        <v>DNP</v>
      </c>
      <c r="L128" t="str">
        <f>_xlfn.XLOOKUP(Table16[[#This Row],[Name]],Table211121642021[Name],Table211121642021[Points],"DNP",0,1)</f>
        <v>DNP</v>
      </c>
      <c r="M128" t="str">
        <f>_xlfn.XLOOKUP(Table16[[#This Row],[Name]],Table21112164202122[Name],Table21112164202122[Points],"DNP",0,1)</f>
        <v>DNP</v>
      </c>
      <c r="N128" t="str">
        <f>_xlfn.XLOOKUP(Table16[[#This Row],[Name]],Table2111216420212223[Name],Table2111216420212223[Points],"DNP",0,1)</f>
        <v>DNP</v>
      </c>
      <c r="O128" t="str">
        <f>_xlfn.XLOOKUP(Table16[[#This Row],[Name]],Table211121642021222325[Name],Table211121642021222325[Points],"DNP",0,1)</f>
        <v>DNP</v>
      </c>
      <c r="P128" t="str">
        <f>_xlfn.XLOOKUP(Table16[[#This Row],[Name]],Table21112164202122232534[Name],Table21112164202122232534[Points],"DNP",0,1)</f>
        <v>DNP</v>
      </c>
      <c r="Q128">
        <f>_xlfn.XLOOKUP(Table16[[#This Row],[Name]],Table2111216420212223253435[Name],Table2111216420212223253435[Points],"DNP",0,1)</f>
        <v>10</v>
      </c>
      <c r="R128">
        <f>_xlfn.XLOOKUP(Table16[[#This Row],[Name]],Table211121642021222325343536[Name],Table211121642021222325343536[Points],"DNP",0,1)</f>
        <v>1</v>
      </c>
      <c r="S128" t="str">
        <f>_xlfn.XLOOKUP(Table16[[#This Row],[Name]],Table21112164202122232534353637[Name],Table21112164202122232534353637[Points],"DNP",0,1)</f>
        <v>DNP</v>
      </c>
      <c r="T128" t="str">
        <f>_xlfn.XLOOKUP(Table16[[#This Row],[Name]],Table2111216420212223253435363738[Name],Table2111216420212223253435363738[Points],"DNP",0,1)</f>
        <v>DNP</v>
      </c>
      <c r="U128" t="str">
        <f>_xlfn.XLOOKUP(Table16[[#This Row],[Name]],Table2111216420212223253435363739[Name],Table2111216420212223253435363739[Points],"DNP",0,1)</f>
        <v>DNP</v>
      </c>
      <c r="V128" t="str">
        <f>_xlfn.XLOOKUP(Table16[[#This Row],[Name]],Table211121642021222325343536373841[Name],Table211121642021222325343536373841[Points],"DNP",0,1)</f>
        <v>DNP</v>
      </c>
    </row>
    <row r="129" spans="2:22">
      <c r="B129" t="str">
        <f>IFERROR(Table5[[#This Row],[Full name]],"")</f>
        <v>Charlie Kernaghan</v>
      </c>
      <c r="C129" s="68">
        <f>SUM(Table16[[#This Row],[September 30, 2025]:[Column18]])</f>
        <v>6</v>
      </c>
      <c r="D129" t="str">
        <f>_xlfn.XLOOKUP(Table16[[#This Row],[Name]],Table4[Name],Table4[Points],"DNP",0,1)</f>
        <v>DNP</v>
      </c>
      <c r="E129">
        <f>_xlfn.XLOOKUP(Table16[[#This Row],[Name]],Table9[Name],Table9[Points],"DNP",0,1)</f>
        <v>1</v>
      </c>
      <c r="F129" t="str">
        <f>_xlfn.XLOOKUP(Table16[[#This Row],[Name]],Table18[Name],Table18[Points],"DNP",0,1)</f>
        <v>DNP</v>
      </c>
      <c r="G129">
        <f>_xlfn.XLOOKUP(Table16[[#This Row],[Name]],Table2[Name],Table2[Points],"DNP",0,1)</f>
        <v>2</v>
      </c>
      <c r="H129" t="str">
        <f>_xlfn.XLOOKUP(Table16[[#This Row],[Name]],Table211[Name],Table211[Points],"DNP",0,1)</f>
        <v>DNP</v>
      </c>
      <c r="I129" t="str">
        <f>_xlfn.XLOOKUP(Table16[[#This Row],[Name]],Table21112[Name],Table21112[Points],"DNP",0,1)</f>
        <v>DNP</v>
      </c>
      <c r="J129">
        <f>_xlfn.XLOOKUP(Table16[[#This Row],[Name]],Table21112164[Name],Table21112164[Points],"DNP",0,1)</f>
        <v>2</v>
      </c>
      <c r="K129" t="str">
        <f>_xlfn.XLOOKUP(Table16[[#This Row],[Name]],Table2111216420[Name],Table2111216420[Points],"DNP",0,1)</f>
        <v>DNP</v>
      </c>
      <c r="L129" t="str">
        <f>_xlfn.XLOOKUP(Table16[[#This Row],[Name]],Table211121642021[Name],Table211121642021[Points],"DNP",0,1)</f>
        <v>DNP</v>
      </c>
      <c r="M129" t="str">
        <f>_xlfn.XLOOKUP(Table16[[#This Row],[Name]],Table21112164202122[Name],Table21112164202122[Points],"DNP",0,1)</f>
        <v>DNP</v>
      </c>
      <c r="N129">
        <f>_xlfn.XLOOKUP(Table16[[#This Row],[Name]],Table2111216420212223[Name],Table2111216420212223[Points],"DNP",0,1)</f>
        <v>1</v>
      </c>
      <c r="O129" t="str">
        <f>_xlfn.XLOOKUP(Table16[[#This Row],[Name]],Table211121642021222325[Name],Table211121642021222325[Points],"DNP",0,1)</f>
        <v>DNP</v>
      </c>
      <c r="P129" t="str">
        <f>_xlfn.XLOOKUP(Table16[[#This Row],[Name]],Table21112164202122232534[Name],Table21112164202122232534[Points],"DNP",0,1)</f>
        <v>DNP</v>
      </c>
      <c r="Q129" t="str">
        <f>_xlfn.XLOOKUP(Table16[[#This Row],[Name]],Table2111216420212223253435[Name],Table2111216420212223253435[Points],"DNP",0,1)</f>
        <v>DNP</v>
      </c>
      <c r="R129" t="str">
        <f>_xlfn.XLOOKUP(Table16[[#This Row],[Name]],Table211121642021222325343536[Name],Table211121642021222325343536[Points],"DNP",0,1)</f>
        <v>DNP</v>
      </c>
      <c r="S129" t="str">
        <f>_xlfn.XLOOKUP(Table16[[#This Row],[Name]],Table21112164202122232534353637[Name],Table21112164202122232534353637[Points],"DNP",0,1)</f>
        <v>DNP</v>
      </c>
      <c r="T129" t="str">
        <f>_xlfn.XLOOKUP(Table16[[#This Row],[Name]],Table2111216420212223253435363738[Name],Table2111216420212223253435363738[Points],"DNP",0,1)</f>
        <v>DNP</v>
      </c>
      <c r="U129" t="str">
        <f>_xlfn.XLOOKUP(Table16[[#This Row],[Name]],Table2111216420212223253435363739[Name],Table2111216420212223253435363739[Points],"DNP",0,1)</f>
        <v>DNP</v>
      </c>
      <c r="V129" t="str">
        <f>_xlfn.XLOOKUP(Table16[[#This Row],[Name]],Table211121642021222325343536373841[Name],Table211121642021222325343536373841[Points],"DNP",0,1)</f>
        <v>DNP</v>
      </c>
    </row>
    <row r="130" spans="2:22">
      <c r="B130" t="str">
        <f>IFERROR(Table5[[#This Row],[Full name]],"")</f>
        <v>Charlie Fry</v>
      </c>
      <c r="C130" s="68">
        <f>SUM(Table16[[#This Row],[September 30, 2025]:[Column18]])</f>
        <v>1</v>
      </c>
      <c r="D130" t="str">
        <f>_xlfn.XLOOKUP(Table16[[#This Row],[Name]],Table4[Name],Table4[Points],"DNP",0,1)</f>
        <v>DNP</v>
      </c>
      <c r="E130">
        <f>_xlfn.XLOOKUP(Table16[[#This Row],[Name]],Table9[Name],Table9[Points],"DNP",0,1)</f>
        <v>1</v>
      </c>
      <c r="F130" t="str">
        <f>_xlfn.XLOOKUP(Table16[[#This Row],[Name]],Table18[Name],Table18[Points],"DNP",0,1)</f>
        <v>DNP</v>
      </c>
      <c r="G130" t="str">
        <f>_xlfn.XLOOKUP(Table16[[#This Row],[Name]],Table2[Name],Table2[Points],"DNP",0,1)</f>
        <v>DNP</v>
      </c>
      <c r="H130" t="str">
        <f>_xlfn.XLOOKUP(Table16[[#This Row],[Name]],Table211[Name],Table211[Points],"DNP",0,1)</f>
        <v>DNP</v>
      </c>
      <c r="I130" t="str">
        <f>_xlfn.XLOOKUP(Table16[[#This Row],[Name]],Table21112[Name],Table21112[Points],"DNP",0,1)</f>
        <v>DNP</v>
      </c>
      <c r="J130" t="str">
        <f>_xlfn.XLOOKUP(Table16[[#This Row],[Name]],Table21112164[Name],Table21112164[Points],"DNP",0,1)</f>
        <v>DNP</v>
      </c>
      <c r="K130" t="str">
        <f>_xlfn.XLOOKUP(Table16[[#This Row],[Name]],Table2111216420[Name],Table2111216420[Points],"DNP",0,1)</f>
        <v>DNP</v>
      </c>
      <c r="L130" t="str">
        <f>_xlfn.XLOOKUP(Table16[[#This Row],[Name]],Table211121642021[Name],Table211121642021[Points],"DNP",0,1)</f>
        <v>DNP</v>
      </c>
      <c r="M130" t="str">
        <f>_xlfn.XLOOKUP(Table16[[#This Row],[Name]],Table21112164202122[Name],Table21112164202122[Points],"DNP",0,1)</f>
        <v>DNP</v>
      </c>
      <c r="N130" t="str">
        <f>_xlfn.XLOOKUP(Table16[[#This Row],[Name]],Table2111216420212223[Name],Table2111216420212223[Points],"DNP",0,1)</f>
        <v>DNP</v>
      </c>
      <c r="O130" t="str">
        <f>_xlfn.XLOOKUP(Table16[[#This Row],[Name]],Table211121642021222325[Name],Table211121642021222325[Points],"DNP",0,1)</f>
        <v>DNP</v>
      </c>
      <c r="P130" t="str">
        <f>_xlfn.XLOOKUP(Table16[[#This Row],[Name]],Table21112164202122232534[Name],Table21112164202122232534[Points],"DNP",0,1)</f>
        <v>DNP</v>
      </c>
      <c r="Q130" t="str">
        <f>_xlfn.XLOOKUP(Table16[[#This Row],[Name]],Table2111216420212223253435[Name],Table2111216420212223253435[Points],"DNP",0,1)</f>
        <v>DNP</v>
      </c>
      <c r="R130" t="str">
        <f>_xlfn.XLOOKUP(Table16[[#This Row],[Name]],Table211121642021222325343536[Name],Table211121642021222325343536[Points],"DNP",0,1)</f>
        <v>DNP</v>
      </c>
      <c r="S130" t="str">
        <f>_xlfn.XLOOKUP(Table16[[#This Row],[Name]],Table21112164202122232534353637[Name],Table21112164202122232534353637[Points],"DNP",0,1)</f>
        <v>DNP</v>
      </c>
      <c r="T130" t="str">
        <f>_xlfn.XLOOKUP(Table16[[#This Row],[Name]],Table2111216420212223253435363738[Name],Table2111216420212223253435363738[Points],"DNP",0,1)</f>
        <v>DNP</v>
      </c>
      <c r="U130" t="str">
        <f>_xlfn.XLOOKUP(Table16[[#This Row],[Name]],Table2111216420212223253435363739[Name],Table2111216420212223253435363739[Points],"DNP",0,1)</f>
        <v>DNP</v>
      </c>
      <c r="V130" t="str">
        <f>_xlfn.XLOOKUP(Table16[[#This Row],[Name]],Table211121642021222325343536373841[Name],Table211121642021222325343536373841[Points],"DNP",0,1)</f>
        <v>DNP</v>
      </c>
    </row>
    <row r="131" spans="2:22">
      <c r="B131" t="str">
        <f>IFERROR(Table5[[#This Row],[Full name]],"")</f>
        <v>Chris Kim</v>
      </c>
      <c r="C131" s="68">
        <f>SUM(Table16[[#This Row],[September 30, 2025]:[Column18]])</f>
        <v>82</v>
      </c>
      <c r="D131" t="str">
        <f>_xlfn.XLOOKUP(Table16[[#This Row],[Name]],Table4[Name],Table4[Points],"DNP",0,1)</f>
        <v>DNP</v>
      </c>
      <c r="E131" t="str">
        <f>_xlfn.XLOOKUP(Table16[[#This Row],[Name]],Table9[Name],Table9[Points],"DNP",0,1)</f>
        <v>DNP</v>
      </c>
      <c r="F131">
        <f>_xlfn.XLOOKUP(Table16[[#This Row],[Name]],Table18[Name],Table18[Points],"DNP",0,1)</f>
        <v>1</v>
      </c>
      <c r="G131" t="str">
        <f>_xlfn.XLOOKUP(Table16[[#This Row],[Name]],Table2[Name],Table2[Points],"DNP",0,1)</f>
        <v>DNP</v>
      </c>
      <c r="H131">
        <f>_xlfn.XLOOKUP(Table16[[#This Row],[Name]],Table211[Name],Table211[Points],"DNP",0,1)</f>
        <v>2</v>
      </c>
      <c r="I131">
        <f>_xlfn.XLOOKUP(Table16[[#This Row],[Name]],Table21112[Name],Table21112[Points],"DNP",0,1)</f>
        <v>10</v>
      </c>
      <c r="J131">
        <f>_xlfn.XLOOKUP(Table16[[#This Row],[Name]],Table21112164[Name],Table21112164[Points],"DNP",0,1)</f>
        <v>1</v>
      </c>
      <c r="K131" t="str">
        <f>_xlfn.XLOOKUP(Table16[[#This Row],[Name]],Table2111216420[Name],Table2111216420[Points],"DNP",0,1)</f>
        <v>DNP</v>
      </c>
      <c r="L131">
        <f>_xlfn.XLOOKUP(Table16[[#This Row],[Name]],Table211121642021[Name],Table211121642021[Points],"DNP",0,1)</f>
        <v>2</v>
      </c>
      <c r="M131" t="str">
        <f>_xlfn.XLOOKUP(Table16[[#This Row],[Name]],Table21112164202122[Name],Table21112164202122[Points],"DNP",0,1)</f>
        <v>DNP</v>
      </c>
      <c r="N131" t="str">
        <f>_xlfn.XLOOKUP(Table16[[#This Row],[Name]],Table2111216420212223[Name],Table2111216420212223[Points],"DNP",0,1)</f>
        <v>DNP</v>
      </c>
      <c r="O131">
        <f>_xlfn.XLOOKUP(Table16[[#This Row],[Name]],Table211121642021222325[Name],Table211121642021222325[Points],"DNP",0,1)</f>
        <v>15</v>
      </c>
      <c r="P131">
        <f>_xlfn.XLOOKUP(Table16[[#This Row],[Name]],Table21112164202122232534[Name],Table21112164202122232534[Points],"DNP",0,1)</f>
        <v>50</v>
      </c>
      <c r="Q131" t="str">
        <f>_xlfn.XLOOKUP(Table16[[#This Row],[Name]],Table2111216420212223253435[Name],Table2111216420212223253435[Points],"DNP",0,1)</f>
        <v>DNP</v>
      </c>
      <c r="R131" t="str">
        <f>_xlfn.XLOOKUP(Table16[[#This Row],[Name]],Table211121642021222325343536[Name],Table211121642021222325343536[Points],"DNP",0,1)</f>
        <v>DNP</v>
      </c>
      <c r="S131" t="str">
        <f>_xlfn.XLOOKUP(Table16[[#This Row],[Name]],Table21112164202122232534353637[Name],Table21112164202122232534353637[Points],"DNP",0,1)</f>
        <v>DNP</v>
      </c>
      <c r="T131">
        <f>_xlfn.XLOOKUP(Table16[[#This Row],[Name]],Table2111216420212223253435363738[Name],Table2111216420212223253435363738[Points],"DNP",0,1)</f>
        <v>1</v>
      </c>
      <c r="U131" t="str">
        <f>_xlfn.XLOOKUP(Table16[[#This Row],[Name]],Table2111216420212223253435363739[Name],Table2111216420212223253435363739[Points],"DNP",0,1)</f>
        <v>DNP</v>
      </c>
      <c r="V131" t="str">
        <f>_xlfn.XLOOKUP(Table16[[#This Row],[Name]],Table211121642021222325343536373841[Name],Table211121642021222325343536373841[Points],"DNP",0,1)</f>
        <v>DNP</v>
      </c>
    </row>
    <row r="132" spans="2:22">
      <c r="B132" t="str">
        <f>IFERROR(Table5[[#This Row],[Full name]],"")</f>
        <v>Christopher Grieve</v>
      </c>
      <c r="C132" s="68">
        <f>SUM(Table16[[#This Row],[September 30, 2025]:[Column18]])</f>
        <v>0</v>
      </c>
      <c r="D132" t="str">
        <f>_xlfn.XLOOKUP(Table16[[#This Row],[Name]],Table4[Name],Table4[Points],"DNP",0,1)</f>
        <v>DNP</v>
      </c>
      <c r="E132" t="str">
        <f>_xlfn.XLOOKUP(Table16[[#This Row],[Name]],Table9[Name],Table9[Points],"DNP",0,1)</f>
        <v>DNP</v>
      </c>
      <c r="F132" t="str">
        <f>_xlfn.XLOOKUP(Table16[[#This Row],[Name]],Table18[Name],Table18[Points],"DNP",0,1)</f>
        <v>DNP</v>
      </c>
      <c r="G132" t="str">
        <f>_xlfn.XLOOKUP(Table16[[#This Row],[Name]],Table2[Name],Table2[Points],"DNP",0,1)</f>
        <v>DNP</v>
      </c>
      <c r="H132" t="str">
        <f>_xlfn.XLOOKUP(Table16[[#This Row],[Name]],Table211[Name],Table211[Points],"DNP",0,1)</f>
        <v>DNP</v>
      </c>
      <c r="I132" t="str">
        <f>_xlfn.XLOOKUP(Table16[[#This Row],[Name]],Table21112[Name],Table21112[Points],"DNP",0,1)</f>
        <v>DNP</v>
      </c>
      <c r="J132" t="str">
        <f>_xlfn.XLOOKUP(Table16[[#This Row],[Name]],Table21112164[Name],Table21112164[Points],"DNP",0,1)</f>
        <v>DNP</v>
      </c>
      <c r="K132" t="str">
        <f>_xlfn.XLOOKUP(Table16[[#This Row],[Name]],Table2111216420[Name],Table2111216420[Points],"DNP",0,1)</f>
        <v>DNP</v>
      </c>
      <c r="L132" t="str">
        <f>_xlfn.XLOOKUP(Table16[[#This Row],[Name]],Table211121642021[Name],Table211121642021[Points],"DNP",0,1)</f>
        <v>DNP</v>
      </c>
      <c r="M132" t="str">
        <f>_xlfn.XLOOKUP(Table16[[#This Row],[Name]],Table21112164202122[Name],Table21112164202122[Points],"DNP",0,1)</f>
        <v>DNP</v>
      </c>
      <c r="N132" t="str">
        <f>_xlfn.XLOOKUP(Table16[[#This Row],[Name]],Table2111216420212223[Name],Table2111216420212223[Points],"DNP",0,1)</f>
        <v>DNP</v>
      </c>
      <c r="O132" t="str">
        <f>_xlfn.XLOOKUP(Table16[[#This Row],[Name]],Table211121642021222325[Name],Table211121642021222325[Points],"DNP",0,1)</f>
        <v>DNP</v>
      </c>
      <c r="P132" t="str">
        <f>_xlfn.XLOOKUP(Table16[[#This Row],[Name]],Table21112164202122232534[Name],Table21112164202122232534[Points],"DNP",0,1)</f>
        <v>DNP</v>
      </c>
      <c r="Q132" t="str">
        <f>_xlfn.XLOOKUP(Table16[[#This Row],[Name]],Table2111216420212223253435[Name],Table2111216420212223253435[Points],"DNP",0,1)</f>
        <v>DNP</v>
      </c>
      <c r="R132" t="str">
        <f>_xlfn.XLOOKUP(Table16[[#This Row],[Name]],Table211121642021222325343536[Name],Table211121642021222325343536[Points],"DNP",0,1)</f>
        <v>DNP</v>
      </c>
      <c r="S132" t="str">
        <f>_xlfn.XLOOKUP(Table16[[#This Row],[Name]],Table21112164202122232534353637[Name],Table21112164202122232534353637[Points],"DNP",0,1)</f>
        <v>DNP</v>
      </c>
      <c r="T132" t="str">
        <f>_xlfn.XLOOKUP(Table16[[#This Row],[Name]],Table2111216420212223253435363738[Name],Table2111216420212223253435363738[Points],"DNP",0,1)</f>
        <v>DNP</v>
      </c>
      <c r="U132" t="str">
        <f>_xlfn.XLOOKUP(Table16[[#This Row],[Name]],Table2111216420212223253435363739[Name],Table2111216420212223253435363739[Points],"DNP",0,1)</f>
        <v>DNP</v>
      </c>
      <c r="V132" t="str">
        <f>_xlfn.XLOOKUP(Table16[[#This Row],[Name]],Table211121642021222325343536373841[Name],Table211121642021222325343536373841[Points],"DNP",0,1)</f>
        <v>DNP</v>
      </c>
    </row>
    <row r="133" spans="2:22">
      <c r="B133" t="str">
        <f>IFERROR(Table5[[#This Row],[Full name]],"")</f>
        <v>Clara Chen</v>
      </c>
      <c r="C133" s="68">
        <f>SUM(Table16[[#This Row],[September 30, 2025]:[Column18]])</f>
        <v>4</v>
      </c>
      <c r="D133" t="str">
        <f>_xlfn.XLOOKUP(Table16[[#This Row],[Name]],Table4[Name],Table4[Points],"DNP",0,1)</f>
        <v>DNP</v>
      </c>
      <c r="E133" t="str">
        <f>_xlfn.XLOOKUP(Table16[[#This Row],[Name]],Table9[Name],Table9[Points],"DNP",0,1)</f>
        <v>DNP</v>
      </c>
      <c r="F133" t="str">
        <f>_xlfn.XLOOKUP(Table16[[#This Row],[Name]],Table18[Name],Table18[Points],"DNP",0,1)</f>
        <v>DNP</v>
      </c>
      <c r="G133" t="str">
        <f>_xlfn.XLOOKUP(Table16[[#This Row],[Name]],Table2[Name],Table2[Points],"DNP",0,1)</f>
        <v>DNP</v>
      </c>
      <c r="H133" t="str">
        <f>_xlfn.XLOOKUP(Table16[[#This Row],[Name]],Table211[Name],Table211[Points],"DNP",0,1)</f>
        <v>DNP</v>
      </c>
      <c r="I133" t="str">
        <f>_xlfn.XLOOKUP(Table16[[#This Row],[Name]],Table21112[Name],Table21112[Points],"DNP",0,1)</f>
        <v>DNP</v>
      </c>
      <c r="J133">
        <f>_xlfn.XLOOKUP(Table16[[#This Row],[Name]],Table21112164[Name],Table21112164[Points],"DNP",0,1)</f>
        <v>1</v>
      </c>
      <c r="K133" t="str">
        <f>_xlfn.XLOOKUP(Table16[[#This Row],[Name]],Table2111216420[Name],Table2111216420[Points],"DNP",0,1)</f>
        <v>DNP</v>
      </c>
      <c r="L133" t="str">
        <f>_xlfn.XLOOKUP(Table16[[#This Row],[Name]],Table211121642021[Name],Table211121642021[Points],"DNP",0,1)</f>
        <v>DNP</v>
      </c>
      <c r="M133" t="str">
        <f>_xlfn.XLOOKUP(Table16[[#This Row],[Name]],Table21112164202122[Name],Table21112164202122[Points],"DNP",0,1)</f>
        <v>DNP</v>
      </c>
      <c r="N133" t="str">
        <f>_xlfn.XLOOKUP(Table16[[#This Row],[Name]],Table2111216420212223[Name],Table2111216420212223[Points],"DNP",0,1)</f>
        <v>DNP</v>
      </c>
      <c r="O133" t="str">
        <f>_xlfn.XLOOKUP(Table16[[#This Row],[Name]],Table211121642021222325[Name],Table211121642021222325[Points],"DNP",0,1)</f>
        <v>DNP</v>
      </c>
      <c r="P133" t="str">
        <f>_xlfn.XLOOKUP(Table16[[#This Row],[Name]],Table21112164202122232534[Name],Table21112164202122232534[Points],"DNP",0,1)</f>
        <v>DNP</v>
      </c>
      <c r="Q133" t="str">
        <f>_xlfn.XLOOKUP(Table16[[#This Row],[Name]],Table2111216420212223253435[Name],Table2111216420212223253435[Points],"DNP",0,1)</f>
        <v>DNP</v>
      </c>
      <c r="R133">
        <f>_xlfn.XLOOKUP(Table16[[#This Row],[Name]],Table211121642021222325343536[Name],Table211121642021222325343536[Points],"DNP",0,1)</f>
        <v>1</v>
      </c>
      <c r="S133" t="str">
        <f>_xlfn.XLOOKUP(Table16[[#This Row],[Name]],Table21112164202122232534353637[Name],Table21112164202122232534353637[Points],"DNP",0,1)</f>
        <v>DNP</v>
      </c>
      <c r="T133" t="str">
        <f>_xlfn.XLOOKUP(Table16[[#This Row],[Name]],Table2111216420212223253435363738[Name],Table2111216420212223253435363738[Points],"DNP",0,1)</f>
        <v>DNP</v>
      </c>
      <c r="U133">
        <f>_xlfn.XLOOKUP(Table16[[#This Row],[Name]],Table2111216420212223253435363739[Name],Table2111216420212223253435363739[Points],"DNP",0,1)</f>
        <v>2</v>
      </c>
      <c r="V133" t="str">
        <f>_xlfn.XLOOKUP(Table16[[#This Row],[Name]],Table211121642021222325343536373841[Name],Table211121642021222325343536373841[Points],"DNP",0,1)</f>
        <v>DNP</v>
      </c>
    </row>
    <row r="134" spans="2:22">
      <c r="B134" t="str">
        <f>IFERROR(Table5[[#This Row],[Full name]],"")</f>
        <v>Connor Hung</v>
      </c>
      <c r="C134" s="68">
        <f>SUM(Table16[[#This Row],[September 30, 2025]:[Column18]])</f>
        <v>0</v>
      </c>
      <c r="D134" t="str">
        <f>_xlfn.XLOOKUP(Table16[[#This Row],[Name]],Table4[Name],Table4[Points],"DNP",0,1)</f>
        <v>DNP</v>
      </c>
      <c r="E134" t="str">
        <f>_xlfn.XLOOKUP(Table16[[#This Row],[Name]],Table9[Name],Table9[Points],"DNP",0,1)</f>
        <v>DNP</v>
      </c>
      <c r="F134" t="str">
        <f>_xlfn.XLOOKUP(Table16[[#This Row],[Name]],Table18[Name],Table18[Points],"DNP",0,1)</f>
        <v>DNP</v>
      </c>
      <c r="G134" t="str">
        <f>_xlfn.XLOOKUP(Table16[[#This Row],[Name]],Table2[Name],Table2[Points],"DNP",0,1)</f>
        <v>DNP</v>
      </c>
      <c r="H134" t="str">
        <f>_xlfn.XLOOKUP(Table16[[#This Row],[Name]],Table211[Name],Table211[Points],"DNP",0,1)</f>
        <v>DNP</v>
      </c>
      <c r="I134" t="str">
        <f>_xlfn.XLOOKUP(Table16[[#This Row],[Name]],Table21112[Name],Table21112[Points],"DNP",0,1)</f>
        <v>DNP</v>
      </c>
      <c r="J134" t="str">
        <f>_xlfn.XLOOKUP(Table16[[#This Row],[Name]],Table21112164[Name],Table21112164[Points],"DNP",0,1)</f>
        <v>DNP</v>
      </c>
      <c r="K134" t="str">
        <f>_xlfn.XLOOKUP(Table16[[#This Row],[Name]],Table2111216420[Name],Table2111216420[Points],"DNP",0,1)</f>
        <v>DNP</v>
      </c>
      <c r="L134" t="str">
        <f>_xlfn.XLOOKUP(Table16[[#This Row],[Name]],Table211121642021[Name],Table211121642021[Points],"DNP",0,1)</f>
        <v>DNP</v>
      </c>
      <c r="M134" t="str">
        <f>_xlfn.XLOOKUP(Table16[[#This Row],[Name]],Table21112164202122[Name],Table21112164202122[Points],"DNP",0,1)</f>
        <v>DNP</v>
      </c>
      <c r="N134" t="str">
        <f>_xlfn.XLOOKUP(Table16[[#This Row],[Name]],Table2111216420212223[Name],Table2111216420212223[Points],"DNP",0,1)</f>
        <v>DNP</v>
      </c>
      <c r="O134" t="str">
        <f>_xlfn.XLOOKUP(Table16[[#This Row],[Name]],Table211121642021222325[Name],Table211121642021222325[Points],"DNP",0,1)</f>
        <v>DNP</v>
      </c>
      <c r="P134" t="str">
        <f>_xlfn.XLOOKUP(Table16[[#This Row],[Name]],Table21112164202122232534[Name],Table21112164202122232534[Points],"DNP",0,1)</f>
        <v>DNP</v>
      </c>
      <c r="Q134" t="str">
        <f>_xlfn.XLOOKUP(Table16[[#This Row],[Name]],Table2111216420212223253435[Name],Table2111216420212223253435[Points],"DNP",0,1)</f>
        <v>DNP</v>
      </c>
      <c r="R134" t="str">
        <f>_xlfn.XLOOKUP(Table16[[#This Row],[Name]],Table211121642021222325343536[Name],Table211121642021222325343536[Points],"DNP",0,1)</f>
        <v>DNP</v>
      </c>
      <c r="S134" t="str">
        <f>_xlfn.XLOOKUP(Table16[[#This Row],[Name]],Table21112164202122232534353637[Name],Table21112164202122232534353637[Points],"DNP",0,1)</f>
        <v>DNP</v>
      </c>
      <c r="T134" t="str">
        <f>_xlfn.XLOOKUP(Table16[[#This Row],[Name]],Table2111216420212223253435363738[Name],Table2111216420212223253435363738[Points],"DNP",0,1)</f>
        <v>DNP</v>
      </c>
      <c r="U134" t="str">
        <f>_xlfn.XLOOKUP(Table16[[#This Row],[Name]],Table2111216420212223253435363739[Name],Table2111216420212223253435363739[Points],"DNP",0,1)</f>
        <v>DNP</v>
      </c>
      <c r="V134" t="str">
        <f>_xlfn.XLOOKUP(Table16[[#This Row],[Name]],Table211121642021222325343536373841[Name],Table211121642021222325343536373841[Points],"DNP",0,1)</f>
        <v>DNP</v>
      </c>
    </row>
    <row r="135" spans="2:22">
      <c r="B135" t="str">
        <f>IFERROR(Table5[[#This Row],[Full name]],"")</f>
        <v>Curtis Elve</v>
      </c>
      <c r="C135" s="68">
        <f>SUM(Table16[[#This Row],[September 30, 2025]:[Column18]])</f>
        <v>42</v>
      </c>
      <c r="D135" t="str">
        <f>_xlfn.XLOOKUP(Table16[[#This Row],[Name]],Table4[Name],Table4[Points],"DNP",0,1)</f>
        <v>DNP</v>
      </c>
      <c r="E135" t="str">
        <f>_xlfn.XLOOKUP(Table16[[#This Row],[Name]],Table9[Name],Table9[Points],"DNP",0,1)</f>
        <v>DNP</v>
      </c>
      <c r="F135" t="str">
        <f>_xlfn.XLOOKUP(Table16[[#This Row],[Name]],Table18[Name],Table18[Points],"DNP",0,1)</f>
        <v>DNP</v>
      </c>
      <c r="G135" t="str">
        <f>_xlfn.XLOOKUP(Table16[[#This Row],[Name]],Table2[Name],Table2[Points],"DNP",0,1)</f>
        <v>DNP</v>
      </c>
      <c r="H135" t="str">
        <f>_xlfn.XLOOKUP(Table16[[#This Row],[Name]],Table211[Name],Table211[Points],"DNP",0,1)</f>
        <v>DNP</v>
      </c>
      <c r="I135" t="str">
        <f>_xlfn.XLOOKUP(Table16[[#This Row],[Name]],Table21112[Name],Table21112[Points],"DNP",0,1)</f>
        <v>DNP</v>
      </c>
      <c r="J135" t="str">
        <f>_xlfn.XLOOKUP(Table16[[#This Row],[Name]],Table21112164[Name],Table21112164[Points],"DNP",0,1)</f>
        <v>DNP</v>
      </c>
      <c r="K135" t="str">
        <f>_xlfn.XLOOKUP(Table16[[#This Row],[Name]],Table2111216420[Name],Table2111216420[Points],"DNP",0,1)</f>
        <v>DNP</v>
      </c>
      <c r="L135" t="str">
        <f>_xlfn.XLOOKUP(Table16[[#This Row],[Name]],Table211121642021[Name],Table211121642021[Points],"DNP",0,1)</f>
        <v>DNP</v>
      </c>
      <c r="M135" t="str">
        <f>_xlfn.XLOOKUP(Table16[[#This Row],[Name]],Table21112164202122[Name],Table21112164202122[Points],"DNP",0,1)</f>
        <v>DNP</v>
      </c>
      <c r="N135" t="str">
        <f>_xlfn.XLOOKUP(Table16[[#This Row],[Name]],Table2111216420212223[Name],Table2111216420212223[Points],"DNP",0,1)</f>
        <v>DNP</v>
      </c>
      <c r="O135">
        <f>_xlfn.XLOOKUP(Table16[[#This Row],[Name]],Table211121642021222325[Name],Table211121642021222325[Points],"DNP",0,1)</f>
        <v>1</v>
      </c>
      <c r="P135" t="str">
        <f>_xlfn.XLOOKUP(Table16[[#This Row],[Name]],Table21112164202122232534[Name],Table21112164202122232534[Points],"DNP",0,1)</f>
        <v>DNP</v>
      </c>
      <c r="Q135" t="str">
        <f>_xlfn.XLOOKUP(Table16[[#This Row],[Name]],Table2111216420212223253435[Name],Table2111216420212223253435[Points],"DNP",0,1)</f>
        <v>DNP</v>
      </c>
      <c r="R135">
        <f>_xlfn.XLOOKUP(Table16[[#This Row],[Name]],Table211121642021222325343536[Name],Table211121642021222325343536[Points],"DNP",0,1)</f>
        <v>30</v>
      </c>
      <c r="S135">
        <f>_xlfn.XLOOKUP(Table16[[#This Row],[Name]],Table21112164202122232534353637[Name],Table21112164202122232534353637[Points],"DNP",0,1)</f>
        <v>1</v>
      </c>
      <c r="T135">
        <f>_xlfn.XLOOKUP(Table16[[#This Row],[Name]],Table2111216420212223253435363738[Name],Table2111216420212223253435363738[Points],"DNP",0,1)</f>
        <v>8</v>
      </c>
      <c r="U135">
        <f>_xlfn.XLOOKUP(Table16[[#This Row],[Name]],Table2111216420212223253435363739[Name],Table2111216420212223253435363739[Points],"DNP",0,1)</f>
        <v>1</v>
      </c>
      <c r="V135">
        <f>_xlfn.XLOOKUP(Table16[[#This Row],[Name]],Table211121642021222325343536373841[Name],Table211121642021222325343536373841[Points],"DNP",0,1)</f>
        <v>1</v>
      </c>
    </row>
    <row r="136" spans="2:22">
      <c r="B136" t="str">
        <f>IFERROR(Table5[[#This Row],[Full name]],"")</f>
        <v>Dami Oyefeso</v>
      </c>
      <c r="C136" s="68">
        <f>SUM(Table16[[#This Row],[September 30, 2025]:[Column18]])</f>
        <v>10</v>
      </c>
      <c r="D136" t="str">
        <f>_xlfn.XLOOKUP(Table16[[#This Row],[Name]],Table4[Name],Table4[Points],"DNP",0,1)</f>
        <v>DNP</v>
      </c>
      <c r="E136">
        <f>_xlfn.XLOOKUP(Table16[[#This Row],[Name]],Table9[Name],Table9[Points],"DNP",0,1)</f>
        <v>2</v>
      </c>
      <c r="F136" t="str">
        <f>_xlfn.XLOOKUP(Table16[[#This Row],[Name]],Table18[Name],Table18[Points],"DNP",0,1)</f>
        <v>DNP</v>
      </c>
      <c r="G136" t="str">
        <f>_xlfn.XLOOKUP(Table16[[#This Row],[Name]],Table2[Name],Table2[Points],"DNP",0,1)</f>
        <v>DNP</v>
      </c>
      <c r="H136" t="str">
        <f>_xlfn.XLOOKUP(Table16[[#This Row],[Name]],Table211[Name],Table211[Points],"DNP",0,1)</f>
        <v>DNP</v>
      </c>
      <c r="I136">
        <f>_xlfn.XLOOKUP(Table16[[#This Row],[Name]],Table21112[Name],Table21112[Points],"DNP",0,1)</f>
        <v>8</v>
      </c>
      <c r="J136" t="str">
        <f>_xlfn.XLOOKUP(Table16[[#This Row],[Name]],Table21112164[Name],Table21112164[Points],"DNP",0,1)</f>
        <v>DNP</v>
      </c>
      <c r="K136" t="str">
        <f>_xlfn.XLOOKUP(Table16[[#This Row],[Name]],Table2111216420[Name],Table2111216420[Points],"DNP",0,1)</f>
        <v>DNP</v>
      </c>
      <c r="L136" t="str">
        <f>_xlfn.XLOOKUP(Table16[[#This Row],[Name]],Table211121642021[Name],Table211121642021[Points],"DNP",0,1)</f>
        <v>DNP</v>
      </c>
      <c r="M136" t="str">
        <f>_xlfn.XLOOKUP(Table16[[#This Row],[Name]],Table21112164202122[Name],Table21112164202122[Points],"DNP",0,1)</f>
        <v>DNP</v>
      </c>
      <c r="N136" t="str">
        <f>_xlfn.XLOOKUP(Table16[[#This Row],[Name]],Table2111216420212223[Name],Table2111216420212223[Points],"DNP",0,1)</f>
        <v>DNP</v>
      </c>
      <c r="O136" t="str">
        <f>_xlfn.XLOOKUP(Table16[[#This Row],[Name]],Table211121642021222325[Name],Table211121642021222325[Points],"DNP",0,1)</f>
        <v>DNP</v>
      </c>
      <c r="P136" t="str">
        <f>_xlfn.XLOOKUP(Table16[[#This Row],[Name]],Table21112164202122232534[Name],Table21112164202122232534[Points],"DNP",0,1)</f>
        <v>DNP</v>
      </c>
      <c r="Q136" t="str">
        <f>_xlfn.XLOOKUP(Table16[[#This Row],[Name]],Table2111216420212223253435[Name],Table2111216420212223253435[Points],"DNP",0,1)</f>
        <v>DNP</v>
      </c>
      <c r="R136" t="str">
        <f>_xlfn.XLOOKUP(Table16[[#This Row],[Name]],Table211121642021222325343536[Name],Table211121642021222325343536[Points],"DNP",0,1)</f>
        <v>DNP</v>
      </c>
      <c r="S136" t="str">
        <f>_xlfn.XLOOKUP(Table16[[#This Row],[Name]],Table21112164202122232534353637[Name],Table21112164202122232534353637[Points],"DNP",0,1)</f>
        <v>DNP</v>
      </c>
      <c r="T136" t="str">
        <f>_xlfn.XLOOKUP(Table16[[#This Row],[Name]],Table2111216420212223253435363738[Name],Table2111216420212223253435363738[Points],"DNP",0,1)</f>
        <v>DNP</v>
      </c>
      <c r="U136" t="str">
        <f>_xlfn.XLOOKUP(Table16[[#This Row],[Name]],Table2111216420212223253435363739[Name],Table2111216420212223253435363739[Points],"DNP",0,1)</f>
        <v>DNP</v>
      </c>
      <c r="V136" t="str">
        <f>_xlfn.XLOOKUP(Table16[[#This Row],[Name]],Table211121642021222325343536373841[Name],Table211121642021222325343536373841[Points],"DNP",0,1)</f>
        <v>DNP</v>
      </c>
    </row>
    <row r="137" spans="2:22">
      <c r="B137" t="str">
        <f>IFERROR(Table5[[#This Row],[Full name]],"")</f>
        <v xml:space="preserve">Dan De Leary </v>
      </c>
      <c r="C137" s="68">
        <f>SUM(Table16[[#This Row],[September 30, 2025]:[Column18]])</f>
        <v>48</v>
      </c>
      <c r="D137" t="str">
        <f>_xlfn.XLOOKUP(Table16[[#This Row],[Name]],Table4[Name],Table4[Points],"DNP",0,1)</f>
        <v>DNP</v>
      </c>
      <c r="E137" t="str">
        <f>_xlfn.XLOOKUP(Table16[[#This Row],[Name]],Table9[Name],Table9[Points],"DNP",0,1)</f>
        <v>DNP</v>
      </c>
      <c r="F137">
        <f>_xlfn.XLOOKUP(Table16[[#This Row],[Name]],Table18[Name],Table18[Points],"DNP",0,1)</f>
        <v>3</v>
      </c>
      <c r="G137">
        <f>_xlfn.XLOOKUP(Table16[[#This Row],[Name]],Table2[Name],Table2[Points],"DNP",0,1)</f>
        <v>3</v>
      </c>
      <c r="H137">
        <f>_xlfn.XLOOKUP(Table16[[#This Row],[Name]],Table211[Name],Table211[Points],"DNP",0,1)</f>
        <v>8</v>
      </c>
      <c r="I137">
        <f>_xlfn.XLOOKUP(Table16[[#This Row],[Name]],Table21112[Name],Table21112[Points],"DNP",0,1)</f>
        <v>4</v>
      </c>
      <c r="J137">
        <f>_xlfn.XLOOKUP(Table16[[#This Row],[Name]],Table21112164[Name],Table21112164[Points],"DNP",0,1)</f>
        <v>8</v>
      </c>
      <c r="K137">
        <f>_xlfn.XLOOKUP(Table16[[#This Row],[Name]],Table2111216420[Name],Table2111216420[Points],"DNP",0,1)</f>
        <v>3</v>
      </c>
      <c r="L137">
        <f>_xlfn.XLOOKUP(Table16[[#This Row],[Name]],Table211121642021[Name],Table211121642021[Points],"DNP",0,1)</f>
        <v>2</v>
      </c>
      <c r="M137">
        <f>_xlfn.XLOOKUP(Table16[[#This Row],[Name]],Table21112164202122[Name],Table21112164202122[Points],"DNP",0,1)</f>
        <v>1</v>
      </c>
      <c r="N137">
        <f>_xlfn.XLOOKUP(Table16[[#This Row],[Name]],Table2111216420212223[Name],Table2111216420212223[Points],"DNP",0,1)</f>
        <v>1</v>
      </c>
      <c r="O137">
        <f>_xlfn.XLOOKUP(Table16[[#This Row],[Name]],Table211121642021222325[Name],Table211121642021222325[Points],"DNP",0,1)</f>
        <v>1</v>
      </c>
      <c r="P137">
        <f>_xlfn.XLOOKUP(Table16[[#This Row],[Name]],Table21112164202122232534[Name],Table21112164202122232534[Points],"DNP",0,1)</f>
        <v>1</v>
      </c>
      <c r="Q137">
        <f>_xlfn.XLOOKUP(Table16[[#This Row],[Name]],Table2111216420212223253435[Name],Table2111216420212223253435[Points],"DNP",0,1)</f>
        <v>4</v>
      </c>
      <c r="R137">
        <f>_xlfn.XLOOKUP(Table16[[#This Row],[Name]],Table211121642021222325343536[Name],Table211121642021222325343536[Points],"DNP",0,1)</f>
        <v>1</v>
      </c>
      <c r="S137">
        <f>_xlfn.XLOOKUP(Table16[[#This Row],[Name]],Table21112164202122232534353637[Name],Table21112164202122232534353637[Points],"DNP",0,1)</f>
        <v>4</v>
      </c>
      <c r="T137">
        <f>_xlfn.XLOOKUP(Table16[[#This Row],[Name]],Table2111216420212223253435363738[Name],Table2111216420212223253435363738[Points],"DNP",0,1)</f>
        <v>1</v>
      </c>
      <c r="U137">
        <f>_xlfn.XLOOKUP(Table16[[#This Row],[Name]],Table2111216420212223253435363739[Name],Table2111216420212223253435363739[Points],"DNP",0,1)</f>
        <v>2</v>
      </c>
      <c r="V137">
        <f>_xlfn.XLOOKUP(Table16[[#This Row],[Name]],Table211121642021222325343536373841[Name],Table211121642021222325343536373841[Points],"DNP",0,1)</f>
        <v>1</v>
      </c>
    </row>
    <row r="138" spans="2:22">
      <c r="B138" t="str">
        <f>IFERROR(Table5[[#This Row],[Full name]],"")</f>
        <v>Dan Qiai</v>
      </c>
      <c r="C138" s="68">
        <f>SUM(Table16[[#This Row],[September 30, 2025]:[Column18]])</f>
        <v>0</v>
      </c>
      <c r="D138" t="str">
        <f>_xlfn.XLOOKUP(Table16[[#This Row],[Name]],Table4[Name],Table4[Points],"DNP",0,1)</f>
        <v>DNP</v>
      </c>
      <c r="E138" t="str">
        <f>_xlfn.XLOOKUP(Table16[[#This Row],[Name]],Table9[Name],Table9[Points],"DNP",0,1)</f>
        <v>DNP</v>
      </c>
      <c r="F138" t="str">
        <f>_xlfn.XLOOKUP(Table16[[#This Row],[Name]],Table18[Name],Table18[Points],"DNP",0,1)</f>
        <v>DNP</v>
      </c>
      <c r="G138" t="str">
        <f>_xlfn.XLOOKUP(Table16[[#This Row],[Name]],Table2[Name],Table2[Points],"DNP",0,1)</f>
        <v>DNP</v>
      </c>
      <c r="H138" t="str">
        <f>_xlfn.XLOOKUP(Table16[[#This Row],[Name]],Table211[Name],Table211[Points],"DNP",0,1)</f>
        <v>DNP</v>
      </c>
      <c r="I138" t="str">
        <f>_xlfn.XLOOKUP(Table16[[#This Row],[Name]],Table21112[Name],Table21112[Points],"DNP",0,1)</f>
        <v>DNP</v>
      </c>
      <c r="J138" t="str">
        <f>_xlfn.XLOOKUP(Table16[[#This Row],[Name]],Table21112164[Name],Table21112164[Points],"DNP",0,1)</f>
        <v>DNP</v>
      </c>
      <c r="K138" t="str">
        <f>_xlfn.XLOOKUP(Table16[[#This Row],[Name]],Table2111216420[Name],Table2111216420[Points],"DNP",0,1)</f>
        <v>DNP</v>
      </c>
      <c r="L138" t="str">
        <f>_xlfn.XLOOKUP(Table16[[#This Row],[Name]],Table211121642021[Name],Table211121642021[Points],"DNP",0,1)</f>
        <v>DNP</v>
      </c>
      <c r="M138" t="str">
        <f>_xlfn.XLOOKUP(Table16[[#This Row],[Name]],Table21112164202122[Name],Table21112164202122[Points],"DNP",0,1)</f>
        <v>DNP</v>
      </c>
      <c r="N138" t="str">
        <f>_xlfn.XLOOKUP(Table16[[#This Row],[Name]],Table2111216420212223[Name],Table2111216420212223[Points],"DNP",0,1)</f>
        <v>DNP</v>
      </c>
      <c r="O138" t="str">
        <f>_xlfn.XLOOKUP(Table16[[#This Row],[Name]],Table211121642021222325[Name],Table211121642021222325[Points],"DNP",0,1)</f>
        <v>DNP</v>
      </c>
      <c r="P138" t="str">
        <f>_xlfn.XLOOKUP(Table16[[#This Row],[Name]],Table21112164202122232534[Name],Table21112164202122232534[Points],"DNP",0,1)</f>
        <v>DNP</v>
      </c>
      <c r="Q138" t="str">
        <f>_xlfn.XLOOKUP(Table16[[#This Row],[Name]],Table2111216420212223253435[Name],Table2111216420212223253435[Points],"DNP",0,1)</f>
        <v>DNP</v>
      </c>
      <c r="R138" t="str">
        <f>_xlfn.XLOOKUP(Table16[[#This Row],[Name]],Table211121642021222325343536[Name],Table211121642021222325343536[Points],"DNP",0,1)</f>
        <v>DNP</v>
      </c>
      <c r="S138" t="str">
        <f>_xlfn.XLOOKUP(Table16[[#This Row],[Name]],Table21112164202122232534353637[Name],Table21112164202122232534353637[Points],"DNP",0,1)</f>
        <v>DNP</v>
      </c>
      <c r="T138" t="str">
        <f>_xlfn.XLOOKUP(Table16[[#This Row],[Name]],Table2111216420212223253435363738[Name],Table2111216420212223253435363738[Points],"DNP",0,1)</f>
        <v>DNP</v>
      </c>
      <c r="U138" t="str">
        <f>_xlfn.XLOOKUP(Table16[[#This Row],[Name]],Table2111216420212223253435363739[Name],Table2111216420212223253435363739[Points],"DNP",0,1)</f>
        <v>DNP</v>
      </c>
      <c r="V138" t="str">
        <f>_xlfn.XLOOKUP(Table16[[#This Row],[Name]],Table211121642021222325343536373841[Name],Table211121642021222325343536373841[Points],"DNP",0,1)</f>
        <v>DNP</v>
      </c>
    </row>
    <row r="139" spans="2:22">
      <c r="B139" t="str">
        <f>IFERROR(Table5[[#This Row],[Full name]],"")</f>
        <v>Dan Qiao</v>
      </c>
      <c r="C139" s="68">
        <f>SUM(Table16[[#This Row],[September 30, 2025]:[Column18]])</f>
        <v>3</v>
      </c>
      <c r="D139" t="str">
        <f>_xlfn.XLOOKUP(Table16[[#This Row],[Name]],Table4[Name],Table4[Points],"DNP",0,1)</f>
        <v>DNP</v>
      </c>
      <c r="E139" t="str">
        <f>_xlfn.XLOOKUP(Table16[[#This Row],[Name]],Table9[Name],Table9[Points],"DNP",0,1)</f>
        <v>DNP</v>
      </c>
      <c r="F139">
        <f>_xlfn.XLOOKUP(Table16[[#This Row],[Name]],Table18[Name],Table18[Points],"DNP",0,1)</f>
        <v>3</v>
      </c>
      <c r="G139" t="str">
        <f>_xlfn.XLOOKUP(Table16[[#This Row],[Name]],Table2[Name],Table2[Points],"DNP",0,1)</f>
        <v>DNP</v>
      </c>
      <c r="H139" t="str">
        <f>_xlfn.XLOOKUP(Table16[[#This Row],[Name]],Table211[Name],Table211[Points],"DNP",0,1)</f>
        <v>DNP</v>
      </c>
      <c r="I139" t="str">
        <f>_xlfn.XLOOKUP(Table16[[#This Row],[Name]],Table21112[Name],Table21112[Points],"DNP",0,1)</f>
        <v>DNP</v>
      </c>
      <c r="J139" t="str">
        <f>_xlfn.XLOOKUP(Table16[[#This Row],[Name]],Table21112164[Name],Table21112164[Points],"DNP",0,1)</f>
        <v>DNP</v>
      </c>
      <c r="K139" t="str">
        <f>_xlfn.XLOOKUP(Table16[[#This Row],[Name]],Table2111216420[Name],Table2111216420[Points],"DNP",0,1)</f>
        <v>DNP</v>
      </c>
      <c r="L139" t="str">
        <f>_xlfn.XLOOKUP(Table16[[#This Row],[Name]],Table211121642021[Name],Table211121642021[Points],"DNP",0,1)</f>
        <v>DNP</v>
      </c>
      <c r="M139" t="str">
        <f>_xlfn.XLOOKUP(Table16[[#This Row],[Name]],Table21112164202122[Name],Table21112164202122[Points],"DNP",0,1)</f>
        <v>DNP</v>
      </c>
      <c r="N139" t="str">
        <f>_xlfn.XLOOKUP(Table16[[#This Row],[Name]],Table2111216420212223[Name],Table2111216420212223[Points],"DNP",0,1)</f>
        <v>DNP</v>
      </c>
      <c r="O139" t="str">
        <f>_xlfn.XLOOKUP(Table16[[#This Row],[Name]],Table211121642021222325[Name],Table211121642021222325[Points],"DNP",0,1)</f>
        <v>DNP</v>
      </c>
      <c r="P139" t="str">
        <f>_xlfn.XLOOKUP(Table16[[#This Row],[Name]],Table21112164202122232534[Name],Table21112164202122232534[Points],"DNP",0,1)</f>
        <v>DNP</v>
      </c>
      <c r="Q139" t="str">
        <f>_xlfn.XLOOKUP(Table16[[#This Row],[Name]],Table2111216420212223253435[Name],Table2111216420212223253435[Points],"DNP",0,1)</f>
        <v>DNP</v>
      </c>
      <c r="R139" t="str">
        <f>_xlfn.XLOOKUP(Table16[[#This Row],[Name]],Table211121642021222325343536[Name],Table211121642021222325343536[Points],"DNP",0,1)</f>
        <v>DNP</v>
      </c>
      <c r="S139" t="str">
        <f>_xlfn.XLOOKUP(Table16[[#This Row],[Name]],Table21112164202122232534353637[Name],Table21112164202122232534353637[Points],"DNP",0,1)</f>
        <v>DNP</v>
      </c>
      <c r="T139" t="str">
        <f>_xlfn.XLOOKUP(Table16[[#This Row],[Name]],Table2111216420212223253435363738[Name],Table2111216420212223253435363738[Points],"DNP",0,1)</f>
        <v>DNP</v>
      </c>
      <c r="U139" t="str">
        <f>_xlfn.XLOOKUP(Table16[[#This Row],[Name]],Table2111216420212223253435363739[Name],Table2111216420212223253435363739[Points],"DNP",0,1)</f>
        <v>DNP</v>
      </c>
      <c r="V139" t="str">
        <f>_xlfn.XLOOKUP(Table16[[#This Row],[Name]],Table211121642021222325343536373841[Name],Table211121642021222325343536373841[Points],"DNP",0,1)</f>
        <v>DNP</v>
      </c>
    </row>
    <row r="140" spans="2:22">
      <c r="B140" t="str">
        <f>IFERROR(Table5[[#This Row],[Full name]],"")</f>
        <v>Daniel Li</v>
      </c>
      <c r="C140" s="68">
        <f>SUM(Table16[[#This Row],[September 30, 2025]:[Column18]])</f>
        <v>63</v>
      </c>
      <c r="D140">
        <f>_xlfn.XLOOKUP(Table16[[#This Row],[Name]],Table4[Name],Table4[Points],"DNP",0,1)</f>
        <v>10</v>
      </c>
      <c r="E140">
        <f>_xlfn.XLOOKUP(Table16[[#This Row],[Name]],Table9[Name],Table9[Points],"DNP",0,1)</f>
        <v>15</v>
      </c>
      <c r="F140">
        <f>_xlfn.XLOOKUP(Table16[[#This Row],[Name]],Table18[Name],Table18[Points],"DNP",0,1)</f>
        <v>1</v>
      </c>
      <c r="G140">
        <f>_xlfn.XLOOKUP(Table16[[#This Row],[Name]],Table2[Name],Table2[Points],"DNP",0,1)</f>
        <v>2</v>
      </c>
      <c r="H140">
        <f>_xlfn.XLOOKUP(Table16[[#This Row],[Name]],Table211[Name],Table211[Points],"DNP",0,1)</f>
        <v>8</v>
      </c>
      <c r="I140">
        <f>_xlfn.XLOOKUP(Table16[[#This Row],[Name]],Table21112[Name],Table21112[Points],"DNP",0,1)</f>
        <v>1</v>
      </c>
      <c r="J140" t="str">
        <f>_xlfn.XLOOKUP(Table16[[#This Row],[Name]],Table21112164[Name],Table21112164[Points],"DNP",0,1)</f>
        <v>DNP</v>
      </c>
      <c r="K140">
        <f>_xlfn.XLOOKUP(Table16[[#This Row],[Name]],Table2111216420[Name],Table2111216420[Points],"DNP",0,1)</f>
        <v>2</v>
      </c>
      <c r="L140">
        <f>_xlfn.XLOOKUP(Table16[[#This Row],[Name]],Table211121642021[Name],Table211121642021[Points],"DNP",0,1)</f>
        <v>1</v>
      </c>
      <c r="M140">
        <f>_xlfn.XLOOKUP(Table16[[#This Row],[Name]],Table21112164202122[Name],Table21112164202122[Points],"DNP",0,1)</f>
        <v>1</v>
      </c>
      <c r="N140">
        <f>_xlfn.XLOOKUP(Table16[[#This Row],[Name]],Table2111216420212223[Name],Table2111216420212223[Points],"DNP",0,1)</f>
        <v>1</v>
      </c>
      <c r="O140">
        <f>_xlfn.XLOOKUP(Table16[[#This Row],[Name]],Table211121642021222325[Name],Table211121642021222325[Points],"DNP",0,1)</f>
        <v>2</v>
      </c>
      <c r="P140">
        <f>_xlfn.XLOOKUP(Table16[[#This Row],[Name]],Table21112164202122232534[Name],Table21112164202122232534[Points],"DNP",0,1)</f>
        <v>2</v>
      </c>
      <c r="Q140">
        <f>_xlfn.XLOOKUP(Table16[[#This Row],[Name]],Table2111216420212223253435[Name],Table2111216420212223253435[Points],"DNP",0,1)</f>
        <v>8</v>
      </c>
      <c r="R140" t="str">
        <f>_xlfn.XLOOKUP(Table16[[#This Row],[Name]],Table211121642021222325343536[Name],Table211121642021222325343536[Points],"DNP",0,1)</f>
        <v>DNP</v>
      </c>
      <c r="S140">
        <f>_xlfn.XLOOKUP(Table16[[#This Row],[Name]],Table21112164202122232534353637[Name],Table21112164202122232534353637[Points],"DNP",0,1)</f>
        <v>2</v>
      </c>
      <c r="T140">
        <f>_xlfn.XLOOKUP(Table16[[#This Row],[Name]],Table2111216420212223253435363738[Name],Table2111216420212223253435363738[Points],"DNP",0,1)</f>
        <v>2</v>
      </c>
      <c r="U140">
        <f>_xlfn.XLOOKUP(Table16[[#This Row],[Name]],Table2111216420212223253435363739[Name],Table2111216420212223253435363739[Points],"DNP",0,1)</f>
        <v>3</v>
      </c>
      <c r="V140">
        <f>_xlfn.XLOOKUP(Table16[[#This Row],[Name]],Table211121642021222325343536373841[Name],Table211121642021222325343536373841[Points],"DNP",0,1)</f>
        <v>2</v>
      </c>
    </row>
    <row r="141" spans="2:22">
      <c r="B141" t="str">
        <f>IFERROR(Table5[[#This Row],[Full name]],"")</f>
        <v>Daniel Musoni</v>
      </c>
      <c r="C141" s="68">
        <f>SUM(Table16[[#This Row],[September 30, 2025]:[Column18]])</f>
        <v>51</v>
      </c>
      <c r="D141">
        <f>_xlfn.XLOOKUP(Table16[[#This Row],[Name]],Table4[Name],Table4[Points],"DNP",0,1)</f>
        <v>1</v>
      </c>
      <c r="E141">
        <f>_xlfn.XLOOKUP(Table16[[#This Row],[Name]],Table9[Name],Table9[Points],"DNP",0,1)</f>
        <v>2</v>
      </c>
      <c r="F141">
        <f>_xlfn.XLOOKUP(Table16[[#This Row],[Name]],Table18[Name],Table18[Points],"DNP",0,1)</f>
        <v>1</v>
      </c>
      <c r="G141">
        <f>_xlfn.XLOOKUP(Table16[[#This Row],[Name]],Table2[Name],Table2[Points],"DNP",0,1)</f>
        <v>38</v>
      </c>
      <c r="H141" t="str">
        <f>_xlfn.XLOOKUP(Table16[[#This Row],[Name]],Table211[Name],Table211[Points],"DNP",0,1)</f>
        <v>DNP</v>
      </c>
      <c r="I141">
        <f>_xlfn.XLOOKUP(Table16[[#This Row],[Name]],Table21112[Name],Table21112[Points],"DNP",0,1)</f>
        <v>3</v>
      </c>
      <c r="J141">
        <f>_xlfn.XLOOKUP(Table16[[#This Row],[Name]],Table21112164[Name],Table21112164[Points],"DNP",0,1)</f>
        <v>2</v>
      </c>
      <c r="K141" t="str">
        <f>_xlfn.XLOOKUP(Table16[[#This Row],[Name]],Table2111216420[Name],Table2111216420[Points],"DNP",0,1)</f>
        <v>DNP</v>
      </c>
      <c r="L141" t="str">
        <f>_xlfn.XLOOKUP(Table16[[#This Row],[Name]],Table211121642021[Name],Table211121642021[Points],"DNP",0,1)</f>
        <v>DNP</v>
      </c>
      <c r="M141" t="str">
        <f>_xlfn.XLOOKUP(Table16[[#This Row],[Name]],Table21112164202122[Name],Table21112164202122[Points],"DNP",0,1)</f>
        <v>DNP</v>
      </c>
      <c r="N141">
        <f>_xlfn.XLOOKUP(Table16[[#This Row],[Name]],Table2111216420212223[Name],Table2111216420212223[Points],"DNP",0,1)</f>
        <v>1</v>
      </c>
      <c r="O141" t="str">
        <f>_xlfn.XLOOKUP(Table16[[#This Row],[Name]],Table211121642021222325[Name],Table211121642021222325[Points],"DNP",0,1)</f>
        <v>DNP</v>
      </c>
      <c r="P141" t="str">
        <f>_xlfn.XLOOKUP(Table16[[#This Row],[Name]],Table21112164202122232534[Name],Table21112164202122232534[Points],"DNP",0,1)</f>
        <v>DNP</v>
      </c>
      <c r="Q141">
        <f>_xlfn.XLOOKUP(Table16[[#This Row],[Name]],Table2111216420212223253435[Name],Table2111216420212223253435[Points],"DNP",0,1)</f>
        <v>1</v>
      </c>
      <c r="R141">
        <f>_xlfn.XLOOKUP(Table16[[#This Row],[Name]],Table211121642021222325343536[Name],Table211121642021222325343536[Points],"DNP",0,1)</f>
        <v>1</v>
      </c>
      <c r="S141" t="str">
        <f>_xlfn.XLOOKUP(Table16[[#This Row],[Name]],Table21112164202122232534353637[Name],Table21112164202122232534353637[Points],"DNP",0,1)</f>
        <v>DNP</v>
      </c>
      <c r="T141" t="str">
        <f>_xlfn.XLOOKUP(Table16[[#This Row],[Name]],Table2111216420212223253435363738[Name],Table2111216420212223253435363738[Points],"DNP",0,1)</f>
        <v>DNP</v>
      </c>
      <c r="U141" t="str">
        <f>_xlfn.XLOOKUP(Table16[[#This Row],[Name]],Table2111216420212223253435363739[Name],Table2111216420212223253435363739[Points],"DNP",0,1)</f>
        <v>DNP</v>
      </c>
      <c r="V141">
        <f>_xlfn.XLOOKUP(Table16[[#This Row],[Name]],Table211121642021222325343536373841[Name],Table211121642021222325343536373841[Points],"DNP",0,1)</f>
        <v>1</v>
      </c>
    </row>
    <row r="142" spans="2:22">
      <c r="B142" t="str">
        <f>IFERROR(Table5[[#This Row],[Full name]],"")</f>
        <v>Daniel Solesa</v>
      </c>
      <c r="C142" s="68">
        <f>SUM(Table16[[#This Row],[September 30, 2025]:[Column18]])</f>
        <v>4</v>
      </c>
      <c r="D142" t="str">
        <f>_xlfn.XLOOKUP(Table16[[#This Row],[Name]],Table4[Name],Table4[Points],"DNP",0,1)</f>
        <v>DNP</v>
      </c>
      <c r="E142" t="str">
        <f>_xlfn.XLOOKUP(Table16[[#This Row],[Name]],Table9[Name],Table9[Points],"DNP",0,1)</f>
        <v>DNP</v>
      </c>
      <c r="F142" t="str">
        <f>_xlfn.XLOOKUP(Table16[[#This Row],[Name]],Table18[Name],Table18[Points],"DNP",0,1)</f>
        <v>DNP</v>
      </c>
      <c r="G142" t="str">
        <f>_xlfn.XLOOKUP(Table16[[#This Row],[Name]],Table2[Name],Table2[Points],"DNP",0,1)</f>
        <v>DNP</v>
      </c>
      <c r="H142" t="str">
        <f>_xlfn.XLOOKUP(Table16[[#This Row],[Name]],Table211[Name],Table211[Points],"DNP",0,1)</f>
        <v>DNP</v>
      </c>
      <c r="I142" t="str">
        <f>_xlfn.XLOOKUP(Table16[[#This Row],[Name]],Table21112[Name],Table21112[Points],"DNP",0,1)</f>
        <v>DNP</v>
      </c>
      <c r="J142" t="str">
        <f>_xlfn.XLOOKUP(Table16[[#This Row],[Name]],Table21112164[Name],Table21112164[Points],"DNP",0,1)</f>
        <v>DNP</v>
      </c>
      <c r="K142" t="str">
        <f>_xlfn.XLOOKUP(Table16[[#This Row],[Name]],Table2111216420[Name],Table2111216420[Points],"DNP",0,1)</f>
        <v>DNP</v>
      </c>
      <c r="L142" t="str">
        <f>_xlfn.XLOOKUP(Table16[[#This Row],[Name]],Table211121642021[Name],Table211121642021[Points],"DNP",0,1)</f>
        <v>DNP</v>
      </c>
      <c r="M142">
        <f>_xlfn.XLOOKUP(Table16[[#This Row],[Name]],Table21112164202122[Name],Table21112164202122[Points],"DNP",0,1)</f>
        <v>4</v>
      </c>
      <c r="N142" t="str">
        <f>_xlfn.XLOOKUP(Table16[[#This Row],[Name]],Table2111216420212223[Name],Table2111216420212223[Points],"DNP",0,1)</f>
        <v>DNP</v>
      </c>
      <c r="O142" t="str">
        <f>_xlfn.XLOOKUP(Table16[[#This Row],[Name]],Table211121642021222325[Name],Table211121642021222325[Points],"DNP",0,1)</f>
        <v>DNP</v>
      </c>
      <c r="P142" t="str">
        <f>_xlfn.XLOOKUP(Table16[[#This Row],[Name]],Table21112164202122232534[Name],Table21112164202122232534[Points],"DNP",0,1)</f>
        <v>DNP</v>
      </c>
      <c r="Q142" t="str">
        <f>_xlfn.XLOOKUP(Table16[[#This Row],[Name]],Table2111216420212223253435[Name],Table2111216420212223253435[Points],"DNP",0,1)</f>
        <v>DNP</v>
      </c>
      <c r="R142" t="str">
        <f>_xlfn.XLOOKUP(Table16[[#This Row],[Name]],Table211121642021222325343536[Name],Table211121642021222325343536[Points],"DNP",0,1)</f>
        <v>DNP</v>
      </c>
      <c r="S142" t="str">
        <f>_xlfn.XLOOKUP(Table16[[#This Row],[Name]],Table21112164202122232534353637[Name],Table21112164202122232534353637[Points],"DNP",0,1)</f>
        <v>DNP</v>
      </c>
      <c r="T142" t="str">
        <f>_xlfn.XLOOKUP(Table16[[#This Row],[Name]],Table2111216420212223253435363738[Name],Table2111216420212223253435363738[Points],"DNP",0,1)</f>
        <v>DNP</v>
      </c>
      <c r="U142" t="str">
        <f>_xlfn.XLOOKUP(Table16[[#This Row],[Name]],Table2111216420212223253435363739[Name],Table2111216420212223253435363739[Points],"DNP",0,1)</f>
        <v>DNP</v>
      </c>
      <c r="V142" t="str">
        <f>_xlfn.XLOOKUP(Table16[[#This Row],[Name]],Table211121642021222325343536373841[Name],Table211121642021222325343536373841[Points],"DNP",0,1)</f>
        <v>DNP</v>
      </c>
    </row>
    <row r="143" spans="2:22">
      <c r="B143" t="str">
        <f>IFERROR(Table5[[#This Row],[Full name]],"")</f>
        <v>Daniel Zheng</v>
      </c>
      <c r="C143" s="68">
        <f>SUM(Table16[[#This Row],[September 30, 2025]:[Column18]])</f>
        <v>19</v>
      </c>
      <c r="D143" t="str">
        <f>_xlfn.XLOOKUP(Table16[[#This Row],[Name]],Table4[Name],Table4[Points],"DNP",0,1)</f>
        <v>DNP</v>
      </c>
      <c r="E143" t="str">
        <f>_xlfn.XLOOKUP(Table16[[#This Row],[Name]],Table9[Name],Table9[Points],"DNP",0,1)</f>
        <v>DNP</v>
      </c>
      <c r="F143" t="str">
        <f>_xlfn.XLOOKUP(Table16[[#This Row],[Name]],Table18[Name],Table18[Points],"DNP",0,1)</f>
        <v>DNP</v>
      </c>
      <c r="G143">
        <f>_xlfn.XLOOKUP(Table16[[#This Row],[Name]],Table2[Name],Table2[Points],"DNP",0,1)</f>
        <v>1</v>
      </c>
      <c r="H143" t="str">
        <f>_xlfn.XLOOKUP(Table16[[#This Row],[Name]],Table211[Name],Table211[Points],"DNP",0,1)</f>
        <v>DNP</v>
      </c>
      <c r="I143" t="str">
        <f>_xlfn.XLOOKUP(Table16[[#This Row],[Name]],Table21112[Name],Table21112[Points],"DNP",0,1)</f>
        <v>DNP</v>
      </c>
      <c r="J143" t="str">
        <f>_xlfn.XLOOKUP(Table16[[#This Row],[Name]],Table21112164[Name],Table21112164[Points],"DNP",0,1)</f>
        <v>DNP</v>
      </c>
      <c r="K143">
        <f>_xlfn.XLOOKUP(Table16[[#This Row],[Name]],Table2111216420[Name],Table2111216420[Points],"DNP",0,1)</f>
        <v>10</v>
      </c>
      <c r="L143" t="str">
        <f>_xlfn.XLOOKUP(Table16[[#This Row],[Name]],Table211121642021[Name],Table211121642021[Points],"DNP",0,1)</f>
        <v>DNP</v>
      </c>
      <c r="M143" t="str">
        <f>_xlfn.XLOOKUP(Table16[[#This Row],[Name]],Table21112164202122[Name],Table21112164202122[Points],"DNP",0,1)</f>
        <v>DNP</v>
      </c>
      <c r="N143">
        <f>_xlfn.XLOOKUP(Table16[[#This Row],[Name]],Table2111216420212223[Name],Table2111216420212223[Points],"DNP",0,1)</f>
        <v>2</v>
      </c>
      <c r="O143">
        <f>_xlfn.XLOOKUP(Table16[[#This Row],[Name]],Table211121642021222325[Name],Table211121642021222325[Points],"DNP",0,1)</f>
        <v>1</v>
      </c>
      <c r="P143">
        <f>_xlfn.XLOOKUP(Table16[[#This Row],[Name]],Table21112164202122232534[Name],Table21112164202122232534[Points],"DNP",0,1)</f>
        <v>2</v>
      </c>
      <c r="Q143">
        <f>_xlfn.XLOOKUP(Table16[[#This Row],[Name]],Table2111216420212223253435[Name],Table2111216420212223253435[Points],"DNP",0,1)</f>
        <v>1</v>
      </c>
      <c r="R143">
        <f>_xlfn.XLOOKUP(Table16[[#This Row],[Name]],Table211121642021222325343536[Name],Table211121642021222325343536[Points],"DNP",0,1)</f>
        <v>1</v>
      </c>
      <c r="S143">
        <f>_xlfn.XLOOKUP(Table16[[#This Row],[Name]],Table21112164202122232534353637[Name],Table21112164202122232534353637[Points],"DNP",0,1)</f>
        <v>1</v>
      </c>
      <c r="T143" t="str">
        <f>_xlfn.XLOOKUP(Table16[[#This Row],[Name]],Table2111216420212223253435363738[Name],Table2111216420212223253435363738[Points],"DNP",0,1)</f>
        <v>DNP</v>
      </c>
      <c r="U143" t="str">
        <f>_xlfn.XLOOKUP(Table16[[#This Row],[Name]],Table2111216420212223253435363739[Name],Table2111216420212223253435363739[Points],"DNP",0,1)</f>
        <v>DNP</v>
      </c>
      <c r="V143" t="str">
        <f>_xlfn.XLOOKUP(Table16[[#This Row],[Name]],Table211121642021222325343536373841[Name],Table211121642021222325343536373841[Points],"DNP",0,1)</f>
        <v>DNP</v>
      </c>
    </row>
    <row r="144" spans="2:22">
      <c r="B144" t="str">
        <f>IFERROR(Table5[[#This Row],[Full name]],"")</f>
        <v>Dara Shokouhian</v>
      </c>
      <c r="C144" s="68">
        <f>SUM(Table16[[#This Row],[September 30, 2025]:[Column18]])</f>
        <v>2</v>
      </c>
      <c r="D144" t="str">
        <f>_xlfn.XLOOKUP(Table16[[#This Row],[Name]],Table4[Name],Table4[Points],"DNP",0,1)</f>
        <v>DNP</v>
      </c>
      <c r="E144" t="str">
        <f>_xlfn.XLOOKUP(Table16[[#This Row],[Name]],Table9[Name],Table9[Points],"DNP",0,1)</f>
        <v>DNP</v>
      </c>
      <c r="F144" t="str">
        <f>_xlfn.XLOOKUP(Table16[[#This Row],[Name]],Table18[Name],Table18[Points],"DNP",0,1)</f>
        <v>DNP</v>
      </c>
      <c r="G144" t="str">
        <f>_xlfn.XLOOKUP(Table16[[#This Row],[Name]],Table2[Name],Table2[Points],"DNP",0,1)</f>
        <v>DNP</v>
      </c>
      <c r="H144">
        <f>_xlfn.XLOOKUP(Table16[[#This Row],[Name]],Table211[Name],Table211[Points],"DNP",0,1)</f>
        <v>2</v>
      </c>
      <c r="I144" t="str">
        <f>_xlfn.XLOOKUP(Table16[[#This Row],[Name]],Table21112[Name],Table21112[Points],"DNP",0,1)</f>
        <v>DNP</v>
      </c>
      <c r="J144" t="str">
        <f>_xlfn.XLOOKUP(Table16[[#This Row],[Name]],Table21112164[Name],Table21112164[Points],"DNP",0,1)</f>
        <v>DNP</v>
      </c>
      <c r="K144" t="str">
        <f>_xlfn.XLOOKUP(Table16[[#This Row],[Name]],Table2111216420[Name],Table2111216420[Points],"DNP",0,1)</f>
        <v>DNP</v>
      </c>
      <c r="L144" t="str">
        <f>_xlfn.XLOOKUP(Table16[[#This Row],[Name]],Table211121642021[Name],Table211121642021[Points],"DNP",0,1)</f>
        <v>DNP</v>
      </c>
      <c r="M144" t="str">
        <f>_xlfn.XLOOKUP(Table16[[#This Row],[Name]],Table21112164202122[Name],Table21112164202122[Points],"DNP",0,1)</f>
        <v>DNP</v>
      </c>
      <c r="N144" t="str">
        <f>_xlfn.XLOOKUP(Table16[[#This Row],[Name]],Table2111216420212223[Name],Table2111216420212223[Points],"DNP",0,1)</f>
        <v>DNP</v>
      </c>
      <c r="O144" t="str">
        <f>_xlfn.XLOOKUP(Table16[[#This Row],[Name]],Table211121642021222325[Name],Table211121642021222325[Points],"DNP",0,1)</f>
        <v>DNP</v>
      </c>
      <c r="P144" t="str">
        <f>_xlfn.XLOOKUP(Table16[[#This Row],[Name]],Table21112164202122232534[Name],Table21112164202122232534[Points],"DNP",0,1)</f>
        <v>DNP</v>
      </c>
      <c r="Q144" t="str">
        <f>_xlfn.XLOOKUP(Table16[[#This Row],[Name]],Table2111216420212223253435[Name],Table2111216420212223253435[Points],"DNP",0,1)</f>
        <v>DNP</v>
      </c>
      <c r="R144" t="str">
        <f>_xlfn.XLOOKUP(Table16[[#This Row],[Name]],Table211121642021222325343536[Name],Table211121642021222325343536[Points],"DNP",0,1)</f>
        <v>DNP</v>
      </c>
      <c r="S144" t="str">
        <f>_xlfn.XLOOKUP(Table16[[#This Row],[Name]],Table21112164202122232534353637[Name],Table21112164202122232534353637[Points],"DNP",0,1)</f>
        <v>DNP</v>
      </c>
      <c r="T144" t="str">
        <f>_xlfn.XLOOKUP(Table16[[#This Row],[Name]],Table2111216420212223253435363738[Name],Table2111216420212223253435363738[Points],"DNP",0,1)</f>
        <v>DNP</v>
      </c>
      <c r="U144" t="str">
        <f>_xlfn.XLOOKUP(Table16[[#This Row],[Name]],Table2111216420212223253435363739[Name],Table2111216420212223253435363739[Points],"DNP",0,1)</f>
        <v>DNP</v>
      </c>
      <c r="V144" t="str">
        <f>_xlfn.XLOOKUP(Table16[[#This Row],[Name]],Table211121642021222325343536373841[Name],Table211121642021222325343536373841[Points],"DNP",0,1)</f>
        <v>DNP</v>
      </c>
    </row>
    <row r="145" spans="2:22">
      <c r="B145" t="str">
        <f>IFERROR(Table5[[#This Row],[Full name]],"")</f>
        <v>David Fuentes</v>
      </c>
      <c r="C145" s="68">
        <f>SUM(Table16[[#This Row],[September 30, 2025]:[Column18]])</f>
        <v>4</v>
      </c>
      <c r="D145" t="str">
        <f>_xlfn.XLOOKUP(Table16[[#This Row],[Name]],Table4[Name],Table4[Points],"DNP",0,1)</f>
        <v>DNP</v>
      </c>
      <c r="E145" t="str">
        <f>_xlfn.XLOOKUP(Table16[[#This Row],[Name]],Table9[Name],Table9[Points],"DNP",0,1)</f>
        <v>DNP</v>
      </c>
      <c r="F145" t="str">
        <f>_xlfn.XLOOKUP(Table16[[#This Row],[Name]],Table18[Name],Table18[Points],"DNP",0,1)</f>
        <v>DNP</v>
      </c>
      <c r="G145" t="str">
        <f>_xlfn.XLOOKUP(Table16[[#This Row],[Name]],Table2[Name],Table2[Points],"DNP",0,1)</f>
        <v>DNP</v>
      </c>
      <c r="H145" t="str">
        <f>_xlfn.XLOOKUP(Table16[[#This Row],[Name]],Table211[Name],Table211[Points],"DNP",0,1)</f>
        <v>DNP</v>
      </c>
      <c r="I145" t="str">
        <f>_xlfn.XLOOKUP(Table16[[#This Row],[Name]],Table21112[Name],Table21112[Points],"DNP",0,1)</f>
        <v>DNP</v>
      </c>
      <c r="J145" t="str">
        <f>_xlfn.XLOOKUP(Table16[[#This Row],[Name]],Table21112164[Name],Table21112164[Points],"DNP",0,1)</f>
        <v>DNP</v>
      </c>
      <c r="K145" t="str">
        <f>_xlfn.XLOOKUP(Table16[[#This Row],[Name]],Table2111216420[Name],Table2111216420[Points],"DNP",0,1)</f>
        <v>DNP</v>
      </c>
      <c r="L145" t="str">
        <f>_xlfn.XLOOKUP(Table16[[#This Row],[Name]],Table211121642021[Name],Table211121642021[Points],"DNP",0,1)</f>
        <v>DNP</v>
      </c>
      <c r="M145" t="str">
        <f>_xlfn.XLOOKUP(Table16[[#This Row],[Name]],Table21112164202122[Name],Table21112164202122[Points],"DNP",0,1)</f>
        <v>DNP</v>
      </c>
      <c r="N145">
        <f>_xlfn.XLOOKUP(Table16[[#This Row],[Name]],Table2111216420212223[Name],Table2111216420212223[Points],"DNP",0,1)</f>
        <v>1</v>
      </c>
      <c r="O145">
        <f>_xlfn.XLOOKUP(Table16[[#This Row],[Name]],Table211121642021222325[Name],Table211121642021222325[Points],"DNP",0,1)</f>
        <v>1</v>
      </c>
      <c r="P145">
        <f>_xlfn.XLOOKUP(Table16[[#This Row],[Name]],Table21112164202122232534[Name],Table21112164202122232534[Points],"DNP",0,1)</f>
        <v>2</v>
      </c>
      <c r="Q145" t="str">
        <f>_xlfn.XLOOKUP(Table16[[#This Row],[Name]],Table2111216420212223253435[Name],Table2111216420212223253435[Points],"DNP",0,1)</f>
        <v>DNP</v>
      </c>
      <c r="R145" t="str">
        <f>_xlfn.XLOOKUP(Table16[[#This Row],[Name]],Table211121642021222325343536[Name],Table211121642021222325343536[Points],"DNP",0,1)</f>
        <v>DNP</v>
      </c>
      <c r="S145" t="str">
        <f>_xlfn.XLOOKUP(Table16[[#This Row],[Name]],Table21112164202122232534353637[Name],Table21112164202122232534353637[Points],"DNP",0,1)</f>
        <v>DNP</v>
      </c>
      <c r="T145" t="str">
        <f>_xlfn.XLOOKUP(Table16[[#This Row],[Name]],Table2111216420212223253435363738[Name],Table2111216420212223253435363738[Points],"DNP",0,1)</f>
        <v>DNP</v>
      </c>
      <c r="U145" t="str">
        <f>_xlfn.XLOOKUP(Table16[[#This Row],[Name]],Table2111216420212223253435363739[Name],Table2111216420212223253435363739[Points],"DNP",0,1)</f>
        <v>DNP</v>
      </c>
      <c r="V145" t="str">
        <f>_xlfn.XLOOKUP(Table16[[#This Row],[Name]],Table211121642021222325343536373841[Name],Table211121642021222325343536373841[Points],"DNP",0,1)</f>
        <v>DNP</v>
      </c>
    </row>
    <row r="146" spans="2:22">
      <c r="B146" t="str">
        <f>IFERROR(Table5[[#This Row],[Full name]],"")</f>
        <v>Dehou Kong</v>
      </c>
      <c r="C146" s="68">
        <f>SUM(Table16[[#This Row],[September 30, 2025]:[Column18]])</f>
        <v>3</v>
      </c>
      <c r="D146">
        <f>_xlfn.XLOOKUP(Table16[[#This Row],[Name]],Table4[Name],Table4[Points],"DNP",0,1)</f>
        <v>1</v>
      </c>
      <c r="E146" t="str">
        <f>_xlfn.XLOOKUP(Table16[[#This Row],[Name]],Table9[Name],Table9[Points],"DNP",0,1)</f>
        <v>DNP</v>
      </c>
      <c r="F146">
        <f>_xlfn.XLOOKUP(Table16[[#This Row],[Name]],Table18[Name],Table18[Points],"DNP",0,1)</f>
        <v>1</v>
      </c>
      <c r="G146" t="str">
        <f>_xlfn.XLOOKUP(Table16[[#This Row],[Name]],Table2[Name],Table2[Points],"DNP",0,1)</f>
        <v>DNP</v>
      </c>
      <c r="H146" t="str">
        <f>_xlfn.XLOOKUP(Table16[[#This Row],[Name]],Table211[Name],Table211[Points],"DNP",0,1)</f>
        <v>DNP</v>
      </c>
      <c r="I146" t="str">
        <f>_xlfn.XLOOKUP(Table16[[#This Row],[Name]],Table21112[Name],Table21112[Points],"DNP",0,1)</f>
        <v>DNP</v>
      </c>
      <c r="J146">
        <f>_xlfn.XLOOKUP(Table16[[#This Row],[Name]],Table21112164[Name],Table21112164[Points],"DNP",0,1)</f>
        <v>1</v>
      </c>
      <c r="K146" t="str">
        <f>_xlfn.XLOOKUP(Table16[[#This Row],[Name]],Table2111216420[Name],Table2111216420[Points],"DNP",0,1)</f>
        <v>DNP</v>
      </c>
      <c r="L146" t="str">
        <f>_xlfn.XLOOKUP(Table16[[#This Row],[Name]],Table211121642021[Name],Table211121642021[Points],"DNP",0,1)</f>
        <v>DNP</v>
      </c>
      <c r="M146" t="str">
        <f>_xlfn.XLOOKUP(Table16[[#This Row],[Name]],Table21112164202122[Name],Table21112164202122[Points],"DNP",0,1)</f>
        <v>DNP</v>
      </c>
      <c r="N146" t="str">
        <f>_xlfn.XLOOKUP(Table16[[#This Row],[Name]],Table2111216420212223[Name],Table2111216420212223[Points],"DNP",0,1)</f>
        <v>DNP</v>
      </c>
      <c r="O146" t="str">
        <f>_xlfn.XLOOKUP(Table16[[#This Row],[Name]],Table211121642021222325[Name],Table211121642021222325[Points],"DNP",0,1)</f>
        <v>DNP</v>
      </c>
      <c r="P146" t="str">
        <f>_xlfn.XLOOKUP(Table16[[#This Row],[Name]],Table21112164202122232534[Name],Table21112164202122232534[Points],"DNP",0,1)</f>
        <v>DNP</v>
      </c>
      <c r="Q146" t="str">
        <f>_xlfn.XLOOKUP(Table16[[#This Row],[Name]],Table2111216420212223253435[Name],Table2111216420212223253435[Points],"DNP",0,1)</f>
        <v>DNP</v>
      </c>
      <c r="R146" t="str">
        <f>_xlfn.XLOOKUP(Table16[[#This Row],[Name]],Table211121642021222325343536[Name],Table211121642021222325343536[Points],"DNP",0,1)</f>
        <v>DNP</v>
      </c>
      <c r="S146" t="str">
        <f>_xlfn.XLOOKUP(Table16[[#This Row],[Name]],Table21112164202122232534353637[Name],Table21112164202122232534353637[Points],"DNP",0,1)</f>
        <v>DNP</v>
      </c>
      <c r="T146" t="str">
        <f>_xlfn.XLOOKUP(Table16[[#This Row],[Name]],Table2111216420212223253435363738[Name],Table2111216420212223253435363738[Points],"DNP",0,1)</f>
        <v>DNP</v>
      </c>
      <c r="U146" t="str">
        <f>_xlfn.XLOOKUP(Table16[[#This Row],[Name]],Table2111216420212223253435363739[Name],Table2111216420212223253435363739[Points],"DNP",0,1)</f>
        <v>DNP</v>
      </c>
      <c r="V146" t="str">
        <f>_xlfn.XLOOKUP(Table16[[#This Row],[Name]],Table211121642021222325343536373841[Name],Table211121642021222325343536373841[Points],"DNP",0,1)</f>
        <v>DNP</v>
      </c>
    </row>
    <row r="147" spans="2:22">
      <c r="B147" t="str">
        <f>IFERROR(Table5[[#This Row],[Full name]],"")</f>
        <v>Deniz Shelica</v>
      </c>
      <c r="C147" s="68">
        <f>SUM(Table16[[#This Row],[September 30, 2025]:[Column18]])</f>
        <v>1</v>
      </c>
      <c r="D147" t="str">
        <f>_xlfn.XLOOKUP(Table16[[#This Row],[Name]],Table4[Name],Table4[Points],"DNP",0,1)</f>
        <v>DNP</v>
      </c>
      <c r="E147" t="str">
        <f>_xlfn.XLOOKUP(Table16[[#This Row],[Name]],Table9[Name],Table9[Points],"DNP",0,1)</f>
        <v>DNP</v>
      </c>
      <c r="F147" t="str">
        <f>_xlfn.XLOOKUP(Table16[[#This Row],[Name]],Table18[Name],Table18[Points],"DNP",0,1)</f>
        <v>DNP</v>
      </c>
      <c r="G147" t="str">
        <f>_xlfn.XLOOKUP(Table16[[#This Row],[Name]],Table2[Name],Table2[Points],"DNP",0,1)</f>
        <v>DNP</v>
      </c>
      <c r="H147" t="str">
        <f>_xlfn.XLOOKUP(Table16[[#This Row],[Name]],Table211[Name],Table211[Points],"DNP",0,1)</f>
        <v>DNP</v>
      </c>
      <c r="I147" t="str">
        <f>_xlfn.XLOOKUP(Table16[[#This Row],[Name]],Table21112[Name],Table21112[Points],"DNP",0,1)</f>
        <v>DNP</v>
      </c>
      <c r="J147" t="str">
        <f>_xlfn.XLOOKUP(Table16[[#This Row],[Name]],Table21112164[Name],Table21112164[Points],"DNP",0,1)</f>
        <v>DNP</v>
      </c>
      <c r="K147" t="str">
        <f>_xlfn.XLOOKUP(Table16[[#This Row],[Name]],Table2111216420[Name],Table2111216420[Points],"DNP",0,1)</f>
        <v>DNP</v>
      </c>
      <c r="L147" t="str">
        <f>_xlfn.XLOOKUP(Table16[[#This Row],[Name]],Table211121642021[Name],Table211121642021[Points],"DNP",0,1)</f>
        <v>DNP</v>
      </c>
      <c r="M147" t="str">
        <f>_xlfn.XLOOKUP(Table16[[#This Row],[Name]],Table21112164202122[Name],Table21112164202122[Points],"DNP",0,1)</f>
        <v>DNP</v>
      </c>
      <c r="N147" t="str">
        <f>_xlfn.XLOOKUP(Table16[[#This Row],[Name]],Table2111216420212223[Name],Table2111216420212223[Points],"DNP",0,1)</f>
        <v>DNP</v>
      </c>
      <c r="O147" t="str">
        <f>_xlfn.XLOOKUP(Table16[[#This Row],[Name]],Table211121642021222325[Name],Table211121642021222325[Points],"DNP",0,1)</f>
        <v>DNP</v>
      </c>
      <c r="P147" t="str">
        <f>_xlfn.XLOOKUP(Table16[[#This Row],[Name]],Table21112164202122232534[Name],Table21112164202122232534[Points],"DNP",0,1)</f>
        <v>DNP</v>
      </c>
      <c r="Q147" t="str">
        <f>_xlfn.XLOOKUP(Table16[[#This Row],[Name]],Table2111216420212223253435[Name],Table2111216420212223253435[Points],"DNP",0,1)</f>
        <v>DNP</v>
      </c>
      <c r="R147" t="str">
        <f>_xlfn.XLOOKUP(Table16[[#This Row],[Name]],Table211121642021222325343536[Name],Table211121642021222325343536[Points],"DNP",0,1)</f>
        <v>DNP</v>
      </c>
      <c r="S147">
        <f>_xlfn.XLOOKUP(Table16[[#This Row],[Name]],Table21112164202122232534353637[Name],Table21112164202122232534353637[Points],"DNP",0,1)</f>
        <v>1</v>
      </c>
      <c r="T147" t="str">
        <f>_xlfn.XLOOKUP(Table16[[#This Row],[Name]],Table2111216420212223253435363738[Name],Table2111216420212223253435363738[Points],"DNP",0,1)</f>
        <v>DNP</v>
      </c>
      <c r="U147" t="str">
        <f>_xlfn.XLOOKUP(Table16[[#This Row],[Name]],Table2111216420212223253435363739[Name],Table2111216420212223253435363739[Points],"DNP",0,1)</f>
        <v>DNP</v>
      </c>
      <c r="V147" t="str">
        <f>_xlfn.XLOOKUP(Table16[[#This Row],[Name]],Table211121642021222325343536373841[Name],Table211121642021222325343536373841[Points],"DNP",0,1)</f>
        <v>DNP</v>
      </c>
    </row>
    <row r="148" spans="2:22">
      <c r="B148" t="str">
        <f>IFERROR(Table5[[#This Row],[Full name]],"")</f>
        <v>Dipraman Ghosh</v>
      </c>
      <c r="C148" s="68">
        <f>SUM(Table16[[#This Row],[September 30, 2025]:[Column18]])</f>
        <v>98</v>
      </c>
      <c r="D148" t="str">
        <f>_xlfn.XLOOKUP(Table16[[#This Row],[Name]],Table4[Name],Table4[Points],"DNP",0,1)</f>
        <v>DNP</v>
      </c>
      <c r="E148" t="str">
        <f>_xlfn.XLOOKUP(Table16[[#This Row],[Name]],Table9[Name],Table9[Points],"DNP",0,1)</f>
        <v>DNP</v>
      </c>
      <c r="F148" t="str">
        <f>_xlfn.XLOOKUP(Table16[[#This Row],[Name]],Table18[Name],Table18[Points],"DNP",0,1)</f>
        <v>DNP</v>
      </c>
      <c r="G148" t="str">
        <f>_xlfn.XLOOKUP(Table16[[#This Row],[Name]],Table2[Name],Table2[Points],"DNP",0,1)</f>
        <v>DNP</v>
      </c>
      <c r="H148" t="str">
        <f>_xlfn.XLOOKUP(Table16[[#This Row],[Name]],Table211[Name],Table211[Points],"DNP",0,1)</f>
        <v>DNP</v>
      </c>
      <c r="I148" t="str">
        <f>_xlfn.XLOOKUP(Table16[[#This Row],[Name]],Table21112[Name],Table21112[Points],"DNP",0,1)</f>
        <v>DNP</v>
      </c>
      <c r="J148" t="str">
        <f>_xlfn.XLOOKUP(Table16[[#This Row],[Name]],Table21112164[Name],Table21112164[Points],"DNP",0,1)</f>
        <v>DNP</v>
      </c>
      <c r="K148" t="str">
        <f>_xlfn.XLOOKUP(Table16[[#This Row],[Name]],Table2111216420[Name],Table2111216420[Points],"DNP",0,1)</f>
        <v>DNP</v>
      </c>
      <c r="L148" t="str">
        <f>_xlfn.XLOOKUP(Table16[[#This Row],[Name]],Table211121642021[Name],Table211121642021[Points],"DNP",0,1)</f>
        <v>DNP</v>
      </c>
      <c r="M148" t="str">
        <f>_xlfn.XLOOKUP(Table16[[#This Row],[Name]],Table21112164202122[Name],Table21112164202122[Points],"DNP",0,1)</f>
        <v>DNP</v>
      </c>
      <c r="N148">
        <f>_xlfn.XLOOKUP(Table16[[#This Row],[Name]],Table2111216420212223[Name],Table2111216420212223[Points],"DNP",0,1)</f>
        <v>50</v>
      </c>
      <c r="O148">
        <f>_xlfn.XLOOKUP(Table16[[#This Row],[Name]],Table211121642021222325[Name],Table211121642021222325[Points],"DNP",0,1)</f>
        <v>3</v>
      </c>
      <c r="P148">
        <f>_xlfn.XLOOKUP(Table16[[#This Row],[Name]],Table21112164202122232534[Name],Table21112164202122232534[Points],"DNP",0,1)</f>
        <v>2</v>
      </c>
      <c r="Q148">
        <f>_xlfn.XLOOKUP(Table16[[#This Row],[Name]],Table2111216420212223253435[Name],Table2111216420212223253435[Points],"DNP",0,1)</f>
        <v>38</v>
      </c>
      <c r="R148" t="str">
        <f>_xlfn.XLOOKUP(Table16[[#This Row],[Name]],Table211121642021222325343536[Name],Table211121642021222325343536[Points],"DNP",0,1)</f>
        <v>DNP</v>
      </c>
      <c r="S148">
        <f>_xlfn.XLOOKUP(Table16[[#This Row],[Name]],Table21112164202122232534353637[Name],Table21112164202122232534353637[Points],"DNP",0,1)</f>
        <v>1</v>
      </c>
      <c r="T148" t="str">
        <f>_xlfn.XLOOKUP(Table16[[#This Row],[Name]],Table2111216420212223253435363738[Name],Table2111216420212223253435363738[Points],"DNP",0,1)</f>
        <v>DNP</v>
      </c>
      <c r="U148">
        <f>_xlfn.XLOOKUP(Table16[[#This Row],[Name]],Table2111216420212223253435363739[Name],Table2111216420212223253435363739[Points],"DNP",0,1)</f>
        <v>2</v>
      </c>
      <c r="V148">
        <f>_xlfn.XLOOKUP(Table16[[#This Row],[Name]],Table211121642021222325343536373841[Name],Table211121642021222325343536373841[Points],"DNP",0,1)</f>
        <v>2</v>
      </c>
    </row>
    <row r="149" spans="2:22">
      <c r="B149" t="str">
        <f>IFERROR(Table5[[#This Row],[Full name]],"")</f>
        <v>Dominic Chiera</v>
      </c>
      <c r="C149" s="68">
        <f>SUM(Table16[[#This Row],[September 30, 2025]:[Column18]])</f>
        <v>36</v>
      </c>
      <c r="D149">
        <f>_xlfn.XLOOKUP(Table16[[#This Row],[Name]],Table4[Name],Table4[Points],"DNP",0,1)</f>
        <v>3</v>
      </c>
      <c r="E149">
        <f>_xlfn.XLOOKUP(Table16[[#This Row],[Name]],Table9[Name],Table9[Points],"DNP",0,1)</f>
        <v>2</v>
      </c>
      <c r="F149">
        <f>_xlfn.XLOOKUP(Table16[[#This Row],[Name]],Table18[Name],Table18[Points],"DNP",0,1)</f>
        <v>1</v>
      </c>
      <c r="G149">
        <f>_xlfn.XLOOKUP(Table16[[#This Row],[Name]],Table2[Name],Table2[Points],"DNP",0,1)</f>
        <v>1</v>
      </c>
      <c r="H149">
        <f>_xlfn.XLOOKUP(Table16[[#This Row],[Name]],Table211[Name],Table211[Points],"DNP",0,1)</f>
        <v>3</v>
      </c>
      <c r="I149" t="str">
        <f>_xlfn.XLOOKUP(Table16[[#This Row],[Name]],Table21112[Name],Table21112[Points],"DNP",0,1)</f>
        <v>DNP</v>
      </c>
      <c r="J149">
        <f>_xlfn.XLOOKUP(Table16[[#This Row],[Name]],Table21112164[Name],Table21112164[Points],"DNP",0,1)</f>
        <v>3</v>
      </c>
      <c r="K149">
        <f>_xlfn.XLOOKUP(Table16[[#This Row],[Name]],Table2111216420[Name],Table2111216420[Points],"DNP",0,1)</f>
        <v>2</v>
      </c>
      <c r="L149">
        <f>_xlfn.XLOOKUP(Table16[[#This Row],[Name]],Table211121642021[Name],Table211121642021[Points],"DNP",0,1)</f>
        <v>1</v>
      </c>
      <c r="M149" t="str">
        <f>_xlfn.XLOOKUP(Table16[[#This Row],[Name]],Table21112164202122[Name],Table21112164202122[Points],"DNP",0,1)</f>
        <v>DNP</v>
      </c>
      <c r="N149">
        <f>_xlfn.XLOOKUP(Table16[[#This Row],[Name]],Table2111216420212223[Name],Table2111216420212223[Points],"DNP",0,1)</f>
        <v>2</v>
      </c>
      <c r="O149">
        <f>_xlfn.XLOOKUP(Table16[[#This Row],[Name]],Table211121642021222325[Name],Table211121642021222325[Points],"DNP",0,1)</f>
        <v>1</v>
      </c>
      <c r="P149">
        <f>_xlfn.XLOOKUP(Table16[[#This Row],[Name]],Table21112164202122232534[Name],Table21112164202122232534[Points],"DNP",0,1)</f>
        <v>1</v>
      </c>
      <c r="Q149" t="str">
        <f>_xlfn.XLOOKUP(Table16[[#This Row],[Name]],Table2111216420212223253435[Name],Table2111216420212223253435[Points],"DNP",0,1)</f>
        <v>DNP</v>
      </c>
      <c r="R149" t="str">
        <f>_xlfn.XLOOKUP(Table16[[#This Row],[Name]],Table211121642021222325343536[Name],Table211121642021222325343536[Points],"DNP",0,1)</f>
        <v>DNP</v>
      </c>
      <c r="S149">
        <f>_xlfn.XLOOKUP(Table16[[#This Row],[Name]],Table21112164202122232534353637[Name],Table21112164202122232534353637[Points],"DNP",0,1)</f>
        <v>2</v>
      </c>
      <c r="T149">
        <f>_xlfn.XLOOKUP(Table16[[#This Row],[Name]],Table2111216420212223253435363738[Name],Table2111216420212223253435363738[Points],"DNP",0,1)</f>
        <v>2</v>
      </c>
      <c r="U149">
        <f>_xlfn.XLOOKUP(Table16[[#This Row],[Name]],Table2111216420212223253435363739[Name],Table2111216420212223253435363739[Points],"DNP",0,1)</f>
        <v>10</v>
      </c>
      <c r="V149">
        <f>_xlfn.XLOOKUP(Table16[[#This Row],[Name]],Table211121642021222325343536373841[Name],Table211121642021222325343536373841[Points],"DNP",0,1)</f>
        <v>2</v>
      </c>
    </row>
    <row r="150" spans="2:22">
      <c r="B150" t="str">
        <f>IFERROR(Table5[[#This Row],[Full name]],"")</f>
        <v>Dominik Nowakowski</v>
      </c>
      <c r="C150" s="68">
        <f>SUM(Table16[[#This Row],[September 30, 2025]:[Column18]])</f>
        <v>1</v>
      </c>
      <c r="D150" t="str">
        <f>_xlfn.XLOOKUP(Table16[[#This Row],[Name]],Table4[Name],Table4[Points],"DNP",0,1)</f>
        <v>DNP</v>
      </c>
      <c r="E150" t="str">
        <f>_xlfn.XLOOKUP(Table16[[#This Row],[Name]],Table9[Name],Table9[Points],"DNP",0,1)</f>
        <v>DNP</v>
      </c>
      <c r="F150" t="str">
        <f>_xlfn.XLOOKUP(Table16[[#This Row],[Name]],Table18[Name],Table18[Points],"DNP",0,1)</f>
        <v>DNP</v>
      </c>
      <c r="G150" t="str">
        <f>_xlfn.XLOOKUP(Table16[[#This Row],[Name]],Table2[Name],Table2[Points],"DNP",0,1)</f>
        <v>DNP</v>
      </c>
      <c r="H150" t="str">
        <f>_xlfn.XLOOKUP(Table16[[#This Row],[Name]],Table211[Name],Table211[Points],"DNP",0,1)</f>
        <v>DNP</v>
      </c>
      <c r="I150" t="str">
        <f>_xlfn.XLOOKUP(Table16[[#This Row],[Name]],Table21112[Name],Table21112[Points],"DNP",0,1)</f>
        <v>DNP</v>
      </c>
      <c r="J150" t="str">
        <f>_xlfn.XLOOKUP(Table16[[#This Row],[Name]],Table21112164[Name],Table21112164[Points],"DNP",0,1)</f>
        <v>DNP</v>
      </c>
      <c r="K150" t="str">
        <f>_xlfn.XLOOKUP(Table16[[#This Row],[Name]],Table2111216420[Name],Table2111216420[Points],"DNP",0,1)</f>
        <v>DNP</v>
      </c>
      <c r="L150" t="str">
        <f>_xlfn.XLOOKUP(Table16[[#This Row],[Name]],Table211121642021[Name],Table211121642021[Points],"DNP",0,1)</f>
        <v>DNP</v>
      </c>
      <c r="M150">
        <f>_xlfn.XLOOKUP(Table16[[#This Row],[Name]],Table21112164202122[Name],Table21112164202122[Points],"DNP",0,1)</f>
        <v>1</v>
      </c>
      <c r="N150" t="str">
        <f>_xlfn.XLOOKUP(Table16[[#This Row],[Name]],Table2111216420212223[Name],Table2111216420212223[Points],"DNP",0,1)</f>
        <v>DNP</v>
      </c>
      <c r="O150" t="str">
        <f>_xlfn.XLOOKUP(Table16[[#This Row],[Name]],Table211121642021222325[Name],Table211121642021222325[Points],"DNP",0,1)</f>
        <v>DNP</v>
      </c>
      <c r="P150" t="str">
        <f>_xlfn.XLOOKUP(Table16[[#This Row],[Name]],Table21112164202122232534[Name],Table21112164202122232534[Points],"DNP",0,1)</f>
        <v>DNP</v>
      </c>
      <c r="Q150" t="str">
        <f>_xlfn.XLOOKUP(Table16[[#This Row],[Name]],Table2111216420212223253435[Name],Table2111216420212223253435[Points],"DNP",0,1)</f>
        <v>DNP</v>
      </c>
      <c r="R150" t="str">
        <f>_xlfn.XLOOKUP(Table16[[#This Row],[Name]],Table211121642021222325343536[Name],Table211121642021222325343536[Points],"DNP",0,1)</f>
        <v>DNP</v>
      </c>
      <c r="S150" t="str">
        <f>_xlfn.XLOOKUP(Table16[[#This Row],[Name]],Table21112164202122232534353637[Name],Table21112164202122232534353637[Points],"DNP",0,1)</f>
        <v>DNP</v>
      </c>
      <c r="T150" t="str">
        <f>_xlfn.XLOOKUP(Table16[[#This Row],[Name]],Table2111216420212223253435363738[Name],Table2111216420212223253435363738[Points],"DNP",0,1)</f>
        <v>DNP</v>
      </c>
      <c r="U150" t="str">
        <f>_xlfn.XLOOKUP(Table16[[#This Row],[Name]],Table2111216420212223253435363739[Name],Table2111216420212223253435363739[Points],"DNP",0,1)</f>
        <v>DNP</v>
      </c>
      <c r="V150" t="str">
        <f>_xlfn.XLOOKUP(Table16[[#This Row],[Name]],Table211121642021222325343536373841[Name],Table211121642021222325343536373841[Points],"DNP",0,1)</f>
        <v>DNP</v>
      </c>
    </row>
    <row r="151" spans="2:22">
      <c r="B151" t="str">
        <f>IFERROR(Table5[[#This Row],[Full name]],"")</f>
        <v>Echo Bao</v>
      </c>
      <c r="C151" s="68">
        <f>SUM(Table16[[#This Row],[September 30, 2025]:[Column18]])</f>
        <v>0</v>
      </c>
      <c r="D151" t="str">
        <f>_xlfn.XLOOKUP(Table16[[#This Row],[Name]],Table4[Name],Table4[Points],"DNP",0,1)</f>
        <v>DNP</v>
      </c>
      <c r="E151" t="str">
        <f>_xlfn.XLOOKUP(Table16[[#This Row],[Name]],Table9[Name],Table9[Points],"DNP",0,1)</f>
        <v>DNP</v>
      </c>
      <c r="F151" t="str">
        <f>_xlfn.XLOOKUP(Table16[[#This Row],[Name]],Table18[Name],Table18[Points],"DNP",0,1)</f>
        <v>DNP</v>
      </c>
      <c r="G151" t="str">
        <f>_xlfn.XLOOKUP(Table16[[#This Row],[Name]],Table2[Name],Table2[Points],"DNP",0,1)</f>
        <v>DNP</v>
      </c>
      <c r="H151" t="str">
        <f>_xlfn.XLOOKUP(Table16[[#This Row],[Name]],Table211[Name],Table211[Points],"DNP",0,1)</f>
        <v>DNP</v>
      </c>
      <c r="I151" t="str">
        <f>_xlfn.XLOOKUP(Table16[[#This Row],[Name]],Table21112[Name],Table21112[Points],"DNP",0,1)</f>
        <v>DNP</v>
      </c>
      <c r="J151" t="str">
        <f>_xlfn.XLOOKUP(Table16[[#This Row],[Name]],Table21112164[Name],Table21112164[Points],"DNP",0,1)</f>
        <v>DNP</v>
      </c>
      <c r="K151" t="str">
        <f>_xlfn.XLOOKUP(Table16[[#This Row],[Name]],Table2111216420[Name],Table2111216420[Points],"DNP",0,1)</f>
        <v>DNP</v>
      </c>
      <c r="L151" t="str">
        <f>_xlfn.XLOOKUP(Table16[[#This Row],[Name]],Table211121642021[Name],Table211121642021[Points],"DNP",0,1)</f>
        <v>DNP</v>
      </c>
      <c r="M151" t="str">
        <f>_xlfn.XLOOKUP(Table16[[#This Row],[Name]],Table21112164202122[Name],Table21112164202122[Points],"DNP",0,1)</f>
        <v>DNP</v>
      </c>
      <c r="N151" t="str">
        <f>_xlfn.XLOOKUP(Table16[[#This Row],[Name]],Table2111216420212223[Name],Table2111216420212223[Points],"DNP",0,1)</f>
        <v>DNP</v>
      </c>
      <c r="O151" t="str">
        <f>_xlfn.XLOOKUP(Table16[[#This Row],[Name]],Table211121642021222325[Name],Table211121642021222325[Points],"DNP",0,1)</f>
        <v>DNP</v>
      </c>
      <c r="P151" t="str">
        <f>_xlfn.XLOOKUP(Table16[[#This Row],[Name]],Table21112164202122232534[Name],Table21112164202122232534[Points],"DNP",0,1)</f>
        <v>DNP</v>
      </c>
      <c r="Q151" t="str">
        <f>_xlfn.XLOOKUP(Table16[[#This Row],[Name]],Table2111216420212223253435[Name],Table2111216420212223253435[Points],"DNP",0,1)</f>
        <v>DNP</v>
      </c>
      <c r="R151" t="str">
        <f>_xlfn.XLOOKUP(Table16[[#This Row],[Name]],Table211121642021222325343536[Name],Table211121642021222325343536[Points],"DNP",0,1)</f>
        <v>DNP</v>
      </c>
      <c r="S151" t="str">
        <f>_xlfn.XLOOKUP(Table16[[#This Row],[Name]],Table21112164202122232534353637[Name],Table21112164202122232534353637[Points],"DNP",0,1)</f>
        <v>DNP</v>
      </c>
      <c r="T151" t="str">
        <f>_xlfn.XLOOKUP(Table16[[#This Row],[Name]],Table2111216420212223253435363738[Name],Table2111216420212223253435363738[Points],"DNP",0,1)</f>
        <v>DNP</v>
      </c>
      <c r="U151" t="str">
        <f>_xlfn.XLOOKUP(Table16[[#This Row],[Name]],Table2111216420212223253435363739[Name],Table2111216420212223253435363739[Points],"DNP",0,1)</f>
        <v>DNP</v>
      </c>
      <c r="V151" t="str">
        <f>_xlfn.XLOOKUP(Table16[[#This Row],[Name]],Table211121642021222325343536373841[Name],Table211121642021222325343536373841[Points],"DNP",0,1)</f>
        <v>DNP</v>
      </c>
    </row>
    <row r="152" spans="2:22">
      <c r="B152" t="str">
        <f>IFERROR(Table5[[#This Row],[Full name]],"")</f>
        <v>Edison Li</v>
      </c>
      <c r="C152" s="68">
        <f>SUM(Table16[[#This Row],[September 30, 2025]:[Column18]])</f>
        <v>59</v>
      </c>
      <c r="D152">
        <f>_xlfn.XLOOKUP(Table16[[#This Row],[Name]],Table4[Name],Table4[Points],"DNP",0,1)</f>
        <v>2</v>
      </c>
      <c r="E152" t="str">
        <f>_xlfn.XLOOKUP(Table16[[#This Row],[Name]],Table9[Name],Table9[Points],"DNP",0,1)</f>
        <v>DNP</v>
      </c>
      <c r="F152">
        <f>_xlfn.XLOOKUP(Table16[[#This Row],[Name]],Table18[Name],Table18[Points],"DNP",0,1)</f>
        <v>50</v>
      </c>
      <c r="G152" t="str">
        <f>_xlfn.XLOOKUP(Table16[[#This Row],[Name]],Table2[Name],Table2[Points],"DNP",0,1)</f>
        <v>DNP</v>
      </c>
      <c r="H152">
        <f>_xlfn.XLOOKUP(Table16[[#This Row],[Name]],Table211[Name],Table211[Points],"DNP",0,1)</f>
        <v>2</v>
      </c>
      <c r="I152" t="str">
        <f>_xlfn.XLOOKUP(Table16[[#This Row],[Name]],Table21112[Name],Table21112[Points],"DNP",0,1)</f>
        <v>DNP</v>
      </c>
      <c r="J152">
        <f>_xlfn.XLOOKUP(Table16[[#This Row],[Name]],Table21112164[Name],Table21112164[Points],"DNP",0,1)</f>
        <v>4</v>
      </c>
      <c r="K152" t="str">
        <f>_xlfn.XLOOKUP(Table16[[#This Row],[Name]],Table2111216420[Name],Table2111216420[Points],"DNP",0,1)</f>
        <v>DNP</v>
      </c>
      <c r="L152">
        <f>_xlfn.XLOOKUP(Table16[[#This Row],[Name]],Table211121642021[Name],Table211121642021[Points],"DNP",0,1)</f>
        <v>1</v>
      </c>
      <c r="M152" t="str">
        <f>_xlfn.XLOOKUP(Table16[[#This Row],[Name]],Table21112164202122[Name],Table21112164202122[Points],"DNP",0,1)</f>
        <v>DNP</v>
      </c>
      <c r="N152" t="str">
        <f>_xlfn.XLOOKUP(Table16[[#This Row],[Name]],Table2111216420212223[Name],Table2111216420212223[Points],"DNP",0,1)</f>
        <v>DNP</v>
      </c>
      <c r="O152" t="str">
        <f>_xlfn.XLOOKUP(Table16[[#This Row],[Name]],Table211121642021222325[Name],Table211121642021222325[Points],"DNP",0,1)</f>
        <v>DNP</v>
      </c>
      <c r="P152" t="str">
        <f>_xlfn.XLOOKUP(Table16[[#This Row],[Name]],Table21112164202122232534[Name],Table21112164202122232534[Points],"DNP",0,1)</f>
        <v>DNP</v>
      </c>
      <c r="Q152" t="str">
        <f>_xlfn.XLOOKUP(Table16[[#This Row],[Name]],Table2111216420212223253435[Name],Table2111216420212223253435[Points],"DNP",0,1)</f>
        <v>DNP</v>
      </c>
      <c r="R152" t="str">
        <f>_xlfn.XLOOKUP(Table16[[#This Row],[Name]],Table211121642021222325343536[Name],Table211121642021222325343536[Points],"DNP",0,1)</f>
        <v>DNP</v>
      </c>
      <c r="S152" t="str">
        <f>_xlfn.XLOOKUP(Table16[[#This Row],[Name]],Table21112164202122232534353637[Name],Table21112164202122232534353637[Points],"DNP",0,1)</f>
        <v>DNP</v>
      </c>
      <c r="T152" t="str">
        <f>_xlfn.XLOOKUP(Table16[[#This Row],[Name]],Table2111216420212223253435363738[Name],Table2111216420212223253435363738[Points],"DNP",0,1)</f>
        <v>DNP</v>
      </c>
      <c r="U152" t="str">
        <f>_xlfn.XLOOKUP(Table16[[#This Row],[Name]],Table2111216420212223253435363739[Name],Table2111216420212223253435363739[Points],"DNP",0,1)</f>
        <v>DNP</v>
      </c>
      <c r="V152" t="str">
        <f>_xlfn.XLOOKUP(Table16[[#This Row],[Name]],Table211121642021222325343536373841[Name],Table211121642021222325343536373841[Points],"DNP",0,1)</f>
        <v>DNP</v>
      </c>
    </row>
    <row r="153" spans="2:22">
      <c r="B153" t="str">
        <f>IFERROR(Table5[[#This Row],[Full name]],"")</f>
        <v>Edward Yang</v>
      </c>
      <c r="C153" s="68">
        <f>SUM(Table16[[#This Row],[September 30, 2025]:[Column18]])</f>
        <v>1</v>
      </c>
      <c r="D153" t="str">
        <f>_xlfn.XLOOKUP(Table16[[#This Row],[Name]],Table4[Name],Table4[Points],"DNP",0,1)</f>
        <v>DNP</v>
      </c>
      <c r="E153" t="str">
        <f>_xlfn.XLOOKUP(Table16[[#This Row],[Name]],Table9[Name],Table9[Points],"DNP",0,1)</f>
        <v>DNP</v>
      </c>
      <c r="F153" t="str">
        <f>_xlfn.XLOOKUP(Table16[[#This Row],[Name]],Table18[Name],Table18[Points],"DNP",0,1)</f>
        <v>DNP</v>
      </c>
      <c r="G153" t="str">
        <f>_xlfn.XLOOKUP(Table16[[#This Row],[Name]],Table2[Name],Table2[Points],"DNP",0,1)</f>
        <v>DNP</v>
      </c>
      <c r="H153" t="str">
        <f>_xlfn.XLOOKUP(Table16[[#This Row],[Name]],Table211[Name],Table211[Points],"DNP",0,1)</f>
        <v>DNP</v>
      </c>
      <c r="I153" t="str">
        <f>_xlfn.XLOOKUP(Table16[[#This Row],[Name]],Table21112[Name],Table21112[Points],"DNP",0,1)</f>
        <v>DNP</v>
      </c>
      <c r="J153" t="str">
        <f>_xlfn.XLOOKUP(Table16[[#This Row],[Name]],Table21112164[Name],Table21112164[Points],"DNP",0,1)</f>
        <v>DNP</v>
      </c>
      <c r="K153" t="str">
        <f>_xlfn.XLOOKUP(Table16[[#This Row],[Name]],Table2111216420[Name],Table2111216420[Points],"DNP",0,1)</f>
        <v>DNP</v>
      </c>
      <c r="L153">
        <f>_xlfn.XLOOKUP(Table16[[#This Row],[Name]],Table211121642021[Name],Table211121642021[Points],"DNP",0,1)</f>
        <v>1</v>
      </c>
      <c r="M153" t="str">
        <f>_xlfn.XLOOKUP(Table16[[#This Row],[Name]],Table21112164202122[Name],Table21112164202122[Points],"DNP",0,1)</f>
        <v>DNP</v>
      </c>
      <c r="N153" t="str">
        <f>_xlfn.XLOOKUP(Table16[[#This Row],[Name]],Table2111216420212223[Name],Table2111216420212223[Points],"DNP",0,1)</f>
        <v>DNP</v>
      </c>
      <c r="O153" t="str">
        <f>_xlfn.XLOOKUP(Table16[[#This Row],[Name]],Table211121642021222325[Name],Table211121642021222325[Points],"DNP",0,1)</f>
        <v>DNP</v>
      </c>
      <c r="P153" t="str">
        <f>_xlfn.XLOOKUP(Table16[[#This Row],[Name]],Table21112164202122232534[Name],Table21112164202122232534[Points],"DNP",0,1)</f>
        <v>DNP</v>
      </c>
      <c r="Q153" t="str">
        <f>_xlfn.XLOOKUP(Table16[[#This Row],[Name]],Table2111216420212223253435[Name],Table2111216420212223253435[Points],"DNP",0,1)</f>
        <v>DNP</v>
      </c>
      <c r="R153" t="str">
        <f>_xlfn.XLOOKUP(Table16[[#This Row],[Name]],Table211121642021222325343536[Name],Table211121642021222325343536[Points],"DNP",0,1)</f>
        <v>DNP</v>
      </c>
      <c r="S153" t="str">
        <f>_xlfn.XLOOKUP(Table16[[#This Row],[Name]],Table21112164202122232534353637[Name],Table21112164202122232534353637[Points],"DNP",0,1)</f>
        <v>DNP</v>
      </c>
      <c r="T153" t="str">
        <f>_xlfn.XLOOKUP(Table16[[#This Row],[Name]],Table2111216420212223253435363738[Name],Table2111216420212223253435363738[Points],"DNP",0,1)</f>
        <v>DNP</v>
      </c>
      <c r="U153" t="str">
        <f>_xlfn.XLOOKUP(Table16[[#This Row],[Name]],Table2111216420212223253435363739[Name],Table2111216420212223253435363739[Points],"DNP",0,1)</f>
        <v>DNP</v>
      </c>
      <c r="V153" t="str">
        <f>_xlfn.XLOOKUP(Table16[[#This Row],[Name]],Table211121642021222325343536373841[Name],Table211121642021222325343536373841[Points],"DNP",0,1)</f>
        <v>DNP</v>
      </c>
    </row>
    <row r="154" spans="2:22">
      <c r="B154" t="str">
        <f>IFERROR(Table5[[#This Row],[Full name]],"")</f>
        <v>Eesa Huq</v>
      </c>
      <c r="C154" s="68">
        <f>SUM(Table16[[#This Row],[September 30, 2025]:[Column18]])</f>
        <v>0</v>
      </c>
      <c r="D154" t="str">
        <f>_xlfn.XLOOKUP(Table16[[#This Row],[Name]],Table4[Name],Table4[Points],"DNP",0,1)</f>
        <v>DNP</v>
      </c>
      <c r="E154" t="str">
        <f>_xlfn.XLOOKUP(Table16[[#This Row],[Name]],Table9[Name],Table9[Points],"DNP",0,1)</f>
        <v>DNP</v>
      </c>
      <c r="F154" t="str">
        <f>_xlfn.XLOOKUP(Table16[[#This Row],[Name]],Table18[Name],Table18[Points],"DNP",0,1)</f>
        <v>DNP</v>
      </c>
      <c r="G154" t="str">
        <f>_xlfn.XLOOKUP(Table16[[#This Row],[Name]],Table2[Name],Table2[Points],"DNP",0,1)</f>
        <v>DNP</v>
      </c>
      <c r="H154" t="str">
        <f>_xlfn.XLOOKUP(Table16[[#This Row],[Name]],Table211[Name],Table211[Points],"DNP",0,1)</f>
        <v>DNP</v>
      </c>
      <c r="I154" t="str">
        <f>_xlfn.XLOOKUP(Table16[[#This Row],[Name]],Table21112[Name],Table21112[Points],"DNP",0,1)</f>
        <v>DNP</v>
      </c>
      <c r="J154" t="str">
        <f>_xlfn.XLOOKUP(Table16[[#This Row],[Name]],Table21112164[Name],Table21112164[Points],"DNP",0,1)</f>
        <v>DNP</v>
      </c>
      <c r="K154" t="str">
        <f>_xlfn.XLOOKUP(Table16[[#This Row],[Name]],Table2111216420[Name],Table2111216420[Points],"DNP",0,1)</f>
        <v>DNP</v>
      </c>
      <c r="L154" t="str">
        <f>_xlfn.XLOOKUP(Table16[[#This Row],[Name]],Table211121642021[Name],Table211121642021[Points],"DNP",0,1)</f>
        <v>DNP</v>
      </c>
      <c r="M154" t="str">
        <f>_xlfn.XLOOKUP(Table16[[#This Row],[Name]],Table21112164202122[Name],Table21112164202122[Points],"DNP",0,1)</f>
        <v>DNP</v>
      </c>
      <c r="N154" t="str">
        <f>_xlfn.XLOOKUP(Table16[[#This Row],[Name]],Table2111216420212223[Name],Table2111216420212223[Points],"DNP",0,1)</f>
        <v>DNP</v>
      </c>
      <c r="O154" t="str">
        <f>_xlfn.XLOOKUP(Table16[[#This Row],[Name]],Table211121642021222325[Name],Table211121642021222325[Points],"DNP",0,1)</f>
        <v>DNP</v>
      </c>
      <c r="P154" t="str">
        <f>_xlfn.XLOOKUP(Table16[[#This Row],[Name]],Table21112164202122232534[Name],Table21112164202122232534[Points],"DNP",0,1)</f>
        <v>DNP</v>
      </c>
      <c r="Q154" t="str">
        <f>_xlfn.XLOOKUP(Table16[[#This Row],[Name]],Table2111216420212223253435[Name],Table2111216420212223253435[Points],"DNP",0,1)</f>
        <v>DNP</v>
      </c>
      <c r="R154" t="str">
        <f>_xlfn.XLOOKUP(Table16[[#This Row],[Name]],Table211121642021222325343536[Name],Table211121642021222325343536[Points],"DNP",0,1)</f>
        <v>DNP</v>
      </c>
      <c r="S154" t="str">
        <f>_xlfn.XLOOKUP(Table16[[#This Row],[Name]],Table21112164202122232534353637[Name],Table21112164202122232534353637[Points],"DNP",0,1)</f>
        <v>DNP</v>
      </c>
      <c r="T154" t="str">
        <f>_xlfn.XLOOKUP(Table16[[#This Row],[Name]],Table2111216420212223253435363738[Name],Table2111216420212223253435363738[Points],"DNP",0,1)</f>
        <v>DNP</v>
      </c>
      <c r="U154" t="str">
        <f>_xlfn.XLOOKUP(Table16[[#This Row],[Name]],Table2111216420212223253435363739[Name],Table2111216420212223253435363739[Points],"DNP",0,1)</f>
        <v>DNP</v>
      </c>
      <c r="V154" t="str">
        <f>_xlfn.XLOOKUP(Table16[[#This Row],[Name]],Table211121642021222325343536373841[Name],Table211121642021222325343536373841[Points],"DNP",0,1)</f>
        <v>DNP</v>
      </c>
    </row>
    <row r="155" spans="2:22">
      <c r="B155" t="str">
        <f>IFERROR(Table5[[#This Row],[Full name]],"")</f>
        <v>Elbrus Gadmaliyev</v>
      </c>
      <c r="C155" s="68">
        <f>SUM(Table16[[#This Row],[September 30, 2025]:[Column18]])</f>
        <v>1</v>
      </c>
      <c r="D155" t="str">
        <f>_xlfn.XLOOKUP(Table16[[#This Row],[Name]],Table4[Name],Table4[Points],"DNP",0,1)</f>
        <v>DNP</v>
      </c>
      <c r="E155" t="str">
        <f>_xlfn.XLOOKUP(Table16[[#This Row],[Name]],Table9[Name],Table9[Points],"DNP",0,1)</f>
        <v>DNP</v>
      </c>
      <c r="F155" t="str">
        <f>_xlfn.XLOOKUP(Table16[[#This Row],[Name]],Table18[Name],Table18[Points],"DNP",0,1)</f>
        <v>DNP</v>
      </c>
      <c r="G155" t="str">
        <f>_xlfn.XLOOKUP(Table16[[#This Row],[Name]],Table2[Name],Table2[Points],"DNP",0,1)</f>
        <v>DNP</v>
      </c>
      <c r="H155" t="str">
        <f>_xlfn.XLOOKUP(Table16[[#This Row],[Name]],Table211[Name],Table211[Points],"DNP",0,1)</f>
        <v>DNP</v>
      </c>
      <c r="I155" t="str">
        <f>_xlfn.XLOOKUP(Table16[[#This Row],[Name]],Table21112[Name],Table21112[Points],"DNP",0,1)</f>
        <v>DNP</v>
      </c>
      <c r="J155" t="str">
        <f>_xlfn.XLOOKUP(Table16[[#This Row],[Name]],Table21112164[Name],Table21112164[Points],"DNP",0,1)</f>
        <v>DNP</v>
      </c>
      <c r="K155" t="str">
        <f>_xlfn.XLOOKUP(Table16[[#This Row],[Name]],Table2111216420[Name],Table2111216420[Points],"DNP",0,1)</f>
        <v>DNP</v>
      </c>
      <c r="L155" t="str">
        <f>_xlfn.XLOOKUP(Table16[[#This Row],[Name]],Table211121642021[Name],Table211121642021[Points],"DNP",0,1)</f>
        <v>DNP</v>
      </c>
      <c r="M155" t="str">
        <f>_xlfn.XLOOKUP(Table16[[#This Row],[Name]],Table21112164202122[Name],Table21112164202122[Points],"DNP",0,1)</f>
        <v>DNP</v>
      </c>
      <c r="N155" t="str">
        <f>_xlfn.XLOOKUP(Table16[[#This Row],[Name]],Table2111216420212223[Name],Table2111216420212223[Points],"DNP",0,1)</f>
        <v>DNP</v>
      </c>
      <c r="O155" t="str">
        <f>_xlfn.XLOOKUP(Table16[[#This Row],[Name]],Table211121642021222325[Name],Table211121642021222325[Points],"DNP",0,1)</f>
        <v>DNP</v>
      </c>
      <c r="P155">
        <f>_xlfn.XLOOKUP(Table16[[#This Row],[Name]],Table21112164202122232534[Name],Table21112164202122232534[Points],"DNP",0,1)</f>
        <v>1</v>
      </c>
      <c r="Q155" t="str">
        <f>_xlfn.XLOOKUP(Table16[[#This Row],[Name]],Table2111216420212223253435[Name],Table2111216420212223253435[Points],"DNP",0,1)</f>
        <v>DNP</v>
      </c>
      <c r="R155" t="str">
        <f>_xlfn.XLOOKUP(Table16[[#This Row],[Name]],Table211121642021222325343536[Name],Table211121642021222325343536[Points],"DNP",0,1)</f>
        <v>DNP</v>
      </c>
      <c r="S155" t="str">
        <f>_xlfn.XLOOKUP(Table16[[#This Row],[Name]],Table21112164202122232534353637[Name],Table21112164202122232534353637[Points],"DNP",0,1)</f>
        <v>DNP</v>
      </c>
      <c r="T155" t="str">
        <f>_xlfn.XLOOKUP(Table16[[#This Row],[Name]],Table2111216420212223253435363738[Name],Table2111216420212223253435363738[Points],"DNP",0,1)</f>
        <v>DNP</v>
      </c>
      <c r="U155" t="str">
        <f>_xlfn.XLOOKUP(Table16[[#This Row],[Name]],Table2111216420212223253435363739[Name],Table2111216420212223253435363739[Points],"DNP",0,1)</f>
        <v>DNP</v>
      </c>
      <c r="V155" t="str">
        <f>_xlfn.XLOOKUP(Table16[[#This Row],[Name]],Table211121642021222325343536373841[Name],Table211121642021222325343536373841[Points],"DNP",0,1)</f>
        <v>DNP</v>
      </c>
    </row>
    <row r="156" spans="2:22">
      <c r="B156" t="str">
        <f>IFERROR(Table5[[#This Row],[Full name]],"")</f>
        <v>Emma Scott</v>
      </c>
      <c r="C156" s="68">
        <f>SUM(Table16[[#This Row],[September 30, 2025]:[Column18]])</f>
        <v>4</v>
      </c>
      <c r="D156" t="str">
        <f>_xlfn.XLOOKUP(Table16[[#This Row],[Name]],Table4[Name],Table4[Points],"DNP",0,1)</f>
        <v>DNP</v>
      </c>
      <c r="E156" t="str">
        <f>_xlfn.XLOOKUP(Table16[[#This Row],[Name]],Table9[Name],Table9[Points],"DNP",0,1)</f>
        <v>DNP</v>
      </c>
      <c r="F156" t="str">
        <f>_xlfn.XLOOKUP(Table16[[#This Row],[Name]],Table18[Name],Table18[Points],"DNP",0,1)</f>
        <v>DNP</v>
      </c>
      <c r="G156" t="str">
        <f>_xlfn.XLOOKUP(Table16[[#This Row],[Name]],Table2[Name],Table2[Points],"DNP",0,1)</f>
        <v>DNP</v>
      </c>
      <c r="H156" t="str">
        <f>_xlfn.XLOOKUP(Table16[[#This Row],[Name]],Table211[Name],Table211[Points],"DNP",0,1)</f>
        <v>DNP</v>
      </c>
      <c r="I156" t="str">
        <f>_xlfn.XLOOKUP(Table16[[#This Row],[Name]],Table21112[Name],Table21112[Points],"DNP",0,1)</f>
        <v>DNP</v>
      </c>
      <c r="J156" t="str">
        <f>_xlfn.XLOOKUP(Table16[[#This Row],[Name]],Table21112164[Name],Table21112164[Points],"DNP",0,1)</f>
        <v>DNP</v>
      </c>
      <c r="K156" t="str">
        <f>_xlfn.XLOOKUP(Table16[[#This Row],[Name]],Table2111216420[Name],Table2111216420[Points],"DNP",0,1)</f>
        <v>DNP</v>
      </c>
      <c r="L156" t="str">
        <f>_xlfn.XLOOKUP(Table16[[#This Row],[Name]],Table211121642021[Name],Table211121642021[Points],"DNP",0,1)</f>
        <v>DNP</v>
      </c>
      <c r="M156" t="str">
        <f>_xlfn.XLOOKUP(Table16[[#This Row],[Name]],Table21112164202122[Name],Table21112164202122[Points],"DNP",0,1)</f>
        <v>DNP</v>
      </c>
      <c r="N156">
        <f>_xlfn.XLOOKUP(Table16[[#This Row],[Name]],Table2111216420212223[Name],Table2111216420212223[Points],"DNP",0,1)</f>
        <v>2</v>
      </c>
      <c r="O156" t="str">
        <f>_xlfn.XLOOKUP(Table16[[#This Row],[Name]],Table211121642021222325[Name],Table211121642021222325[Points],"DNP",0,1)</f>
        <v>DNP</v>
      </c>
      <c r="P156">
        <f>_xlfn.XLOOKUP(Table16[[#This Row],[Name]],Table21112164202122232534[Name],Table21112164202122232534[Points],"DNP",0,1)</f>
        <v>2</v>
      </c>
      <c r="Q156" t="str">
        <f>_xlfn.XLOOKUP(Table16[[#This Row],[Name]],Table2111216420212223253435[Name],Table2111216420212223253435[Points],"DNP",0,1)</f>
        <v>DNP</v>
      </c>
      <c r="R156" t="str">
        <f>_xlfn.XLOOKUP(Table16[[#This Row],[Name]],Table211121642021222325343536[Name],Table211121642021222325343536[Points],"DNP",0,1)</f>
        <v>DNP</v>
      </c>
      <c r="S156" t="str">
        <f>_xlfn.XLOOKUP(Table16[[#This Row],[Name]],Table21112164202122232534353637[Name],Table21112164202122232534353637[Points],"DNP",0,1)</f>
        <v>DNP</v>
      </c>
      <c r="T156" t="str">
        <f>_xlfn.XLOOKUP(Table16[[#This Row],[Name]],Table2111216420212223253435363738[Name],Table2111216420212223253435363738[Points],"DNP",0,1)</f>
        <v>DNP</v>
      </c>
      <c r="U156" t="str">
        <f>_xlfn.XLOOKUP(Table16[[#This Row],[Name]],Table2111216420212223253435363739[Name],Table2111216420212223253435363739[Points],"DNP",0,1)</f>
        <v>DNP</v>
      </c>
      <c r="V156" t="str">
        <f>_xlfn.XLOOKUP(Table16[[#This Row],[Name]],Table211121642021222325343536373841[Name],Table211121642021222325343536373841[Points],"DNP",0,1)</f>
        <v>DNP</v>
      </c>
    </row>
    <row r="157" spans="2:22">
      <c r="B157" t="str">
        <f>IFERROR(Table5[[#This Row],[Full name]],"")</f>
        <v>Emre Gulyurt</v>
      </c>
      <c r="C157" s="68">
        <f>SUM(Table16[[#This Row],[September 30, 2025]:[Column18]])</f>
        <v>0</v>
      </c>
      <c r="D157" t="str">
        <f>_xlfn.XLOOKUP(Table16[[#This Row],[Name]],Table4[Name],Table4[Points],"DNP",0,1)</f>
        <v>DNP</v>
      </c>
      <c r="E157" t="str">
        <f>_xlfn.XLOOKUP(Table16[[#This Row],[Name]],Table9[Name],Table9[Points],"DNP",0,1)</f>
        <v>DNP</v>
      </c>
      <c r="F157" t="str">
        <f>_xlfn.XLOOKUP(Table16[[#This Row],[Name]],Table18[Name],Table18[Points],"DNP",0,1)</f>
        <v>DNP</v>
      </c>
      <c r="G157" t="str">
        <f>_xlfn.XLOOKUP(Table16[[#This Row],[Name]],Table2[Name],Table2[Points],"DNP",0,1)</f>
        <v>DNP</v>
      </c>
      <c r="H157" t="str">
        <f>_xlfn.XLOOKUP(Table16[[#This Row],[Name]],Table211[Name],Table211[Points],"DNP",0,1)</f>
        <v>DNP</v>
      </c>
      <c r="I157" t="str">
        <f>_xlfn.XLOOKUP(Table16[[#This Row],[Name]],Table21112[Name],Table21112[Points],"DNP",0,1)</f>
        <v>DNP</v>
      </c>
      <c r="J157" t="str">
        <f>_xlfn.XLOOKUP(Table16[[#This Row],[Name]],Table21112164[Name],Table21112164[Points],"DNP",0,1)</f>
        <v>DNP</v>
      </c>
      <c r="K157" t="str">
        <f>_xlfn.XLOOKUP(Table16[[#This Row],[Name]],Table2111216420[Name],Table2111216420[Points],"DNP",0,1)</f>
        <v>DNP</v>
      </c>
      <c r="L157" t="str">
        <f>_xlfn.XLOOKUP(Table16[[#This Row],[Name]],Table211121642021[Name],Table211121642021[Points],"DNP",0,1)</f>
        <v>DNP</v>
      </c>
      <c r="M157" t="str">
        <f>_xlfn.XLOOKUP(Table16[[#This Row],[Name]],Table21112164202122[Name],Table21112164202122[Points],"DNP",0,1)</f>
        <v>DNP</v>
      </c>
      <c r="N157" t="str">
        <f>_xlfn.XLOOKUP(Table16[[#This Row],[Name]],Table2111216420212223[Name],Table2111216420212223[Points],"DNP",0,1)</f>
        <v>DNP</v>
      </c>
      <c r="O157" t="str">
        <f>_xlfn.XLOOKUP(Table16[[#This Row],[Name]],Table211121642021222325[Name],Table211121642021222325[Points],"DNP",0,1)</f>
        <v>DNP</v>
      </c>
      <c r="P157" t="str">
        <f>_xlfn.XLOOKUP(Table16[[#This Row],[Name]],Table21112164202122232534[Name],Table21112164202122232534[Points],"DNP",0,1)</f>
        <v>DNP</v>
      </c>
      <c r="Q157" t="str">
        <f>_xlfn.XLOOKUP(Table16[[#This Row],[Name]],Table2111216420212223253435[Name],Table2111216420212223253435[Points],"DNP",0,1)</f>
        <v>DNP</v>
      </c>
      <c r="R157" t="str">
        <f>_xlfn.XLOOKUP(Table16[[#This Row],[Name]],Table211121642021222325343536[Name],Table211121642021222325343536[Points],"DNP",0,1)</f>
        <v>DNP</v>
      </c>
      <c r="S157" t="str">
        <f>_xlfn.XLOOKUP(Table16[[#This Row],[Name]],Table21112164202122232534353637[Name],Table21112164202122232534353637[Points],"DNP",0,1)</f>
        <v>DNP</v>
      </c>
      <c r="T157" t="str">
        <f>_xlfn.XLOOKUP(Table16[[#This Row],[Name]],Table2111216420212223253435363738[Name],Table2111216420212223253435363738[Points],"DNP",0,1)</f>
        <v>DNP</v>
      </c>
      <c r="U157" t="str">
        <f>_xlfn.XLOOKUP(Table16[[#This Row],[Name]],Table2111216420212223253435363739[Name],Table2111216420212223253435363739[Points],"DNP",0,1)</f>
        <v>DNP</v>
      </c>
      <c r="V157" t="str">
        <f>_xlfn.XLOOKUP(Table16[[#This Row],[Name]],Table211121642021222325343536373841[Name],Table211121642021222325343536373841[Points],"DNP",0,1)</f>
        <v>DNP</v>
      </c>
    </row>
    <row r="158" spans="2:22">
      <c r="B158" t="str">
        <f>IFERROR(Table5[[#This Row],[Full name]],"")</f>
        <v>Erfan Zarenia</v>
      </c>
      <c r="C158" s="68">
        <f>SUM(Table16[[#This Row],[September 30, 2025]:[Column18]])</f>
        <v>18</v>
      </c>
      <c r="D158" t="str">
        <f>_xlfn.XLOOKUP(Table16[[#This Row],[Name]],Table4[Name],Table4[Points],"DNP",0,1)</f>
        <v>DNP</v>
      </c>
      <c r="E158">
        <f>_xlfn.XLOOKUP(Table16[[#This Row],[Name]],Table9[Name],Table9[Points],"DNP",0,1)</f>
        <v>1</v>
      </c>
      <c r="F158">
        <f>_xlfn.XLOOKUP(Table16[[#This Row],[Name]],Table18[Name],Table18[Points],"DNP",0,1)</f>
        <v>1</v>
      </c>
      <c r="G158" t="str">
        <f>_xlfn.XLOOKUP(Table16[[#This Row],[Name]],Table2[Name],Table2[Points],"DNP",0,1)</f>
        <v>DNP</v>
      </c>
      <c r="H158" t="str">
        <f>_xlfn.XLOOKUP(Table16[[#This Row],[Name]],Table211[Name],Table211[Points],"DNP",0,1)</f>
        <v>DNP</v>
      </c>
      <c r="I158" t="str">
        <f>_xlfn.XLOOKUP(Table16[[#This Row],[Name]],Table21112[Name],Table21112[Points],"DNP",0,1)</f>
        <v>DNP</v>
      </c>
      <c r="J158" t="str">
        <f>_xlfn.XLOOKUP(Table16[[#This Row],[Name]],Table21112164[Name],Table21112164[Points],"DNP",0,1)</f>
        <v>DNP</v>
      </c>
      <c r="K158" t="str">
        <f>_xlfn.XLOOKUP(Table16[[#This Row],[Name]],Table2111216420[Name],Table2111216420[Points],"DNP",0,1)</f>
        <v>DNP</v>
      </c>
      <c r="L158" t="str">
        <f>_xlfn.XLOOKUP(Table16[[#This Row],[Name]],Table211121642021[Name],Table211121642021[Points],"DNP",0,1)</f>
        <v>DNP</v>
      </c>
      <c r="M158">
        <f>_xlfn.XLOOKUP(Table16[[#This Row],[Name]],Table21112164202122[Name],Table21112164202122[Points],"DNP",0,1)</f>
        <v>2</v>
      </c>
      <c r="N158">
        <f>_xlfn.XLOOKUP(Table16[[#This Row],[Name]],Table2111216420212223[Name],Table2111216420212223[Points],"DNP",0,1)</f>
        <v>2</v>
      </c>
      <c r="O158">
        <f>_xlfn.XLOOKUP(Table16[[#This Row],[Name]],Table211121642021222325[Name],Table211121642021222325[Points],"DNP",0,1)</f>
        <v>10</v>
      </c>
      <c r="P158">
        <f>_xlfn.XLOOKUP(Table16[[#This Row],[Name]],Table21112164202122232534[Name],Table21112164202122232534[Points],"DNP",0,1)</f>
        <v>1</v>
      </c>
      <c r="Q158" t="str">
        <f>_xlfn.XLOOKUP(Table16[[#This Row],[Name]],Table2111216420212223253435[Name],Table2111216420212223253435[Points],"DNP",0,1)</f>
        <v>DNP</v>
      </c>
      <c r="R158" t="str">
        <f>_xlfn.XLOOKUP(Table16[[#This Row],[Name]],Table211121642021222325343536[Name],Table211121642021222325343536[Points],"DNP",0,1)</f>
        <v>DNP</v>
      </c>
      <c r="S158" t="str">
        <f>_xlfn.XLOOKUP(Table16[[#This Row],[Name]],Table21112164202122232534353637[Name],Table21112164202122232534353637[Points],"DNP",0,1)</f>
        <v>DNP</v>
      </c>
      <c r="T158" t="str">
        <f>_xlfn.XLOOKUP(Table16[[#This Row],[Name]],Table2111216420212223253435363738[Name],Table2111216420212223253435363738[Points],"DNP",0,1)</f>
        <v>DNP</v>
      </c>
      <c r="U158">
        <f>_xlfn.XLOOKUP(Table16[[#This Row],[Name]],Table2111216420212223253435363739[Name],Table2111216420212223253435363739[Points],"DNP",0,1)</f>
        <v>1</v>
      </c>
      <c r="V158" t="str">
        <f>_xlfn.XLOOKUP(Table16[[#This Row],[Name]],Table211121642021222325343536373841[Name],Table211121642021222325343536373841[Points],"DNP",0,1)</f>
        <v>DNP</v>
      </c>
    </row>
    <row r="159" spans="2:22">
      <c r="B159" t="str">
        <f>IFERROR(Table5[[#This Row],[Full name]],"")</f>
        <v>Eric Song</v>
      </c>
      <c r="C159" s="68">
        <f>SUM(Table16[[#This Row],[September 30, 2025]:[Column18]])</f>
        <v>74</v>
      </c>
      <c r="D159">
        <f>_xlfn.XLOOKUP(Table16[[#This Row],[Name]],Table4[Name],Table4[Points],"DNP",0,1)</f>
        <v>1</v>
      </c>
      <c r="E159">
        <f>_xlfn.XLOOKUP(Table16[[#This Row],[Name]],Table9[Name],Table9[Points],"DNP",0,1)</f>
        <v>2</v>
      </c>
      <c r="F159">
        <f>_xlfn.XLOOKUP(Table16[[#This Row],[Name]],Table18[Name],Table18[Points],"DNP",0,1)</f>
        <v>4</v>
      </c>
      <c r="G159">
        <f>_xlfn.XLOOKUP(Table16[[#This Row],[Name]],Table2[Name],Table2[Points],"DNP",0,1)</f>
        <v>1</v>
      </c>
      <c r="H159" t="str">
        <f>_xlfn.XLOOKUP(Table16[[#This Row],[Name]],Table211[Name],Table211[Points],"DNP",0,1)</f>
        <v>DNP</v>
      </c>
      <c r="I159">
        <f>_xlfn.XLOOKUP(Table16[[#This Row],[Name]],Table21112[Name],Table21112[Points],"DNP",0,1)</f>
        <v>1</v>
      </c>
      <c r="J159">
        <f>_xlfn.XLOOKUP(Table16[[#This Row],[Name]],Table21112164[Name],Table21112164[Points],"DNP",0,1)</f>
        <v>8</v>
      </c>
      <c r="K159">
        <f>_xlfn.XLOOKUP(Table16[[#This Row],[Name]],Table2111216420[Name],Table2111216420[Points],"DNP",0,1)</f>
        <v>38</v>
      </c>
      <c r="L159">
        <f>_xlfn.XLOOKUP(Table16[[#This Row],[Name]],Table211121642021[Name],Table211121642021[Points],"DNP",0,1)</f>
        <v>1</v>
      </c>
      <c r="M159">
        <f>_xlfn.XLOOKUP(Table16[[#This Row],[Name]],Table21112164202122[Name],Table21112164202122[Points],"DNP",0,1)</f>
        <v>2</v>
      </c>
      <c r="N159">
        <f>_xlfn.XLOOKUP(Table16[[#This Row],[Name]],Table2111216420212223[Name],Table2111216420212223[Points],"DNP",0,1)</f>
        <v>4</v>
      </c>
      <c r="O159">
        <f>_xlfn.XLOOKUP(Table16[[#This Row],[Name]],Table211121642021222325[Name],Table211121642021222325[Points],"DNP",0,1)</f>
        <v>1</v>
      </c>
      <c r="P159">
        <f>_xlfn.XLOOKUP(Table16[[#This Row],[Name]],Table21112164202122232534[Name],Table21112164202122232534[Points],"DNP",0,1)</f>
        <v>1</v>
      </c>
      <c r="Q159" t="str">
        <f>_xlfn.XLOOKUP(Table16[[#This Row],[Name]],Table2111216420212223253435[Name],Table2111216420212223253435[Points],"DNP",0,1)</f>
        <v>DNP</v>
      </c>
      <c r="R159" t="str">
        <f>_xlfn.XLOOKUP(Table16[[#This Row],[Name]],Table211121642021222325343536[Name],Table211121642021222325343536[Points],"DNP",0,1)</f>
        <v>DNP</v>
      </c>
      <c r="S159" t="str">
        <f>_xlfn.XLOOKUP(Table16[[#This Row],[Name]],Table21112164202122232534353637[Name],Table21112164202122232534353637[Points],"DNP",0,1)</f>
        <v>DNP</v>
      </c>
      <c r="T159" t="str">
        <f>_xlfn.XLOOKUP(Table16[[#This Row],[Name]],Table2111216420212223253435363738[Name],Table2111216420212223253435363738[Points],"DNP",0,1)</f>
        <v>DNP</v>
      </c>
      <c r="U159">
        <f>_xlfn.XLOOKUP(Table16[[#This Row],[Name]],Table2111216420212223253435363739[Name],Table2111216420212223253435363739[Points],"DNP",0,1)</f>
        <v>10</v>
      </c>
      <c r="V159" t="str">
        <f>_xlfn.XLOOKUP(Table16[[#This Row],[Name]],Table211121642021222325343536373841[Name],Table211121642021222325343536373841[Points],"DNP",0,1)</f>
        <v>DNP</v>
      </c>
    </row>
    <row r="160" spans="2:22">
      <c r="B160" t="str">
        <f>IFERROR(Table5[[#This Row],[Full name]],"")</f>
        <v>Ethan Zhao</v>
      </c>
      <c r="C160" s="68">
        <f>SUM(Table16[[#This Row],[September 30, 2025]:[Column18]])</f>
        <v>2</v>
      </c>
      <c r="D160" t="str">
        <f>_xlfn.XLOOKUP(Table16[[#This Row],[Name]],Table4[Name],Table4[Points],"DNP",0,1)</f>
        <v>DNP</v>
      </c>
      <c r="E160" t="str">
        <f>_xlfn.XLOOKUP(Table16[[#This Row],[Name]],Table9[Name],Table9[Points],"DNP",0,1)</f>
        <v>DNP</v>
      </c>
      <c r="F160" t="str">
        <f>_xlfn.XLOOKUP(Table16[[#This Row],[Name]],Table18[Name],Table18[Points],"DNP",0,1)</f>
        <v>DNP</v>
      </c>
      <c r="G160" t="str">
        <f>_xlfn.XLOOKUP(Table16[[#This Row],[Name]],Table2[Name],Table2[Points],"DNP",0,1)</f>
        <v>DNP</v>
      </c>
      <c r="H160" t="str">
        <f>_xlfn.XLOOKUP(Table16[[#This Row],[Name]],Table211[Name],Table211[Points],"DNP",0,1)</f>
        <v>DNP</v>
      </c>
      <c r="I160" t="str">
        <f>_xlfn.XLOOKUP(Table16[[#This Row],[Name]],Table21112[Name],Table21112[Points],"DNP",0,1)</f>
        <v>DNP</v>
      </c>
      <c r="J160" t="str">
        <f>_xlfn.XLOOKUP(Table16[[#This Row],[Name]],Table21112164[Name],Table21112164[Points],"DNP",0,1)</f>
        <v>DNP</v>
      </c>
      <c r="K160" t="str">
        <f>_xlfn.XLOOKUP(Table16[[#This Row],[Name]],Table2111216420[Name],Table2111216420[Points],"DNP",0,1)</f>
        <v>DNP</v>
      </c>
      <c r="L160" t="str">
        <f>_xlfn.XLOOKUP(Table16[[#This Row],[Name]],Table211121642021[Name],Table211121642021[Points],"DNP",0,1)</f>
        <v>DNP</v>
      </c>
      <c r="M160" t="str">
        <f>_xlfn.XLOOKUP(Table16[[#This Row],[Name]],Table21112164202122[Name],Table21112164202122[Points],"DNP",0,1)</f>
        <v>DNP</v>
      </c>
      <c r="N160">
        <f>_xlfn.XLOOKUP(Table16[[#This Row],[Name]],Table2111216420212223[Name],Table2111216420212223[Points],"DNP",0,1)</f>
        <v>2</v>
      </c>
      <c r="O160" t="str">
        <f>_xlfn.XLOOKUP(Table16[[#This Row],[Name]],Table211121642021222325[Name],Table211121642021222325[Points],"DNP",0,1)</f>
        <v>DNP</v>
      </c>
      <c r="P160" t="str">
        <f>_xlfn.XLOOKUP(Table16[[#This Row],[Name]],Table21112164202122232534[Name],Table21112164202122232534[Points],"DNP",0,1)</f>
        <v>DNP</v>
      </c>
      <c r="Q160" t="str">
        <f>_xlfn.XLOOKUP(Table16[[#This Row],[Name]],Table2111216420212223253435[Name],Table2111216420212223253435[Points],"DNP",0,1)</f>
        <v>DNP</v>
      </c>
      <c r="R160" t="str">
        <f>_xlfn.XLOOKUP(Table16[[#This Row],[Name]],Table211121642021222325343536[Name],Table211121642021222325343536[Points],"DNP",0,1)</f>
        <v>DNP</v>
      </c>
      <c r="S160" t="str">
        <f>_xlfn.XLOOKUP(Table16[[#This Row],[Name]],Table21112164202122232534353637[Name],Table21112164202122232534353637[Points],"DNP",0,1)</f>
        <v>DNP</v>
      </c>
      <c r="T160" t="str">
        <f>_xlfn.XLOOKUP(Table16[[#This Row],[Name]],Table2111216420212223253435363738[Name],Table2111216420212223253435363738[Points],"DNP",0,1)</f>
        <v>DNP</v>
      </c>
      <c r="U160" t="str">
        <f>_xlfn.XLOOKUP(Table16[[#This Row],[Name]],Table2111216420212223253435363739[Name],Table2111216420212223253435363739[Points],"DNP",0,1)</f>
        <v>DNP</v>
      </c>
      <c r="V160" t="str">
        <f>_xlfn.XLOOKUP(Table16[[#This Row],[Name]],Table211121642021222325343536373841[Name],Table211121642021222325343536373841[Points],"DNP",0,1)</f>
        <v>DNP</v>
      </c>
    </row>
    <row r="161" spans="2:22">
      <c r="B161" t="str">
        <f>IFERROR(Table5[[#This Row],[Full name]],"")</f>
        <v>Ethan Schmidt</v>
      </c>
      <c r="C161" s="68">
        <f>SUM(Table16[[#This Row],[September 30, 2025]:[Column18]])</f>
        <v>3</v>
      </c>
      <c r="D161" t="str">
        <f>_xlfn.XLOOKUP(Table16[[#This Row],[Name]],Table4[Name],Table4[Points],"DNP",0,1)</f>
        <v>DNP</v>
      </c>
      <c r="E161" t="str">
        <f>_xlfn.XLOOKUP(Table16[[#This Row],[Name]],Table9[Name],Table9[Points],"DNP",0,1)</f>
        <v>DNP</v>
      </c>
      <c r="F161" t="str">
        <f>_xlfn.XLOOKUP(Table16[[#This Row],[Name]],Table18[Name],Table18[Points],"DNP",0,1)</f>
        <v>DNP</v>
      </c>
      <c r="G161" t="str">
        <f>_xlfn.XLOOKUP(Table16[[#This Row],[Name]],Table2[Name],Table2[Points],"DNP",0,1)</f>
        <v>DNP</v>
      </c>
      <c r="H161" t="str">
        <f>_xlfn.XLOOKUP(Table16[[#This Row],[Name]],Table211[Name],Table211[Points],"DNP",0,1)</f>
        <v>DNP</v>
      </c>
      <c r="I161" t="str">
        <f>_xlfn.XLOOKUP(Table16[[#This Row],[Name]],Table21112[Name],Table21112[Points],"DNP",0,1)</f>
        <v>DNP</v>
      </c>
      <c r="J161" t="str">
        <f>_xlfn.XLOOKUP(Table16[[#This Row],[Name]],Table21112164[Name],Table21112164[Points],"DNP",0,1)</f>
        <v>DNP</v>
      </c>
      <c r="K161" t="str">
        <f>_xlfn.XLOOKUP(Table16[[#This Row],[Name]],Table2111216420[Name],Table2111216420[Points],"DNP",0,1)</f>
        <v>DNP</v>
      </c>
      <c r="L161" t="str">
        <f>_xlfn.XLOOKUP(Table16[[#This Row],[Name]],Table211121642021[Name],Table211121642021[Points],"DNP",0,1)</f>
        <v>DNP</v>
      </c>
      <c r="M161" t="str">
        <f>_xlfn.XLOOKUP(Table16[[#This Row],[Name]],Table21112164202122[Name],Table21112164202122[Points],"DNP",0,1)</f>
        <v>DNP</v>
      </c>
      <c r="N161" t="str">
        <f>_xlfn.XLOOKUP(Table16[[#This Row],[Name]],Table2111216420212223[Name],Table2111216420212223[Points],"DNP",0,1)</f>
        <v>DNP</v>
      </c>
      <c r="O161" t="str">
        <f>_xlfn.XLOOKUP(Table16[[#This Row],[Name]],Table211121642021222325[Name],Table211121642021222325[Points],"DNP",0,1)</f>
        <v>DNP</v>
      </c>
      <c r="P161" t="str">
        <f>_xlfn.XLOOKUP(Table16[[#This Row],[Name]],Table21112164202122232534[Name],Table21112164202122232534[Points],"DNP",0,1)</f>
        <v>DNP</v>
      </c>
      <c r="Q161" t="str">
        <f>_xlfn.XLOOKUP(Table16[[#This Row],[Name]],Table2111216420212223253435[Name],Table2111216420212223253435[Points],"DNP",0,1)</f>
        <v>DNP</v>
      </c>
      <c r="R161" t="str">
        <f>_xlfn.XLOOKUP(Table16[[#This Row],[Name]],Table211121642021222325343536[Name],Table211121642021222325343536[Points],"DNP",0,1)</f>
        <v>DNP</v>
      </c>
      <c r="S161">
        <f>_xlfn.XLOOKUP(Table16[[#This Row],[Name]],Table21112164202122232534353637[Name],Table21112164202122232534353637[Points],"DNP",0,1)</f>
        <v>3</v>
      </c>
      <c r="T161" t="str">
        <f>_xlfn.XLOOKUP(Table16[[#This Row],[Name]],Table2111216420212223253435363738[Name],Table2111216420212223253435363738[Points],"DNP",0,1)</f>
        <v>DNP</v>
      </c>
      <c r="U161" t="str">
        <f>_xlfn.XLOOKUP(Table16[[#This Row],[Name]],Table2111216420212223253435363739[Name],Table2111216420212223253435363739[Points],"DNP",0,1)</f>
        <v>DNP</v>
      </c>
      <c r="V161" t="str">
        <f>_xlfn.XLOOKUP(Table16[[#This Row],[Name]],Table211121642021222325343536373841[Name],Table211121642021222325343536373841[Points],"DNP",0,1)</f>
        <v>DNP</v>
      </c>
    </row>
    <row r="162" spans="2:22">
      <c r="B162" t="str">
        <f>IFERROR(Table5[[#This Row],[Full name]],"")</f>
        <v>Evan Sahadeo</v>
      </c>
      <c r="C162" s="68">
        <f>SUM(Table16[[#This Row],[September 30, 2025]:[Column18]])</f>
        <v>3</v>
      </c>
      <c r="D162" t="str">
        <f>_xlfn.XLOOKUP(Table16[[#This Row],[Name]],Table4[Name],Table4[Points],"DNP",0,1)</f>
        <v>DNP</v>
      </c>
      <c r="E162" t="str">
        <f>_xlfn.XLOOKUP(Table16[[#This Row],[Name]],Table9[Name],Table9[Points],"DNP",0,1)</f>
        <v>DNP</v>
      </c>
      <c r="F162">
        <f>_xlfn.XLOOKUP(Table16[[#This Row],[Name]],Table18[Name],Table18[Points],"DNP",0,1)</f>
        <v>2</v>
      </c>
      <c r="G162" t="str">
        <f>_xlfn.XLOOKUP(Table16[[#This Row],[Name]],Table2[Name],Table2[Points],"DNP",0,1)</f>
        <v>DNP</v>
      </c>
      <c r="H162" t="str">
        <f>_xlfn.XLOOKUP(Table16[[#This Row],[Name]],Table211[Name],Table211[Points],"DNP",0,1)</f>
        <v>DNP</v>
      </c>
      <c r="I162" t="str">
        <f>_xlfn.XLOOKUP(Table16[[#This Row],[Name]],Table21112[Name],Table21112[Points],"DNP",0,1)</f>
        <v>DNP</v>
      </c>
      <c r="J162" t="str">
        <f>_xlfn.XLOOKUP(Table16[[#This Row],[Name]],Table21112164[Name],Table21112164[Points],"DNP",0,1)</f>
        <v>DNP</v>
      </c>
      <c r="K162" t="str">
        <f>_xlfn.XLOOKUP(Table16[[#This Row],[Name]],Table2111216420[Name],Table2111216420[Points],"DNP",0,1)</f>
        <v>DNP</v>
      </c>
      <c r="L162" t="str">
        <f>_xlfn.XLOOKUP(Table16[[#This Row],[Name]],Table211121642021[Name],Table211121642021[Points],"DNP",0,1)</f>
        <v>DNP</v>
      </c>
      <c r="M162" t="str">
        <f>_xlfn.XLOOKUP(Table16[[#This Row],[Name]],Table21112164202122[Name],Table21112164202122[Points],"DNP",0,1)</f>
        <v>DNP</v>
      </c>
      <c r="N162" t="str">
        <f>_xlfn.XLOOKUP(Table16[[#This Row],[Name]],Table2111216420212223[Name],Table2111216420212223[Points],"DNP",0,1)</f>
        <v>DNP</v>
      </c>
      <c r="O162" t="str">
        <f>_xlfn.XLOOKUP(Table16[[#This Row],[Name]],Table211121642021222325[Name],Table211121642021222325[Points],"DNP",0,1)</f>
        <v>DNP</v>
      </c>
      <c r="P162" t="str">
        <f>_xlfn.XLOOKUP(Table16[[#This Row],[Name]],Table21112164202122232534[Name],Table21112164202122232534[Points],"DNP",0,1)</f>
        <v>DNP</v>
      </c>
      <c r="Q162" t="str">
        <f>_xlfn.XLOOKUP(Table16[[#This Row],[Name]],Table2111216420212223253435[Name],Table2111216420212223253435[Points],"DNP",0,1)</f>
        <v>DNP</v>
      </c>
      <c r="R162" t="str">
        <f>_xlfn.XLOOKUP(Table16[[#This Row],[Name]],Table211121642021222325343536[Name],Table211121642021222325343536[Points],"DNP",0,1)</f>
        <v>DNP</v>
      </c>
      <c r="S162" t="str">
        <f>_xlfn.XLOOKUP(Table16[[#This Row],[Name]],Table21112164202122232534353637[Name],Table21112164202122232534353637[Points],"DNP",0,1)</f>
        <v>DNP</v>
      </c>
      <c r="T162" t="str">
        <f>_xlfn.XLOOKUP(Table16[[#This Row],[Name]],Table2111216420212223253435363738[Name],Table2111216420212223253435363738[Points],"DNP",0,1)</f>
        <v>DNP</v>
      </c>
      <c r="U162">
        <f>_xlfn.XLOOKUP(Table16[[#This Row],[Name]],Table2111216420212223253435363739[Name],Table2111216420212223253435363739[Points],"DNP",0,1)</f>
        <v>1</v>
      </c>
      <c r="V162" t="str">
        <f>_xlfn.XLOOKUP(Table16[[#This Row],[Name]],Table211121642021222325343536373841[Name],Table211121642021222325343536373841[Points],"DNP",0,1)</f>
        <v>DNP</v>
      </c>
    </row>
    <row r="163" spans="2:22">
      <c r="B163" t="str">
        <f>IFERROR(Table5[[#This Row],[Full name]],"")</f>
        <v>Evelyn Zhang</v>
      </c>
      <c r="C163" s="68">
        <f>SUM(Table16[[#This Row],[September 30, 2025]:[Column18]])</f>
        <v>2</v>
      </c>
      <c r="D163">
        <f>_xlfn.XLOOKUP(Table16[[#This Row],[Name]],Table4[Name],Table4[Points],"DNP",0,1)</f>
        <v>1</v>
      </c>
      <c r="E163">
        <f>_xlfn.XLOOKUP(Table16[[#This Row],[Name]],Table9[Name],Table9[Points],"DNP",0,1)</f>
        <v>1</v>
      </c>
      <c r="F163" t="str">
        <f>_xlfn.XLOOKUP(Table16[[#This Row],[Name]],Table18[Name],Table18[Points],"DNP",0,1)</f>
        <v>DNP</v>
      </c>
      <c r="G163" t="str">
        <f>_xlfn.XLOOKUP(Table16[[#This Row],[Name]],Table2[Name],Table2[Points],"DNP",0,1)</f>
        <v>DNP</v>
      </c>
      <c r="H163" t="str">
        <f>_xlfn.XLOOKUP(Table16[[#This Row],[Name]],Table211[Name],Table211[Points],"DNP",0,1)</f>
        <v>DNP</v>
      </c>
      <c r="I163" t="str">
        <f>_xlfn.XLOOKUP(Table16[[#This Row],[Name]],Table21112[Name],Table21112[Points],"DNP",0,1)</f>
        <v>DNP</v>
      </c>
      <c r="J163" t="str">
        <f>_xlfn.XLOOKUP(Table16[[#This Row],[Name]],Table21112164[Name],Table21112164[Points],"DNP",0,1)</f>
        <v>DNP</v>
      </c>
      <c r="K163" t="str">
        <f>_xlfn.XLOOKUP(Table16[[#This Row],[Name]],Table2111216420[Name],Table2111216420[Points],"DNP",0,1)</f>
        <v>DNP</v>
      </c>
      <c r="L163" t="str">
        <f>_xlfn.XLOOKUP(Table16[[#This Row],[Name]],Table211121642021[Name],Table211121642021[Points],"DNP",0,1)</f>
        <v>DNP</v>
      </c>
      <c r="M163" t="str">
        <f>_xlfn.XLOOKUP(Table16[[#This Row],[Name]],Table21112164202122[Name],Table21112164202122[Points],"DNP",0,1)</f>
        <v>DNP</v>
      </c>
      <c r="N163" t="str">
        <f>_xlfn.XLOOKUP(Table16[[#This Row],[Name]],Table2111216420212223[Name],Table2111216420212223[Points],"DNP",0,1)</f>
        <v>DNP</v>
      </c>
      <c r="O163" t="str">
        <f>_xlfn.XLOOKUP(Table16[[#This Row],[Name]],Table211121642021222325[Name],Table211121642021222325[Points],"DNP",0,1)</f>
        <v>DNP</v>
      </c>
      <c r="P163" t="str">
        <f>_xlfn.XLOOKUP(Table16[[#This Row],[Name]],Table21112164202122232534[Name],Table21112164202122232534[Points],"DNP",0,1)</f>
        <v>DNP</v>
      </c>
      <c r="Q163" t="str">
        <f>_xlfn.XLOOKUP(Table16[[#This Row],[Name]],Table2111216420212223253435[Name],Table2111216420212223253435[Points],"DNP",0,1)</f>
        <v>DNP</v>
      </c>
      <c r="R163" t="str">
        <f>_xlfn.XLOOKUP(Table16[[#This Row],[Name]],Table211121642021222325343536[Name],Table211121642021222325343536[Points],"DNP",0,1)</f>
        <v>DNP</v>
      </c>
      <c r="S163" t="str">
        <f>_xlfn.XLOOKUP(Table16[[#This Row],[Name]],Table21112164202122232534353637[Name],Table21112164202122232534353637[Points],"DNP",0,1)</f>
        <v>DNP</v>
      </c>
      <c r="T163" t="str">
        <f>_xlfn.XLOOKUP(Table16[[#This Row],[Name]],Table2111216420212223253435363738[Name],Table2111216420212223253435363738[Points],"DNP",0,1)</f>
        <v>DNP</v>
      </c>
      <c r="U163" t="str">
        <f>_xlfn.XLOOKUP(Table16[[#This Row],[Name]],Table2111216420212223253435363739[Name],Table2111216420212223253435363739[Points],"DNP",0,1)</f>
        <v>DNP</v>
      </c>
      <c r="V163" t="str">
        <f>_xlfn.XLOOKUP(Table16[[#This Row],[Name]],Table211121642021222325343536373841[Name],Table211121642021222325343536373841[Points],"DNP",0,1)</f>
        <v>DNP</v>
      </c>
    </row>
    <row r="164" spans="2:22">
      <c r="B164" t="str">
        <f>IFERROR(Table5[[#This Row],[Full name]],"")</f>
        <v>Everett McEwen</v>
      </c>
      <c r="C164" s="68">
        <f>SUM(Table16[[#This Row],[September 30, 2025]:[Column18]])</f>
        <v>12</v>
      </c>
      <c r="D164" t="str">
        <f>_xlfn.XLOOKUP(Table16[[#This Row],[Name]],Table4[Name],Table4[Points],"DNP",0,1)</f>
        <v>DNP</v>
      </c>
      <c r="E164" t="str">
        <f>_xlfn.XLOOKUP(Table16[[#This Row],[Name]],Table9[Name],Table9[Points],"DNP",0,1)</f>
        <v>DNP</v>
      </c>
      <c r="F164" t="str">
        <f>_xlfn.XLOOKUP(Table16[[#This Row],[Name]],Table18[Name],Table18[Points],"DNP",0,1)</f>
        <v>DNP</v>
      </c>
      <c r="G164" t="str">
        <f>_xlfn.XLOOKUP(Table16[[#This Row],[Name]],Table2[Name],Table2[Points],"DNP",0,1)</f>
        <v>DNP</v>
      </c>
      <c r="H164" t="str">
        <f>_xlfn.XLOOKUP(Table16[[#This Row],[Name]],Table211[Name],Table211[Points],"DNP",0,1)</f>
        <v>DNP</v>
      </c>
      <c r="I164" t="str">
        <f>_xlfn.XLOOKUP(Table16[[#This Row],[Name]],Table21112[Name],Table21112[Points],"DNP",0,1)</f>
        <v>DNP</v>
      </c>
      <c r="J164" t="str">
        <f>_xlfn.XLOOKUP(Table16[[#This Row],[Name]],Table21112164[Name],Table21112164[Points],"DNP",0,1)</f>
        <v>DNP</v>
      </c>
      <c r="K164" t="str">
        <f>_xlfn.XLOOKUP(Table16[[#This Row],[Name]],Table2111216420[Name],Table2111216420[Points],"DNP",0,1)</f>
        <v>DNP</v>
      </c>
      <c r="L164" t="str">
        <f>_xlfn.XLOOKUP(Table16[[#This Row],[Name]],Table211121642021[Name],Table211121642021[Points],"DNP",0,1)</f>
        <v>DNP</v>
      </c>
      <c r="M164" t="str">
        <f>_xlfn.XLOOKUP(Table16[[#This Row],[Name]],Table21112164202122[Name],Table21112164202122[Points],"DNP",0,1)</f>
        <v>DNP</v>
      </c>
      <c r="N164" t="str">
        <f>_xlfn.XLOOKUP(Table16[[#This Row],[Name]],Table2111216420212223[Name],Table2111216420212223[Points],"DNP",0,1)</f>
        <v>DNP</v>
      </c>
      <c r="O164" t="str">
        <f>_xlfn.XLOOKUP(Table16[[#This Row],[Name]],Table211121642021222325[Name],Table211121642021222325[Points],"DNP",0,1)</f>
        <v>DNP</v>
      </c>
      <c r="P164" t="str">
        <f>_xlfn.XLOOKUP(Table16[[#This Row],[Name]],Table21112164202122232534[Name],Table21112164202122232534[Points],"DNP",0,1)</f>
        <v>DNP</v>
      </c>
      <c r="Q164" t="str">
        <f>_xlfn.XLOOKUP(Table16[[#This Row],[Name]],Table2111216420212223253435[Name],Table2111216420212223253435[Points],"DNP",0,1)</f>
        <v>DNP</v>
      </c>
      <c r="R164" t="str">
        <f>_xlfn.XLOOKUP(Table16[[#This Row],[Name]],Table211121642021222325343536[Name],Table211121642021222325343536[Points],"DNP",0,1)</f>
        <v>DNP</v>
      </c>
      <c r="S164" t="str">
        <f>_xlfn.XLOOKUP(Table16[[#This Row],[Name]],Table21112164202122232534353637[Name],Table21112164202122232534353637[Points],"DNP",0,1)</f>
        <v>DNP</v>
      </c>
      <c r="T164">
        <f>_xlfn.XLOOKUP(Table16[[#This Row],[Name]],Table2111216420212223253435363738[Name],Table2111216420212223253435363738[Points],"DNP",0,1)</f>
        <v>1</v>
      </c>
      <c r="U164">
        <f>_xlfn.XLOOKUP(Table16[[#This Row],[Name]],Table2111216420212223253435363739[Name],Table2111216420212223253435363739[Points],"DNP",0,1)</f>
        <v>1</v>
      </c>
      <c r="V164">
        <f>_xlfn.XLOOKUP(Table16[[#This Row],[Name]],Table211121642021222325343536373841[Name],Table211121642021222325343536373841[Points],"DNP",0,1)</f>
        <v>10</v>
      </c>
    </row>
    <row r="165" spans="2:22">
      <c r="B165" t="str">
        <f>IFERROR(Table5[[#This Row],[Full name]],"")</f>
        <v>Ewan Reid</v>
      </c>
      <c r="C165" s="68">
        <f>SUM(Table16[[#This Row],[September 30, 2025]:[Column18]])</f>
        <v>1</v>
      </c>
      <c r="D165" t="str">
        <f>_xlfn.XLOOKUP(Table16[[#This Row],[Name]],Table4[Name],Table4[Points],"DNP",0,1)</f>
        <v>DNP</v>
      </c>
      <c r="E165" t="str">
        <f>_xlfn.XLOOKUP(Table16[[#This Row],[Name]],Table9[Name],Table9[Points],"DNP",0,1)</f>
        <v>DNP</v>
      </c>
      <c r="F165" t="str">
        <f>_xlfn.XLOOKUP(Table16[[#This Row],[Name]],Table18[Name],Table18[Points],"DNP",0,1)</f>
        <v>DNP</v>
      </c>
      <c r="G165">
        <f>_xlfn.XLOOKUP(Table16[[#This Row],[Name]],Table2[Name],Table2[Points],"DNP",0,1)</f>
        <v>1</v>
      </c>
      <c r="H165" t="str">
        <f>_xlfn.XLOOKUP(Table16[[#This Row],[Name]],Table211[Name],Table211[Points],"DNP",0,1)</f>
        <v>DNP</v>
      </c>
      <c r="I165" t="str">
        <f>_xlfn.XLOOKUP(Table16[[#This Row],[Name]],Table21112[Name],Table21112[Points],"DNP",0,1)</f>
        <v>DNP</v>
      </c>
      <c r="J165" t="str">
        <f>_xlfn.XLOOKUP(Table16[[#This Row],[Name]],Table21112164[Name],Table21112164[Points],"DNP",0,1)</f>
        <v>DNP</v>
      </c>
      <c r="K165" t="str">
        <f>_xlfn.XLOOKUP(Table16[[#This Row],[Name]],Table2111216420[Name],Table2111216420[Points],"DNP",0,1)</f>
        <v>DNP</v>
      </c>
      <c r="L165" t="str">
        <f>_xlfn.XLOOKUP(Table16[[#This Row],[Name]],Table211121642021[Name],Table211121642021[Points],"DNP",0,1)</f>
        <v>DNP</v>
      </c>
      <c r="M165" t="str">
        <f>_xlfn.XLOOKUP(Table16[[#This Row],[Name]],Table21112164202122[Name],Table21112164202122[Points],"DNP",0,1)</f>
        <v>DNP</v>
      </c>
      <c r="N165" t="str">
        <f>_xlfn.XLOOKUP(Table16[[#This Row],[Name]],Table2111216420212223[Name],Table2111216420212223[Points],"DNP",0,1)</f>
        <v>DNP</v>
      </c>
      <c r="O165" t="str">
        <f>_xlfn.XLOOKUP(Table16[[#This Row],[Name]],Table211121642021222325[Name],Table211121642021222325[Points],"DNP",0,1)</f>
        <v>DNP</v>
      </c>
      <c r="P165" t="str">
        <f>_xlfn.XLOOKUP(Table16[[#This Row],[Name]],Table21112164202122232534[Name],Table21112164202122232534[Points],"DNP",0,1)</f>
        <v>DNP</v>
      </c>
      <c r="Q165" t="str">
        <f>_xlfn.XLOOKUP(Table16[[#This Row],[Name]],Table2111216420212223253435[Name],Table2111216420212223253435[Points],"DNP",0,1)</f>
        <v>DNP</v>
      </c>
      <c r="R165" t="str">
        <f>_xlfn.XLOOKUP(Table16[[#This Row],[Name]],Table211121642021222325343536[Name],Table211121642021222325343536[Points],"DNP",0,1)</f>
        <v>DNP</v>
      </c>
      <c r="S165" t="str">
        <f>_xlfn.XLOOKUP(Table16[[#This Row],[Name]],Table21112164202122232534353637[Name],Table21112164202122232534353637[Points],"DNP",0,1)</f>
        <v>DNP</v>
      </c>
      <c r="T165" t="str">
        <f>_xlfn.XLOOKUP(Table16[[#This Row],[Name]],Table2111216420212223253435363738[Name],Table2111216420212223253435363738[Points],"DNP",0,1)</f>
        <v>DNP</v>
      </c>
      <c r="U165" t="str">
        <f>_xlfn.XLOOKUP(Table16[[#This Row],[Name]],Table2111216420212223253435363739[Name],Table2111216420212223253435363739[Points],"DNP",0,1)</f>
        <v>DNP</v>
      </c>
      <c r="V165" t="str">
        <f>_xlfn.XLOOKUP(Table16[[#This Row],[Name]],Table211121642021222325343536373841[Name],Table211121642021222325343536373841[Points],"DNP",0,1)</f>
        <v>DNP</v>
      </c>
    </row>
    <row r="166" spans="2:22">
      <c r="B166" t="str">
        <f>IFERROR(Table5[[#This Row],[Full name]],"")</f>
        <v>Gabe Mclellan</v>
      </c>
      <c r="C166" s="68">
        <f>SUM(Table16[[#This Row],[September 30, 2025]:[Column18]])</f>
        <v>55</v>
      </c>
      <c r="D166" t="str">
        <f>_xlfn.XLOOKUP(Table16[[#This Row],[Name]],Table4[Name],Table4[Points],"DNP",0,1)</f>
        <v>DNP</v>
      </c>
      <c r="E166">
        <f>_xlfn.XLOOKUP(Table16[[#This Row],[Name]],Table9[Name],Table9[Points],"DNP",0,1)</f>
        <v>50</v>
      </c>
      <c r="F166" t="str">
        <f>_xlfn.XLOOKUP(Table16[[#This Row],[Name]],Table18[Name],Table18[Points],"DNP",0,1)</f>
        <v>DNP</v>
      </c>
      <c r="G166">
        <f>_xlfn.XLOOKUP(Table16[[#This Row],[Name]],Table2[Name],Table2[Points],"DNP",0,1)</f>
        <v>1</v>
      </c>
      <c r="H166" t="str">
        <f>_xlfn.XLOOKUP(Table16[[#This Row],[Name]],Table211[Name],Table211[Points],"DNP",0,1)</f>
        <v>DNP</v>
      </c>
      <c r="I166">
        <f>_xlfn.XLOOKUP(Table16[[#This Row],[Name]],Table21112[Name],Table21112[Points],"DNP",0,1)</f>
        <v>1</v>
      </c>
      <c r="J166" t="str">
        <f>_xlfn.XLOOKUP(Table16[[#This Row],[Name]],Table21112164[Name],Table21112164[Points],"DNP",0,1)</f>
        <v>DNP</v>
      </c>
      <c r="K166" t="str">
        <f>_xlfn.XLOOKUP(Table16[[#This Row],[Name]],Table2111216420[Name],Table2111216420[Points],"DNP",0,1)</f>
        <v>DNP</v>
      </c>
      <c r="L166">
        <f>_xlfn.XLOOKUP(Table16[[#This Row],[Name]],Table211121642021[Name],Table211121642021[Points],"DNP",0,1)</f>
        <v>2</v>
      </c>
      <c r="M166" t="str">
        <f>_xlfn.XLOOKUP(Table16[[#This Row],[Name]],Table21112164202122[Name],Table21112164202122[Points],"DNP",0,1)</f>
        <v>DNP</v>
      </c>
      <c r="N166" t="str">
        <f>_xlfn.XLOOKUP(Table16[[#This Row],[Name]],Table2111216420212223[Name],Table2111216420212223[Points],"DNP",0,1)</f>
        <v>DNP</v>
      </c>
      <c r="O166" t="str">
        <f>_xlfn.XLOOKUP(Table16[[#This Row],[Name]],Table211121642021222325[Name],Table211121642021222325[Points],"DNP",0,1)</f>
        <v>DNP</v>
      </c>
      <c r="P166" t="str">
        <f>_xlfn.XLOOKUP(Table16[[#This Row],[Name]],Table21112164202122232534[Name],Table21112164202122232534[Points],"DNP",0,1)</f>
        <v>DNP</v>
      </c>
      <c r="Q166">
        <f>_xlfn.XLOOKUP(Table16[[#This Row],[Name]],Table2111216420212223253435[Name],Table2111216420212223253435[Points],"DNP",0,1)</f>
        <v>1</v>
      </c>
      <c r="R166" t="str">
        <f>_xlfn.XLOOKUP(Table16[[#This Row],[Name]],Table211121642021222325343536[Name],Table211121642021222325343536[Points],"DNP",0,1)</f>
        <v>DNP</v>
      </c>
      <c r="S166" t="str">
        <f>_xlfn.XLOOKUP(Table16[[#This Row],[Name]],Table21112164202122232534353637[Name],Table21112164202122232534353637[Points],"DNP",0,1)</f>
        <v>DNP</v>
      </c>
      <c r="T166" t="str">
        <f>_xlfn.XLOOKUP(Table16[[#This Row],[Name]],Table2111216420212223253435363738[Name],Table2111216420212223253435363738[Points],"DNP",0,1)</f>
        <v>DNP</v>
      </c>
      <c r="U166" t="str">
        <f>_xlfn.XLOOKUP(Table16[[#This Row],[Name]],Table2111216420212223253435363739[Name],Table2111216420212223253435363739[Points],"DNP",0,1)</f>
        <v>DNP</v>
      </c>
      <c r="V166" t="str">
        <f>_xlfn.XLOOKUP(Table16[[#This Row],[Name]],Table211121642021222325343536373841[Name],Table211121642021222325343536373841[Points],"DNP",0,1)</f>
        <v>DNP</v>
      </c>
    </row>
    <row r="167" spans="2:22">
      <c r="B167" t="str">
        <f>IFERROR(Table5[[#This Row],[Full name]],"")</f>
        <v>Gabriel Casiero</v>
      </c>
      <c r="C167" s="68">
        <f>SUM(Table16[[#This Row],[September 30, 2025]:[Column18]])</f>
        <v>0</v>
      </c>
      <c r="D167" t="str">
        <f>_xlfn.XLOOKUP(Table16[[#This Row],[Name]],Table4[Name],Table4[Points],"DNP",0,1)</f>
        <v>DNP</v>
      </c>
      <c r="E167" t="str">
        <f>_xlfn.XLOOKUP(Table16[[#This Row],[Name]],Table9[Name],Table9[Points],"DNP",0,1)</f>
        <v>DNP</v>
      </c>
      <c r="F167" t="str">
        <f>_xlfn.XLOOKUP(Table16[[#This Row],[Name]],Table18[Name],Table18[Points],"DNP",0,1)</f>
        <v>DNP</v>
      </c>
      <c r="G167" t="str">
        <f>_xlfn.XLOOKUP(Table16[[#This Row],[Name]],Table2[Name],Table2[Points],"DNP",0,1)</f>
        <v>DNP</v>
      </c>
      <c r="H167" t="str">
        <f>_xlfn.XLOOKUP(Table16[[#This Row],[Name]],Table211[Name],Table211[Points],"DNP",0,1)</f>
        <v>DNP</v>
      </c>
      <c r="I167" t="str">
        <f>_xlfn.XLOOKUP(Table16[[#This Row],[Name]],Table21112[Name],Table21112[Points],"DNP",0,1)</f>
        <v>DNP</v>
      </c>
      <c r="J167" t="str">
        <f>_xlfn.XLOOKUP(Table16[[#This Row],[Name]],Table21112164[Name],Table21112164[Points],"DNP",0,1)</f>
        <v>DNP</v>
      </c>
      <c r="K167" t="str">
        <f>_xlfn.XLOOKUP(Table16[[#This Row],[Name]],Table2111216420[Name],Table2111216420[Points],"DNP",0,1)</f>
        <v>DNP</v>
      </c>
      <c r="L167" t="str">
        <f>_xlfn.XLOOKUP(Table16[[#This Row],[Name]],Table211121642021[Name],Table211121642021[Points],"DNP",0,1)</f>
        <v>DNP</v>
      </c>
      <c r="M167" t="str">
        <f>_xlfn.XLOOKUP(Table16[[#This Row],[Name]],Table21112164202122[Name],Table21112164202122[Points],"DNP",0,1)</f>
        <v>DNP</v>
      </c>
      <c r="N167" t="str">
        <f>_xlfn.XLOOKUP(Table16[[#This Row],[Name]],Table2111216420212223[Name],Table2111216420212223[Points],"DNP",0,1)</f>
        <v>DNP</v>
      </c>
      <c r="O167" t="str">
        <f>_xlfn.XLOOKUP(Table16[[#This Row],[Name]],Table211121642021222325[Name],Table211121642021222325[Points],"DNP",0,1)</f>
        <v>DNP</v>
      </c>
      <c r="P167" t="str">
        <f>_xlfn.XLOOKUP(Table16[[#This Row],[Name]],Table21112164202122232534[Name],Table21112164202122232534[Points],"DNP",0,1)</f>
        <v>DNP</v>
      </c>
      <c r="Q167" t="str">
        <f>_xlfn.XLOOKUP(Table16[[#This Row],[Name]],Table2111216420212223253435[Name],Table2111216420212223253435[Points],"DNP",0,1)</f>
        <v>DNP</v>
      </c>
      <c r="R167" t="str">
        <f>_xlfn.XLOOKUP(Table16[[#This Row],[Name]],Table211121642021222325343536[Name],Table211121642021222325343536[Points],"DNP",0,1)</f>
        <v>DNP</v>
      </c>
      <c r="S167" t="str">
        <f>_xlfn.XLOOKUP(Table16[[#This Row],[Name]],Table21112164202122232534353637[Name],Table21112164202122232534353637[Points],"DNP",0,1)</f>
        <v>DNP</v>
      </c>
      <c r="T167" t="str">
        <f>_xlfn.XLOOKUP(Table16[[#This Row],[Name]],Table2111216420212223253435363738[Name],Table2111216420212223253435363738[Points],"DNP",0,1)</f>
        <v>DNP</v>
      </c>
      <c r="U167" t="str">
        <f>_xlfn.XLOOKUP(Table16[[#This Row],[Name]],Table2111216420212223253435363739[Name],Table2111216420212223253435363739[Points],"DNP",0,1)</f>
        <v>DNP</v>
      </c>
      <c r="V167" t="str">
        <f>_xlfn.XLOOKUP(Table16[[#This Row],[Name]],Table211121642021222325343536373841[Name],Table211121642021222325343536373841[Points],"DNP",0,1)</f>
        <v>DNP</v>
      </c>
    </row>
    <row r="168" spans="2:22">
      <c r="B168" t="str">
        <f>IFERROR(Table5[[#This Row],[Full name]],"")</f>
        <v>Gary Chung</v>
      </c>
      <c r="C168" s="68">
        <f>SUM(Table16[[#This Row],[September 30, 2025]:[Column18]])</f>
        <v>16</v>
      </c>
      <c r="D168" t="str">
        <f>_xlfn.XLOOKUP(Table16[[#This Row],[Name]],Table4[Name],Table4[Points],"DNP",0,1)</f>
        <v>DNP</v>
      </c>
      <c r="E168" t="str">
        <f>_xlfn.XLOOKUP(Table16[[#This Row],[Name]],Table9[Name],Table9[Points],"DNP",0,1)</f>
        <v>DNP</v>
      </c>
      <c r="F168" t="str">
        <f>_xlfn.XLOOKUP(Table16[[#This Row],[Name]],Table18[Name],Table18[Points],"DNP",0,1)</f>
        <v>DNP</v>
      </c>
      <c r="G168" t="str">
        <f>_xlfn.XLOOKUP(Table16[[#This Row],[Name]],Table2[Name],Table2[Points],"DNP",0,1)</f>
        <v>DNP</v>
      </c>
      <c r="H168" t="str">
        <f>_xlfn.XLOOKUP(Table16[[#This Row],[Name]],Table211[Name],Table211[Points],"DNP",0,1)</f>
        <v>DNP</v>
      </c>
      <c r="I168" t="str">
        <f>_xlfn.XLOOKUP(Table16[[#This Row],[Name]],Table21112[Name],Table21112[Points],"DNP",0,1)</f>
        <v>DNP</v>
      </c>
      <c r="J168" t="str">
        <f>_xlfn.XLOOKUP(Table16[[#This Row],[Name]],Table21112164[Name],Table21112164[Points],"DNP",0,1)</f>
        <v>DNP</v>
      </c>
      <c r="K168" t="str">
        <f>_xlfn.XLOOKUP(Table16[[#This Row],[Name]],Table2111216420[Name],Table2111216420[Points],"DNP",0,1)</f>
        <v>DNP</v>
      </c>
      <c r="L168">
        <f>_xlfn.XLOOKUP(Table16[[#This Row],[Name]],Table211121642021[Name],Table211121642021[Points],"DNP",0,1)</f>
        <v>4</v>
      </c>
      <c r="M168" t="str">
        <f>_xlfn.XLOOKUP(Table16[[#This Row],[Name]],Table21112164202122[Name],Table21112164202122[Points],"DNP",0,1)</f>
        <v>DNP</v>
      </c>
      <c r="N168" t="str">
        <f>_xlfn.XLOOKUP(Table16[[#This Row],[Name]],Table2111216420212223[Name],Table2111216420212223[Points],"DNP",0,1)</f>
        <v xml:space="preserve">                                                                                                                                                                                                 </v>
      </c>
      <c r="O168">
        <f>_xlfn.XLOOKUP(Table16[[#This Row],[Name]],Table211121642021222325[Name],Table211121642021222325[Points],"DNP",0,1)</f>
        <v>10</v>
      </c>
      <c r="P168" t="str">
        <f>_xlfn.XLOOKUP(Table16[[#This Row],[Name]],Table21112164202122232534[Name],Table21112164202122232534[Points],"DNP",0,1)</f>
        <v>DNP</v>
      </c>
      <c r="Q168" t="str">
        <f>_xlfn.XLOOKUP(Table16[[#This Row],[Name]],Table2111216420212223253435[Name],Table2111216420212223253435[Points],"DNP",0,1)</f>
        <v>DNP</v>
      </c>
      <c r="R168" t="str">
        <f>_xlfn.XLOOKUP(Table16[[#This Row],[Name]],Table211121642021222325343536[Name],Table211121642021222325343536[Points],"DNP",0,1)</f>
        <v>DNP</v>
      </c>
      <c r="S168" t="str">
        <f>_xlfn.XLOOKUP(Table16[[#This Row],[Name]],Table21112164202122232534353637[Name],Table21112164202122232534353637[Points],"DNP",0,1)</f>
        <v>DNP</v>
      </c>
      <c r="T168" t="str">
        <f>_xlfn.XLOOKUP(Table16[[#This Row],[Name]],Table2111216420212223253435363738[Name],Table2111216420212223253435363738[Points],"DNP",0,1)</f>
        <v>DNP</v>
      </c>
      <c r="U168" t="str">
        <f>_xlfn.XLOOKUP(Table16[[#This Row],[Name]],Table2111216420212223253435363739[Name],Table2111216420212223253435363739[Points],"DNP",0,1)</f>
        <v>DNP</v>
      </c>
      <c r="V168">
        <f>_xlfn.XLOOKUP(Table16[[#This Row],[Name]],Table211121642021222325343536373841[Name],Table211121642021222325343536373841[Points],"DNP",0,1)</f>
        <v>2</v>
      </c>
    </row>
    <row r="169" spans="2:22">
      <c r="B169" t="str">
        <f>IFERROR(Table5[[#This Row],[Full name]],"")</f>
        <v>Gavin Nichols</v>
      </c>
      <c r="C169" s="68">
        <f>SUM(Table16[[#This Row],[September 30, 2025]:[Column18]])</f>
        <v>0</v>
      </c>
      <c r="D169" t="str">
        <f>_xlfn.XLOOKUP(Table16[[#This Row],[Name]],Table4[Name],Table4[Points],"DNP",0,1)</f>
        <v>DNP</v>
      </c>
      <c r="E169" t="str">
        <f>_xlfn.XLOOKUP(Table16[[#This Row],[Name]],Table9[Name],Table9[Points],"DNP",0,1)</f>
        <v>DNP</v>
      </c>
      <c r="F169" t="str">
        <f>_xlfn.XLOOKUP(Table16[[#This Row],[Name]],Table18[Name],Table18[Points],"DNP",0,1)</f>
        <v>DNP</v>
      </c>
      <c r="G169" t="str">
        <f>_xlfn.XLOOKUP(Table16[[#This Row],[Name]],Table2[Name],Table2[Points],"DNP",0,1)</f>
        <v>DNP</v>
      </c>
      <c r="H169" t="str">
        <f>_xlfn.XLOOKUP(Table16[[#This Row],[Name]],Table211[Name],Table211[Points],"DNP",0,1)</f>
        <v>DNP</v>
      </c>
      <c r="I169" t="str">
        <f>_xlfn.XLOOKUP(Table16[[#This Row],[Name]],Table21112[Name],Table21112[Points],"DNP",0,1)</f>
        <v>DNP</v>
      </c>
      <c r="J169" t="str">
        <f>_xlfn.XLOOKUP(Table16[[#This Row],[Name]],Table21112164[Name],Table21112164[Points],"DNP",0,1)</f>
        <v>DNP</v>
      </c>
      <c r="K169" t="str">
        <f>_xlfn.XLOOKUP(Table16[[#This Row],[Name]],Table2111216420[Name],Table2111216420[Points],"DNP",0,1)</f>
        <v>DNP</v>
      </c>
      <c r="L169" t="str">
        <f>_xlfn.XLOOKUP(Table16[[#This Row],[Name]],Table211121642021[Name],Table211121642021[Points],"DNP",0,1)</f>
        <v>DNP</v>
      </c>
      <c r="M169" t="str">
        <f>_xlfn.XLOOKUP(Table16[[#This Row],[Name]],Table21112164202122[Name],Table21112164202122[Points],"DNP",0,1)</f>
        <v>DNP</v>
      </c>
      <c r="N169" t="str">
        <f>_xlfn.XLOOKUP(Table16[[#This Row],[Name]],Table2111216420212223[Name],Table2111216420212223[Points],"DNP",0,1)</f>
        <v>DNP</v>
      </c>
      <c r="O169" t="str">
        <f>_xlfn.XLOOKUP(Table16[[#This Row],[Name]],Table211121642021222325[Name],Table211121642021222325[Points],"DNP",0,1)</f>
        <v>DNP</v>
      </c>
      <c r="P169" t="str">
        <f>_xlfn.XLOOKUP(Table16[[#This Row],[Name]],Table21112164202122232534[Name],Table21112164202122232534[Points],"DNP",0,1)</f>
        <v>DNP</v>
      </c>
      <c r="Q169" t="str">
        <f>_xlfn.XLOOKUP(Table16[[#This Row],[Name]],Table2111216420212223253435[Name],Table2111216420212223253435[Points],"DNP",0,1)</f>
        <v>DNP</v>
      </c>
      <c r="R169" t="str">
        <f>_xlfn.XLOOKUP(Table16[[#This Row],[Name]],Table211121642021222325343536[Name],Table211121642021222325343536[Points],"DNP",0,1)</f>
        <v>DNP</v>
      </c>
      <c r="S169" t="str">
        <f>_xlfn.XLOOKUP(Table16[[#This Row],[Name]],Table21112164202122232534353637[Name],Table21112164202122232534353637[Points],"DNP",0,1)</f>
        <v>DNP</v>
      </c>
      <c r="T169" t="str">
        <f>_xlfn.XLOOKUP(Table16[[#This Row],[Name]],Table2111216420212223253435363738[Name],Table2111216420212223253435363738[Points],"DNP",0,1)</f>
        <v>DNP</v>
      </c>
      <c r="U169" t="str">
        <f>_xlfn.XLOOKUP(Table16[[#This Row],[Name]],Table2111216420212223253435363739[Name],Table2111216420212223253435363739[Points],"DNP",0,1)</f>
        <v>DNP</v>
      </c>
      <c r="V169" t="str">
        <f>_xlfn.XLOOKUP(Table16[[#This Row],[Name]],Table211121642021222325343536373841[Name],Table211121642021222325343536373841[Points],"DNP",0,1)</f>
        <v>DNP</v>
      </c>
    </row>
    <row r="170" spans="2:22">
      <c r="B170" t="str">
        <f>IFERROR(Table5[[#This Row],[Full name]],"")</f>
        <v>George Florea</v>
      </c>
      <c r="C170" s="68">
        <f>SUM(Table16[[#This Row],[September 30, 2025]:[Column18]])</f>
        <v>0</v>
      </c>
      <c r="D170" t="str">
        <f>_xlfn.XLOOKUP(Table16[[#This Row],[Name]],Table4[Name],Table4[Points],"DNP",0,1)</f>
        <v>DNP</v>
      </c>
      <c r="E170" t="str">
        <f>_xlfn.XLOOKUP(Table16[[#This Row],[Name]],Table9[Name],Table9[Points],"DNP",0,1)</f>
        <v>DNP</v>
      </c>
      <c r="F170" t="str">
        <f>_xlfn.XLOOKUP(Table16[[#This Row],[Name]],Table18[Name],Table18[Points],"DNP",0,1)</f>
        <v>DNP</v>
      </c>
      <c r="G170" t="str">
        <f>_xlfn.XLOOKUP(Table16[[#This Row],[Name]],Table2[Name],Table2[Points],"DNP",0,1)</f>
        <v>DNP</v>
      </c>
      <c r="H170" t="str">
        <f>_xlfn.XLOOKUP(Table16[[#This Row],[Name]],Table211[Name],Table211[Points],"DNP",0,1)</f>
        <v>DNP</v>
      </c>
      <c r="I170" t="str">
        <f>_xlfn.XLOOKUP(Table16[[#This Row],[Name]],Table21112[Name],Table21112[Points],"DNP",0,1)</f>
        <v>DNP</v>
      </c>
      <c r="J170" t="str">
        <f>_xlfn.XLOOKUP(Table16[[#This Row],[Name]],Table21112164[Name],Table21112164[Points],"DNP",0,1)</f>
        <v>DNP</v>
      </c>
      <c r="K170" t="str">
        <f>_xlfn.XLOOKUP(Table16[[#This Row],[Name]],Table2111216420[Name],Table2111216420[Points],"DNP",0,1)</f>
        <v>DNP</v>
      </c>
      <c r="L170" t="str">
        <f>_xlfn.XLOOKUP(Table16[[#This Row],[Name]],Table211121642021[Name],Table211121642021[Points],"DNP",0,1)</f>
        <v>DNP</v>
      </c>
      <c r="M170" t="str">
        <f>_xlfn.XLOOKUP(Table16[[#This Row],[Name]],Table21112164202122[Name],Table21112164202122[Points],"DNP",0,1)</f>
        <v>DNP</v>
      </c>
      <c r="N170" t="str">
        <f>_xlfn.XLOOKUP(Table16[[#This Row],[Name]],Table2111216420212223[Name],Table2111216420212223[Points],"DNP",0,1)</f>
        <v>DNP</v>
      </c>
      <c r="O170" t="str">
        <f>_xlfn.XLOOKUP(Table16[[#This Row],[Name]],Table211121642021222325[Name],Table211121642021222325[Points],"DNP",0,1)</f>
        <v>DNP</v>
      </c>
      <c r="P170" t="str">
        <f>_xlfn.XLOOKUP(Table16[[#This Row],[Name]],Table21112164202122232534[Name],Table21112164202122232534[Points],"DNP",0,1)</f>
        <v>DNP</v>
      </c>
      <c r="Q170" t="str">
        <f>_xlfn.XLOOKUP(Table16[[#This Row],[Name]],Table2111216420212223253435[Name],Table2111216420212223253435[Points],"DNP",0,1)</f>
        <v>DNP</v>
      </c>
      <c r="R170" t="str">
        <f>_xlfn.XLOOKUP(Table16[[#This Row],[Name]],Table211121642021222325343536[Name],Table211121642021222325343536[Points],"DNP",0,1)</f>
        <v>DNP</v>
      </c>
      <c r="S170" t="str">
        <f>_xlfn.XLOOKUP(Table16[[#This Row],[Name]],Table21112164202122232534353637[Name],Table21112164202122232534353637[Points],"DNP",0,1)</f>
        <v>DNP</v>
      </c>
      <c r="T170" t="str">
        <f>_xlfn.XLOOKUP(Table16[[#This Row],[Name]],Table2111216420212223253435363738[Name],Table2111216420212223253435363738[Points],"DNP",0,1)</f>
        <v>DNP</v>
      </c>
      <c r="U170" t="str">
        <f>_xlfn.XLOOKUP(Table16[[#This Row],[Name]],Table2111216420212223253435363739[Name],Table2111216420212223253435363739[Points],"DNP",0,1)</f>
        <v>DNP</v>
      </c>
      <c r="V170" t="str">
        <f>_xlfn.XLOOKUP(Table16[[#This Row],[Name]],Table211121642021222325343536373841[Name],Table211121642021222325343536373841[Points],"DNP",0,1)</f>
        <v>DNP</v>
      </c>
    </row>
    <row r="171" spans="2:22">
      <c r="B171" t="str">
        <f>IFERROR(Table5[[#This Row],[Full name]],"")</f>
        <v>Grayson Adams</v>
      </c>
      <c r="C171" s="68">
        <f>SUM(Table16[[#This Row],[September 30, 2025]:[Column18]])</f>
        <v>3</v>
      </c>
      <c r="D171" t="str">
        <f>_xlfn.XLOOKUP(Table16[[#This Row],[Name]],Table4[Name],Table4[Points],"DNP",0,1)</f>
        <v>DNP</v>
      </c>
      <c r="E171" t="str">
        <f>_xlfn.XLOOKUP(Table16[[#This Row],[Name]],Table9[Name],Table9[Points],"DNP",0,1)</f>
        <v>DNP</v>
      </c>
      <c r="F171" t="str">
        <f>_xlfn.XLOOKUP(Table16[[#This Row],[Name]],Table18[Name],Table18[Points],"DNP",0,1)</f>
        <v>DNP</v>
      </c>
      <c r="G171" t="str">
        <f>_xlfn.XLOOKUP(Table16[[#This Row],[Name]],Table2[Name],Table2[Points],"DNP",0,1)</f>
        <v>DNP</v>
      </c>
      <c r="H171" t="str">
        <f>_xlfn.XLOOKUP(Table16[[#This Row],[Name]],Table211[Name],Table211[Points],"DNP",0,1)</f>
        <v>DNP</v>
      </c>
      <c r="I171" t="str">
        <f>_xlfn.XLOOKUP(Table16[[#This Row],[Name]],Table21112[Name],Table21112[Points],"DNP",0,1)</f>
        <v>DNP</v>
      </c>
      <c r="J171" t="str">
        <f>_xlfn.XLOOKUP(Table16[[#This Row],[Name]],Table21112164[Name],Table21112164[Points],"DNP",0,1)</f>
        <v>DNP</v>
      </c>
      <c r="K171" t="str">
        <f>_xlfn.XLOOKUP(Table16[[#This Row],[Name]],Table2111216420[Name],Table2111216420[Points],"DNP",0,1)</f>
        <v>DNP</v>
      </c>
      <c r="L171" t="str">
        <f>_xlfn.XLOOKUP(Table16[[#This Row],[Name]],Table211121642021[Name],Table211121642021[Points],"DNP",0,1)</f>
        <v>DNP</v>
      </c>
      <c r="M171" t="str">
        <f>_xlfn.XLOOKUP(Table16[[#This Row],[Name]],Table21112164202122[Name],Table21112164202122[Points],"DNP",0,1)</f>
        <v>DNP</v>
      </c>
      <c r="N171">
        <f>_xlfn.XLOOKUP(Table16[[#This Row],[Name]],Table2111216420212223[Name],Table2111216420212223[Points],"DNP",0,1)</f>
        <v>1</v>
      </c>
      <c r="O171" t="str">
        <f>_xlfn.XLOOKUP(Table16[[#This Row],[Name]],Table211121642021222325[Name],Table211121642021222325[Points],"DNP",0,1)</f>
        <v>DNP</v>
      </c>
      <c r="P171" t="str">
        <f>_xlfn.XLOOKUP(Table16[[#This Row],[Name]],Table21112164202122232534[Name],Table21112164202122232534[Points],"DNP",0,1)</f>
        <v>DNP</v>
      </c>
      <c r="Q171" t="str">
        <f>_xlfn.XLOOKUP(Table16[[#This Row],[Name]],Table2111216420212223253435[Name],Table2111216420212223253435[Points],"DNP",0,1)</f>
        <v>DNP</v>
      </c>
      <c r="R171">
        <f>_xlfn.XLOOKUP(Table16[[#This Row],[Name]],Table211121642021222325343536[Name],Table211121642021222325343536[Points],"DNP",0,1)</f>
        <v>2</v>
      </c>
      <c r="S171" t="str">
        <f>_xlfn.XLOOKUP(Table16[[#This Row],[Name]],Table21112164202122232534353637[Name],Table21112164202122232534353637[Points],"DNP",0,1)</f>
        <v>DNP</v>
      </c>
      <c r="T171" t="str">
        <f>_xlfn.XLOOKUP(Table16[[#This Row],[Name]],Table2111216420212223253435363738[Name],Table2111216420212223253435363738[Points],"DNP",0,1)</f>
        <v>DNP</v>
      </c>
      <c r="U171" t="str">
        <f>_xlfn.XLOOKUP(Table16[[#This Row],[Name]],Table2111216420212223253435363739[Name],Table2111216420212223253435363739[Points],"DNP",0,1)</f>
        <v>DNP</v>
      </c>
      <c r="V171" t="str">
        <f>_xlfn.XLOOKUP(Table16[[#This Row],[Name]],Table211121642021222325343536373841[Name],Table211121642021222325343536373841[Points],"DNP",0,1)</f>
        <v>DNP</v>
      </c>
    </row>
    <row r="172" spans="2:22">
      <c r="B172" t="str">
        <f>IFERROR(Table5[[#This Row],[Full name]],"")</f>
        <v>Hafsah Sikandar</v>
      </c>
      <c r="C172" s="68">
        <f>SUM(Table16[[#This Row],[September 30, 2025]:[Column18]])</f>
        <v>1</v>
      </c>
      <c r="D172" t="str">
        <f>_xlfn.XLOOKUP(Table16[[#This Row],[Name]],Table4[Name],Table4[Points],"DNP",0,1)</f>
        <v>DNP</v>
      </c>
      <c r="E172" t="str">
        <f>_xlfn.XLOOKUP(Table16[[#This Row],[Name]],Table9[Name],Table9[Points],"DNP",0,1)</f>
        <v>DNP</v>
      </c>
      <c r="F172" t="str">
        <f>_xlfn.XLOOKUP(Table16[[#This Row],[Name]],Table18[Name],Table18[Points],"DNP",0,1)</f>
        <v>DNP</v>
      </c>
      <c r="G172" t="str">
        <f>_xlfn.XLOOKUP(Table16[[#This Row],[Name]],Table2[Name],Table2[Points],"DNP",0,1)</f>
        <v>DNP</v>
      </c>
      <c r="H172" t="str">
        <f>_xlfn.XLOOKUP(Table16[[#This Row],[Name]],Table211[Name],Table211[Points],"DNP",0,1)</f>
        <v>DNP</v>
      </c>
      <c r="I172" t="str">
        <f>_xlfn.XLOOKUP(Table16[[#This Row],[Name]],Table21112[Name],Table21112[Points],"DNP",0,1)</f>
        <v>DNP</v>
      </c>
      <c r="J172" t="str">
        <f>_xlfn.XLOOKUP(Table16[[#This Row],[Name]],Table21112164[Name],Table21112164[Points],"DNP",0,1)</f>
        <v>DNP</v>
      </c>
      <c r="K172" t="str">
        <f>_xlfn.XLOOKUP(Table16[[#This Row],[Name]],Table2111216420[Name],Table2111216420[Points],"DNP",0,1)</f>
        <v>DNP</v>
      </c>
      <c r="L172" t="str">
        <f>_xlfn.XLOOKUP(Table16[[#This Row],[Name]],Table211121642021[Name],Table211121642021[Points],"DNP",0,1)</f>
        <v>DNP</v>
      </c>
      <c r="M172" t="str">
        <f>_xlfn.XLOOKUP(Table16[[#This Row],[Name]],Table21112164202122[Name],Table21112164202122[Points],"DNP",0,1)</f>
        <v>DNP</v>
      </c>
      <c r="N172" t="str">
        <f>_xlfn.XLOOKUP(Table16[[#This Row],[Name]],Table2111216420212223[Name],Table2111216420212223[Points],"DNP",0,1)</f>
        <v>DNP</v>
      </c>
      <c r="O172" t="str">
        <f>_xlfn.XLOOKUP(Table16[[#This Row],[Name]],Table211121642021222325[Name],Table211121642021222325[Points],"DNP",0,1)</f>
        <v>DNP</v>
      </c>
      <c r="P172" t="str">
        <f>_xlfn.XLOOKUP(Table16[[#This Row],[Name]],Table21112164202122232534[Name],Table21112164202122232534[Points],"DNP",0,1)</f>
        <v>DNP</v>
      </c>
      <c r="Q172" t="str">
        <f>_xlfn.XLOOKUP(Table16[[#This Row],[Name]],Table2111216420212223253435[Name],Table2111216420212223253435[Points],"DNP",0,1)</f>
        <v>DNP</v>
      </c>
      <c r="R172">
        <f>_xlfn.XLOOKUP(Table16[[#This Row],[Name]],Table211121642021222325343536[Name],Table211121642021222325343536[Points],"DNP",0,1)</f>
        <v>1</v>
      </c>
      <c r="S172" t="str">
        <f>_xlfn.XLOOKUP(Table16[[#This Row],[Name]],Table21112164202122232534353637[Name],Table21112164202122232534353637[Points],"DNP",0,1)</f>
        <v>DNP</v>
      </c>
      <c r="T172" t="str">
        <f>_xlfn.XLOOKUP(Table16[[#This Row],[Name]],Table2111216420212223253435363738[Name],Table2111216420212223253435363738[Points],"DNP",0,1)</f>
        <v>DNP</v>
      </c>
      <c r="U172" t="str">
        <f>_xlfn.XLOOKUP(Table16[[#This Row],[Name]],Table2111216420212223253435363739[Name],Table2111216420212223253435363739[Points],"DNP",0,1)</f>
        <v>DNP</v>
      </c>
      <c r="V172" t="str">
        <f>_xlfn.XLOOKUP(Table16[[#This Row],[Name]],Table211121642021222325343536373841[Name],Table211121642021222325343536373841[Points],"DNP",0,1)</f>
        <v>DNP</v>
      </c>
    </row>
    <row r="173" spans="2:22">
      <c r="B173" t="str">
        <f>IFERROR(Table5[[#This Row],[Full name]],"")</f>
        <v>Hamza Khamissa</v>
      </c>
      <c r="C173" s="68">
        <f>SUM(Table16[[#This Row],[September 30, 2025]:[Column18]])</f>
        <v>13</v>
      </c>
      <c r="D173">
        <f>_xlfn.XLOOKUP(Table16[[#This Row],[Name]],Table4[Name],Table4[Points],"DNP",0,1)</f>
        <v>4</v>
      </c>
      <c r="E173" t="str">
        <f>_xlfn.XLOOKUP(Table16[[#This Row],[Name]],Table9[Name],Table9[Points],"DNP",0,1)</f>
        <v>DNP</v>
      </c>
      <c r="F173">
        <f>_xlfn.XLOOKUP(Table16[[#This Row],[Name]],Table18[Name],Table18[Points],"DNP",0,1)</f>
        <v>1</v>
      </c>
      <c r="G173">
        <f>_xlfn.XLOOKUP(Table16[[#This Row],[Name]],Table2[Name],Table2[Points],"DNP",0,1)</f>
        <v>2</v>
      </c>
      <c r="H173" t="str">
        <f>_xlfn.XLOOKUP(Table16[[#This Row],[Name]],Table211[Name],Table211[Points],"DNP",0,1)</f>
        <v>DNP</v>
      </c>
      <c r="I173" t="str">
        <f>_xlfn.XLOOKUP(Table16[[#This Row],[Name]],Table21112[Name],Table21112[Points],"DNP",0,1)</f>
        <v>DNP</v>
      </c>
      <c r="J173">
        <f>_xlfn.XLOOKUP(Table16[[#This Row],[Name]],Table21112164[Name],Table21112164[Points],"DNP",0,1)</f>
        <v>2</v>
      </c>
      <c r="K173">
        <f>_xlfn.XLOOKUP(Table16[[#This Row],[Name]],Table2111216420[Name],Table2111216420[Points],"DNP",0,1)</f>
        <v>4</v>
      </c>
      <c r="L173" t="str">
        <f>_xlfn.XLOOKUP(Table16[[#This Row],[Name]],Table211121642021[Name],Table211121642021[Points],"DNP",0,1)</f>
        <v>DNP</v>
      </c>
      <c r="M173" t="str">
        <f>_xlfn.XLOOKUP(Table16[[#This Row],[Name]],Table21112164202122[Name],Table21112164202122[Points],"DNP",0,1)</f>
        <v>DNP</v>
      </c>
      <c r="N173" t="str">
        <f>_xlfn.XLOOKUP(Table16[[#This Row],[Name]],Table2111216420212223[Name],Table2111216420212223[Points],"DNP",0,1)</f>
        <v>DNP</v>
      </c>
      <c r="O173" t="str">
        <f>_xlfn.XLOOKUP(Table16[[#This Row],[Name]],Table211121642021222325[Name],Table211121642021222325[Points],"DNP",0,1)</f>
        <v>DNP</v>
      </c>
      <c r="P173" t="str">
        <f>_xlfn.XLOOKUP(Table16[[#This Row],[Name]],Table21112164202122232534[Name],Table21112164202122232534[Points],"DNP",0,1)</f>
        <v>DNP</v>
      </c>
      <c r="Q173" t="str">
        <f>_xlfn.XLOOKUP(Table16[[#This Row],[Name]],Table2111216420212223253435[Name],Table2111216420212223253435[Points],"DNP",0,1)</f>
        <v>DNP</v>
      </c>
      <c r="R173" t="str">
        <f>_xlfn.XLOOKUP(Table16[[#This Row],[Name]],Table211121642021222325343536[Name],Table211121642021222325343536[Points],"DNP",0,1)</f>
        <v>DNP</v>
      </c>
      <c r="S173" t="str">
        <f>_xlfn.XLOOKUP(Table16[[#This Row],[Name]],Table21112164202122232534353637[Name],Table21112164202122232534353637[Points],"DNP",0,1)</f>
        <v>DNP</v>
      </c>
      <c r="T173" t="str">
        <f>_xlfn.XLOOKUP(Table16[[#This Row],[Name]],Table2111216420212223253435363738[Name],Table2111216420212223253435363738[Points],"DNP",0,1)</f>
        <v>DNP</v>
      </c>
      <c r="U173" t="str">
        <f>_xlfn.XLOOKUP(Table16[[#This Row],[Name]],Table2111216420212223253435363739[Name],Table2111216420212223253435363739[Points],"DNP",0,1)</f>
        <v>DNP</v>
      </c>
      <c r="V173" t="str">
        <f>_xlfn.XLOOKUP(Table16[[#This Row],[Name]],Table211121642021222325343536373841[Name],Table211121642021222325343536373841[Points],"DNP",0,1)</f>
        <v>DNP</v>
      </c>
    </row>
    <row r="174" spans="2:22">
      <c r="B174" t="str">
        <f>IFERROR(Table5[[#This Row],[Full name]],"")</f>
        <v>Haoyi Wang</v>
      </c>
      <c r="C174" s="68">
        <f>SUM(Table16[[#This Row],[September 30, 2025]:[Column18]])</f>
        <v>0</v>
      </c>
      <c r="D174" t="str">
        <f>_xlfn.XLOOKUP(Table16[[#This Row],[Name]],Table4[Name],Table4[Points],"DNP",0,1)</f>
        <v>DNP</v>
      </c>
      <c r="E174" t="str">
        <f>_xlfn.XLOOKUP(Table16[[#This Row],[Name]],Table9[Name],Table9[Points],"DNP",0,1)</f>
        <v>DNP</v>
      </c>
      <c r="F174" t="str">
        <f>_xlfn.XLOOKUP(Table16[[#This Row],[Name]],Table18[Name],Table18[Points],"DNP",0,1)</f>
        <v>DNP</v>
      </c>
      <c r="G174" t="str">
        <f>_xlfn.XLOOKUP(Table16[[#This Row],[Name]],Table2[Name],Table2[Points],"DNP",0,1)</f>
        <v>DNP</v>
      </c>
      <c r="H174" t="str">
        <f>_xlfn.XLOOKUP(Table16[[#This Row],[Name]],Table211[Name],Table211[Points],"DNP",0,1)</f>
        <v>DNP</v>
      </c>
      <c r="I174" t="str">
        <f>_xlfn.XLOOKUP(Table16[[#This Row],[Name]],Table21112[Name],Table21112[Points],"DNP",0,1)</f>
        <v>DNP</v>
      </c>
      <c r="J174" t="str">
        <f>_xlfn.XLOOKUP(Table16[[#This Row],[Name]],Table21112164[Name],Table21112164[Points],"DNP",0,1)</f>
        <v>DNP</v>
      </c>
      <c r="K174" t="str">
        <f>_xlfn.XLOOKUP(Table16[[#This Row],[Name]],Table2111216420[Name],Table2111216420[Points],"DNP",0,1)</f>
        <v>DNP</v>
      </c>
      <c r="L174" t="str">
        <f>_xlfn.XLOOKUP(Table16[[#This Row],[Name]],Table211121642021[Name],Table211121642021[Points],"DNP",0,1)</f>
        <v>DNP</v>
      </c>
      <c r="M174" t="str">
        <f>_xlfn.XLOOKUP(Table16[[#This Row],[Name]],Table21112164202122[Name],Table21112164202122[Points],"DNP",0,1)</f>
        <v>DNP</v>
      </c>
      <c r="N174" t="str">
        <f>_xlfn.XLOOKUP(Table16[[#This Row],[Name]],Table2111216420212223[Name],Table2111216420212223[Points],"DNP",0,1)</f>
        <v>DNP</v>
      </c>
      <c r="O174" t="str">
        <f>_xlfn.XLOOKUP(Table16[[#This Row],[Name]],Table211121642021222325[Name],Table211121642021222325[Points],"DNP",0,1)</f>
        <v>DNP</v>
      </c>
      <c r="P174" t="str">
        <f>_xlfn.XLOOKUP(Table16[[#This Row],[Name]],Table21112164202122232534[Name],Table21112164202122232534[Points],"DNP",0,1)</f>
        <v>DNP</v>
      </c>
      <c r="Q174" t="str">
        <f>_xlfn.XLOOKUP(Table16[[#This Row],[Name]],Table2111216420212223253435[Name],Table2111216420212223253435[Points],"DNP",0,1)</f>
        <v>DNP</v>
      </c>
      <c r="R174" t="str">
        <f>_xlfn.XLOOKUP(Table16[[#This Row],[Name]],Table211121642021222325343536[Name],Table211121642021222325343536[Points],"DNP",0,1)</f>
        <v>DNP</v>
      </c>
      <c r="S174" t="str">
        <f>_xlfn.XLOOKUP(Table16[[#This Row],[Name]],Table21112164202122232534353637[Name],Table21112164202122232534353637[Points],"DNP",0,1)</f>
        <v>DNP</v>
      </c>
      <c r="T174" t="str">
        <f>_xlfn.XLOOKUP(Table16[[#This Row],[Name]],Table2111216420212223253435363738[Name],Table2111216420212223253435363738[Points],"DNP",0,1)</f>
        <v>DNP</v>
      </c>
      <c r="U174" t="str">
        <f>_xlfn.XLOOKUP(Table16[[#This Row],[Name]],Table2111216420212223253435363739[Name],Table2111216420212223253435363739[Points],"DNP",0,1)</f>
        <v>DNP</v>
      </c>
      <c r="V174" t="str">
        <f>_xlfn.XLOOKUP(Table16[[#This Row],[Name]],Table211121642021222325343536373841[Name],Table211121642021222325343536373841[Points],"DNP",0,1)</f>
        <v>DNP</v>
      </c>
    </row>
    <row r="175" spans="2:22">
      <c r="B175" t="str">
        <f>IFERROR(Table5[[#This Row],[Full name]],"")</f>
        <v>Harold Zhang</v>
      </c>
      <c r="C175" s="68">
        <f>SUM(Table16[[#This Row],[September 30, 2025]:[Column18]])</f>
        <v>12</v>
      </c>
      <c r="D175" t="str">
        <f>_xlfn.XLOOKUP(Table16[[#This Row],[Name]],Table4[Name],Table4[Points],"DNP",0,1)</f>
        <v>DNP</v>
      </c>
      <c r="E175" t="str">
        <f>_xlfn.XLOOKUP(Table16[[#This Row],[Name]],Table9[Name],Table9[Points],"DNP",0,1)</f>
        <v>DNP</v>
      </c>
      <c r="F175" t="str">
        <f>_xlfn.XLOOKUP(Table16[[#This Row],[Name]],Table18[Name],Table18[Points],"DNP",0,1)</f>
        <v>DNP</v>
      </c>
      <c r="G175" t="str">
        <f>_xlfn.XLOOKUP(Table16[[#This Row],[Name]],Table2[Name],Table2[Points],"DNP",0,1)</f>
        <v>DNP</v>
      </c>
      <c r="H175">
        <f>_xlfn.XLOOKUP(Table16[[#This Row],[Name]],Table211[Name],Table211[Points],"DNP",0,1)</f>
        <v>2</v>
      </c>
      <c r="I175">
        <f>_xlfn.XLOOKUP(Table16[[#This Row],[Name]],Table21112[Name],Table21112[Points],"DNP",0,1)</f>
        <v>1</v>
      </c>
      <c r="J175">
        <f>_xlfn.XLOOKUP(Table16[[#This Row],[Name]],Table21112164[Name],Table21112164[Points],"DNP",0,1)</f>
        <v>3</v>
      </c>
      <c r="K175">
        <f>_xlfn.XLOOKUP(Table16[[#This Row],[Name]],Table2111216420[Name],Table2111216420[Points],"DNP",0,1)</f>
        <v>2</v>
      </c>
      <c r="L175" t="str">
        <f>_xlfn.XLOOKUP(Table16[[#This Row],[Name]],Table211121642021[Name],Table211121642021[Points],"DNP",0,1)</f>
        <v>DNP</v>
      </c>
      <c r="M175">
        <f>_xlfn.XLOOKUP(Table16[[#This Row],[Name]],Table21112164202122[Name],Table21112164202122[Points],"DNP",0,1)</f>
        <v>1</v>
      </c>
      <c r="N175" t="str">
        <f>_xlfn.XLOOKUP(Table16[[#This Row],[Name]],Table2111216420212223[Name],Table2111216420212223[Points],"DNP",0,1)</f>
        <v>DNP</v>
      </c>
      <c r="O175">
        <f>_xlfn.XLOOKUP(Table16[[#This Row],[Name]],Table211121642021222325[Name],Table211121642021222325[Points],"DNP",0,1)</f>
        <v>2</v>
      </c>
      <c r="P175" t="str">
        <f>_xlfn.XLOOKUP(Table16[[#This Row],[Name]],Table21112164202122232534[Name],Table21112164202122232534[Points],"DNP",0,1)</f>
        <v>DNP</v>
      </c>
      <c r="Q175" t="str">
        <f>_xlfn.XLOOKUP(Table16[[#This Row],[Name]],Table2111216420212223253435[Name],Table2111216420212223253435[Points],"DNP",0,1)</f>
        <v>DNP</v>
      </c>
      <c r="R175">
        <f>_xlfn.XLOOKUP(Table16[[#This Row],[Name]],Table211121642021222325343536[Name],Table211121642021222325343536[Points],"DNP",0,1)</f>
        <v>1</v>
      </c>
      <c r="S175" t="str">
        <f>_xlfn.XLOOKUP(Table16[[#This Row],[Name]],Table21112164202122232534353637[Name],Table21112164202122232534353637[Points],"DNP",0,1)</f>
        <v>DNP</v>
      </c>
      <c r="T175" t="str">
        <f>_xlfn.XLOOKUP(Table16[[#This Row],[Name]],Table2111216420212223253435363738[Name],Table2111216420212223253435363738[Points],"DNP",0,1)</f>
        <v>DNP</v>
      </c>
      <c r="U175" t="str">
        <f>_xlfn.XLOOKUP(Table16[[#This Row],[Name]],Table2111216420212223253435363739[Name],Table2111216420212223253435363739[Points],"DNP",0,1)</f>
        <v>DNP</v>
      </c>
      <c r="V175" t="str">
        <f>_xlfn.XLOOKUP(Table16[[#This Row],[Name]],Table211121642021222325343536373841[Name],Table211121642021222325343536373841[Points],"DNP",0,1)</f>
        <v>DNP</v>
      </c>
    </row>
    <row r="176" spans="2:22">
      <c r="B176" t="str">
        <f>IFERROR(Table5[[#This Row],[Full name]],"")</f>
        <v>Haroun Elamin</v>
      </c>
      <c r="C176" s="68">
        <f>SUM(Table16[[#This Row],[September 30, 2025]:[Column18]])</f>
        <v>1</v>
      </c>
      <c r="D176" t="str">
        <f>_xlfn.XLOOKUP(Table16[[#This Row],[Name]],Table4[Name],Table4[Points],"DNP",0,1)</f>
        <v>DNP</v>
      </c>
      <c r="E176" t="str">
        <f>_xlfn.XLOOKUP(Table16[[#This Row],[Name]],Table9[Name],Table9[Points],"DNP",0,1)</f>
        <v>DNP</v>
      </c>
      <c r="F176" t="str">
        <f>_xlfn.XLOOKUP(Table16[[#This Row],[Name]],Table18[Name],Table18[Points],"DNP",0,1)</f>
        <v>DNP</v>
      </c>
      <c r="G176" t="str">
        <f>_xlfn.XLOOKUP(Table16[[#This Row],[Name]],Table2[Name],Table2[Points],"DNP",0,1)</f>
        <v>DNP</v>
      </c>
      <c r="H176">
        <f>_xlfn.XLOOKUP(Table16[[#This Row],[Name]],Table211[Name],Table211[Points],"DNP",0,1)</f>
        <v>1</v>
      </c>
      <c r="I176" t="str">
        <f>_xlfn.XLOOKUP(Table16[[#This Row],[Name]],Table21112[Name],Table21112[Points],"DNP",0,1)</f>
        <v>DNP</v>
      </c>
      <c r="J176" t="str">
        <f>_xlfn.XLOOKUP(Table16[[#This Row],[Name]],Table21112164[Name],Table21112164[Points],"DNP",0,1)</f>
        <v>DNP</v>
      </c>
      <c r="K176" t="str">
        <f>_xlfn.XLOOKUP(Table16[[#This Row],[Name]],Table2111216420[Name],Table2111216420[Points],"DNP",0,1)</f>
        <v>DNP</v>
      </c>
      <c r="L176" t="str">
        <f>_xlfn.XLOOKUP(Table16[[#This Row],[Name]],Table211121642021[Name],Table211121642021[Points],"DNP",0,1)</f>
        <v>DNP</v>
      </c>
      <c r="M176" t="str">
        <f>_xlfn.XLOOKUP(Table16[[#This Row],[Name]],Table21112164202122[Name],Table21112164202122[Points],"DNP",0,1)</f>
        <v>DNP</v>
      </c>
      <c r="N176" t="str">
        <f>_xlfn.XLOOKUP(Table16[[#This Row],[Name]],Table2111216420212223[Name],Table2111216420212223[Points],"DNP",0,1)</f>
        <v>DNP</v>
      </c>
      <c r="O176" t="str">
        <f>_xlfn.XLOOKUP(Table16[[#This Row],[Name]],Table211121642021222325[Name],Table211121642021222325[Points],"DNP",0,1)</f>
        <v>DNP</v>
      </c>
      <c r="P176" t="str">
        <f>_xlfn.XLOOKUP(Table16[[#This Row],[Name]],Table21112164202122232534[Name],Table21112164202122232534[Points],"DNP",0,1)</f>
        <v>DNP</v>
      </c>
      <c r="Q176" t="str">
        <f>_xlfn.XLOOKUP(Table16[[#This Row],[Name]],Table2111216420212223253435[Name],Table2111216420212223253435[Points],"DNP",0,1)</f>
        <v>DNP</v>
      </c>
      <c r="R176" t="str">
        <f>_xlfn.XLOOKUP(Table16[[#This Row],[Name]],Table211121642021222325343536[Name],Table211121642021222325343536[Points],"DNP",0,1)</f>
        <v>DNP</v>
      </c>
      <c r="S176" t="str">
        <f>_xlfn.XLOOKUP(Table16[[#This Row],[Name]],Table21112164202122232534353637[Name],Table21112164202122232534353637[Points],"DNP",0,1)</f>
        <v>DNP</v>
      </c>
      <c r="T176" t="str">
        <f>_xlfn.XLOOKUP(Table16[[#This Row],[Name]],Table2111216420212223253435363738[Name],Table2111216420212223253435363738[Points],"DNP",0,1)</f>
        <v>DNP</v>
      </c>
      <c r="U176" t="str">
        <f>_xlfn.XLOOKUP(Table16[[#This Row],[Name]],Table2111216420212223253435363739[Name],Table2111216420212223253435363739[Points],"DNP",0,1)</f>
        <v>DNP</v>
      </c>
      <c r="V176" t="str">
        <f>_xlfn.XLOOKUP(Table16[[#This Row],[Name]],Table211121642021222325343536373841[Name],Table211121642021222325343536373841[Points],"DNP",0,1)</f>
        <v>DNP</v>
      </c>
    </row>
    <row r="177" spans="2:22">
      <c r="B177" t="str">
        <f>IFERROR(Table5[[#This Row],[Full name]],"")</f>
        <v>Hatim Adamjee</v>
      </c>
      <c r="C177" s="68">
        <f>SUM(Table16[[#This Row],[September 30, 2025]:[Column18]])</f>
        <v>81</v>
      </c>
      <c r="D177">
        <f>_xlfn.XLOOKUP(Table16[[#This Row],[Name]],Table4[Name],Table4[Points],"DNP",0,1)</f>
        <v>4</v>
      </c>
      <c r="E177">
        <f>_xlfn.XLOOKUP(Table16[[#This Row],[Name]],Table9[Name],Table9[Points],"DNP",0,1)</f>
        <v>1</v>
      </c>
      <c r="F177">
        <f>_xlfn.XLOOKUP(Table16[[#This Row],[Name]],Table18[Name],Table18[Points],"DNP",0,1)</f>
        <v>1</v>
      </c>
      <c r="G177">
        <f>_xlfn.XLOOKUP(Table16[[#This Row],[Name]],Table2[Name],Table2[Points],"DNP",0,1)</f>
        <v>2</v>
      </c>
      <c r="H177">
        <f>_xlfn.XLOOKUP(Table16[[#This Row],[Name]],Table211[Name],Table211[Points],"DNP",0,1)</f>
        <v>1</v>
      </c>
      <c r="I177">
        <f>_xlfn.XLOOKUP(Table16[[#This Row],[Name]],Table21112[Name],Table21112[Points],"DNP",0,1)</f>
        <v>1</v>
      </c>
      <c r="J177">
        <f>_xlfn.XLOOKUP(Table16[[#This Row],[Name]],Table21112164[Name],Table21112164[Points],"DNP",0,1)</f>
        <v>1</v>
      </c>
      <c r="K177">
        <f>_xlfn.XLOOKUP(Table16[[#This Row],[Name]],Table2111216420[Name],Table2111216420[Points],"DNP",0,1)</f>
        <v>8</v>
      </c>
      <c r="L177">
        <f>_xlfn.XLOOKUP(Table16[[#This Row],[Name]],Table211121642021[Name],Table211121642021[Points],"DNP",0,1)</f>
        <v>4</v>
      </c>
      <c r="M177">
        <f>_xlfn.XLOOKUP(Table16[[#This Row],[Name]],Table21112164202122[Name],Table21112164202122[Points],"DNP",0,1)</f>
        <v>2</v>
      </c>
      <c r="N177">
        <f>_xlfn.XLOOKUP(Table16[[#This Row],[Name]],Table2111216420212223[Name],Table2111216420212223[Points],"DNP",0,1)</f>
        <v>10</v>
      </c>
      <c r="O177">
        <f>_xlfn.XLOOKUP(Table16[[#This Row],[Name]],Table211121642021222325[Name],Table211121642021222325[Points],"DNP",0,1)</f>
        <v>1</v>
      </c>
      <c r="P177">
        <f>_xlfn.XLOOKUP(Table16[[#This Row],[Name]],Table21112164202122232534[Name],Table21112164202122232534[Points],"DNP",0,1)</f>
        <v>1</v>
      </c>
      <c r="Q177">
        <f>_xlfn.XLOOKUP(Table16[[#This Row],[Name]],Table2111216420212223253435[Name],Table2111216420212223253435[Points],"DNP",0,1)</f>
        <v>1</v>
      </c>
      <c r="R177" t="str">
        <f>_xlfn.XLOOKUP(Table16[[#This Row],[Name]],Table211121642021222325343536[Name],Table211121642021222325343536[Points],"DNP",0,1)</f>
        <v>DNP</v>
      </c>
      <c r="S177">
        <f>_xlfn.XLOOKUP(Table16[[#This Row],[Name]],Table21112164202122232534353637[Name],Table21112164202122232534353637[Points],"DNP",0,1)</f>
        <v>30</v>
      </c>
      <c r="T177">
        <f>_xlfn.XLOOKUP(Table16[[#This Row],[Name]],Table2111216420212223253435363738[Name],Table2111216420212223253435363738[Points],"DNP",0,1)</f>
        <v>1</v>
      </c>
      <c r="U177">
        <f>_xlfn.XLOOKUP(Table16[[#This Row],[Name]],Table2111216420212223253435363739[Name],Table2111216420212223253435363739[Points],"DNP",0,1)</f>
        <v>2</v>
      </c>
      <c r="V177">
        <f>_xlfn.XLOOKUP(Table16[[#This Row],[Name]],Table211121642021222325343536373841[Name],Table211121642021222325343536373841[Points],"DNP",0,1)</f>
        <v>10</v>
      </c>
    </row>
    <row r="178" spans="2:22">
      <c r="B178" t="str">
        <f>IFERROR(Table5[[#This Row],[Full name]],"")</f>
        <v>Hiram Lee</v>
      </c>
      <c r="C178" s="68">
        <f>SUM(Table16[[#This Row],[September 30, 2025]:[Column18]])</f>
        <v>5</v>
      </c>
      <c r="D178">
        <f>_xlfn.XLOOKUP(Table16[[#This Row],[Name]],Table4[Name],Table4[Points],"DNP",0,1)</f>
        <v>2</v>
      </c>
      <c r="E178">
        <f>_xlfn.XLOOKUP(Table16[[#This Row],[Name]],Table9[Name],Table9[Points],"DNP",0,1)</f>
        <v>3</v>
      </c>
      <c r="F178" t="str">
        <f>_xlfn.XLOOKUP(Table16[[#This Row],[Name]],Table18[Name],Table18[Points],"DNP",0,1)</f>
        <v>DNP</v>
      </c>
      <c r="G178" t="str">
        <f>_xlfn.XLOOKUP(Table16[[#This Row],[Name]],Table2[Name],Table2[Points],"DNP",0,1)</f>
        <v>DNP</v>
      </c>
      <c r="H178" t="str">
        <f>_xlfn.XLOOKUP(Table16[[#This Row],[Name]],Table211[Name],Table211[Points],"DNP",0,1)</f>
        <v>DNP</v>
      </c>
      <c r="I178" t="str">
        <f>_xlfn.XLOOKUP(Table16[[#This Row],[Name]],Table21112[Name],Table21112[Points],"DNP",0,1)</f>
        <v>DNP</v>
      </c>
      <c r="J178" t="str">
        <f>_xlfn.XLOOKUP(Table16[[#This Row],[Name]],Table21112164[Name],Table21112164[Points],"DNP",0,1)</f>
        <v>DNP</v>
      </c>
      <c r="K178" t="str">
        <f>_xlfn.XLOOKUP(Table16[[#This Row],[Name]],Table2111216420[Name],Table2111216420[Points],"DNP",0,1)</f>
        <v>DNP</v>
      </c>
      <c r="L178" t="str">
        <f>_xlfn.XLOOKUP(Table16[[#This Row],[Name]],Table211121642021[Name],Table211121642021[Points],"DNP",0,1)</f>
        <v>DNP</v>
      </c>
      <c r="M178" t="str">
        <f>_xlfn.XLOOKUP(Table16[[#This Row],[Name]],Table21112164202122[Name],Table21112164202122[Points],"DNP",0,1)</f>
        <v>DNP</v>
      </c>
      <c r="N178" t="str">
        <f>_xlfn.XLOOKUP(Table16[[#This Row],[Name]],Table2111216420212223[Name],Table2111216420212223[Points],"DNP",0,1)</f>
        <v>DNP</v>
      </c>
      <c r="O178" t="str">
        <f>_xlfn.XLOOKUP(Table16[[#This Row],[Name]],Table211121642021222325[Name],Table211121642021222325[Points],"DNP",0,1)</f>
        <v>DNP</v>
      </c>
      <c r="P178" t="str">
        <f>_xlfn.XLOOKUP(Table16[[#This Row],[Name]],Table21112164202122232534[Name],Table21112164202122232534[Points],"DNP",0,1)</f>
        <v>DNP</v>
      </c>
      <c r="Q178" t="str">
        <f>_xlfn.XLOOKUP(Table16[[#This Row],[Name]],Table2111216420212223253435[Name],Table2111216420212223253435[Points],"DNP",0,1)</f>
        <v>DNP</v>
      </c>
      <c r="R178" t="str">
        <f>_xlfn.XLOOKUP(Table16[[#This Row],[Name]],Table211121642021222325343536[Name],Table211121642021222325343536[Points],"DNP",0,1)</f>
        <v>DNP</v>
      </c>
      <c r="S178" t="str">
        <f>_xlfn.XLOOKUP(Table16[[#This Row],[Name]],Table21112164202122232534353637[Name],Table21112164202122232534353637[Points],"DNP",0,1)</f>
        <v>DNP</v>
      </c>
      <c r="T178" t="str">
        <f>_xlfn.XLOOKUP(Table16[[#This Row],[Name]],Table2111216420212223253435363738[Name],Table2111216420212223253435363738[Points],"DNP",0,1)</f>
        <v>DNP</v>
      </c>
      <c r="U178" t="str">
        <f>_xlfn.XLOOKUP(Table16[[#This Row],[Name]],Table2111216420212223253435363739[Name],Table2111216420212223253435363739[Points],"DNP",0,1)</f>
        <v>DNP</v>
      </c>
      <c r="V178" t="str">
        <f>_xlfn.XLOOKUP(Table16[[#This Row],[Name]],Table211121642021222325343536373841[Name],Table211121642021222325343536373841[Points],"DNP",0,1)</f>
        <v>DNP</v>
      </c>
    </row>
    <row r="179" spans="2:22">
      <c r="B179" t="str">
        <f>IFERROR(Table5[[#This Row],[Full name]],"")</f>
        <v>Hooman Nozari</v>
      </c>
      <c r="C179" s="68">
        <f>SUM(Table16[[#This Row],[September 30, 2025]:[Column18]])</f>
        <v>25</v>
      </c>
      <c r="D179" t="str">
        <f>_xlfn.XLOOKUP(Table16[[#This Row],[Name]],Table4[Name],Table4[Points],"DNP",0,1)</f>
        <v>DNP</v>
      </c>
      <c r="E179" t="str">
        <f>_xlfn.XLOOKUP(Table16[[#This Row],[Name]],Table9[Name],Table9[Points],"DNP",0,1)</f>
        <v>DNP</v>
      </c>
      <c r="F179">
        <f>_xlfn.XLOOKUP(Table16[[#This Row],[Name]],Table18[Name],Table18[Points],"DNP",0,1)</f>
        <v>10</v>
      </c>
      <c r="G179">
        <f>_xlfn.XLOOKUP(Table16[[#This Row],[Name]],Table2[Name],Table2[Points],"DNP",0,1)</f>
        <v>2</v>
      </c>
      <c r="H179">
        <f>_xlfn.XLOOKUP(Table16[[#This Row],[Name]],Table211[Name],Table211[Points],"DNP",0,1)</f>
        <v>1</v>
      </c>
      <c r="I179">
        <f>_xlfn.XLOOKUP(Table16[[#This Row],[Name]],Table21112[Name],Table21112[Points],"DNP",0,1)</f>
        <v>10</v>
      </c>
      <c r="J179">
        <f>_xlfn.XLOOKUP(Table16[[#This Row],[Name]],Table21112164[Name],Table21112164[Points],"DNP",0,1)</f>
        <v>2</v>
      </c>
      <c r="K179" t="str">
        <f>_xlfn.XLOOKUP(Table16[[#This Row],[Name]],Table2111216420[Name],Table2111216420[Points],"DNP",0,1)</f>
        <v>DNP</v>
      </c>
      <c r="L179" t="str">
        <f>_xlfn.XLOOKUP(Table16[[#This Row],[Name]],Table211121642021[Name],Table211121642021[Points],"DNP",0,1)</f>
        <v>DNP</v>
      </c>
      <c r="M179" t="str">
        <f>_xlfn.XLOOKUP(Table16[[#This Row],[Name]],Table21112164202122[Name],Table21112164202122[Points],"DNP",0,1)</f>
        <v>DNP</v>
      </c>
      <c r="N179" t="str">
        <f>_xlfn.XLOOKUP(Table16[[#This Row],[Name]],Table2111216420212223[Name],Table2111216420212223[Points],"DNP",0,1)</f>
        <v>DNP</v>
      </c>
      <c r="O179" t="str">
        <f>_xlfn.XLOOKUP(Table16[[#This Row],[Name]],Table211121642021222325[Name],Table211121642021222325[Points],"DNP",0,1)</f>
        <v>DNP</v>
      </c>
      <c r="P179" t="str">
        <f>_xlfn.XLOOKUP(Table16[[#This Row],[Name]],Table21112164202122232534[Name],Table21112164202122232534[Points],"DNP",0,1)</f>
        <v>DNP</v>
      </c>
      <c r="Q179" t="str">
        <f>_xlfn.XLOOKUP(Table16[[#This Row],[Name]],Table2111216420212223253435[Name],Table2111216420212223253435[Points],"DNP",0,1)</f>
        <v>DNP</v>
      </c>
      <c r="R179" t="str">
        <f>_xlfn.XLOOKUP(Table16[[#This Row],[Name]],Table211121642021222325343536[Name],Table211121642021222325343536[Points],"DNP",0,1)</f>
        <v>DNP</v>
      </c>
      <c r="S179" t="str">
        <f>_xlfn.XLOOKUP(Table16[[#This Row],[Name]],Table21112164202122232534353637[Name],Table21112164202122232534353637[Points],"DNP",0,1)</f>
        <v>DNP</v>
      </c>
      <c r="T179" t="str">
        <f>_xlfn.XLOOKUP(Table16[[#This Row],[Name]],Table2111216420212223253435363738[Name],Table2111216420212223253435363738[Points],"DNP",0,1)</f>
        <v>DNP</v>
      </c>
      <c r="U179" t="str">
        <f>_xlfn.XLOOKUP(Table16[[#This Row],[Name]],Table2111216420212223253435363739[Name],Table2111216420212223253435363739[Points],"DNP",0,1)</f>
        <v>DNP</v>
      </c>
      <c r="V179" t="str">
        <f>_xlfn.XLOOKUP(Table16[[#This Row],[Name]],Table211121642021222325343536373841[Name],Table211121642021222325343536373841[Points],"DNP",0,1)</f>
        <v>DNP</v>
      </c>
    </row>
    <row r="180" spans="2:22">
      <c r="B180" t="str">
        <f>IFERROR(Table5[[#This Row],[Full name]],"")</f>
        <v>Ian Imrie</v>
      </c>
      <c r="C180" s="68">
        <f>SUM(Table16[[#This Row],[September 30, 2025]:[Column18]])</f>
        <v>78</v>
      </c>
      <c r="D180">
        <f>_xlfn.XLOOKUP(Table16[[#This Row],[Name]],Table4[Name],Table4[Points],"DNP",0,1)</f>
        <v>4</v>
      </c>
      <c r="E180">
        <f>_xlfn.XLOOKUP(Table16[[#This Row],[Name]],Table9[Name],Table9[Points],"DNP",0,1)</f>
        <v>1</v>
      </c>
      <c r="F180">
        <f>_xlfn.XLOOKUP(Table16[[#This Row],[Name]],Table18[Name],Table18[Points],"DNP",0,1)</f>
        <v>3</v>
      </c>
      <c r="G180">
        <f>_xlfn.XLOOKUP(Table16[[#This Row],[Name]],Table2[Name],Table2[Points],"DNP",0,1)</f>
        <v>1</v>
      </c>
      <c r="H180">
        <f>_xlfn.XLOOKUP(Table16[[#This Row],[Name]],Table211[Name],Table211[Points],"DNP",0,1)</f>
        <v>3</v>
      </c>
      <c r="I180">
        <f>_xlfn.XLOOKUP(Table16[[#This Row],[Name]],Table21112[Name],Table21112[Points],"DNP",0,1)</f>
        <v>50</v>
      </c>
      <c r="J180">
        <f>_xlfn.XLOOKUP(Table16[[#This Row],[Name]],Table21112164[Name],Table21112164[Points],"DNP",0,1)</f>
        <v>1</v>
      </c>
      <c r="K180">
        <f>_xlfn.XLOOKUP(Table16[[#This Row],[Name]],Table2111216420[Name],Table2111216420[Points],"DNP",0,1)</f>
        <v>3</v>
      </c>
      <c r="L180" t="str">
        <f>_xlfn.XLOOKUP(Table16[[#This Row],[Name]],Table211121642021[Name],Table211121642021[Points],"DNP",0,1)</f>
        <v>DNP</v>
      </c>
      <c r="M180">
        <f>_xlfn.XLOOKUP(Table16[[#This Row],[Name]],Table21112164202122[Name],Table21112164202122[Points],"DNP",0,1)</f>
        <v>1</v>
      </c>
      <c r="N180" t="str">
        <f>_xlfn.XLOOKUP(Table16[[#This Row],[Name]],Table2111216420212223[Name],Table2111216420212223[Points],"DNP",0,1)</f>
        <v>DNP</v>
      </c>
      <c r="O180">
        <f>_xlfn.XLOOKUP(Table16[[#This Row],[Name]],Table211121642021222325[Name],Table211121642021222325[Points],"DNP",0,1)</f>
        <v>2</v>
      </c>
      <c r="P180">
        <f>_xlfn.XLOOKUP(Table16[[#This Row],[Name]],Table21112164202122232534[Name],Table21112164202122232534[Points],"DNP",0,1)</f>
        <v>1</v>
      </c>
      <c r="Q180" t="str">
        <f>_xlfn.XLOOKUP(Table16[[#This Row],[Name]],Table2111216420212223253435[Name],Table2111216420212223253435[Points],"DNP",0,1)</f>
        <v>DNP</v>
      </c>
      <c r="R180">
        <f>_xlfn.XLOOKUP(Table16[[#This Row],[Name]],Table211121642021222325343536[Name],Table211121642021222325343536[Points],"DNP",0,1)</f>
        <v>1</v>
      </c>
      <c r="S180" t="str">
        <f>_xlfn.XLOOKUP(Table16[[#This Row],[Name]],Table21112164202122232534353637[Name],Table21112164202122232534353637[Points],"DNP",0,1)</f>
        <v>DNP</v>
      </c>
      <c r="T180">
        <f>_xlfn.XLOOKUP(Table16[[#This Row],[Name]],Table2111216420212223253435363738[Name],Table2111216420212223253435363738[Points],"DNP",0,1)</f>
        <v>1</v>
      </c>
      <c r="U180">
        <f>_xlfn.XLOOKUP(Table16[[#This Row],[Name]],Table2111216420212223253435363739[Name],Table2111216420212223253435363739[Points],"DNP",0,1)</f>
        <v>4</v>
      </c>
      <c r="V180">
        <f>_xlfn.XLOOKUP(Table16[[#This Row],[Name]],Table211121642021222325343536373841[Name],Table211121642021222325343536373841[Points],"DNP",0,1)</f>
        <v>2</v>
      </c>
    </row>
    <row r="181" spans="2:22">
      <c r="B181" t="str">
        <f>IFERROR(Table5[[#This Row],[Full name]],"")</f>
        <v>Ian Johnson</v>
      </c>
      <c r="C181" s="68">
        <f>SUM(Table16[[#This Row],[September 30, 2025]:[Column18]])</f>
        <v>0</v>
      </c>
      <c r="D181" t="str">
        <f>_xlfn.XLOOKUP(Table16[[#This Row],[Name]],Table4[Name],Table4[Points],"DNP",0,1)</f>
        <v>DNP</v>
      </c>
      <c r="E181" t="str">
        <f>_xlfn.XLOOKUP(Table16[[#This Row],[Name]],Table9[Name],Table9[Points],"DNP",0,1)</f>
        <v>DNP</v>
      </c>
      <c r="F181" t="str">
        <f>_xlfn.XLOOKUP(Table16[[#This Row],[Name]],Table18[Name],Table18[Points],"DNP",0,1)</f>
        <v>DNP</v>
      </c>
      <c r="G181" t="str">
        <f>_xlfn.XLOOKUP(Table16[[#This Row],[Name]],Table2[Name],Table2[Points],"DNP",0,1)</f>
        <v>DNP</v>
      </c>
      <c r="H181" t="str">
        <f>_xlfn.XLOOKUP(Table16[[#This Row],[Name]],Table211[Name],Table211[Points],"DNP",0,1)</f>
        <v>DNP</v>
      </c>
      <c r="I181" t="str">
        <f>_xlfn.XLOOKUP(Table16[[#This Row],[Name]],Table21112[Name],Table21112[Points],"DNP",0,1)</f>
        <v>DNP</v>
      </c>
      <c r="J181" t="str">
        <f>_xlfn.XLOOKUP(Table16[[#This Row],[Name]],Table21112164[Name],Table21112164[Points],"DNP",0,1)</f>
        <v>DNP</v>
      </c>
      <c r="K181" t="str">
        <f>_xlfn.XLOOKUP(Table16[[#This Row],[Name]],Table2111216420[Name],Table2111216420[Points],"DNP",0,1)</f>
        <v>DNP</v>
      </c>
      <c r="L181" t="str">
        <f>_xlfn.XLOOKUP(Table16[[#This Row],[Name]],Table211121642021[Name],Table211121642021[Points],"DNP",0,1)</f>
        <v>DNP</v>
      </c>
      <c r="M181" t="str">
        <f>_xlfn.XLOOKUP(Table16[[#This Row],[Name]],Table21112164202122[Name],Table21112164202122[Points],"DNP",0,1)</f>
        <v>DNP</v>
      </c>
      <c r="N181" t="str">
        <f>_xlfn.XLOOKUP(Table16[[#This Row],[Name]],Table2111216420212223[Name],Table2111216420212223[Points],"DNP",0,1)</f>
        <v>DNP</v>
      </c>
      <c r="O181" t="str">
        <f>_xlfn.XLOOKUP(Table16[[#This Row],[Name]],Table211121642021222325[Name],Table211121642021222325[Points],"DNP",0,1)</f>
        <v>DNP</v>
      </c>
      <c r="P181" t="str">
        <f>_xlfn.XLOOKUP(Table16[[#This Row],[Name]],Table21112164202122232534[Name],Table21112164202122232534[Points],"DNP",0,1)</f>
        <v>DNP</v>
      </c>
      <c r="Q181" t="str">
        <f>_xlfn.XLOOKUP(Table16[[#This Row],[Name]],Table2111216420212223253435[Name],Table2111216420212223253435[Points],"DNP",0,1)</f>
        <v>DNP</v>
      </c>
      <c r="R181" t="str">
        <f>_xlfn.XLOOKUP(Table16[[#This Row],[Name]],Table211121642021222325343536[Name],Table211121642021222325343536[Points],"DNP",0,1)</f>
        <v>DNP</v>
      </c>
      <c r="S181" t="str">
        <f>_xlfn.XLOOKUP(Table16[[#This Row],[Name]],Table21112164202122232534353637[Name],Table21112164202122232534353637[Points],"DNP",0,1)</f>
        <v>DNP</v>
      </c>
      <c r="T181" t="str">
        <f>_xlfn.XLOOKUP(Table16[[#This Row],[Name]],Table2111216420212223253435363738[Name],Table2111216420212223253435363738[Points],"DNP",0,1)</f>
        <v>DNP</v>
      </c>
      <c r="U181" t="str">
        <f>_xlfn.XLOOKUP(Table16[[#This Row],[Name]],Table2111216420212223253435363739[Name],Table2111216420212223253435363739[Points],"DNP",0,1)</f>
        <v>DNP</v>
      </c>
      <c r="V181" t="str">
        <f>_xlfn.XLOOKUP(Table16[[#This Row],[Name]],Table211121642021222325343536373841[Name],Table211121642021222325343536373841[Points],"DNP",0,1)</f>
        <v>DNP</v>
      </c>
    </row>
    <row r="182" spans="2:22">
      <c r="B182" t="str">
        <f>IFERROR(Table5[[#This Row],[Full name]],"")</f>
        <v>Ilya Beuermann</v>
      </c>
      <c r="C182" s="68">
        <f>SUM(Table16[[#This Row],[September 30, 2025]:[Column18]])</f>
        <v>32</v>
      </c>
      <c r="D182">
        <f>_xlfn.XLOOKUP(Table16[[#This Row],[Name]],Table4[Name],Table4[Points],"DNP",0,1)</f>
        <v>2</v>
      </c>
      <c r="E182">
        <f>_xlfn.XLOOKUP(Table16[[#This Row],[Name]],Table9[Name],Table9[Points],"DNP",0,1)</f>
        <v>2</v>
      </c>
      <c r="F182">
        <f>_xlfn.XLOOKUP(Table16[[#This Row],[Name]],Table18[Name],Table18[Points],"DNP",0,1)</f>
        <v>1</v>
      </c>
      <c r="G182">
        <f>_xlfn.XLOOKUP(Table16[[#This Row],[Name]],Table2[Name],Table2[Points],"DNP",0,1)</f>
        <v>4</v>
      </c>
      <c r="H182">
        <f>_xlfn.XLOOKUP(Table16[[#This Row],[Name]],Table211[Name],Table211[Points],"DNP",0,1)</f>
        <v>2</v>
      </c>
      <c r="I182">
        <f>_xlfn.XLOOKUP(Table16[[#This Row],[Name]],Table21112[Name],Table21112[Points],"DNP",0,1)</f>
        <v>2</v>
      </c>
      <c r="J182">
        <f>_xlfn.XLOOKUP(Table16[[#This Row],[Name]],Table21112164[Name],Table21112164[Points],"DNP",0,1)</f>
        <v>1</v>
      </c>
      <c r="K182">
        <f>_xlfn.XLOOKUP(Table16[[#This Row],[Name]],Table2111216420[Name],Table2111216420[Points],"DNP",0,1)</f>
        <v>3</v>
      </c>
      <c r="L182">
        <f>_xlfn.XLOOKUP(Table16[[#This Row],[Name]],Table211121642021[Name],Table211121642021[Points],"DNP",0,1)</f>
        <v>1</v>
      </c>
      <c r="M182">
        <f>_xlfn.XLOOKUP(Table16[[#This Row],[Name]],Table21112164202122[Name],Table21112164202122[Points],"DNP",0,1)</f>
        <v>2</v>
      </c>
      <c r="N182">
        <f>_xlfn.XLOOKUP(Table16[[#This Row],[Name]],Table2111216420212223[Name],Table2111216420212223[Points],"DNP",0,1)</f>
        <v>1</v>
      </c>
      <c r="O182">
        <f>_xlfn.XLOOKUP(Table16[[#This Row],[Name]],Table211121642021222325[Name],Table211121642021222325[Points],"DNP",0,1)</f>
        <v>2</v>
      </c>
      <c r="P182">
        <f>_xlfn.XLOOKUP(Table16[[#This Row],[Name]],Table21112164202122232534[Name],Table21112164202122232534[Points],"DNP",0,1)</f>
        <v>1</v>
      </c>
      <c r="Q182">
        <f>_xlfn.XLOOKUP(Table16[[#This Row],[Name]],Table2111216420212223253435[Name],Table2111216420212223253435[Points],"DNP",0,1)</f>
        <v>1</v>
      </c>
      <c r="R182">
        <f>_xlfn.XLOOKUP(Table16[[#This Row],[Name]],Table211121642021222325343536[Name],Table211121642021222325343536[Points],"DNP",0,1)</f>
        <v>1</v>
      </c>
      <c r="S182">
        <f>_xlfn.XLOOKUP(Table16[[#This Row],[Name]],Table21112164202122232534353637[Name],Table21112164202122232534353637[Points],"DNP",0,1)</f>
        <v>1</v>
      </c>
      <c r="T182">
        <f>_xlfn.XLOOKUP(Table16[[#This Row],[Name]],Table2111216420212223253435363738[Name],Table2111216420212223253435363738[Points],"DNP",0,1)</f>
        <v>1</v>
      </c>
      <c r="U182">
        <f>_xlfn.XLOOKUP(Table16[[#This Row],[Name]],Table2111216420212223253435363739[Name],Table2111216420212223253435363739[Points],"DNP",0,1)</f>
        <v>3</v>
      </c>
      <c r="V182">
        <f>_xlfn.XLOOKUP(Table16[[#This Row],[Name]],Table211121642021222325343536373841[Name],Table211121642021222325343536373841[Points],"DNP",0,1)</f>
        <v>1</v>
      </c>
    </row>
    <row r="183" spans="2:22">
      <c r="B183" t="str">
        <f>IFERROR(Table5[[#This Row],[Full name]],"")</f>
        <v>Ivan Zhou</v>
      </c>
      <c r="C183" s="68">
        <f>SUM(Table16[[#This Row],[September 30, 2025]:[Column18]])</f>
        <v>1</v>
      </c>
      <c r="D183" t="str">
        <f>_xlfn.XLOOKUP(Table16[[#This Row],[Name]],Table4[Name],Table4[Points],"DNP",0,1)</f>
        <v>DNP</v>
      </c>
      <c r="E183" t="str">
        <f>_xlfn.XLOOKUP(Table16[[#This Row],[Name]],Table9[Name],Table9[Points],"DNP",0,1)</f>
        <v>DNP</v>
      </c>
      <c r="F183">
        <f>_xlfn.XLOOKUP(Table16[[#This Row],[Name]],Table18[Name],Table18[Points],"DNP",0,1)</f>
        <v>1</v>
      </c>
      <c r="G183" t="str">
        <f>_xlfn.XLOOKUP(Table16[[#This Row],[Name]],Table2[Name],Table2[Points],"DNP",0,1)</f>
        <v>DNP</v>
      </c>
      <c r="H183" t="str">
        <f>_xlfn.XLOOKUP(Table16[[#This Row],[Name]],Table211[Name],Table211[Points],"DNP",0,1)</f>
        <v>DNP</v>
      </c>
      <c r="I183" t="str">
        <f>_xlfn.XLOOKUP(Table16[[#This Row],[Name]],Table21112[Name],Table21112[Points],"DNP",0,1)</f>
        <v>DNP</v>
      </c>
      <c r="J183" t="str">
        <f>_xlfn.XLOOKUP(Table16[[#This Row],[Name]],Table21112164[Name],Table21112164[Points],"DNP",0,1)</f>
        <v>DNP</v>
      </c>
      <c r="K183" t="str">
        <f>_xlfn.XLOOKUP(Table16[[#This Row],[Name]],Table2111216420[Name],Table2111216420[Points],"DNP",0,1)</f>
        <v>DNP</v>
      </c>
      <c r="L183" t="str">
        <f>_xlfn.XLOOKUP(Table16[[#This Row],[Name]],Table211121642021[Name],Table211121642021[Points],"DNP",0,1)</f>
        <v>DNP</v>
      </c>
      <c r="M183" t="str">
        <f>_xlfn.XLOOKUP(Table16[[#This Row],[Name]],Table21112164202122[Name],Table21112164202122[Points],"DNP",0,1)</f>
        <v>DNP</v>
      </c>
      <c r="N183" t="str">
        <f>_xlfn.XLOOKUP(Table16[[#This Row],[Name]],Table2111216420212223[Name],Table2111216420212223[Points],"DNP",0,1)</f>
        <v>DNP</v>
      </c>
      <c r="O183" t="str">
        <f>_xlfn.XLOOKUP(Table16[[#This Row],[Name]],Table211121642021222325[Name],Table211121642021222325[Points],"DNP",0,1)</f>
        <v>DNP</v>
      </c>
      <c r="P183" t="str">
        <f>_xlfn.XLOOKUP(Table16[[#This Row],[Name]],Table21112164202122232534[Name],Table21112164202122232534[Points],"DNP",0,1)</f>
        <v>DNP</v>
      </c>
      <c r="Q183" t="str">
        <f>_xlfn.XLOOKUP(Table16[[#This Row],[Name]],Table2111216420212223253435[Name],Table2111216420212223253435[Points],"DNP",0,1)</f>
        <v>DNP</v>
      </c>
      <c r="R183" t="str">
        <f>_xlfn.XLOOKUP(Table16[[#This Row],[Name]],Table211121642021222325343536[Name],Table211121642021222325343536[Points],"DNP",0,1)</f>
        <v>DNP</v>
      </c>
      <c r="S183" t="str">
        <f>_xlfn.XLOOKUP(Table16[[#This Row],[Name]],Table21112164202122232534353637[Name],Table21112164202122232534353637[Points],"DNP",0,1)</f>
        <v>DNP</v>
      </c>
      <c r="T183" t="str">
        <f>_xlfn.XLOOKUP(Table16[[#This Row],[Name]],Table2111216420212223253435363738[Name],Table2111216420212223253435363738[Points],"DNP",0,1)</f>
        <v>DNP</v>
      </c>
      <c r="U183" t="str">
        <f>_xlfn.XLOOKUP(Table16[[#This Row],[Name]],Table2111216420212223253435363739[Name],Table2111216420212223253435363739[Points],"DNP",0,1)</f>
        <v>DNP</v>
      </c>
      <c r="V183" t="str">
        <f>_xlfn.XLOOKUP(Table16[[#This Row],[Name]],Table211121642021222325343536373841[Name],Table211121642021222325343536373841[Points],"DNP",0,1)</f>
        <v>DNP</v>
      </c>
    </row>
    <row r="184" spans="2:22">
      <c r="B184" t="str">
        <f>IFERROR(Table5[[#This Row],[Full name]],"")</f>
        <v>Jack Watson</v>
      </c>
      <c r="C184" s="68">
        <f>SUM(Table16[[#This Row],[September 30, 2025]:[Column18]])</f>
        <v>10</v>
      </c>
      <c r="D184">
        <f>_xlfn.XLOOKUP(Table16[[#This Row],[Name]],Table4[Name],Table4[Points],"DNP",0,1)</f>
        <v>2</v>
      </c>
      <c r="E184" t="str">
        <f>_xlfn.XLOOKUP(Table16[[#This Row],[Name]],Table9[Name],Table9[Points],"DNP",0,1)</f>
        <v>DNP</v>
      </c>
      <c r="F184" t="str">
        <f>_xlfn.XLOOKUP(Table16[[#This Row],[Name]],Table18[Name],Table18[Points],"DNP",0,1)</f>
        <v>DNP</v>
      </c>
      <c r="G184" t="str">
        <f>_xlfn.XLOOKUP(Table16[[#This Row],[Name]],Table2[Name],Table2[Points],"DNP",0,1)</f>
        <v>DNP</v>
      </c>
      <c r="H184" t="str">
        <f>_xlfn.XLOOKUP(Table16[[#This Row],[Name]],Table211[Name],Table211[Points],"DNP",0,1)</f>
        <v>DNP</v>
      </c>
      <c r="I184">
        <f>_xlfn.XLOOKUP(Table16[[#This Row],[Name]],Table21112[Name],Table21112[Points],"DNP",0,1)</f>
        <v>1</v>
      </c>
      <c r="J184">
        <f>_xlfn.XLOOKUP(Table16[[#This Row],[Name]],Table21112164[Name],Table21112164[Points],"DNP",0,1)</f>
        <v>1</v>
      </c>
      <c r="K184">
        <f>_xlfn.XLOOKUP(Table16[[#This Row],[Name]],Table2111216420[Name],Table2111216420[Points],"DNP",0,1)</f>
        <v>1</v>
      </c>
      <c r="L184">
        <f>_xlfn.XLOOKUP(Table16[[#This Row],[Name]],Table211121642021[Name],Table211121642021[Points],"DNP",0,1)</f>
        <v>1</v>
      </c>
      <c r="M184">
        <f>_xlfn.XLOOKUP(Table16[[#This Row],[Name]],Table21112164202122[Name],Table21112164202122[Points],"DNP",0,1)</f>
        <v>1</v>
      </c>
      <c r="N184" t="str">
        <f>_xlfn.XLOOKUP(Table16[[#This Row],[Name]],Table2111216420212223[Name],Table2111216420212223[Points],"DNP",0,1)</f>
        <v>DNP</v>
      </c>
      <c r="O184" t="str">
        <f>_xlfn.XLOOKUP(Table16[[#This Row],[Name]],Table211121642021222325[Name],Table211121642021222325[Points],"DNP",0,1)</f>
        <v>DNP</v>
      </c>
      <c r="P184">
        <f>_xlfn.XLOOKUP(Table16[[#This Row],[Name]],Table21112164202122232534[Name],Table21112164202122232534[Points],"DNP",0,1)</f>
        <v>1</v>
      </c>
      <c r="Q184" t="str">
        <f>_xlfn.XLOOKUP(Table16[[#This Row],[Name]],Table2111216420212223253435[Name],Table2111216420212223253435[Points],"DNP",0,1)</f>
        <v>DNP</v>
      </c>
      <c r="R184" t="str">
        <f>_xlfn.XLOOKUP(Table16[[#This Row],[Name]],Table211121642021222325343536[Name],Table211121642021222325343536[Points],"DNP",0,1)</f>
        <v>DNP</v>
      </c>
      <c r="S184">
        <f>_xlfn.XLOOKUP(Table16[[#This Row],[Name]],Table21112164202122232534353637[Name],Table21112164202122232534353637[Points],"DNP",0,1)</f>
        <v>1</v>
      </c>
      <c r="T184" t="str">
        <f>_xlfn.XLOOKUP(Table16[[#This Row],[Name]],Table2111216420212223253435363738[Name],Table2111216420212223253435363738[Points],"DNP",0,1)</f>
        <v>DNP</v>
      </c>
      <c r="U184">
        <f>_xlfn.XLOOKUP(Table16[[#This Row],[Name]],Table2111216420212223253435363739[Name],Table2111216420212223253435363739[Points],"DNP",0,1)</f>
        <v>1</v>
      </c>
      <c r="V184" t="str">
        <f>_xlfn.XLOOKUP(Table16[[#This Row],[Name]],Table211121642021222325343536373841[Name],Table211121642021222325343536373841[Points],"DNP",0,1)</f>
        <v>DNP</v>
      </c>
    </row>
    <row r="185" spans="2:22">
      <c r="B185" t="str">
        <f>IFERROR(Table5[[#This Row],[Full name]],"")</f>
        <v>Jacob Bailey</v>
      </c>
      <c r="C185" s="68">
        <f>SUM(Table16[[#This Row],[September 30, 2025]:[Column18]])</f>
        <v>0</v>
      </c>
      <c r="D185" t="str">
        <f>_xlfn.XLOOKUP(Table16[[#This Row],[Name]],Table4[Name],Table4[Points],"DNP",0,1)</f>
        <v>DNP</v>
      </c>
      <c r="E185" t="str">
        <f>_xlfn.XLOOKUP(Table16[[#This Row],[Name]],Table9[Name],Table9[Points],"DNP",0,1)</f>
        <v>DNP</v>
      </c>
      <c r="F185" t="str">
        <f>_xlfn.XLOOKUP(Table16[[#This Row],[Name]],Table18[Name],Table18[Points],"DNP",0,1)</f>
        <v>DNP</v>
      </c>
      <c r="G185" t="str">
        <f>_xlfn.XLOOKUP(Table16[[#This Row],[Name]],Table2[Name],Table2[Points],"DNP",0,1)</f>
        <v>DNP</v>
      </c>
      <c r="H185" t="str">
        <f>_xlfn.XLOOKUP(Table16[[#This Row],[Name]],Table211[Name],Table211[Points],"DNP",0,1)</f>
        <v>DNP</v>
      </c>
      <c r="I185" t="str">
        <f>_xlfn.XLOOKUP(Table16[[#This Row],[Name]],Table21112[Name],Table21112[Points],"DNP",0,1)</f>
        <v>DNP</v>
      </c>
      <c r="J185" t="str">
        <f>_xlfn.XLOOKUP(Table16[[#This Row],[Name]],Table21112164[Name],Table21112164[Points],"DNP",0,1)</f>
        <v>DNP</v>
      </c>
      <c r="K185" t="str">
        <f>_xlfn.XLOOKUP(Table16[[#This Row],[Name]],Table2111216420[Name],Table2111216420[Points],"DNP",0,1)</f>
        <v>DNP</v>
      </c>
      <c r="L185" t="str">
        <f>_xlfn.XLOOKUP(Table16[[#This Row],[Name]],Table211121642021[Name],Table211121642021[Points],"DNP",0,1)</f>
        <v>DNP</v>
      </c>
      <c r="M185" t="str">
        <f>_xlfn.XLOOKUP(Table16[[#This Row],[Name]],Table21112164202122[Name],Table21112164202122[Points],"DNP",0,1)</f>
        <v>DNP</v>
      </c>
      <c r="N185" t="str">
        <f>_xlfn.XLOOKUP(Table16[[#This Row],[Name]],Table2111216420212223[Name],Table2111216420212223[Points],"DNP",0,1)</f>
        <v>DNP</v>
      </c>
      <c r="O185" t="str">
        <f>_xlfn.XLOOKUP(Table16[[#This Row],[Name]],Table211121642021222325[Name],Table211121642021222325[Points],"DNP",0,1)</f>
        <v>DNP</v>
      </c>
      <c r="P185" t="str">
        <f>_xlfn.XLOOKUP(Table16[[#This Row],[Name]],Table21112164202122232534[Name],Table21112164202122232534[Points],"DNP",0,1)</f>
        <v>DNP</v>
      </c>
      <c r="Q185" t="str">
        <f>_xlfn.XLOOKUP(Table16[[#This Row],[Name]],Table2111216420212223253435[Name],Table2111216420212223253435[Points],"DNP",0,1)</f>
        <v>DNP</v>
      </c>
      <c r="R185" t="str">
        <f>_xlfn.XLOOKUP(Table16[[#This Row],[Name]],Table211121642021222325343536[Name],Table211121642021222325343536[Points],"DNP",0,1)</f>
        <v>DNP</v>
      </c>
      <c r="S185" t="str">
        <f>_xlfn.XLOOKUP(Table16[[#This Row],[Name]],Table21112164202122232534353637[Name],Table21112164202122232534353637[Points],"DNP",0,1)</f>
        <v>DNP</v>
      </c>
      <c r="T185" t="str">
        <f>_xlfn.XLOOKUP(Table16[[#This Row],[Name]],Table2111216420212223253435363738[Name],Table2111216420212223253435363738[Points],"DNP",0,1)</f>
        <v>DNP</v>
      </c>
      <c r="U185" t="str">
        <f>_xlfn.XLOOKUP(Table16[[#This Row],[Name]],Table2111216420212223253435363739[Name],Table2111216420212223253435363739[Points],"DNP",0,1)</f>
        <v>DNP</v>
      </c>
      <c r="V185" t="str">
        <f>_xlfn.XLOOKUP(Table16[[#This Row],[Name]],Table211121642021222325343536373841[Name],Table211121642021222325343536373841[Points],"DNP",0,1)</f>
        <v>DNP</v>
      </c>
    </row>
    <row r="186" spans="2:22">
      <c r="B186" t="str">
        <f>IFERROR(Table5[[#This Row],[Full name]],"")</f>
        <v>Jacob Crowley</v>
      </c>
      <c r="C186" s="68">
        <f>SUM(Table16[[#This Row],[September 30, 2025]:[Column18]])</f>
        <v>0</v>
      </c>
      <c r="D186" t="str">
        <f>_xlfn.XLOOKUP(Table16[[#This Row],[Name]],Table4[Name],Table4[Points],"DNP",0,1)</f>
        <v>DNP</v>
      </c>
      <c r="E186" t="str">
        <f>_xlfn.XLOOKUP(Table16[[#This Row],[Name]],Table9[Name],Table9[Points],"DNP",0,1)</f>
        <v>DNP</v>
      </c>
      <c r="F186" t="str">
        <f>_xlfn.XLOOKUP(Table16[[#This Row],[Name]],Table18[Name],Table18[Points],"DNP",0,1)</f>
        <v>DNP</v>
      </c>
      <c r="G186" t="str">
        <f>_xlfn.XLOOKUP(Table16[[#This Row],[Name]],Table2[Name],Table2[Points],"DNP",0,1)</f>
        <v>DNP</v>
      </c>
      <c r="H186" t="str">
        <f>_xlfn.XLOOKUP(Table16[[#This Row],[Name]],Table211[Name],Table211[Points],"DNP",0,1)</f>
        <v>DNP</v>
      </c>
      <c r="I186" t="str">
        <f>_xlfn.XLOOKUP(Table16[[#This Row],[Name]],Table21112[Name],Table21112[Points],"DNP",0,1)</f>
        <v>DNP</v>
      </c>
      <c r="J186" t="str">
        <f>_xlfn.XLOOKUP(Table16[[#This Row],[Name]],Table21112164[Name],Table21112164[Points],"DNP",0,1)</f>
        <v>DNP</v>
      </c>
      <c r="K186" t="str">
        <f>_xlfn.XLOOKUP(Table16[[#This Row],[Name]],Table2111216420[Name],Table2111216420[Points],"DNP",0,1)</f>
        <v>DNP</v>
      </c>
      <c r="L186" t="str">
        <f>_xlfn.XLOOKUP(Table16[[#This Row],[Name]],Table211121642021[Name],Table211121642021[Points],"DNP",0,1)</f>
        <v>DNP</v>
      </c>
      <c r="M186" t="str">
        <f>_xlfn.XLOOKUP(Table16[[#This Row],[Name]],Table21112164202122[Name],Table21112164202122[Points],"DNP",0,1)</f>
        <v>DNP</v>
      </c>
      <c r="N186" t="str">
        <f>_xlfn.XLOOKUP(Table16[[#This Row],[Name]],Table2111216420212223[Name],Table2111216420212223[Points],"DNP",0,1)</f>
        <v>DNP</v>
      </c>
      <c r="O186" t="str">
        <f>_xlfn.XLOOKUP(Table16[[#This Row],[Name]],Table211121642021222325[Name],Table211121642021222325[Points],"DNP",0,1)</f>
        <v>DNP</v>
      </c>
      <c r="P186" t="str">
        <f>_xlfn.XLOOKUP(Table16[[#This Row],[Name]],Table21112164202122232534[Name],Table21112164202122232534[Points],"DNP",0,1)</f>
        <v>DNP</v>
      </c>
      <c r="Q186" t="str">
        <f>_xlfn.XLOOKUP(Table16[[#This Row],[Name]],Table2111216420212223253435[Name],Table2111216420212223253435[Points],"DNP",0,1)</f>
        <v>DNP</v>
      </c>
      <c r="R186" t="str">
        <f>_xlfn.XLOOKUP(Table16[[#This Row],[Name]],Table211121642021222325343536[Name],Table211121642021222325343536[Points],"DNP",0,1)</f>
        <v>DNP</v>
      </c>
      <c r="S186" t="str">
        <f>_xlfn.XLOOKUP(Table16[[#This Row],[Name]],Table21112164202122232534353637[Name],Table21112164202122232534353637[Points],"DNP",0,1)</f>
        <v>DNP</v>
      </c>
      <c r="T186" t="str">
        <f>_xlfn.XLOOKUP(Table16[[#This Row],[Name]],Table2111216420212223253435363738[Name],Table2111216420212223253435363738[Points],"DNP",0,1)</f>
        <v>DNP</v>
      </c>
      <c r="U186" t="str">
        <f>_xlfn.XLOOKUP(Table16[[#This Row],[Name]],Table2111216420212223253435363739[Name],Table2111216420212223253435363739[Points],"DNP",0,1)</f>
        <v>DNP</v>
      </c>
      <c r="V186" t="str">
        <f>_xlfn.XLOOKUP(Table16[[#This Row],[Name]],Table211121642021222325343536373841[Name],Table211121642021222325343536373841[Points],"DNP",0,1)</f>
        <v>DNP</v>
      </c>
    </row>
    <row r="187" spans="2:22">
      <c r="B187" t="str">
        <f>IFERROR(Table5[[#This Row],[Full name]],"")</f>
        <v>Jacob Dusza</v>
      </c>
      <c r="C187" s="68">
        <f>SUM(Table16[[#This Row],[September 30, 2025]:[Column18]])</f>
        <v>28</v>
      </c>
      <c r="D187" t="str">
        <f>_xlfn.XLOOKUP(Table16[[#This Row],[Name]],Table4[Name],Table4[Points],"DNP",0,1)</f>
        <v>DNP</v>
      </c>
      <c r="E187" t="str">
        <f>_xlfn.XLOOKUP(Table16[[#This Row],[Name]],Table9[Name],Table9[Points],"DNP",0,1)</f>
        <v>DNP</v>
      </c>
      <c r="F187" t="str">
        <f>_xlfn.XLOOKUP(Table16[[#This Row],[Name]],Table18[Name],Table18[Points],"DNP",0,1)</f>
        <v>DNP</v>
      </c>
      <c r="G187" t="str">
        <f>_xlfn.XLOOKUP(Table16[[#This Row],[Name]],Table2[Name],Table2[Points],"DNP",0,1)</f>
        <v>DNP</v>
      </c>
      <c r="H187" t="str">
        <f>_xlfn.XLOOKUP(Table16[[#This Row],[Name]],Table211[Name],Table211[Points],"DNP",0,1)</f>
        <v>DNP</v>
      </c>
      <c r="I187" t="str">
        <f>_xlfn.XLOOKUP(Table16[[#This Row],[Name]],Table21112[Name],Table21112[Points],"DNP",0,1)</f>
        <v>DNP</v>
      </c>
      <c r="J187" t="str">
        <f>_xlfn.XLOOKUP(Table16[[#This Row],[Name]],Table21112164[Name],Table21112164[Points],"DNP",0,1)</f>
        <v>DNP</v>
      </c>
      <c r="K187" t="str">
        <f>_xlfn.XLOOKUP(Table16[[#This Row],[Name]],Table2111216420[Name],Table2111216420[Points],"DNP",0,1)</f>
        <v>DNP</v>
      </c>
      <c r="L187" t="str">
        <f>_xlfn.XLOOKUP(Table16[[#This Row],[Name]],Table211121642021[Name],Table211121642021[Points],"DNP",0,1)</f>
        <v>DNP</v>
      </c>
      <c r="M187" t="str">
        <f>_xlfn.XLOOKUP(Table16[[#This Row],[Name]],Table21112164202122[Name],Table21112164202122[Points],"DNP",0,1)</f>
        <v>DNP</v>
      </c>
      <c r="N187">
        <f>_xlfn.XLOOKUP(Table16[[#This Row],[Name]],Table2111216420212223[Name],Table2111216420212223[Points],"DNP",0,1)</f>
        <v>2</v>
      </c>
      <c r="O187">
        <f>_xlfn.XLOOKUP(Table16[[#This Row],[Name]],Table211121642021222325[Name],Table211121642021222325[Points],"DNP",0,1)</f>
        <v>2</v>
      </c>
      <c r="P187">
        <f>_xlfn.XLOOKUP(Table16[[#This Row],[Name]],Table21112164202122232534[Name],Table21112164202122232534[Points],"DNP",0,1)</f>
        <v>20</v>
      </c>
      <c r="Q187">
        <f>_xlfn.XLOOKUP(Table16[[#This Row],[Name]],Table2111216420212223253435[Name],Table2111216420212223253435[Points],"DNP",0,1)</f>
        <v>1</v>
      </c>
      <c r="R187" t="str">
        <f>_xlfn.XLOOKUP(Table16[[#This Row],[Name]],Table211121642021222325343536[Name],Table211121642021222325343536[Points],"DNP",0,1)</f>
        <v>DNP</v>
      </c>
      <c r="S187" t="str">
        <f>_xlfn.XLOOKUP(Table16[[#This Row],[Name]],Table21112164202122232534353637[Name],Table21112164202122232534353637[Points],"DNP",0,1)</f>
        <v>DNP</v>
      </c>
      <c r="T187" t="str">
        <f>_xlfn.XLOOKUP(Table16[[#This Row],[Name]],Table2111216420212223253435363738[Name],Table2111216420212223253435363738[Points],"DNP",0,1)</f>
        <v>DNP</v>
      </c>
      <c r="U187">
        <f>_xlfn.XLOOKUP(Table16[[#This Row],[Name]],Table2111216420212223253435363739[Name],Table2111216420212223253435363739[Points],"DNP",0,1)</f>
        <v>3</v>
      </c>
      <c r="V187" t="str">
        <f>_xlfn.XLOOKUP(Table16[[#This Row],[Name]],Table211121642021222325343536373841[Name],Table211121642021222325343536373841[Points],"DNP",0,1)</f>
        <v>DNP</v>
      </c>
    </row>
    <row r="188" spans="2:22">
      <c r="B188" t="str">
        <f>IFERROR(Table5[[#This Row],[Full name]],"")</f>
        <v>Jaebin Shin</v>
      </c>
      <c r="C188" s="68">
        <f>SUM(Table16[[#This Row],[September 30, 2025]:[Column18]])</f>
        <v>5</v>
      </c>
      <c r="D188" t="str">
        <f>_xlfn.XLOOKUP(Table16[[#This Row],[Name]],Table4[Name],Table4[Points],"DNP",0,1)</f>
        <v>DNP</v>
      </c>
      <c r="E188" t="str">
        <f>_xlfn.XLOOKUP(Table16[[#This Row],[Name]],Table9[Name],Table9[Points],"DNP",0,1)</f>
        <v>DNP</v>
      </c>
      <c r="F188" t="str">
        <f>_xlfn.XLOOKUP(Table16[[#This Row],[Name]],Table18[Name],Table18[Points],"DNP",0,1)</f>
        <v>DNP</v>
      </c>
      <c r="G188" t="str">
        <f>_xlfn.XLOOKUP(Table16[[#This Row],[Name]],Table2[Name],Table2[Points],"DNP",0,1)</f>
        <v>DNP</v>
      </c>
      <c r="H188" t="str">
        <f>_xlfn.XLOOKUP(Table16[[#This Row],[Name]],Table211[Name],Table211[Points],"DNP",0,1)</f>
        <v>DNP</v>
      </c>
      <c r="I188">
        <f>_xlfn.XLOOKUP(Table16[[#This Row],[Name]],Table21112[Name],Table21112[Points],"DNP",0,1)</f>
        <v>2</v>
      </c>
      <c r="J188" t="str">
        <f>_xlfn.XLOOKUP(Table16[[#This Row],[Name]],Table21112164[Name],Table21112164[Points],"DNP",0,1)</f>
        <v>DNP</v>
      </c>
      <c r="K188">
        <f>_xlfn.XLOOKUP(Table16[[#This Row],[Name]],Table2111216420[Name],Table2111216420[Points],"DNP",0,1)</f>
        <v>2</v>
      </c>
      <c r="L188">
        <f>_xlfn.XLOOKUP(Table16[[#This Row],[Name]],Table211121642021[Name],Table211121642021[Points],"DNP",0,1)</f>
        <v>1</v>
      </c>
      <c r="M188" t="str">
        <f>_xlfn.XLOOKUP(Table16[[#This Row],[Name]],Table21112164202122[Name],Table21112164202122[Points],"DNP",0,1)</f>
        <v>DNP</v>
      </c>
      <c r="N188" t="str">
        <f>_xlfn.XLOOKUP(Table16[[#This Row],[Name]],Table2111216420212223[Name],Table2111216420212223[Points],"DNP",0,1)</f>
        <v>DNP</v>
      </c>
      <c r="O188" t="str">
        <f>_xlfn.XLOOKUP(Table16[[#This Row],[Name]],Table211121642021222325[Name],Table211121642021222325[Points],"DNP",0,1)</f>
        <v>DNP</v>
      </c>
      <c r="P188" t="str">
        <f>_xlfn.XLOOKUP(Table16[[#This Row],[Name]],Table21112164202122232534[Name],Table21112164202122232534[Points],"DNP",0,1)</f>
        <v>DNP</v>
      </c>
      <c r="Q188" t="str">
        <f>_xlfn.XLOOKUP(Table16[[#This Row],[Name]],Table2111216420212223253435[Name],Table2111216420212223253435[Points],"DNP",0,1)</f>
        <v>DNP</v>
      </c>
      <c r="R188" t="str">
        <f>_xlfn.XLOOKUP(Table16[[#This Row],[Name]],Table211121642021222325343536[Name],Table211121642021222325343536[Points],"DNP",0,1)</f>
        <v>DNP</v>
      </c>
      <c r="S188" t="str">
        <f>_xlfn.XLOOKUP(Table16[[#This Row],[Name]],Table21112164202122232534353637[Name],Table21112164202122232534353637[Points],"DNP",0,1)</f>
        <v>DNP</v>
      </c>
      <c r="T188" t="str">
        <f>_xlfn.XLOOKUP(Table16[[#This Row],[Name]],Table2111216420212223253435363738[Name],Table2111216420212223253435363738[Points],"DNP",0,1)</f>
        <v>DNP</v>
      </c>
      <c r="U188" t="str">
        <f>_xlfn.XLOOKUP(Table16[[#This Row],[Name]],Table2111216420212223253435363739[Name],Table2111216420212223253435363739[Points],"DNP",0,1)</f>
        <v>DNP</v>
      </c>
      <c r="V188" t="str">
        <f>_xlfn.XLOOKUP(Table16[[#This Row],[Name]],Table211121642021222325343536373841[Name],Table211121642021222325343536373841[Points],"DNP",0,1)</f>
        <v>DNP</v>
      </c>
    </row>
    <row r="189" spans="2:22">
      <c r="B189" t="str">
        <f>IFERROR(Table5[[#This Row],[Full name]],"")</f>
        <v>Jahangir Abdullayev</v>
      </c>
      <c r="C189" s="68">
        <f>SUM(Table16[[#This Row],[September 30, 2025]:[Column18]])</f>
        <v>8</v>
      </c>
      <c r="D189">
        <f>_xlfn.XLOOKUP(Table16[[#This Row],[Name]],Table4[Name],Table4[Points],"DNP",0,1)</f>
        <v>1</v>
      </c>
      <c r="E189">
        <f>_xlfn.XLOOKUP(Table16[[#This Row],[Name]],Table9[Name],Table9[Points],"DNP",0,1)</f>
        <v>1</v>
      </c>
      <c r="F189" t="str">
        <f>_xlfn.XLOOKUP(Table16[[#This Row],[Name]],Table18[Name],Table18[Points],"DNP",0,1)</f>
        <v>DNP</v>
      </c>
      <c r="G189">
        <f>_xlfn.XLOOKUP(Table16[[#This Row],[Name]],Table2[Name],Table2[Points],"DNP",0,1)</f>
        <v>4</v>
      </c>
      <c r="H189" t="str">
        <f>_xlfn.XLOOKUP(Table16[[#This Row],[Name]],Table211[Name],Table211[Points],"DNP",0,1)</f>
        <v>DNP</v>
      </c>
      <c r="I189" t="str">
        <f>_xlfn.XLOOKUP(Table16[[#This Row],[Name]],Table21112[Name],Table21112[Points],"DNP",0,1)</f>
        <v>DNP</v>
      </c>
      <c r="J189" t="str">
        <f>_xlfn.XLOOKUP(Table16[[#This Row],[Name]],Table21112164[Name],Table21112164[Points],"DNP",0,1)</f>
        <v>DNP</v>
      </c>
      <c r="K189">
        <f>_xlfn.XLOOKUP(Table16[[#This Row],[Name]],Table2111216420[Name],Table2111216420[Points],"DNP",0,1)</f>
        <v>1</v>
      </c>
      <c r="L189">
        <f>_xlfn.XLOOKUP(Table16[[#This Row],[Name]],Table211121642021[Name],Table211121642021[Points],"DNP",0,1)</f>
        <v>1</v>
      </c>
      <c r="M189" t="str">
        <f>_xlfn.XLOOKUP(Table16[[#This Row],[Name]],Table21112164202122[Name],Table21112164202122[Points],"DNP",0,1)</f>
        <v>DNP</v>
      </c>
      <c r="N189" t="str">
        <f>_xlfn.XLOOKUP(Table16[[#This Row],[Name]],Table2111216420212223[Name],Table2111216420212223[Points],"DNP",0,1)</f>
        <v>DNP</v>
      </c>
      <c r="O189" t="str">
        <f>_xlfn.XLOOKUP(Table16[[#This Row],[Name]],Table211121642021222325[Name],Table211121642021222325[Points],"DNP",0,1)</f>
        <v>DNP</v>
      </c>
      <c r="P189" t="str">
        <f>_xlfn.XLOOKUP(Table16[[#This Row],[Name]],Table21112164202122232534[Name],Table21112164202122232534[Points],"DNP",0,1)</f>
        <v>DNP</v>
      </c>
      <c r="Q189" t="str">
        <f>_xlfn.XLOOKUP(Table16[[#This Row],[Name]],Table2111216420212223253435[Name],Table2111216420212223253435[Points],"DNP",0,1)</f>
        <v>DNP</v>
      </c>
      <c r="R189" t="str">
        <f>_xlfn.XLOOKUP(Table16[[#This Row],[Name]],Table211121642021222325343536[Name],Table211121642021222325343536[Points],"DNP",0,1)</f>
        <v>DNP</v>
      </c>
      <c r="S189" t="str">
        <f>_xlfn.XLOOKUP(Table16[[#This Row],[Name]],Table21112164202122232534353637[Name],Table21112164202122232534353637[Points],"DNP",0,1)</f>
        <v>DNP</v>
      </c>
      <c r="T189" t="str">
        <f>_xlfn.XLOOKUP(Table16[[#This Row],[Name]],Table2111216420212223253435363738[Name],Table2111216420212223253435363738[Points],"DNP",0,1)</f>
        <v>DNP</v>
      </c>
      <c r="U189" t="str">
        <f>_xlfn.XLOOKUP(Table16[[#This Row],[Name]],Table2111216420212223253435363739[Name],Table2111216420212223253435363739[Points],"DNP",0,1)</f>
        <v>DNP</v>
      </c>
      <c r="V189" t="str">
        <f>_xlfn.XLOOKUP(Table16[[#This Row],[Name]],Table211121642021222325343536373841[Name],Table211121642021222325343536373841[Points],"DNP",0,1)</f>
        <v>DNP</v>
      </c>
    </row>
    <row r="190" spans="2:22">
      <c r="B190" t="str">
        <f>IFERROR(Table5[[#This Row],[Full name]],"")</f>
        <v>Jakob Smintich</v>
      </c>
      <c r="C190" s="68">
        <f>SUM(Table16[[#This Row],[September 30, 2025]:[Column18]])</f>
        <v>0</v>
      </c>
      <c r="D190" t="str">
        <f>_xlfn.XLOOKUP(Table16[[#This Row],[Name]],Table4[Name],Table4[Points],"DNP",0,1)</f>
        <v>DNP</v>
      </c>
      <c r="E190" t="str">
        <f>_xlfn.XLOOKUP(Table16[[#This Row],[Name]],Table9[Name],Table9[Points],"DNP",0,1)</f>
        <v>DNP</v>
      </c>
      <c r="F190" t="str">
        <f>_xlfn.XLOOKUP(Table16[[#This Row],[Name]],Table18[Name],Table18[Points],"DNP",0,1)</f>
        <v>DNP</v>
      </c>
      <c r="G190" t="str">
        <f>_xlfn.XLOOKUP(Table16[[#This Row],[Name]],Table2[Name],Table2[Points],"DNP",0,1)</f>
        <v>DNP</v>
      </c>
      <c r="H190" t="str">
        <f>_xlfn.XLOOKUP(Table16[[#This Row],[Name]],Table211[Name],Table211[Points],"DNP",0,1)</f>
        <v>DNP</v>
      </c>
      <c r="I190" t="str">
        <f>_xlfn.XLOOKUP(Table16[[#This Row],[Name]],Table21112[Name],Table21112[Points],"DNP",0,1)</f>
        <v>DNP</v>
      </c>
      <c r="J190" t="str">
        <f>_xlfn.XLOOKUP(Table16[[#This Row],[Name]],Table21112164[Name],Table21112164[Points],"DNP",0,1)</f>
        <v>DNP</v>
      </c>
      <c r="K190" t="str">
        <f>_xlfn.XLOOKUP(Table16[[#This Row],[Name]],Table2111216420[Name],Table2111216420[Points],"DNP",0,1)</f>
        <v>DNP</v>
      </c>
      <c r="L190" t="str">
        <f>_xlfn.XLOOKUP(Table16[[#This Row],[Name]],Table211121642021[Name],Table211121642021[Points],"DNP",0,1)</f>
        <v>DNP</v>
      </c>
      <c r="M190" t="str">
        <f>_xlfn.XLOOKUP(Table16[[#This Row],[Name]],Table21112164202122[Name],Table21112164202122[Points],"DNP",0,1)</f>
        <v>DNP</v>
      </c>
      <c r="N190" t="str">
        <f>_xlfn.XLOOKUP(Table16[[#This Row],[Name]],Table2111216420212223[Name],Table2111216420212223[Points],"DNP",0,1)</f>
        <v>DNP</v>
      </c>
      <c r="O190" t="str">
        <f>_xlfn.XLOOKUP(Table16[[#This Row],[Name]],Table211121642021222325[Name],Table211121642021222325[Points],"DNP",0,1)</f>
        <v>DNP</v>
      </c>
      <c r="P190" t="str">
        <f>_xlfn.XLOOKUP(Table16[[#This Row],[Name]],Table21112164202122232534[Name],Table21112164202122232534[Points],"DNP",0,1)</f>
        <v>DNP</v>
      </c>
      <c r="Q190" t="str">
        <f>_xlfn.XLOOKUP(Table16[[#This Row],[Name]],Table2111216420212223253435[Name],Table2111216420212223253435[Points],"DNP",0,1)</f>
        <v>DNP</v>
      </c>
      <c r="R190" t="str">
        <f>_xlfn.XLOOKUP(Table16[[#This Row],[Name]],Table211121642021222325343536[Name],Table211121642021222325343536[Points],"DNP",0,1)</f>
        <v>DNP</v>
      </c>
      <c r="S190" t="str">
        <f>_xlfn.XLOOKUP(Table16[[#This Row],[Name]],Table21112164202122232534353637[Name],Table21112164202122232534353637[Points],"DNP",0,1)</f>
        <v>DNP</v>
      </c>
      <c r="T190" t="str">
        <f>_xlfn.XLOOKUP(Table16[[#This Row],[Name]],Table2111216420212223253435363738[Name],Table2111216420212223253435363738[Points],"DNP",0,1)</f>
        <v>DNP</v>
      </c>
      <c r="U190" t="str">
        <f>_xlfn.XLOOKUP(Table16[[#This Row],[Name]],Table2111216420212223253435363739[Name],Table2111216420212223253435363739[Points],"DNP",0,1)</f>
        <v>DNP</v>
      </c>
      <c r="V190" t="str">
        <f>_xlfn.XLOOKUP(Table16[[#This Row],[Name]],Table211121642021222325343536373841[Name],Table211121642021222325343536373841[Points],"DNP",0,1)</f>
        <v>DNP</v>
      </c>
    </row>
    <row r="191" spans="2:22">
      <c r="B191" t="str">
        <f>IFERROR(Table5[[#This Row],[Full name]],"")</f>
        <v>James Forrest</v>
      </c>
      <c r="C191" s="68">
        <f>SUM(Table16[[#This Row],[September 30, 2025]:[Column18]])</f>
        <v>4</v>
      </c>
      <c r="D191">
        <f>_xlfn.XLOOKUP(Table16[[#This Row],[Name]],Table4[Name],Table4[Points],"DNP",0,1)</f>
        <v>4</v>
      </c>
      <c r="E191" t="str">
        <f>_xlfn.XLOOKUP(Table16[[#This Row],[Name]],Table9[Name],Table9[Points],"DNP",0,1)</f>
        <v>DNP</v>
      </c>
      <c r="F191" t="str">
        <f>_xlfn.XLOOKUP(Table16[[#This Row],[Name]],Table18[Name],Table18[Points],"DNP",0,1)</f>
        <v>DNP</v>
      </c>
      <c r="G191" t="str">
        <f>_xlfn.XLOOKUP(Table16[[#This Row],[Name]],Table2[Name],Table2[Points],"DNP",0,1)</f>
        <v>DNP</v>
      </c>
      <c r="H191" t="str">
        <f>_xlfn.XLOOKUP(Table16[[#This Row],[Name]],Table211[Name],Table211[Points],"DNP",0,1)</f>
        <v>DNP</v>
      </c>
      <c r="I191" t="str">
        <f>_xlfn.XLOOKUP(Table16[[#This Row],[Name]],Table21112[Name],Table21112[Points],"DNP",0,1)</f>
        <v>DNP</v>
      </c>
      <c r="J191" t="str">
        <f>_xlfn.XLOOKUP(Table16[[#This Row],[Name]],Table21112164[Name],Table21112164[Points],"DNP",0,1)</f>
        <v>DNP</v>
      </c>
      <c r="K191" t="str">
        <f>_xlfn.XLOOKUP(Table16[[#This Row],[Name]],Table2111216420[Name],Table2111216420[Points],"DNP",0,1)</f>
        <v>DNP</v>
      </c>
      <c r="L191" t="str">
        <f>_xlfn.XLOOKUP(Table16[[#This Row],[Name]],Table211121642021[Name],Table211121642021[Points],"DNP",0,1)</f>
        <v>DNP</v>
      </c>
      <c r="M191" t="str">
        <f>_xlfn.XLOOKUP(Table16[[#This Row],[Name]],Table21112164202122[Name],Table21112164202122[Points],"DNP",0,1)</f>
        <v>DNP</v>
      </c>
      <c r="N191" t="str">
        <f>_xlfn.XLOOKUP(Table16[[#This Row],[Name]],Table2111216420212223[Name],Table2111216420212223[Points],"DNP",0,1)</f>
        <v>DNP</v>
      </c>
      <c r="O191" t="str">
        <f>_xlfn.XLOOKUP(Table16[[#This Row],[Name]],Table211121642021222325[Name],Table211121642021222325[Points],"DNP",0,1)</f>
        <v>DNP</v>
      </c>
      <c r="P191" t="str">
        <f>_xlfn.XLOOKUP(Table16[[#This Row],[Name]],Table21112164202122232534[Name],Table21112164202122232534[Points],"DNP",0,1)</f>
        <v>DNP</v>
      </c>
      <c r="Q191" t="str">
        <f>_xlfn.XLOOKUP(Table16[[#This Row],[Name]],Table2111216420212223253435[Name],Table2111216420212223253435[Points],"DNP",0,1)</f>
        <v>DNP</v>
      </c>
      <c r="R191" t="str">
        <f>_xlfn.XLOOKUP(Table16[[#This Row],[Name]],Table211121642021222325343536[Name],Table211121642021222325343536[Points],"DNP",0,1)</f>
        <v>DNP</v>
      </c>
      <c r="S191" t="str">
        <f>_xlfn.XLOOKUP(Table16[[#This Row],[Name]],Table21112164202122232534353637[Name],Table21112164202122232534353637[Points],"DNP",0,1)</f>
        <v>DNP</v>
      </c>
      <c r="T191" t="str">
        <f>_xlfn.XLOOKUP(Table16[[#This Row],[Name]],Table2111216420212223253435363738[Name],Table2111216420212223253435363738[Points],"DNP",0,1)</f>
        <v>DNP</v>
      </c>
      <c r="U191" t="str">
        <f>_xlfn.XLOOKUP(Table16[[#This Row],[Name]],Table2111216420212223253435363739[Name],Table2111216420212223253435363739[Points],"DNP",0,1)</f>
        <v>DNP</v>
      </c>
      <c r="V191" t="str">
        <f>_xlfn.XLOOKUP(Table16[[#This Row],[Name]],Table211121642021222325343536373841[Name],Table211121642021222325343536373841[Points],"DNP",0,1)</f>
        <v>DNP</v>
      </c>
    </row>
    <row r="192" spans="2:22">
      <c r="B192" t="str">
        <f>IFERROR(Table5[[#This Row],[Full name]],"")</f>
        <v>James Kendel</v>
      </c>
      <c r="C192" s="68">
        <f>SUM(Table16[[#This Row],[September 30, 2025]:[Column18]])</f>
        <v>4</v>
      </c>
      <c r="D192" t="str">
        <f>_xlfn.XLOOKUP(Table16[[#This Row],[Name]],Table4[Name],Table4[Points],"DNP",0,1)</f>
        <v>DNP</v>
      </c>
      <c r="E192">
        <f>_xlfn.XLOOKUP(Table16[[#This Row],[Name]],Table9[Name],Table9[Points],"DNP",0,1)</f>
        <v>1</v>
      </c>
      <c r="F192" t="str">
        <f>_xlfn.XLOOKUP(Table16[[#This Row],[Name]],Table18[Name],Table18[Points],"DNP",0,1)</f>
        <v>DNP</v>
      </c>
      <c r="G192" t="str">
        <f>_xlfn.XLOOKUP(Table16[[#This Row],[Name]],Table2[Name],Table2[Points],"DNP",0,1)</f>
        <v>DNP</v>
      </c>
      <c r="H192" t="str">
        <f>_xlfn.XLOOKUP(Table16[[#This Row],[Name]],Table211[Name],Table211[Points],"DNP",0,1)</f>
        <v>DNP</v>
      </c>
      <c r="I192" t="str">
        <f>_xlfn.XLOOKUP(Table16[[#This Row],[Name]],Table21112[Name],Table21112[Points],"DNP",0,1)</f>
        <v>DNP</v>
      </c>
      <c r="J192">
        <f>_xlfn.XLOOKUP(Table16[[#This Row],[Name]],Table21112164[Name],Table21112164[Points],"DNP",0,1)</f>
        <v>1</v>
      </c>
      <c r="K192" t="str">
        <f>_xlfn.XLOOKUP(Table16[[#This Row],[Name]],Table2111216420[Name],Table2111216420[Points],"DNP",0,1)</f>
        <v>DNP</v>
      </c>
      <c r="L192">
        <f>_xlfn.XLOOKUP(Table16[[#This Row],[Name]],Table211121642021[Name],Table211121642021[Points],"DNP",0,1)</f>
        <v>1</v>
      </c>
      <c r="M192" t="str">
        <f>_xlfn.XLOOKUP(Table16[[#This Row],[Name]],Table21112164202122[Name],Table21112164202122[Points],"DNP",0,1)</f>
        <v>DNP</v>
      </c>
      <c r="N192" t="str">
        <f>_xlfn.XLOOKUP(Table16[[#This Row],[Name]],Table2111216420212223[Name],Table2111216420212223[Points],"DNP",0,1)</f>
        <v>DNP</v>
      </c>
      <c r="O192">
        <f>_xlfn.XLOOKUP(Table16[[#This Row],[Name]],Table211121642021222325[Name],Table211121642021222325[Points],"DNP",0,1)</f>
        <v>1</v>
      </c>
      <c r="P192" t="str">
        <f>_xlfn.XLOOKUP(Table16[[#This Row],[Name]],Table21112164202122232534[Name],Table21112164202122232534[Points],"DNP",0,1)</f>
        <v>DNP</v>
      </c>
      <c r="Q192" t="str">
        <f>_xlfn.XLOOKUP(Table16[[#This Row],[Name]],Table2111216420212223253435[Name],Table2111216420212223253435[Points],"DNP",0,1)</f>
        <v>DNP</v>
      </c>
      <c r="R192" t="str">
        <f>_xlfn.XLOOKUP(Table16[[#This Row],[Name]],Table211121642021222325343536[Name],Table211121642021222325343536[Points],"DNP",0,1)</f>
        <v>DNP</v>
      </c>
      <c r="S192" t="str">
        <f>_xlfn.XLOOKUP(Table16[[#This Row],[Name]],Table21112164202122232534353637[Name],Table21112164202122232534353637[Points],"DNP",0,1)</f>
        <v>DNP</v>
      </c>
      <c r="T192" t="str">
        <f>_xlfn.XLOOKUP(Table16[[#This Row],[Name]],Table2111216420212223253435363738[Name],Table2111216420212223253435363738[Points],"DNP",0,1)</f>
        <v>DNP</v>
      </c>
      <c r="U192" t="str">
        <f>_xlfn.XLOOKUP(Table16[[#This Row],[Name]],Table2111216420212223253435363739[Name],Table2111216420212223253435363739[Points],"DNP",0,1)</f>
        <v>DNP</v>
      </c>
      <c r="V192" t="str">
        <f>_xlfn.XLOOKUP(Table16[[#This Row],[Name]],Table211121642021222325343536373841[Name],Table211121642021222325343536373841[Points],"DNP",0,1)</f>
        <v>DNP</v>
      </c>
    </row>
    <row r="193" spans="2:22">
      <c r="B193" t="str">
        <f>IFERROR(Table5[[#This Row],[Full name]],"")</f>
        <v>James Juo</v>
      </c>
      <c r="C193" s="68">
        <f>SUM(Table16[[#This Row],[September 30, 2025]:[Column18]])</f>
        <v>4</v>
      </c>
      <c r="D193" t="str">
        <f>_xlfn.XLOOKUP(Table16[[#This Row],[Name]],Table4[Name],Table4[Points],"DNP",0,1)</f>
        <v>DNP</v>
      </c>
      <c r="E193" t="str">
        <f>_xlfn.XLOOKUP(Table16[[#This Row],[Name]],Table9[Name],Table9[Points],"DNP",0,1)</f>
        <v>DNP</v>
      </c>
      <c r="F193" t="str">
        <f>_xlfn.XLOOKUP(Table16[[#This Row],[Name]],Table18[Name],Table18[Points],"DNP",0,1)</f>
        <v>DNP</v>
      </c>
      <c r="G193" t="str">
        <f>_xlfn.XLOOKUP(Table16[[#This Row],[Name]],Table2[Name],Table2[Points],"DNP",0,1)</f>
        <v>DNP</v>
      </c>
      <c r="H193" t="str">
        <f>_xlfn.XLOOKUP(Table16[[#This Row],[Name]],Table211[Name],Table211[Points],"DNP",0,1)</f>
        <v>DNP</v>
      </c>
      <c r="I193" t="str">
        <f>_xlfn.XLOOKUP(Table16[[#This Row],[Name]],Table21112[Name],Table21112[Points],"DNP",0,1)</f>
        <v>DNP</v>
      </c>
      <c r="J193" t="str">
        <f>_xlfn.XLOOKUP(Table16[[#This Row],[Name]],Table21112164[Name],Table21112164[Points],"DNP",0,1)</f>
        <v>DNP</v>
      </c>
      <c r="K193" t="str">
        <f>_xlfn.XLOOKUP(Table16[[#This Row],[Name]],Table2111216420[Name],Table2111216420[Points],"DNP",0,1)</f>
        <v>DNP</v>
      </c>
      <c r="L193" t="str">
        <f>_xlfn.XLOOKUP(Table16[[#This Row],[Name]],Table211121642021[Name],Table211121642021[Points],"DNP",0,1)</f>
        <v>DNP</v>
      </c>
      <c r="M193" t="str">
        <f>_xlfn.XLOOKUP(Table16[[#This Row],[Name]],Table21112164202122[Name],Table21112164202122[Points],"DNP",0,1)</f>
        <v>DNP</v>
      </c>
      <c r="N193" t="str">
        <f>_xlfn.XLOOKUP(Table16[[#This Row],[Name]],Table2111216420212223[Name],Table2111216420212223[Points],"DNP",0,1)</f>
        <v>DNP</v>
      </c>
      <c r="O193" t="str">
        <f>_xlfn.XLOOKUP(Table16[[#This Row],[Name]],Table211121642021222325[Name],Table211121642021222325[Points],"DNP",0,1)</f>
        <v>DNP</v>
      </c>
      <c r="P193" t="str">
        <f>_xlfn.XLOOKUP(Table16[[#This Row],[Name]],Table21112164202122232534[Name],Table21112164202122232534[Points],"DNP",0,1)</f>
        <v>DNP</v>
      </c>
      <c r="Q193" t="str">
        <f>_xlfn.XLOOKUP(Table16[[#This Row],[Name]],Table2111216420212223253435[Name],Table2111216420212223253435[Points],"DNP",0,1)</f>
        <v>DNP</v>
      </c>
      <c r="R193">
        <f>_xlfn.XLOOKUP(Table16[[#This Row],[Name]],Table211121642021222325343536[Name],Table211121642021222325343536[Points],"DNP",0,1)</f>
        <v>3</v>
      </c>
      <c r="S193" t="str">
        <f>_xlfn.XLOOKUP(Table16[[#This Row],[Name]],Table21112164202122232534353637[Name],Table21112164202122232534353637[Points],"DNP",0,1)</f>
        <v>DNP</v>
      </c>
      <c r="T193" t="str">
        <f>_xlfn.XLOOKUP(Table16[[#This Row],[Name]],Table2111216420212223253435363738[Name],Table2111216420212223253435363738[Points],"DNP",0,1)</f>
        <v>DNP</v>
      </c>
      <c r="U193">
        <f>_xlfn.XLOOKUP(Table16[[#This Row],[Name]],Table2111216420212223253435363739[Name],Table2111216420212223253435363739[Points],"DNP",0,1)</f>
        <v>1</v>
      </c>
      <c r="V193" t="str">
        <f>_xlfn.XLOOKUP(Table16[[#This Row],[Name]],Table211121642021222325343536373841[Name],Table211121642021222325343536373841[Points],"DNP",0,1)</f>
        <v>DNP</v>
      </c>
    </row>
    <row r="194" spans="2:22">
      <c r="B194" t="str">
        <f>IFERROR(Table5[[#This Row],[Full name]],"")</f>
        <v>Jasmin Gu</v>
      </c>
      <c r="C194" s="68">
        <f>SUM(Table16[[#This Row],[September 30, 2025]:[Column18]])</f>
        <v>10</v>
      </c>
      <c r="D194" t="str">
        <f>_xlfn.XLOOKUP(Table16[[#This Row],[Name]],Table4[Name],Table4[Points],"DNP",0,1)</f>
        <v>DNP</v>
      </c>
      <c r="E194" t="str">
        <f>_xlfn.XLOOKUP(Table16[[#This Row],[Name]],Table9[Name],Table9[Points],"DNP",0,1)</f>
        <v>DNP</v>
      </c>
      <c r="F194" t="str">
        <f>_xlfn.XLOOKUP(Table16[[#This Row],[Name]],Table18[Name],Table18[Points],"DNP",0,1)</f>
        <v>DNP</v>
      </c>
      <c r="G194" t="str">
        <f>_xlfn.XLOOKUP(Table16[[#This Row],[Name]],Table2[Name],Table2[Points],"DNP",0,1)</f>
        <v>DNP</v>
      </c>
      <c r="H194" t="str">
        <f>_xlfn.XLOOKUP(Table16[[#This Row],[Name]],Table211[Name],Table211[Points],"DNP",0,1)</f>
        <v>DNP</v>
      </c>
      <c r="I194" t="str">
        <f>_xlfn.XLOOKUP(Table16[[#This Row],[Name]],Table21112[Name],Table21112[Points],"DNP",0,1)</f>
        <v>DNP</v>
      </c>
      <c r="J194" t="str">
        <f>_xlfn.XLOOKUP(Table16[[#This Row],[Name]],Table21112164[Name],Table21112164[Points],"DNP",0,1)</f>
        <v>DNP</v>
      </c>
      <c r="K194">
        <f>_xlfn.XLOOKUP(Table16[[#This Row],[Name]],Table2111216420[Name],Table2111216420[Points],"DNP",0,1)</f>
        <v>10</v>
      </c>
      <c r="L194" t="str">
        <f>_xlfn.XLOOKUP(Table16[[#This Row],[Name]],Table211121642021[Name],Table211121642021[Points],"DNP",0,1)</f>
        <v>DNP</v>
      </c>
      <c r="M194" t="str">
        <f>_xlfn.XLOOKUP(Table16[[#This Row],[Name]],Table21112164202122[Name],Table21112164202122[Points],"DNP",0,1)</f>
        <v>DNP</v>
      </c>
      <c r="N194" t="str">
        <f>_xlfn.XLOOKUP(Table16[[#This Row],[Name]],Table2111216420212223[Name],Table2111216420212223[Points],"DNP",0,1)</f>
        <v>DNP</v>
      </c>
      <c r="O194" t="str">
        <f>_xlfn.XLOOKUP(Table16[[#This Row],[Name]],Table211121642021222325[Name],Table211121642021222325[Points],"DNP",0,1)</f>
        <v>DNP</v>
      </c>
      <c r="P194" t="str">
        <f>_xlfn.XLOOKUP(Table16[[#This Row],[Name]],Table21112164202122232534[Name],Table21112164202122232534[Points],"DNP",0,1)</f>
        <v>DNP</v>
      </c>
      <c r="Q194" t="str">
        <f>_xlfn.XLOOKUP(Table16[[#This Row],[Name]],Table2111216420212223253435[Name],Table2111216420212223253435[Points],"DNP",0,1)</f>
        <v>DNP</v>
      </c>
      <c r="R194" t="str">
        <f>_xlfn.XLOOKUP(Table16[[#This Row],[Name]],Table211121642021222325343536[Name],Table211121642021222325343536[Points],"DNP",0,1)</f>
        <v>DNP</v>
      </c>
      <c r="S194" t="str">
        <f>_xlfn.XLOOKUP(Table16[[#This Row],[Name]],Table21112164202122232534353637[Name],Table21112164202122232534353637[Points],"DNP",0,1)</f>
        <v>DNP</v>
      </c>
      <c r="T194" t="str">
        <f>_xlfn.XLOOKUP(Table16[[#This Row],[Name]],Table2111216420212223253435363738[Name],Table2111216420212223253435363738[Points],"DNP",0,1)</f>
        <v>DNP</v>
      </c>
      <c r="U194" t="str">
        <f>_xlfn.XLOOKUP(Table16[[#This Row],[Name]],Table2111216420212223253435363739[Name],Table2111216420212223253435363739[Points],"DNP",0,1)</f>
        <v>DNP</v>
      </c>
      <c r="V194" t="str">
        <f>_xlfn.XLOOKUP(Table16[[#This Row],[Name]],Table211121642021222325343536373841[Name],Table211121642021222325343536373841[Points],"DNP",0,1)</f>
        <v>DNP</v>
      </c>
    </row>
    <row r="195" spans="2:22">
      <c r="B195" t="str">
        <f>IFERROR(Table5[[#This Row],[Full name]],"")</f>
        <v>Jasmine Xu</v>
      </c>
      <c r="C195" s="68">
        <f>SUM(Table16[[#This Row],[September 30, 2025]:[Column18]])</f>
        <v>2</v>
      </c>
      <c r="D195">
        <f>_xlfn.XLOOKUP(Table16[[#This Row],[Name]],Table4[Name],Table4[Points],"DNP",0,1)</f>
        <v>1</v>
      </c>
      <c r="E195" t="str">
        <f>_xlfn.XLOOKUP(Table16[[#This Row],[Name]],Table9[Name],Table9[Points],"DNP",0,1)</f>
        <v>DNP</v>
      </c>
      <c r="F195" t="str">
        <f>_xlfn.XLOOKUP(Table16[[#This Row],[Name]],Table18[Name],Table18[Points],"DNP",0,1)</f>
        <v>DNP</v>
      </c>
      <c r="G195" t="str">
        <f>_xlfn.XLOOKUP(Table16[[#This Row],[Name]],Table2[Name],Table2[Points],"DNP",0,1)</f>
        <v>DNP</v>
      </c>
      <c r="H195" t="str">
        <f>_xlfn.XLOOKUP(Table16[[#This Row],[Name]],Table211[Name],Table211[Points],"DNP",0,1)</f>
        <v>DNP</v>
      </c>
      <c r="I195" t="str">
        <f>_xlfn.XLOOKUP(Table16[[#This Row],[Name]],Table21112[Name],Table21112[Points],"DNP",0,1)</f>
        <v>DNP</v>
      </c>
      <c r="J195" t="str">
        <f>_xlfn.XLOOKUP(Table16[[#This Row],[Name]],Table21112164[Name],Table21112164[Points],"DNP",0,1)</f>
        <v>DNP</v>
      </c>
      <c r="K195" t="str">
        <f>_xlfn.XLOOKUP(Table16[[#This Row],[Name]],Table2111216420[Name],Table2111216420[Points],"DNP",0,1)</f>
        <v>DNP</v>
      </c>
      <c r="L195" t="str">
        <f>_xlfn.XLOOKUP(Table16[[#This Row],[Name]],Table211121642021[Name],Table211121642021[Points],"DNP",0,1)</f>
        <v>DNP</v>
      </c>
      <c r="M195" t="str">
        <f>_xlfn.XLOOKUP(Table16[[#This Row],[Name]],Table21112164202122[Name],Table21112164202122[Points],"DNP",0,1)</f>
        <v>DNP</v>
      </c>
      <c r="N195">
        <f>_xlfn.XLOOKUP(Table16[[#This Row],[Name]],Table2111216420212223[Name],Table2111216420212223[Points],"DNP",0,1)</f>
        <v>1</v>
      </c>
      <c r="O195" t="str">
        <f>_xlfn.XLOOKUP(Table16[[#This Row],[Name]],Table211121642021222325[Name],Table211121642021222325[Points],"DNP",0,1)</f>
        <v>DNP</v>
      </c>
      <c r="P195" t="str">
        <f>_xlfn.XLOOKUP(Table16[[#This Row],[Name]],Table21112164202122232534[Name],Table21112164202122232534[Points],"DNP",0,1)</f>
        <v>DNP</v>
      </c>
      <c r="Q195" t="str">
        <f>_xlfn.XLOOKUP(Table16[[#This Row],[Name]],Table2111216420212223253435[Name],Table2111216420212223253435[Points],"DNP",0,1)</f>
        <v>DNP</v>
      </c>
      <c r="R195" t="str">
        <f>_xlfn.XLOOKUP(Table16[[#This Row],[Name]],Table211121642021222325343536[Name],Table211121642021222325343536[Points],"DNP",0,1)</f>
        <v>DNP</v>
      </c>
      <c r="S195" t="str">
        <f>_xlfn.XLOOKUP(Table16[[#This Row],[Name]],Table21112164202122232534353637[Name],Table21112164202122232534353637[Points],"DNP",0,1)</f>
        <v>DNP</v>
      </c>
      <c r="T195" t="str">
        <f>_xlfn.XLOOKUP(Table16[[#This Row],[Name]],Table2111216420212223253435363738[Name],Table2111216420212223253435363738[Points],"DNP",0,1)</f>
        <v>DNP</v>
      </c>
      <c r="U195" t="str">
        <f>_xlfn.XLOOKUP(Table16[[#This Row],[Name]],Table2111216420212223253435363739[Name],Table2111216420212223253435363739[Points],"DNP",0,1)</f>
        <v>DNP</v>
      </c>
      <c r="V195" t="str">
        <f>_xlfn.XLOOKUP(Table16[[#This Row],[Name]],Table211121642021222325343536373841[Name],Table211121642021222325343536373841[Points],"DNP",0,1)</f>
        <v>DNP</v>
      </c>
    </row>
    <row r="196" spans="2:22">
      <c r="B196" t="str">
        <f>IFERROR(Table5[[#This Row],[Full name]],"")</f>
        <v>Jason Kang</v>
      </c>
      <c r="C196" s="68">
        <f>SUM(Table16[[#This Row],[September 30, 2025]:[Column18]])</f>
        <v>1</v>
      </c>
      <c r="D196">
        <f>_xlfn.XLOOKUP(Table16[[#This Row],[Name]],Table4[Name],Table4[Points],"DNP",0,1)</f>
        <v>1</v>
      </c>
      <c r="E196" t="str">
        <f>_xlfn.XLOOKUP(Table16[[#This Row],[Name]],Table9[Name],Table9[Points],"DNP",0,1)</f>
        <v>DNP</v>
      </c>
      <c r="F196" t="str">
        <f>_xlfn.XLOOKUP(Table16[[#This Row],[Name]],Table18[Name],Table18[Points],"DNP",0,1)</f>
        <v>DNP</v>
      </c>
      <c r="G196" t="str">
        <f>_xlfn.XLOOKUP(Table16[[#This Row],[Name]],Table2[Name],Table2[Points],"DNP",0,1)</f>
        <v>DNP</v>
      </c>
      <c r="H196" t="str">
        <f>_xlfn.XLOOKUP(Table16[[#This Row],[Name]],Table211[Name],Table211[Points],"DNP",0,1)</f>
        <v>DNP</v>
      </c>
      <c r="I196" t="str">
        <f>_xlfn.XLOOKUP(Table16[[#This Row],[Name]],Table21112[Name],Table21112[Points],"DNP",0,1)</f>
        <v>DNP</v>
      </c>
      <c r="J196" t="str">
        <f>_xlfn.XLOOKUP(Table16[[#This Row],[Name]],Table21112164[Name],Table21112164[Points],"DNP",0,1)</f>
        <v>DNP</v>
      </c>
      <c r="K196" t="str">
        <f>_xlfn.XLOOKUP(Table16[[#This Row],[Name]],Table2111216420[Name],Table2111216420[Points],"DNP",0,1)</f>
        <v>DNP</v>
      </c>
      <c r="L196" t="str">
        <f>_xlfn.XLOOKUP(Table16[[#This Row],[Name]],Table211121642021[Name],Table211121642021[Points],"DNP",0,1)</f>
        <v>DNP</v>
      </c>
      <c r="M196" t="str">
        <f>_xlfn.XLOOKUP(Table16[[#This Row],[Name]],Table21112164202122[Name],Table21112164202122[Points],"DNP",0,1)</f>
        <v>DNP</v>
      </c>
      <c r="N196" t="str">
        <f>_xlfn.XLOOKUP(Table16[[#This Row],[Name]],Table2111216420212223[Name],Table2111216420212223[Points],"DNP",0,1)</f>
        <v>DNP</v>
      </c>
      <c r="O196" t="str">
        <f>_xlfn.XLOOKUP(Table16[[#This Row],[Name]],Table211121642021222325[Name],Table211121642021222325[Points],"DNP",0,1)</f>
        <v>DNP</v>
      </c>
      <c r="P196" t="str">
        <f>_xlfn.XLOOKUP(Table16[[#This Row],[Name]],Table21112164202122232534[Name],Table21112164202122232534[Points],"DNP",0,1)</f>
        <v>DNP</v>
      </c>
      <c r="Q196" t="str">
        <f>_xlfn.XLOOKUP(Table16[[#This Row],[Name]],Table2111216420212223253435[Name],Table2111216420212223253435[Points],"DNP",0,1)</f>
        <v>DNP</v>
      </c>
      <c r="R196" t="str">
        <f>_xlfn.XLOOKUP(Table16[[#This Row],[Name]],Table211121642021222325343536[Name],Table211121642021222325343536[Points],"DNP",0,1)</f>
        <v>DNP</v>
      </c>
      <c r="S196" t="str">
        <f>_xlfn.XLOOKUP(Table16[[#This Row],[Name]],Table21112164202122232534353637[Name],Table21112164202122232534353637[Points],"DNP",0,1)</f>
        <v>DNP</v>
      </c>
      <c r="T196" t="str">
        <f>_xlfn.XLOOKUP(Table16[[#This Row],[Name]],Table2111216420212223253435363738[Name],Table2111216420212223253435363738[Points],"DNP",0,1)</f>
        <v>DNP</v>
      </c>
      <c r="U196" t="str">
        <f>_xlfn.XLOOKUP(Table16[[#This Row],[Name]],Table2111216420212223253435363739[Name],Table2111216420212223253435363739[Points],"DNP",0,1)</f>
        <v>DNP</v>
      </c>
      <c r="V196" t="str">
        <f>_xlfn.XLOOKUP(Table16[[#This Row],[Name]],Table211121642021222325343536373841[Name],Table211121642021222325343536373841[Points],"DNP",0,1)</f>
        <v>DNP</v>
      </c>
    </row>
    <row r="197" spans="2:22">
      <c r="B197" t="str">
        <f>IFERROR(Table5[[#This Row],[Full name]],"")</f>
        <v>Jiawei Bai</v>
      </c>
      <c r="C197" s="68">
        <f>SUM(Table16[[#This Row],[September 30, 2025]:[Column18]])</f>
        <v>23</v>
      </c>
      <c r="D197">
        <f>_xlfn.XLOOKUP(Table16[[#This Row],[Name]],Table4[Name],Table4[Points],"DNP",0,1)</f>
        <v>2</v>
      </c>
      <c r="E197">
        <f>_xlfn.XLOOKUP(Table16[[#This Row],[Name]],Table9[Name],Table9[Points],"DNP",0,1)</f>
        <v>1</v>
      </c>
      <c r="F197">
        <f>_xlfn.XLOOKUP(Table16[[#This Row],[Name]],Table18[Name],Table18[Points],"DNP",0,1)</f>
        <v>4</v>
      </c>
      <c r="G197">
        <f>_xlfn.XLOOKUP(Table16[[#This Row],[Name]],Table2[Name],Table2[Points],"DNP",0,1)</f>
        <v>4</v>
      </c>
      <c r="H197">
        <f>_xlfn.XLOOKUP(Table16[[#This Row],[Name]],Table211[Name],Table211[Points],"DNP",0,1)</f>
        <v>1</v>
      </c>
      <c r="I197">
        <f>_xlfn.XLOOKUP(Table16[[#This Row],[Name]],Table21112[Name],Table21112[Points],"DNP",0,1)</f>
        <v>1</v>
      </c>
      <c r="J197" t="str">
        <f>_xlfn.XLOOKUP(Table16[[#This Row],[Name]],Table21112164[Name],Table21112164[Points],"DNP",0,1)</f>
        <v>DNP</v>
      </c>
      <c r="K197">
        <f>_xlfn.XLOOKUP(Table16[[#This Row],[Name]],Table2111216420[Name],Table2111216420[Points],"DNP",0,1)</f>
        <v>4</v>
      </c>
      <c r="L197">
        <f>_xlfn.XLOOKUP(Table16[[#This Row],[Name]],Table211121642021[Name],Table211121642021[Points],"DNP",0,1)</f>
        <v>1</v>
      </c>
      <c r="M197">
        <f>_xlfn.XLOOKUP(Table16[[#This Row],[Name]],Table21112164202122[Name],Table21112164202122[Points],"DNP",0,1)</f>
        <v>3</v>
      </c>
      <c r="N197">
        <f>_xlfn.XLOOKUP(Table16[[#This Row],[Name]],Table2111216420212223[Name],Table2111216420212223[Points],"DNP",0,1)</f>
        <v>1</v>
      </c>
      <c r="O197" t="str">
        <f>_xlfn.XLOOKUP(Table16[[#This Row],[Name]],Table211121642021222325[Name],Table211121642021222325[Points],"DNP",0,1)</f>
        <v>DNP</v>
      </c>
      <c r="P197" t="str">
        <f>_xlfn.XLOOKUP(Table16[[#This Row],[Name]],Table21112164202122232534[Name],Table21112164202122232534[Points],"DNP",0,1)</f>
        <v>DNP</v>
      </c>
      <c r="Q197" t="str">
        <f>_xlfn.XLOOKUP(Table16[[#This Row],[Name]],Table2111216420212223253435[Name],Table2111216420212223253435[Points],"DNP",0,1)</f>
        <v>DNP</v>
      </c>
      <c r="R197" t="str">
        <f>_xlfn.XLOOKUP(Table16[[#This Row],[Name]],Table211121642021222325343536[Name],Table211121642021222325343536[Points],"DNP",0,1)</f>
        <v>DNP</v>
      </c>
      <c r="S197" t="str">
        <f>_xlfn.XLOOKUP(Table16[[#This Row],[Name]],Table21112164202122232534353637[Name],Table21112164202122232534353637[Points],"DNP",0,1)</f>
        <v>DNP</v>
      </c>
      <c r="T197" t="str">
        <f>_xlfn.XLOOKUP(Table16[[#This Row],[Name]],Table2111216420212223253435363738[Name],Table2111216420212223253435363738[Points],"DNP",0,1)</f>
        <v>DNP</v>
      </c>
      <c r="U197" t="str">
        <f>_xlfn.XLOOKUP(Table16[[#This Row],[Name]],Table2111216420212223253435363739[Name],Table2111216420212223253435363739[Points],"DNP",0,1)</f>
        <v>DNP</v>
      </c>
      <c r="V197">
        <f>_xlfn.XLOOKUP(Table16[[#This Row],[Name]],Table211121642021222325343536373841[Name],Table211121642021222325343536373841[Points],"DNP",0,1)</f>
        <v>1</v>
      </c>
    </row>
    <row r="198" spans="2:22">
      <c r="B198" t="str">
        <f>IFERROR(Table5[[#This Row],[Full name]],"")</f>
        <v>Jincheng Jiang</v>
      </c>
      <c r="C198" s="68">
        <f>SUM(Table16[[#This Row],[September 30, 2025]:[Column18]])</f>
        <v>3</v>
      </c>
      <c r="D198" t="str">
        <f>_xlfn.XLOOKUP(Table16[[#This Row],[Name]],Table4[Name],Table4[Points],"DNP",0,1)</f>
        <v>DNP</v>
      </c>
      <c r="E198" t="str">
        <f>_xlfn.XLOOKUP(Table16[[#This Row],[Name]],Table9[Name],Table9[Points],"DNP",0,1)</f>
        <v>DNP</v>
      </c>
      <c r="F198" t="str">
        <f>_xlfn.XLOOKUP(Table16[[#This Row],[Name]],Table18[Name],Table18[Points],"DNP",0,1)</f>
        <v>DNP</v>
      </c>
      <c r="G198" t="str">
        <f>_xlfn.XLOOKUP(Table16[[#This Row],[Name]],Table2[Name],Table2[Points],"DNP",0,1)</f>
        <v>DNP</v>
      </c>
      <c r="H198" t="str">
        <f>_xlfn.XLOOKUP(Table16[[#This Row],[Name]],Table211[Name],Table211[Points],"DNP",0,1)</f>
        <v>DNP</v>
      </c>
      <c r="I198" t="str">
        <f>_xlfn.XLOOKUP(Table16[[#This Row],[Name]],Table21112[Name],Table21112[Points],"DNP",0,1)</f>
        <v>DNP</v>
      </c>
      <c r="J198" t="str">
        <f>_xlfn.XLOOKUP(Table16[[#This Row],[Name]],Table21112164[Name],Table21112164[Points],"DNP",0,1)</f>
        <v>DNP</v>
      </c>
      <c r="K198" t="str">
        <f>_xlfn.XLOOKUP(Table16[[#This Row],[Name]],Table2111216420[Name],Table2111216420[Points],"DNP",0,1)</f>
        <v>DNP</v>
      </c>
      <c r="L198" t="str">
        <f>_xlfn.XLOOKUP(Table16[[#This Row],[Name]],Table211121642021[Name],Table211121642021[Points],"DNP",0,1)</f>
        <v>DNP</v>
      </c>
      <c r="M198" t="str">
        <f>_xlfn.XLOOKUP(Table16[[#This Row],[Name]],Table21112164202122[Name],Table21112164202122[Points],"DNP",0,1)</f>
        <v>DNP</v>
      </c>
      <c r="N198" t="str">
        <f>_xlfn.XLOOKUP(Table16[[#This Row],[Name]],Table2111216420212223[Name],Table2111216420212223[Points],"DNP",0,1)</f>
        <v>DNP</v>
      </c>
      <c r="O198" t="str">
        <f>_xlfn.XLOOKUP(Table16[[#This Row],[Name]],Table211121642021222325[Name],Table211121642021222325[Points],"DNP",0,1)</f>
        <v>DNP</v>
      </c>
      <c r="P198" t="str">
        <f>_xlfn.XLOOKUP(Table16[[#This Row],[Name]],Table21112164202122232534[Name],Table21112164202122232534[Points],"DNP",0,1)</f>
        <v>DNP</v>
      </c>
      <c r="Q198" t="str">
        <f>_xlfn.XLOOKUP(Table16[[#This Row],[Name]],Table2111216420212223253435[Name],Table2111216420212223253435[Points],"DNP",0,1)</f>
        <v>DNP</v>
      </c>
      <c r="R198" t="str">
        <f>_xlfn.XLOOKUP(Table16[[#This Row],[Name]],Table211121642021222325343536[Name],Table211121642021222325343536[Points],"DNP",0,1)</f>
        <v>DNP</v>
      </c>
      <c r="S198">
        <f>_xlfn.XLOOKUP(Table16[[#This Row],[Name]],Table21112164202122232534353637[Name],Table21112164202122232534353637[Points],"DNP",0,1)</f>
        <v>1</v>
      </c>
      <c r="T198" t="str">
        <f>_xlfn.XLOOKUP(Table16[[#This Row],[Name]],Table2111216420212223253435363738[Name],Table2111216420212223253435363738[Points],"DNP",0,1)</f>
        <v>DNP</v>
      </c>
      <c r="U198">
        <f>_xlfn.XLOOKUP(Table16[[#This Row],[Name]],Table2111216420212223253435363739[Name],Table2111216420212223253435363739[Points],"DNP",0,1)</f>
        <v>2</v>
      </c>
      <c r="V198" t="str">
        <f>_xlfn.XLOOKUP(Table16[[#This Row],[Name]],Table211121642021222325343536373841[Name],Table211121642021222325343536373841[Points],"DNP",0,1)</f>
        <v>DNP</v>
      </c>
    </row>
    <row r="199" spans="2:22">
      <c r="B199" t="str">
        <f>IFERROR(Table5[[#This Row],[Full name]],"")</f>
        <v>Jinglang Sun</v>
      </c>
      <c r="C199" s="68">
        <f>SUM(Table16[[#This Row],[September 30, 2025]:[Column18]])</f>
        <v>15</v>
      </c>
      <c r="D199" t="str">
        <f>_xlfn.XLOOKUP(Table16[[#This Row],[Name]],Table4[Name],Table4[Points],"DNP",0,1)</f>
        <v>DNP</v>
      </c>
      <c r="E199" t="str">
        <f>_xlfn.XLOOKUP(Table16[[#This Row],[Name]],Table9[Name],Table9[Points],"DNP",0,1)</f>
        <v>DNP</v>
      </c>
      <c r="F199">
        <f>_xlfn.XLOOKUP(Table16[[#This Row],[Name]],Table18[Name],Table18[Points],"DNP",0,1)</f>
        <v>4</v>
      </c>
      <c r="G199" t="str">
        <f>_xlfn.XLOOKUP(Table16[[#This Row],[Name]],Table2[Name],Table2[Points],"DNP",0,1)</f>
        <v>DNP</v>
      </c>
      <c r="H199" t="str">
        <f>_xlfn.XLOOKUP(Table16[[#This Row],[Name]],Table211[Name],Table211[Points],"DNP",0,1)</f>
        <v>DNP</v>
      </c>
      <c r="I199">
        <f>_xlfn.XLOOKUP(Table16[[#This Row],[Name]],Table21112[Name],Table21112[Points],"DNP",0,1)</f>
        <v>1</v>
      </c>
      <c r="J199" t="str">
        <f>_xlfn.XLOOKUP(Table16[[#This Row],[Name]],Table21112164[Name],Table21112164[Points],"DNP",0,1)</f>
        <v>DNP</v>
      </c>
      <c r="K199" t="str">
        <f>_xlfn.XLOOKUP(Table16[[#This Row],[Name]],Table2111216420[Name],Table2111216420[Points],"DNP",0,1)</f>
        <v>DNP</v>
      </c>
      <c r="L199">
        <f>_xlfn.XLOOKUP(Table16[[#This Row],[Name]],Table211121642021[Name],Table211121642021[Points],"DNP",0,1)</f>
        <v>10</v>
      </c>
      <c r="M199" t="str">
        <f>_xlfn.XLOOKUP(Table16[[#This Row],[Name]],Table21112164202122[Name],Table21112164202122[Points],"DNP",0,1)</f>
        <v>DNP</v>
      </c>
      <c r="N199" t="str">
        <f>_xlfn.XLOOKUP(Table16[[#This Row],[Name]],Table2111216420212223[Name],Table2111216420212223[Points],"DNP",0,1)</f>
        <v>DNP</v>
      </c>
      <c r="O199" t="str">
        <f>_xlfn.XLOOKUP(Table16[[#This Row],[Name]],Table211121642021222325[Name],Table211121642021222325[Points],"DNP",0,1)</f>
        <v>DNP</v>
      </c>
      <c r="P199" t="str">
        <f>_xlfn.XLOOKUP(Table16[[#This Row],[Name]],Table21112164202122232534[Name],Table21112164202122232534[Points],"DNP",0,1)</f>
        <v>DNP</v>
      </c>
      <c r="Q199" t="str">
        <f>_xlfn.XLOOKUP(Table16[[#This Row],[Name]],Table2111216420212223253435[Name],Table2111216420212223253435[Points],"DNP",0,1)</f>
        <v>DNP</v>
      </c>
      <c r="R199" t="str">
        <f>_xlfn.XLOOKUP(Table16[[#This Row],[Name]],Table211121642021222325343536[Name],Table211121642021222325343536[Points],"DNP",0,1)</f>
        <v>DNP</v>
      </c>
      <c r="S199" t="str">
        <f>_xlfn.XLOOKUP(Table16[[#This Row],[Name]],Table21112164202122232534353637[Name],Table21112164202122232534353637[Points],"DNP",0,1)</f>
        <v>DNP</v>
      </c>
      <c r="T199" t="str">
        <f>_xlfn.XLOOKUP(Table16[[#This Row],[Name]],Table2111216420212223253435363738[Name],Table2111216420212223253435363738[Points],"DNP",0,1)</f>
        <v>DNP</v>
      </c>
      <c r="U199" t="str">
        <f>_xlfn.XLOOKUP(Table16[[#This Row],[Name]],Table2111216420212223253435363739[Name],Table2111216420212223253435363739[Points],"DNP",0,1)</f>
        <v>DNP</v>
      </c>
      <c r="V199" t="str">
        <f>_xlfn.XLOOKUP(Table16[[#This Row],[Name]],Table211121642021222325343536373841[Name],Table211121642021222325343536373841[Points],"DNP",0,1)</f>
        <v>DNP</v>
      </c>
    </row>
    <row r="200" spans="2:22">
      <c r="B200" t="str">
        <f>IFERROR(Table5[[#This Row],[Full name]],"")</f>
        <v>Johnny Yang</v>
      </c>
      <c r="C200" s="68">
        <f>SUM(Table16[[#This Row],[September 30, 2025]:[Column18]])</f>
        <v>3</v>
      </c>
      <c r="D200" t="str">
        <f>_xlfn.XLOOKUP(Table16[[#This Row],[Name]],Table4[Name],Table4[Points],"DNP",0,1)</f>
        <v>DNP</v>
      </c>
      <c r="E200">
        <f>_xlfn.XLOOKUP(Table16[[#This Row],[Name]],Table9[Name],Table9[Points],"DNP",0,1)</f>
        <v>1</v>
      </c>
      <c r="F200">
        <f>_xlfn.XLOOKUP(Table16[[#This Row],[Name]],Table18[Name],Table18[Points],"DNP",0,1)</f>
        <v>2</v>
      </c>
      <c r="G200" t="str">
        <f>_xlfn.XLOOKUP(Table16[[#This Row],[Name]],Table2[Name],Table2[Points],"DNP",0,1)</f>
        <v>DNP</v>
      </c>
      <c r="H200" t="str">
        <f>_xlfn.XLOOKUP(Table16[[#This Row],[Name]],Table211[Name],Table211[Points],"DNP",0,1)</f>
        <v>DNP</v>
      </c>
      <c r="I200" t="str">
        <f>_xlfn.XLOOKUP(Table16[[#This Row],[Name]],Table21112[Name],Table21112[Points],"DNP",0,1)</f>
        <v>DNP</v>
      </c>
      <c r="J200" t="str">
        <f>_xlfn.XLOOKUP(Table16[[#This Row],[Name]],Table21112164[Name],Table21112164[Points],"DNP",0,1)</f>
        <v>DNP</v>
      </c>
      <c r="K200" t="str">
        <f>_xlfn.XLOOKUP(Table16[[#This Row],[Name]],Table2111216420[Name],Table2111216420[Points],"DNP",0,1)</f>
        <v>DNP</v>
      </c>
      <c r="L200" t="str">
        <f>_xlfn.XLOOKUP(Table16[[#This Row],[Name]],Table211121642021[Name],Table211121642021[Points],"DNP",0,1)</f>
        <v>DNP</v>
      </c>
      <c r="M200" t="str">
        <f>_xlfn.XLOOKUP(Table16[[#This Row],[Name]],Table21112164202122[Name],Table21112164202122[Points],"DNP",0,1)</f>
        <v>DNP</v>
      </c>
      <c r="N200" t="str">
        <f>_xlfn.XLOOKUP(Table16[[#This Row],[Name]],Table2111216420212223[Name],Table2111216420212223[Points],"DNP",0,1)</f>
        <v>DNP</v>
      </c>
      <c r="O200" t="str">
        <f>_xlfn.XLOOKUP(Table16[[#This Row],[Name]],Table211121642021222325[Name],Table211121642021222325[Points],"DNP",0,1)</f>
        <v>DNP</v>
      </c>
      <c r="P200" t="str">
        <f>_xlfn.XLOOKUP(Table16[[#This Row],[Name]],Table21112164202122232534[Name],Table21112164202122232534[Points],"DNP",0,1)</f>
        <v>DNP</v>
      </c>
      <c r="Q200" t="str">
        <f>_xlfn.XLOOKUP(Table16[[#This Row],[Name]],Table2111216420212223253435[Name],Table2111216420212223253435[Points],"DNP",0,1)</f>
        <v>DNP</v>
      </c>
      <c r="R200" t="str">
        <f>_xlfn.XLOOKUP(Table16[[#This Row],[Name]],Table211121642021222325343536[Name],Table211121642021222325343536[Points],"DNP",0,1)</f>
        <v>DNP</v>
      </c>
      <c r="S200" t="str">
        <f>_xlfn.XLOOKUP(Table16[[#This Row],[Name]],Table21112164202122232534353637[Name],Table21112164202122232534353637[Points],"DNP",0,1)</f>
        <v>DNP</v>
      </c>
      <c r="T200" t="str">
        <f>_xlfn.XLOOKUP(Table16[[#This Row],[Name]],Table2111216420212223253435363738[Name],Table2111216420212223253435363738[Points],"DNP",0,1)</f>
        <v>DNP</v>
      </c>
      <c r="U200" t="str">
        <f>_xlfn.XLOOKUP(Table16[[#This Row],[Name]],Table2111216420212223253435363739[Name],Table2111216420212223253435363739[Points],"DNP",0,1)</f>
        <v>DNP</v>
      </c>
      <c r="V200" t="str">
        <f>_xlfn.XLOOKUP(Table16[[#This Row],[Name]],Table211121642021222325343536373841[Name],Table211121642021222325343536373841[Points],"DNP",0,1)</f>
        <v>DNP</v>
      </c>
    </row>
    <row r="201" spans="2:22">
      <c r="B201" t="str">
        <f>IFERROR(Table5[[#This Row],[Full name]],"")</f>
        <v>Jonas Neumann</v>
      </c>
      <c r="C201" s="68">
        <f>SUM(Table16[[#This Row],[September 30, 2025]:[Column18]])</f>
        <v>2</v>
      </c>
      <c r="D201" t="str">
        <f>_xlfn.XLOOKUP(Table16[[#This Row],[Name]],Table4[Name],Table4[Points],"DNP",0,1)</f>
        <v>DNP</v>
      </c>
      <c r="E201" t="str">
        <f>_xlfn.XLOOKUP(Table16[[#This Row],[Name]],Table9[Name],Table9[Points],"DNP",0,1)</f>
        <v>DNP</v>
      </c>
      <c r="F201" t="str">
        <f>_xlfn.XLOOKUP(Table16[[#This Row],[Name]],Table18[Name],Table18[Points],"DNP",0,1)</f>
        <v>DNP</v>
      </c>
      <c r="G201" t="str">
        <f>_xlfn.XLOOKUP(Table16[[#This Row],[Name]],Table2[Name],Table2[Points],"DNP",0,1)</f>
        <v>DNP</v>
      </c>
      <c r="H201" t="str">
        <f>_xlfn.XLOOKUP(Table16[[#This Row],[Name]],Table211[Name],Table211[Points],"DNP",0,1)</f>
        <v>DNP</v>
      </c>
      <c r="I201" t="str">
        <f>_xlfn.XLOOKUP(Table16[[#This Row],[Name]],Table21112[Name],Table21112[Points],"DNP",0,1)</f>
        <v>DNP</v>
      </c>
      <c r="J201" t="str">
        <f>_xlfn.XLOOKUP(Table16[[#This Row],[Name]],Table21112164[Name],Table21112164[Points],"DNP",0,1)</f>
        <v>DNP</v>
      </c>
      <c r="K201" t="str">
        <f>_xlfn.XLOOKUP(Table16[[#This Row],[Name]],Table2111216420[Name],Table2111216420[Points],"DNP",0,1)</f>
        <v>DNP</v>
      </c>
      <c r="L201">
        <f>_xlfn.XLOOKUP(Table16[[#This Row],[Name]],Table211121642021[Name],Table211121642021[Points],"DNP",0,1)</f>
        <v>2</v>
      </c>
      <c r="M201" t="str">
        <f>_xlfn.XLOOKUP(Table16[[#This Row],[Name]],Table21112164202122[Name],Table21112164202122[Points],"DNP",0,1)</f>
        <v>DNP</v>
      </c>
      <c r="N201" t="str">
        <f>_xlfn.XLOOKUP(Table16[[#This Row],[Name]],Table2111216420212223[Name],Table2111216420212223[Points],"DNP",0,1)</f>
        <v>DNP</v>
      </c>
      <c r="O201" t="str">
        <f>_xlfn.XLOOKUP(Table16[[#This Row],[Name]],Table211121642021222325[Name],Table211121642021222325[Points],"DNP",0,1)</f>
        <v>DNP</v>
      </c>
      <c r="P201" t="str">
        <f>_xlfn.XLOOKUP(Table16[[#This Row],[Name]],Table21112164202122232534[Name],Table21112164202122232534[Points],"DNP",0,1)</f>
        <v>DNP</v>
      </c>
      <c r="Q201" t="str">
        <f>_xlfn.XLOOKUP(Table16[[#This Row],[Name]],Table2111216420212223253435[Name],Table2111216420212223253435[Points],"DNP",0,1)</f>
        <v>DNP</v>
      </c>
      <c r="R201" t="str">
        <f>_xlfn.XLOOKUP(Table16[[#This Row],[Name]],Table211121642021222325343536[Name],Table211121642021222325343536[Points],"DNP",0,1)</f>
        <v>DNP</v>
      </c>
      <c r="S201" t="str">
        <f>_xlfn.XLOOKUP(Table16[[#This Row],[Name]],Table21112164202122232534353637[Name],Table21112164202122232534353637[Points],"DNP",0,1)</f>
        <v>DNP</v>
      </c>
      <c r="T201" t="str">
        <f>_xlfn.XLOOKUP(Table16[[#This Row],[Name]],Table2111216420212223253435363738[Name],Table2111216420212223253435363738[Points],"DNP",0,1)</f>
        <v>DNP</v>
      </c>
      <c r="U201" t="str">
        <f>_xlfn.XLOOKUP(Table16[[#This Row],[Name]],Table2111216420212223253435363739[Name],Table2111216420212223253435363739[Points],"DNP",0,1)</f>
        <v>DNP</v>
      </c>
      <c r="V201" t="str">
        <f>_xlfn.XLOOKUP(Table16[[#This Row],[Name]],Table211121642021222325343536373841[Name],Table211121642021222325343536373841[Points],"DNP",0,1)</f>
        <v>DNP</v>
      </c>
    </row>
    <row r="202" spans="2:22">
      <c r="B202" t="str">
        <f>IFERROR(Table5[[#This Row],[Full name]],"")</f>
        <v>Jordan Nguyen</v>
      </c>
      <c r="C202" s="68">
        <f>SUM(Table16[[#This Row],[September 30, 2025]:[Column18]])</f>
        <v>2</v>
      </c>
      <c r="D202" t="str">
        <f>_xlfn.XLOOKUP(Table16[[#This Row],[Name]],Table4[Name],Table4[Points],"DNP",0,1)</f>
        <v>DNP</v>
      </c>
      <c r="E202" t="str">
        <f>_xlfn.XLOOKUP(Table16[[#This Row],[Name]],Table9[Name],Table9[Points],"DNP",0,1)</f>
        <v>DNP</v>
      </c>
      <c r="F202" t="str">
        <f>_xlfn.XLOOKUP(Table16[[#This Row],[Name]],Table18[Name],Table18[Points],"DNP",0,1)</f>
        <v>DNP</v>
      </c>
      <c r="G202" t="str">
        <f>_xlfn.XLOOKUP(Table16[[#This Row],[Name]],Table2[Name],Table2[Points],"DNP",0,1)</f>
        <v>DNP</v>
      </c>
      <c r="H202" t="str">
        <f>_xlfn.XLOOKUP(Table16[[#This Row],[Name]],Table211[Name],Table211[Points],"DNP",0,1)</f>
        <v>DNP</v>
      </c>
      <c r="I202" t="str">
        <f>_xlfn.XLOOKUP(Table16[[#This Row],[Name]],Table21112[Name],Table21112[Points],"DNP",0,1)</f>
        <v>DNP</v>
      </c>
      <c r="J202" t="str">
        <f>_xlfn.XLOOKUP(Table16[[#This Row],[Name]],Table21112164[Name],Table21112164[Points],"DNP",0,1)</f>
        <v>DNP</v>
      </c>
      <c r="K202" t="str">
        <f>_xlfn.XLOOKUP(Table16[[#This Row],[Name]],Table2111216420[Name],Table2111216420[Points],"DNP",0,1)</f>
        <v>DNP</v>
      </c>
      <c r="L202">
        <f>_xlfn.XLOOKUP(Table16[[#This Row],[Name]],Table211121642021[Name],Table211121642021[Points],"DNP",0,1)</f>
        <v>1</v>
      </c>
      <c r="M202" t="str">
        <f>_xlfn.XLOOKUP(Table16[[#This Row],[Name]],Table21112164202122[Name],Table21112164202122[Points],"DNP",0,1)</f>
        <v>DNP</v>
      </c>
      <c r="N202">
        <f>_xlfn.XLOOKUP(Table16[[#This Row],[Name]],Table2111216420212223[Name],Table2111216420212223[Points],"DNP",0,1)</f>
        <v>1</v>
      </c>
      <c r="O202" t="str">
        <f>_xlfn.XLOOKUP(Table16[[#This Row],[Name]],Table211121642021222325[Name],Table211121642021222325[Points],"DNP",0,1)</f>
        <v>DNP</v>
      </c>
      <c r="P202" t="str">
        <f>_xlfn.XLOOKUP(Table16[[#This Row],[Name]],Table21112164202122232534[Name],Table21112164202122232534[Points],"DNP",0,1)</f>
        <v>DNP</v>
      </c>
      <c r="Q202" t="str">
        <f>_xlfn.XLOOKUP(Table16[[#This Row],[Name]],Table2111216420212223253435[Name],Table2111216420212223253435[Points],"DNP",0,1)</f>
        <v>DNP</v>
      </c>
      <c r="R202" t="str">
        <f>_xlfn.XLOOKUP(Table16[[#This Row],[Name]],Table211121642021222325343536[Name],Table211121642021222325343536[Points],"DNP",0,1)</f>
        <v>DNP</v>
      </c>
      <c r="S202" t="str">
        <f>_xlfn.XLOOKUP(Table16[[#This Row],[Name]],Table21112164202122232534353637[Name],Table21112164202122232534353637[Points],"DNP",0,1)</f>
        <v>DNP</v>
      </c>
      <c r="T202" t="str">
        <f>_xlfn.XLOOKUP(Table16[[#This Row],[Name]],Table2111216420212223253435363738[Name],Table2111216420212223253435363738[Points],"DNP",0,1)</f>
        <v>DNP</v>
      </c>
      <c r="U202" t="str">
        <f>_xlfn.XLOOKUP(Table16[[#This Row],[Name]],Table2111216420212223253435363739[Name],Table2111216420212223253435363739[Points],"DNP",0,1)</f>
        <v>DNP</v>
      </c>
      <c r="V202" t="str">
        <f>_xlfn.XLOOKUP(Table16[[#This Row],[Name]],Table211121642021222325343536373841[Name],Table211121642021222325343536373841[Points],"DNP",0,1)</f>
        <v>DNP</v>
      </c>
    </row>
    <row r="203" spans="2:22">
      <c r="B203" t="str">
        <f>IFERROR(Table5[[#This Row],[Full name]],"")</f>
        <v>Joseph Liao</v>
      </c>
      <c r="C203" s="68">
        <f>SUM(Table16[[#This Row],[September 30, 2025]:[Column18]])</f>
        <v>1</v>
      </c>
      <c r="D203" t="str">
        <f>_xlfn.XLOOKUP(Table16[[#This Row],[Name]],Table4[Name],Table4[Points],"DNP",0,1)</f>
        <v>DNP</v>
      </c>
      <c r="E203" t="str">
        <f>_xlfn.XLOOKUP(Table16[[#This Row],[Name]],Table9[Name],Table9[Points],"DNP",0,1)</f>
        <v>DNP</v>
      </c>
      <c r="F203" t="str">
        <f>_xlfn.XLOOKUP(Table16[[#This Row],[Name]],Table18[Name],Table18[Points],"DNP",0,1)</f>
        <v>DNP</v>
      </c>
      <c r="G203" t="str">
        <f>_xlfn.XLOOKUP(Table16[[#This Row],[Name]],Table2[Name],Table2[Points],"DNP",0,1)</f>
        <v>DNP</v>
      </c>
      <c r="H203" t="str">
        <f>_xlfn.XLOOKUP(Table16[[#This Row],[Name]],Table211[Name],Table211[Points],"DNP",0,1)</f>
        <v>DNP</v>
      </c>
      <c r="I203">
        <f>_xlfn.XLOOKUP(Table16[[#This Row],[Name]],Table21112[Name],Table21112[Points],"DNP",0,1)</f>
        <v>1</v>
      </c>
      <c r="J203" t="str">
        <f>_xlfn.XLOOKUP(Table16[[#This Row],[Name]],Table21112164[Name],Table21112164[Points],"DNP",0,1)</f>
        <v>DNP</v>
      </c>
      <c r="K203" t="str">
        <f>_xlfn.XLOOKUP(Table16[[#This Row],[Name]],Table2111216420[Name],Table2111216420[Points],"DNP",0,1)</f>
        <v>DNP</v>
      </c>
      <c r="L203" t="str">
        <f>_xlfn.XLOOKUP(Table16[[#This Row],[Name]],Table211121642021[Name],Table211121642021[Points],"DNP",0,1)</f>
        <v>DNP</v>
      </c>
      <c r="M203" t="str">
        <f>_xlfn.XLOOKUP(Table16[[#This Row],[Name]],Table21112164202122[Name],Table21112164202122[Points],"DNP",0,1)</f>
        <v>DNP</v>
      </c>
      <c r="N203" t="str">
        <f>_xlfn.XLOOKUP(Table16[[#This Row],[Name]],Table2111216420212223[Name],Table2111216420212223[Points],"DNP",0,1)</f>
        <v>DNP</v>
      </c>
      <c r="O203" t="str">
        <f>_xlfn.XLOOKUP(Table16[[#This Row],[Name]],Table211121642021222325[Name],Table211121642021222325[Points],"DNP",0,1)</f>
        <v>DNP</v>
      </c>
      <c r="P203" t="str">
        <f>_xlfn.XLOOKUP(Table16[[#This Row],[Name]],Table21112164202122232534[Name],Table21112164202122232534[Points],"DNP",0,1)</f>
        <v>DNP</v>
      </c>
      <c r="Q203" t="str">
        <f>_xlfn.XLOOKUP(Table16[[#This Row],[Name]],Table2111216420212223253435[Name],Table2111216420212223253435[Points],"DNP",0,1)</f>
        <v>DNP</v>
      </c>
      <c r="R203" t="str">
        <f>_xlfn.XLOOKUP(Table16[[#This Row],[Name]],Table211121642021222325343536[Name],Table211121642021222325343536[Points],"DNP",0,1)</f>
        <v>DNP</v>
      </c>
      <c r="S203" t="str">
        <f>_xlfn.XLOOKUP(Table16[[#This Row],[Name]],Table21112164202122232534353637[Name],Table21112164202122232534353637[Points],"DNP",0,1)</f>
        <v>DNP</v>
      </c>
      <c r="T203" t="str">
        <f>_xlfn.XLOOKUP(Table16[[#This Row],[Name]],Table2111216420212223253435363738[Name],Table2111216420212223253435363738[Points],"DNP",0,1)</f>
        <v>DNP</v>
      </c>
      <c r="U203" t="str">
        <f>_xlfn.XLOOKUP(Table16[[#This Row],[Name]],Table2111216420212223253435363739[Name],Table2111216420212223253435363739[Points],"DNP",0,1)</f>
        <v>DNP</v>
      </c>
      <c r="V203" t="str">
        <f>_xlfn.XLOOKUP(Table16[[#This Row],[Name]],Table211121642021222325343536373841[Name],Table211121642021222325343536373841[Points],"DNP",0,1)</f>
        <v>DNP</v>
      </c>
    </row>
    <row r="204" spans="2:22">
      <c r="B204" t="str">
        <f>IFERROR(Table5[[#This Row],[Full name]],"")</f>
        <v>Josh Sandler</v>
      </c>
      <c r="C204" s="68">
        <f>SUM(Table16[[#This Row],[September 30, 2025]:[Column18]])</f>
        <v>4</v>
      </c>
      <c r="D204">
        <f>_xlfn.XLOOKUP(Table16[[#This Row],[Name]],Table4[Name],Table4[Points],"DNP",0,1)</f>
        <v>2</v>
      </c>
      <c r="E204" t="str">
        <f>_xlfn.XLOOKUP(Table16[[#This Row],[Name]],Table9[Name],Table9[Points],"DNP",0,1)</f>
        <v>DNP</v>
      </c>
      <c r="F204">
        <f>_xlfn.XLOOKUP(Table16[[#This Row],[Name]],Table18[Name],Table18[Points],"DNP",0,1)</f>
        <v>1</v>
      </c>
      <c r="G204" t="str">
        <f>_xlfn.XLOOKUP(Table16[[#This Row],[Name]],Table2[Name],Table2[Points],"DNP",0,1)</f>
        <v>DNP</v>
      </c>
      <c r="H204" t="str">
        <f>_xlfn.XLOOKUP(Table16[[#This Row],[Name]],Table211[Name],Table211[Points],"DNP",0,1)</f>
        <v>DNP</v>
      </c>
      <c r="I204" t="str">
        <f>_xlfn.XLOOKUP(Table16[[#This Row],[Name]],Table21112[Name],Table21112[Points],"DNP",0,1)</f>
        <v>DNP</v>
      </c>
      <c r="J204" t="str">
        <f>_xlfn.XLOOKUP(Table16[[#This Row],[Name]],Table21112164[Name],Table21112164[Points],"DNP",0,1)</f>
        <v>DNP</v>
      </c>
      <c r="K204" t="str">
        <f>_xlfn.XLOOKUP(Table16[[#This Row],[Name]],Table2111216420[Name],Table2111216420[Points],"DNP",0,1)</f>
        <v>DNP</v>
      </c>
      <c r="L204" t="str">
        <f>_xlfn.XLOOKUP(Table16[[#This Row],[Name]],Table211121642021[Name],Table211121642021[Points],"DNP",0,1)</f>
        <v>DNP</v>
      </c>
      <c r="M204" t="str">
        <f>_xlfn.XLOOKUP(Table16[[#This Row],[Name]],Table21112164202122[Name],Table21112164202122[Points],"DNP",0,1)</f>
        <v>DNP</v>
      </c>
      <c r="N204" t="str">
        <f>_xlfn.XLOOKUP(Table16[[#This Row],[Name]],Table2111216420212223[Name],Table2111216420212223[Points],"DNP",0,1)</f>
        <v>DNP</v>
      </c>
      <c r="O204" t="str">
        <f>_xlfn.XLOOKUP(Table16[[#This Row],[Name]],Table211121642021222325[Name],Table211121642021222325[Points],"DNP",0,1)</f>
        <v>DNP</v>
      </c>
      <c r="P204" t="str">
        <f>_xlfn.XLOOKUP(Table16[[#This Row],[Name]],Table21112164202122232534[Name],Table21112164202122232534[Points],"DNP",0,1)</f>
        <v>DNP</v>
      </c>
      <c r="Q204" t="str">
        <f>_xlfn.XLOOKUP(Table16[[#This Row],[Name]],Table2111216420212223253435[Name],Table2111216420212223253435[Points],"DNP",0,1)</f>
        <v>DNP</v>
      </c>
      <c r="R204" t="str">
        <f>_xlfn.XLOOKUP(Table16[[#This Row],[Name]],Table211121642021222325343536[Name],Table211121642021222325343536[Points],"DNP",0,1)</f>
        <v>DNP</v>
      </c>
      <c r="S204" t="str">
        <f>_xlfn.XLOOKUP(Table16[[#This Row],[Name]],Table21112164202122232534353637[Name],Table21112164202122232534353637[Points],"DNP",0,1)</f>
        <v>DNP</v>
      </c>
      <c r="T204" t="str">
        <f>_xlfn.XLOOKUP(Table16[[#This Row],[Name]],Table2111216420212223253435363738[Name],Table2111216420212223253435363738[Points],"DNP",0,1)</f>
        <v>DNP</v>
      </c>
      <c r="U204">
        <f>_xlfn.XLOOKUP(Table16[[#This Row],[Name]],Table2111216420212223253435363739[Name],Table2111216420212223253435363739[Points],"DNP",0,1)</f>
        <v>1</v>
      </c>
      <c r="V204" t="str">
        <f>_xlfn.XLOOKUP(Table16[[#This Row],[Name]],Table211121642021222325343536373841[Name],Table211121642021222325343536373841[Points],"DNP",0,1)</f>
        <v>DNP</v>
      </c>
    </row>
    <row r="205" spans="2:22">
      <c r="B205" t="str">
        <f>IFERROR(Table5[[#This Row],[Full name]],"")</f>
        <v>Joshua Pascazi</v>
      </c>
      <c r="C205" s="68">
        <f>SUM(Table16[[#This Row],[September 30, 2025]:[Column18]])</f>
        <v>0</v>
      </c>
      <c r="D205" t="str">
        <f>_xlfn.XLOOKUP(Table16[[#This Row],[Name]],Table4[Name],Table4[Points],"DNP",0,1)</f>
        <v>DNP</v>
      </c>
      <c r="E205" t="str">
        <f>_xlfn.XLOOKUP(Table16[[#This Row],[Name]],Table9[Name],Table9[Points],"DNP",0,1)</f>
        <v>DNP</v>
      </c>
      <c r="F205" t="str">
        <f>_xlfn.XLOOKUP(Table16[[#This Row],[Name]],Table18[Name],Table18[Points],"DNP",0,1)</f>
        <v>DNP</v>
      </c>
      <c r="G205" t="str">
        <f>_xlfn.XLOOKUP(Table16[[#This Row],[Name]],Table2[Name],Table2[Points],"DNP",0,1)</f>
        <v>DNP</v>
      </c>
      <c r="H205" t="str">
        <f>_xlfn.XLOOKUP(Table16[[#This Row],[Name]],Table211[Name],Table211[Points],"DNP",0,1)</f>
        <v>DNP</v>
      </c>
      <c r="I205" t="str">
        <f>_xlfn.XLOOKUP(Table16[[#This Row],[Name]],Table21112[Name],Table21112[Points],"DNP",0,1)</f>
        <v>DNP</v>
      </c>
      <c r="J205" t="str">
        <f>_xlfn.XLOOKUP(Table16[[#This Row],[Name]],Table21112164[Name],Table21112164[Points],"DNP",0,1)</f>
        <v>DNP</v>
      </c>
      <c r="K205" t="str">
        <f>_xlfn.XLOOKUP(Table16[[#This Row],[Name]],Table2111216420[Name],Table2111216420[Points],"DNP",0,1)</f>
        <v>DNP</v>
      </c>
      <c r="L205" t="str">
        <f>_xlfn.XLOOKUP(Table16[[#This Row],[Name]],Table211121642021[Name],Table211121642021[Points],"DNP",0,1)</f>
        <v>DNP</v>
      </c>
      <c r="M205" t="str">
        <f>_xlfn.XLOOKUP(Table16[[#This Row],[Name]],Table21112164202122[Name],Table21112164202122[Points],"DNP",0,1)</f>
        <v>DNP</v>
      </c>
      <c r="N205" t="str">
        <f>_xlfn.XLOOKUP(Table16[[#This Row],[Name]],Table2111216420212223[Name],Table2111216420212223[Points],"DNP",0,1)</f>
        <v>DNP</v>
      </c>
      <c r="O205" t="str">
        <f>_xlfn.XLOOKUP(Table16[[#This Row],[Name]],Table211121642021222325[Name],Table211121642021222325[Points],"DNP",0,1)</f>
        <v>DNP</v>
      </c>
      <c r="P205" t="str">
        <f>_xlfn.XLOOKUP(Table16[[#This Row],[Name]],Table21112164202122232534[Name],Table21112164202122232534[Points],"DNP",0,1)</f>
        <v>DNP</v>
      </c>
      <c r="Q205" t="str">
        <f>_xlfn.XLOOKUP(Table16[[#This Row],[Name]],Table2111216420212223253435[Name],Table2111216420212223253435[Points],"DNP",0,1)</f>
        <v>DNP</v>
      </c>
      <c r="R205" t="str">
        <f>_xlfn.XLOOKUP(Table16[[#This Row],[Name]],Table211121642021222325343536[Name],Table211121642021222325343536[Points],"DNP",0,1)</f>
        <v>DNP</v>
      </c>
      <c r="S205" t="str">
        <f>_xlfn.XLOOKUP(Table16[[#This Row],[Name]],Table21112164202122232534353637[Name],Table21112164202122232534353637[Points],"DNP",0,1)</f>
        <v>DNP</v>
      </c>
      <c r="T205" t="str">
        <f>_xlfn.XLOOKUP(Table16[[#This Row],[Name]],Table2111216420212223253435363738[Name],Table2111216420212223253435363738[Points],"DNP",0,1)</f>
        <v>DNP</v>
      </c>
      <c r="U205" t="str">
        <f>_xlfn.XLOOKUP(Table16[[#This Row],[Name]],Table2111216420212223253435363739[Name],Table2111216420212223253435363739[Points],"DNP",0,1)</f>
        <v>DNP</v>
      </c>
      <c r="V205" t="str">
        <f>_xlfn.XLOOKUP(Table16[[#This Row],[Name]],Table211121642021222325343536373841[Name],Table211121642021222325343536373841[Points],"DNP",0,1)</f>
        <v>DNP</v>
      </c>
    </row>
    <row r="206" spans="2:22">
      <c r="B206" t="str">
        <f>IFERROR(Table5[[#This Row],[Full name]],"")</f>
        <v>Julian Pawchuk</v>
      </c>
      <c r="C206" s="68">
        <f>SUM(Table16[[#This Row],[September 30, 2025]:[Column18]])</f>
        <v>0</v>
      </c>
      <c r="D206" t="str">
        <f>_xlfn.XLOOKUP(Table16[[#This Row],[Name]],Table4[Name],Table4[Points],"DNP",0,1)</f>
        <v>DNP</v>
      </c>
      <c r="E206" t="str">
        <f>_xlfn.XLOOKUP(Table16[[#This Row],[Name]],Table9[Name],Table9[Points],"DNP",0,1)</f>
        <v>DNP</v>
      </c>
      <c r="F206" t="str">
        <f>_xlfn.XLOOKUP(Table16[[#This Row],[Name]],Table18[Name],Table18[Points],"DNP",0,1)</f>
        <v>DNP</v>
      </c>
      <c r="G206" t="str">
        <f>_xlfn.XLOOKUP(Table16[[#This Row],[Name]],Table2[Name],Table2[Points],"DNP",0,1)</f>
        <v>DNP</v>
      </c>
      <c r="H206" t="str">
        <f>_xlfn.XLOOKUP(Table16[[#This Row],[Name]],Table211[Name],Table211[Points],"DNP",0,1)</f>
        <v>DNP</v>
      </c>
      <c r="I206" t="str">
        <f>_xlfn.XLOOKUP(Table16[[#This Row],[Name]],Table21112[Name],Table21112[Points],"DNP",0,1)</f>
        <v>DNP</v>
      </c>
      <c r="J206" t="str">
        <f>_xlfn.XLOOKUP(Table16[[#This Row],[Name]],Table21112164[Name],Table21112164[Points],"DNP",0,1)</f>
        <v>DNP</v>
      </c>
      <c r="K206" t="str">
        <f>_xlfn.XLOOKUP(Table16[[#This Row],[Name]],Table2111216420[Name],Table2111216420[Points],"DNP",0,1)</f>
        <v>DNP</v>
      </c>
      <c r="L206" t="str">
        <f>_xlfn.XLOOKUP(Table16[[#This Row],[Name]],Table211121642021[Name],Table211121642021[Points],"DNP",0,1)</f>
        <v>DNP</v>
      </c>
      <c r="M206" t="str">
        <f>_xlfn.XLOOKUP(Table16[[#This Row],[Name]],Table21112164202122[Name],Table21112164202122[Points],"DNP",0,1)</f>
        <v>DNP</v>
      </c>
      <c r="N206" t="str">
        <f>_xlfn.XLOOKUP(Table16[[#This Row],[Name]],Table2111216420212223[Name],Table2111216420212223[Points],"DNP",0,1)</f>
        <v>DNP</v>
      </c>
      <c r="O206" t="str">
        <f>_xlfn.XLOOKUP(Table16[[#This Row],[Name]],Table211121642021222325[Name],Table211121642021222325[Points],"DNP",0,1)</f>
        <v>DNP</v>
      </c>
      <c r="P206" t="str">
        <f>_xlfn.XLOOKUP(Table16[[#This Row],[Name]],Table21112164202122232534[Name],Table21112164202122232534[Points],"DNP",0,1)</f>
        <v>DNP</v>
      </c>
      <c r="Q206" t="str">
        <f>_xlfn.XLOOKUP(Table16[[#This Row],[Name]],Table2111216420212223253435[Name],Table2111216420212223253435[Points],"DNP",0,1)</f>
        <v>DNP</v>
      </c>
      <c r="R206" t="str">
        <f>_xlfn.XLOOKUP(Table16[[#This Row],[Name]],Table211121642021222325343536[Name],Table211121642021222325343536[Points],"DNP",0,1)</f>
        <v>DNP</v>
      </c>
      <c r="S206" t="str">
        <f>_xlfn.XLOOKUP(Table16[[#This Row],[Name]],Table21112164202122232534353637[Name],Table21112164202122232534353637[Points],"DNP",0,1)</f>
        <v>DNP</v>
      </c>
      <c r="T206" t="str">
        <f>_xlfn.XLOOKUP(Table16[[#This Row],[Name]],Table2111216420212223253435363738[Name],Table2111216420212223253435363738[Points],"DNP",0,1)</f>
        <v>DNP</v>
      </c>
      <c r="U206" t="str">
        <f>_xlfn.XLOOKUP(Table16[[#This Row],[Name]],Table2111216420212223253435363739[Name],Table2111216420212223253435363739[Points],"DNP",0,1)</f>
        <v>DNP</v>
      </c>
      <c r="V206" t="str">
        <f>_xlfn.XLOOKUP(Table16[[#This Row],[Name]],Table211121642021222325343536373841[Name],Table211121642021222325343536373841[Points],"DNP",0,1)</f>
        <v>DNP</v>
      </c>
    </row>
    <row r="207" spans="2:22">
      <c r="B207" t="str">
        <f>IFERROR(Table5[[#This Row],[Full name]],"")</f>
        <v xml:space="preserve">Julian </v>
      </c>
      <c r="C207" s="68">
        <f>SUM(Table16[[#This Row],[September 30, 2025]:[Column18]])</f>
        <v>1</v>
      </c>
      <c r="D207">
        <f>_xlfn.XLOOKUP(Table16[[#This Row],[Name]],Table4[Name],Table4[Points],"DNP",0,1)</f>
        <v>1</v>
      </c>
      <c r="E207" t="str">
        <f>_xlfn.XLOOKUP(Table16[[#This Row],[Name]],Table9[Name],Table9[Points],"DNP",0,1)</f>
        <v>DNP</v>
      </c>
      <c r="F207" t="str">
        <f>_xlfn.XLOOKUP(Table16[[#This Row],[Name]],Table18[Name],Table18[Points],"DNP",0,1)</f>
        <v>DNP</v>
      </c>
      <c r="G207" t="str">
        <f>_xlfn.XLOOKUP(Table16[[#This Row],[Name]],Table2[Name],Table2[Points],"DNP",0,1)</f>
        <v>DNP</v>
      </c>
      <c r="H207" t="str">
        <f>_xlfn.XLOOKUP(Table16[[#This Row],[Name]],Table211[Name],Table211[Points],"DNP",0,1)</f>
        <v>DNP</v>
      </c>
      <c r="I207" t="str">
        <f>_xlfn.XLOOKUP(Table16[[#This Row],[Name]],Table21112[Name],Table21112[Points],"DNP",0,1)</f>
        <v>DNP</v>
      </c>
      <c r="J207" t="str">
        <f>_xlfn.XLOOKUP(Table16[[#This Row],[Name]],Table21112164[Name],Table21112164[Points],"DNP",0,1)</f>
        <v>DNP</v>
      </c>
      <c r="K207" t="str">
        <f>_xlfn.XLOOKUP(Table16[[#This Row],[Name]],Table2111216420[Name],Table2111216420[Points],"DNP",0,1)</f>
        <v>DNP</v>
      </c>
      <c r="L207" t="str">
        <f>_xlfn.XLOOKUP(Table16[[#This Row],[Name]],Table211121642021[Name],Table211121642021[Points],"DNP",0,1)</f>
        <v>DNP</v>
      </c>
      <c r="M207" t="str">
        <f>_xlfn.XLOOKUP(Table16[[#This Row],[Name]],Table21112164202122[Name],Table21112164202122[Points],"DNP",0,1)</f>
        <v>DNP</v>
      </c>
      <c r="N207" t="str">
        <f>_xlfn.XLOOKUP(Table16[[#This Row],[Name]],Table2111216420212223[Name],Table2111216420212223[Points],"DNP",0,1)</f>
        <v>DNP</v>
      </c>
      <c r="O207" t="str">
        <f>_xlfn.XLOOKUP(Table16[[#This Row],[Name]],Table211121642021222325[Name],Table211121642021222325[Points],"DNP",0,1)</f>
        <v>DNP</v>
      </c>
      <c r="P207" t="str">
        <f>_xlfn.XLOOKUP(Table16[[#This Row],[Name]],Table21112164202122232534[Name],Table21112164202122232534[Points],"DNP",0,1)</f>
        <v>DNP</v>
      </c>
      <c r="Q207" t="str">
        <f>_xlfn.XLOOKUP(Table16[[#This Row],[Name]],Table2111216420212223253435[Name],Table2111216420212223253435[Points],"DNP",0,1)</f>
        <v>DNP</v>
      </c>
      <c r="R207" t="str">
        <f>_xlfn.XLOOKUP(Table16[[#This Row],[Name]],Table211121642021222325343536[Name],Table211121642021222325343536[Points],"DNP",0,1)</f>
        <v>DNP</v>
      </c>
      <c r="S207" t="str">
        <f>_xlfn.XLOOKUP(Table16[[#This Row],[Name]],Table21112164202122232534353637[Name],Table21112164202122232534353637[Points],"DNP",0,1)</f>
        <v>DNP</v>
      </c>
      <c r="T207" t="str">
        <f>_xlfn.XLOOKUP(Table16[[#This Row],[Name]],Table2111216420212223253435363738[Name],Table2111216420212223253435363738[Points],"DNP",0,1)</f>
        <v>DNP</v>
      </c>
      <c r="U207" t="str">
        <f>_xlfn.XLOOKUP(Table16[[#This Row],[Name]],Table2111216420212223253435363739[Name],Table2111216420212223253435363739[Points],"DNP",0,1)</f>
        <v>DNP</v>
      </c>
      <c r="V207" t="str">
        <f>_xlfn.XLOOKUP(Table16[[#This Row],[Name]],Table211121642021222325343536373841[Name],Table211121642021222325343536373841[Points],"DNP",0,1)</f>
        <v>DNP</v>
      </c>
    </row>
    <row r="208" spans="2:22">
      <c r="B208" t="str">
        <f>IFERROR(Table5[[#This Row],[Full name]],"")</f>
        <v>Justin Chow</v>
      </c>
      <c r="C208" s="68">
        <f>SUM(Table16[[#This Row],[September 30, 2025]:[Column18]])</f>
        <v>36</v>
      </c>
      <c r="D208">
        <f>_xlfn.XLOOKUP(Table16[[#This Row],[Name]],Table4[Name],Table4[Points],"DNP",0,1)</f>
        <v>4</v>
      </c>
      <c r="E208">
        <f>_xlfn.XLOOKUP(Table16[[#This Row],[Name]],Table9[Name],Table9[Points],"DNP",0,1)</f>
        <v>1</v>
      </c>
      <c r="F208" t="str">
        <f>_xlfn.XLOOKUP(Table16[[#This Row],[Name]],Table18[Name],Table18[Points],"DNP",0,1)</f>
        <v>DNP</v>
      </c>
      <c r="G208">
        <f>_xlfn.XLOOKUP(Table16[[#This Row],[Name]],Table2[Name],Table2[Points],"DNP",0,1)</f>
        <v>2</v>
      </c>
      <c r="H208" t="str">
        <f>_xlfn.XLOOKUP(Table16[[#This Row],[Name]],Table211[Name],Table211[Points],"DNP",0,1)</f>
        <v>DNP</v>
      </c>
      <c r="I208" t="str">
        <f>_xlfn.XLOOKUP(Table16[[#This Row],[Name]],Table21112[Name],Table21112[Points],"DNP",0,1)</f>
        <v>DNP</v>
      </c>
      <c r="J208" t="str">
        <f>_xlfn.XLOOKUP(Table16[[#This Row],[Name]],Table21112164[Name],Table21112164[Points],"DNP",0,1)</f>
        <v>DNP</v>
      </c>
      <c r="K208">
        <f>_xlfn.XLOOKUP(Table16[[#This Row],[Name]],Table2111216420[Name],Table2111216420[Points],"DNP",0,1)</f>
        <v>1</v>
      </c>
      <c r="L208" t="str">
        <f>_xlfn.XLOOKUP(Table16[[#This Row],[Name]],Table211121642021[Name],Table211121642021[Points],"DNP",0,1)</f>
        <v>DNP</v>
      </c>
      <c r="M208" t="str">
        <f>_xlfn.XLOOKUP(Table16[[#This Row],[Name]],Table21112164202122[Name],Table21112164202122[Points],"DNP",0,1)</f>
        <v>DNP</v>
      </c>
      <c r="N208">
        <f>_xlfn.XLOOKUP(Table16[[#This Row],[Name]],Table2111216420212223[Name],Table2111216420212223[Points],"DNP",0,1)</f>
        <v>2</v>
      </c>
      <c r="O208">
        <f>_xlfn.XLOOKUP(Table16[[#This Row],[Name]],Table211121642021222325[Name],Table211121642021222325[Points],"DNP",0,1)</f>
        <v>23</v>
      </c>
      <c r="P208" t="str">
        <f>_xlfn.XLOOKUP(Table16[[#This Row],[Name]],Table21112164202122232534[Name],Table21112164202122232534[Points],"DNP",0,1)</f>
        <v>DNP</v>
      </c>
      <c r="Q208">
        <f>_xlfn.XLOOKUP(Table16[[#This Row],[Name]],Table2111216420212223253435[Name],Table2111216420212223253435[Points],"DNP",0,1)</f>
        <v>1</v>
      </c>
      <c r="R208">
        <f>_xlfn.XLOOKUP(Table16[[#This Row],[Name]],Table211121642021222325343536[Name],Table211121642021222325343536[Points],"DNP",0,1)</f>
        <v>1</v>
      </c>
      <c r="S208" t="str">
        <f>_xlfn.XLOOKUP(Table16[[#This Row],[Name]],Table21112164202122232534353637[Name],Table21112164202122232534353637[Points],"DNP",0,1)</f>
        <v>DNP</v>
      </c>
      <c r="T208" t="str">
        <f>_xlfn.XLOOKUP(Table16[[#This Row],[Name]],Table2111216420212223253435363738[Name],Table2111216420212223253435363738[Points],"DNP",0,1)</f>
        <v>DNP</v>
      </c>
      <c r="U208">
        <f>_xlfn.XLOOKUP(Table16[[#This Row],[Name]],Table2111216420212223253435363739[Name],Table2111216420212223253435363739[Points],"DNP",0,1)</f>
        <v>1</v>
      </c>
      <c r="V208" t="str">
        <f>_xlfn.XLOOKUP(Table16[[#This Row],[Name]],Table211121642021222325343536373841[Name],Table211121642021222325343536373841[Points],"DNP",0,1)</f>
        <v>DNP</v>
      </c>
    </row>
    <row r="209" spans="2:22">
      <c r="B209" t="str">
        <f>IFERROR(Table5[[#This Row],[Full name]],"")</f>
        <v>Kadin Broomhead</v>
      </c>
      <c r="C209" s="68">
        <f>SUM(Table16[[#This Row],[September 30, 2025]:[Column18]])</f>
        <v>0</v>
      </c>
      <c r="D209" t="str">
        <f>_xlfn.XLOOKUP(Table16[[#This Row],[Name]],Table4[Name],Table4[Points],"DNP",0,1)</f>
        <v>DNP</v>
      </c>
      <c r="E209" t="str">
        <f>_xlfn.XLOOKUP(Table16[[#This Row],[Name]],Table9[Name],Table9[Points],"DNP",0,1)</f>
        <v>DNP</v>
      </c>
      <c r="F209" t="str">
        <f>_xlfn.XLOOKUP(Table16[[#This Row],[Name]],Table18[Name],Table18[Points],"DNP",0,1)</f>
        <v>DNP</v>
      </c>
      <c r="G209" t="str">
        <f>_xlfn.XLOOKUP(Table16[[#This Row],[Name]],Table2[Name],Table2[Points],"DNP",0,1)</f>
        <v>DNP</v>
      </c>
      <c r="H209" t="str">
        <f>_xlfn.XLOOKUP(Table16[[#This Row],[Name]],Table211[Name],Table211[Points],"DNP",0,1)</f>
        <v>DNP</v>
      </c>
      <c r="I209" t="str">
        <f>_xlfn.XLOOKUP(Table16[[#This Row],[Name]],Table21112[Name],Table21112[Points],"DNP",0,1)</f>
        <v>DNP</v>
      </c>
      <c r="J209" t="str">
        <f>_xlfn.XLOOKUP(Table16[[#This Row],[Name]],Table21112164[Name],Table21112164[Points],"DNP",0,1)</f>
        <v>DNP</v>
      </c>
      <c r="K209" t="str">
        <f>_xlfn.XLOOKUP(Table16[[#This Row],[Name]],Table2111216420[Name],Table2111216420[Points],"DNP",0,1)</f>
        <v>DNP</v>
      </c>
      <c r="L209" t="str">
        <f>_xlfn.XLOOKUP(Table16[[#This Row],[Name]],Table211121642021[Name],Table211121642021[Points],"DNP",0,1)</f>
        <v>DNP</v>
      </c>
      <c r="M209" t="str">
        <f>_xlfn.XLOOKUP(Table16[[#This Row],[Name]],Table21112164202122[Name],Table21112164202122[Points],"DNP",0,1)</f>
        <v>DNP</v>
      </c>
      <c r="N209" t="str">
        <f>_xlfn.XLOOKUP(Table16[[#This Row],[Name]],Table2111216420212223[Name],Table2111216420212223[Points],"DNP",0,1)</f>
        <v>DNP</v>
      </c>
      <c r="O209" t="str">
        <f>_xlfn.XLOOKUP(Table16[[#This Row],[Name]],Table211121642021222325[Name],Table211121642021222325[Points],"DNP",0,1)</f>
        <v>DNP</v>
      </c>
      <c r="P209" t="str">
        <f>_xlfn.XLOOKUP(Table16[[#This Row],[Name]],Table21112164202122232534[Name],Table21112164202122232534[Points],"DNP",0,1)</f>
        <v>DNP</v>
      </c>
      <c r="Q209" t="str">
        <f>_xlfn.XLOOKUP(Table16[[#This Row],[Name]],Table2111216420212223253435[Name],Table2111216420212223253435[Points],"DNP",0,1)</f>
        <v>DNP</v>
      </c>
      <c r="R209" t="str">
        <f>_xlfn.XLOOKUP(Table16[[#This Row],[Name]],Table211121642021222325343536[Name],Table211121642021222325343536[Points],"DNP",0,1)</f>
        <v>DNP</v>
      </c>
      <c r="S209" t="str">
        <f>_xlfn.XLOOKUP(Table16[[#This Row],[Name]],Table21112164202122232534353637[Name],Table21112164202122232534353637[Points],"DNP",0,1)</f>
        <v>DNP</v>
      </c>
      <c r="T209" t="str">
        <f>_xlfn.XLOOKUP(Table16[[#This Row],[Name]],Table2111216420212223253435363738[Name],Table2111216420212223253435363738[Points],"DNP",0,1)</f>
        <v>DNP</v>
      </c>
      <c r="U209" t="str">
        <f>_xlfn.XLOOKUP(Table16[[#This Row],[Name]],Table2111216420212223253435363739[Name],Table2111216420212223253435363739[Points],"DNP",0,1)</f>
        <v>DNP</v>
      </c>
      <c r="V209" t="str">
        <f>_xlfn.XLOOKUP(Table16[[#This Row],[Name]],Table211121642021222325343536373841[Name],Table211121642021222325343536373841[Points],"DNP",0,1)</f>
        <v>DNP</v>
      </c>
    </row>
    <row r="210" spans="2:22">
      <c r="B210" t="str">
        <f>IFERROR(Table5[[#This Row],[Full name]],"")</f>
        <v>Kalundi Serumaga</v>
      </c>
      <c r="C210" s="68">
        <f>SUM(Table16[[#This Row],[September 30, 2025]:[Column18]])</f>
        <v>44</v>
      </c>
      <c r="D210" t="str">
        <f>_xlfn.XLOOKUP(Table16[[#This Row],[Name]],Table4[Name],Table4[Points],"DNP",0,1)</f>
        <v>DNP</v>
      </c>
      <c r="E210" t="str">
        <f>_xlfn.XLOOKUP(Table16[[#This Row],[Name]],Table9[Name],Table9[Points],"DNP",0,1)</f>
        <v>DNP</v>
      </c>
      <c r="F210" t="str">
        <f>_xlfn.XLOOKUP(Table16[[#This Row],[Name]],Table18[Name],Table18[Points],"DNP",0,1)</f>
        <v>DNP</v>
      </c>
      <c r="G210" t="str">
        <f>_xlfn.XLOOKUP(Table16[[#This Row],[Name]],Table2[Name],Table2[Points],"DNP",0,1)</f>
        <v>DNP</v>
      </c>
      <c r="H210" t="str">
        <f>_xlfn.XLOOKUP(Table16[[#This Row],[Name]],Table211[Name],Table211[Points],"DNP",0,1)</f>
        <v>DNP</v>
      </c>
      <c r="I210" t="str">
        <f>_xlfn.XLOOKUP(Table16[[#This Row],[Name]],Table21112[Name],Table21112[Points],"DNP",0,1)</f>
        <v>DNP</v>
      </c>
      <c r="J210" t="str">
        <f>_xlfn.XLOOKUP(Table16[[#This Row],[Name]],Table21112164[Name],Table21112164[Points],"DNP",0,1)</f>
        <v>DNP</v>
      </c>
      <c r="K210" t="str">
        <f>_xlfn.XLOOKUP(Table16[[#This Row],[Name]],Table2111216420[Name],Table2111216420[Points],"DNP",0,1)</f>
        <v>DNP</v>
      </c>
      <c r="L210" t="str">
        <f>_xlfn.XLOOKUP(Table16[[#This Row],[Name]],Table211121642021[Name],Table211121642021[Points],"DNP",0,1)</f>
        <v>DNP</v>
      </c>
      <c r="M210" t="str">
        <f>_xlfn.XLOOKUP(Table16[[#This Row],[Name]],Table21112164202122[Name],Table21112164202122[Points],"DNP",0,1)</f>
        <v>DNP</v>
      </c>
      <c r="N210">
        <f>_xlfn.XLOOKUP(Table16[[#This Row],[Name]],Table2111216420212223[Name],Table2111216420212223[Points],"DNP",0,1)</f>
        <v>10</v>
      </c>
      <c r="O210">
        <f>_xlfn.XLOOKUP(Table16[[#This Row],[Name]],Table211121642021222325[Name],Table211121642021222325[Points],"DNP",0,1)</f>
        <v>4</v>
      </c>
      <c r="P210">
        <f>_xlfn.XLOOKUP(Table16[[#This Row],[Name]],Table21112164202122232534[Name],Table21112164202122232534[Points],"DNP",0,1)</f>
        <v>30</v>
      </c>
      <c r="Q210" t="str">
        <f>_xlfn.XLOOKUP(Table16[[#This Row],[Name]],Table2111216420212223253435[Name],Table2111216420212223253435[Points],"DNP",0,1)</f>
        <v>DNP</v>
      </c>
      <c r="R210" t="str">
        <f>_xlfn.XLOOKUP(Table16[[#This Row],[Name]],Table211121642021222325343536[Name],Table211121642021222325343536[Points],"DNP",0,1)</f>
        <v>DNP</v>
      </c>
      <c r="S210" t="str">
        <f>_xlfn.XLOOKUP(Table16[[#This Row],[Name]],Table21112164202122232534353637[Name],Table21112164202122232534353637[Points],"DNP",0,1)</f>
        <v>DNP</v>
      </c>
      <c r="T210" t="str">
        <f>_xlfn.XLOOKUP(Table16[[#This Row],[Name]],Table2111216420212223253435363738[Name],Table2111216420212223253435363738[Points],"DNP",0,1)</f>
        <v>DNP</v>
      </c>
      <c r="U210" t="str">
        <f>_xlfn.XLOOKUP(Table16[[#This Row],[Name]],Table2111216420212223253435363739[Name],Table2111216420212223253435363739[Points],"DNP",0,1)</f>
        <v>DNP</v>
      </c>
      <c r="V210" t="str">
        <f>_xlfn.XLOOKUP(Table16[[#This Row],[Name]],Table211121642021222325343536373841[Name],Table211121642021222325343536373841[Points],"DNP",0,1)</f>
        <v>DNP</v>
      </c>
    </row>
    <row r="211" spans="2:22">
      <c r="B211" t="str">
        <f>IFERROR(Table5[[#This Row],[Full name]],"")</f>
        <v>Kalyan Jande</v>
      </c>
      <c r="C211" s="68">
        <f>SUM(Table16[[#This Row],[September 30, 2025]:[Column18]])</f>
        <v>24</v>
      </c>
      <c r="D211" t="str">
        <f>_xlfn.XLOOKUP(Table16[[#This Row],[Name]],Table4[Name],Table4[Points],"DNP",0,1)</f>
        <v>DNP</v>
      </c>
      <c r="E211" t="str">
        <f>_xlfn.XLOOKUP(Table16[[#This Row],[Name]],Table9[Name],Table9[Points],"DNP",0,1)</f>
        <v>DNP</v>
      </c>
      <c r="F211">
        <f>_xlfn.XLOOKUP(Table16[[#This Row],[Name]],Table18[Name],Table18[Points],"DNP",0,1)</f>
        <v>2</v>
      </c>
      <c r="G211">
        <f>_xlfn.XLOOKUP(Table16[[#This Row],[Name]],Table2[Name],Table2[Points],"DNP",0,1)</f>
        <v>2</v>
      </c>
      <c r="H211" t="str">
        <f>_xlfn.XLOOKUP(Table16[[#This Row],[Name]],Table211[Name],Table211[Points],"DNP",0,1)</f>
        <v>DNP</v>
      </c>
      <c r="I211" t="str">
        <f>_xlfn.XLOOKUP(Table16[[#This Row],[Name]],Table21112[Name],Table21112[Points],"DNP",0,1)</f>
        <v>DNP</v>
      </c>
      <c r="J211">
        <f>_xlfn.XLOOKUP(Table16[[#This Row],[Name]],Table21112164[Name],Table21112164[Points],"DNP",0,1)</f>
        <v>8</v>
      </c>
      <c r="K211">
        <f>_xlfn.XLOOKUP(Table16[[#This Row],[Name]],Table2111216420[Name],Table2111216420[Points],"DNP",0,1)</f>
        <v>1</v>
      </c>
      <c r="L211">
        <f>_xlfn.XLOOKUP(Table16[[#This Row],[Name]],Table211121642021[Name],Table211121642021[Points],"DNP",0,1)</f>
        <v>1</v>
      </c>
      <c r="M211">
        <f>_xlfn.XLOOKUP(Table16[[#This Row],[Name]],Table21112164202122[Name],Table21112164202122[Points],"DNP",0,1)</f>
        <v>1</v>
      </c>
      <c r="N211">
        <f>_xlfn.XLOOKUP(Table16[[#This Row],[Name]],Table2111216420212223[Name],Table2111216420212223[Points],"DNP",0,1)</f>
        <v>1</v>
      </c>
      <c r="O211">
        <f>_xlfn.XLOOKUP(Table16[[#This Row],[Name]],Table211121642021222325[Name],Table211121642021222325[Points],"DNP",0,1)</f>
        <v>1</v>
      </c>
      <c r="P211" t="str">
        <f>_xlfn.XLOOKUP(Table16[[#This Row],[Name]],Table21112164202122232534[Name],Table21112164202122232534[Points],"DNP",0,1)</f>
        <v>DNP</v>
      </c>
      <c r="Q211">
        <f>_xlfn.XLOOKUP(Table16[[#This Row],[Name]],Table2111216420212223253435[Name],Table2111216420212223253435[Points],"DNP",0,1)</f>
        <v>2</v>
      </c>
      <c r="R211" t="str">
        <f>_xlfn.XLOOKUP(Table16[[#This Row],[Name]],Table211121642021222325343536[Name],Table211121642021222325343536[Points],"DNP",0,1)</f>
        <v>DNP</v>
      </c>
      <c r="S211" t="str">
        <f>_xlfn.XLOOKUP(Table16[[#This Row],[Name]],Table21112164202122232534353637[Name],Table21112164202122232534353637[Points],"DNP",0,1)</f>
        <v>DNP</v>
      </c>
      <c r="T211">
        <f>_xlfn.XLOOKUP(Table16[[#This Row],[Name]],Table2111216420212223253435363738[Name],Table2111216420212223253435363738[Points],"DNP",0,1)</f>
        <v>1</v>
      </c>
      <c r="U211">
        <f>_xlfn.XLOOKUP(Table16[[#This Row],[Name]],Table2111216420212223253435363739[Name],Table2111216420212223253435363739[Points],"DNP",0,1)</f>
        <v>4</v>
      </c>
      <c r="V211" t="str">
        <f>_xlfn.XLOOKUP(Table16[[#This Row],[Name]],Table211121642021222325343536373841[Name],Table211121642021222325343536373841[Points],"DNP",0,1)</f>
        <v>DNP</v>
      </c>
    </row>
    <row r="212" spans="2:22">
      <c r="B212" t="str">
        <f>IFERROR(Table5[[#This Row],[Full name]],"")</f>
        <v>Kenneth Liu</v>
      </c>
      <c r="C212" s="68">
        <f>SUM(Table16[[#This Row],[September 30, 2025]:[Column18]])</f>
        <v>23</v>
      </c>
      <c r="D212">
        <f>_xlfn.XLOOKUP(Table16[[#This Row],[Name]],Table4[Name],Table4[Points],"DNP",0,1)</f>
        <v>4</v>
      </c>
      <c r="E212">
        <f>_xlfn.XLOOKUP(Table16[[#This Row],[Name]],Table9[Name],Table9[Points],"DNP",0,1)</f>
        <v>3</v>
      </c>
      <c r="F212">
        <f>_xlfn.XLOOKUP(Table16[[#This Row],[Name]],Table18[Name],Table18[Points],"DNP",0,1)</f>
        <v>1</v>
      </c>
      <c r="G212">
        <f>_xlfn.XLOOKUP(Table16[[#This Row],[Name]],Table2[Name],Table2[Points],"DNP",0,1)</f>
        <v>1</v>
      </c>
      <c r="H212" t="str">
        <f>_xlfn.XLOOKUP(Table16[[#This Row],[Name]],Table211[Name],Table211[Points],"DNP",0,1)</f>
        <v>DNP</v>
      </c>
      <c r="I212">
        <f>_xlfn.XLOOKUP(Table16[[#This Row],[Name]],Table21112[Name],Table21112[Points],"DNP",0,1)</f>
        <v>2</v>
      </c>
      <c r="J212">
        <f>_xlfn.XLOOKUP(Table16[[#This Row],[Name]],Table21112164[Name],Table21112164[Points],"DNP",0,1)</f>
        <v>1</v>
      </c>
      <c r="K212">
        <f>_xlfn.XLOOKUP(Table16[[#This Row],[Name]],Table2111216420[Name],Table2111216420[Points],"DNP",0,1)</f>
        <v>1</v>
      </c>
      <c r="L212" t="str">
        <f>_xlfn.XLOOKUP(Table16[[#This Row],[Name]],Table211121642021[Name],Table211121642021[Points],"DNP",0,1)</f>
        <v>DNP</v>
      </c>
      <c r="M212" t="str">
        <f>_xlfn.XLOOKUP(Table16[[#This Row],[Name]],Table21112164202122[Name],Table21112164202122[Points],"DNP",0,1)</f>
        <v>DNP</v>
      </c>
      <c r="N212">
        <f>_xlfn.XLOOKUP(Table16[[#This Row],[Name]],Table2111216420212223[Name],Table2111216420212223[Points],"DNP",0,1)</f>
        <v>2</v>
      </c>
      <c r="O212">
        <f>_xlfn.XLOOKUP(Table16[[#This Row],[Name]],Table211121642021222325[Name],Table211121642021222325[Points],"DNP",0,1)</f>
        <v>3</v>
      </c>
      <c r="P212">
        <f>_xlfn.XLOOKUP(Table16[[#This Row],[Name]],Table21112164202122232534[Name],Table21112164202122232534[Points],"DNP",0,1)</f>
        <v>1</v>
      </c>
      <c r="Q212" t="str">
        <f>_xlfn.XLOOKUP(Table16[[#This Row],[Name]],Table2111216420212223253435[Name],Table2111216420212223253435[Points],"DNP",0,1)</f>
        <v>DNP</v>
      </c>
      <c r="R212" t="str">
        <f>_xlfn.XLOOKUP(Table16[[#This Row],[Name]],Table211121642021222325343536[Name],Table211121642021222325343536[Points],"DNP",0,1)</f>
        <v>DNP</v>
      </c>
      <c r="S212" t="str">
        <f>_xlfn.XLOOKUP(Table16[[#This Row],[Name]],Table21112164202122232534353637[Name],Table21112164202122232534353637[Points],"DNP",0,1)</f>
        <v>DNP</v>
      </c>
      <c r="T212" t="str">
        <f>_xlfn.XLOOKUP(Table16[[#This Row],[Name]],Table2111216420212223253435363738[Name],Table2111216420212223253435363738[Points],"DNP",0,1)</f>
        <v>DNP</v>
      </c>
      <c r="U212">
        <f>_xlfn.XLOOKUP(Table16[[#This Row],[Name]],Table2111216420212223253435363739[Name],Table2111216420212223253435363739[Points],"DNP",0,1)</f>
        <v>3</v>
      </c>
      <c r="V212">
        <f>_xlfn.XLOOKUP(Table16[[#This Row],[Name]],Table211121642021222325343536373841[Name],Table211121642021222325343536373841[Points],"DNP",0,1)</f>
        <v>1</v>
      </c>
    </row>
    <row r="213" spans="2:22">
      <c r="B213" t="str">
        <f>IFERROR(Table5[[#This Row],[Full name]],"")</f>
        <v>Kenodh Ekanayake</v>
      </c>
      <c r="C213" s="68">
        <f>SUM(Table16[[#This Row],[September 30, 2025]:[Column18]])</f>
        <v>0</v>
      </c>
      <c r="D213" t="str">
        <f>_xlfn.XLOOKUP(Table16[[#This Row],[Name]],Table4[Name],Table4[Points],"DNP",0,1)</f>
        <v>DNP</v>
      </c>
      <c r="E213" t="str">
        <f>_xlfn.XLOOKUP(Table16[[#This Row],[Name]],Table9[Name],Table9[Points],"DNP",0,1)</f>
        <v>DNP</v>
      </c>
      <c r="F213" t="str">
        <f>_xlfn.XLOOKUP(Table16[[#This Row],[Name]],Table18[Name],Table18[Points],"DNP",0,1)</f>
        <v>DNP</v>
      </c>
      <c r="G213" t="str">
        <f>_xlfn.XLOOKUP(Table16[[#This Row],[Name]],Table2[Name],Table2[Points],"DNP",0,1)</f>
        <v>DNP</v>
      </c>
      <c r="H213" t="str">
        <f>_xlfn.XLOOKUP(Table16[[#This Row],[Name]],Table211[Name],Table211[Points],"DNP",0,1)</f>
        <v>DNP</v>
      </c>
      <c r="I213" t="str">
        <f>_xlfn.XLOOKUP(Table16[[#This Row],[Name]],Table21112[Name],Table21112[Points],"DNP",0,1)</f>
        <v>DNP</v>
      </c>
      <c r="J213" t="str">
        <f>_xlfn.XLOOKUP(Table16[[#This Row],[Name]],Table21112164[Name],Table21112164[Points],"DNP",0,1)</f>
        <v>DNP</v>
      </c>
      <c r="K213" t="str">
        <f>_xlfn.XLOOKUP(Table16[[#This Row],[Name]],Table2111216420[Name],Table2111216420[Points],"DNP",0,1)</f>
        <v>DNP</v>
      </c>
      <c r="L213" t="str">
        <f>_xlfn.XLOOKUP(Table16[[#This Row],[Name]],Table211121642021[Name],Table211121642021[Points],"DNP",0,1)</f>
        <v>DNP</v>
      </c>
      <c r="M213" t="str">
        <f>_xlfn.XLOOKUP(Table16[[#This Row],[Name]],Table21112164202122[Name],Table21112164202122[Points],"DNP",0,1)</f>
        <v>DNP</v>
      </c>
      <c r="N213" t="str">
        <f>_xlfn.XLOOKUP(Table16[[#This Row],[Name]],Table2111216420212223[Name],Table2111216420212223[Points],"DNP",0,1)</f>
        <v>DNP</v>
      </c>
      <c r="O213" t="str">
        <f>_xlfn.XLOOKUP(Table16[[#This Row],[Name]],Table211121642021222325[Name],Table211121642021222325[Points],"DNP",0,1)</f>
        <v>DNP</v>
      </c>
      <c r="P213" t="str">
        <f>_xlfn.XLOOKUP(Table16[[#This Row],[Name]],Table21112164202122232534[Name],Table21112164202122232534[Points],"DNP",0,1)</f>
        <v>DNP</v>
      </c>
      <c r="Q213" t="str">
        <f>_xlfn.XLOOKUP(Table16[[#This Row],[Name]],Table2111216420212223253435[Name],Table2111216420212223253435[Points],"DNP",0,1)</f>
        <v>DNP</v>
      </c>
      <c r="R213" t="str">
        <f>_xlfn.XLOOKUP(Table16[[#This Row],[Name]],Table211121642021222325343536[Name],Table211121642021222325343536[Points],"DNP",0,1)</f>
        <v>DNP</v>
      </c>
      <c r="S213" t="str">
        <f>_xlfn.XLOOKUP(Table16[[#This Row],[Name]],Table21112164202122232534353637[Name],Table21112164202122232534353637[Points],"DNP",0,1)</f>
        <v>DNP</v>
      </c>
      <c r="T213" t="str">
        <f>_xlfn.XLOOKUP(Table16[[#This Row],[Name]],Table2111216420212223253435363738[Name],Table2111216420212223253435363738[Points],"DNP",0,1)</f>
        <v>DNP</v>
      </c>
      <c r="U213" t="str">
        <f>_xlfn.XLOOKUP(Table16[[#This Row],[Name]],Table2111216420212223253435363739[Name],Table2111216420212223253435363739[Points],"DNP",0,1)</f>
        <v>DNP</v>
      </c>
      <c r="V213" t="str">
        <f>_xlfn.XLOOKUP(Table16[[#This Row],[Name]],Table211121642021222325343536373841[Name],Table211121642021222325343536373841[Points],"DNP",0,1)</f>
        <v>DNP</v>
      </c>
    </row>
    <row r="214" spans="2:22">
      <c r="B214" t="str">
        <f>IFERROR(Table5[[#This Row],[Full name]],"")</f>
        <v>Kevin Chen</v>
      </c>
      <c r="C214" s="68">
        <f>SUM(Table16[[#This Row],[September 30, 2025]:[Column18]])</f>
        <v>0</v>
      </c>
      <c r="D214" t="str">
        <f>_xlfn.XLOOKUP(Table16[[#This Row],[Name]],Table4[Name],Table4[Points],"DNP",0,1)</f>
        <v>DNP</v>
      </c>
      <c r="E214" t="str">
        <f>_xlfn.XLOOKUP(Table16[[#This Row],[Name]],Table9[Name],Table9[Points],"DNP",0,1)</f>
        <v>DNP</v>
      </c>
      <c r="F214" t="str">
        <f>_xlfn.XLOOKUP(Table16[[#This Row],[Name]],Table18[Name],Table18[Points],"DNP",0,1)</f>
        <v>DNP</v>
      </c>
      <c r="G214" t="str">
        <f>_xlfn.XLOOKUP(Table16[[#This Row],[Name]],Table2[Name],Table2[Points],"DNP",0,1)</f>
        <v>DNP</v>
      </c>
      <c r="H214" t="str">
        <f>_xlfn.XLOOKUP(Table16[[#This Row],[Name]],Table211[Name],Table211[Points],"DNP",0,1)</f>
        <v>DNP</v>
      </c>
      <c r="I214" t="str">
        <f>_xlfn.XLOOKUP(Table16[[#This Row],[Name]],Table21112[Name],Table21112[Points],"DNP",0,1)</f>
        <v>DNP</v>
      </c>
      <c r="J214" t="str">
        <f>_xlfn.XLOOKUP(Table16[[#This Row],[Name]],Table21112164[Name],Table21112164[Points],"DNP",0,1)</f>
        <v>DNP</v>
      </c>
      <c r="K214" t="str">
        <f>_xlfn.XLOOKUP(Table16[[#This Row],[Name]],Table2111216420[Name],Table2111216420[Points],"DNP",0,1)</f>
        <v>DNP</v>
      </c>
      <c r="L214" t="str">
        <f>_xlfn.XLOOKUP(Table16[[#This Row],[Name]],Table211121642021[Name],Table211121642021[Points],"DNP",0,1)</f>
        <v>DNP</v>
      </c>
      <c r="M214" t="str">
        <f>_xlfn.XLOOKUP(Table16[[#This Row],[Name]],Table21112164202122[Name],Table21112164202122[Points],"DNP",0,1)</f>
        <v>DNP</v>
      </c>
      <c r="N214" t="str">
        <f>_xlfn.XLOOKUP(Table16[[#This Row],[Name]],Table2111216420212223[Name],Table2111216420212223[Points],"DNP",0,1)</f>
        <v>DNP</v>
      </c>
      <c r="O214" t="str">
        <f>_xlfn.XLOOKUP(Table16[[#This Row],[Name]],Table211121642021222325[Name],Table211121642021222325[Points],"DNP",0,1)</f>
        <v>DNP</v>
      </c>
      <c r="P214" t="str">
        <f>_xlfn.XLOOKUP(Table16[[#This Row],[Name]],Table21112164202122232534[Name],Table21112164202122232534[Points],"DNP",0,1)</f>
        <v>DNP</v>
      </c>
      <c r="Q214" t="str">
        <f>_xlfn.XLOOKUP(Table16[[#This Row],[Name]],Table2111216420212223253435[Name],Table2111216420212223253435[Points],"DNP",0,1)</f>
        <v>DNP</v>
      </c>
      <c r="R214" t="str">
        <f>_xlfn.XLOOKUP(Table16[[#This Row],[Name]],Table211121642021222325343536[Name],Table211121642021222325343536[Points],"DNP",0,1)</f>
        <v>DNP</v>
      </c>
      <c r="S214" t="str">
        <f>_xlfn.XLOOKUP(Table16[[#This Row],[Name]],Table21112164202122232534353637[Name],Table21112164202122232534353637[Points],"DNP",0,1)</f>
        <v>DNP</v>
      </c>
      <c r="T214" t="str">
        <f>_xlfn.XLOOKUP(Table16[[#This Row],[Name]],Table2111216420212223253435363738[Name],Table2111216420212223253435363738[Points],"DNP",0,1)</f>
        <v>DNP</v>
      </c>
      <c r="U214" t="str">
        <f>_xlfn.XLOOKUP(Table16[[#This Row],[Name]],Table2111216420212223253435363739[Name],Table2111216420212223253435363739[Points],"DNP",0,1)</f>
        <v>DNP</v>
      </c>
      <c r="V214" t="str">
        <f>_xlfn.XLOOKUP(Table16[[#This Row],[Name]],Table211121642021222325343536373841[Name],Table211121642021222325343536373841[Points],"DNP",0,1)</f>
        <v>DNP</v>
      </c>
    </row>
    <row r="215" spans="2:22">
      <c r="B215" t="str">
        <f>IFERROR(Table5[[#This Row],[Full name]],"")</f>
        <v>Kevin Mehrzad</v>
      </c>
      <c r="C215" s="68">
        <f>SUM(Table16[[#This Row],[September 30, 2025]:[Column18]])</f>
        <v>1</v>
      </c>
      <c r="D215" t="str">
        <f>_xlfn.XLOOKUP(Table16[[#This Row],[Name]],Table4[Name],Table4[Points],"DNP",0,1)</f>
        <v>DNP</v>
      </c>
      <c r="E215">
        <f>_xlfn.XLOOKUP(Table16[[#This Row],[Name]],Table9[Name],Table9[Points],"DNP",0,1)</f>
        <v>1</v>
      </c>
      <c r="F215" t="str">
        <f>_xlfn.XLOOKUP(Table16[[#This Row],[Name]],Table18[Name],Table18[Points],"DNP",0,1)</f>
        <v>DNP</v>
      </c>
      <c r="G215" t="str">
        <f>_xlfn.XLOOKUP(Table16[[#This Row],[Name]],Table2[Name],Table2[Points],"DNP",0,1)</f>
        <v>DNP</v>
      </c>
      <c r="H215" t="str">
        <f>_xlfn.XLOOKUP(Table16[[#This Row],[Name]],Table211[Name],Table211[Points],"DNP",0,1)</f>
        <v>DNP</v>
      </c>
      <c r="I215" t="str">
        <f>_xlfn.XLOOKUP(Table16[[#This Row],[Name]],Table21112[Name],Table21112[Points],"DNP",0,1)</f>
        <v>DNP</v>
      </c>
      <c r="J215" t="str">
        <f>_xlfn.XLOOKUP(Table16[[#This Row],[Name]],Table21112164[Name],Table21112164[Points],"DNP",0,1)</f>
        <v>DNP</v>
      </c>
      <c r="K215" t="str">
        <f>_xlfn.XLOOKUP(Table16[[#This Row],[Name]],Table2111216420[Name],Table2111216420[Points],"DNP",0,1)</f>
        <v>DNP</v>
      </c>
      <c r="L215" t="str">
        <f>_xlfn.XLOOKUP(Table16[[#This Row],[Name]],Table211121642021[Name],Table211121642021[Points],"DNP",0,1)</f>
        <v>DNP</v>
      </c>
      <c r="M215" t="str">
        <f>_xlfn.XLOOKUP(Table16[[#This Row],[Name]],Table21112164202122[Name],Table21112164202122[Points],"DNP",0,1)</f>
        <v>DNP</v>
      </c>
      <c r="N215" t="str">
        <f>_xlfn.XLOOKUP(Table16[[#This Row],[Name]],Table2111216420212223[Name],Table2111216420212223[Points],"DNP",0,1)</f>
        <v>DNP</v>
      </c>
      <c r="O215" t="str">
        <f>_xlfn.XLOOKUP(Table16[[#This Row],[Name]],Table211121642021222325[Name],Table211121642021222325[Points],"DNP",0,1)</f>
        <v>DNP</v>
      </c>
      <c r="P215" t="str">
        <f>_xlfn.XLOOKUP(Table16[[#This Row],[Name]],Table21112164202122232534[Name],Table21112164202122232534[Points],"DNP",0,1)</f>
        <v>DNP</v>
      </c>
      <c r="Q215" t="str">
        <f>_xlfn.XLOOKUP(Table16[[#This Row],[Name]],Table2111216420212223253435[Name],Table2111216420212223253435[Points],"DNP",0,1)</f>
        <v>DNP</v>
      </c>
      <c r="R215" t="str">
        <f>_xlfn.XLOOKUP(Table16[[#This Row],[Name]],Table211121642021222325343536[Name],Table211121642021222325343536[Points],"DNP",0,1)</f>
        <v>DNP</v>
      </c>
      <c r="S215" t="str">
        <f>_xlfn.XLOOKUP(Table16[[#This Row],[Name]],Table21112164202122232534353637[Name],Table21112164202122232534353637[Points],"DNP",0,1)</f>
        <v>DNP</v>
      </c>
      <c r="T215" t="str">
        <f>_xlfn.XLOOKUP(Table16[[#This Row],[Name]],Table2111216420212223253435363738[Name],Table2111216420212223253435363738[Points],"DNP",0,1)</f>
        <v>DNP</v>
      </c>
      <c r="U215" t="str">
        <f>_xlfn.XLOOKUP(Table16[[#This Row],[Name]],Table2111216420212223253435363739[Name],Table2111216420212223253435363739[Points],"DNP",0,1)</f>
        <v>DNP</v>
      </c>
      <c r="V215" t="str">
        <f>_xlfn.XLOOKUP(Table16[[#This Row],[Name]],Table211121642021222325343536373841[Name],Table211121642021222325343536373841[Points],"DNP",0,1)</f>
        <v>DNP</v>
      </c>
    </row>
    <row r="216" spans="2:22">
      <c r="B216" t="str">
        <f>IFERROR(Table5[[#This Row],[Full name]],"")</f>
        <v>Khoi Luu</v>
      </c>
      <c r="C216" s="68">
        <f>SUM(Table16[[#This Row],[September 30, 2025]:[Column18]])</f>
        <v>5</v>
      </c>
      <c r="D216">
        <f>_xlfn.XLOOKUP(Table16[[#This Row],[Name]],Table4[Name],Table4[Points],"DNP",0,1)</f>
        <v>1</v>
      </c>
      <c r="E216" t="str">
        <f>_xlfn.XLOOKUP(Table16[[#This Row],[Name]],Table9[Name],Table9[Points],"DNP",0,1)</f>
        <v>DNP</v>
      </c>
      <c r="F216" t="str">
        <f>_xlfn.XLOOKUP(Table16[[#This Row],[Name]],Table18[Name],Table18[Points],"DNP",0,1)</f>
        <v>DNP</v>
      </c>
      <c r="G216" t="str">
        <f>_xlfn.XLOOKUP(Table16[[#This Row],[Name]],Table2[Name],Table2[Points],"DNP",0,1)</f>
        <v>DNP</v>
      </c>
      <c r="H216" t="str">
        <f>_xlfn.XLOOKUP(Table16[[#This Row],[Name]],Table211[Name],Table211[Points],"DNP",0,1)</f>
        <v>DNP</v>
      </c>
      <c r="I216" t="str">
        <f>_xlfn.XLOOKUP(Table16[[#This Row],[Name]],Table21112[Name],Table21112[Points],"DNP",0,1)</f>
        <v>DNP</v>
      </c>
      <c r="J216">
        <f>_xlfn.XLOOKUP(Table16[[#This Row],[Name]],Table21112164[Name],Table21112164[Points],"DNP",0,1)</f>
        <v>2</v>
      </c>
      <c r="K216" t="str">
        <f>_xlfn.XLOOKUP(Table16[[#This Row],[Name]],Table2111216420[Name],Table2111216420[Points],"DNP",0,1)</f>
        <v>DNP</v>
      </c>
      <c r="L216" t="str">
        <f>_xlfn.XLOOKUP(Table16[[#This Row],[Name]],Table211121642021[Name],Table211121642021[Points],"DNP",0,1)</f>
        <v>DNP</v>
      </c>
      <c r="M216" t="str">
        <f>_xlfn.XLOOKUP(Table16[[#This Row],[Name]],Table21112164202122[Name],Table21112164202122[Points],"DNP",0,1)</f>
        <v>DNP</v>
      </c>
      <c r="N216" t="str">
        <f>_xlfn.XLOOKUP(Table16[[#This Row],[Name]],Table2111216420212223[Name],Table2111216420212223[Points],"DNP",0,1)</f>
        <v>DNP</v>
      </c>
      <c r="O216">
        <f>_xlfn.XLOOKUP(Table16[[#This Row],[Name]],Table211121642021222325[Name],Table211121642021222325[Points],"DNP",0,1)</f>
        <v>1</v>
      </c>
      <c r="P216">
        <f>_xlfn.XLOOKUP(Table16[[#This Row],[Name]],Table21112164202122232534[Name],Table21112164202122232534[Points],"DNP",0,1)</f>
        <v>1</v>
      </c>
      <c r="Q216" t="str">
        <f>_xlfn.XLOOKUP(Table16[[#This Row],[Name]],Table2111216420212223253435[Name],Table2111216420212223253435[Points],"DNP",0,1)</f>
        <v>DNP</v>
      </c>
      <c r="R216" t="str">
        <f>_xlfn.XLOOKUP(Table16[[#This Row],[Name]],Table211121642021222325343536[Name],Table211121642021222325343536[Points],"DNP",0,1)</f>
        <v>DNP</v>
      </c>
      <c r="S216" t="str">
        <f>_xlfn.XLOOKUP(Table16[[#This Row],[Name]],Table21112164202122232534353637[Name],Table21112164202122232534353637[Points],"DNP",0,1)</f>
        <v>DNP</v>
      </c>
      <c r="T216" t="str">
        <f>_xlfn.XLOOKUP(Table16[[#This Row],[Name]],Table2111216420212223253435363738[Name],Table2111216420212223253435363738[Points],"DNP",0,1)</f>
        <v>DNP</v>
      </c>
      <c r="U216" t="str">
        <f>_xlfn.XLOOKUP(Table16[[#This Row],[Name]],Table2111216420212223253435363739[Name],Table2111216420212223253435363739[Points],"DNP",0,1)</f>
        <v>DNP</v>
      </c>
      <c r="V216" t="str">
        <f>_xlfn.XLOOKUP(Table16[[#This Row],[Name]],Table211121642021222325343536373841[Name],Table211121642021222325343536373841[Points],"DNP",0,1)</f>
        <v>DNP</v>
      </c>
    </row>
    <row r="217" spans="2:22">
      <c r="B217" t="str">
        <f>IFERROR(Table5[[#This Row],[Full name]],"")</f>
        <v>Kieran Kwong</v>
      </c>
      <c r="C217" s="68">
        <f>SUM(Table16[[#This Row],[September 30, 2025]:[Column18]])</f>
        <v>12</v>
      </c>
      <c r="D217" t="str">
        <f>_xlfn.XLOOKUP(Table16[[#This Row],[Name]],Table4[Name],Table4[Points],"DNP",0,1)</f>
        <v>DNP</v>
      </c>
      <c r="E217" t="str">
        <f>_xlfn.XLOOKUP(Table16[[#This Row],[Name]],Table9[Name],Table9[Points],"DNP",0,1)</f>
        <v>DNP</v>
      </c>
      <c r="F217">
        <f>_xlfn.XLOOKUP(Table16[[#This Row],[Name]],Table18[Name],Table18[Points],"DNP",0,1)</f>
        <v>4</v>
      </c>
      <c r="G217">
        <f>_xlfn.XLOOKUP(Table16[[#This Row],[Name]],Table2[Name],Table2[Points],"DNP",0,1)</f>
        <v>4</v>
      </c>
      <c r="H217" t="str">
        <f>_xlfn.XLOOKUP(Table16[[#This Row],[Name]],Table211[Name],Table211[Points],"DNP",0,1)</f>
        <v>DNP</v>
      </c>
      <c r="I217" t="str">
        <f>_xlfn.XLOOKUP(Table16[[#This Row],[Name]],Table21112[Name],Table21112[Points],"DNP",0,1)</f>
        <v>DNP</v>
      </c>
      <c r="J217">
        <f>_xlfn.XLOOKUP(Table16[[#This Row],[Name]],Table21112164[Name],Table21112164[Points],"DNP",0,1)</f>
        <v>1</v>
      </c>
      <c r="K217" t="str">
        <f>_xlfn.XLOOKUP(Table16[[#This Row],[Name]],Table2111216420[Name],Table2111216420[Points],"DNP",0,1)</f>
        <v>DNP</v>
      </c>
      <c r="L217" t="str">
        <f>_xlfn.XLOOKUP(Table16[[#This Row],[Name]],Table211121642021[Name],Table211121642021[Points],"DNP",0,1)</f>
        <v>DNP</v>
      </c>
      <c r="M217" t="str">
        <f>_xlfn.XLOOKUP(Table16[[#This Row],[Name]],Table21112164202122[Name],Table21112164202122[Points],"DNP",0,1)</f>
        <v>DNP</v>
      </c>
      <c r="N217" t="str">
        <f>_xlfn.XLOOKUP(Table16[[#This Row],[Name]],Table2111216420212223[Name],Table2111216420212223[Points],"DNP",0,1)</f>
        <v>DNP</v>
      </c>
      <c r="O217" t="str">
        <f>_xlfn.XLOOKUP(Table16[[#This Row],[Name]],Table211121642021222325[Name],Table211121642021222325[Points],"DNP",0,1)</f>
        <v>DNP</v>
      </c>
      <c r="P217" t="str">
        <f>_xlfn.XLOOKUP(Table16[[#This Row],[Name]],Table21112164202122232534[Name],Table21112164202122232534[Points],"DNP",0,1)</f>
        <v>DNP</v>
      </c>
      <c r="Q217" t="str">
        <f>_xlfn.XLOOKUP(Table16[[#This Row],[Name]],Table2111216420212223253435[Name],Table2111216420212223253435[Points],"DNP",0,1)</f>
        <v>DNP</v>
      </c>
      <c r="R217">
        <f>_xlfn.XLOOKUP(Table16[[#This Row],[Name]],Table211121642021222325343536[Name],Table211121642021222325343536[Points],"DNP",0,1)</f>
        <v>2</v>
      </c>
      <c r="S217" t="str">
        <f>_xlfn.XLOOKUP(Table16[[#This Row],[Name]],Table21112164202122232534353637[Name],Table21112164202122232534353637[Points],"DNP",0,1)</f>
        <v>DNP</v>
      </c>
      <c r="T217">
        <f>_xlfn.XLOOKUP(Table16[[#This Row],[Name]],Table2111216420212223253435363738[Name],Table2111216420212223253435363738[Points],"DNP",0,1)</f>
        <v>1</v>
      </c>
      <c r="U217" t="str">
        <f>_xlfn.XLOOKUP(Table16[[#This Row],[Name]],Table2111216420212223253435363739[Name],Table2111216420212223253435363739[Points],"DNP",0,1)</f>
        <v>DNP</v>
      </c>
      <c r="V217" t="str">
        <f>_xlfn.XLOOKUP(Table16[[#This Row],[Name]],Table211121642021222325343536373841[Name],Table211121642021222325343536373841[Points],"DNP",0,1)</f>
        <v>DNP</v>
      </c>
    </row>
    <row r="218" spans="2:22">
      <c r="B218" t="str">
        <f>IFERROR(Table5[[#This Row],[Full name]],"")</f>
        <v>Kimia Azizi Mehr</v>
      </c>
      <c r="C218" s="68">
        <f>SUM(Table16[[#This Row],[September 30, 2025]:[Column18]])</f>
        <v>0</v>
      </c>
      <c r="D218" t="str">
        <f>_xlfn.XLOOKUP(Table16[[#This Row],[Name]],Table4[Name],Table4[Points],"DNP",0,1)</f>
        <v>DNP</v>
      </c>
      <c r="E218" t="str">
        <f>_xlfn.XLOOKUP(Table16[[#This Row],[Name]],Table9[Name],Table9[Points],"DNP",0,1)</f>
        <v>DNP</v>
      </c>
      <c r="F218" t="str">
        <f>_xlfn.XLOOKUP(Table16[[#This Row],[Name]],Table18[Name],Table18[Points],"DNP",0,1)</f>
        <v>DNP</v>
      </c>
      <c r="G218" t="str">
        <f>_xlfn.XLOOKUP(Table16[[#This Row],[Name]],Table2[Name],Table2[Points],"DNP",0,1)</f>
        <v>DNP</v>
      </c>
      <c r="H218" t="str">
        <f>_xlfn.XLOOKUP(Table16[[#This Row],[Name]],Table211[Name],Table211[Points],"DNP",0,1)</f>
        <v>DNP</v>
      </c>
      <c r="I218" t="str">
        <f>_xlfn.XLOOKUP(Table16[[#This Row],[Name]],Table21112[Name],Table21112[Points],"DNP",0,1)</f>
        <v>DNP</v>
      </c>
      <c r="J218" t="str">
        <f>_xlfn.XLOOKUP(Table16[[#This Row],[Name]],Table21112164[Name],Table21112164[Points],"DNP",0,1)</f>
        <v>DNP</v>
      </c>
      <c r="K218" t="str">
        <f>_xlfn.XLOOKUP(Table16[[#This Row],[Name]],Table2111216420[Name],Table2111216420[Points],"DNP",0,1)</f>
        <v>DNP</v>
      </c>
      <c r="L218" t="str">
        <f>_xlfn.XLOOKUP(Table16[[#This Row],[Name]],Table211121642021[Name],Table211121642021[Points],"DNP",0,1)</f>
        <v>DNP</v>
      </c>
      <c r="M218" t="str">
        <f>_xlfn.XLOOKUP(Table16[[#This Row],[Name]],Table21112164202122[Name],Table21112164202122[Points],"DNP",0,1)</f>
        <v>DNP</v>
      </c>
      <c r="N218" t="str">
        <f>_xlfn.XLOOKUP(Table16[[#This Row],[Name]],Table2111216420212223[Name],Table2111216420212223[Points],"DNP",0,1)</f>
        <v>DNP</v>
      </c>
      <c r="O218" t="str">
        <f>_xlfn.XLOOKUP(Table16[[#This Row],[Name]],Table211121642021222325[Name],Table211121642021222325[Points],"DNP",0,1)</f>
        <v>DNP</v>
      </c>
      <c r="P218" t="str">
        <f>_xlfn.XLOOKUP(Table16[[#This Row],[Name]],Table21112164202122232534[Name],Table21112164202122232534[Points],"DNP",0,1)</f>
        <v>DNP</v>
      </c>
      <c r="Q218" t="str">
        <f>_xlfn.XLOOKUP(Table16[[#This Row],[Name]],Table2111216420212223253435[Name],Table2111216420212223253435[Points],"DNP",0,1)</f>
        <v>DNP</v>
      </c>
      <c r="R218" t="str">
        <f>_xlfn.XLOOKUP(Table16[[#This Row],[Name]],Table211121642021222325343536[Name],Table211121642021222325343536[Points],"DNP",0,1)</f>
        <v>DNP</v>
      </c>
      <c r="S218" t="str">
        <f>_xlfn.XLOOKUP(Table16[[#This Row],[Name]],Table21112164202122232534353637[Name],Table21112164202122232534353637[Points],"DNP",0,1)</f>
        <v>DNP</v>
      </c>
      <c r="T218" t="str">
        <f>_xlfn.XLOOKUP(Table16[[#This Row],[Name]],Table2111216420212223253435363738[Name],Table2111216420212223253435363738[Points],"DNP",0,1)</f>
        <v>DNP</v>
      </c>
      <c r="U218" t="str">
        <f>_xlfn.XLOOKUP(Table16[[#This Row],[Name]],Table2111216420212223253435363739[Name],Table2111216420212223253435363739[Points],"DNP",0,1)</f>
        <v>DNP</v>
      </c>
      <c r="V218" t="str">
        <f>_xlfn.XLOOKUP(Table16[[#This Row],[Name]],Table211121642021222325343536373841[Name],Table211121642021222325343536373841[Points],"DNP",0,1)</f>
        <v>DNP</v>
      </c>
    </row>
    <row r="219" spans="2:22">
      <c r="B219" t="str">
        <f>IFERROR(Table5[[#This Row],[Full name]],"")</f>
        <v>Kiran Shu</v>
      </c>
      <c r="C219" s="68">
        <f>SUM(Table16[[#This Row],[September 30, 2025]:[Column18]])</f>
        <v>2</v>
      </c>
      <c r="D219" t="str">
        <f>_xlfn.XLOOKUP(Table16[[#This Row],[Name]],Table4[Name],Table4[Points],"DNP",0,1)</f>
        <v>DNP</v>
      </c>
      <c r="E219" t="str">
        <f>_xlfn.XLOOKUP(Table16[[#This Row],[Name]],Table9[Name],Table9[Points],"DNP",0,1)</f>
        <v>DNP</v>
      </c>
      <c r="F219" t="str">
        <f>_xlfn.XLOOKUP(Table16[[#This Row],[Name]],Table18[Name],Table18[Points],"DNP",0,1)</f>
        <v>DNP</v>
      </c>
      <c r="G219" t="str">
        <f>_xlfn.XLOOKUP(Table16[[#This Row],[Name]],Table2[Name],Table2[Points],"DNP",0,1)</f>
        <v>DNP</v>
      </c>
      <c r="H219" t="str">
        <f>_xlfn.XLOOKUP(Table16[[#This Row],[Name]],Table211[Name],Table211[Points],"DNP",0,1)</f>
        <v>DNP</v>
      </c>
      <c r="I219" t="str">
        <f>_xlfn.XLOOKUP(Table16[[#This Row],[Name]],Table21112[Name],Table21112[Points],"DNP",0,1)</f>
        <v>DNP</v>
      </c>
      <c r="J219" t="str">
        <f>_xlfn.XLOOKUP(Table16[[#This Row],[Name]],Table21112164[Name],Table21112164[Points],"DNP",0,1)</f>
        <v>DNP</v>
      </c>
      <c r="K219" t="str">
        <f>_xlfn.XLOOKUP(Table16[[#This Row],[Name]],Table2111216420[Name],Table2111216420[Points],"DNP",0,1)</f>
        <v>DNP</v>
      </c>
      <c r="L219" t="str">
        <f>_xlfn.XLOOKUP(Table16[[#This Row],[Name]],Table211121642021[Name],Table211121642021[Points],"DNP",0,1)</f>
        <v>DNP</v>
      </c>
      <c r="M219" t="str">
        <f>_xlfn.XLOOKUP(Table16[[#This Row],[Name]],Table21112164202122[Name],Table21112164202122[Points],"DNP",0,1)</f>
        <v>DNP</v>
      </c>
      <c r="N219">
        <f>_xlfn.XLOOKUP(Table16[[#This Row],[Name]],Table2111216420212223[Name],Table2111216420212223[Points],"DNP",0,1)</f>
        <v>2</v>
      </c>
      <c r="O219" t="str">
        <f>_xlfn.XLOOKUP(Table16[[#This Row],[Name]],Table211121642021222325[Name],Table211121642021222325[Points],"DNP",0,1)</f>
        <v>DNP</v>
      </c>
      <c r="P219" t="str">
        <f>_xlfn.XLOOKUP(Table16[[#This Row],[Name]],Table21112164202122232534[Name],Table21112164202122232534[Points],"DNP",0,1)</f>
        <v>DNP</v>
      </c>
      <c r="Q219" t="str">
        <f>_xlfn.XLOOKUP(Table16[[#This Row],[Name]],Table2111216420212223253435[Name],Table2111216420212223253435[Points],"DNP",0,1)</f>
        <v>DNP</v>
      </c>
      <c r="R219" t="str">
        <f>_xlfn.XLOOKUP(Table16[[#This Row],[Name]],Table211121642021222325343536[Name],Table211121642021222325343536[Points],"DNP",0,1)</f>
        <v>DNP</v>
      </c>
      <c r="S219" t="str">
        <f>_xlfn.XLOOKUP(Table16[[#This Row],[Name]],Table21112164202122232534353637[Name],Table21112164202122232534353637[Points],"DNP",0,1)</f>
        <v>DNP</v>
      </c>
      <c r="T219" t="str">
        <f>_xlfn.XLOOKUP(Table16[[#This Row],[Name]],Table2111216420212223253435363738[Name],Table2111216420212223253435363738[Points],"DNP",0,1)</f>
        <v>DNP</v>
      </c>
      <c r="U219" t="str">
        <f>_xlfn.XLOOKUP(Table16[[#This Row],[Name]],Table2111216420212223253435363739[Name],Table2111216420212223253435363739[Points],"DNP",0,1)</f>
        <v>DNP</v>
      </c>
      <c r="V219" t="str">
        <f>_xlfn.XLOOKUP(Table16[[#This Row],[Name]],Table211121642021222325343536373841[Name],Table211121642021222325343536373841[Points],"DNP",0,1)</f>
        <v>DNP</v>
      </c>
    </row>
    <row r="220" spans="2:22">
      <c r="B220" t="str">
        <f>IFERROR(Table5[[#This Row],[Full name]],"")</f>
        <v>Kongduo Li</v>
      </c>
      <c r="C220" s="68">
        <f>SUM(Table16[[#This Row],[September 30, 2025]:[Column18]])</f>
        <v>54</v>
      </c>
      <c r="D220">
        <f>_xlfn.XLOOKUP(Table16[[#This Row],[Name]],Table4[Name],Table4[Points],"DNP",0,1)</f>
        <v>1</v>
      </c>
      <c r="E220">
        <f>_xlfn.XLOOKUP(Table16[[#This Row],[Name]],Table9[Name],Table9[Points],"DNP",0,1)</f>
        <v>4</v>
      </c>
      <c r="F220">
        <f>_xlfn.XLOOKUP(Table16[[#This Row],[Name]],Table18[Name],Table18[Points],"DNP",0,1)</f>
        <v>4</v>
      </c>
      <c r="G220">
        <f>_xlfn.XLOOKUP(Table16[[#This Row],[Name]],Table2[Name],Table2[Points],"DNP",0,1)</f>
        <v>2</v>
      </c>
      <c r="H220">
        <f>_xlfn.XLOOKUP(Table16[[#This Row],[Name]],Table211[Name],Table211[Points],"DNP",0,1)</f>
        <v>1</v>
      </c>
      <c r="I220">
        <f>_xlfn.XLOOKUP(Table16[[#This Row],[Name]],Table21112[Name],Table21112[Points],"DNP",0,1)</f>
        <v>2</v>
      </c>
      <c r="J220" t="str">
        <f>_xlfn.XLOOKUP(Table16[[#This Row],[Name]],Table21112164[Name],Table21112164[Points],"DNP",0,1)</f>
        <v>DNP</v>
      </c>
      <c r="K220">
        <f>_xlfn.XLOOKUP(Table16[[#This Row],[Name]],Table2111216420[Name],Table2111216420[Points],"DNP",0,1)</f>
        <v>1</v>
      </c>
      <c r="L220">
        <f>_xlfn.XLOOKUP(Table16[[#This Row],[Name]],Table211121642021[Name],Table211121642021[Points],"DNP",0,1)</f>
        <v>30</v>
      </c>
      <c r="M220">
        <f>_xlfn.XLOOKUP(Table16[[#This Row],[Name]],Table21112164202122[Name],Table21112164202122[Points],"DNP",0,1)</f>
        <v>2</v>
      </c>
      <c r="N220">
        <f>_xlfn.XLOOKUP(Table16[[#This Row],[Name]],Table2111216420212223[Name],Table2111216420212223[Points],"DNP",0,1)</f>
        <v>2</v>
      </c>
      <c r="O220" t="str">
        <f>_xlfn.XLOOKUP(Table16[[#This Row],[Name]],Table211121642021222325[Name],Table211121642021222325[Points],"DNP",0,1)</f>
        <v>DNP</v>
      </c>
      <c r="P220">
        <f>_xlfn.XLOOKUP(Table16[[#This Row],[Name]],Table21112164202122232534[Name],Table21112164202122232534[Points],"DNP",0,1)</f>
        <v>1</v>
      </c>
      <c r="Q220" t="str">
        <f>_xlfn.XLOOKUP(Table16[[#This Row],[Name]],Table2111216420212223253435[Name],Table2111216420212223253435[Points],"DNP",0,1)</f>
        <v>DNP</v>
      </c>
      <c r="R220" t="str">
        <f>_xlfn.XLOOKUP(Table16[[#This Row],[Name]],Table211121642021222325343536[Name],Table211121642021222325343536[Points],"DNP",0,1)</f>
        <v>DNP</v>
      </c>
      <c r="S220" t="str">
        <f>_xlfn.XLOOKUP(Table16[[#This Row],[Name]],Table21112164202122232534353637[Name],Table21112164202122232534353637[Points],"DNP",0,1)</f>
        <v>DNP</v>
      </c>
      <c r="T220" t="str">
        <f>_xlfn.XLOOKUP(Table16[[#This Row],[Name]],Table2111216420212223253435363738[Name],Table2111216420212223253435363738[Points],"DNP",0,1)</f>
        <v>DNP</v>
      </c>
      <c r="U220">
        <f>_xlfn.XLOOKUP(Table16[[#This Row],[Name]],Table2111216420212223253435363739[Name],Table2111216420212223253435363739[Points],"DNP",0,1)</f>
        <v>1</v>
      </c>
      <c r="V220">
        <f>_xlfn.XLOOKUP(Table16[[#This Row],[Name]],Table211121642021222325343536373841[Name],Table211121642021222325343536373841[Points],"DNP",0,1)</f>
        <v>3</v>
      </c>
    </row>
    <row r="221" spans="2:22">
      <c r="B221" t="str">
        <f>IFERROR(Table5[[#This Row],[Full name]],"")</f>
        <v>Konrad Zawadzki</v>
      </c>
      <c r="C221" s="68">
        <f>SUM(Table16[[#This Row],[September 30, 2025]:[Column18]])</f>
        <v>32</v>
      </c>
      <c r="D221" t="str">
        <f>_xlfn.XLOOKUP(Table16[[#This Row],[Name]],Table4[Name],Table4[Points],"DNP",0,1)</f>
        <v>DNP</v>
      </c>
      <c r="E221" t="str">
        <f>_xlfn.XLOOKUP(Table16[[#This Row],[Name]],Table9[Name],Table9[Points],"DNP",0,1)</f>
        <v>DNP</v>
      </c>
      <c r="F221" t="str">
        <f>_xlfn.XLOOKUP(Table16[[#This Row],[Name]],Table18[Name],Table18[Points],"DNP",0,1)</f>
        <v>DNP</v>
      </c>
      <c r="G221" t="str">
        <f>_xlfn.XLOOKUP(Table16[[#This Row],[Name]],Table2[Name],Table2[Points],"DNP",0,1)</f>
        <v>DNP</v>
      </c>
      <c r="H221" t="str">
        <f>_xlfn.XLOOKUP(Table16[[#This Row],[Name]],Table211[Name],Table211[Points],"DNP",0,1)</f>
        <v>DNP</v>
      </c>
      <c r="I221" t="str">
        <f>_xlfn.XLOOKUP(Table16[[#This Row],[Name]],Table21112[Name],Table21112[Points],"DNP",0,1)</f>
        <v>DNP</v>
      </c>
      <c r="J221" t="str">
        <f>_xlfn.XLOOKUP(Table16[[#This Row],[Name]],Table21112164[Name],Table21112164[Points],"DNP",0,1)</f>
        <v>DNP</v>
      </c>
      <c r="K221" t="str">
        <f>_xlfn.XLOOKUP(Table16[[#This Row],[Name]],Table2111216420[Name],Table2111216420[Points],"DNP",0,1)</f>
        <v>DNP</v>
      </c>
      <c r="L221" t="str">
        <f>_xlfn.XLOOKUP(Table16[[#This Row],[Name]],Table211121642021[Name],Table211121642021[Points],"DNP",0,1)</f>
        <v>DNP</v>
      </c>
      <c r="M221" t="str">
        <f>_xlfn.XLOOKUP(Table16[[#This Row],[Name]],Table21112164202122[Name],Table21112164202122[Points],"DNP",0,1)</f>
        <v>DNP</v>
      </c>
      <c r="N221" t="str">
        <f>_xlfn.XLOOKUP(Table16[[#This Row],[Name]],Table2111216420212223[Name],Table2111216420212223[Points],"DNP",0,1)</f>
        <v>DNP</v>
      </c>
      <c r="O221" t="str">
        <f>_xlfn.XLOOKUP(Table16[[#This Row],[Name]],Table211121642021222325[Name],Table211121642021222325[Points],"DNP",0,1)</f>
        <v>DNP</v>
      </c>
      <c r="P221" t="str">
        <f>_xlfn.XLOOKUP(Table16[[#This Row],[Name]],Table21112164202122232534[Name],Table21112164202122232534[Points],"DNP",0,1)</f>
        <v>DNP</v>
      </c>
      <c r="Q221" t="str">
        <f>_xlfn.XLOOKUP(Table16[[#This Row],[Name]],Table2111216420212223253435[Name],Table2111216420212223253435[Points],"DNP",0,1)</f>
        <v>DNP</v>
      </c>
      <c r="R221" t="str">
        <f>_xlfn.XLOOKUP(Table16[[#This Row],[Name]],Table211121642021222325343536[Name],Table211121642021222325343536[Points],"DNP",0,1)</f>
        <v>DNP</v>
      </c>
      <c r="S221" t="str">
        <f>_xlfn.XLOOKUP(Table16[[#This Row],[Name]],Table21112164202122232534353637[Name],Table21112164202122232534353637[Points],"DNP",0,1)</f>
        <v>DNP</v>
      </c>
      <c r="T221">
        <f>_xlfn.XLOOKUP(Table16[[#This Row],[Name]],Table2111216420212223253435363738[Name],Table2111216420212223253435363738[Points],"DNP",0,1)</f>
        <v>1</v>
      </c>
      <c r="U221">
        <f>_xlfn.XLOOKUP(Table16[[#This Row],[Name]],Table2111216420212223253435363739[Name],Table2111216420212223253435363739[Points],"DNP",0,1)</f>
        <v>1</v>
      </c>
      <c r="V221">
        <f>_xlfn.XLOOKUP(Table16[[#This Row],[Name]],Table211121642021222325343536373841[Name],Table211121642021222325343536373841[Points],"DNP",0,1)</f>
        <v>30</v>
      </c>
    </row>
    <row r="222" spans="2:22">
      <c r="B222" t="str">
        <f>IFERROR(Table5[[#This Row],[Full name]],"")</f>
        <v>Krish Chandola</v>
      </c>
      <c r="C222" s="68">
        <f>SUM(Table16[[#This Row],[September 30, 2025]:[Column18]])</f>
        <v>39</v>
      </c>
      <c r="D222">
        <f>_xlfn.XLOOKUP(Table16[[#This Row],[Name]],Table4[Name],Table4[Points],"DNP",0,1)</f>
        <v>1</v>
      </c>
      <c r="E222">
        <f>_xlfn.XLOOKUP(Table16[[#This Row],[Name]],Table9[Name],Table9[Points],"DNP",0,1)</f>
        <v>2</v>
      </c>
      <c r="F222">
        <f>_xlfn.XLOOKUP(Table16[[#This Row],[Name]],Table18[Name],Table18[Points],"DNP",0,1)</f>
        <v>4</v>
      </c>
      <c r="G222">
        <f>_xlfn.XLOOKUP(Table16[[#This Row],[Name]],Table2[Name],Table2[Points],"DNP",0,1)</f>
        <v>1</v>
      </c>
      <c r="H222" t="str">
        <f>_xlfn.XLOOKUP(Table16[[#This Row],[Name]],Table211[Name],Table211[Points],"DNP",0,1)</f>
        <v>DNP</v>
      </c>
      <c r="I222" t="str">
        <f>_xlfn.XLOOKUP(Table16[[#This Row],[Name]],Table21112[Name],Table21112[Points],"DNP",0,1)</f>
        <v>DNP</v>
      </c>
      <c r="J222">
        <f>_xlfn.XLOOKUP(Table16[[#This Row],[Name]],Table21112164[Name],Table21112164[Points],"DNP",0,1)</f>
        <v>2</v>
      </c>
      <c r="K222">
        <f>_xlfn.XLOOKUP(Table16[[#This Row],[Name]],Table2111216420[Name],Table2111216420[Points],"DNP",0,1)</f>
        <v>1</v>
      </c>
      <c r="L222">
        <f>_xlfn.XLOOKUP(Table16[[#This Row],[Name]],Table211121642021[Name],Table211121642021[Points],"DNP",0,1)</f>
        <v>3</v>
      </c>
      <c r="M222" t="str">
        <f>_xlfn.XLOOKUP(Table16[[#This Row],[Name]],Table21112164202122[Name],Table21112164202122[Points],"DNP",0,1)</f>
        <v>DNP</v>
      </c>
      <c r="N222">
        <f>_xlfn.XLOOKUP(Table16[[#This Row],[Name]],Table2111216420212223[Name],Table2111216420212223[Points],"DNP",0,1)</f>
        <v>4</v>
      </c>
      <c r="O222">
        <f>_xlfn.XLOOKUP(Table16[[#This Row],[Name]],Table211121642021222325[Name],Table211121642021222325[Points],"DNP",0,1)</f>
        <v>1</v>
      </c>
      <c r="P222">
        <f>_xlfn.XLOOKUP(Table16[[#This Row],[Name]],Table21112164202122232534[Name],Table21112164202122232534[Points],"DNP",0,1)</f>
        <v>2</v>
      </c>
      <c r="Q222" t="str">
        <f>_xlfn.XLOOKUP(Table16[[#This Row],[Name]],Table2111216420212223253435[Name],Table2111216420212223253435[Points],"DNP",0,1)</f>
        <v>DNP</v>
      </c>
      <c r="R222">
        <f>_xlfn.XLOOKUP(Table16[[#This Row],[Name]],Table211121642021222325343536[Name],Table211121642021222325343536[Points],"DNP",0,1)</f>
        <v>4</v>
      </c>
      <c r="S222">
        <f>_xlfn.XLOOKUP(Table16[[#This Row],[Name]],Table21112164202122232534353637[Name],Table21112164202122232534353637[Points],"DNP",0,1)</f>
        <v>10</v>
      </c>
      <c r="T222">
        <f>_xlfn.XLOOKUP(Table16[[#This Row],[Name]],Table2111216420212223253435363738[Name],Table2111216420212223253435363738[Points],"DNP",0,1)</f>
        <v>2</v>
      </c>
      <c r="U222">
        <f>_xlfn.XLOOKUP(Table16[[#This Row],[Name]],Table2111216420212223253435363739[Name],Table2111216420212223253435363739[Points],"DNP",0,1)</f>
        <v>1</v>
      </c>
      <c r="V222">
        <f>_xlfn.XLOOKUP(Table16[[#This Row],[Name]],Table211121642021222325343536373841[Name],Table211121642021222325343536373841[Points],"DNP",0,1)</f>
        <v>1</v>
      </c>
    </row>
    <row r="223" spans="2:22">
      <c r="B223" t="str">
        <f>IFERROR(Table5[[#This Row],[Full name]],"")</f>
        <v>Krish  Mehta</v>
      </c>
      <c r="C223" s="68">
        <f>SUM(Table16[[#This Row],[September 30, 2025]:[Column18]])</f>
        <v>2</v>
      </c>
      <c r="D223" t="str">
        <f>_xlfn.XLOOKUP(Table16[[#This Row],[Name]],Table4[Name],Table4[Points],"DNP",0,1)</f>
        <v>DNP</v>
      </c>
      <c r="E223" t="str">
        <f>_xlfn.XLOOKUP(Table16[[#This Row],[Name]],Table9[Name],Table9[Points],"DNP",0,1)</f>
        <v>DNP</v>
      </c>
      <c r="F223" t="str">
        <f>_xlfn.XLOOKUP(Table16[[#This Row],[Name]],Table18[Name],Table18[Points],"DNP",0,1)</f>
        <v>DNP</v>
      </c>
      <c r="G223" t="str">
        <f>_xlfn.XLOOKUP(Table16[[#This Row],[Name]],Table2[Name],Table2[Points],"DNP",0,1)</f>
        <v>DNP</v>
      </c>
      <c r="H223" t="str">
        <f>_xlfn.XLOOKUP(Table16[[#This Row],[Name]],Table211[Name],Table211[Points],"DNP",0,1)</f>
        <v>DNP</v>
      </c>
      <c r="I223" t="str">
        <f>_xlfn.XLOOKUP(Table16[[#This Row],[Name]],Table21112[Name],Table21112[Points],"DNP",0,1)</f>
        <v>DNP</v>
      </c>
      <c r="J223" t="str">
        <f>_xlfn.XLOOKUP(Table16[[#This Row],[Name]],Table21112164[Name],Table21112164[Points],"DNP",0,1)</f>
        <v>DNP</v>
      </c>
      <c r="K223" t="str">
        <f>_xlfn.XLOOKUP(Table16[[#This Row],[Name]],Table2111216420[Name],Table2111216420[Points],"DNP",0,1)</f>
        <v>DNP</v>
      </c>
      <c r="L223" t="str">
        <f>_xlfn.XLOOKUP(Table16[[#This Row],[Name]],Table211121642021[Name],Table211121642021[Points],"DNP",0,1)</f>
        <v>DNP</v>
      </c>
      <c r="M223" t="str">
        <f>_xlfn.XLOOKUP(Table16[[#This Row],[Name]],Table21112164202122[Name],Table21112164202122[Points],"DNP",0,1)</f>
        <v>DNP</v>
      </c>
      <c r="N223" t="str">
        <f>_xlfn.XLOOKUP(Table16[[#This Row],[Name]],Table2111216420212223[Name],Table2111216420212223[Points],"DNP",0,1)</f>
        <v>DNP</v>
      </c>
      <c r="O223" t="str">
        <f>_xlfn.XLOOKUP(Table16[[#This Row],[Name]],Table211121642021222325[Name],Table211121642021222325[Points],"DNP",0,1)</f>
        <v>DNP</v>
      </c>
      <c r="P223" t="str">
        <f>_xlfn.XLOOKUP(Table16[[#This Row],[Name]],Table21112164202122232534[Name],Table21112164202122232534[Points],"DNP",0,1)</f>
        <v>DNP</v>
      </c>
      <c r="Q223" t="str">
        <f>_xlfn.XLOOKUP(Table16[[#This Row],[Name]],Table2111216420212223253435[Name],Table2111216420212223253435[Points],"DNP",0,1)</f>
        <v>DNP</v>
      </c>
      <c r="R223">
        <f>_xlfn.XLOOKUP(Table16[[#This Row],[Name]],Table211121642021222325343536[Name],Table211121642021222325343536[Points],"DNP",0,1)</f>
        <v>2</v>
      </c>
      <c r="S223" t="str">
        <f>_xlfn.XLOOKUP(Table16[[#This Row],[Name]],Table21112164202122232534353637[Name],Table21112164202122232534353637[Points],"DNP",0,1)</f>
        <v>DNP</v>
      </c>
      <c r="T223" t="str">
        <f>_xlfn.XLOOKUP(Table16[[#This Row],[Name]],Table2111216420212223253435363738[Name],Table2111216420212223253435363738[Points],"DNP",0,1)</f>
        <v>DNP</v>
      </c>
      <c r="U223" t="str">
        <f>_xlfn.XLOOKUP(Table16[[#This Row],[Name]],Table2111216420212223253435363739[Name],Table2111216420212223253435363739[Points],"DNP",0,1)</f>
        <v>DNP</v>
      </c>
      <c r="V223" t="str">
        <f>_xlfn.XLOOKUP(Table16[[#This Row],[Name]],Table211121642021222325343536373841[Name],Table211121642021222325343536373841[Points],"DNP",0,1)</f>
        <v>DNP</v>
      </c>
    </row>
    <row r="224" spans="2:22">
      <c r="B224" t="str">
        <f>IFERROR(Table5[[#This Row],[Full name]],"")</f>
        <v>Kyle  Chen</v>
      </c>
      <c r="C224" s="68">
        <f>SUM(Table16[[#This Row],[September 30, 2025]:[Column18]])</f>
        <v>29</v>
      </c>
      <c r="D224" t="str">
        <f>_xlfn.XLOOKUP(Table16[[#This Row],[Name]],Table4[Name],Table4[Points],"DNP",0,1)</f>
        <v>DNP</v>
      </c>
      <c r="E224" t="str">
        <f>_xlfn.XLOOKUP(Table16[[#This Row],[Name]],Table9[Name],Table9[Points],"DNP",0,1)</f>
        <v>DNP</v>
      </c>
      <c r="F224" t="str">
        <f>_xlfn.XLOOKUP(Table16[[#This Row],[Name]],Table18[Name],Table18[Points],"DNP",0,1)</f>
        <v>DNP</v>
      </c>
      <c r="G224" t="str">
        <f>_xlfn.XLOOKUP(Table16[[#This Row],[Name]],Table2[Name],Table2[Points],"DNP",0,1)</f>
        <v>DNP</v>
      </c>
      <c r="H224" t="str">
        <f>_xlfn.XLOOKUP(Table16[[#This Row],[Name]],Table211[Name],Table211[Points],"DNP",0,1)</f>
        <v>DNP</v>
      </c>
      <c r="I224" t="str">
        <f>_xlfn.XLOOKUP(Table16[[#This Row],[Name]],Table21112[Name],Table21112[Points],"DNP",0,1)</f>
        <v>DNP</v>
      </c>
      <c r="J224" t="str">
        <f>_xlfn.XLOOKUP(Table16[[#This Row],[Name]],Table21112164[Name],Table21112164[Points],"DNP",0,1)</f>
        <v>DNP</v>
      </c>
      <c r="K224" t="str">
        <f>_xlfn.XLOOKUP(Table16[[#This Row],[Name]],Table2111216420[Name],Table2111216420[Points],"DNP",0,1)</f>
        <v>DNP</v>
      </c>
      <c r="L224" t="str">
        <f>_xlfn.XLOOKUP(Table16[[#This Row],[Name]],Table211121642021[Name],Table211121642021[Points],"DNP",0,1)</f>
        <v>DNP</v>
      </c>
      <c r="M224" t="str">
        <f>_xlfn.XLOOKUP(Table16[[#This Row],[Name]],Table21112164202122[Name],Table21112164202122[Points],"DNP",0,1)</f>
        <v>DNP</v>
      </c>
      <c r="N224">
        <f>_xlfn.XLOOKUP(Table16[[#This Row],[Name]],Table2111216420212223[Name],Table2111216420212223[Points],"DNP",0,1)</f>
        <v>1</v>
      </c>
      <c r="O224">
        <f>_xlfn.XLOOKUP(Table16[[#This Row],[Name]],Table211121642021222325[Name],Table211121642021222325[Points],"DNP",0,1)</f>
        <v>2</v>
      </c>
      <c r="P224">
        <f>_xlfn.XLOOKUP(Table16[[#This Row],[Name]],Table21112164202122232534[Name],Table21112164202122232534[Points],"DNP",0,1)</f>
        <v>3</v>
      </c>
      <c r="Q224">
        <f>_xlfn.XLOOKUP(Table16[[#This Row],[Name]],Table2111216420212223253435[Name],Table2111216420212223253435[Points],"DNP",0,1)</f>
        <v>2</v>
      </c>
      <c r="R224" t="str">
        <f>_xlfn.XLOOKUP(Table16[[#This Row],[Name]],Table211121642021222325343536[Name],Table211121642021222325343536[Points],"DNP",0,1)</f>
        <v>DNP</v>
      </c>
      <c r="S224">
        <f>_xlfn.XLOOKUP(Table16[[#This Row],[Name]],Table21112164202122232534353637[Name],Table21112164202122232534353637[Points],"DNP",0,1)</f>
        <v>1</v>
      </c>
      <c r="T224">
        <f>_xlfn.XLOOKUP(Table16[[#This Row],[Name]],Table2111216420212223253435363738[Name],Table2111216420212223253435363738[Points],"DNP",0,1)</f>
        <v>10</v>
      </c>
      <c r="U224">
        <f>_xlfn.XLOOKUP(Table16[[#This Row],[Name]],Table2111216420212223253435363739[Name],Table2111216420212223253435363739[Points],"DNP",0,1)</f>
        <v>10</v>
      </c>
      <c r="V224" t="str">
        <f>_xlfn.XLOOKUP(Table16[[#This Row],[Name]],Table211121642021222325343536373841[Name],Table211121642021222325343536373841[Points],"DNP",0,1)</f>
        <v>DNP</v>
      </c>
    </row>
    <row r="225" spans="2:22">
      <c r="B225" t="str">
        <f>IFERROR(Table5[[#This Row],[Full name]],"")</f>
        <v>Lawrence Alvarez-Smith</v>
      </c>
      <c r="C225" s="68">
        <f>SUM(Table16[[#This Row],[September 30, 2025]:[Column18]])</f>
        <v>2</v>
      </c>
      <c r="D225" t="str">
        <f>_xlfn.XLOOKUP(Table16[[#This Row],[Name]],Table4[Name],Table4[Points],"DNP",0,1)</f>
        <v>DNP</v>
      </c>
      <c r="E225">
        <f>_xlfn.XLOOKUP(Table16[[#This Row],[Name]],Table9[Name],Table9[Points],"DNP",0,1)</f>
        <v>2</v>
      </c>
      <c r="F225" t="str">
        <f>_xlfn.XLOOKUP(Table16[[#This Row],[Name]],Table18[Name],Table18[Points],"DNP",0,1)</f>
        <v>DNP</v>
      </c>
      <c r="G225" t="str">
        <f>_xlfn.XLOOKUP(Table16[[#This Row],[Name]],Table2[Name],Table2[Points],"DNP",0,1)</f>
        <v>DNP</v>
      </c>
      <c r="H225" t="str">
        <f>_xlfn.XLOOKUP(Table16[[#This Row],[Name]],Table211[Name],Table211[Points],"DNP",0,1)</f>
        <v>DNP</v>
      </c>
      <c r="I225" t="str">
        <f>_xlfn.XLOOKUP(Table16[[#This Row],[Name]],Table21112[Name],Table21112[Points],"DNP",0,1)</f>
        <v>DNP</v>
      </c>
      <c r="J225" t="str">
        <f>_xlfn.XLOOKUP(Table16[[#This Row],[Name]],Table21112164[Name],Table21112164[Points],"DNP",0,1)</f>
        <v>DNP</v>
      </c>
      <c r="K225" t="str">
        <f>_xlfn.XLOOKUP(Table16[[#This Row],[Name]],Table2111216420[Name],Table2111216420[Points],"DNP",0,1)</f>
        <v>DNP</v>
      </c>
      <c r="L225" t="str">
        <f>_xlfn.XLOOKUP(Table16[[#This Row],[Name]],Table211121642021[Name],Table211121642021[Points],"DNP",0,1)</f>
        <v>DNP</v>
      </c>
      <c r="M225" t="str">
        <f>_xlfn.XLOOKUP(Table16[[#This Row],[Name]],Table21112164202122[Name],Table21112164202122[Points],"DNP",0,1)</f>
        <v>DNP</v>
      </c>
      <c r="N225" t="str">
        <f>_xlfn.XLOOKUP(Table16[[#This Row],[Name]],Table2111216420212223[Name],Table2111216420212223[Points],"DNP",0,1)</f>
        <v>DNP</v>
      </c>
      <c r="O225" t="str">
        <f>_xlfn.XLOOKUP(Table16[[#This Row],[Name]],Table211121642021222325[Name],Table211121642021222325[Points],"DNP",0,1)</f>
        <v>DNP</v>
      </c>
      <c r="P225" t="str">
        <f>_xlfn.XLOOKUP(Table16[[#This Row],[Name]],Table21112164202122232534[Name],Table21112164202122232534[Points],"DNP",0,1)</f>
        <v>DNP</v>
      </c>
      <c r="Q225" t="str">
        <f>_xlfn.XLOOKUP(Table16[[#This Row],[Name]],Table2111216420212223253435[Name],Table2111216420212223253435[Points],"DNP",0,1)</f>
        <v>DNP</v>
      </c>
      <c r="R225" t="str">
        <f>_xlfn.XLOOKUP(Table16[[#This Row],[Name]],Table211121642021222325343536[Name],Table211121642021222325343536[Points],"DNP",0,1)</f>
        <v>DNP</v>
      </c>
      <c r="S225" t="str">
        <f>_xlfn.XLOOKUP(Table16[[#This Row],[Name]],Table21112164202122232534353637[Name],Table21112164202122232534353637[Points],"DNP",0,1)</f>
        <v>DNP</v>
      </c>
      <c r="T225" t="str">
        <f>_xlfn.XLOOKUP(Table16[[#This Row],[Name]],Table2111216420212223253435363738[Name],Table2111216420212223253435363738[Points],"DNP",0,1)</f>
        <v>DNP</v>
      </c>
      <c r="U225" t="str">
        <f>_xlfn.XLOOKUP(Table16[[#This Row],[Name]],Table2111216420212223253435363739[Name],Table2111216420212223253435363739[Points],"DNP",0,1)</f>
        <v>DNP</v>
      </c>
      <c r="V225" t="str">
        <f>_xlfn.XLOOKUP(Table16[[#This Row],[Name]],Table211121642021222325343536373841[Name],Table211121642021222325343536373841[Points],"DNP",0,1)</f>
        <v>DNP</v>
      </c>
    </row>
    <row r="226" spans="2:22">
      <c r="B226" t="str">
        <f>IFERROR(Table5[[#This Row],[Full name]],"")</f>
        <v>Lawrence Xu</v>
      </c>
      <c r="C226" s="68">
        <f>SUM(Table16[[#This Row],[September 30, 2025]:[Column18]])</f>
        <v>10</v>
      </c>
      <c r="D226">
        <f>_xlfn.XLOOKUP(Table16[[#This Row],[Name]],Table4[Name],Table4[Points],"DNP",0,1)</f>
        <v>4</v>
      </c>
      <c r="E226" t="str">
        <f>_xlfn.XLOOKUP(Table16[[#This Row],[Name]],Table9[Name],Table9[Points],"DNP",0,1)</f>
        <v>DNP</v>
      </c>
      <c r="F226" t="str">
        <f>_xlfn.XLOOKUP(Table16[[#This Row],[Name]],Table18[Name],Table18[Points],"DNP",0,1)</f>
        <v>DNP</v>
      </c>
      <c r="G226" t="str">
        <f>_xlfn.XLOOKUP(Table16[[#This Row],[Name]],Table2[Name],Table2[Points],"DNP",0,1)</f>
        <v>DNP</v>
      </c>
      <c r="H226" t="str">
        <f>_xlfn.XLOOKUP(Table16[[#This Row],[Name]],Table211[Name],Table211[Points],"DNP",0,1)</f>
        <v>DNP</v>
      </c>
      <c r="I226" t="str">
        <f>_xlfn.XLOOKUP(Table16[[#This Row],[Name]],Table21112[Name],Table21112[Points],"DNP",0,1)</f>
        <v>DNP</v>
      </c>
      <c r="J226" t="str">
        <f>_xlfn.XLOOKUP(Table16[[#This Row],[Name]],Table21112164[Name],Table21112164[Points],"DNP",0,1)</f>
        <v>DNP</v>
      </c>
      <c r="K226">
        <f>_xlfn.XLOOKUP(Table16[[#This Row],[Name]],Table2111216420[Name],Table2111216420[Points],"DNP",0,1)</f>
        <v>1</v>
      </c>
      <c r="L226">
        <f>_xlfn.XLOOKUP(Table16[[#This Row],[Name]],Table211121642021[Name],Table211121642021[Points],"DNP",0,1)</f>
        <v>1</v>
      </c>
      <c r="M226">
        <f>_xlfn.XLOOKUP(Table16[[#This Row],[Name]],Table21112164202122[Name],Table21112164202122[Points],"DNP",0,1)</f>
        <v>1</v>
      </c>
      <c r="N226">
        <f>_xlfn.XLOOKUP(Table16[[#This Row],[Name]],Table2111216420212223[Name],Table2111216420212223[Points],"DNP",0,1)</f>
        <v>1</v>
      </c>
      <c r="O226" t="str">
        <f>_xlfn.XLOOKUP(Table16[[#This Row],[Name]],Table211121642021222325[Name],Table211121642021222325[Points],"DNP",0,1)</f>
        <v>DNP</v>
      </c>
      <c r="P226" t="str">
        <f>_xlfn.XLOOKUP(Table16[[#This Row],[Name]],Table21112164202122232534[Name],Table21112164202122232534[Points],"DNP",0,1)</f>
        <v>DNP</v>
      </c>
      <c r="Q226" t="str">
        <f>_xlfn.XLOOKUP(Table16[[#This Row],[Name]],Table2111216420212223253435[Name],Table2111216420212223253435[Points],"DNP",0,1)</f>
        <v>DNP</v>
      </c>
      <c r="R226" t="str">
        <f>_xlfn.XLOOKUP(Table16[[#This Row],[Name]],Table211121642021222325343536[Name],Table211121642021222325343536[Points],"DNP",0,1)</f>
        <v>DNP</v>
      </c>
      <c r="S226">
        <f>_xlfn.XLOOKUP(Table16[[#This Row],[Name]],Table21112164202122232534353637[Name],Table21112164202122232534353637[Points],"DNP",0,1)</f>
        <v>2</v>
      </c>
      <c r="T226" t="str">
        <f>_xlfn.XLOOKUP(Table16[[#This Row],[Name]],Table2111216420212223253435363738[Name],Table2111216420212223253435363738[Points],"DNP",0,1)</f>
        <v>DNP</v>
      </c>
      <c r="U226" t="str">
        <f>_xlfn.XLOOKUP(Table16[[#This Row],[Name]],Table2111216420212223253435363739[Name],Table2111216420212223253435363739[Points],"DNP",0,1)</f>
        <v>DNP</v>
      </c>
      <c r="V226" t="str">
        <f>_xlfn.XLOOKUP(Table16[[#This Row],[Name]],Table211121642021222325343536373841[Name],Table211121642021222325343536373841[Points],"DNP",0,1)</f>
        <v>DNP</v>
      </c>
    </row>
    <row r="227" spans="2:22">
      <c r="B227" t="str">
        <f>IFERROR(Table5[[#This Row],[Full name]],"")</f>
        <v>Lee Li</v>
      </c>
      <c r="C227" s="68">
        <f>SUM(Table16[[#This Row],[September 30, 2025]:[Column18]])</f>
        <v>1</v>
      </c>
      <c r="D227" t="str">
        <f>_xlfn.XLOOKUP(Table16[[#This Row],[Name]],Table4[Name],Table4[Points],"DNP",0,1)</f>
        <v>DNP</v>
      </c>
      <c r="E227" t="str">
        <f>_xlfn.XLOOKUP(Table16[[#This Row],[Name]],Table9[Name],Table9[Points],"DNP",0,1)</f>
        <v>DNP</v>
      </c>
      <c r="F227">
        <f>_xlfn.XLOOKUP(Table16[[#This Row],[Name]],Table18[Name],Table18[Points],"DNP",0,1)</f>
        <v>1</v>
      </c>
      <c r="G227" t="str">
        <f>_xlfn.XLOOKUP(Table16[[#This Row],[Name]],Table2[Name],Table2[Points],"DNP",0,1)</f>
        <v>DNP</v>
      </c>
      <c r="H227" t="str">
        <f>_xlfn.XLOOKUP(Table16[[#This Row],[Name]],Table211[Name],Table211[Points],"DNP",0,1)</f>
        <v>DNP</v>
      </c>
      <c r="I227" t="str">
        <f>_xlfn.XLOOKUP(Table16[[#This Row],[Name]],Table21112[Name],Table21112[Points],"DNP",0,1)</f>
        <v>DNP</v>
      </c>
      <c r="J227" t="str">
        <f>_xlfn.XLOOKUP(Table16[[#This Row],[Name]],Table21112164[Name],Table21112164[Points],"DNP",0,1)</f>
        <v>DNP</v>
      </c>
      <c r="K227" t="str">
        <f>_xlfn.XLOOKUP(Table16[[#This Row],[Name]],Table2111216420[Name],Table2111216420[Points],"DNP",0,1)</f>
        <v>DNP</v>
      </c>
      <c r="L227" t="str">
        <f>_xlfn.XLOOKUP(Table16[[#This Row],[Name]],Table211121642021[Name],Table211121642021[Points],"DNP",0,1)</f>
        <v>DNP</v>
      </c>
      <c r="M227" t="str">
        <f>_xlfn.XLOOKUP(Table16[[#This Row],[Name]],Table21112164202122[Name],Table21112164202122[Points],"DNP",0,1)</f>
        <v>DNP</v>
      </c>
      <c r="N227" t="str">
        <f>_xlfn.XLOOKUP(Table16[[#This Row],[Name]],Table2111216420212223[Name],Table2111216420212223[Points],"DNP",0,1)</f>
        <v>DNP</v>
      </c>
      <c r="O227" t="str">
        <f>_xlfn.XLOOKUP(Table16[[#This Row],[Name]],Table211121642021222325[Name],Table211121642021222325[Points],"DNP",0,1)</f>
        <v>DNP</v>
      </c>
      <c r="P227" t="str">
        <f>_xlfn.XLOOKUP(Table16[[#This Row],[Name]],Table21112164202122232534[Name],Table21112164202122232534[Points],"DNP",0,1)</f>
        <v>DNP</v>
      </c>
      <c r="Q227" t="str">
        <f>_xlfn.XLOOKUP(Table16[[#This Row],[Name]],Table2111216420212223253435[Name],Table2111216420212223253435[Points],"DNP",0,1)</f>
        <v>DNP</v>
      </c>
      <c r="R227" t="str">
        <f>_xlfn.XLOOKUP(Table16[[#This Row],[Name]],Table211121642021222325343536[Name],Table211121642021222325343536[Points],"DNP",0,1)</f>
        <v>DNP</v>
      </c>
      <c r="S227" t="str">
        <f>_xlfn.XLOOKUP(Table16[[#This Row],[Name]],Table21112164202122232534353637[Name],Table21112164202122232534353637[Points],"DNP",0,1)</f>
        <v>DNP</v>
      </c>
      <c r="T227" t="str">
        <f>_xlfn.XLOOKUP(Table16[[#This Row],[Name]],Table2111216420212223253435363738[Name],Table2111216420212223253435363738[Points],"DNP",0,1)</f>
        <v>DNP</v>
      </c>
      <c r="U227" t="str">
        <f>_xlfn.XLOOKUP(Table16[[#This Row],[Name]],Table2111216420212223253435363739[Name],Table2111216420212223253435363739[Points],"DNP",0,1)</f>
        <v>DNP</v>
      </c>
      <c r="V227" t="str">
        <f>_xlfn.XLOOKUP(Table16[[#This Row],[Name]],Table211121642021222325343536373841[Name],Table211121642021222325343536373841[Points],"DNP",0,1)</f>
        <v>DNP</v>
      </c>
    </row>
    <row r="228" spans="2:22">
      <c r="B228" t="str">
        <f>IFERROR(Table5[[#This Row],[Full name]],"")</f>
        <v>Leo Yang</v>
      </c>
      <c r="C228" s="68">
        <f>SUM(Table16[[#This Row],[September 30, 2025]:[Column18]])</f>
        <v>4</v>
      </c>
      <c r="D228" t="str">
        <f>_xlfn.XLOOKUP(Table16[[#This Row],[Name]],Table4[Name],Table4[Points],"DNP",0,1)</f>
        <v>DNP</v>
      </c>
      <c r="E228" t="str">
        <f>_xlfn.XLOOKUP(Table16[[#This Row],[Name]],Table9[Name],Table9[Points],"DNP",0,1)</f>
        <v>DNP</v>
      </c>
      <c r="F228" t="str">
        <f>_xlfn.XLOOKUP(Table16[[#This Row],[Name]],Table18[Name],Table18[Points],"DNP",0,1)</f>
        <v>DNP</v>
      </c>
      <c r="G228" t="str">
        <f>_xlfn.XLOOKUP(Table16[[#This Row],[Name]],Table2[Name],Table2[Points],"DNP",0,1)</f>
        <v>DNP</v>
      </c>
      <c r="H228" t="str">
        <f>_xlfn.XLOOKUP(Table16[[#This Row],[Name]],Table211[Name],Table211[Points],"DNP",0,1)</f>
        <v>DNP</v>
      </c>
      <c r="I228" t="str">
        <f>_xlfn.XLOOKUP(Table16[[#This Row],[Name]],Table21112[Name],Table21112[Points],"DNP",0,1)</f>
        <v>DNP</v>
      </c>
      <c r="J228" t="str">
        <f>_xlfn.XLOOKUP(Table16[[#This Row],[Name]],Table21112164[Name],Table21112164[Points],"DNP",0,1)</f>
        <v>DNP</v>
      </c>
      <c r="K228" t="str">
        <f>_xlfn.XLOOKUP(Table16[[#This Row],[Name]],Table2111216420[Name],Table2111216420[Points],"DNP",0,1)</f>
        <v>DNP</v>
      </c>
      <c r="L228">
        <f>_xlfn.XLOOKUP(Table16[[#This Row],[Name]],Table211121642021[Name],Table211121642021[Points],"DNP",0,1)</f>
        <v>2</v>
      </c>
      <c r="M228" t="str">
        <f>_xlfn.XLOOKUP(Table16[[#This Row],[Name]],Table21112164202122[Name],Table21112164202122[Points],"DNP",0,1)</f>
        <v>DNP</v>
      </c>
      <c r="N228" t="str">
        <f>_xlfn.XLOOKUP(Table16[[#This Row],[Name]],Table2111216420212223[Name],Table2111216420212223[Points],"DNP",0,1)</f>
        <v>DNP</v>
      </c>
      <c r="O228" t="str">
        <f>_xlfn.XLOOKUP(Table16[[#This Row],[Name]],Table211121642021222325[Name],Table211121642021222325[Points],"DNP",0,1)</f>
        <v>DNP</v>
      </c>
      <c r="P228" t="str">
        <f>_xlfn.XLOOKUP(Table16[[#This Row],[Name]],Table21112164202122232534[Name],Table21112164202122232534[Points],"DNP",0,1)</f>
        <v>DNP</v>
      </c>
      <c r="Q228" t="str">
        <f>_xlfn.XLOOKUP(Table16[[#This Row],[Name]],Table2111216420212223253435[Name],Table2111216420212223253435[Points],"DNP",0,1)</f>
        <v>DNP</v>
      </c>
      <c r="R228" t="str">
        <f>_xlfn.XLOOKUP(Table16[[#This Row],[Name]],Table211121642021222325343536[Name],Table211121642021222325343536[Points],"DNP",0,1)</f>
        <v>DNP</v>
      </c>
      <c r="S228" t="str">
        <f>_xlfn.XLOOKUP(Table16[[#This Row],[Name]],Table21112164202122232534353637[Name],Table21112164202122232534353637[Points],"DNP",0,1)</f>
        <v>DNP</v>
      </c>
      <c r="T228" t="str">
        <f>_xlfn.XLOOKUP(Table16[[#This Row],[Name]],Table2111216420212223253435363738[Name],Table2111216420212223253435363738[Points],"DNP",0,1)</f>
        <v>DNP</v>
      </c>
      <c r="U228">
        <f>_xlfn.XLOOKUP(Table16[[#This Row],[Name]],Table2111216420212223253435363739[Name],Table2111216420212223253435363739[Points],"DNP",0,1)</f>
        <v>2</v>
      </c>
      <c r="V228" t="str">
        <f>_xlfn.XLOOKUP(Table16[[#This Row],[Name]],Table211121642021222325343536373841[Name],Table211121642021222325343536373841[Points],"DNP",0,1)</f>
        <v>DNP</v>
      </c>
    </row>
    <row r="229" spans="2:22">
      <c r="B229" t="str">
        <f>IFERROR(Table5[[#This Row],[Full name]],"")</f>
        <v>Leonardo Panarello</v>
      </c>
      <c r="C229" s="68">
        <f>SUM(Table16[[#This Row],[September 30, 2025]:[Column18]])</f>
        <v>7</v>
      </c>
      <c r="D229">
        <f>_xlfn.XLOOKUP(Table16[[#This Row],[Name]],Table4[Name],Table4[Points],"DNP",0,1)</f>
        <v>3</v>
      </c>
      <c r="E229" t="str">
        <f>_xlfn.XLOOKUP(Table16[[#This Row],[Name]],Table9[Name],Table9[Points],"DNP",0,1)</f>
        <v>DNP</v>
      </c>
      <c r="F229" t="str">
        <f>_xlfn.XLOOKUP(Table16[[#This Row],[Name]],Table18[Name],Table18[Points],"DNP",0,1)</f>
        <v>DNP</v>
      </c>
      <c r="G229" t="str">
        <f>_xlfn.XLOOKUP(Table16[[#This Row],[Name]],Table2[Name],Table2[Points],"DNP",0,1)</f>
        <v>DNP</v>
      </c>
      <c r="H229">
        <f>_xlfn.XLOOKUP(Table16[[#This Row],[Name]],Table211[Name],Table211[Points],"DNP",0,1)</f>
        <v>2</v>
      </c>
      <c r="I229" t="str">
        <f>_xlfn.XLOOKUP(Table16[[#This Row],[Name]],Table21112[Name],Table21112[Points],"DNP",0,1)</f>
        <v>DNP</v>
      </c>
      <c r="J229" t="str">
        <f>_xlfn.XLOOKUP(Table16[[#This Row],[Name]],Table21112164[Name],Table21112164[Points],"DNP",0,1)</f>
        <v>DNP</v>
      </c>
      <c r="K229">
        <f>_xlfn.XLOOKUP(Table16[[#This Row],[Name]],Table2111216420[Name],Table2111216420[Points],"DNP",0,1)</f>
        <v>1</v>
      </c>
      <c r="L229" t="str">
        <f>_xlfn.XLOOKUP(Table16[[#This Row],[Name]],Table211121642021[Name],Table211121642021[Points],"DNP",0,1)</f>
        <v>DNP</v>
      </c>
      <c r="M229">
        <f>_xlfn.XLOOKUP(Table16[[#This Row],[Name]],Table21112164202122[Name],Table21112164202122[Points],"DNP",0,1)</f>
        <v>1</v>
      </c>
      <c r="N229" t="str">
        <f>_xlfn.XLOOKUP(Table16[[#This Row],[Name]],Table2111216420212223[Name],Table2111216420212223[Points],"DNP",0,1)</f>
        <v>DNP</v>
      </c>
      <c r="O229" t="str">
        <f>_xlfn.XLOOKUP(Table16[[#This Row],[Name]],Table211121642021222325[Name],Table211121642021222325[Points],"DNP",0,1)</f>
        <v>DNP</v>
      </c>
      <c r="P229" t="str">
        <f>_xlfn.XLOOKUP(Table16[[#This Row],[Name]],Table21112164202122232534[Name],Table21112164202122232534[Points],"DNP",0,1)</f>
        <v>DNP</v>
      </c>
      <c r="Q229" t="str">
        <f>_xlfn.XLOOKUP(Table16[[#This Row],[Name]],Table2111216420212223253435[Name],Table2111216420212223253435[Points],"DNP",0,1)</f>
        <v>DNP</v>
      </c>
      <c r="R229" t="str">
        <f>_xlfn.XLOOKUP(Table16[[#This Row],[Name]],Table211121642021222325343536[Name],Table211121642021222325343536[Points],"DNP",0,1)</f>
        <v>DNP</v>
      </c>
      <c r="S229" t="str">
        <f>_xlfn.XLOOKUP(Table16[[#This Row],[Name]],Table21112164202122232534353637[Name],Table21112164202122232534353637[Points],"DNP",0,1)</f>
        <v>DNP</v>
      </c>
      <c r="T229" t="str">
        <f>_xlfn.XLOOKUP(Table16[[#This Row],[Name]],Table2111216420212223253435363738[Name],Table2111216420212223253435363738[Points],"DNP",0,1)</f>
        <v>DNP</v>
      </c>
      <c r="U229" t="str">
        <f>_xlfn.XLOOKUP(Table16[[#This Row],[Name]],Table2111216420212223253435363739[Name],Table2111216420212223253435363739[Points],"DNP",0,1)</f>
        <v>DNP</v>
      </c>
      <c r="V229" t="str">
        <f>_xlfn.XLOOKUP(Table16[[#This Row],[Name]],Table211121642021222325343536373841[Name],Table211121642021222325343536373841[Points],"DNP",0,1)</f>
        <v>DNP</v>
      </c>
    </row>
    <row r="230" spans="2:22">
      <c r="B230" t="str">
        <f>IFERROR(Table5[[#This Row],[Full name]],"")</f>
        <v>Liam Carter</v>
      </c>
      <c r="C230" s="68">
        <f>SUM(Table16[[#This Row],[September 30, 2025]:[Column18]])</f>
        <v>138</v>
      </c>
      <c r="D230">
        <f>_xlfn.XLOOKUP(Table16[[#This Row],[Name]],Table4[Name],Table4[Points],"DNP",0,1)</f>
        <v>3</v>
      </c>
      <c r="E230">
        <f>_xlfn.XLOOKUP(Table16[[#This Row],[Name]],Table9[Name],Table9[Points],"DNP",0,1)</f>
        <v>4</v>
      </c>
      <c r="F230" t="str">
        <f>_xlfn.XLOOKUP(Table16[[#This Row],[Name]],Table18[Name],Table18[Points],"DNP",0,1)</f>
        <v>DNP</v>
      </c>
      <c r="G230">
        <f>_xlfn.XLOOKUP(Table16[[#This Row],[Name]],Table2[Name],Table2[Points],"DNP",0,1)</f>
        <v>1</v>
      </c>
      <c r="H230">
        <f>_xlfn.XLOOKUP(Table16[[#This Row],[Name]],Table211[Name],Table211[Points],"DNP",0,1)</f>
        <v>1</v>
      </c>
      <c r="I230" t="str">
        <f>_xlfn.XLOOKUP(Table16[[#This Row],[Name]],Table21112[Name],Table21112[Points],"DNP",0,1)</f>
        <v>DNP</v>
      </c>
      <c r="J230" t="str">
        <f>_xlfn.XLOOKUP(Table16[[#This Row],[Name]],Table21112164[Name],Table21112164[Points],"DNP",0,1)</f>
        <v>DNP</v>
      </c>
      <c r="K230" t="str">
        <f>_xlfn.XLOOKUP(Table16[[#This Row],[Name]],Table2111216420[Name],Table2111216420[Points],"DNP",0,1)</f>
        <v>DNP</v>
      </c>
      <c r="L230" t="str">
        <f>_xlfn.XLOOKUP(Table16[[#This Row],[Name]],Table211121642021[Name],Table211121642021[Points],"DNP",0,1)</f>
        <v>DNP</v>
      </c>
      <c r="M230">
        <f>_xlfn.XLOOKUP(Table16[[#This Row],[Name]],Table21112164202122[Name],Table21112164202122[Points],"DNP",0,1)</f>
        <v>23</v>
      </c>
      <c r="N230">
        <f>_xlfn.XLOOKUP(Table16[[#This Row],[Name]],Table2111216420212223[Name],Table2111216420212223[Points],"DNP",0,1)</f>
        <v>3</v>
      </c>
      <c r="O230" t="str">
        <f>_xlfn.XLOOKUP(Table16[[#This Row],[Name]],Table211121642021222325[Name],Table211121642021222325[Points],"DNP",0,1)</f>
        <v>DNP</v>
      </c>
      <c r="P230">
        <f>_xlfn.XLOOKUP(Table16[[#This Row],[Name]],Table21112164202122232534[Name],Table21112164202122232534[Points],"DNP",0,1)</f>
        <v>4</v>
      </c>
      <c r="Q230">
        <f>_xlfn.XLOOKUP(Table16[[#This Row],[Name]],Table2111216420212223253435[Name],Table2111216420212223253435[Points],"DNP",0,1)</f>
        <v>4</v>
      </c>
      <c r="R230">
        <f>_xlfn.XLOOKUP(Table16[[#This Row],[Name]],Table211121642021222325343536[Name],Table211121642021222325343536[Points],"DNP",0,1)</f>
        <v>50</v>
      </c>
      <c r="S230">
        <f>_xlfn.XLOOKUP(Table16[[#This Row],[Name]],Table21112164202122232534353637[Name],Table21112164202122232534353637[Points],"DNP",0,1)</f>
        <v>20</v>
      </c>
      <c r="T230" t="str">
        <f>_xlfn.XLOOKUP(Table16[[#This Row],[Name]],Table2111216420212223253435363738[Name],Table2111216420212223253435363738[Points],"DNP",0,1)</f>
        <v>DNP</v>
      </c>
      <c r="U230">
        <f>_xlfn.XLOOKUP(Table16[[#This Row],[Name]],Table2111216420212223253435363739[Name],Table2111216420212223253435363739[Points],"DNP",0,1)</f>
        <v>23</v>
      </c>
      <c r="V230">
        <f>_xlfn.XLOOKUP(Table16[[#This Row],[Name]],Table211121642021222325343536373841[Name],Table211121642021222325343536373841[Points],"DNP",0,1)</f>
        <v>2</v>
      </c>
    </row>
    <row r="231" spans="2:22">
      <c r="B231" t="str">
        <f>IFERROR(Table5[[#This Row],[Full name]],"")</f>
        <v>Liam Surka</v>
      </c>
      <c r="C231" s="68">
        <f>SUM(Table16[[#This Row],[September 30, 2025]:[Column18]])</f>
        <v>0</v>
      </c>
      <c r="D231" t="str">
        <f>_xlfn.XLOOKUP(Table16[[#This Row],[Name]],Table4[Name],Table4[Points],"DNP",0,1)</f>
        <v>DNP</v>
      </c>
      <c r="E231" t="str">
        <f>_xlfn.XLOOKUP(Table16[[#This Row],[Name]],Table9[Name],Table9[Points],"DNP",0,1)</f>
        <v>DNP</v>
      </c>
      <c r="F231" t="str">
        <f>_xlfn.XLOOKUP(Table16[[#This Row],[Name]],Table18[Name],Table18[Points],"DNP",0,1)</f>
        <v>DNP</v>
      </c>
      <c r="G231" t="str">
        <f>_xlfn.XLOOKUP(Table16[[#This Row],[Name]],Table2[Name],Table2[Points],"DNP",0,1)</f>
        <v>DNP</v>
      </c>
      <c r="H231" t="str">
        <f>_xlfn.XLOOKUP(Table16[[#This Row],[Name]],Table211[Name],Table211[Points],"DNP",0,1)</f>
        <v>DNP</v>
      </c>
      <c r="I231" t="str">
        <f>_xlfn.XLOOKUP(Table16[[#This Row],[Name]],Table21112[Name],Table21112[Points],"DNP",0,1)</f>
        <v>DNP</v>
      </c>
      <c r="J231" t="str">
        <f>_xlfn.XLOOKUP(Table16[[#This Row],[Name]],Table21112164[Name],Table21112164[Points],"DNP",0,1)</f>
        <v>DNP</v>
      </c>
      <c r="K231" t="str">
        <f>_xlfn.XLOOKUP(Table16[[#This Row],[Name]],Table2111216420[Name],Table2111216420[Points],"DNP",0,1)</f>
        <v>DNP</v>
      </c>
      <c r="L231" t="str">
        <f>_xlfn.XLOOKUP(Table16[[#This Row],[Name]],Table211121642021[Name],Table211121642021[Points],"DNP",0,1)</f>
        <v>DNP</v>
      </c>
      <c r="M231" t="str">
        <f>_xlfn.XLOOKUP(Table16[[#This Row],[Name]],Table21112164202122[Name],Table21112164202122[Points],"DNP",0,1)</f>
        <v>DNP</v>
      </c>
      <c r="N231" t="str">
        <f>_xlfn.XLOOKUP(Table16[[#This Row],[Name]],Table2111216420212223[Name],Table2111216420212223[Points],"DNP",0,1)</f>
        <v>DNP</v>
      </c>
      <c r="O231" t="str">
        <f>_xlfn.XLOOKUP(Table16[[#This Row],[Name]],Table211121642021222325[Name],Table211121642021222325[Points],"DNP",0,1)</f>
        <v>DNP</v>
      </c>
      <c r="P231" t="str">
        <f>_xlfn.XLOOKUP(Table16[[#This Row],[Name]],Table21112164202122232534[Name],Table21112164202122232534[Points],"DNP",0,1)</f>
        <v>DNP</v>
      </c>
      <c r="Q231" t="str">
        <f>_xlfn.XLOOKUP(Table16[[#This Row],[Name]],Table2111216420212223253435[Name],Table2111216420212223253435[Points],"DNP",0,1)</f>
        <v>DNP</v>
      </c>
      <c r="R231" t="str">
        <f>_xlfn.XLOOKUP(Table16[[#This Row],[Name]],Table211121642021222325343536[Name],Table211121642021222325343536[Points],"DNP",0,1)</f>
        <v>DNP</v>
      </c>
      <c r="S231" t="str">
        <f>_xlfn.XLOOKUP(Table16[[#This Row],[Name]],Table21112164202122232534353637[Name],Table21112164202122232534353637[Points],"DNP",0,1)</f>
        <v>DNP</v>
      </c>
      <c r="T231" t="str">
        <f>_xlfn.XLOOKUP(Table16[[#This Row],[Name]],Table2111216420212223253435363738[Name],Table2111216420212223253435363738[Points],"DNP",0,1)</f>
        <v>DNP</v>
      </c>
      <c r="U231" t="str">
        <f>_xlfn.XLOOKUP(Table16[[#This Row],[Name]],Table2111216420212223253435363739[Name],Table2111216420212223253435363739[Points],"DNP",0,1)</f>
        <v>DNP</v>
      </c>
      <c r="V231" t="str">
        <f>_xlfn.XLOOKUP(Table16[[#This Row],[Name]],Table211121642021222325343536373841[Name],Table211121642021222325343536373841[Points],"DNP",0,1)</f>
        <v>DNP</v>
      </c>
    </row>
    <row r="232" spans="2:22">
      <c r="B232" t="str">
        <f>IFERROR(Table5[[#This Row],[Full name]],"")</f>
        <v>Lidia Permia</v>
      </c>
      <c r="C232" s="68">
        <f>SUM(Table16[[#This Row],[September 30, 2025]:[Column18]])</f>
        <v>4</v>
      </c>
      <c r="D232" t="str">
        <f>_xlfn.XLOOKUP(Table16[[#This Row],[Name]],Table4[Name],Table4[Points],"DNP",0,1)</f>
        <v>DNP</v>
      </c>
      <c r="E232" t="str">
        <f>_xlfn.XLOOKUP(Table16[[#This Row],[Name]],Table9[Name],Table9[Points],"DNP",0,1)</f>
        <v>DNP</v>
      </c>
      <c r="F232" t="str">
        <f>_xlfn.XLOOKUP(Table16[[#This Row],[Name]],Table18[Name],Table18[Points],"DNP",0,1)</f>
        <v>DNP</v>
      </c>
      <c r="G232" t="str">
        <f>_xlfn.XLOOKUP(Table16[[#This Row],[Name]],Table2[Name],Table2[Points],"DNP",0,1)</f>
        <v>DNP</v>
      </c>
      <c r="H232" t="str">
        <f>_xlfn.XLOOKUP(Table16[[#This Row],[Name]],Table211[Name],Table211[Points],"DNP",0,1)</f>
        <v>DNP</v>
      </c>
      <c r="I232" t="str">
        <f>_xlfn.XLOOKUP(Table16[[#This Row],[Name]],Table21112[Name],Table21112[Points],"DNP",0,1)</f>
        <v>DNP</v>
      </c>
      <c r="J232">
        <f>_xlfn.XLOOKUP(Table16[[#This Row],[Name]],Table21112164[Name],Table21112164[Points],"DNP",0,1)</f>
        <v>4</v>
      </c>
      <c r="K232" t="str">
        <f>_xlfn.XLOOKUP(Table16[[#This Row],[Name]],Table2111216420[Name],Table2111216420[Points],"DNP",0,1)</f>
        <v>DNP</v>
      </c>
      <c r="L232" t="str">
        <f>_xlfn.XLOOKUP(Table16[[#This Row],[Name]],Table211121642021[Name],Table211121642021[Points],"DNP",0,1)</f>
        <v>DNP</v>
      </c>
      <c r="M232" t="str">
        <f>_xlfn.XLOOKUP(Table16[[#This Row],[Name]],Table21112164202122[Name],Table21112164202122[Points],"DNP",0,1)</f>
        <v>DNP</v>
      </c>
      <c r="N232" t="str">
        <f>_xlfn.XLOOKUP(Table16[[#This Row],[Name]],Table2111216420212223[Name],Table2111216420212223[Points],"DNP",0,1)</f>
        <v>DNP</v>
      </c>
      <c r="O232" t="str">
        <f>_xlfn.XLOOKUP(Table16[[#This Row],[Name]],Table211121642021222325[Name],Table211121642021222325[Points],"DNP",0,1)</f>
        <v>DNP</v>
      </c>
      <c r="P232" t="str">
        <f>_xlfn.XLOOKUP(Table16[[#This Row],[Name]],Table21112164202122232534[Name],Table21112164202122232534[Points],"DNP",0,1)</f>
        <v>DNP</v>
      </c>
      <c r="Q232" t="str">
        <f>_xlfn.XLOOKUP(Table16[[#This Row],[Name]],Table2111216420212223253435[Name],Table2111216420212223253435[Points],"DNP",0,1)</f>
        <v>DNP</v>
      </c>
      <c r="R232" t="str">
        <f>_xlfn.XLOOKUP(Table16[[#This Row],[Name]],Table211121642021222325343536[Name],Table211121642021222325343536[Points],"DNP",0,1)</f>
        <v>DNP</v>
      </c>
      <c r="S232" t="str">
        <f>_xlfn.XLOOKUP(Table16[[#This Row],[Name]],Table21112164202122232534353637[Name],Table21112164202122232534353637[Points],"DNP",0,1)</f>
        <v>DNP</v>
      </c>
      <c r="T232" t="str">
        <f>_xlfn.XLOOKUP(Table16[[#This Row],[Name]],Table2111216420212223253435363738[Name],Table2111216420212223253435363738[Points],"DNP",0,1)</f>
        <v>DNP</v>
      </c>
      <c r="U232" t="str">
        <f>_xlfn.XLOOKUP(Table16[[#This Row],[Name]],Table2111216420212223253435363739[Name],Table2111216420212223253435363739[Points],"DNP",0,1)</f>
        <v>DNP</v>
      </c>
      <c r="V232" t="str">
        <f>_xlfn.XLOOKUP(Table16[[#This Row],[Name]],Table211121642021222325343536373841[Name],Table211121642021222325343536373841[Points],"DNP",0,1)</f>
        <v>DNP</v>
      </c>
    </row>
    <row r="233" spans="2:22">
      <c r="B233" t="str">
        <f>IFERROR(Table5[[#This Row],[Full name]],"")</f>
        <v>Louis Vaupotic</v>
      </c>
      <c r="C233" s="68">
        <f>SUM(Table16[[#This Row],[September 30, 2025]:[Column18]])</f>
        <v>0</v>
      </c>
      <c r="D233" t="str">
        <f>_xlfn.XLOOKUP(Table16[[#This Row],[Name]],Table4[Name],Table4[Points],"DNP",0,1)</f>
        <v>DNP</v>
      </c>
      <c r="E233" t="str">
        <f>_xlfn.XLOOKUP(Table16[[#This Row],[Name]],Table9[Name],Table9[Points],"DNP",0,1)</f>
        <v>DNP</v>
      </c>
      <c r="F233" t="str">
        <f>_xlfn.XLOOKUP(Table16[[#This Row],[Name]],Table18[Name],Table18[Points],"DNP",0,1)</f>
        <v>DNP</v>
      </c>
      <c r="G233" t="str">
        <f>_xlfn.XLOOKUP(Table16[[#This Row],[Name]],Table2[Name],Table2[Points],"DNP",0,1)</f>
        <v>DNP</v>
      </c>
      <c r="H233" t="str">
        <f>_xlfn.XLOOKUP(Table16[[#This Row],[Name]],Table211[Name],Table211[Points],"DNP",0,1)</f>
        <v>DNP</v>
      </c>
      <c r="I233" t="str">
        <f>_xlfn.XLOOKUP(Table16[[#This Row],[Name]],Table21112[Name],Table21112[Points],"DNP",0,1)</f>
        <v>DNP</v>
      </c>
      <c r="J233" t="str">
        <f>_xlfn.XLOOKUP(Table16[[#This Row],[Name]],Table21112164[Name],Table21112164[Points],"DNP",0,1)</f>
        <v>DNP</v>
      </c>
      <c r="K233" t="str">
        <f>_xlfn.XLOOKUP(Table16[[#This Row],[Name]],Table2111216420[Name],Table2111216420[Points],"DNP",0,1)</f>
        <v>DNP</v>
      </c>
      <c r="L233" t="str">
        <f>_xlfn.XLOOKUP(Table16[[#This Row],[Name]],Table211121642021[Name],Table211121642021[Points],"DNP",0,1)</f>
        <v>DNP</v>
      </c>
      <c r="M233" t="str">
        <f>_xlfn.XLOOKUP(Table16[[#This Row],[Name]],Table21112164202122[Name],Table21112164202122[Points],"DNP",0,1)</f>
        <v>DNP</v>
      </c>
      <c r="N233" t="str">
        <f>_xlfn.XLOOKUP(Table16[[#This Row],[Name]],Table2111216420212223[Name],Table2111216420212223[Points],"DNP",0,1)</f>
        <v>DNP</v>
      </c>
      <c r="O233" t="str">
        <f>_xlfn.XLOOKUP(Table16[[#This Row],[Name]],Table211121642021222325[Name],Table211121642021222325[Points],"DNP",0,1)</f>
        <v>DNP</v>
      </c>
      <c r="P233" t="str">
        <f>_xlfn.XLOOKUP(Table16[[#This Row],[Name]],Table21112164202122232534[Name],Table21112164202122232534[Points],"DNP",0,1)</f>
        <v>DNP</v>
      </c>
      <c r="Q233" t="str">
        <f>_xlfn.XLOOKUP(Table16[[#This Row],[Name]],Table2111216420212223253435[Name],Table2111216420212223253435[Points],"DNP",0,1)</f>
        <v>DNP</v>
      </c>
      <c r="R233" t="str">
        <f>_xlfn.XLOOKUP(Table16[[#This Row],[Name]],Table211121642021222325343536[Name],Table211121642021222325343536[Points],"DNP",0,1)</f>
        <v>DNP</v>
      </c>
      <c r="S233" t="str">
        <f>_xlfn.XLOOKUP(Table16[[#This Row],[Name]],Table21112164202122232534353637[Name],Table21112164202122232534353637[Points],"DNP",0,1)</f>
        <v>DNP</v>
      </c>
      <c r="T233" t="str">
        <f>_xlfn.XLOOKUP(Table16[[#This Row],[Name]],Table2111216420212223253435363738[Name],Table2111216420212223253435363738[Points],"DNP",0,1)</f>
        <v>DNP</v>
      </c>
      <c r="U233" t="str">
        <f>_xlfn.XLOOKUP(Table16[[#This Row],[Name]],Table2111216420212223253435363739[Name],Table2111216420212223253435363739[Points],"DNP",0,1)</f>
        <v>DNP</v>
      </c>
      <c r="V233" t="str">
        <f>_xlfn.XLOOKUP(Table16[[#This Row],[Name]],Table211121642021222325343536373841[Name],Table211121642021222325343536373841[Points],"DNP",0,1)</f>
        <v>DNP</v>
      </c>
    </row>
    <row r="234" spans="2:22">
      <c r="B234" t="str">
        <f>IFERROR(Table5[[#This Row],[Full name]],"")</f>
        <v>Luckshane Imparaza</v>
      </c>
      <c r="C234" s="68">
        <f>SUM(Table16[[#This Row],[September 30, 2025]:[Column18]])</f>
        <v>30</v>
      </c>
      <c r="D234">
        <f>_xlfn.XLOOKUP(Table16[[#This Row],[Name]],Table4[Name],Table4[Points],"DNP",0,1)</f>
        <v>2</v>
      </c>
      <c r="E234" t="str">
        <f>_xlfn.XLOOKUP(Table16[[#This Row],[Name]],Table9[Name],Table9[Points],"DNP",0,1)</f>
        <v>DNP</v>
      </c>
      <c r="F234">
        <f>_xlfn.XLOOKUP(Table16[[#This Row],[Name]],Table18[Name],Table18[Points],"DNP",0,1)</f>
        <v>8</v>
      </c>
      <c r="G234">
        <f>_xlfn.XLOOKUP(Table16[[#This Row],[Name]],Table2[Name],Table2[Points],"DNP",0,1)</f>
        <v>4</v>
      </c>
      <c r="H234" t="str">
        <f>_xlfn.XLOOKUP(Table16[[#This Row],[Name]],Table211[Name],Table211[Points],"DNP",0,1)</f>
        <v>DNP</v>
      </c>
      <c r="I234">
        <f>_xlfn.XLOOKUP(Table16[[#This Row],[Name]],Table21112[Name],Table21112[Points],"DNP",0,1)</f>
        <v>1</v>
      </c>
      <c r="J234">
        <f>_xlfn.XLOOKUP(Table16[[#This Row],[Name]],Table21112164[Name],Table21112164[Points],"DNP",0,1)</f>
        <v>1</v>
      </c>
      <c r="K234">
        <f>_xlfn.XLOOKUP(Table16[[#This Row],[Name]],Table2111216420[Name],Table2111216420[Points],"DNP",0,1)</f>
        <v>3</v>
      </c>
      <c r="L234">
        <f>_xlfn.XLOOKUP(Table16[[#This Row],[Name]],Table211121642021[Name],Table211121642021[Points],"DNP",0,1)</f>
        <v>4</v>
      </c>
      <c r="M234">
        <f>_xlfn.XLOOKUP(Table16[[#This Row],[Name]],Table21112164202122[Name],Table21112164202122[Points],"DNP",0,1)</f>
        <v>2</v>
      </c>
      <c r="N234" t="str">
        <f>_xlfn.XLOOKUP(Table16[[#This Row],[Name]],Table2111216420212223[Name],Table2111216420212223[Points],"DNP",0,1)</f>
        <v>DNP</v>
      </c>
      <c r="O234">
        <f>_xlfn.XLOOKUP(Table16[[#This Row],[Name]],Table211121642021222325[Name],Table211121642021222325[Points],"DNP",0,1)</f>
        <v>3</v>
      </c>
      <c r="P234" t="str">
        <f>_xlfn.XLOOKUP(Table16[[#This Row],[Name]],Table21112164202122232534[Name],Table21112164202122232534[Points],"DNP",0,1)</f>
        <v>DNP</v>
      </c>
      <c r="Q234">
        <f>_xlfn.XLOOKUP(Table16[[#This Row],[Name]],Table2111216420212223253435[Name],Table2111216420212223253435[Points],"DNP",0,1)</f>
        <v>2</v>
      </c>
      <c r="R234" t="str">
        <f>_xlfn.XLOOKUP(Table16[[#This Row],[Name]],Table211121642021222325343536[Name],Table211121642021222325343536[Points],"DNP",0,1)</f>
        <v>DNP</v>
      </c>
      <c r="S234" t="str">
        <f>_xlfn.XLOOKUP(Table16[[#This Row],[Name]],Table21112164202122232534353637[Name],Table21112164202122232534353637[Points],"DNP",0,1)</f>
        <v>DNP</v>
      </c>
      <c r="T234" t="str">
        <f>_xlfn.XLOOKUP(Table16[[#This Row],[Name]],Table2111216420212223253435363738[Name],Table2111216420212223253435363738[Points],"DNP",0,1)</f>
        <v>DNP</v>
      </c>
      <c r="U234" t="str">
        <f>_xlfn.XLOOKUP(Table16[[#This Row],[Name]],Table2111216420212223253435363739[Name],Table2111216420212223253435363739[Points],"DNP",0,1)</f>
        <v>DNP</v>
      </c>
      <c r="V234" t="str">
        <f>_xlfn.XLOOKUP(Table16[[#This Row],[Name]],Table211121642021222325343536373841[Name],Table211121642021222325343536373841[Points],"DNP",0,1)</f>
        <v>DNP</v>
      </c>
    </row>
    <row r="235" spans="2:22">
      <c r="B235" t="str">
        <f>IFERROR(Table5[[#This Row],[Full name]],"")</f>
        <v>Lucy Kim</v>
      </c>
      <c r="C235" s="68">
        <f>SUM(Table16[[#This Row],[September 30, 2025]:[Column18]])</f>
        <v>39</v>
      </c>
      <c r="D235" t="str">
        <f>_xlfn.XLOOKUP(Table16[[#This Row],[Name]],Table4[Name],Table4[Points],"DNP",0,1)</f>
        <v>DNP</v>
      </c>
      <c r="E235">
        <f>_xlfn.XLOOKUP(Table16[[#This Row],[Name]],Table9[Name],Table9[Points],"DNP",0,1)</f>
        <v>2</v>
      </c>
      <c r="F235" t="str">
        <f>_xlfn.XLOOKUP(Table16[[#This Row],[Name]],Table18[Name],Table18[Points],"DNP",0,1)</f>
        <v>DNP</v>
      </c>
      <c r="G235">
        <f>_xlfn.XLOOKUP(Table16[[#This Row],[Name]],Table2[Name],Table2[Points],"DNP",0,1)</f>
        <v>4</v>
      </c>
      <c r="H235">
        <f>_xlfn.XLOOKUP(Table16[[#This Row],[Name]],Table211[Name],Table211[Points],"DNP",0,1)</f>
        <v>2</v>
      </c>
      <c r="I235">
        <f>_xlfn.XLOOKUP(Table16[[#This Row],[Name]],Table21112[Name],Table21112[Points],"DNP",0,1)</f>
        <v>2</v>
      </c>
      <c r="J235">
        <f>_xlfn.XLOOKUP(Table16[[#This Row],[Name]],Table21112164[Name],Table21112164[Points],"DNP",0,1)</f>
        <v>1</v>
      </c>
      <c r="K235">
        <f>_xlfn.XLOOKUP(Table16[[#This Row],[Name]],Table2111216420[Name],Table2111216420[Points],"DNP",0,1)</f>
        <v>3</v>
      </c>
      <c r="L235">
        <f>_xlfn.XLOOKUP(Table16[[#This Row],[Name]],Table211121642021[Name],Table211121642021[Points],"DNP",0,1)</f>
        <v>2</v>
      </c>
      <c r="M235">
        <f>_xlfn.XLOOKUP(Table16[[#This Row],[Name]],Table21112164202122[Name],Table21112164202122[Points],"DNP",0,1)</f>
        <v>1</v>
      </c>
      <c r="N235">
        <f>_xlfn.XLOOKUP(Table16[[#This Row],[Name]],Table2111216420212223[Name],Table2111216420212223[Points],"DNP",0,1)</f>
        <v>10</v>
      </c>
      <c r="O235">
        <f>_xlfn.XLOOKUP(Table16[[#This Row],[Name]],Table211121642021222325[Name],Table211121642021222325[Points],"DNP",0,1)</f>
        <v>4</v>
      </c>
      <c r="P235">
        <f>_xlfn.XLOOKUP(Table16[[#This Row],[Name]],Table21112164202122232534[Name],Table21112164202122232534[Points],"DNP",0,1)</f>
        <v>1</v>
      </c>
      <c r="Q235" t="str">
        <f>_xlfn.XLOOKUP(Table16[[#This Row],[Name]],Table2111216420212223253435[Name],Table2111216420212223253435[Points],"DNP",0,1)</f>
        <v>DNP</v>
      </c>
      <c r="R235">
        <f>_xlfn.XLOOKUP(Table16[[#This Row],[Name]],Table211121642021222325343536[Name],Table211121642021222325343536[Points],"DNP",0,1)</f>
        <v>2</v>
      </c>
      <c r="S235">
        <f>_xlfn.XLOOKUP(Table16[[#This Row],[Name]],Table21112164202122232534353637[Name],Table21112164202122232534353637[Points],"DNP",0,1)</f>
        <v>2</v>
      </c>
      <c r="T235" t="str">
        <f>_xlfn.XLOOKUP(Table16[[#This Row],[Name]],Table2111216420212223253435363738[Name],Table2111216420212223253435363738[Points],"DNP",0,1)</f>
        <v>DNP</v>
      </c>
      <c r="U235">
        <f>_xlfn.XLOOKUP(Table16[[#This Row],[Name]],Table2111216420212223253435363739[Name],Table2111216420212223253435363739[Points],"DNP",0,1)</f>
        <v>2</v>
      </c>
      <c r="V235">
        <f>_xlfn.XLOOKUP(Table16[[#This Row],[Name]],Table211121642021222325343536373841[Name],Table211121642021222325343536373841[Points],"DNP",0,1)</f>
        <v>1</v>
      </c>
    </row>
    <row r="236" spans="2:22">
      <c r="B236" t="str">
        <f>IFERROR(Table5[[#This Row],[Full name]],"")</f>
        <v>Luke Bannan</v>
      </c>
      <c r="C236" s="68">
        <f>SUM(Table16[[#This Row],[September 30, 2025]:[Column18]])</f>
        <v>6</v>
      </c>
      <c r="D236">
        <f>_xlfn.XLOOKUP(Table16[[#This Row],[Name]],Table4[Name],Table4[Points],"DNP",0,1)</f>
        <v>1</v>
      </c>
      <c r="E236">
        <f>_xlfn.XLOOKUP(Table16[[#This Row],[Name]],Table9[Name],Table9[Points],"DNP",0,1)</f>
        <v>3</v>
      </c>
      <c r="F236" t="str">
        <f>_xlfn.XLOOKUP(Table16[[#This Row],[Name]],Table18[Name],Table18[Points],"DNP",0,1)</f>
        <v>DNP</v>
      </c>
      <c r="G236">
        <f>_xlfn.XLOOKUP(Table16[[#This Row],[Name]],Table2[Name],Table2[Points],"DNP",0,1)</f>
        <v>1</v>
      </c>
      <c r="H236" t="str">
        <f>_xlfn.XLOOKUP(Table16[[#This Row],[Name]],Table211[Name],Table211[Points],"DNP",0,1)</f>
        <v>DNP</v>
      </c>
      <c r="I236" t="str">
        <f>_xlfn.XLOOKUP(Table16[[#This Row],[Name]],Table21112[Name],Table21112[Points],"DNP",0,1)</f>
        <v>DNP</v>
      </c>
      <c r="J236" t="str">
        <f>_xlfn.XLOOKUP(Table16[[#This Row],[Name]],Table21112164[Name],Table21112164[Points],"DNP",0,1)</f>
        <v>DNP</v>
      </c>
      <c r="K236">
        <f>_xlfn.XLOOKUP(Table16[[#This Row],[Name]],Table2111216420[Name],Table2111216420[Points],"DNP",0,1)</f>
        <v>1</v>
      </c>
      <c r="L236" t="str">
        <f>_xlfn.XLOOKUP(Table16[[#This Row],[Name]],Table211121642021[Name],Table211121642021[Points],"DNP",0,1)</f>
        <v>DNP</v>
      </c>
      <c r="M236" t="str">
        <f>_xlfn.XLOOKUP(Table16[[#This Row],[Name]],Table21112164202122[Name],Table21112164202122[Points],"DNP",0,1)</f>
        <v>DNP</v>
      </c>
      <c r="N236" t="str">
        <f>_xlfn.XLOOKUP(Table16[[#This Row],[Name]],Table2111216420212223[Name],Table2111216420212223[Points],"DNP",0,1)</f>
        <v>DNP</v>
      </c>
      <c r="O236" t="str">
        <f>_xlfn.XLOOKUP(Table16[[#This Row],[Name]],Table211121642021222325[Name],Table211121642021222325[Points],"DNP",0,1)</f>
        <v>DNP</v>
      </c>
      <c r="P236" t="str">
        <f>_xlfn.XLOOKUP(Table16[[#This Row],[Name]],Table21112164202122232534[Name],Table21112164202122232534[Points],"DNP",0,1)</f>
        <v>DNP</v>
      </c>
      <c r="Q236" t="str">
        <f>_xlfn.XLOOKUP(Table16[[#This Row],[Name]],Table2111216420212223253435[Name],Table2111216420212223253435[Points],"DNP",0,1)</f>
        <v>DNP</v>
      </c>
      <c r="R236" t="str">
        <f>_xlfn.XLOOKUP(Table16[[#This Row],[Name]],Table211121642021222325343536[Name],Table211121642021222325343536[Points],"DNP",0,1)</f>
        <v>DNP</v>
      </c>
      <c r="S236" t="str">
        <f>_xlfn.XLOOKUP(Table16[[#This Row],[Name]],Table21112164202122232534353637[Name],Table21112164202122232534353637[Points],"DNP",0,1)</f>
        <v>DNP</v>
      </c>
      <c r="T236" t="str">
        <f>_xlfn.XLOOKUP(Table16[[#This Row],[Name]],Table2111216420212223253435363738[Name],Table2111216420212223253435363738[Points],"DNP",0,1)</f>
        <v>DNP</v>
      </c>
      <c r="U236" t="str">
        <f>_xlfn.XLOOKUP(Table16[[#This Row],[Name]],Table2111216420212223253435363739[Name],Table2111216420212223253435363739[Points],"DNP",0,1)</f>
        <v>DNP</v>
      </c>
      <c r="V236" t="str">
        <f>_xlfn.XLOOKUP(Table16[[#This Row],[Name]],Table211121642021222325343536373841[Name],Table211121642021222325343536373841[Points],"DNP",0,1)</f>
        <v>DNP</v>
      </c>
    </row>
    <row r="237" spans="2:22">
      <c r="B237" t="str">
        <f>IFERROR(Table5[[#This Row],[Full name]],"")</f>
        <v>Mahbod Miraly</v>
      </c>
      <c r="C237" s="68">
        <f>SUM(Table16[[#This Row],[September 30, 2025]:[Column18]])</f>
        <v>13</v>
      </c>
      <c r="D237" t="str">
        <f>_xlfn.XLOOKUP(Table16[[#This Row],[Name]],Table4[Name],Table4[Points],"DNP",0,1)</f>
        <v>DNP</v>
      </c>
      <c r="E237" t="str">
        <f>_xlfn.XLOOKUP(Table16[[#This Row],[Name]],Table9[Name],Table9[Points],"DNP",0,1)</f>
        <v>DNP</v>
      </c>
      <c r="F237">
        <f>_xlfn.XLOOKUP(Table16[[#This Row],[Name]],Table18[Name],Table18[Points],"DNP",0,1)</f>
        <v>1</v>
      </c>
      <c r="G237">
        <f>_xlfn.XLOOKUP(Table16[[#This Row],[Name]],Table2[Name],Table2[Points],"DNP",0,1)</f>
        <v>4</v>
      </c>
      <c r="H237" t="str">
        <f>_xlfn.XLOOKUP(Table16[[#This Row],[Name]],Table211[Name],Table211[Points],"DNP",0,1)</f>
        <v>DNP</v>
      </c>
      <c r="I237" t="str">
        <f>_xlfn.XLOOKUP(Table16[[#This Row],[Name]],Table21112[Name],Table21112[Points],"DNP",0,1)</f>
        <v>DNP</v>
      </c>
      <c r="J237" t="str">
        <f>_xlfn.XLOOKUP(Table16[[#This Row],[Name]],Table21112164[Name],Table21112164[Points],"DNP",0,1)</f>
        <v>DNP</v>
      </c>
      <c r="K237">
        <f>_xlfn.XLOOKUP(Table16[[#This Row],[Name]],Table2111216420[Name],Table2111216420[Points],"DNP",0,1)</f>
        <v>4</v>
      </c>
      <c r="L237">
        <f>_xlfn.XLOOKUP(Table16[[#This Row],[Name]],Table211121642021[Name],Table211121642021[Points],"DNP",0,1)</f>
        <v>2</v>
      </c>
      <c r="M237" t="str">
        <f>_xlfn.XLOOKUP(Table16[[#This Row],[Name]],Table21112164202122[Name],Table21112164202122[Points],"DNP",0,1)</f>
        <v>DNP</v>
      </c>
      <c r="N237" t="str">
        <f>_xlfn.XLOOKUP(Table16[[#This Row],[Name]],Table2111216420212223[Name],Table2111216420212223[Points],"DNP",0,1)</f>
        <v>DNP</v>
      </c>
      <c r="O237" t="str">
        <f>_xlfn.XLOOKUP(Table16[[#This Row],[Name]],Table211121642021222325[Name],Table211121642021222325[Points],"DNP",0,1)</f>
        <v>DNP</v>
      </c>
      <c r="P237" t="str">
        <f>_xlfn.XLOOKUP(Table16[[#This Row],[Name]],Table21112164202122232534[Name],Table21112164202122232534[Points],"DNP",0,1)</f>
        <v>DNP</v>
      </c>
      <c r="Q237" t="str">
        <f>_xlfn.XLOOKUP(Table16[[#This Row],[Name]],Table2111216420212223253435[Name],Table2111216420212223253435[Points],"DNP",0,1)</f>
        <v>DNP</v>
      </c>
      <c r="R237" t="str">
        <f>_xlfn.XLOOKUP(Table16[[#This Row],[Name]],Table211121642021222325343536[Name],Table211121642021222325343536[Points],"DNP",0,1)</f>
        <v>DNP</v>
      </c>
      <c r="S237">
        <f>_xlfn.XLOOKUP(Table16[[#This Row],[Name]],Table21112164202122232534353637[Name],Table21112164202122232534353637[Points],"DNP",0,1)</f>
        <v>1</v>
      </c>
      <c r="T237" t="str">
        <f>_xlfn.XLOOKUP(Table16[[#This Row],[Name]],Table2111216420212223253435363738[Name],Table2111216420212223253435363738[Points],"DNP",0,1)</f>
        <v>DNP</v>
      </c>
      <c r="U237">
        <f>_xlfn.XLOOKUP(Table16[[#This Row],[Name]],Table2111216420212223253435363739[Name],Table2111216420212223253435363739[Points],"DNP",0,1)</f>
        <v>1</v>
      </c>
      <c r="V237" t="str">
        <f>_xlfn.XLOOKUP(Table16[[#This Row],[Name]],Table211121642021222325343536373841[Name],Table211121642021222325343536373841[Points],"DNP",0,1)</f>
        <v>DNP</v>
      </c>
    </row>
    <row r="238" spans="2:22">
      <c r="B238" t="str">
        <f>IFERROR(Table5[[#This Row],[Full name]],"")</f>
        <v>Marcel Cannan La France</v>
      </c>
      <c r="C238" s="68">
        <f>SUM(Table16[[#This Row],[September 30, 2025]:[Column18]])</f>
        <v>9</v>
      </c>
      <c r="D238" t="str">
        <f>_xlfn.XLOOKUP(Table16[[#This Row],[Name]],Table4[Name],Table4[Points],"DNP",0,1)</f>
        <v>DNP</v>
      </c>
      <c r="E238">
        <f>_xlfn.XLOOKUP(Table16[[#This Row],[Name]],Table9[Name],Table9[Points],"DNP",0,1)</f>
        <v>4</v>
      </c>
      <c r="F238">
        <f>_xlfn.XLOOKUP(Table16[[#This Row],[Name]],Table18[Name],Table18[Points],"DNP",0,1)</f>
        <v>1</v>
      </c>
      <c r="G238" t="str">
        <f>_xlfn.XLOOKUP(Table16[[#This Row],[Name]],Table2[Name],Table2[Points],"DNP",0,1)</f>
        <v>DNP</v>
      </c>
      <c r="H238">
        <f>_xlfn.XLOOKUP(Table16[[#This Row],[Name]],Table211[Name],Table211[Points],"DNP",0,1)</f>
        <v>2</v>
      </c>
      <c r="I238" t="str">
        <f>_xlfn.XLOOKUP(Table16[[#This Row],[Name]],Table21112[Name],Table21112[Points],"DNP",0,1)</f>
        <v>DNP</v>
      </c>
      <c r="J238" t="str">
        <f>_xlfn.XLOOKUP(Table16[[#This Row],[Name]],Table21112164[Name],Table21112164[Points],"DNP",0,1)</f>
        <v>DNP</v>
      </c>
      <c r="K238">
        <f>_xlfn.XLOOKUP(Table16[[#This Row],[Name]],Table2111216420[Name],Table2111216420[Points],"DNP",0,1)</f>
        <v>1</v>
      </c>
      <c r="L238" t="str">
        <f>_xlfn.XLOOKUP(Table16[[#This Row],[Name]],Table211121642021[Name],Table211121642021[Points],"DNP",0,1)</f>
        <v>DNP</v>
      </c>
      <c r="M238" t="str">
        <f>_xlfn.XLOOKUP(Table16[[#This Row],[Name]],Table21112164202122[Name],Table21112164202122[Points],"DNP",0,1)</f>
        <v>DNP</v>
      </c>
      <c r="N238">
        <f>_xlfn.XLOOKUP(Table16[[#This Row],[Name]],Table2111216420212223[Name],Table2111216420212223[Points],"DNP",0,1)</f>
        <v>1</v>
      </c>
      <c r="O238" t="str">
        <f>_xlfn.XLOOKUP(Table16[[#This Row],[Name]],Table211121642021222325[Name],Table211121642021222325[Points],"DNP",0,1)</f>
        <v>DNP</v>
      </c>
      <c r="P238" t="str">
        <f>_xlfn.XLOOKUP(Table16[[#This Row],[Name]],Table21112164202122232534[Name],Table21112164202122232534[Points],"DNP",0,1)</f>
        <v>DNP</v>
      </c>
      <c r="Q238" t="str">
        <f>_xlfn.XLOOKUP(Table16[[#This Row],[Name]],Table2111216420212223253435[Name],Table2111216420212223253435[Points],"DNP",0,1)</f>
        <v>DNP</v>
      </c>
      <c r="R238" t="str">
        <f>_xlfn.XLOOKUP(Table16[[#This Row],[Name]],Table211121642021222325343536[Name],Table211121642021222325343536[Points],"DNP",0,1)</f>
        <v>DNP</v>
      </c>
      <c r="S238" t="str">
        <f>_xlfn.XLOOKUP(Table16[[#This Row],[Name]],Table21112164202122232534353637[Name],Table21112164202122232534353637[Points],"DNP",0,1)</f>
        <v>DNP</v>
      </c>
      <c r="T238" t="str">
        <f>_xlfn.XLOOKUP(Table16[[#This Row],[Name]],Table2111216420212223253435363738[Name],Table2111216420212223253435363738[Points],"DNP",0,1)</f>
        <v>DNP</v>
      </c>
      <c r="U238" t="str">
        <f>_xlfn.XLOOKUP(Table16[[#This Row],[Name]],Table2111216420212223253435363739[Name],Table2111216420212223253435363739[Points],"DNP",0,1)</f>
        <v>DNP</v>
      </c>
      <c r="V238" t="str">
        <f>_xlfn.XLOOKUP(Table16[[#This Row],[Name]],Table211121642021222325343536373841[Name],Table211121642021222325343536373841[Points],"DNP",0,1)</f>
        <v>DNP</v>
      </c>
    </row>
    <row r="239" spans="2:22">
      <c r="B239" t="str">
        <f>IFERROR(Table5[[#This Row],[Full name]],"")</f>
        <v>Marco Jiang</v>
      </c>
      <c r="C239" s="68">
        <f>SUM(Table16[[#This Row],[September 30, 2025]:[Column18]])</f>
        <v>4</v>
      </c>
      <c r="D239" t="str">
        <f>_xlfn.XLOOKUP(Table16[[#This Row],[Name]],Table4[Name],Table4[Points],"DNP",0,1)</f>
        <v>DNP</v>
      </c>
      <c r="E239" t="str">
        <f>_xlfn.XLOOKUP(Table16[[#This Row],[Name]],Table9[Name],Table9[Points],"DNP",0,1)</f>
        <v>DNP</v>
      </c>
      <c r="F239" t="str">
        <f>_xlfn.XLOOKUP(Table16[[#This Row],[Name]],Table18[Name],Table18[Points],"DNP",0,1)</f>
        <v>DNP</v>
      </c>
      <c r="G239">
        <f>_xlfn.XLOOKUP(Table16[[#This Row],[Name]],Table2[Name],Table2[Points],"DNP",0,1)</f>
        <v>1</v>
      </c>
      <c r="H239" t="str">
        <f>_xlfn.XLOOKUP(Table16[[#This Row],[Name]],Table211[Name],Table211[Points],"DNP",0,1)</f>
        <v>DNP</v>
      </c>
      <c r="I239" t="str">
        <f>_xlfn.XLOOKUP(Table16[[#This Row],[Name]],Table21112[Name],Table21112[Points],"DNP",0,1)</f>
        <v>DNP</v>
      </c>
      <c r="J239">
        <f>_xlfn.XLOOKUP(Table16[[#This Row],[Name]],Table21112164[Name],Table21112164[Points],"DNP",0,1)</f>
        <v>1</v>
      </c>
      <c r="K239">
        <f>_xlfn.XLOOKUP(Table16[[#This Row],[Name]],Table2111216420[Name],Table2111216420[Points],"DNP",0,1)</f>
        <v>2</v>
      </c>
      <c r="L239" t="str">
        <f>_xlfn.XLOOKUP(Table16[[#This Row],[Name]],Table211121642021[Name],Table211121642021[Points],"DNP",0,1)</f>
        <v>DNP</v>
      </c>
      <c r="M239" t="str">
        <f>_xlfn.XLOOKUP(Table16[[#This Row],[Name]],Table21112164202122[Name],Table21112164202122[Points],"DNP",0,1)</f>
        <v>DNP</v>
      </c>
      <c r="N239" t="str">
        <f>_xlfn.XLOOKUP(Table16[[#This Row],[Name]],Table2111216420212223[Name],Table2111216420212223[Points],"DNP",0,1)</f>
        <v>DNP</v>
      </c>
      <c r="O239" t="str">
        <f>_xlfn.XLOOKUP(Table16[[#This Row],[Name]],Table211121642021222325[Name],Table211121642021222325[Points],"DNP",0,1)</f>
        <v>DNP</v>
      </c>
      <c r="P239" t="str">
        <f>_xlfn.XLOOKUP(Table16[[#This Row],[Name]],Table21112164202122232534[Name],Table21112164202122232534[Points],"DNP",0,1)</f>
        <v>DNP</v>
      </c>
      <c r="Q239" t="str">
        <f>_xlfn.XLOOKUP(Table16[[#This Row],[Name]],Table2111216420212223253435[Name],Table2111216420212223253435[Points],"DNP",0,1)</f>
        <v>DNP</v>
      </c>
      <c r="R239" t="str">
        <f>_xlfn.XLOOKUP(Table16[[#This Row],[Name]],Table211121642021222325343536[Name],Table211121642021222325343536[Points],"DNP",0,1)</f>
        <v>DNP</v>
      </c>
      <c r="S239" t="str">
        <f>_xlfn.XLOOKUP(Table16[[#This Row],[Name]],Table21112164202122232534353637[Name],Table21112164202122232534353637[Points],"DNP",0,1)</f>
        <v>DNP</v>
      </c>
      <c r="T239" t="str">
        <f>_xlfn.XLOOKUP(Table16[[#This Row],[Name]],Table2111216420212223253435363738[Name],Table2111216420212223253435363738[Points],"DNP",0,1)</f>
        <v>DNP</v>
      </c>
      <c r="U239" t="str">
        <f>_xlfn.XLOOKUP(Table16[[#This Row],[Name]],Table2111216420212223253435363739[Name],Table2111216420212223253435363739[Points],"DNP",0,1)</f>
        <v>DNP</v>
      </c>
      <c r="V239" t="str">
        <f>_xlfn.XLOOKUP(Table16[[#This Row],[Name]],Table211121642021222325343536373841[Name],Table211121642021222325343536373841[Points],"DNP",0,1)</f>
        <v>DNP</v>
      </c>
    </row>
    <row r="240" spans="2:22">
      <c r="B240" t="str">
        <f>IFERROR(Table5[[#This Row],[Full name]],"")</f>
        <v>Marcus Cameron</v>
      </c>
      <c r="C240" s="68">
        <f>SUM(Table16[[#This Row],[September 30, 2025]:[Column18]])</f>
        <v>3</v>
      </c>
      <c r="D240" t="str">
        <f>_xlfn.XLOOKUP(Table16[[#This Row],[Name]],Table4[Name],Table4[Points],"DNP",0,1)</f>
        <v>DNP</v>
      </c>
      <c r="E240">
        <f>_xlfn.XLOOKUP(Table16[[#This Row],[Name]],Table9[Name],Table9[Points],"DNP",0,1)</f>
        <v>2</v>
      </c>
      <c r="F240" t="str">
        <f>_xlfn.XLOOKUP(Table16[[#This Row],[Name]],Table18[Name],Table18[Points],"DNP",0,1)</f>
        <v>DNP</v>
      </c>
      <c r="G240" t="str">
        <f>_xlfn.XLOOKUP(Table16[[#This Row],[Name]],Table2[Name],Table2[Points],"DNP",0,1)</f>
        <v>DNP</v>
      </c>
      <c r="H240" t="str">
        <f>_xlfn.XLOOKUP(Table16[[#This Row],[Name]],Table211[Name],Table211[Points],"DNP",0,1)</f>
        <v>DNP</v>
      </c>
      <c r="I240">
        <f>_xlfn.XLOOKUP(Table16[[#This Row],[Name]],Table21112[Name],Table21112[Points],"DNP",0,1)</f>
        <v>1</v>
      </c>
      <c r="J240" t="str">
        <f>_xlfn.XLOOKUP(Table16[[#This Row],[Name]],Table21112164[Name],Table21112164[Points],"DNP",0,1)</f>
        <v>DNP</v>
      </c>
      <c r="K240" t="str">
        <f>_xlfn.XLOOKUP(Table16[[#This Row],[Name]],Table2111216420[Name],Table2111216420[Points],"DNP",0,1)</f>
        <v>DNP</v>
      </c>
      <c r="L240" t="str">
        <f>_xlfn.XLOOKUP(Table16[[#This Row],[Name]],Table211121642021[Name],Table211121642021[Points],"DNP",0,1)</f>
        <v>DNP</v>
      </c>
      <c r="M240" t="str">
        <f>_xlfn.XLOOKUP(Table16[[#This Row],[Name]],Table21112164202122[Name],Table21112164202122[Points],"DNP",0,1)</f>
        <v>DNP</v>
      </c>
      <c r="N240" t="str">
        <f>_xlfn.XLOOKUP(Table16[[#This Row],[Name]],Table2111216420212223[Name],Table2111216420212223[Points],"DNP",0,1)</f>
        <v>DNP</v>
      </c>
      <c r="O240" t="str">
        <f>_xlfn.XLOOKUP(Table16[[#This Row],[Name]],Table211121642021222325[Name],Table211121642021222325[Points],"DNP",0,1)</f>
        <v>DNP</v>
      </c>
      <c r="P240" t="str">
        <f>_xlfn.XLOOKUP(Table16[[#This Row],[Name]],Table21112164202122232534[Name],Table21112164202122232534[Points],"DNP",0,1)</f>
        <v>DNP</v>
      </c>
      <c r="Q240" t="str">
        <f>_xlfn.XLOOKUP(Table16[[#This Row],[Name]],Table2111216420212223253435[Name],Table2111216420212223253435[Points],"DNP",0,1)</f>
        <v>DNP</v>
      </c>
      <c r="R240" t="str">
        <f>_xlfn.XLOOKUP(Table16[[#This Row],[Name]],Table211121642021222325343536[Name],Table211121642021222325343536[Points],"DNP",0,1)</f>
        <v>DNP</v>
      </c>
      <c r="S240" t="str">
        <f>_xlfn.XLOOKUP(Table16[[#This Row],[Name]],Table21112164202122232534353637[Name],Table21112164202122232534353637[Points],"DNP",0,1)</f>
        <v>DNP</v>
      </c>
      <c r="T240" t="str">
        <f>_xlfn.XLOOKUP(Table16[[#This Row],[Name]],Table2111216420212223253435363738[Name],Table2111216420212223253435363738[Points],"DNP",0,1)</f>
        <v>DNP</v>
      </c>
      <c r="U240" t="str">
        <f>_xlfn.XLOOKUP(Table16[[#This Row],[Name]],Table2111216420212223253435363739[Name],Table2111216420212223253435363739[Points],"DNP",0,1)</f>
        <v>DNP</v>
      </c>
      <c r="V240" t="str">
        <f>_xlfn.XLOOKUP(Table16[[#This Row],[Name]],Table211121642021222325343536373841[Name],Table211121642021222325343536373841[Points],"DNP",0,1)</f>
        <v>DNP</v>
      </c>
    </row>
    <row r="241" spans="2:22">
      <c r="B241" t="str">
        <f>IFERROR(Table5[[#This Row],[Full name]],"")</f>
        <v>Marissa Vu</v>
      </c>
      <c r="C241" s="68">
        <f>SUM(Table16[[#This Row],[September 30, 2025]:[Column18]])</f>
        <v>1</v>
      </c>
      <c r="D241" t="str">
        <f>_xlfn.XLOOKUP(Table16[[#This Row],[Name]],Table4[Name],Table4[Points],"DNP",0,1)</f>
        <v>DNP</v>
      </c>
      <c r="E241" t="str">
        <f>_xlfn.XLOOKUP(Table16[[#This Row],[Name]],Table9[Name],Table9[Points],"DNP",0,1)</f>
        <v>DNP</v>
      </c>
      <c r="F241" t="str">
        <f>_xlfn.XLOOKUP(Table16[[#This Row],[Name]],Table18[Name],Table18[Points],"DNP",0,1)</f>
        <v>DNP</v>
      </c>
      <c r="G241" t="str">
        <f>_xlfn.XLOOKUP(Table16[[#This Row],[Name]],Table2[Name],Table2[Points],"DNP",0,1)</f>
        <v>DNP</v>
      </c>
      <c r="H241" t="str">
        <f>_xlfn.XLOOKUP(Table16[[#This Row],[Name]],Table211[Name],Table211[Points],"DNP",0,1)</f>
        <v>DNP</v>
      </c>
      <c r="I241">
        <f>_xlfn.XLOOKUP(Table16[[#This Row],[Name]],Table21112[Name],Table21112[Points],"DNP",0,1)</f>
        <v>1</v>
      </c>
      <c r="J241" t="str">
        <f>_xlfn.XLOOKUP(Table16[[#This Row],[Name]],Table21112164[Name],Table21112164[Points],"DNP",0,1)</f>
        <v>DNP</v>
      </c>
      <c r="K241" t="str">
        <f>_xlfn.XLOOKUP(Table16[[#This Row],[Name]],Table2111216420[Name],Table2111216420[Points],"DNP",0,1)</f>
        <v>DNP</v>
      </c>
      <c r="L241" t="str">
        <f>_xlfn.XLOOKUP(Table16[[#This Row],[Name]],Table211121642021[Name],Table211121642021[Points],"DNP",0,1)</f>
        <v>DNP</v>
      </c>
      <c r="M241" t="str">
        <f>_xlfn.XLOOKUP(Table16[[#This Row],[Name]],Table21112164202122[Name],Table21112164202122[Points],"DNP",0,1)</f>
        <v>DNP</v>
      </c>
      <c r="N241" t="str">
        <f>_xlfn.XLOOKUP(Table16[[#This Row],[Name]],Table2111216420212223[Name],Table2111216420212223[Points],"DNP",0,1)</f>
        <v>DNP</v>
      </c>
      <c r="O241" t="str">
        <f>_xlfn.XLOOKUP(Table16[[#This Row],[Name]],Table211121642021222325[Name],Table211121642021222325[Points],"DNP",0,1)</f>
        <v>DNP</v>
      </c>
      <c r="P241" t="str">
        <f>_xlfn.XLOOKUP(Table16[[#This Row],[Name]],Table21112164202122232534[Name],Table21112164202122232534[Points],"DNP",0,1)</f>
        <v>DNP</v>
      </c>
      <c r="Q241" t="str">
        <f>_xlfn.XLOOKUP(Table16[[#This Row],[Name]],Table2111216420212223253435[Name],Table2111216420212223253435[Points],"DNP",0,1)</f>
        <v>DNP</v>
      </c>
      <c r="R241" t="str">
        <f>_xlfn.XLOOKUP(Table16[[#This Row],[Name]],Table211121642021222325343536[Name],Table211121642021222325343536[Points],"DNP",0,1)</f>
        <v>DNP</v>
      </c>
      <c r="S241" t="str">
        <f>_xlfn.XLOOKUP(Table16[[#This Row],[Name]],Table21112164202122232534353637[Name],Table21112164202122232534353637[Points],"DNP",0,1)</f>
        <v>DNP</v>
      </c>
      <c r="T241" t="str">
        <f>_xlfn.XLOOKUP(Table16[[#This Row],[Name]],Table2111216420212223253435363738[Name],Table2111216420212223253435363738[Points],"DNP",0,1)</f>
        <v>DNP</v>
      </c>
      <c r="U241" t="str">
        <f>_xlfn.XLOOKUP(Table16[[#This Row],[Name]],Table2111216420212223253435363739[Name],Table2111216420212223253435363739[Points],"DNP",0,1)</f>
        <v>DNP</v>
      </c>
      <c r="V241" t="str">
        <f>_xlfn.XLOOKUP(Table16[[#This Row],[Name]],Table211121642021222325343536373841[Name],Table211121642021222325343536373841[Points],"DNP",0,1)</f>
        <v>DNP</v>
      </c>
    </row>
    <row r="242" spans="2:22">
      <c r="B242" t="str">
        <f>IFERROR(Table5[[#This Row],[Full name]],"")</f>
        <v>Mark Ejakpomewhe</v>
      </c>
      <c r="C242" s="68">
        <f>SUM(Table16[[#This Row],[September 30, 2025]:[Column18]])</f>
        <v>23</v>
      </c>
      <c r="D242" t="str">
        <f>_xlfn.XLOOKUP(Table16[[#This Row],[Name]],Table4[Name],Table4[Points],"DNP",0,1)</f>
        <v>DNP</v>
      </c>
      <c r="E242" t="str">
        <f>_xlfn.XLOOKUP(Table16[[#This Row],[Name]],Table9[Name],Table9[Points],"DNP",0,1)</f>
        <v>DNP</v>
      </c>
      <c r="F242" t="str">
        <f>_xlfn.XLOOKUP(Table16[[#This Row],[Name]],Table18[Name],Table18[Points],"DNP",0,1)</f>
        <v>DNP</v>
      </c>
      <c r="G242" t="str">
        <f>_xlfn.XLOOKUP(Table16[[#This Row],[Name]],Table2[Name],Table2[Points],"DNP",0,1)</f>
        <v>DNP</v>
      </c>
      <c r="H242" t="str">
        <f>_xlfn.XLOOKUP(Table16[[#This Row],[Name]],Table211[Name],Table211[Points],"DNP",0,1)</f>
        <v>DNP</v>
      </c>
      <c r="I242" t="str">
        <f>_xlfn.XLOOKUP(Table16[[#This Row],[Name]],Table21112[Name],Table21112[Points],"DNP",0,1)</f>
        <v>DNP</v>
      </c>
      <c r="J242" t="str">
        <f>_xlfn.XLOOKUP(Table16[[#This Row],[Name]],Table21112164[Name],Table21112164[Points],"DNP",0,1)</f>
        <v>DNP</v>
      </c>
      <c r="K242" t="str">
        <f>_xlfn.XLOOKUP(Table16[[#This Row],[Name]],Table2111216420[Name],Table2111216420[Points],"DNP",0,1)</f>
        <v>DNP</v>
      </c>
      <c r="L242" t="str">
        <f>_xlfn.XLOOKUP(Table16[[#This Row],[Name]],Table211121642021[Name],Table211121642021[Points],"DNP",0,1)</f>
        <v>DNP</v>
      </c>
      <c r="M242" t="str">
        <f>_xlfn.XLOOKUP(Table16[[#This Row],[Name]],Table21112164202122[Name],Table21112164202122[Points],"DNP",0,1)</f>
        <v>DNP</v>
      </c>
      <c r="N242">
        <f>_xlfn.XLOOKUP(Table16[[#This Row],[Name]],Table2111216420212223[Name],Table2111216420212223[Points],"DNP",0,1)</f>
        <v>4</v>
      </c>
      <c r="O242">
        <f>_xlfn.XLOOKUP(Table16[[#This Row],[Name]],Table211121642021222325[Name],Table211121642021222325[Points],"DNP",0,1)</f>
        <v>2</v>
      </c>
      <c r="P242">
        <f>_xlfn.XLOOKUP(Table16[[#This Row],[Name]],Table21112164202122232534[Name],Table21112164202122232534[Points],"DNP",0,1)</f>
        <v>1</v>
      </c>
      <c r="Q242">
        <f>_xlfn.XLOOKUP(Table16[[#This Row],[Name]],Table2111216420212223253435[Name],Table2111216420212223253435[Points],"DNP",0,1)</f>
        <v>2</v>
      </c>
      <c r="R242">
        <f>_xlfn.XLOOKUP(Table16[[#This Row],[Name]],Table211121642021222325343536[Name],Table211121642021222325343536[Points],"DNP",0,1)</f>
        <v>10</v>
      </c>
      <c r="S242">
        <f>_xlfn.XLOOKUP(Table16[[#This Row],[Name]],Table21112164202122232534353637[Name],Table21112164202122232534353637[Points],"DNP",0,1)</f>
        <v>1</v>
      </c>
      <c r="T242">
        <f>_xlfn.XLOOKUP(Table16[[#This Row],[Name]],Table2111216420212223253435363738[Name],Table2111216420212223253435363738[Points],"DNP",0,1)</f>
        <v>1</v>
      </c>
      <c r="U242">
        <f>_xlfn.XLOOKUP(Table16[[#This Row],[Name]],Table2111216420212223253435363739[Name],Table2111216420212223253435363739[Points],"DNP",0,1)</f>
        <v>2</v>
      </c>
      <c r="V242" t="str">
        <f>_xlfn.XLOOKUP(Table16[[#This Row],[Name]],Table211121642021222325343536373841[Name],Table211121642021222325343536373841[Points],"DNP",0,1)</f>
        <v>DNP</v>
      </c>
    </row>
    <row r="243" spans="2:22">
      <c r="B243" t="str">
        <f>IFERROR(Table5[[#This Row],[Full name]],"")</f>
        <v>Marko Mladenovic</v>
      </c>
      <c r="C243" s="68">
        <f>SUM(Table16[[#This Row],[September 30, 2025]:[Column18]])</f>
        <v>11</v>
      </c>
      <c r="D243" t="str">
        <f>_xlfn.XLOOKUP(Table16[[#This Row],[Name]],Table4[Name],Table4[Points],"DNP",0,1)</f>
        <v>DNP</v>
      </c>
      <c r="E243" t="str">
        <f>_xlfn.XLOOKUP(Table16[[#This Row],[Name]],Table9[Name],Table9[Points],"DNP",0,1)</f>
        <v>DNP</v>
      </c>
      <c r="F243" t="str">
        <f>_xlfn.XLOOKUP(Table16[[#This Row],[Name]],Table18[Name],Table18[Points],"DNP",0,1)</f>
        <v>DNP</v>
      </c>
      <c r="G243">
        <f>_xlfn.XLOOKUP(Table16[[#This Row],[Name]],Table2[Name],Table2[Points],"DNP",0,1)</f>
        <v>1</v>
      </c>
      <c r="H243" t="str">
        <f>_xlfn.XLOOKUP(Table16[[#This Row],[Name]],Table211[Name],Table211[Points],"DNP",0,1)</f>
        <v>DNP</v>
      </c>
      <c r="I243" t="str">
        <f>_xlfn.XLOOKUP(Table16[[#This Row],[Name]],Table21112[Name],Table21112[Points],"DNP",0,1)</f>
        <v>DNP</v>
      </c>
      <c r="J243" t="str">
        <f>_xlfn.XLOOKUP(Table16[[#This Row],[Name]],Table21112164[Name],Table21112164[Points],"DNP",0,1)</f>
        <v>DNP</v>
      </c>
      <c r="K243" t="str">
        <f>_xlfn.XLOOKUP(Table16[[#This Row],[Name]],Table2111216420[Name],Table2111216420[Points],"DNP",0,1)</f>
        <v>DNP</v>
      </c>
      <c r="L243">
        <f>_xlfn.XLOOKUP(Table16[[#This Row],[Name]],Table211121642021[Name],Table211121642021[Points],"DNP",0,1)</f>
        <v>10</v>
      </c>
      <c r="M243" t="str">
        <f>_xlfn.XLOOKUP(Table16[[#This Row],[Name]],Table21112164202122[Name],Table21112164202122[Points],"DNP",0,1)</f>
        <v>DNP</v>
      </c>
      <c r="N243" t="str">
        <f>_xlfn.XLOOKUP(Table16[[#This Row],[Name]],Table2111216420212223[Name],Table2111216420212223[Points],"DNP",0,1)</f>
        <v>DNP</v>
      </c>
      <c r="O243" t="str">
        <f>_xlfn.XLOOKUP(Table16[[#This Row],[Name]],Table211121642021222325[Name],Table211121642021222325[Points],"DNP",0,1)</f>
        <v>DNP</v>
      </c>
      <c r="P243" t="str">
        <f>_xlfn.XLOOKUP(Table16[[#This Row],[Name]],Table21112164202122232534[Name],Table21112164202122232534[Points],"DNP",0,1)</f>
        <v>DNP</v>
      </c>
      <c r="Q243" t="str">
        <f>_xlfn.XLOOKUP(Table16[[#This Row],[Name]],Table2111216420212223253435[Name],Table2111216420212223253435[Points],"DNP",0,1)</f>
        <v>DNP</v>
      </c>
      <c r="R243" t="str">
        <f>_xlfn.XLOOKUP(Table16[[#This Row],[Name]],Table211121642021222325343536[Name],Table211121642021222325343536[Points],"DNP",0,1)</f>
        <v>DNP</v>
      </c>
      <c r="S243" t="str">
        <f>_xlfn.XLOOKUP(Table16[[#This Row],[Name]],Table21112164202122232534353637[Name],Table21112164202122232534353637[Points],"DNP",0,1)</f>
        <v>DNP</v>
      </c>
      <c r="T243" t="str">
        <f>_xlfn.XLOOKUP(Table16[[#This Row],[Name]],Table2111216420212223253435363738[Name],Table2111216420212223253435363738[Points],"DNP",0,1)</f>
        <v>DNP</v>
      </c>
      <c r="U243" t="str">
        <f>_xlfn.XLOOKUP(Table16[[#This Row],[Name]],Table2111216420212223253435363739[Name],Table2111216420212223253435363739[Points],"DNP",0,1)</f>
        <v>DNP</v>
      </c>
      <c r="V243" t="str">
        <f>_xlfn.XLOOKUP(Table16[[#This Row],[Name]],Table211121642021222325343536373841[Name],Table211121642021222325343536373841[Points],"DNP",0,1)</f>
        <v>DNP</v>
      </c>
    </row>
    <row r="244" spans="2:22">
      <c r="B244" t="str">
        <f>IFERROR(Table5[[#This Row],[Full name]],"")</f>
        <v>Marko Nguyen</v>
      </c>
      <c r="C244" s="68">
        <f>SUM(Table16[[#This Row],[September 30, 2025]:[Column18]])</f>
        <v>5</v>
      </c>
      <c r="D244" t="str">
        <f>_xlfn.XLOOKUP(Table16[[#This Row],[Name]],Table4[Name],Table4[Points],"DNP",0,1)</f>
        <v>DNP</v>
      </c>
      <c r="E244" t="str">
        <f>_xlfn.XLOOKUP(Table16[[#This Row],[Name]],Table9[Name],Table9[Points],"DNP",0,1)</f>
        <v>DNP</v>
      </c>
      <c r="F244" t="str">
        <f>_xlfn.XLOOKUP(Table16[[#This Row],[Name]],Table18[Name],Table18[Points],"DNP",0,1)</f>
        <v>DNP</v>
      </c>
      <c r="G244" t="str">
        <f>_xlfn.XLOOKUP(Table16[[#This Row],[Name]],Table2[Name],Table2[Points],"DNP",0,1)</f>
        <v>DNP</v>
      </c>
      <c r="H244" t="str">
        <f>_xlfn.XLOOKUP(Table16[[#This Row],[Name]],Table211[Name],Table211[Points],"DNP",0,1)</f>
        <v>DNP</v>
      </c>
      <c r="I244" t="str">
        <f>_xlfn.XLOOKUP(Table16[[#This Row],[Name]],Table21112[Name],Table21112[Points],"DNP",0,1)</f>
        <v>DNP</v>
      </c>
      <c r="J244" t="str">
        <f>_xlfn.XLOOKUP(Table16[[#This Row],[Name]],Table21112164[Name],Table21112164[Points],"DNP",0,1)</f>
        <v>DNP</v>
      </c>
      <c r="K244" t="str">
        <f>_xlfn.XLOOKUP(Table16[[#This Row],[Name]],Table2111216420[Name],Table2111216420[Points],"DNP",0,1)</f>
        <v>DNP</v>
      </c>
      <c r="L244">
        <f>_xlfn.XLOOKUP(Table16[[#This Row],[Name]],Table211121642021[Name],Table211121642021[Points],"DNP",0,1)</f>
        <v>3</v>
      </c>
      <c r="M244" t="str">
        <f>_xlfn.XLOOKUP(Table16[[#This Row],[Name]],Table21112164202122[Name],Table21112164202122[Points],"DNP",0,1)</f>
        <v>DNP</v>
      </c>
      <c r="N244" t="str">
        <f>_xlfn.XLOOKUP(Table16[[#This Row],[Name]],Table2111216420212223[Name],Table2111216420212223[Points],"DNP",0,1)</f>
        <v>DNP</v>
      </c>
      <c r="O244" t="str">
        <f>_xlfn.XLOOKUP(Table16[[#This Row],[Name]],Table211121642021222325[Name],Table211121642021222325[Points],"DNP",0,1)</f>
        <v>DNP</v>
      </c>
      <c r="P244" t="str">
        <f>_xlfn.XLOOKUP(Table16[[#This Row],[Name]],Table21112164202122232534[Name],Table21112164202122232534[Points],"DNP",0,1)</f>
        <v>DNP</v>
      </c>
      <c r="Q244" t="str">
        <f>_xlfn.XLOOKUP(Table16[[#This Row],[Name]],Table2111216420212223253435[Name],Table2111216420212223253435[Points],"DNP",0,1)</f>
        <v>DNP</v>
      </c>
      <c r="R244" t="str">
        <f>_xlfn.XLOOKUP(Table16[[#This Row],[Name]],Table211121642021222325343536[Name],Table211121642021222325343536[Points],"DNP",0,1)</f>
        <v>DNP</v>
      </c>
      <c r="S244" t="str">
        <f>_xlfn.XLOOKUP(Table16[[#This Row],[Name]],Table21112164202122232534353637[Name],Table21112164202122232534353637[Points],"DNP",0,1)</f>
        <v>DNP</v>
      </c>
      <c r="T244" t="str">
        <f>_xlfn.XLOOKUP(Table16[[#This Row],[Name]],Table2111216420212223253435363738[Name],Table2111216420212223253435363738[Points],"DNP",0,1)</f>
        <v>DNP</v>
      </c>
      <c r="U244" t="str">
        <f>_xlfn.XLOOKUP(Table16[[#This Row],[Name]],Table2111216420212223253435363739[Name],Table2111216420212223253435363739[Points],"DNP",0,1)</f>
        <v>DNP</v>
      </c>
      <c r="V244">
        <f>_xlfn.XLOOKUP(Table16[[#This Row],[Name]],Table211121642021222325343536373841[Name],Table211121642021222325343536373841[Points],"DNP",0,1)</f>
        <v>2</v>
      </c>
    </row>
    <row r="245" spans="2:22">
      <c r="B245" t="str">
        <f>IFERROR(Table5[[#This Row],[Full name]],"")</f>
        <v>Marko  Damjanovic</v>
      </c>
      <c r="C245" s="68">
        <f>SUM(Table16[[#This Row],[September 30, 2025]:[Column18]])</f>
        <v>1</v>
      </c>
      <c r="D245" t="str">
        <f>_xlfn.XLOOKUP(Table16[[#This Row],[Name]],Table4[Name],Table4[Points],"DNP",0,1)</f>
        <v>DNP</v>
      </c>
      <c r="E245" t="str">
        <f>_xlfn.XLOOKUP(Table16[[#This Row],[Name]],Table9[Name],Table9[Points],"DNP",0,1)</f>
        <v>DNP</v>
      </c>
      <c r="F245" t="str">
        <f>_xlfn.XLOOKUP(Table16[[#This Row],[Name]],Table18[Name],Table18[Points],"DNP",0,1)</f>
        <v>DNP</v>
      </c>
      <c r="G245" t="str">
        <f>_xlfn.XLOOKUP(Table16[[#This Row],[Name]],Table2[Name],Table2[Points],"DNP",0,1)</f>
        <v>DNP</v>
      </c>
      <c r="H245" t="str">
        <f>_xlfn.XLOOKUP(Table16[[#This Row],[Name]],Table211[Name],Table211[Points],"DNP",0,1)</f>
        <v>DNP</v>
      </c>
      <c r="I245" t="str">
        <f>_xlfn.XLOOKUP(Table16[[#This Row],[Name]],Table21112[Name],Table21112[Points],"DNP",0,1)</f>
        <v>DNP</v>
      </c>
      <c r="J245" t="str">
        <f>_xlfn.XLOOKUP(Table16[[#This Row],[Name]],Table21112164[Name],Table21112164[Points],"DNP",0,1)</f>
        <v>DNP</v>
      </c>
      <c r="K245" t="str">
        <f>_xlfn.XLOOKUP(Table16[[#This Row],[Name]],Table2111216420[Name],Table2111216420[Points],"DNP",0,1)</f>
        <v>DNP</v>
      </c>
      <c r="L245" t="str">
        <f>_xlfn.XLOOKUP(Table16[[#This Row],[Name]],Table211121642021[Name],Table211121642021[Points],"DNP",0,1)</f>
        <v>DNP</v>
      </c>
      <c r="M245" t="str">
        <f>_xlfn.XLOOKUP(Table16[[#This Row],[Name]],Table21112164202122[Name],Table21112164202122[Points],"DNP",0,1)</f>
        <v>DNP</v>
      </c>
      <c r="N245" t="str">
        <f>_xlfn.XLOOKUP(Table16[[#This Row],[Name]],Table2111216420212223[Name],Table2111216420212223[Points],"DNP",0,1)</f>
        <v>DNP</v>
      </c>
      <c r="O245" t="str">
        <f>_xlfn.XLOOKUP(Table16[[#This Row],[Name]],Table211121642021222325[Name],Table211121642021222325[Points],"DNP",0,1)</f>
        <v>DNP</v>
      </c>
      <c r="P245" t="str">
        <f>_xlfn.XLOOKUP(Table16[[#This Row],[Name]],Table21112164202122232534[Name],Table21112164202122232534[Points],"DNP",0,1)</f>
        <v>DNP</v>
      </c>
      <c r="Q245" t="str">
        <f>_xlfn.XLOOKUP(Table16[[#This Row],[Name]],Table2111216420212223253435[Name],Table2111216420212223253435[Points],"DNP",0,1)</f>
        <v>DNP</v>
      </c>
      <c r="R245">
        <f>_xlfn.XLOOKUP(Table16[[#This Row],[Name]],Table211121642021222325343536[Name],Table211121642021222325343536[Points],"DNP",0,1)</f>
        <v>1</v>
      </c>
      <c r="S245" t="str">
        <f>_xlfn.XLOOKUP(Table16[[#This Row],[Name]],Table21112164202122232534353637[Name],Table21112164202122232534353637[Points],"DNP",0,1)</f>
        <v>DNP</v>
      </c>
      <c r="T245" t="str">
        <f>_xlfn.XLOOKUP(Table16[[#This Row],[Name]],Table2111216420212223253435363738[Name],Table2111216420212223253435363738[Points],"DNP",0,1)</f>
        <v>DNP</v>
      </c>
      <c r="U245" t="str">
        <f>_xlfn.XLOOKUP(Table16[[#This Row],[Name]],Table2111216420212223253435363739[Name],Table2111216420212223253435363739[Points],"DNP",0,1)</f>
        <v>DNP</v>
      </c>
      <c r="V245" t="str">
        <f>_xlfn.XLOOKUP(Table16[[#This Row],[Name]],Table211121642021222325343536373841[Name],Table211121642021222325343536373841[Points],"DNP",0,1)</f>
        <v>DNP</v>
      </c>
    </row>
    <row r="246" spans="2:22">
      <c r="B246" t="str">
        <f>IFERROR(Table5[[#This Row],[Full name]],"")</f>
        <v>Martin Gomez</v>
      </c>
      <c r="C246" s="68">
        <f>SUM(Table16[[#This Row],[September 30, 2025]:[Column18]])</f>
        <v>1</v>
      </c>
      <c r="D246">
        <f>_xlfn.XLOOKUP(Table16[[#This Row],[Name]],Table4[Name],Table4[Points],"DNP",0,1)</f>
        <v>1</v>
      </c>
      <c r="E246" t="str">
        <f>_xlfn.XLOOKUP(Table16[[#This Row],[Name]],Table9[Name],Table9[Points],"DNP",0,1)</f>
        <v>DNP</v>
      </c>
      <c r="F246" t="str">
        <f>_xlfn.XLOOKUP(Table16[[#This Row],[Name]],Table18[Name],Table18[Points],"DNP",0,1)</f>
        <v>DNP</v>
      </c>
      <c r="G246" t="str">
        <f>_xlfn.XLOOKUP(Table16[[#This Row],[Name]],Table2[Name],Table2[Points],"DNP",0,1)</f>
        <v>DNP</v>
      </c>
      <c r="H246" t="str">
        <f>_xlfn.XLOOKUP(Table16[[#This Row],[Name]],Table211[Name],Table211[Points],"DNP",0,1)</f>
        <v>DNP</v>
      </c>
      <c r="I246" t="str">
        <f>_xlfn.XLOOKUP(Table16[[#This Row],[Name]],Table21112[Name],Table21112[Points],"DNP",0,1)</f>
        <v>DNP</v>
      </c>
      <c r="J246" t="str">
        <f>_xlfn.XLOOKUP(Table16[[#This Row],[Name]],Table21112164[Name],Table21112164[Points],"DNP",0,1)</f>
        <v>DNP</v>
      </c>
      <c r="K246" t="str">
        <f>_xlfn.XLOOKUP(Table16[[#This Row],[Name]],Table2111216420[Name],Table2111216420[Points],"DNP",0,1)</f>
        <v>DNP</v>
      </c>
      <c r="L246" t="str">
        <f>_xlfn.XLOOKUP(Table16[[#This Row],[Name]],Table211121642021[Name],Table211121642021[Points],"DNP",0,1)</f>
        <v>DNP</v>
      </c>
      <c r="M246" t="str">
        <f>_xlfn.XLOOKUP(Table16[[#This Row],[Name]],Table21112164202122[Name],Table21112164202122[Points],"DNP",0,1)</f>
        <v>DNP</v>
      </c>
      <c r="N246" t="str">
        <f>_xlfn.XLOOKUP(Table16[[#This Row],[Name]],Table2111216420212223[Name],Table2111216420212223[Points],"DNP",0,1)</f>
        <v>DNP</v>
      </c>
      <c r="O246" t="str">
        <f>_xlfn.XLOOKUP(Table16[[#This Row],[Name]],Table211121642021222325[Name],Table211121642021222325[Points],"DNP",0,1)</f>
        <v>DNP</v>
      </c>
      <c r="P246" t="str">
        <f>_xlfn.XLOOKUP(Table16[[#This Row],[Name]],Table21112164202122232534[Name],Table21112164202122232534[Points],"DNP",0,1)</f>
        <v>DNP</v>
      </c>
      <c r="Q246" t="str">
        <f>_xlfn.XLOOKUP(Table16[[#This Row],[Name]],Table2111216420212223253435[Name],Table2111216420212223253435[Points],"DNP",0,1)</f>
        <v>DNP</v>
      </c>
      <c r="R246" t="str">
        <f>_xlfn.XLOOKUP(Table16[[#This Row],[Name]],Table211121642021222325343536[Name],Table211121642021222325343536[Points],"DNP",0,1)</f>
        <v>DNP</v>
      </c>
      <c r="S246" t="str">
        <f>_xlfn.XLOOKUP(Table16[[#This Row],[Name]],Table21112164202122232534353637[Name],Table21112164202122232534353637[Points],"DNP",0,1)</f>
        <v>DNP</v>
      </c>
      <c r="T246" t="str">
        <f>_xlfn.XLOOKUP(Table16[[#This Row],[Name]],Table2111216420212223253435363738[Name],Table2111216420212223253435363738[Points],"DNP",0,1)</f>
        <v>DNP</v>
      </c>
      <c r="U246" t="str">
        <f>_xlfn.XLOOKUP(Table16[[#This Row],[Name]],Table2111216420212223253435363739[Name],Table2111216420212223253435363739[Points],"DNP",0,1)</f>
        <v>DNP</v>
      </c>
      <c r="V246" t="str">
        <f>_xlfn.XLOOKUP(Table16[[#This Row],[Name]],Table211121642021222325343536373841[Name],Table211121642021222325343536373841[Points],"DNP",0,1)</f>
        <v>DNP</v>
      </c>
    </row>
    <row r="247" spans="2:22">
      <c r="B247" t="str">
        <f>IFERROR(Table5[[#This Row],[Full name]],"")</f>
        <v>Marzouq Mohsin</v>
      </c>
      <c r="C247" s="68">
        <f>SUM(Table16[[#This Row],[September 30, 2025]:[Column18]])</f>
        <v>3</v>
      </c>
      <c r="D247">
        <f>_xlfn.XLOOKUP(Table16[[#This Row],[Name]],Table4[Name],Table4[Points],"DNP",0,1)</f>
        <v>3</v>
      </c>
      <c r="E247" t="str">
        <f>_xlfn.XLOOKUP(Table16[[#This Row],[Name]],Table9[Name],Table9[Points],"DNP",0,1)</f>
        <v>DNP</v>
      </c>
      <c r="F247" t="str">
        <f>_xlfn.XLOOKUP(Table16[[#This Row],[Name]],Table18[Name],Table18[Points],"DNP",0,1)</f>
        <v>DNP</v>
      </c>
      <c r="G247" t="str">
        <f>_xlfn.XLOOKUP(Table16[[#This Row],[Name]],Table2[Name],Table2[Points],"DNP",0,1)</f>
        <v>DNP</v>
      </c>
      <c r="H247" t="str">
        <f>_xlfn.XLOOKUP(Table16[[#This Row],[Name]],Table211[Name],Table211[Points],"DNP",0,1)</f>
        <v>DNP</v>
      </c>
      <c r="I247" t="str">
        <f>_xlfn.XLOOKUP(Table16[[#This Row],[Name]],Table21112[Name],Table21112[Points],"DNP",0,1)</f>
        <v>DNP</v>
      </c>
      <c r="J247" t="str">
        <f>_xlfn.XLOOKUP(Table16[[#This Row],[Name]],Table21112164[Name],Table21112164[Points],"DNP",0,1)</f>
        <v>DNP</v>
      </c>
      <c r="K247" t="str">
        <f>_xlfn.XLOOKUP(Table16[[#This Row],[Name]],Table2111216420[Name],Table2111216420[Points],"DNP",0,1)</f>
        <v>DNP</v>
      </c>
      <c r="L247" t="str">
        <f>_xlfn.XLOOKUP(Table16[[#This Row],[Name]],Table211121642021[Name],Table211121642021[Points],"DNP",0,1)</f>
        <v>DNP</v>
      </c>
      <c r="M247" t="str">
        <f>_xlfn.XLOOKUP(Table16[[#This Row],[Name]],Table21112164202122[Name],Table21112164202122[Points],"DNP",0,1)</f>
        <v>DNP</v>
      </c>
      <c r="N247" t="str">
        <f>_xlfn.XLOOKUP(Table16[[#This Row],[Name]],Table2111216420212223[Name],Table2111216420212223[Points],"DNP",0,1)</f>
        <v>DNP</v>
      </c>
      <c r="O247" t="str">
        <f>_xlfn.XLOOKUP(Table16[[#This Row],[Name]],Table211121642021222325[Name],Table211121642021222325[Points],"DNP",0,1)</f>
        <v>DNP</v>
      </c>
      <c r="P247" t="str">
        <f>_xlfn.XLOOKUP(Table16[[#This Row],[Name]],Table21112164202122232534[Name],Table21112164202122232534[Points],"DNP",0,1)</f>
        <v>DNP</v>
      </c>
      <c r="Q247" t="str">
        <f>_xlfn.XLOOKUP(Table16[[#This Row],[Name]],Table2111216420212223253435[Name],Table2111216420212223253435[Points],"DNP",0,1)</f>
        <v>DNP</v>
      </c>
      <c r="R247" t="str">
        <f>_xlfn.XLOOKUP(Table16[[#This Row],[Name]],Table211121642021222325343536[Name],Table211121642021222325343536[Points],"DNP",0,1)</f>
        <v>DNP</v>
      </c>
      <c r="S247" t="str">
        <f>_xlfn.XLOOKUP(Table16[[#This Row],[Name]],Table21112164202122232534353637[Name],Table21112164202122232534353637[Points],"DNP",0,1)</f>
        <v>DNP</v>
      </c>
      <c r="T247" t="str">
        <f>_xlfn.XLOOKUP(Table16[[#This Row],[Name]],Table2111216420212223253435363738[Name],Table2111216420212223253435363738[Points],"DNP",0,1)</f>
        <v>DNP</v>
      </c>
      <c r="U247" t="str">
        <f>_xlfn.XLOOKUP(Table16[[#This Row],[Name]],Table2111216420212223253435363739[Name],Table2111216420212223253435363739[Points],"DNP",0,1)</f>
        <v>DNP</v>
      </c>
      <c r="V247" t="str">
        <f>_xlfn.XLOOKUP(Table16[[#This Row],[Name]],Table211121642021222325343536373841[Name],Table211121642021222325343536373841[Points],"DNP",0,1)</f>
        <v>DNP</v>
      </c>
    </row>
    <row r="248" spans="2:22">
      <c r="B248" t="str">
        <f>IFERROR(Table5[[#This Row],[Full name]],"")</f>
        <v>Mason Doshi</v>
      </c>
      <c r="C248" s="68">
        <f>SUM(Table16[[#This Row],[September 30, 2025]:[Column18]])</f>
        <v>0</v>
      </c>
      <c r="D248" t="str">
        <f>_xlfn.XLOOKUP(Table16[[#This Row],[Name]],Table4[Name],Table4[Points],"DNP",0,1)</f>
        <v>DNP</v>
      </c>
      <c r="E248" t="str">
        <f>_xlfn.XLOOKUP(Table16[[#This Row],[Name]],Table9[Name],Table9[Points],"DNP",0,1)</f>
        <v>DNP</v>
      </c>
      <c r="F248" t="str">
        <f>_xlfn.XLOOKUP(Table16[[#This Row],[Name]],Table18[Name],Table18[Points],"DNP",0,1)</f>
        <v>DNP</v>
      </c>
      <c r="G248" t="str">
        <f>_xlfn.XLOOKUP(Table16[[#This Row],[Name]],Table2[Name],Table2[Points],"DNP",0,1)</f>
        <v>DNP</v>
      </c>
      <c r="H248" t="str">
        <f>_xlfn.XLOOKUP(Table16[[#This Row],[Name]],Table211[Name],Table211[Points],"DNP",0,1)</f>
        <v>DNP</v>
      </c>
      <c r="I248" t="str">
        <f>_xlfn.XLOOKUP(Table16[[#This Row],[Name]],Table21112[Name],Table21112[Points],"DNP",0,1)</f>
        <v>DNP</v>
      </c>
      <c r="J248" t="str">
        <f>_xlfn.XLOOKUP(Table16[[#This Row],[Name]],Table21112164[Name],Table21112164[Points],"DNP",0,1)</f>
        <v>DNP</v>
      </c>
      <c r="K248" t="str">
        <f>_xlfn.XLOOKUP(Table16[[#This Row],[Name]],Table2111216420[Name],Table2111216420[Points],"DNP",0,1)</f>
        <v>DNP</v>
      </c>
      <c r="L248" t="str">
        <f>_xlfn.XLOOKUP(Table16[[#This Row],[Name]],Table211121642021[Name],Table211121642021[Points],"DNP",0,1)</f>
        <v>DNP</v>
      </c>
      <c r="M248" t="str">
        <f>_xlfn.XLOOKUP(Table16[[#This Row],[Name]],Table21112164202122[Name],Table21112164202122[Points],"DNP",0,1)</f>
        <v>DNP</v>
      </c>
      <c r="N248" t="str">
        <f>_xlfn.XLOOKUP(Table16[[#This Row],[Name]],Table2111216420212223[Name],Table2111216420212223[Points],"DNP",0,1)</f>
        <v>DNP</v>
      </c>
      <c r="O248" t="str">
        <f>_xlfn.XLOOKUP(Table16[[#This Row],[Name]],Table211121642021222325[Name],Table211121642021222325[Points],"DNP",0,1)</f>
        <v>DNP</v>
      </c>
      <c r="P248" t="str">
        <f>_xlfn.XLOOKUP(Table16[[#This Row],[Name]],Table21112164202122232534[Name],Table21112164202122232534[Points],"DNP",0,1)</f>
        <v>DNP</v>
      </c>
      <c r="Q248" t="str">
        <f>_xlfn.XLOOKUP(Table16[[#This Row],[Name]],Table2111216420212223253435[Name],Table2111216420212223253435[Points],"DNP",0,1)</f>
        <v>DNP</v>
      </c>
      <c r="R248" t="str">
        <f>_xlfn.XLOOKUP(Table16[[#This Row],[Name]],Table211121642021222325343536[Name],Table211121642021222325343536[Points],"DNP",0,1)</f>
        <v>DNP</v>
      </c>
      <c r="S248" t="str">
        <f>_xlfn.XLOOKUP(Table16[[#This Row],[Name]],Table21112164202122232534353637[Name],Table21112164202122232534353637[Points],"DNP",0,1)</f>
        <v>DNP</v>
      </c>
      <c r="T248" t="str">
        <f>_xlfn.XLOOKUP(Table16[[#This Row],[Name]],Table2111216420212223253435363738[Name],Table2111216420212223253435363738[Points],"DNP",0,1)</f>
        <v>DNP</v>
      </c>
      <c r="U248" t="str">
        <f>_xlfn.XLOOKUP(Table16[[#This Row],[Name]],Table2111216420212223253435363739[Name],Table2111216420212223253435363739[Points],"DNP",0,1)</f>
        <v>DNP</v>
      </c>
      <c r="V248" t="str">
        <f>_xlfn.XLOOKUP(Table16[[#This Row],[Name]],Table211121642021222325343536373841[Name],Table211121642021222325343536373841[Points],"DNP",0,1)</f>
        <v>DNP</v>
      </c>
    </row>
    <row r="249" spans="2:22">
      <c r="B249" t="str">
        <f>IFERROR(Table5[[#This Row],[Full name]],"")</f>
        <v>Mateen Mahdavian</v>
      </c>
      <c r="C249" s="68">
        <f>SUM(Table16[[#This Row],[September 30, 2025]:[Column18]])</f>
        <v>1</v>
      </c>
      <c r="D249" t="str">
        <f>_xlfn.XLOOKUP(Table16[[#This Row],[Name]],Table4[Name],Table4[Points],"DNP",0,1)</f>
        <v>DNP</v>
      </c>
      <c r="E249" t="str">
        <f>_xlfn.XLOOKUP(Table16[[#This Row],[Name]],Table9[Name],Table9[Points],"DNP",0,1)</f>
        <v>DNP</v>
      </c>
      <c r="F249" t="str">
        <f>_xlfn.XLOOKUP(Table16[[#This Row],[Name]],Table18[Name],Table18[Points],"DNP",0,1)</f>
        <v>DNP</v>
      </c>
      <c r="G249" t="str">
        <f>_xlfn.XLOOKUP(Table16[[#This Row],[Name]],Table2[Name],Table2[Points],"DNP",0,1)</f>
        <v>DNP</v>
      </c>
      <c r="H249" t="str">
        <f>_xlfn.XLOOKUP(Table16[[#This Row],[Name]],Table211[Name],Table211[Points],"DNP",0,1)</f>
        <v>DNP</v>
      </c>
      <c r="I249" t="str">
        <f>_xlfn.XLOOKUP(Table16[[#This Row],[Name]],Table21112[Name],Table21112[Points],"DNP",0,1)</f>
        <v>DNP</v>
      </c>
      <c r="J249" t="str">
        <f>_xlfn.XLOOKUP(Table16[[#This Row],[Name]],Table21112164[Name],Table21112164[Points],"DNP",0,1)</f>
        <v>DNP</v>
      </c>
      <c r="K249" t="str">
        <f>_xlfn.XLOOKUP(Table16[[#This Row],[Name]],Table2111216420[Name],Table2111216420[Points],"DNP",0,1)</f>
        <v>DNP</v>
      </c>
      <c r="L249" t="str">
        <f>_xlfn.XLOOKUP(Table16[[#This Row],[Name]],Table211121642021[Name],Table211121642021[Points],"DNP",0,1)</f>
        <v>DNP</v>
      </c>
      <c r="M249" t="str">
        <f>_xlfn.XLOOKUP(Table16[[#This Row],[Name]],Table21112164202122[Name],Table21112164202122[Points],"DNP",0,1)</f>
        <v>DNP</v>
      </c>
      <c r="N249" t="str">
        <f>_xlfn.XLOOKUP(Table16[[#This Row],[Name]],Table2111216420212223[Name],Table2111216420212223[Points],"DNP",0,1)</f>
        <v>DNP</v>
      </c>
      <c r="O249">
        <f>_xlfn.XLOOKUP(Table16[[#This Row],[Name]],Table211121642021222325[Name],Table211121642021222325[Points],"DNP",0,1)</f>
        <v>1</v>
      </c>
      <c r="P249" t="str">
        <f>_xlfn.XLOOKUP(Table16[[#This Row],[Name]],Table21112164202122232534[Name],Table21112164202122232534[Points],"DNP",0,1)</f>
        <v>DNP</v>
      </c>
      <c r="Q249" t="str">
        <f>_xlfn.XLOOKUP(Table16[[#This Row],[Name]],Table2111216420212223253435[Name],Table2111216420212223253435[Points],"DNP",0,1)</f>
        <v>DNP</v>
      </c>
      <c r="R249" t="str">
        <f>_xlfn.XLOOKUP(Table16[[#This Row],[Name]],Table211121642021222325343536[Name],Table211121642021222325343536[Points],"DNP",0,1)</f>
        <v>DNP</v>
      </c>
      <c r="S249" t="str">
        <f>_xlfn.XLOOKUP(Table16[[#This Row],[Name]],Table21112164202122232534353637[Name],Table21112164202122232534353637[Points],"DNP",0,1)</f>
        <v>DNP</v>
      </c>
      <c r="T249" t="str">
        <f>_xlfn.XLOOKUP(Table16[[#This Row],[Name]],Table2111216420212223253435363738[Name],Table2111216420212223253435363738[Points],"DNP",0,1)</f>
        <v>DNP</v>
      </c>
      <c r="U249" t="str">
        <f>_xlfn.XLOOKUP(Table16[[#This Row],[Name]],Table2111216420212223253435363739[Name],Table2111216420212223253435363739[Points],"DNP",0,1)</f>
        <v>DNP</v>
      </c>
      <c r="V249" t="str">
        <f>_xlfn.XLOOKUP(Table16[[#This Row],[Name]],Table211121642021222325343536373841[Name],Table211121642021222325343536373841[Points],"DNP",0,1)</f>
        <v>DNP</v>
      </c>
    </row>
    <row r="250" spans="2:22">
      <c r="B250" t="str">
        <f>IFERROR(Table5[[#This Row],[Full name]],"")</f>
        <v>Matthew Ji</v>
      </c>
      <c r="C250" s="68">
        <f>SUM(Table16[[#This Row],[September 30, 2025]:[Column18]])</f>
        <v>12</v>
      </c>
      <c r="D250" t="str">
        <f>_xlfn.XLOOKUP(Table16[[#This Row],[Name]],Table4[Name],Table4[Points],"DNP",0,1)</f>
        <v>DNP</v>
      </c>
      <c r="E250">
        <f>_xlfn.XLOOKUP(Table16[[#This Row],[Name]],Table9[Name],Table9[Points],"DNP",0,1)</f>
        <v>1</v>
      </c>
      <c r="F250">
        <f>_xlfn.XLOOKUP(Table16[[#This Row],[Name]],Table18[Name],Table18[Points],"DNP",0,1)</f>
        <v>2</v>
      </c>
      <c r="G250">
        <f>_xlfn.XLOOKUP(Table16[[#This Row],[Name]],Table2[Name],Table2[Points],"DNP",0,1)</f>
        <v>4</v>
      </c>
      <c r="H250" t="str">
        <f>_xlfn.XLOOKUP(Table16[[#This Row],[Name]],Table211[Name],Table211[Points],"DNP",0,1)</f>
        <v>DNP</v>
      </c>
      <c r="I250" t="str">
        <f>_xlfn.XLOOKUP(Table16[[#This Row],[Name]],Table21112[Name],Table21112[Points],"DNP",0,1)</f>
        <v>DNP</v>
      </c>
      <c r="J250">
        <f>_xlfn.XLOOKUP(Table16[[#This Row],[Name]],Table21112164[Name],Table21112164[Points],"DNP",0,1)</f>
        <v>1</v>
      </c>
      <c r="K250" t="str">
        <f>_xlfn.XLOOKUP(Table16[[#This Row],[Name]],Table2111216420[Name],Table2111216420[Points],"DNP",0,1)</f>
        <v>DNP</v>
      </c>
      <c r="L250" t="str">
        <f>_xlfn.XLOOKUP(Table16[[#This Row],[Name]],Table211121642021[Name],Table211121642021[Points],"DNP",0,1)</f>
        <v>DNP</v>
      </c>
      <c r="M250">
        <f>_xlfn.XLOOKUP(Table16[[#This Row],[Name]],Table21112164202122[Name],Table21112164202122[Points],"DNP",0,1)</f>
        <v>1</v>
      </c>
      <c r="N250" t="str">
        <f>_xlfn.XLOOKUP(Table16[[#This Row],[Name]],Table2111216420212223[Name],Table2111216420212223[Points],"DNP",0,1)</f>
        <v>DNP</v>
      </c>
      <c r="O250" t="str">
        <f>_xlfn.XLOOKUP(Table16[[#This Row],[Name]],Table211121642021222325[Name],Table211121642021222325[Points],"DNP",0,1)</f>
        <v>DNP</v>
      </c>
      <c r="P250">
        <f>_xlfn.XLOOKUP(Table16[[#This Row],[Name]],Table21112164202122232534[Name],Table21112164202122232534[Points],"DNP",0,1)</f>
        <v>1</v>
      </c>
      <c r="Q250" t="str">
        <f>_xlfn.XLOOKUP(Table16[[#This Row],[Name]],Table2111216420212223253435[Name],Table2111216420212223253435[Points],"DNP",0,1)</f>
        <v>DNP</v>
      </c>
      <c r="R250" t="str">
        <f>_xlfn.XLOOKUP(Table16[[#This Row],[Name]],Table211121642021222325343536[Name],Table211121642021222325343536[Points],"DNP",0,1)</f>
        <v>DNP</v>
      </c>
      <c r="S250" t="str">
        <f>_xlfn.XLOOKUP(Table16[[#This Row],[Name]],Table21112164202122232534353637[Name],Table21112164202122232534353637[Points],"DNP",0,1)</f>
        <v>DNP</v>
      </c>
      <c r="T250" t="str">
        <f>_xlfn.XLOOKUP(Table16[[#This Row],[Name]],Table2111216420212223253435363738[Name],Table2111216420212223253435363738[Points],"DNP",0,1)</f>
        <v>DNP</v>
      </c>
      <c r="U250">
        <f>_xlfn.XLOOKUP(Table16[[#This Row],[Name]],Table2111216420212223253435363739[Name],Table2111216420212223253435363739[Points],"DNP",0,1)</f>
        <v>1</v>
      </c>
      <c r="V250">
        <f>_xlfn.XLOOKUP(Table16[[#This Row],[Name]],Table211121642021222325343536373841[Name],Table211121642021222325343536373841[Points],"DNP",0,1)</f>
        <v>1</v>
      </c>
    </row>
    <row r="251" spans="2:22">
      <c r="B251" t="str">
        <f>IFERROR(Table5[[#This Row],[Full name]],"")</f>
        <v>Matthew Nazaruk</v>
      </c>
      <c r="C251" s="68">
        <f>SUM(Table16[[#This Row],[September 30, 2025]:[Column18]])</f>
        <v>15</v>
      </c>
      <c r="D251">
        <f>_xlfn.XLOOKUP(Table16[[#This Row],[Name]],Table4[Name],Table4[Points],"DNP",0,1)</f>
        <v>4</v>
      </c>
      <c r="E251">
        <f>_xlfn.XLOOKUP(Table16[[#This Row],[Name]],Table9[Name],Table9[Points],"DNP",0,1)</f>
        <v>1</v>
      </c>
      <c r="F251" t="str">
        <f>_xlfn.XLOOKUP(Table16[[#This Row],[Name]],Table18[Name],Table18[Points],"DNP",0,1)</f>
        <v>DNP</v>
      </c>
      <c r="G251">
        <f>_xlfn.XLOOKUP(Table16[[#This Row],[Name]],Table2[Name],Table2[Points],"DNP",0,1)</f>
        <v>1</v>
      </c>
      <c r="H251" t="str">
        <f>_xlfn.XLOOKUP(Table16[[#This Row],[Name]],Table211[Name],Table211[Points],"DNP",0,1)</f>
        <v>DNP</v>
      </c>
      <c r="I251" t="str">
        <f>_xlfn.XLOOKUP(Table16[[#This Row],[Name]],Table21112[Name],Table21112[Points],"DNP",0,1)</f>
        <v>DNP</v>
      </c>
      <c r="J251">
        <f>_xlfn.XLOOKUP(Table16[[#This Row],[Name]],Table21112164[Name],Table21112164[Points],"DNP",0,1)</f>
        <v>2</v>
      </c>
      <c r="K251">
        <f>_xlfn.XLOOKUP(Table16[[#This Row],[Name]],Table2111216420[Name],Table2111216420[Points],"DNP",0,1)</f>
        <v>1</v>
      </c>
      <c r="L251" t="str">
        <f>_xlfn.XLOOKUP(Table16[[#This Row],[Name]],Table211121642021[Name],Table211121642021[Points],"DNP",0,1)</f>
        <v>DNP</v>
      </c>
      <c r="M251">
        <f>_xlfn.XLOOKUP(Table16[[#This Row],[Name]],Table21112164202122[Name],Table21112164202122[Points],"DNP",0,1)</f>
        <v>2</v>
      </c>
      <c r="N251" t="str">
        <f>_xlfn.XLOOKUP(Table16[[#This Row],[Name]],Table2111216420212223[Name],Table2111216420212223[Points],"DNP",0,1)</f>
        <v>DNP</v>
      </c>
      <c r="O251">
        <f>_xlfn.XLOOKUP(Table16[[#This Row],[Name]],Table211121642021222325[Name],Table211121642021222325[Points],"DNP",0,1)</f>
        <v>2</v>
      </c>
      <c r="P251" t="str">
        <f>_xlfn.XLOOKUP(Table16[[#This Row],[Name]],Table21112164202122232534[Name],Table21112164202122232534[Points],"DNP",0,1)</f>
        <v>DNP</v>
      </c>
      <c r="Q251">
        <f>_xlfn.XLOOKUP(Table16[[#This Row],[Name]],Table2111216420212223253435[Name],Table2111216420212223253435[Points],"DNP",0,1)</f>
        <v>2</v>
      </c>
      <c r="R251" t="str">
        <f>_xlfn.XLOOKUP(Table16[[#This Row],[Name]],Table211121642021222325343536[Name],Table211121642021222325343536[Points],"DNP",0,1)</f>
        <v>DNP</v>
      </c>
      <c r="S251" t="str">
        <f>_xlfn.XLOOKUP(Table16[[#This Row],[Name]],Table21112164202122232534353637[Name],Table21112164202122232534353637[Points],"DNP",0,1)</f>
        <v>DNP</v>
      </c>
      <c r="T251" t="str">
        <f>_xlfn.XLOOKUP(Table16[[#This Row],[Name]],Table2111216420212223253435363738[Name],Table2111216420212223253435363738[Points],"DNP",0,1)</f>
        <v>DNP</v>
      </c>
      <c r="U251" t="str">
        <f>_xlfn.XLOOKUP(Table16[[#This Row],[Name]],Table2111216420212223253435363739[Name],Table2111216420212223253435363739[Points],"DNP",0,1)</f>
        <v>DNP</v>
      </c>
      <c r="V251" t="str">
        <f>_xlfn.XLOOKUP(Table16[[#This Row],[Name]],Table211121642021222325343536373841[Name],Table211121642021222325343536373841[Points],"DNP",0,1)</f>
        <v>DNP</v>
      </c>
    </row>
    <row r="252" spans="2:22">
      <c r="B252" t="str">
        <f>IFERROR(Table5[[#This Row],[Full name]],"")</f>
        <v>Matthew Pealow</v>
      </c>
      <c r="C252" s="68">
        <f>SUM(Table16[[#This Row],[September 30, 2025]:[Column18]])</f>
        <v>0</v>
      </c>
      <c r="D252" t="str">
        <f>_xlfn.XLOOKUP(Table16[[#This Row],[Name]],Table4[Name],Table4[Points],"DNP",0,1)</f>
        <v>DNP</v>
      </c>
      <c r="E252" t="str">
        <f>_xlfn.XLOOKUP(Table16[[#This Row],[Name]],Table9[Name],Table9[Points],"DNP",0,1)</f>
        <v>DNP</v>
      </c>
      <c r="F252" t="str">
        <f>_xlfn.XLOOKUP(Table16[[#This Row],[Name]],Table18[Name],Table18[Points],"DNP",0,1)</f>
        <v>DNP</v>
      </c>
      <c r="G252" t="str">
        <f>_xlfn.XLOOKUP(Table16[[#This Row],[Name]],Table2[Name],Table2[Points],"DNP",0,1)</f>
        <v>DNP</v>
      </c>
      <c r="H252" t="str">
        <f>_xlfn.XLOOKUP(Table16[[#This Row],[Name]],Table211[Name],Table211[Points],"DNP",0,1)</f>
        <v>DNP</v>
      </c>
      <c r="I252" t="str">
        <f>_xlfn.XLOOKUP(Table16[[#This Row],[Name]],Table21112[Name],Table21112[Points],"DNP",0,1)</f>
        <v>DNP</v>
      </c>
      <c r="J252" t="str">
        <f>_xlfn.XLOOKUP(Table16[[#This Row],[Name]],Table21112164[Name],Table21112164[Points],"DNP",0,1)</f>
        <v>DNP</v>
      </c>
      <c r="K252" t="str">
        <f>_xlfn.XLOOKUP(Table16[[#This Row],[Name]],Table2111216420[Name],Table2111216420[Points],"DNP",0,1)</f>
        <v>DNP</v>
      </c>
      <c r="L252" t="str">
        <f>_xlfn.XLOOKUP(Table16[[#This Row],[Name]],Table211121642021[Name],Table211121642021[Points],"DNP",0,1)</f>
        <v>DNP</v>
      </c>
      <c r="M252" t="str">
        <f>_xlfn.XLOOKUP(Table16[[#This Row],[Name]],Table21112164202122[Name],Table21112164202122[Points],"DNP",0,1)</f>
        <v>DNP</v>
      </c>
      <c r="N252" t="str">
        <f>_xlfn.XLOOKUP(Table16[[#This Row],[Name]],Table2111216420212223[Name],Table2111216420212223[Points],"DNP",0,1)</f>
        <v>DNP</v>
      </c>
      <c r="O252" t="str">
        <f>_xlfn.XLOOKUP(Table16[[#This Row],[Name]],Table211121642021222325[Name],Table211121642021222325[Points],"DNP",0,1)</f>
        <v>DNP</v>
      </c>
      <c r="P252" t="str">
        <f>_xlfn.XLOOKUP(Table16[[#This Row],[Name]],Table21112164202122232534[Name],Table21112164202122232534[Points],"DNP",0,1)</f>
        <v>DNP</v>
      </c>
      <c r="Q252" t="str">
        <f>_xlfn.XLOOKUP(Table16[[#This Row],[Name]],Table2111216420212223253435[Name],Table2111216420212223253435[Points],"DNP",0,1)</f>
        <v>DNP</v>
      </c>
      <c r="R252" t="str">
        <f>_xlfn.XLOOKUP(Table16[[#This Row],[Name]],Table211121642021222325343536[Name],Table211121642021222325343536[Points],"DNP",0,1)</f>
        <v>DNP</v>
      </c>
      <c r="S252" t="str">
        <f>_xlfn.XLOOKUP(Table16[[#This Row],[Name]],Table21112164202122232534353637[Name],Table21112164202122232534353637[Points],"DNP",0,1)</f>
        <v>DNP</v>
      </c>
      <c r="T252" t="str">
        <f>_xlfn.XLOOKUP(Table16[[#This Row],[Name]],Table2111216420212223253435363738[Name],Table2111216420212223253435363738[Points],"DNP",0,1)</f>
        <v>DNP</v>
      </c>
      <c r="U252" t="str">
        <f>_xlfn.XLOOKUP(Table16[[#This Row],[Name]],Table2111216420212223253435363739[Name],Table2111216420212223253435363739[Points],"DNP",0,1)</f>
        <v>DNP</v>
      </c>
      <c r="V252" t="str">
        <f>_xlfn.XLOOKUP(Table16[[#This Row],[Name]],Table211121642021222325343536373841[Name],Table211121642021222325343536373841[Points],"DNP",0,1)</f>
        <v>DNP</v>
      </c>
    </row>
    <row r="253" spans="2:22">
      <c r="B253" t="str">
        <f>IFERROR(Table5[[#This Row],[Full name]],"")</f>
        <v>Matthew Tubrett</v>
      </c>
      <c r="C253" s="68">
        <f>SUM(Table16[[#This Row],[September 30, 2025]:[Column18]])</f>
        <v>1</v>
      </c>
      <c r="D253" t="str">
        <f>_xlfn.XLOOKUP(Table16[[#This Row],[Name]],Table4[Name],Table4[Points],"DNP",0,1)</f>
        <v>DNP</v>
      </c>
      <c r="E253" t="str">
        <f>_xlfn.XLOOKUP(Table16[[#This Row],[Name]],Table9[Name],Table9[Points],"DNP",0,1)</f>
        <v>DNP</v>
      </c>
      <c r="F253" t="str">
        <f>_xlfn.XLOOKUP(Table16[[#This Row],[Name]],Table18[Name],Table18[Points],"DNP",0,1)</f>
        <v>DNP</v>
      </c>
      <c r="G253" t="str">
        <f>_xlfn.XLOOKUP(Table16[[#This Row],[Name]],Table2[Name],Table2[Points],"DNP",0,1)</f>
        <v>DNP</v>
      </c>
      <c r="H253" t="str">
        <f>_xlfn.XLOOKUP(Table16[[#This Row],[Name]],Table211[Name],Table211[Points],"DNP",0,1)</f>
        <v>DNP</v>
      </c>
      <c r="I253" t="str">
        <f>_xlfn.XLOOKUP(Table16[[#This Row],[Name]],Table21112[Name],Table21112[Points],"DNP",0,1)</f>
        <v>DNP</v>
      </c>
      <c r="J253" t="str">
        <f>_xlfn.XLOOKUP(Table16[[#This Row],[Name]],Table21112164[Name],Table21112164[Points],"DNP",0,1)</f>
        <v>DNP</v>
      </c>
      <c r="K253" t="str">
        <f>_xlfn.XLOOKUP(Table16[[#This Row],[Name]],Table2111216420[Name],Table2111216420[Points],"DNP",0,1)</f>
        <v>DNP</v>
      </c>
      <c r="L253" t="str">
        <f>_xlfn.XLOOKUP(Table16[[#This Row],[Name]],Table211121642021[Name],Table211121642021[Points],"DNP",0,1)</f>
        <v>DNP</v>
      </c>
      <c r="M253" t="str">
        <f>_xlfn.XLOOKUP(Table16[[#This Row],[Name]],Table21112164202122[Name],Table21112164202122[Points],"DNP",0,1)</f>
        <v>DNP</v>
      </c>
      <c r="N253" t="str">
        <f>_xlfn.XLOOKUP(Table16[[#This Row],[Name]],Table2111216420212223[Name],Table2111216420212223[Points],"DNP",0,1)</f>
        <v>DNP</v>
      </c>
      <c r="O253" t="str">
        <f>_xlfn.XLOOKUP(Table16[[#This Row],[Name]],Table211121642021222325[Name],Table211121642021222325[Points],"DNP",0,1)</f>
        <v>DNP</v>
      </c>
      <c r="P253" t="str">
        <f>_xlfn.XLOOKUP(Table16[[#This Row],[Name]],Table21112164202122232534[Name],Table21112164202122232534[Points],"DNP",0,1)</f>
        <v>DNP</v>
      </c>
      <c r="Q253" t="str">
        <f>_xlfn.XLOOKUP(Table16[[#This Row],[Name]],Table2111216420212223253435[Name],Table2111216420212223253435[Points],"DNP",0,1)</f>
        <v>DNP</v>
      </c>
      <c r="R253" t="str">
        <f>_xlfn.XLOOKUP(Table16[[#This Row],[Name]],Table211121642021222325343536[Name],Table211121642021222325343536[Points],"DNP",0,1)</f>
        <v>DNP</v>
      </c>
      <c r="S253" t="str">
        <f>_xlfn.XLOOKUP(Table16[[#This Row],[Name]],Table21112164202122232534353637[Name],Table21112164202122232534353637[Points],"DNP",0,1)</f>
        <v>DNP</v>
      </c>
      <c r="T253" t="str">
        <f>_xlfn.XLOOKUP(Table16[[#This Row],[Name]],Table2111216420212223253435363738[Name],Table2111216420212223253435363738[Points],"DNP",0,1)</f>
        <v>DNP</v>
      </c>
      <c r="U253">
        <f>_xlfn.XLOOKUP(Table16[[#This Row],[Name]],Table2111216420212223253435363739[Name],Table2111216420212223253435363739[Points],"DNP",0,1)</f>
        <v>1</v>
      </c>
      <c r="V253" t="str">
        <f>_xlfn.XLOOKUP(Table16[[#This Row],[Name]],Table211121642021222325343536373841[Name],Table211121642021222325343536373841[Points],"DNP",0,1)</f>
        <v>DNP</v>
      </c>
    </row>
    <row r="254" spans="2:22">
      <c r="B254" t="str">
        <f>IFERROR(Table5[[#This Row],[Full name]],"")</f>
        <v>Matthew Choi</v>
      </c>
      <c r="C254" s="68">
        <f>SUM(Table16[[#This Row],[September 30, 2025]:[Column18]])</f>
        <v>15</v>
      </c>
      <c r="D254" t="str">
        <f>_xlfn.XLOOKUP(Table16[[#This Row],[Name]],Table4[Name],Table4[Points],"DNP",0,1)</f>
        <v>DNP</v>
      </c>
      <c r="E254" t="str">
        <f>_xlfn.XLOOKUP(Table16[[#This Row],[Name]],Table9[Name],Table9[Points],"DNP",0,1)</f>
        <v>DNP</v>
      </c>
      <c r="F254" t="str">
        <f>_xlfn.XLOOKUP(Table16[[#This Row],[Name]],Table18[Name],Table18[Points],"DNP",0,1)</f>
        <v>DNP</v>
      </c>
      <c r="G254" t="str">
        <f>_xlfn.XLOOKUP(Table16[[#This Row],[Name]],Table2[Name],Table2[Points],"DNP",0,1)</f>
        <v>DNP</v>
      </c>
      <c r="H254" t="str">
        <f>_xlfn.XLOOKUP(Table16[[#This Row],[Name]],Table211[Name],Table211[Points],"DNP",0,1)</f>
        <v>DNP</v>
      </c>
      <c r="I254" t="str">
        <f>_xlfn.XLOOKUP(Table16[[#This Row],[Name]],Table21112[Name],Table21112[Points],"DNP",0,1)</f>
        <v>DNP</v>
      </c>
      <c r="J254" t="str">
        <f>_xlfn.XLOOKUP(Table16[[#This Row],[Name]],Table21112164[Name],Table21112164[Points],"DNP",0,1)</f>
        <v>DNP</v>
      </c>
      <c r="K254" t="str">
        <f>_xlfn.XLOOKUP(Table16[[#This Row],[Name]],Table2111216420[Name],Table2111216420[Points],"DNP",0,1)</f>
        <v>DNP</v>
      </c>
      <c r="L254" t="str">
        <f>_xlfn.XLOOKUP(Table16[[#This Row],[Name]],Table211121642021[Name],Table211121642021[Points],"DNP",0,1)</f>
        <v>DNP</v>
      </c>
      <c r="M254" t="str">
        <f>_xlfn.XLOOKUP(Table16[[#This Row],[Name]],Table21112164202122[Name],Table21112164202122[Points],"DNP",0,1)</f>
        <v>DNP</v>
      </c>
      <c r="N254" t="str">
        <f>_xlfn.XLOOKUP(Table16[[#This Row],[Name]],Table2111216420212223[Name],Table2111216420212223[Points],"DNP",0,1)</f>
        <v>DNP</v>
      </c>
      <c r="O254" t="str">
        <f>_xlfn.XLOOKUP(Table16[[#This Row],[Name]],Table211121642021222325[Name],Table211121642021222325[Points],"DNP",0,1)</f>
        <v>DNP</v>
      </c>
      <c r="P254" t="str">
        <f>_xlfn.XLOOKUP(Table16[[#This Row],[Name]],Table21112164202122232534[Name],Table21112164202122232534[Points],"DNP",0,1)</f>
        <v>DNP</v>
      </c>
      <c r="Q254" t="str">
        <f>_xlfn.XLOOKUP(Table16[[#This Row],[Name]],Table2111216420212223253435[Name],Table2111216420212223253435[Points],"DNP",0,1)</f>
        <v>DNP</v>
      </c>
      <c r="R254" t="str">
        <f>_xlfn.XLOOKUP(Table16[[#This Row],[Name]],Table211121642021222325343536[Name],Table211121642021222325343536[Points],"DNP",0,1)</f>
        <v>DNP</v>
      </c>
      <c r="S254" t="str">
        <f>_xlfn.XLOOKUP(Table16[[#This Row],[Name]],Table21112164202122232534353637[Name],Table21112164202122232534353637[Points],"DNP",0,1)</f>
        <v>DNP</v>
      </c>
      <c r="T254" t="str">
        <f>_xlfn.XLOOKUP(Table16[[#This Row],[Name]],Table2111216420212223253435363738[Name],Table2111216420212223253435363738[Points],"DNP",0,1)</f>
        <v>DNP</v>
      </c>
      <c r="U254">
        <f>_xlfn.XLOOKUP(Table16[[#This Row],[Name]],Table2111216420212223253435363739[Name],Table2111216420212223253435363739[Points],"DNP",0,1)</f>
        <v>15</v>
      </c>
      <c r="V254" t="str">
        <f>_xlfn.XLOOKUP(Table16[[#This Row],[Name]],Table211121642021222325343536373841[Name],Table211121642021222325343536373841[Points],"DNP",0,1)</f>
        <v>DNP</v>
      </c>
    </row>
    <row r="255" spans="2:22">
      <c r="B255" t="str">
        <f>IFERROR(Table5[[#This Row],[Full name]],"")</f>
        <v>Max Gavric</v>
      </c>
      <c r="C255" s="68">
        <f>SUM(Table16[[#This Row],[September 30, 2025]:[Column18]])</f>
        <v>4</v>
      </c>
      <c r="D255">
        <f>_xlfn.XLOOKUP(Table16[[#This Row],[Name]],Table4[Name],Table4[Points],"DNP",0,1)</f>
        <v>1</v>
      </c>
      <c r="E255">
        <f>_xlfn.XLOOKUP(Table16[[#This Row],[Name]],Table9[Name],Table9[Points],"DNP",0,1)</f>
        <v>2</v>
      </c>
      <c r="F255">
        <f>_xlfn.XLOOKUP(Table16[[#This Row],[Name]],Table18[Name],Table18[Points],"DNP",0,1)</f>
        <v>1</v>
      </c>
      <c r="G255" t="str">
        <f>_xlfn.XLOOKUP(Table16[[#This Row],[Name]],Table2[Name],Table2[Points],"DNP",0,1)</f>
        <v>DNP</v>
      </c>
      <c r="H255" t="str">
        <f>_xlfn.XLOOKUP(Table16[[#This Row],[Name]],Table211[Name],Table211[Points],"DNP",0,1)</f>
        <v>DNP</v>
      </c>
      <c r="I255" t="str">
        <f>_xlfn.XLOOKUP(Table16[[#This Row],[Name]],Table21112[Name],Table21112[Points],"DNP",0,1)</f>
        <v>DNP</v>
      </c>
      <c r="J255" t="str">
        <f>_xlfn.XLOOKUP(Table16[[#This Row],[Name]],Table21112164[Name],Table21112164[Points],"DNP",0,1)</f>
        <v>DNP</v>
      </c>
      <c r="K255" t="str">
        <f>_xlfn.XLOOKUP(Table16[[#This Row],[Name]],Table2111216420[Name],Table2111216420[Points],"DNP",0,1)</f>
        <v>DNP</v>
      </c>
      <c r="L255" t="str">
        <f>_xlfn.XLOOKUP(Table16[[#This Row],[Name]],Table211121642021[Name],Table211121642021[Points],"DNP",0,1)</f>
        <v>DNP</v>
      </c>
      <c r="M255" t="str">
        <f>_xlfn.XLOOKUP(Table16[[#This Row],[Name]],Table21112164202122[Name],Table21112164202122[Points],"DNP",0,1)</f>
        <v>DNP</v>
      </c>
      <c r="N255" t="str">
        <f>_xlfn.XLOOKUP(Table16[[#This Row],[Name]],Table2111216420212223[Name],Table2111216420212223[Points],"DNP",0,1)</f>
        <v>DNP</v>
      </c>
      <c r="O255" t="str">
        <f>_xlfn.XLOOKUP(Table16[[#This Row],[Name]],Table211121642021222325[Name],Table211121642021222325[Points],"DNP",0,1)</f>
        <v>DNP</v>
      </c>
      <c r="P255" t="str">
        <f>_xlfn.XLOOKUP(Table16[[#This Row],[Name]],Table21112164202122232534[Name],Table21112164202122232534[Points],"DNP",0,1)</f>
        <v>DNP</v>
      </c>
      <c r="Q255" t="str">
        <f>_xlfn.XLOOKUP(Table16[[#This Row],[Name]],Table2111216420212223253435[Name],Table2111216420212223253435[Points],"DNP",0,1)</f>
        <v>DNP</v>
      </c>
      <c r="R255" t="str">
        <f>_xlfn.XLOOKUP(Table16[[#This Row],[Name]],Table211121642021222325343536[Name],Table211121642021222325343536[Points],"DNP",0,1)</f>
        <v>DNP</v>
      </c>
      <c r="S255" t="str">
        <f>_xlfn.XLOOKUP(Table16[[#This Row],[Name]],Table21112164202122232534353637[Name],Table21112164202122232534353637[Points],"DNP",0,1)</f>
        <v>DNP</v>
      </c>
      <c r="T255" t="str">
        <f>_xlfn.XLOOKUP(Table16[[#This Row],[Name]],Table2111216420212223253435363738[Name],Table2111216420212223253435363738[Points],"DNP",0,1)</f>
        <v>DNP</v>
      </c>
      <c r="U255" t="str">
        <f>_xlfn.XLOOKUP(Table16[[#This Row],[Name]],Table2111216420212223253435363739[Name],Table2111216420212223253435363739[Points],"DNP",0,1)</f>
        <v>DNP</v>
      </c>
      <c r="V255" t="str">
        <f>_xlfn.XLOOKUP(Table16[[#This Row],[Name]],Table211121642021222325343536373841[Name],Table211121642021222325343536373841[Points],"DNP",0,1)</f>
        <v>DNP</v>
      </c>
    </row>
    <row r="256" spans="2:22">
      <c r="B256" t="str">
        <f>IFERROR(Table5[[#This Row],[Full name]],"")</f>
        <v>Maxim Skubitsky</v>
      </c>
      <c r="C256" s="68">
        <f>SUM(Table16[[#This Row],[September 30, 2025]:[Column18]])</f>
        <v>55</v>
      </c>
      <c r="D256" t="str">
        <f>_xlfn.XLOOKUP(Table16[[#This Row],[Name]],Table4[Name],Table4[Points],"DNP",0,1)</f>
        <v>DNP</v>
      </c>
      <c r="E256" t="str">
        <f>_xlfn.XLOOKUP(Table16[[#This Row],[Name]],Table9[Name],Table9[Points],"DNP",0,1)</f>
        <v>DNP</v>
      </c>
      <c r="F256" t="str">
        <f>_xlfn.XLOOKUP(Table16[[#This Row],[Name]],Table18[Name],Table18[Points],"DNP",0,1)</f>
        <v>DNP</v>
      </c>
      <c r="G256" t="str">
        <f>_xlfn.XLOOKUP(Table16[[#This Row],[Name]],Table2[Name],Table2[Points],"DNP",0,1)</f>
        <v>DNP</v>
      </c>
      <c r="H256" t="str">
        <f>_xlfn.XLOOKUP(Table16[[#This Row],[Name]],Table211[Name],Table211[Points],"DNP",0,1)</f>
        <v>DNP</v>
      </c>
      <c r="I256" t="str">
        <f>_xlfn.XLOOKUP(Table16[[#This Row],[Name]],Table21112[Name],Table21112[Points],"DNP",0,1)</f>
        <v>DNP</v>
      </c>
      <c r="J256" t="str">
        <f>_xlfn.XLOOKUP(Table16[[#This Row],[Name]],Table21112164[Name],Table21112164[Points],"DNP",0,1)</f>
        <v>DNP</v>
      </c>
      <c r="K256" t="str">
        <f>_xlfn.XLOOKUP(Table16[[#This Row],[Name]],Table2111216420[Name],Table2111216420[Points],"DNP",0,1)</f>
        <v>DNP</v>
      </c>
      <c r="L256" t="str">
        <f>_xlfn.XLOOKUP(Table16[[#This Row],[Name]],Table211121642021[Name],Table211121642021[Points],"DNP",0,1)</f>
        <v>DNP</v>
      </c>
      <c r="M256" t="str">
        <f>_xlfn.XLOOKUP(Table16[[#This Row],[Name]],Table21112164202122[Name],Table21112164202122[Points],"DNP",0,1)</f>
        <v>DNP</v>
      </c>
      <c r="N256" t="str">
        <f>_xlfn.XLOOKUP(Table16[[#This Row],[Name]],Table2111216420212223[Name],Table2111216420212223[Points],"DNP",0,1)</f>
        <v>DNP</v>
      </c>
      <c r="O256" t="str">
        <f>_xlfn.XLOOKUP(Table16[[#This Row],[Name]],Table211121642021222325[Name],Table211121642021222325[Points],"DNP",0,1)</f>
        <v>DNP</v>
      </c>
      <c r="P256" t="str">
        <f>_xlfn.XLOOKUP(Table16[[#This Row],[Name]],Table21112164202122232534[Name],Table21112164202122232534[Points],"DNP",0,1)</f>
        <v>DNP</v>
      </c>
      <c r="Q256">
        <f>_xlfn.XLOOKUP(Table16[[#This Row],[Name]],Table2111216420212223253435[Name],Table2111216420212223253435[Points],"DNP",0,1)</f>
        <v>1</v>
      </c>
      <c r="R256" t="str">
        <f>_xlfn.XLOOKUP(Table16[[#This Row],[Name]],Table211121642021222325343536[Name],Table211121642021222325343536[Points],"DNP",0,1)</f>
        <v>DNP</v>
      </c>
      <c r="S256">
        <f>_xlfn.XLOOKUP(Table16[[#This Row],[Name]],Table21112164202122232534353637[Name],Table21112164202122232534353637[Points],"DNP",0,1)</f>
        <v>2</v>
      </c>
      <c r="T256" t="str">
        <f>_xlfn.XLOOKUP(Table16[[#This Row],[Name]],Table2111216420212223253435363738[Name],Table2111216420212223253435363738[Points],"DNP",0,1)</f>
        <v>DNP</v>
      </c>
      <c r="U256">
        <f>_xlfn.XLOOKUP(Table16[[#This Row],[Name]],Table2111216420212223253435363739[Name],Table2111216420212223253435363739[Points],"DNP",0,1)</f>
        <v>2</v>
      </c>
      <c r="V256">
        <f>_xlfn.XLOOKUP(Table16[[#This Row],[Name]],Table211121642021222325343536373841[Name],Table211121642021222325343536373841[Points],"DNP",0,1)</f>
        <v>50</v>
      </c>
    </row>
    <row r="257" spans="2:22">
      <c r="B257" t="str">
        <f>IFERROR(Table5[[#This Row],[Full name]],"")</f>
        <v>Mekayel Qureshi</v>
      </c>
      <c r="C257" s="68">
        <f>SUM(Table16[[#This Row],[September 30, 2025]:[Column18]])</f>
        <v>0</v>
      </c>
      <c r="D257" t="str">
        <f>_xlfn.XLOOKUP(Table16[[#This Row],[Name]],Table4[Name],Table4[Points],"DNP",0,1)</f>
        <v>DNP</v>
      </c>
      <c r="E257" t="str">
        <f>_xlfn.XLOOKUP(Table16[[#This Row],[Name]],Table9[Name],Table9[Points],"DNP",0,1)</f>
        <v>DNP</v>
      </c>
      <c r="F257" t="str">
        <f>_xlfn.XLOOKUP(Table16[[#This Row],[Name]],Table18[Name],Table18[Points],"DNP",0,1)</f>
        <v>DNP</v>
      </c>
      <c r="G257" t="str">
        <f>_xlfn.XLOOKUP(Table16[[#This Row],[Name]],Table2[Name],Table2[Points],"DNP",0,1)</f>
        <v>DNP</v>
      </c>
      <c r="H257" t="str">
        <f>_xlfn.XLOOKUP(Table16[[#This Row],[Name]],Table211[Name],Table211[Points],"DNP",0,1)</f>
        <v>DNP</v>
      </c>
      <c r="I257" t="str">
        <f>_xlfn.XLOOKUP(Table16[[#This Row],[Name]],Table21112[Name],Table21112[Points],"DNP",0,1)</f>
        <v>DNP</v>
      </c>
      <c r="J257" t="str">
        <f>_xlfn.XLOOKUP(Table16[[#This Row],[Name]],Table21112164[Name],Table21112164[Points],"DNP",0,1)</f>
        <v>DNP</v>
      </c>
      <c r="K257" t="str">
        <f>_xlfn.XLOOKUP(Table16[[#This Row],[Name]],Table2111216420[Name],Table2111216420[Points],"DNP",0,1)</f>
        <v>DNP</v>
      </c>
      <c r="L257" t="str">
        <f>_xlfn.XLOOKUP(Table16[[#This Row],[Name]],Table211121642021[Name],Table211121642021[Points],"DNP",0,1)</f>
        <v>DNP</v>
      </c>
      <c r="M257" t="str">
        <f>_xlfn.XLOOKUP(Table16[[#This Row],[Name]],Table21112164202122[Name],Table21112164202122[Points],"DNP",0,1)</f>
        <v>DNP</v>
      </c>
      <c r="N257" t="str">
        <f>_xlfn.XLOOKUP(Table16[[#This Row],[Name]],Table2111216420212223[Name],Table2111216420212223[Points],"DNP",0,1)</f>
        <v>DNP</v>
      </c>
      <c r="O257" t="str">
        <f>_xlfn.XLOOKUP(Table16[[#This Row],[Name]],Table211121642021222325[Name],Table211121642021222325[Points],"DNP",0,1)</f>
        <v>DNP</v>
      </c>
      <c r="P257" t="str">
        <f>_xlfn.XLOOKUP(Table16[[#This Row],[Name]],Table21112164202122232534[Name],Table21112164202122232534[Points],"DNP",0,1)</f>
        <v>DNP</v>
      </c>
      <c r="Q257" t="str">
        <f>_xlfn.XLOOKUP(Table16[[#This Row],[Name]],Table2111216420212223253435[Name],Table2111216420212223253435[Points],"DNP",0,1)</f>
        <v>DNP</v>
      </c>
      <c r="R257" t="str">
        <f>_xlfn.XLOOKUP(Table16[[#This Row],[Name]],Table211121642021222325343536[Name],Table211121642021222325343536[Points],"DNP",0,1)</f>
        <v>DNP</v>
      </c>
      <c r="S257" t="str">
        <f>_xlfn.XLOOKUP(Table16[[#This Row],[Name]],Table21112164202122232534353637[Name],Table21112164202122232534353637[Points],"DNP",0,1)</f>
        <v>DNP</v>
      </c>
      <c r="T257" t="str">
        <f>_xlfn.XLOOKUP(Table16[[#This Row],[Name]],Table2111216420212223253435363738[Name],Table2111216420212223253435363738[Points],"DNP",0,1)</f>
        <v>DNP</v>
      </c>
      <c r="U257" t="str">
        <f>_xlfn.XLOOKUP(Table16[[#This Row],[Name]],Table2111216420212223253435363739[Name],Table2111216420212223253435363739[Points],"DNP",0,1)</f>
        <v>DNP</v>
      </c>
      <c r="V257" t="str">
        <f>_xlfn.XLOOKUP(Table16[[#This Row],[Name]],Table211121642021222325343536373841[Name],Table211121642021222325343536373841[Points],"DNP",0,1)</f>
        <v>DNP</v>
      </c>
    </row>
    <row r="258" spans="2:22">
      <c r="B258" t="str">
        <f>IFERROR(Table5[[#This Row],[Full name]],"")</f>
        <v>Mia Szavo</v>
      </c>
      <c r="C258" s="68">
        <f>SUM(Table16[[#This Row],[September 30, 2025]:[Column18]])</f>
        <v>0</v>
      </c>
      <c r="D258" t="str">
        <f>_xlfn.XLOOKUP(Table16[[#This Row],[Name]],Table4[Name],Table4[Points],"DNP",0,1)</f>
        <v>DNP</v>
      </c>
      <c r="E258" t="str">
        <f>_xlfn.XLOOKUP(Table16[[#This Row],[Name]],Table9[Name],Table9[Points],"DNP",0,1)</f>
        <v>DNP</v>
      </c>
      <c r="F258" t="str">
        <f>_xlfn.XLOOKUP(Table16[[#This Row],[Name]],Table18[Name],Table18[Points],"DNP",0,1)</f>
        <v>DNP</v>
      </c>
      <c r="G258" t="str">
        <f>_xlfn.XLOOKUP(Table16[[#This Row],[Name]],Table2[Name],Table2[Points],"DNP",0,1)</f>
        <v>DNP</v>
      </c>
      <c r="H258" t="str">
        <f>_xlfn.XLOOKUP(Table16[[#This Row],[Name]],Table211[Name],Table211[Points],"DNP",0,1)</f>
        <v>DNP</v>
      </c>
      <c r="I258" t="str">
        <f>_xlfn.XLOOKUP(Table16[[#This Row],[Name]],Table21112[Name],Table21112[Points],"DNP",0,1)</f>
        <v>DNP</v>
      </c>
      <c r="J258" t="str">
        <f>_xlfn.XLOOKUP(Table16[[#This Row],[Name]],Table21112164[Name],Table21112164[Points],"DNP",0,1)</f>
        <v>DNP</v>
      </c>
      <c r="K258" t="str">
        <f>_xlfn.XLOOKUP(Table16[[#This Row],[Name]],Table2111216420[Name],Table2111216420[Points],"DNP",0,1)</f>
        <v>DNP</v>
      </c>
      <c r="L258" t="str">
        <f>_xlfn.XLOOKUP(Table16[[#This Row],[Name]],Table211121642021[Name],Table211121642021[Points],"DNP",0,1)</f>
        <v>DNP</v>
      </c>
      <c r="M258" t="str">
        <f>_xlfn.XLOOKUP(Table16[[#This Row],[Name]],Table21112164202122[Name],Table21112164202122[Points],"DNP",0,1)</f>
        <v>DNP</v>
      </c>
      <c r="N258" t="str">
        <f>_xlfn.XLOOKUP(Table16[[#This Row],[Name]],Table2111216420212223[Name],Table2111216420212223[Points],"DNP",0,1)</f>
        <v>DNP</v>
      </c>
      <c r="O258" t="str">
        <f>_xlfn.XLOOKUP(Table16[[#This Row],[Name]],Table211121642021222325[Name],Table211121642021222325[Points],"DNP",0,1)</f>
        <v>DNP</v>
      </c>
      <c r="P258" t="str">
        <f>_xlfn.XLOOKUP(Table16[[#This Row],[Name]],Table21112164202122232534[Name],Table21112164202122232534[Points],"DNP",0,1)</f>
        <v>DNP</v>
      </c>
      <c r="Q258" t="str">
        <f>_xlfn.XLOOKUP(Table16[[#This Row],[Name]],Table2111216420212223253435[Name],Table2111216420212223253435[Points],"DNP",0,1)</f>
        <v>DNP</v>
      </c>
      <c r="R258" t="str">
        <f>_xlfn.XLOOKUP(Table16[[#This Row],[Name]],Table211121642021222325343536[Name],Table211121642021222325343536[Points],"DNP",0,1)</f>
        <v>DNP</v>
      </c>
      <c r="S258" t="str">
        <f>_xlfn.XLOOKUP(Table16[[#This Row],[Name]],Table21112164202122232534353637[Name],Table21112164202122232534353637[Points],"DNP",0,1)</f>
        <v>DNP</v>
      </c>
      <c r="T258" t="str">
        <f>_xlfn.XLOOKUP(Table16[[#This Row],[Name]],Table2111216420212223253435363738[Name],Table2111216420212223253435363738[Points],"DNP",0,1)</f>
        <v>DNP</v>
      </c>
      <c r="U258" t="str">
        <f>_xlfn.XLOOKUP(Table16[[#This Row],[Name]],Table2111216420212223253435363739[Name],Table2111216420212223253435363739[Points],"DNP",0,1)</f>
        <v>DNP</v>
      </c>
      <c r="V258" t="str">
        <f>_xlfn.XLOOKUP(Table16[[#This Row],[Name]],Table211121642021222325343536373841[Name],Table211121642021222325343536373841[Points],"DNP",0,1)</f>
        <v>DNP</v>
      </c>
    </row>
    <row r="259" spans="2:22">
      <c r="B259" t="str">
        <f>IFERROR(Table5[[#This Row],[Full name]],"")</f>
        <v>Michael Ng</v>
      </c>
      <c r="C259" s="68">
        <f>SUM(Table16[[#This Row],[September 30, 2025]:[Column18]])</f>
        <v>3</v>
      </c>
      <c r="D259">
        <f>_xlfn.XLOOKUP(Table16[[#This Row],[Name]],Table4[Name],Table4[Points],"DNP",0,1)</f>
        <v>1</v>
      </c>
      <c r="E259" t="str">
        <f>_xlfn.XLOOKUP(Table16[[#This Row],[Name]],Table9[Name],Table9[Points],"DNP",0,1)</f>
        <v>DNP</v>
      </c>
      <c r="F259" t="str">
        <f>_xlfn.XLOOKUP(Table16[[#This Row],[Name]],Table18[Name],Table18[Points],"DNP",0,1)</f>
        <v>DNP</v>
      </c>
      <c r="G259" t="str">
        <f>_xlfn.XLOOKUP(Table16[[#This Row],[Name]],Table2[Name],Table2[Points],"DNP",0,1)</f>
        <v>DNP</v>
      </c>
      <c r="H259" t="str">
        <f>_xlfn.XLOOKUP(Table16[[#This Row],[Name]],Table211[Name],Table211[Points],"DNP",0,1)</f>
        <v>DNP</v>
      </c>
      <c r="I259" t="str">
        <f>_xlfn.XLOOKUP(Table16[[#This Row],[Name]],Table21112[Name],Table21112[Points],"DNP",0,1)</f>
        <v>DNP</v>
      </c>
      <c r="J259" t="str">
        <f>_xlfn.XLOOKUP(Table16[[#This Row],[Name]],Table21112164[Name],Table21112164[Points],"DNP",0,1)</f>
        <v>DNP</v>
      </c>
      <c r="K259">
        <f>_xlfn.XLOOKUP(Table16[[#This Row],[Name]],Table2111216420[Name],Table2111216420[Points],"DNP",0,1)</f>
        <v>2</v>
      </c>
      <c r="L259" t="str">
        <f>_xlfn.XLOOKUP(Table16[[#This Row],[Name]],Table211121642021[Name],Table211121642021[Points],"DNP",0,1)</f>
        <v>DNP</v>
      </c>
      <c r="M259" t="str">
        <f>_xlfn.XLOOKUP(Table16[[#This Row],[Name]],Table21112164202122[Name],Table21112164202122[Points],"DNP",0,1)</f>
        <v>DNP</v>
      </c>
      <c r="N259" t="str">
        <f>_xlfn.XLOOKUP(Table16[[#This Row],[Name]],Table2111216420212223[Name],Table2111216420212223[Points],"DNP",0,1)</f>
        <v>DNP</v>
      </c>
      <c r="O259" t="str">
        <f>_xlfn.XLOOKUP(Table16[[#This Row],[Name]],Table211121642021222325[Name],Table211121642021222325[Points],"DNP",0,1)</f>
        <v>DNP</v>
      </c>
      <c r="P259" t="str">
        <f>_xlfn.XLOOKUP(Table16[[#This Row],[Name]],Table21112164202122232534[Name],Table21112164202122232534[Points],"DNP",0,1)</f>
        <v>DNP</v>
      </c>
      <c r="Q259" t="str">
        <f>_xlfn.XLOOKUP(Table16[[#This Row],[Name]],Table2111216420212223253435[Name],Table2111216420212223253435[Points],"DNP",0,1)</f>
        <v>DNP</v>
      </c>
      <c r="R259" t="str">
        <f>_xlfn.XLOOKUP(Table16[[#This Row],[Name]],Table211121642021222325343536[Name],Table211121642021222325343536[Points],"DNP",0,1)</f>
        <v>DNP</v>
      </c>
      <c r="S259" t="str">
        <f>_xlfn.XLOOKUP(Table16[[#This Row],[Name]],Table21112164202122232534353637[Name],Table21112164202122232534353637[Points],"DNP",0,1)</f>
        <v>DNP</v>
      </c>
      <c r="T259" t="str">
        <f>_xlfn.XLOOKUP(Table16[[#This Row],[Name]],Table2111216420212223253435363738[Name],Table2111216420212223253435363738[Points],"DNP",0,1)</f>
        <v>DNP</v>
      </c>
      <c r="U259" t="str">
        <f>_xlfn.XLOOKUP(Table16[[#This Row],[Name]],Table2111216420212223253435363739[Name],Table2111216420212223253435363739[Points],"DNP",0,1)</f>
        <v>DNP</v>
      </c>
      <c r="V259" t="str">
        <f>_xlfn.XLOOKUP(Table16[[#This Row],[Name]],Table211121642021222325343536373841[Name],Table211121642021222325343536373841[Points],"DNP",0,1)</f>
        <v>DNP</v>
      </c>
    </row>
    <row r="260" spans="2:22">
      <c r="B260" t="str">
        <f>IFERROR(Table5[[#This Row],[Full name]],"")</f>
        <v>Michael Salazar</v>
      </c>
      <c r="C260" s="68">
        <f>SUM(Table16[[#This Row],[September 30, 2025]:[Column18]])</f>
        <v>9</v>
      </c>
      <c r="D260" t="str">
        <f>_xlfn.XLOOKUP(Table16[[#This Row],[Name]],Table4[Name],Table4[Points],"DNP",0,1)</f>
        <v>DNP</v>
      </c>
      <c r="E260" t="str">
        <f>_xlfn.XLOOKUP(Table16[[#This Row],[Name]],Table9[Name],Table9[Points],"DNP",0,1)</f>
        <v>DNP</v>
      </c>
      <c r="F260">
        <f>_xlfn.XLOOKUP(Table16[[#This Row],[Name]],Table18[Name],Table18[Points],"DNP",0,1)</f>
        <v>1</v>
      </c>
      <c r="G260">
        <f>_xlfn.XLOOKUP(Table16[[#This Row],[Name]],Table2[Name],Table2[Points],"DNP",0,1)</f>
        <v>1</v>
      </c>
      <c r="H260">
        <f>_xlfn.XLOOKUP(Table16[[#This Row],[Name]],Table211[Name],Table211[Points],"DNP",0,1)</f>
        <v>1</v>
      </c>
      <c r="I260">
        <f>_xlfn.XLOOKUP(Table16[[#This Row],[Name]],Table21112[Name],Table21112[Points],"DNP",0,1)</f>
        <v>4</v>
      </c>
      <c r="J260">
        <f>_xlfn.XLOOKUP(Table16[[#This Row],[Name]],Table21112164[Name],Table21112164[Points],"DNP",0,1)</f>
        <v>1</v>
      </c>
      <c r="K260">
        <f>_xlfn.XLOOKUP(Table16[[#This Row],[Name]],Table2111216420[Name],Table2111216420[Points],"DNP",0,1)</f>
        <v>1</v>
      </c>
      <c r="L260" t="str">
        <f>_xlfn.XLOOKUP(Table16[[#This Row],[Name]],Table211121642021[Name],Table211121642021[Points],"DNP",0,1)</f>
        <v>DNP</v>
      </c>
      <c r="M260" t="str">
        <f>_xlfn.XLOOKUP(Table16[[#This Row],[Name]],Table21112164202122[Name],Table21112164202122[Points],"DNP",0,1)</f>
        <v>DNP</v>
      </c>
      <c r="N260" t="str">
        <f>_xlfn.XLOOKUP(Table16[[#This Row],[Name]],Table2111216420212223[Name],Table2111216420212223[Points],"DNP",0,1)</f>
        <v>DNP</v>
      </c>
      <c r="O260" t="str">
        <f>_xlfn.XLOOKUP(Table16[[#This Row],[Name]],Table211121642021222325[Name],Table211121642021222325[Points],"DNP",0,1)</f>
        <v>DNP</v>
      </c>
      <c r="P260" t="str">
        <f>_xlfn.XLOOKUP(Table16[[#This Row],[Name]],Table21112164202122232534[Name],Table21112164202122232534[Points],"DNP",0,1)</f>
        <v>DNP</v>
      </c>
      <c r="Q260" t="str">
        <f>_xlfn.XLOOKUP(Table16[[#This Row],[Name]],Table2111216420212223253435[Name],Table2111216420212223253435[Points],"DNP",0,1)</f>
        <v>DNP</v>
      </c>
      <c r="R260" t="str">
        <f>_xlfn.XLOOKUP(Table16[[#This Row],[Name]],Table211121642021222325343536[Name],Table211121642021222325343536[Points],"DNP",0,1)</f>
        <v>DNP</v>
      </c>
      <c r="S260" t="str">
        <f>_xlfn.XLOOKUP(Table16[[#This Row],[Name]],Table21112164202122232534353637[Name],Table21112164202122232534353637[Points],"DNP",0,1)</f>
        <v>DNP</v>
      </c>
      <c r="T260" t="str">
        <f>_xlfn.XLOOKUP(Table16[[#This Row],[Name]],Table2111216420212223253435363738[Name],Table2111216420212223253435363738[Points],"DNP",0,1)</f>
        <v>DNP</v>
      </c>
      <c r="U260" t="str">
        <f>_xlfn.XLOOKUP(Table16[[#This Row],[Name]],Table2111216420212223253435363739[Name],Table2111216420212223253435363739[Points],"DNP",0,1)</f>
        <v>DNP</v>
      </c>
      <c r="V260" t="str">
        <f>_xlfn.XLOOKUP(Table16[[#This Row],[Name]],Table211121642021222325343536373841[Name],Table211121642021222325343536373841[Points],"DNP",0,1)</f>
        <v>DNP</v>
      </c>
    </row>
    <row r="261" spans="2:22">
      <c r="B261" t="str">
        <f>IFERROR(Table5[[#This Row],[Full name]],"")</f>
        <v>Michael Xu</v>
      </c>
      <c r="C261" s="68">
        <f>SUM(Table16[[#This Row],[September 30, 2025]:[Column18]])</f>
        <v>0</v>
      </c>
      <c r="D261" t="str">
        <f>_xlfn.XLOOKUP(Table16[[#This Row],[Name]],Table4[Name],Table4[Points],"DNP",0,1)</f>
        <v>DNP</v>
      </c>
      <c r="E261" t="str">
        <f>_xlfn.XLOOKUP(Table16[[#This Row],[Name]],Table9[Name],Table9[Points],"DNP",0,1)</f>
        <v>DNP</v>
      </c>
      <c r="F261" t="str">
        <f>_xlfn.XLOOKUP(Table16[[#This Row],[Name]],Table18[Name],Table18[Points],"DNP",0,1)</f>
        <v>DNP</v>
      </c>
      <c r="G261" t="str">
        <f>_xlfn.XLOOKUP(Table16[[#This Row],[Name]],Table2[Name],Table2[Points],"DNP",0,1)</f>
        <v>DNP</v>
      </c>
      <c r="H261" t="str">
        <f>_xlfn.XLOOKUP(Table16[[#This Row],[Name]],Table211[Name],Table211[Points],"DNP",0,1)</f>
        <v>DNP</v>
      </c>
      <c r="I261" t="str">
        <f>_xlfn.XLOOKUP(Table16[[#This Row],[Name]],Table21112[Name],Table21112[Points],"DNP",0,1)</f>
        <v>DNP</v>
      </c>
      <c r="J261" t="str">
        <f>_xlfn.XLOOKUP(Table16[[#This Row],[Name]],Table21112164[Name],Table21112164[Points],"DNP",0,1)</f>
        <v>DNP</v>
      </c>
      <c r="K261" t="str">
        <f>_xlfn.XLOOKUP(Table16[[#This Row],[Name]],Table2111216420[Name],Table2111216420[Points],"DNP",0,1)</f>
        <v>DNP</v>
      </c>
      <c r="L261" t="str">
        <f>_xlfn.XLOOKUP(Table16[[#This Row],[Name]],Table211121642021[Name],Table211121642021[Points],"DNP",0,1)</f>
        <v>DNP</v>
      </c>
      <c r="M261" t="str">
        <f>_xlfn.XLOOKUP(Table16[[#This Row],[Name]],Table21112164202122[Name],Table21112164202122[Points],"DNP",0,1)</f>
        <v>DNP</v>
      </c>
      <c r="N261" t="str">
        <f>_xlfn.XLOOKUP(Table16[[#This Row],[Name]],Table2111216420212223[Name],Table2111216420212223[Points],"DNP",0,1)</f>
        <v>DNP</v>
      </c>
      <c r="O261" t="str">
        <f>_xlfn.XLOOKUP(Table16[[#This Row],[Name]],Table211121642021222325[Name],Table211121642021222325[Points],"DNP",0,1)</f>
        <v>DNP</v>
      </c>
      <c r="P261" t="str">
        <f>_xlfn.XLOOKUP(Table16[[#This Row],[Name]],Table21112164202122232534[Name],Table21112164202122232534[Points],"DNP",0,1)</f>
        <v>DNP</v>
      </c>
      <c r="Q261" t="str">
        <f>_xlfn.XLOOKUP(Table16[[#This Row],[Name]],Table2111216420212223253435[Name],Table2111216420212223253435[Points],"DNP",0,1)</f>
        <v>DNP</v>
      </c>
      <c r="R261" t="str">
        <f>_xlfn.XLOOKUP(Table16[[#This Row],[Name]],Table211121642021222325343536[Name],Table211121642021222325343536[Points],"DNP",0,1)</f>
        <v>DNP</v>
      </c>
      <c r="S261" t="str">
        <f>_xlfn.XLOOKUP(Table16[[#This Row],[Name]],Table21112164202122232534353637[Name],Table21112164202122232534353637[Points],"DNP",0,1)</f>
        <v>DNP</v>
      </c>
      <c r="T261" t="str">
        <f>_xlfn.XLOOKUP(Table16[[#This Row],[Name]],Table2111216420212223253435363738[Name],Table2111216420212223253435363738[Points],"DNP",0,1)</f>
        <v>DNP</v>
      </c>
      <c r="U261" t="str">
        <f>_xlfn.XLOOKUP(Table16[[#This Row],[Name]],Table2111216420212223253435363739[Name],Table2111216420212223253435363739[Points],"DNP",0,1)</f>
        <v>DNP</v>
      </c>
      <c r="V261" t="str">
        <f>_xlfn.XLOOKUP(Table16[[#This Row],[Name]],Table211121642021222325343536373841[Name],Table211121642021222325343536373841[Points],"DNP",0,1)</f>
        <v>DNP</v>
      </c>
    </row>
    <row r="262" spans="2:22">
      <c r="B262" t="str">
        <f>IFERROR(Table5[[#This Row],[Full name]],"")</f>
        <v>Mirkomil Oblokulov</v>
      </c>
      <c r="C262" s="68">
        <f>SUM(Table16[[#This Row],[September 30, 2025]:[Column18]])</f>
        <v>4</v>
      </c>
      <c r="D262" t="str">
        <f>_xlfn.XLOOKUP(Table16[[#This Row],[Name]],Table4[Name],Table4[Points],"DNP",0,1)</f>
        <v>DNP</v>
      </c>
      <c r="E262" t="str">
        <f>_xlfn.XLOOKUP(Table16[[#This Row],[Name]],Table9[Name],Table9[Points],"DNP",0,1)</f>
        <v>DNP</v>
      </c>
      <c r="F262" t="str">
        <f>_xlfn.XLOOKUP(Table16[[#This Row],[Name]],Table18[Name],Table18[Points],"DNP",0,1)</f>
        <v>DNP</v>
      </c>
      <c r="G262" t="str">
        <f>_xlfn.XLOOKUP(Table16[[#This Row],[Name]],Table2[Name],Table2[Points],"DNP",0,1)</f>
        <v>DNP</v>
      </c>
      <c r="H262" t="str">
        <f>_xlfn.XLOOKUP(Table16[[#This Row],[Name]],Table211[Name],Table211[Points],"DNP",0,1)</f>
        <v>DNP</v>
      </c>
      <c r="I262" t="str">
        <f>_xlfn.XLOOKUP(Table16[[#This Row],[Name]],Table21112[Name],Table21112[Points],"DNP",0,1)</f>
        <v>DNP</v>
      </c>
      <c r="J262" t="str">
        <f>_xlfn.XLOOKUP(Table16[[#This Row],[Name]],Table21112164[Name],Table21112164[Points],"DNP",0,1)</f>
        <v>DNP</v>
      </c>
      <c r="K262" t="str">
        <f>_xlfn.XLOOKUP(Table16[[#This Row],[Name]],Table2111216420[Name],Table2111216420[Points],"DNP",0,1)</f>
        <v>DNP</v>
      </c>
      <c r="L262" t="str">
        <f>_xlfn.XLOOKUP(Table16[[#This Row],[Name]],Table211121642021[Name],Table211121642021[Points],"DNP",0,1)</f>
        <v>DNP</v>
      </c>
      <c r="M262" t="str">
        <f>_xlfn.XLOOKUP(Table16[[#This Row],[Name]],Table21112164202122[Name],Table21112164202122[Points],"DNP",0,1)</f>
        <v>DNP</v>
      </c>
      <c r="N262" t="str">
        <f>_xlfn.XLOOKUP(Table16[[#This Row],[Name]],Table2111216420212223[Name],Table2111216420212223[Points],"DNP",0,1)</f>
        <v>DNP</v>
      </c>
      <c r="O262">
        <f>_xlfn.XLOOKUP(Table16[[#This Row],[Name]],Table211121642021222325[Name],Table211121642021222325[Points],"DNP",0,1)</f>
        <v>2</v>
      </c>
      <c r="P262">
        <f>_xlfn.XLOOKUP(Table16[[#This Row],[Name]],Table21112164202122232534[Name],Table21112164202122232534[Points],"DNP",0,1)</f>
        <v>1</v>
      </c>
      <c r="Q262">
        <f>_xlfn.XLOOKUP(Table16[[#This Row],[Name]],Table2111216420212223253435[Name],Table2111216420212223253435[Points],"DNP",0,1)</f>
        <v>1</v>
      </c>
      <c r="R262" t="str">
        <f>_xlfn.XLOOKUP(Table16[[#This Row],[Name]],Table211121642021222325343536[Name],Table211121642021222325343536[Points],"DNP",0,1)</f>
        <v>DNP</v>
      </c>
      <c r="S262" t="str">
        <f>_xlfn.XLOOKUP(Table16[[#This Row],[Name]],Table21112164202122232534353637[Name],Table21112164202122232534353637[Points],"DNP",0,1)</f>
        <v>DNP</v>
      </c>
      <c r="T262" t="str">
        <f>_xlfn.XLOOKUP(Table16[[#This Row],[Name]],Table2111216420212223253435363738[Name],Table2111216420212223253435363738[Points],"DNP",0,1)</f>
        <v>DNP</v>
      </c>
      <c r="U262" t="str">
        <f>_xlfn.XLOOKUP(Table16[[#This Row],[Name]],Table2111216420212223253435363739[Name],Table2111216420212223253435363739[Points],"DNP",0,1)</f>
        <v>DNP</v>
      </c>
      <c r="V262" t="str">
        <f>_xlfn.XLOOKUP(Table16[[#This Row],[Name]],Table211121642021222325343536373841[Name],Table211121642021222325343536373841[Points],"DNP",0,1)</f>
        <v>DNP</v>
      </c>
    </row>
    <row r="263" spans="2:22">
      <c r="B263" t="str">
        <f>IFERROR(Table5[[#This Row],[Full name]],"")</f>
        <v>Moksh Shah</v>
      </c>
      <c r="C263" s="68">
        <f>SUM(Table16[[#This Row],[September 30, 2025]:[Column18]])</f>
        <v>10</v>
      </c>
      <c r="D263">
        <f>_xlfn.XLOOKUP(Table16[[#This Row],[Name]],Table4[Name],Table4[Points],"DNP",0,1)</f>
        <v>1</v>
      </c>
      <c r="E263">
        <f>_xlfn.XLOOKUP(Table16[[#This Row],[Name]],Table9[Name],Table9[Points],"DNP",0,1)</f>
        <v>8</v>
      </c>
      <c r="F263" t="str">
        <f>_xlfn.XLOOKUP(Table16[[#This Row],[Name]],Table18[Name],Table18[Points],"DNP",0,1)</f>
        <v>DNP</v>
      </c>
      <c r="G263" t="str">
        <f>_xlfn.XLOOKUP(Table16[[#This Row],[Name]],Table2[Name],Table2[Points],"DNP",0,1)</f>
        <v>DNP</v>
      </c>
      <c r="H263" t="str">
        <f>_xlfn.XLOOKUP(Table16[[#This Row],[Name]],Table211[Name],Table211[Points],"DNP",0,1)</f>
        <v>DNP</v>
      </c>
      <c r="I263" t="str">
        <f>_xlfn.XLOOKUP(Table16[[#This Row],[Name]],Table21112[Name],Table21112[Points],"DNP",0,1)</f>
        <v>DNP</v>
      </c>
      <c r="J263" t="str">
        <f>_xlfn.XLOOKUP(Table16[[#This Row],[Name]],Table21112164[Name],Table21112164[Points],"DNP",0,1)</f>
        <v>DNP</v>
      </c>
      <c r="K263">
        <f>_xlfn.XLOOKUP(Table16[[#This Row],[Name]],Table2111216420[Name],Table2111216420[Points],"DNP",0,1)</f>
        <v>1</v>
      </c>
      <c r="L263" t="str">
        <f>_xlfn.XLOOKUP(Table16[[#This Row],[Name]],Table211121642021[Name],Table211121642021[Points],"DNP",0,1)</f>
        <v>DNP</v>
      </c>
      <c r="M263" t="str">
        <f>_xlfn.XLOOKUP(Table16[[#This Row],[Name]],Table21112164202122[Name],Table21112164202122[Points],"DNP",0,1)</f>
        <v>DNP</v>
      </c>
      <c r="N263" t="str">
        <f>_xlfn.XLOOKUP(Table16[[#This Row],[Name]],Table2111216420212223[Name],Table2111216420212223[Points],"DNP",0,1)</f>
        <v>DNP</v>
      </c>
      <c r="O263" t="str">
        <f>_xlfn.XLOOKUP(Table16[[#This Row],[Name]],Table211121642021222325[Name],Table211121642021222325[Points],"DNP",0,1)</f>
        <v>DNP</v>
      </c>
      <c r="P263" t="str">
        <f>_xlfn.XLOOKUP(Table16[[#This Row],[Name]],Table21112164202122232534[Name],Table21112164202122232534[Points],"DNP",0,1)</f>
        <v>DNP</v>
      </c>
      <c r="Q263" t="str">
        <f>_xlfn.XLOOKUP(Table16[[#This Row],[Name]],Table2111216420212223253435[Name],Table2111216420212223253435[Points],"DNP",0,1)</f>
        <v>DNP</v>
      </c>
      <c r="R263" t="str">
        <f>_xlfn.XLOOKUP(Table16[[#This Row],[Name]],Table211121642021222325343536[Name],Table211121642021222325343536[Points],"DNP",0,1)</f>
        <v>DNP</v>
      </c>
      <c r="S263" t="str">
        <f>_xlfn.XLOOKUP(Table16[[#This Row],[Name]],Table21112164202122232534353637[Name],Table21112164202122232534353637[Points],"DNP",0,1)</f>
        <v>DNP</v>
      </c>
      <c r="T263" t="str">
        <f>_xlfn.XLOOKUP(Table16[[#This Row],[Name]],Table2111216420212223253435363738[Name],Table2111216420212223253435363738[Points],"DNP",0,1)</f>
        <v>DNP</v>
      </c>
      <c r="U263" t="str">
        <f>_xlfn.XLOOKUP(Table16[[#This Row],[Name]],Table2111216420212223253435363739[Name],Table2111216420212223253435363739[Points],"DNP",0,1)</f>
        <v>DNP</v>
      </c>
      <c r="V263" t="str">
        <f>_xlfn.XLOOKUP(Table16[[#This Row],[Name]],Table211121642021222325343536373841[Name],Table211121642021222325343536373841[Points],"DNP",0,1)</f>
        <v>DNP</v>
      </c>
    </row>
    <row r="264" spans="2:22">
      <c r="B264" t="str">
        <f>IFERROR(Table5[[#This Row],[Full name]],"")</f>
        <v>Muhammad Abdullah</v>
      </c>
      <c r="C264" s="68">
        <f>SUM(Table16[[#This Row],[September 30, 2025]:[Column18]])</f>
        <v>23</v>
      </c>
      <c r="D264" t="str">
        <f>_xlfn.XLOOKUP(Table16[[#This Row],[Name]],Table4[Name],Table4[Points],"DNP",0,1)</f>
        <v>DNP</v>
      </c>
      <c r="E264" t="str">
        <f>_xlfn.XLOOKUP(Table16[[#This Row],[Name]],Table9[Name],Table9[Points],"DNP",0,1)</f>
        <v>DNP</v>
      </c>
      <c r="F264" t="str">
        <f>_xlfn.XLOOKUP(Table16[[#This Row],[Name]],Table18[Name],Table18[Points],"DNP",0,1)</f>
        <v>DNP</v>
      </c>
      <c r="G264" t="str">
        <f>_xlfn.XLOOKUP(Table16[[#This Row],[Name]],Table2[Name],Table2[Points],"DNP",0,1)</f>
        <v>DNP</v>
      </c>
      <c r="H264" t="str">
        <f>_xlfn.XLOOKUP(Table16[[#This Row],[Name]],Table211[Name],Table211[Points],"DNP",0,1)</f>
        <v>DNP</v>
      </c>
      <c r="I264" t="str">
        <f>_xlfn.XLOOKUP(Table16[[#This Row],[Name]],Table21112[Name],Table21112[Points],"DNP",0,1)</f>
        <v>DNP</v>
      </c>
      <c r="J264" t="str">
        <f>_xlfn.XLOOKUP(Table16[[#This Row],[Name]],Table21112164[Name],Table21112164[Points],"DNP",0,1)</f>
        <v>DNP</v>
      </c>
      <c r="K264" t="str">
        <f>_xlfn.XLOOKUP(Table16[[#This Row],[Name]],Table2111216420[Name],Table2111216420[Points],"DNP",0,1)</f>
        <v>DNP</v>
      </c>
      <c r="L264" t="str">
        <f>_xlfn.XLOOKUP(Table16[[#This Row],[Name]],Table211121642021[Name],Table211121642021[Points],"DNP",0,1)</f>
        <v>DNP</v>
      </c>
      <c r="M264">
        <f>_xlfn.XLOOKUP(Table16[[#This Row],[Name]],Table21112164202122[Name],Table21112164202122[Points],"DNP",0,1)</f>
        <v>1</v>
      </c>
      <c r="N264">
        <f>_xlfn.XLOOKUP(Table16[[#This Row],[Name]],Table2111216420212223[Name],Table2111216420212223[Points],"DNP",0,1)</f>
        <v>1</v>
      </c>
      <c r="O264">
        <f>_xlfn.XLOOKUP(Table16[[#This Row],[Name]],Table211121642021222325[Name],Table211121642021222325[Points],"DNP",0,1)</f>
        <v>2</v>
      </c>
      <c r="P264">
        <f>_xlfn.XLOOKUP(Table16[[#This Row],[Name]],Table21112164202122232534[Name],Table21112164202122232534[Points],"DNP",0,1)</f>
        <v>1</v>
      </c>
      <c r="Q264">
        <f>_xlfn.XLOOKUP(Table16[[#This Row],[Name]],Table2111216420212223253435[Name],Table2111216420212223253435[Points],"DNP",0,1)</f>
        <v>8</v>
      </c>
      <c r="R264" t="str">
        <f>_xlfn.XLOOKUP(Table16[[#This Row],[Name]],Table211121642021222325343536[Name],Table211121642021222325343536[Points],"DNP",0,1)</f>
        <v>DNP</v>
      </c>
      <c r="S264">
        <f>_xlfn.XLOOKUP(Table16[[#This Row],[Name]],Table21112164202122232534353637[Name],Table21112164202122232534353637[Points],"DNP",0,1)</f>
        <v>1</v>
      </c>
      <c r="T264" t="str">
        <f>_xlfn.XLOOKUP(Table16[[#This Row],[Name]],Table2111216420212223253435363738[Name],Table2111216420212223253435363738[Points],"DNP",0,1)</f>
        <v>DNP</v>
      </c>
      <c r="U264">
        <f>_xlfn.XLOOKUP(Table16[[#This Row],[Name]],Table2111216420212223253435363739[Name],Table2111216420212223253435363739[Points],"DNP",0,1)</f>
        <v>1</v>
      </c>
      <c r="V264">
        <f>_xlfn.XLOOKUP(Table16[[#This Row],[Name]],Table211121642021222325343536373841[Name],Table211121642021222325343536373841[Points],"DNP",0,1)</f>
        <v>8</v>
      </c>
    </row>
    <row r="265" spans="2:22">
      <c r="B265" t="str">
        <f>IFERROR(Table5[[#This Row],[Full name]],"")</f>
        <v>Mukund Gupta</v>
      </c>
      <c r="C265" s="68">
        <f>SUM(Table16[[#This Row],[September 30, 2025]:[Column18]])</f>
        <v>60</v>
      </c>
      <c r="D265">
        <f>_xlfn.XLOOKUP(Table16[[#This Row],[Name]],Table4[Name],Table4[Points],"DNP",0,1)</f>
        <v>2</v>
      </c>
      <c r="E265">
        <f>_xlfn.XLOOKUP(Table16[[#This Row],[Name]],Table9[Name],Table9[Points],"DNP",0,1)</f>
        <v>1</v>
      </c>
      <c r="F265">
        <f>_xlfn.XLOOKUP(Table16[[#This Row],[Name]],Table18[Name],Table18[Points],"DNP",0,1)</f>
        <v>1</v>
      </c>
      <c r="G265">
        <f>_xlfn.XLOOKUP(Table16[[#This Row],[Name]],Table2[Name],Table2[Points],"DNP",0,1)</f>
        <v>1</v>
      </c>
      <c r="H265" t="str">
        <f>_xlfn.XLOOKUP(Table16[[#This Row],[Name]],Table211[Name],Table211[Points],"DNP",0,1)</f>
        <v>DNP</v>
      </c>
      <c r="I265">
        <f>_xlfn.XLOOKUP(Table16[[#This Row],[Name]],Table21112[Name],Table21112[Points],"DNP",0,1)</f>
        <v>1</v>
      </c>
      <c r="J265" t="str">
        <f>_xlfn.XLOOKUP(Table16[[#This Row],[Name]],Table21112164[Name],Table21112164[Points],"DNP",0,1)</f>
        <v>DNP</v>
      </c>
      <c r="K265">
        <f>_xlfn.XLOOKUP(Table16[[#This Row],[Name]],Table2111216420[Name],Table2111216420[Points],"DNP",0,1)</f>
        <v>1</v>
      </c>
      <c r="L265" t="str">
        <f>_xlfn.XLOOKUP(Table16[[#This Row],[Name]],Table211121642021[Name],Table211121642021[Points],"DNP",0,1)</f>
        <v>DNP</v>
      </c>
      <c r="M265" t="str">
        <f>_xlfn.XLOOKUP(Table16[[#This Row],[Name]],Table21112164202122[Name],Table21112164202122[Points],"DNP",0,1)</f>
        <v>DNP</v>
      </c>
      <c r="N265" t="str">
        <f>_xlfn.XLOOKUP(Table16[[#This Row],[Name]],Table2111216420212223[Name],Table2111216420212223[Points],"DNP",0,1)</f>
        <v>DNP</v>
      </c>
      <c r="O265" t="str">
        <f>_xlfn.XLOOKUP(Table16[[#This Row],[Name]],Table211121642021222325[Name],Table211121642021222325[Points],"DNP",0,1)</f>
        <v>DNP</v>
      </c>
      <c r="P265" t="str">
        <f>_xlfn.XLOOKUP(Table16[[#This Row],[Name]],Table21112164202122232534[Name],Table21112164202122232534[Points],"DNP",0,1)</f>
        <v>DNP</v>
      </c>
      <c r="Q265" t="str">
        <f>_xlfn.XLOOKUP(Table16[[#This Row],[Name]],Table2111216420212223253435[Name],Table2111216420212223253435[Points],"DNP",0,1)</f>
        <v>DNP</v>
      </c>
      <c r="R265" t="str">
        <f>_xlfn.XLOOKUP(Table16[[#This Row],[Name]],Table211121642021222325343536[Name],Table211121642021222325343536[Points],"DNP",0,1)</f>
        <v>DNP</v>
      </c>
      <c r="S265" t="str">
        <f>_xlfn.XLOOKUP(Table16[[#This Row],[Name]],Table21112164202122232534353637[Name],Table21112164202122232534353637[Points],"DNP",0,1)</f>
        <v>DNP</v>
      </c>
      <c r="T265">
        <f>_xlfn.XLOOKUP(Table16[[#This Row],[Name]],Table2111216420212223253435363738[Name],Table2111216420212223253435363738[Points],"DNP",0,1)</f>
        <v>50</v>
      </c>
      <c r="U265">
        <f>_xlfn.XLOOKUP(Table16[[#This Row],[Name]],Table2111216420212223253435363739[Name],Table2111216420212223253435363739[Points],"DNP",0,1)</f>
        <v>1</v>
      </c>
      <c r="V265">
        <f>_xlfn.XLOOKUP(Table16[[#This Row],[Name]],Table211121642021222325343536373841[Name],Table211121642021222325343536373841[Points],"DNP",0,1)</f>
        <v>2</v>
      </c>
    </row>
    <row r="266" spans="2:22">
      <c r="B266" t="str">
        <f>IFERROR(Table5[[#This Row],[Full name]],"")</f>
        <v>Nasir Ghaibi</v>
      </c>
      <c r="C266" s="68">
        <f>SUM(Table16[[#This Row],[September 30, 2025]:[Column18]])</f>
        <v>17</v>
      </c>
      <c r="D266">
        <f>_xlfn.XLOOKUP(Table16[[#This Row],[Name]],Table4[Name],Table4[Points],"DNP",0,1)</f>
        <v>1</v>
      </c>
      <c r="E266" t="str">
        <f>_xlfn.XLOOKUP(Table16[[#This Row],[Name]],Table9[Name],Table9[Points],"DNP",0,1)</f>
        <v>DNP</v>
      </c>
      <c r="F266">
        <f>_xlfn.XLOOKUP(Table16[[#This Row],[Name]],Table18[Name],Table18[Points],"DNP",0,1)</f>
        <v>1</v>
      </c>
      <c r="G266">
        <f>_xlfn.XLOOKUP(Table16[[#This Row],[Name]],Table2[Name],Table2[Points],"DNP",0,1)</f>
        <v>1</v>
      </c>
      <c r="H266" t="str">
        <f>_xlfn.XLOOKUP(Table16[[#This Row],[Name]],Table211[Name],Table211[Points],"DNP",0,1)</f>
        <v>DNP</v>
      </c>
      <c r="I266">
        <f>_xlfn.XLOOKUP(Table16[[#This Row],[Name]],Table21112[Name],Table21112[Points],"DNP",0,1)</f>
        <v>2</v>
      </c>
      <c r="J266">
        <f>_xlfn.XLOOKUP(Table16[[#This Row],[Name]],Table21112164[Name],Table21112164[Points],"DNP",0,1)</f>
        <v>1</v>
      </c>
      <c r="K266">
        <f>_xlfn.XLOOKUP(Table16[[#This Row],[Name]],Table2111216420[Name],Table2111216420[Points],"DNP",0,1)</f>
        <v>3</v>
      </c>
      <c r="L266">
        <f>_xlfn.XLOOKUP(Table16[[#This Row],[Name]],Table211121642021[Name],Table211121642021[Points],"DNP",0,1)</f>
        <v>1</v>
      </c>
      <c r="M266">
        <f>_xlfn.XLOOKUP(Table16[[#This Row],[Name]],Table21112164202122[Name],Table21112164202122[Points],"DNP",0,1)</f>
        <v>3</v>
      </c>
      <c r="N266" t="str">
        <f>_xlfn.XLOOKUP(Table16[[#This Row],[Name]],Table2111216420212223[Name],Table2111216420212223[Points],"DNP",0,1)</f>
        <v>DNP</v>
      </c>
      <c r="O266">
        <f>_xlfn.XLOOKUP(Table16[[#This Row],[Name]],Table211121642021222325[Name],Table211121642021222325[Points],"DNP",0,1)</f>
        <v>3</v>
      </c>
      <c r="P266" t="str">
        <f>_xlfn.XLOOKUP(Table16[[#This Row],[Name]],Table21112164202122232534[Name],Table21112164202122232534[Points],"DNP",0,1)</f>
        <v>DNP</v>
      </c>
      <c r="Q266">
        <f>_xlfn.XLOOKUP(Table16[[#This Row],[Name]],Table2111216420212223253435[Name],Table2111216420212223253435[Points],"DNP",0,1)</f>
        <v>1</v>
      </c>
      <c r="R266" t="str">
        <f>_xlfn.XLOOKUP(Table16[[#This Row],[Name]],Table211121642021222325343536[Name],Table211121642021222325343536[Points],"DNP",0,1)</f>
        <v>DNP</v>
      </c>
      <c r="S266" t="str">
        <f>_xlfn.XLOOKUP(Table16[[#This Row],[Name]],Table21112164202122232534353637[Name],Table21112164202122232534353637[Points],"DNP",0,1)</f>
        <v>DNP</v>
      </c>
      <c r="T266" t="str">
        <f>_xlfn.XLOOKUP(Table16[[#This Row],[Name]],Table2111216420212223253435363738[Name],Table2111216420212223253435363738[Points],"DNP",0,1)</f>
        <v>DNP</v>
      </c>
      <c r="U266" t="str">
        <f>_xlfn.XLOOKUP(Table16[[#This Row],[Name]],Table2111216420212223253435363739[Name],Table2111216420212223253435363739[Points],"DNP",0,1)</f>
        <v>DNP</v>
      </c>
      <c r="V266" t="str">
        <f>_xlfn.XLOOKUP(Table16[[#This Row],[Name]],Table211121642021222325343536373841[Name],Table211121642021222325343536373841[Points],"DNP",0,1)</f>
        <v>DNP</v>
      </c>
    </row>
    <row r="267" spans="2:22">
      <c r="B267" t="str">
        <f>IFERROR(Table5[[#This Row],[Full name]],"")</f>
        <v>Nathan Byers</v>
      </c>
      <c r="C267" s="68">
        <f>SUM(Table16[[#This Row],[September 30, 2025]:[Column18]])</f>
        <v>2</v>
      </c>
      <c r="D267" t="str">
        <f>_xlfn.XLOOKUP(Table16[[#This Row],[Name]],Table4[Name],Table4[Points],"DNP",0,1)</f>
        <v>DNP</v>
      </c>
      <c r="E267">
        <f>_xlfn.XLOOKUP(Table16[[#This Row],[Name]],Table9[Name],Table9[Points],"DNP",0,1)</f>
        <v>2</v>
      </c>
      <c r="F267" t="str">
        <f>_xlfn.XLOOKUP(Table16[[#This Row],[Name]],Table18[Name],Table18[Points],"DNP",0,1)</f>
        <v>DNP</v>
      </c>
      <c r="G267" t="str">
        <f>_xlfn.XLOOKUP(Table16[[#This Row],[Name]],Table2[Name],Table2[Points],"DNP",0,1)</f>
        <v>DNP</v>
      </c>
      <c r="H267" t="str">
        <f>_xlfn.XLOOKUP(Table16[[#This Row],[Name]],Table211[Name],Table211[Points],"DNP",0,1)</f>
        <v>DNP</v>
      </c>
      <c r="I267" t="str">
        <f>_xlfn.XLOOKUP(Table16[[#This Row],[Name]],Table21112[Name],Table21112[Points],"DNP",0,1)</f>
        <v>DNP</v>
      </c>
      <c r="J267" t="str">
        <f>_xlfn.XLOOKUP(Table16[[#This Row],[Name]],Table21112164[Name],Table21112164[Points],"DNP",0,1)</f>
        <v>DNP</v>
      </c>
      <c r="K267" t="str">
        <f>_xlfn.XLOOKUP(Table16[[#This Row],[Name]],Table2111216420[Name],Table2111216420[Points],"DNP",0,1)</f>
        <v>DNP</v>
      </c>
      <c r="L267" t="str">
        <f>_xlfn.XLOOKUP(Table16[[#This Row],[Name]],Table211121642021[Name],Table211121642021[Points],"DNP",0,1)</f>
        <v>DNP</v>
      </c>
      <c r="M267" t="str">
        <f>_xlfn.XLOOKUP(Table16[[#This Row],[Name]],Table21112164202122[Name],Table21112164202122[Points],"DNP",0,1)</f>
        <v>DNP</v>
      </c>
      <c r="N267" t="str">
        <f>_xlfn.XLOOKUP(Table16[[#This Row],[Name]],Table2111216420212223[Name],Table2111216420212223[Points],"DNP",0,1)</f>
        <v>DNP</v>
      </c>
      <c r="O267" t="str">
        <f>_xlfn.XLOOKUP(Table16[[#This Row],[Name]],Table211121642021222325[Name],Table211121642021222325[Points],"DNP",0,1)</f>
        <v>DNP</v>
      </c>
      <c r="P267" t="str">
        <f>_xlfn.XLOOKUP(Table16[[#This Row],[Name]],Table21112164202122232534[Name],Table21112164202122232534[Points],"DNP",0,1)</f>
        <v>DNP</v>
      </c>
      <c r="Q267" t="str">
        <f>_xlfn.XLOOKUP(Table16[[#This Row],[Name]],Table2111216420212223253435[Name],Table2111216420212223253435[Points],"DNP",0,1)</f>
        <v>DNP</v>
      </c>
      <c r="R267" t="str">
        <f>_xlfn.XLOOKUP(Table16[[#This Row],[Name]],Table211121642021222325343536[Name],Table211121642021222325343536[Points],"DNP",0,1)</f>
        <v>DNP</v>
      </c>
      <c r="S267" t="str">
        <f>_xlfn.XLOOKUP(Table16[[#This Row],[Name]],Table21112164202122232534353637[Name],Table21112164202122232534353637[Points],"DNP",0,1)</f>
        <v>DNP</v>
      </c>
      <c r="T267" t="str">
        <f>_xlfn.XLOOKUP(Table16[[#This Row],[Name]],Table2111216420212223253435363738[Name],Table2111216420212223253435363738[Points],"DNP",0,1)</f>
        <v>DNP</v>
      </c>
      <c r="U267" t="str">
        <f>_xlfn.XLOOKUP(Table16[[#This Row],[Name]],Table2111216420212223253435363739[Name],Table2111216420212223253435363739[Points],"DNP",0,1)</f>
        <v>DNP</v>
      </c>
      <c r="V267" t="str">
        <f>_xlfn.XLOOKUP(Table16[[#This Row],[Name]],Table211121642021222325343536373841[Name],Table211121642021222325343536373841[Points],"DNP",0,1)</f>
        <v>DNP</v>
      </c>
    </row>
    <row r="268" spans="2:22">
      <c r="B268" t="str">
        <f>IFERROR(Table5[[#This Row],[Full name]],"")</f>
        <v>Nathan Konotopsky</v>
      </c>
      <c r="C268" s="68">
        <f>SUM(Table16[[#This Row],[September 30, 2025]:[Column18]])</f>
        <v>17</v>
      </c>
      <c r="D268" t="str">
        <f>_xlfn.XLOOKUP(Table16[[#This Row],[Name]],Table4[Name],Table4[Points],"DNP",0,1)</f>
        <v>DNP</v>
      </c>
      <c r="E268" t="str">
        <f>_xlfn.XLOOKUP(Table16[[#This Row],[Name]],Table9[Name],Table9[Points],"DNP",0,1)</f>
        <v>DNP</v>
      </c>
      <c r="F268" t="str">
        <f>_xlfn.XLOOKUP(Table16[[#This Row],[Name]],Table18[Name],Table18[Points],"DNP",0,1)</f>
        <v>DNP</v>
      </c>
      <c r="G268" t="str">
        <f>_xlfn.XLOOKUP(Table16[[#This Row],[Name]],Table2[Name],Table2[Points],"DNP",0,1)</f>
        <v>DNP</v>
      </c>
      <c r="H268" t="str">
        <f>_xlfn.XLOOKUP(Table16[[#This Row],[Name]],Table211[Name],Table211[Points],"DNP",0,1)</f>
        <v>DNP</v>
      </c>
      <c r="I268" t="str">
        <f>_xlfn.XLOOKUP(Table16[[#This Row],[Name]],Table21112[Name],Table21112[Points],"DNP",0,1)</f>
        <v>DNP</v>
      </c>
      <c r="J268" t="str">
        <f>_xlfn.XLOOKUP(Table16[[#This Row],[Name]],Table21112164[Name],Table21112164[Points],"DNP",0,1)</f>
        <v>DNP</v>
      </c>
      <c r="K268" t="str">
        <f>_xlfn.XLOOKUP(Table16[[#This Row],[Name]],Table2111216420[Name],Table2111216420[Points],"DNP",0,1)</f>
        <v>DNP</v>
      </c>
      <c r="L268">
        <f>_xlfn.XLOOKUP(Table16[[#This Row],[Name]],Table211121642021[Name],Table211121642021[Points],"DNP",0,1)</f>
        <v>2</v>
      </c>
      <c r="M268">
        <f>_xlfn.XLOOKUP(Table16[[#This Row],[Name]],Table21112164202122[Name],Table21112164202122[Points],"DNP",0,1)</f>
        <v>1</v>
      </c>
      <c r="N268">
        <f>_xlfn.XLOOKUP(Table16[[#This Row],[Name]],Table2111216420212223[Name],Table2111216420212223[Points],"DNP",0,1)</f>
        <v>2</v>
      </c>
      <c r="O268">
        <f>_xlfn.XLOOKUP(Table16[[#This Row],[Name]],Table211121642021222325[Name],Table211121642021222325[Points],"DNP",0,1)</f>
        <v>2</v>
      </c>
      <c r="P268">
        <f>_xlfn.XLOOKUP(Table16[[#This Row],[Name]],Table21112164202122232534[Name],Table21112164202122232534[Points],"DNP",0,1)</f>
        <v>4</v>
      </c>
      <c r="Q268">
        <f>_xlfn.XLOOKUP(Table16[[#This Row],[Name]],Table2111216420212223253435[Name],Table2111216420212223253435[Points],"DNP",0,1)</f>
        <v>2</v>
      </c>
      <c r="R268" t="str">
        <f>_xlfn.XLOOKUP(Table16[[#This Row],[Name]],Table211121642021222325343536[Name],Table211121642021222325343536[Points],"DNP",0,1)</f>
        <v>DNP</v>
      </c>
      <c r="S268" t="str">
        <f>_xlfn.XLOOKUP(Table16[[#This Row],[Name]],Table21112164202122232534353637[Name],Table21112164202122232534353637[Points],"DNP",0,1)</f>
        <v>DNP</v>
      </c>
      <c r="T268">
        <f>_xlfn.XLOOKUP(Table16[[#This Row],[Name]],Table2111216420212223253435363738[Name],Table2111216420212223253435363738[Points],"DNP",0,1)</f>
        <v>3</v>
      </c>
      <c r="U268">
        <f>_xlfn.XLOOKUP(Table16[[#This Row],[Name]],Table2111216420212223253435363739[Name],Table2111216420212223253435363739[Points],"DNP",0,1)</f>
        <v>1</v>
      </c>
      <c r="V268" t="str">
        <f>_xlfn.XLOOKUP(Table16[[#This Row],[Name]],Table211121642021222325343536373841[Name],Table211121642021222325343536373841[Points],"DNP",0,1)</f>
        <v>DNP</v>
      </c>
    </row>
    <row r="269" spans="2:22">
      <c r="B269" t="str">
        <f>IFERROR(Table5[[#This Row],[Full name]],"")</f>
        <v>Nickon Askari</v>
      </c>
      <c r="C269" s="68">
        <f>SUM(Table16[[#This Row],[September 30, 2025]:[Column18]])</f>
        <v>0</v>
      </c>
      <c r="D269" t="str">
        <f>_xlfn.XLOOKUP(Table16[[#This Row],[Name]],Table4[Name],Table4[Points],"DNP",0,1)</f>
        <v>DNP</v>
      </c>
      <c r="E269" t="str">
        <f>_xlfn.XLOOKUP(Table16[[#This Row],[Name]],Table9[Name],Table9[Points],"DNP",0,1)</f>
        <v>DNP</v>
      </c>
      <c r="F269" t="str">
        <f>_xlfn.XLOOKUP(Table16[[#This Row],[Name]],Table18[Name],Table18[Points],"DNP",0,1)</f>
        <v>DNP</v>
      </c>
      <c r="G269" t="str">
        <f>_xlfn.XLOOKUP(Table16[[#This Row],[Name]],Table2[Name],Table2[Points],"DNP",0,1)</f>
        <v>DNP</v>
      </c>
      <c r="H269" t="str">
        <f>_xlfn.XLOOKUP(Table16[[#This Row],[Name]],Table211[Name],Table211[Points],"DNP",0,1)</f>
        <v>DNP</v>
      </c>
      <c r="I269" t="str">
        <f>_xlfn.XLOOKUP(Table16[[#This Row],[Name]],Table21112[Name],Table21112[Points],"DNP",0,1)</f>
        <v>DNP</v>
      </c>
      <c r="J269" t="str">
        <f>_xlfn.XLOOKUP(Table16[[#This Row],[Name]],Table21112164[Name],Table21112164[Points],"DNP",0,1)</f>
        <v>DNP</v>
      </c>
      <c r="K269" t="str">
        <f>_xlfn.XLOOKUP(Table16[[#This Row],[Name]],Table2111216420[Name],Table2111216420[Points],"DNP",0,1)</f>
        <v>DNP</v>
      </c>
      <c r="L269" t="str">
        <f>_xlfn.XLOOKUP(Table16[[#This Row],[Name]],Table211121642021[Name],Table211121642021[Points],"DNP",0,1)</f>
        <v>DNP</v>
      </c>
      <c r="M269" t="str">
        <f>_xlfn.XLOOKUP(Table16[[#This Row],[Name]],Table21112164202122[Name],Table21112164202122[Points],"DNP",0,1)</f>
        <v>DNP</v>
      </c>
      <c r="N269" t="str">
        <f>_xlfn.XLOOKUP(Table16[[#This Row],[Name]],Table2111216420212223[Name],Table2111216420212223[Points],"DNP",0,1)</f>
        <v>DNP</v>
      </c>
      <c r="O269" t="str">
        <f>_xlfn.XLOOKUP(Table16[[#This Row],[Name]],Table211121642021222325[Name],Table211121642021222325[Points],"DNP",0,1)</f>
        <v>DNP</v>
      </c>
      <c r="P269" t="str">
        <f>_xlfn.XLOOKUP(Table16[[#This Row],[Name]],Table21112164202122232534[Name],Table21112164202122232534[Points],"DNP",0,1)</f>
        <v>DNP</v>
      </c>
      <c r="Q269" t="str">
        <f>_xlfn.XLOOKUP(Table16[[#This Row],[Name]],Table2111216420212223253435[Name],Table2111216420212223253435[Points],"DNP",0,1)</f>
        <v>DNP</v>
      </c>
      <c r="R269" t="str">
        <f>_xlfn.XLOOKUP(Table16[[#This Row],[Name]],Table211121642021222325343536[Name],Table211121642021222325343536[Points],"DNP",0,1)</f>
        <v>DNP</v>
      </c>
      <c r="S269" t="str">
        <f>_xlfn.XLOOKUP(Table16[[#This Row],[Name]],Table21112164202122232534353637[Name],Table21112164202122232534353637[Points],"DNP",0,1)</f>
        <v>DNP</v>
      </c>
      <c r="T269" t="str">
        <f>_xlfn.XLOOKUP(Table16[[#This Row],[Name]],Table2111216420212223253435363738[Name],Table2111216420212223253435363738[Points],"DNP",0,1)</f>
        <v>DNP</v>
      </c>
      <c r="U269" t="str">
        <f>_xlfn.XLOOKUP(Table16[[#This Row],[Name]],Table2111216420212223253435363739[Name],Table2111216420212223253435363739[Points],"DNP",0,1)</f>
        <v>DNP</v>
      </c>
      <c r="V269" t="str">
        <f>_xlfn.XLOOKUP(Table16[[#This Row],[Name]],Table211121642021222325343536373841[Name],Table211121642021222325343536373841[Points],"DNP",0,1)</f>
        <v>DNP</v>
      </c>
    </row>
    <row r="270" spans="2:22">
      <c r="B270" t="str">
        <f>IFERROR(Table5[[#This Row],[Full name]],"")</f>
        <v>Nihal Gill</v>
      </c>
      <c r="C270" s="68">
        <f>SUM(Table16[[#This Row],[September 30, 2025]:[Column18]])</f>
        <v>0</v>
      </c>
      <c r="D270" t="str">
        <f>_xlfn.XLOOKUP(Table16[[#This Row],[Name]],Table4[Name],Table4[Points],"DNP",0,1)</f>
        <v>DNP</v>
      </c>
      <c r="E270" t="str">
        <f>_xlfn.XLOOKUP(Table16[[#This Row],[Name]],Table9[Name],Table9[Points],"DNP",0,1)</f>
        <v>DNP</v>
      </c>
      <c r="F270" t="str">
        <f>_xlfn.XLOOKUP(Table16[[#This Row],[Name]],Table18[Name],Table18[Points],"DNP",0,1)</f>
        <v>DNP</v>
      </c>
      <c r="G270" t="str">
        <f>_xlfn.XLOOKUP(Table16[[#This Row],[Name]],Table2[Name],Table2[Points],"DNP",0,1)</f>
        <v>DNP</v>
      </c>
      <c r="H270" t="str">
        <f>_xlfn.XLOOKUP(Table16[[#This Row],[Name]],Table211[Name],Table211[Points],"DNP",0,1)</f>
        <v>DNP</v>
      </c>
      <c r="I270" t="str">
        <f>_xlfn.XLOOKUP(Table16[[#This Row],[Name]],Table21112[Name],Table21112[Points],"DNP",0,1)</f>
        <v>DNP</v>
      </c>
      <c r="J270" t="str">
        <f>_xlfn.XLOOKUP(Table16[[#This Row],[Name]],Table21112164[Name],Table21112164[Points],"DNP",0,1)</f>
        <v>DNP</v>
      </c>
      <c r="K270" t="str">
        <f>_xlfn.XLOOKUP(Table16[[#This Row],[Name]],Table2111216420[Name],Table2111216420[Points],"DNP",0,1)</f>
        <v>DNP</v>
      </c>
      <c r="L270" t="str">
        <f>_xlfn.XLOOKUP(Table16[[#This Row],[Name]],Table211121642021[Name],Table211121642021[Points],"DNP",0,1)</f>
        <v>DNP</v>
      </c>
      <c r="M270" t="str">
        <f>_xlfn.XLOOKUP(Table16[[#This Row],[Name]],Table21112164202122[Name],Table21112164202122[Points],"DNP",0,1)</f>
        <v>DNP</v>
      </c>
      <c r="N270" t="str">
        <f>_xlfn.XLOOKUP(Table16[[#This Row],[Name]],Table2111216420212223[Name],Table2111216420212223[Points],"DNP",0,1)</f>
        <v>DNP</v>
      </c>
      <c r="O270" t="str">
        <f>_xlfn.XLOOKUP(Table16[[#This Row],[Name]],Table211121642021222325[Name],Table211121642021222325[Points],"DNP",0,1)</f>
        <v>DNP</v>
      </c>
      <c r="P270" t="str">
        <f>_xlfn.XLOOKUP(Table16[[#This Row],[Name]],Table21112164202122232534[Name],Table21112164202122232534[Points],"DNP",0,1)</f>
        <v>DNP</v>
      </c>
      <c r="Q270" t="str">
        <f>_xlfn.XLOOKUP(Table16[[#This Row],[Name]],Table2111216420212223253435[Name],Table2111216420212223253435[Points],"DNP",0,1)</f>
        <v>DNP</v>
      </c>
      <c r="R270" t="str">
        <f>_xlfn.XLOOKUP(Table16[[#This Row],[Name]],Table211121642021222325343536[Name],Table211121642021222325343536[Points],"DNP",0,1)</f>
        <v>DNP</v>
      </c>
      <c r="S270" t="str">
        <f>_xlfn.XLOOKUP(Table16[[#This Row],[Name]],Table21112164202122232534353637[Name],Table21112164202122232534353637[Points],"DNP",0,1)</f>
        <v>DNP</v>
      </c>
      <c r="T270" t="str">
        <f>_xlfn.XLOOKUP(Table16[[#This Row],[Name]],Table2111216420212223253435363738[Name],Table2111216420212223253435363738[Points],"DNP",0,1)</f>
        <v>DNP</v>
      </c>
      <c r="U270" t="str">
        <f>_xlfn.XLOOKUP(Table16[[#This Row],[Name]],Table2111216420212223253435363739[Name],Table2111216420212223253435363739[Points],"DNP",0,1)</f>
        <v>DNP</v>
      </c>
      <c r="V270" t="str">
        <f>_xlfn.XLOOKUP(Table16[[#This Row],[Name]],Table211121642021222325343536373841[Name],Table211121642021222325343536373841[Points],"DNP",0,1)</f>
        <v>DNP</v>
      </c>
    </row>
    <row r="271" spans="2:22">
      <c r="B271" t="str">
        <f>IFERROR(Table5[[#This Row],[Full name]],"")</f>
        <v>Nikola Dora</v>
      </c>
      <c r="C271" s="68">
        <f>SUM(Table16[[#This Row],[September 30, 2025]:[Column18]])</f>
        <v>14</v>
      </c>
      <c r="D271" t="str">
        <f>_xlfn.XLOOKUP(Table16[[#This Row],[Name]],Table4[Name],Table4[Points],"DNP",0,1)</f>
        <v>DNP</v>
      </c>
      <c r="E271" t="str">
        <f>_xlfn.XLOOKUP(Table16[[#This Row],[Name]],Table9[Name],Table9[Points],"DNP",0,1)</f>
        <v>DNP</v>
      </c>
      <c r="F271" t="str">
        <f>_xlfn.XLOOKUP(Table16[[#This Row],[Name]],Table18[Name],Table18[Points],"DNP",0,1)</f>
        <v>DNP</v>
      </c>
      <c r="G271">
        <f>_xlfn.XLOOKUP(Table16[[#This Row],[Name]],Table2[Name],Table2[Points],"DNP",0,1)</f>
        <v>2</v>
      </c>
      <c r="H271">
        <f>_xlfn.XLOOKUP(Table16[[#This Row],[Name]],Table211[Name],Table211[Points],"DNP",0,1)</f>
        <v>10</v>
      </c>
      <c r="I271" t="str">
        <f>_xlfn.XLOOKUP(Table16[[#This Row],[Name]],Table21112[Name],Table21112[Points],"DNP",0,1)</f>
        <v>DNP</v>
      </c>
      <c r="J271">
        <f>_xlfn.XLOOKUP(Table16[[#This Row],[Name]],Table21112164[Name],Table21112164[Points],"DNP",0,1)</f>
        <v>2</v>
      </c>
      <c r="K271" t="str">
        <f>_xlfn.XLOOKUP(Table16[[#This Row],[Name]],Table2111216420[Name],Table2111216420[Points],"DNP",0,1)</f>
        <v>DNP</v>
      </c>
      <c r="L271" t="str">
        <f>_xlfn.XLOOKUP(Table16[[#This Row],[Name]],Table211121642021[Name],Table211121642021[Points],"DNP",0,1)</f>
        <v>DNP</v>
      </c>
      <c r="M271" t="str">
        <f>_xlfn.XLOOKUP(Table16[[#This Row],[Name]],Table21112164202122[Name],Table21112164202122[Points],"DNP",0,1)</f>
        <v>DNP</v>
      </c>
      <c r="N271" t="str">
        <f>_xlfn.XLOOKUP(Table16[[#This Row],[Name]],Table2111216420212223[Name],Table2111216420212223[Points],"DNP",0,1)</f>
        <v>DNP</v>
      </c>
      <c r="O271" t="str">
        <f>_xlfn.XLOOKUP(Table16[[#This Row],[Name]],Table211121642021222325[Name],Table211121642021222325[Points],"DNP",0,1)</f>
        <v>DNP</v>
      </c>
      <c r="P271" t="str">
        <f>_xlfn.XLOOKUP(Table16[[#This Row],[Name]],Table21112164202122232534[Name],Table21112164202122232534[Points],"DNP",0,1)</f>
        <v>DNP</v>
      </c>
      <c r="Q271" t="str">
        <f>_xlfn.XLOOKUP(Table16[[#This Row],[Name]],Table2111216420212223253435[Name],Table2111216420212223253435[Points],"DNP",0,1)</f>
        <v>DNP</v>
      </c>
      <c r="R271" t="str">
        <f>_xlfn.XLOOKUP(Table16[[#This Row],[Name]],Table211121642021222325343536[Name],Table211121642021222325343536[Points],"DNP",0,1)</f>
        <v>DNP</v>
      </c>
      <c r="S271" t="str">
        <f>_xlfn.XLOOKUP(Table16[[#This Row],[Name]],Table21112164202122232534353637[Name],Table21112164202122232534353637[Points],"DNP",0,1)</f>
        <v>DNP</v>
      </c>
      <c r="T271" t="str">
        <f>_xlfn.XLOOKUP(Table16[[#This Row],[Name]],Table2111216420212223253435363738[Name],Table2111216420212223253435363738[Points],"DNP",0,1)</f>
        <v>DNP</v>
      </c>
      <c r="U271" t="str">
        <f>_xlfn.XLOOKUP(Table16[[#This Row],[Name]],Table2111216420212223253435363739[Name],Table2111216420212223253435363739[Points],"DNP",0,1)</f>
        <v>DNP</v>
      </c>
      <c r="V271" t="str">
        <f>_xlfn.XLOOKUP(Table16[[#This Row],[Name]],Table211121642021222325343536373841[Name],Table211121642021222325343536373841[Points],"DNP",0,1)</f>
        <v>DNP</v>
      </c>
    </row>
    <row r="272" spans="2:22">
      <c r="B272" t="str">
        <f>IFERROR(Table5[[#This Row],[Full name]],"")</f>
        <v>Noah Lee</v>
      </c>
      <c r="C272" s="68">
        <f>SUM(Table16[[#This Row],[September 30, 2025]:[Column18]])</f>
        <v>10</v>
      </c>
      <c r="D272">
        <f>_xlfn.XLOOKUP(Table16[[#This Row],[Name]],Table4[Name],Table4[Points],"DNP",0,1)</f>
        <v>4</v>
      </c>
      <c r="E272" t="str">
        <f>_xlfn.XLOOKUP(Table16[[#This Row],[Name]],Table9[Name],Table9[Points],"DNP",0,1)</f>
        <v>DNP</v>
      </c>
      <c r="F272" t="str">
        <f>_xlfn.XLOOKUP(Table16[[#This Row],[Name]],Table18[Name],Table18[Points],"DNP",0,1)</f>
        <v>DNP</v>
      </c>
      <c r="G272" t="str">
        <f>_xlfn.XLOOKUP(Table16[[#This Row],[Name]],Table2[Name],Table2[Points],"DNP",0,1)</f>
        <v>DNP</v>
      </c>
      <c r="H272">
        <f>_xlfn.XLOOKUP(Table16[[#This Row],[Name]],Table211[Name],Table211[Points],"DNP",0,1)</f>
        <v>1</v>
      </c>
      <c r="I272">
        <f>_xlfn.XLOOKUP(Table16[[#This Row],[Name]],Table21112[Name],Table21112[Points],"DNP",0,1)</f>
        <v>1</v>
      </c>
      <c r="J272" t="str">
        <f>_xlfn.XLOOKUP(Table16[[#This Row],[Name]],Table21112164[Name],Table21112164[Points],"DNP",0,1)</f>
        <v>DNP</v>
      </c>
      <c r="K272" t="str">
        <f>_xlfn.XLOOKUP(Table16[[#This Row],[Name]],Table2111216420[Name],Table2111216420[Points],"DNP",0,1)</f>
        <v>DNP</v>
      </c>
      <c r="L272" t="str">
        <f>_xlfn.XLOOKUP(Table16[[#This Row],[Name]],Table211121642021[Name],Table211121642021[Points],"DNP",0,1)</f>
        <v>DNP</v>
      </c>
      <c r="M272">
        <f>_xlfn.XLOOKUP(Table16[[#This Row],[Name]],Table21112164202122[Name],Table21112164202122[Points],"DNP",0,1)</f>
        <v>2</v>
      </c>
      <c r="N272" t="str">
        <f>_xlfn.XLOOKUP(Table16[[#This Row],[Name]],Table2111216420212223[Name],Table2111216420212223[Points],"DNP",0,1)</f>
        <v>DNP</v>
      </c>
      <c r="O272" t="str">
        <f>_xlfn.XLOOKUP(Table16[[#This Row],[Name]],Table211121642021222325[Name],Table211121642021222325[Points],"DNP",0,1)</f>
        <v>DNP</v>
      </c>
      <c r="P272" t="str">
        <f>_xlfn.XLOOKUP(Table16[[#This Row],[Name]],Table21112164202122232534[Name],Table21112164202122232534[Points],"DNP",0,1)</f>
        <v>DNP</v>
      </c>
      <c r="Q272">
        <f>_xlfn.XLOOKUP(Table16[[#This Row],[Name]],Table2111216420212223253435[Name],Table2111216420212223253435[Points],"DNP",0,1)</f>
        <v>2</v>
      </c>
      <c r="R272" t="str">
        <f>_xlfn.XLOOKUP(Table16[[#This Row],[Name]],Table211121642021222325343536[Name],Table211121642021222325343536[Points],"DNP",0,1)</f>
        <v>DNP</v>
      </c>
      <c r="S272" t="str">
        <f>_xlfn.XLOOKUP(Table16[[#This Row],[Name]],Table21112164202122232534353637[Name],Table21112164202122232534353637[Points],"DNP",0,1)</f>
        <v>DNP</v>
      </c>
      <c r="T272" t="str">
        <f>_xlfn.XLOOKUP(Table16[[#This Row],[Name]],Table2111216420212223253435363738[Name],Table2111216420212223253435363738[Points],"DNP",0,1)</f>
        <v>DNP</v>
      </c>
      <c r="U272" t="str">
        <f>_xlfn.XLOOKUP(Table16[[#This Row],[Name]],Table2111216420212223253435363739[Name],Table2111216420212223253435363739[Points],"DNP",0,1)</f>
        <v>DNP</v>
      </c>
      <c r="V272" t="str">
        <f>_xlfn.XLOOKUP(Table16[[#This Row],[Name]],Table211121642021222325343536373841[Name],Table211121642021222325343536373841[Points],"DNP",0,1)</f>
        <v>DNP</v>
      </c>
    </row>
    <row r="273" spans="2:22">
      <c r="B273" t="str">
        <f>IFERROR(Table5[[#This Row],[Full name]],"")</f>
        <v>Oliver Good</v>
      </c>
      <c r="C273" s="68">
        <f>SUM(Table16[[#This Row],[September 30, 2025]:[Column18]])</f>
        <v>23</v>
      </c>
      <c r="D273" t="str">
        <f>_xlfn.XLOOKUP(Table16[[#This Row],[Name]],Table4[Name],Table4[Points],"DNP",0,1)</f>
        <v>DNP</v>
      </c>
      <c r="E273" t="str">
        <f>_xlfn.XLOOKUP(Table16[[#This Row],[Name]],Table9[Name],Table9[Points],"DNP",0,1)</f>
        <v>DNP</v>
      </c>
      <c r="F273" t="str">
        <f>_xlfn.XLOOKUP(Table16[[#This Row],[Name]],Table18[Name],Table18[Points],"DNP",0,1)</f>
        <v>DNP</v>
      </c>
      <c r="G273" t="str">
        <f>_xlfn.XLOOKUP(Table16[[#This Row],[Name]],Table2[Name],Table2[Points],"DNP",0,1)</f>
        <v>DNP</v>
      </c>
      <c r="H273" t="str">
        <f>_xlfn.XLOOKUP(Table16[[#This Row],[Name]],Table211[Name],Table211[Points],"DNP",0,1)</f>
        <v>DNP</v>
      </c>
      <c r="I273" t="str">
        <f>_xlfn.XLOOKUP(Table16[[#This Row],[Name]],Table21112[Name],Table21112[Points],"DNP",0,1)</f>
        <v>DNP</v>
      </c>
      <c r="J273" t="str">
        <f>_xlfn.XLOOKUP(Table16[[#This Row],[Name]],Table21112164[Name],Table21112164[Points],"DNP",0,1)</f>
        <v>DNP</v>
      </c>
      <c r="K273" t="str">
        <f>_xlfn.XLOOKUP(Table16[[#This Row],[Name]],Table2111216420[Name],Table2111216420[Points],"DNP",0,1)</f>
        <v>DNP</v>
      </c>
      <c r="L273" t="str">
        <f>_xlfn.XLOOKUP(Table16[[#This Row],[Name]],Table211121642021[Name],Table211121642021[Points],"DNP",0,1)</f>
        <v>DNP</v>
      </c>
      <c r="M273" t="str">
        <f>_xlfn.XLOOKUP(Table16[[#This Row],[Name]],Table21112164202122[Name],Table21112164202122[Points],"DNP",0,1)</f>
        <v>DNP</v>
      </c>
      <c r="N273" t="str">
        <f>_xlfn.XLOOKUP(Table16[[#This Row],[Name]],Table2111216420212223[Name],Table2111216420212223[Points],"DNP",0,1)</f>
        <v>DNP</v>
      </c>
      <c r="O273" t="str">
        <f>_xlfn.XLOOKUP(Table16[[#This Row],[Name]],Table211121642021222325[Name],Table211121642021222325[Points],"DNP",0,1)</f>
        <v>DNP</v>
      </c>
      <c r="P273">
        <f>_xlfn.XLOOKUP(Table16[[#This Row],[Name]],Table21112164202122232534[Name],Table21112164202122232534[Points],"DNP",0,1)</f>
        <v>1</v>
      </c>
      <c r="Q273">
        <f>_xlfn.XLOOKUP(Table16[[#This Row],[Name]],Table2111216420212223253435[Name],Table2111216420212223253435[Points],"DNP",0,1)</f>
        <v>20</v>
      </c>
      <c r="R273" t="str">
        <f>_xlfn.XLOOKUP(Table16[[#This Row],[Name]],Table211121642021222325343536[Name],Table211121642021222325343536[Points],"DNP",0,1)</f>
        <v>DNP</v>
      </c>
      <c r="S273" t="str">
        <f>_xlfn.XLOOKUP(Table16[[#This Row],[Name]],Table21112164202122232534353637[Name],Table21112164202122232534353637[Points],"DNP",0,1)</f>
        <v>DNP</v>
      </c>
      <c r="T273" t="str">
        <f>_xlfn.XLOOKUP(Table16[[#This Row],[Name]],Table2111216420212223253435363738[Name],Table2111216420212223253435363738[Points],"DNP",0,1)</f>
        <v>DNP</v>
      </c>
      <c r="U273">
        <f>_xlfn.XLOOKUP(Table16[[#This Row],[Name]],Table2111216420212223253435363739[Name],Table2111216420212223253435363739[Points],"DNP",0,1)</f>
        <v>2</v>
      </c>
      <c r="V273" t="str">
        <f>_xlfn.XLOOKUP(Table16[[#This Row],[Name]],Table211121642021222325343536373841[Name],Table211121642021222325343536373841[Points],"DNP",0,1)</f>
        <v>DNP</v>
      </c>
    </row>
    <row r="274" spans="2:22">
      <c r="B274" t="str">
        <f>IFERROR(Table5[[#This Row],[Full name]],"")</f>
        <v>Olly West</v>
      </c>
      <c r="C274" s="68">
        <f>SUM(Table16[[#This Row],[September 30, 2025]:[Column18]])</f>
        <v>6</v>
      </c>
      <c r="D274">
        <f>_xlfn.XLOOKUP(Table16[[#This Row],[Name]],Table4[Name],Table4[Points],"DNP",0,1)</f>
        <v>1</v>
      </c>
      <c r="E274">
        <f>_xlfn.XLOOKUP(Table16[[#This Row],[Name]],Table9[Name],Table9[Points],"DNP",0,1)</f>
        <v>1</v>
      </c>
      <c r="F274">
        <f>_xlfn.XLOOKUP(Table16[[#This Row],[Name]],Table18[Name],Table18[Points],"DNP",0,1)</f>
        <v>2</v>
      </c>
      <c r="G274" t="str">
        <f>_xlfn.XLOOKUP(Table16[[#This Row],[Name]],Table2[Name],Table2[Points],"DNP",0,1)</f>
        <v>DNP</v>
      </c>
      <c r="H274" t="str">
        <f>_xlfn.XLOOKUP(Table16[[#This Row],[Name]],Table211[Name],Table211[Points],"DNP",0,1)</f>
        <v>DNP</v>
      </c>
      <c r="I274" t="str">
        <f>_xlfn.XLOOKUP(Table16[[#This Row],[Name]],Table21112[Name],Table21112[Points],"DNP",0,1)</f>
        <v>DNP</v>
      </c>
      <c r="J274">
        <f>_xlfn.XLOOKUP(Table16[[#This Row],[Name]],Table21112164[Name],Table21112164[Points],"DNP",0,1)</f>
        <v>1</v>
      </c>
      <c r="K274" t="str">
        <f>_xlfn.XLOOKUP(Table16[[#This Row],[Name]],Table2111216420[Name],Table2111216420[Points],"DNP",0,1)</f>
        <v>DNP</v>
      </c>
      <c r="L274" t="str">
        <f>_xlfn.XLOOKUP(Table16[[#This Row],[Name]],Table211121642021[Name],Table211121642021[Points],"DNP",0,1)</f>
        <v>DNP</v>
      </c>
      <c r="M274" t="str">
        <f>_xlfn.XLOOKUP(Table16[[#This Row],[Name]],Table21112164202122[Name],Table21112164202122[Points],"DNP",0,1)</f>
        <v>DNP</v>
      </c>
      <c r="N274" t="str">
        <f>_xlfn.XLOOKUP(Table16[[#This Row],[Name]],Table2111216420212223[Name],Table2111216420212223[Points],"DNP",0,1)</f>
        <v>DNP</v>
      </c>
      <c r="O274" t="str">
        <f>_xlfn.XLOOKUP(Table16[[#This Row],[Name]],Table211121642021222325[Name],Table211121642021222325[Points],"DNP",0,1)</f>
        <v>DNP</v>
      </c>
      <c r="P274">
        <f>_xlfn.XLOOKUP(Table16[[#This Row],[Name]],Table21112164202122232534[Name],Table21112164202122232534[Points],"DNP",0,1)</f>
        <v>1</v>
      </c>
      <c r="Q274" t="str">
        <f>_xlfn.XLOOKUP(Table16[[#This Row],[Name]],Table2111216420212223253435[Name],Table2111216420212223253435[Points],"DNP",0,1)</f>
        <v>DNP</v>
      </c>
      <c r="R274" t="str">
        <f>_xlfn.XLOOKUP(Table16[[#This Row],[Name]],Table211121642021222325343536[Name],Table211121642021222325343536[Points],"DNP",0,1)</f>
        <v>DNP</v>
      </c>
      <c r="S274" t="str">
        <f>_xlfn.XLOOKUP(Table16[[#This Row],[Name]],Table21112164202122232534353637[Name],Table21112164202122232534353637[Points],"DNP",0,1)</f>
        <v>DNP</v>
      </c>
      <c r="T274" t="str">
        <f>_xlfn.XLOOKUP(Table16[[#This Row],[Name]],Table2111216420212223253435363738[Name],Table2111216420212223253435363738[Points],"DNP",0,1)</f>
        <v>DNP</v>
      </c>
      <c r="U274" t="str">
        <f>_xlfn.XLOOKUP(Table16[[#This Row],[Name]],Table2111216420212223253435363739[Name],Table2111216420212223253435363739[Points],"DNP",0,1)</f>
        <v>DNP</v>
      </c>
      <c r="V274" t="str">
        <f>_xlfn.XLOOKUP(Table16[[#This Row],[Name]],Table211121642021222325343536373841[Name],Table211121642021222325343536373841[Points],"DNP",0,1)</f>
        <v>DNP</v>
      </c>
    </row>
    <row r="275" spans="2:22">
      <c r="B275" t="str">
        <f>IFERROR(Table5[[#This Row],[Full name]],"")</f>
        <v>Owen Hu</v>
      </c>
      <c r="C275" s="68">
        <f>SUM(Table16[[#This Row],[September 30, 2025]:[Column18]])</f>
        <v>12</v>
      </c>
      <c r="D275">
        <f>_xlfn.XLOOKUP(Table16[[#This Row],[Name]],Table4[Name],Table4[Points],"DNP",0,1)</f>
        <v>1</v>
      </c>
      <c r="E275" t="str">
        <f>_xlfn.XLOOKUP(Table16[[#This Row],[Name]],Table9[Name],Table9[Points],"DNP",0,1)</f>
        <v>DNP</v>
      </c>
      <c r="F275" t="str">
        <f>_xlfn.XLOOKUP(Table16[[#This Row],[Name]],Table18[Name],Table18[Points],"DNP",0,1)</f>
        <v>DNP</v>
      </c>
      <c r="G275" t="str">
        <f>_xlfn.XLOOKUP(Table16[[#This Row],[Name]],Table2[Name],Table2[Points],"DNP",0,1)</f>
        <v>DNP</v>
      </c>
      <c r="H275" t="str">
        <f>_xlfn.XLOOKUP(Table16[[#This Row],[Name]],Table211[Name],Table211[Points],"DNP",0,1)</f>
        <v>DNP</v>
      </c>
      <c r="I275" t="str">
        <f>_xlfn.XLOOKUP(Table16[[#This Row],[Name]],Table21112[Name],Table21112[Points],"DNP",0,1)</f>
        <v>DNP</v>
      </c>
      <c r="J275" t="str">
        <f>_xlfn.XLOOKUP(Table16[[#This Row],[Name]],Table21112164[Name],Table21112164[Points],"DNP",0,1)</f>
        <v>DNP</v>
      </c>
      <c r="K275">
        <f>_xlfn.XLOOKUP(Table16[[#This Row],[Name]],Table2111216420[Name],Table2111216420[Points],"DNP",0,1)</f>
        <v>1</v>
      </c>
      <c r="L275">
        <f>_xlfn.XLOOKUP(Table16[[#This Row],[Name]],Table211121642021[Name],Table211121642021[Points],"DNP",0,1)</f>
        <v>8</v>
      </c>
      <c r="M275">
        <f>_xlfn.XLOOKUP(Table16[[#This Row],[Name]],Table21112164202122[Name],Table21112164202122[Points],"DNP",0,1)</f>
        <v>1</v>
      </c>
      <c r="N275" t="str">
        <f>_xlfn.XLOOKUP(Table16[[#This Row],[Name]],Table2111216420212223[Name],Table2111216420212223[Points],"DNP",0,1)</f>
        <v>DNP</v>
      </c>
      <c r="O275" t="str">
        <f>_xlfn.XLOOKUP(Table16[[#This Row],[Name]],Table211121642021222325[Name],Table211121642021222325[Points],"DNP",0,1)</f>
        <v>DNP</v>
      </c>
      <c r="P275" t="str">
        <f>_xlfn.XLOOKUP(Table16[[#This Row],[Name]],Table21112164202122232534[Name],Table21112164202122232534[Points],"DNP",0,1)</f>
        <v>DNP</v>
      </c>
      <c r="Q275" t="str">
        <f>_xlfn.XLOOKUP(Table16[[#This Row],[Name]],Table2111216420212223253435[Name],Table2111216420212223253435[Points],"DNP",0,1)</f>
        <v>DNP</v>
      </c>
      <c r="R275" t="str">
        <f>_xlfn.XLOOKUP(Table16[[#This Row],[Name]],Table211121642021222325343536[Name],Table211121642021222325343536[Points],"DNP",0,1)</f>
        <v>DNP</v>
      </c>
      <c r="S275">
        <f>_xlfn.XLOOKUP(Table16[[#This Row],[Name]],Table21112164202122232534353637[Name],Table21112164202122232534353637[Points],"DNP",0,1)</f>
        <v>1</v>
      </c>
      <c r="T275" t="str">
        <f>_xlfn.XLOOKUP(Table16[[#This Row],[Name]],Table2111216420212223253435363738[Name],Table2111216420212223253435363738[Points],"DNP",0,1)</f>
        <v>DNP</v>
      </c>
      <c r="U275" t="str">
        <f>_xlfn.XLOOKUP(Table16[[#This Row],[Name]],Table2111216420212223253435363739[Name],Table2111216420212223253435363739[Points],"DNP",0,1)</f>
        <v>DNP</v>
      </c>
      <c r="V275" t="str">
        <f>_xlfn.XLOOKUP(Table16[[#This Row],[Name]],Table211121642021222325343536373841[Name],Table211121642021222325343536373841[Points],"DNP",0,1)</f>
        <v>DNP</v>
      </c>
    </row>
    <row r="276" spans="2:22">
      <c r="B276" t="str">
        <f>IFERROR(Table5[[#This Row],[Full name]],"")</f>
        <v>Param Agarwal</v>
      </c>
      <c r="C276" s="68">
        <f>SUM(Table16[[#This Row],[September 30, 2025]:[Column18]])</f>
        <v>10</v>
      </c>
      <c r="D276">
        <f>_xlfn.XLOOKUP(Table16[[#This Row],[Name]],Table4[Name],Table4[Points],"DNP",0,1)</f>
        <v>4</v>
      </c>
      <c r="E276" t="str">
        <f>_xlfn.XLOOKUP(Table16[[#This Row],[Name]],Table9[Name],Table9[Points],"DNP",0,1)</f>
        <v>DNP</v>
      </c>
      <c r="F276" t="str">
        <f>_xlfn.XLOOKUP(Table16[[#This Row],[Name]],Table18[Name],Table18[Points],"DNP",0,1)</f>
        <v>DNP</v>
      </c>
      <c r="G276" t="str">
        <f>_xlfn.XLOOKUP(Table16[[#This Row],[Name]],Table2[Name],Table2[Points],"DNP",0,1)</f>
        <v>DNP</v>
      </c>
      <c r="H276" t="str">
        <f>_xlfn.XLOOKUP(Table16[[#This Row],[Name]],Table211[Name],Table211[Points],"DNP",0,1)</f>
        <v>DNP</v>
      </c>
      <c r="I276">
        <f>_xlfn.XLOOKUP(Table16[[#This Row],[Name]],Table21112[Name],Table21112[Points],"DNP",0,1)</f>
        <v>4</v>
      </c>
      <c r="J276" t="str">
        <f>_xlfn.XLOOKUP(Table16[[#This Row],[Name]],Table21112164[Name],Table21112164[Points],"DNP",0,1)</f>
        <v>DNP</v>
      </c>
      <c r="K276" t="str">
        <f>_xlfn.XLOOKUP(Table16[[#This Row],[Name]],Table2111216420[Name],Table2111216420[Points],"DNP",0,1)</f>
        <v>DNP</v>
      </c>
      <c r="L276" t="str">
        <f>_xlfn.XLOOKUP(Table16[[#This Row],[Name]],Table211121642021[Name],Table211121642021[Points],"DNP",0,1)</f>
        <v>DNP</v>
      </c>
      <c r="M276">
        <f>_xlfn.XLOOKUP(Table16[[#This Row],[Name]],Table21112164202122[Name],Table21112164202122[Points],"DNP",0,1)</f>
        <v>1</v>
      </c>
      <c r="N276" t="str">
        <f>_xlfn.XLOOKUP(Table16[[#This Row],[Name]],Table2111216420212223[Name],Table2111216420212223[Points],"DNP",0,1)</f>
        <v>DNP</v>
      </c>
      <c r="O276" t="str">
        <f>_xlfn.XLOOKUP(Table16[[#This Row],[Name]],Table211121642021222325[Name],Table211121642021222325[Points],"DNP",0,1)</f>
        <v>DNP</v>
      </c>
      <c r="P276" t="str">
        <f>_xlfn.XLOOKUP(Table16[[#This Row],[Name]],Table21112164202122232534[Name],Table21112164202122232534[Points],"DNP",0,1)</f>
        <v>DNP</v>
      </c>
      <c r="Q276" t="str">
        <f>_xlfn.XLOOKUP(Table16[[#This Row],[Name]],Table2111216420212223253435[Name],Table2111216420212223253435[Points],"DNP",0,1)</f>
        <v>DNP</v>
      </c>
      <c r="R276" t="str">
        <f>_xlfn.XLOOKUP(Table16[[#This Row],[Name]],Table211121642021222325343536[Name],Table211121642021222325343536[Points],"DNP",0,1)</f>
        <v>DNP</v>
      </c>
      <c r="S276" t="str">
        <f>_xlfn.XLOOKUP(Table16[[#This Row],[Name]],Table21112164202122232534353637[Name],Table21112164202122232534353637[Points],"DNP",0,1)</f>
        <v>DNP</v>
      </c>
      <c r="T276" t="str">
        <f>_xlfn.XLOOKUP(Table16[[#This Row],[Name]],Table2111216420212223253435363738[Name],Table2111216420212223253435363738[Points],"DNP",0,1)</f>
        <v>DNP</v>
      </c>
      <c r="U276">
        <f>_xlfn.XLOOKUP(Table16[[#This Row],[Name]],Table2111216420212223253435363739[Name],Table2111216420212223253435363739[Points],"DNP",0,1)</f>
        <v>1</v>
      </c>
      <c r="V276" t="str">
        <f>_xlfn.XLOOKUP(Table16[[#This Row],[Name]],Table211121642021222325343536373841[Name],Table211121642021222325343536373841[Points],"DNP",0,1)</f>
        <v>DNP</v>
      </c>
    </row>
    <row r="277" spans="2:22">
      <c r="B277" t="str">
        <f>IFERROR(Table5[[#This Row],[Full name]],"")</f>
        <v>Parum Patel</v>
      </c>
      <c r="C277" s="68">
        <f>SUM(Table16[[#This Row],[September 30, 2025]:[Column18]])</f>
        <v>1</v>
      </c>
      <c r="D277" t="str">
        <f>_xlfn.XLOOKUP(Table16[[#This Row],[Name]],Table4[Name],Table4[Points],"DNP",0,1)</f>
        <v>DNP</v>
      </c>
      <c r="E277" t="str">
        <f>_xlfn.XLOOKUP(Table16[[#This Row],[Name]],Table9[Name],Table9[Points],"DNP",0,1)</f>
        <v>DNP</v>
      </c>
      <c r="F277" t="str">
        <f>_xlfn.XLOOKUP(Table16[[#This Row],[Name]],Table18[Name],Table18[Points],"DNP",0,1)</f>
        <v>DNP</v>
      </c>
      <c r="G277" t="str">
        <f>_xlfn.XLOOKUP(Table16[[#This Row],[Name]],Table2[Name],Table2[Points],"DNP",0,1)</f>
        <v>DNP</v>
      </c>
      <c r="H277" t="str">
        <f>_xlfn.XLOOKUP(Table16[[#This Row],[Name]],Table211[Name],Table211[Points],"DNP",0,1)</f>
        <v>DNP</v>
      </c>
      <c r="I277" t="str">
        <f>_xlfn.XLOOKUP(Table16[[#This Row],[Name]],Table21112[Name],Table21112[Points],"DNP",0,1)</f>
        <v>DNP</v>
      </c>
      <c r="J277" t="str">
        <f>_xlfn.XLOOKUP(Table16[[#This Row],[Name]],Table21112164[Name],Table21112164[Points],"DNP",0,1)</f>
        <v>DNP</v>
      </c>
      <c r="K277" t="str">
        <f>_xlfn.XLOOKUP(Table16[[#This Row],[Name]],Table2111216420[Name],Table2111216420[Points],"DNP",0,1)</f>
        <v>DNP</v>
      </c>
      <c r="L277">
        <f>_xlfn.XLOOKUP(Table16[[#This Row],[Name]],Table211121642021[Name],Table211121642021[Points],"DNP",0,1)</f>
        <v>1</v>
      </c>
      <c r="M277" t="str">
        <f>_xlfn.XLOOKUP(Table16[[#This Row],[Name]],Table21112164202122[Name],Table21112164202122[Points],"DNP",0,1)</f>
        <v>DNP</v>
      </c>
      <c r="N277" t="str">
        <f>_xlfn.XLOOKUP(Table16[[#This Row],[Name]],Table2111216420212223[Name],Table2111216420212223[Points],"DNP",0,1)</f>
        <v>DNP</v>
      </c>
      <c r="O277" t="str">
        <f>_xlfn.XLOOKUP(Table16[[#This Row],[Name]],Table211121642021222325[Name],Table211121642021222325[Points],"DNP",0,1)</f>
        <v>DNP</v>
      </c>
      <c r="P277" t="str">
        <f>_xlfn.XLOOKUP(Table16[[#This Row],[Name]],Table21112164202122232534[Name],Table21112164202122232534[Points],"DNP",0,1)</f>
        <v>DNP</v>
      </c>
      <c r="Q277" t="str">
        <f>_xlfn.XLOOKUP(Table16[[#This Row],[Name]],Table2111216420212223253435[Name],Table2111216420212223253435[Points],"DNP",0,1)</f>
        <v>DNP</v>
      </c>
      <c r="R277" t="str">
        <f>_xlfn.XLOOKUP(Table16[[#This Row],[Name]],Table211121642021222325343536[Name],Table211121642021222325343536[Points],"DNP",0,1)</f>
        <v>DNP</v>
      </c>
      <c r="S277" t="str">
        <f>_xlfn.XLOOKUP(Table16[[#This Row],[Name]],Table21112164202122232534353637[Name],Table21112164202122232534353637[Points],"DNP",0,1)</f>
        <v>DNP</v>
      </c>
      <c r="T277" t="str">
        <f>_xlfn.XLOOKUP(Table16[[#This Row],[Name]],Table2111216420212223253435363738[Name],Table2111216420212223253435363738[Points],"DNP",0,1)</f>
        <v>DNP</v>
      </c>
      <c r="U277" t="str">
        <f>_xlfn.XLOOKUP(Table16[[#This Row],[Name]],Table2111216420212223253435363739[Name],Table2111216420212223253435363739[Points],"DNP",0,1)</f>
        <v>DNP</v>
      </c>
      <c r="V277" t="str">
        <f>_xlfn.XLOOKUP(Table16[[#This Row],[Name]],Table211121642021222325343536373841[Name],Table211121642021222325343536373841[Points],"DNP",0,1)</f>
        <v>DNP</v>
      </c>
    </row>
    <row r="278" spans="2:22">
      <c r="B278" t="str">
        <f>IFERROR(Table5[[#This Row],[Full name]],"")</f>
        <v xml:space="preserve">Patrick Tendon </v>
      </c>
      <c r="C278" s="68">
        <f>SUM(Table16[[#This Row],[September 30, 2025]:[Column18]])</f>
        <v>23</v>
      </c>
      <c r="D278" t="str">
        <f>_xlfn.XLOOKUP(Table16[[#This Row],[Name]],Table4[Name],Table4[Points],"DNP",0,1)</f>
        <v>DNP</v>
      </c>
      <c r="E278" t="str">
        <f>_xlfn.XLOOKUP(Table16[[#This Row],[Name]],Table9[Name],Table9[Points],"DNP",0,1)</f>
        <v>DNP</v>
      </c>
      <c r="F278" t="str">
        <f>_xlfn.XLOOKUP(Table16[[#This Row],[Name]],Table18[Name],Table18[Points],"DNP",0,1)</f>
        <v>DNP</v>
      </c>
      <c r="G278" t="str">
        <f>_xlfn.XLOOKUP(Table16[[#This Row],[Name]],Table2[Name],Table2[Points],"DNP",0,1)</f>
        <v>DNP</v>
      </c>
      <c r="H278" t="str">
        <f>_xlfn.XLOOKUP(Table16[[#This Row],[Name]],Table211[Name],Table211[Points],"DNP",0,1)</f>
        <v>DNP</v>
      </c>
      <c r="I278">
        <f>_xlfn.XLOOKUP(Table16[[#This Row],[Name]],Table21112[Name],Table21112[Points],"DNP",0,1)</f>
        <v>1</v>
      </c>
      <c r="J278" t="str">
        <f>_xlfn.XLOOKUP(Table16[[#This Row],[Name]],Table21112164[Name],Table21112164[Points],"DNP",0,1)</f>
        <v>DNP</v>
      </c>
      <c r="K278" t="str">
        <f>_xlfn.XLOOKUP(Table16[[#This Row],[Name]],Table2111216420[Name],Table2111216420[Points],"DNP",0,1)</f>
        <v>DNP</v>
      </c>
      <c r="L278">
        <f>_xlfn.XLOOKUP(Table16[[#This Row],[Name]],Table211121642021[Name],Table211121642021[Points],"DNP",0,1)</f>
        <v>2</v>
      </c>
      <c r="M278" t="str">
        <f>_xlfn.XLOOKUP(Table16[[#This Row],[Name]],Table21112164202122[Name],Table21112164202122[Points],"DNP",0,1)</f>
        <v>DNP</v>
      </c>
      <c r="N278">
        <f>_xlfn.XLOOKUP(Table16[[#This Row],[Name]],Table2111216420212223[Name],Table2111216420212223[Points],"DNP",0,1)</f>
        <v>8</v>
      </c>
      <c r="O278">
        <f>_xlfn.XLOOKUP(Table16[[#This Row],[Name]],Table211121642021222325[Name],Table211121642021222325[Points],"DNP",0,1)</f>
        <v>1</v>
      </c>
      <c r="P278">
        <f>_xlfn.XLOOKUP(Table16[[#This Row],[Name]],Table21112164202122232534[Name],Table21112164202122232534[Points],"DNP",0,1)</f>
        <v>4</v>
      </c>
      <c r="Q278">
        <f>_xlfn.XLOOKUP(Table16[[#This Row],[Name]],Table2111216420212223253435[Name],Table2111216420212223253435[Points],"DNP",0,1)</f>
        <v>2</v>
      </c>
      <c r="R278" t="str">
        <f>_xlfn.XLOOKUP(Table16[[#This Row],[Name]],Table211121642021222325343536[Name],Table211121642021222325343536[Points],"DNP",0,1)</f>
        <v>DNP</v>
      </c>
      <c r="S278">
        <f>_xlfn.XLOOKUP(Table16[[#This Row],[Name]],Table21112164202122232534353637[Name],Table21112164202122232534353637[Points],"DNP",0,1)</f>
        <v>2</v>
      </c>
      <c r="T278">
        <f>_xlfn.XLOOKUP(Table16[[#This Row],[Name]],Table2111216420212223253435363738[Name],Table2111216420212223253435363738[Points],"DNP",0,1)</f>
        <v>1</v>
      </c>
      <c r="U278">
        <f>_xlfn.XLOOKUP(Table16[[#This Row],[Name]],Table2111216420212223253435363739[Name],Table2111216420212223253435363739[Points],"DNP",0,1)</f>
        <v>1</v>
      </c>
      <c r="V278">
        <f>_xlfn.XLOOKUP(Table16[[#This Row],[Name]],Table211121642021222325343536373841[Name],Table211121642021222325343536373841[Points],"DNP",0,1)</f>
        <v>1</v>
      </c>
    </row>
    <row r="279" spans="2:22">
      <c r="B279" t="str">
        <f>IFERROR(Table5[[#This Row],[Full name]],"")</f>
        <v>Pratyush Singh</v>
      </c>
      <c r="C279" s="68">
        <f>SUM(Table16[[#This Row],[September 30, 2025]:[Column18]])</f>
        <v>1</v>
      </c>
      <c r="D279" t="str">
        <f>_xlfn.XLOOKUP(Table16[[#This Row],[Name]],Table4[Name],Table4[Points],"DNP",0,1)</f>
        <v>DNP</v>
      </c>
      <c r="E279" t="str">
        <f>_xlfn.XLOOKUP(Table16[[#This Row],[Name]],Table9[Name],Table9[Points],"DNP",0,1)</f>
        <v>DNP</v>
      </c>
      <c r="F279" t="str">
        <f>_xlfn.XLOOKUP(Table16[[#This Row],[Name]],Table18[Name],Table18[Points],"DNP",0,1)</f>
        <v>DNP</v>
      </c>
      <c r="G279" t="str">
        <f>_xlfn.XLOOKUP(Table16[[#This Row],[Name]],Table2[Name],Table2[Points],"DNP",0,1)</f>
        <v>DNP</v>
      </c>
      <c r="H279" t="str">
        <f>_xlfn.XLOOKUP(Table16[[#This Row],[Name]],Table211[Name],Table211[Points],"DNP",0,1)</f>
        <v>DNP</v>
      </c>
      <c r="I279" t="str">
        <f>_xlfn.XLOOKUP(Table16[[#This Row],[Name]],Table21112[Name],Table21112[Points],"DNP",0,1)</f>
        <v>DNP</v>
      </c>
      <c r="J279" t="str">
        <f>_xlfn.XLOOKUP(Table16[[#This Row],[Name]],Table21112164[Name],Table21112164[Points],"DNP",0,1)</f>
        <v>DNP</v>
      </c>
      <c r="K279" t="str">
        <f>_xlfn.XLOOKUP(Table16[[#This Row],[Name]],Table2111216420[Name],Table2111216420[Points],"DNP",0,1)</f>
        <v>DNP</v>
      </c>
      <c r="L279" t="str">
        <f>_xlfn.XLOOKUP(Table16[[#This Row],[Name]],Table211121642021[Name],Table211121642021[Points],"DNP",0,1)</f>
        <v>DNP</v>
      </c>
      <c r="M279" t="str">
        <f>_xlfn.XLOOKUP(Table16[[#This Row],[Name]],Table21112164202122[Name],Table21112164202122[Points],"DNP",0,1)</f>
        <v>DNP</v>
      </c>
      <c r="N279" t="str">
        <f>_xlfn.XLOOKUP(Table16[[#This Row],[Name]],Table2111216420212223[Name],Table2111216420212223[Points],"DNP",0,1)</f>
        <v>DNP</v>
      </c>
      <c r="O279" t="str">
        <f>_xlfn.XLOOKUP(Table16[[#This Row],[Name]],Table211121642021222325[Name],Table211121642021222325[Points],"DNP",0,1)</f>
        <v>DNP</v>
      </c>
      <c r="P279">
        <f>_xlfn.XLOOKUP(Table16[[#This Row],[Name]],Table21112164202122232534[Name],Table21112164202122232534[Points],"DNP",0,1)</f>
        <v>1</v>
      </c>
      <c r="Q279" t="str">
        <f>_xlfn.XLOOKUP(Table16[[#This Row],[Name]],Table2111216420212223253435[Name],Table2111216420212223253435[Points],"DNP",0,1)</f>
        <v>DNP</v>
      </c>
      <c r="R279" t="str">
        <f>_xlfn.XLOOKUP(Table16[[#This Row],[Name]],Table211121642021222325343536[Name],Table211121642021222325343536[Points],"DNP",0,1)</f>
        <v>DNP</v>
      </c>
      <c r="S279" t="str">
        <f>_xlfn.XLOOKUP(Table16[[#This Row],[Name]],Table21112164202122232534353637[Name],Table21112164202122232534353637[Points],"DNP",0,1)</f>
        <v>DNP</v>
      </c>
      <c r="T279" t="str">
        <f>_xlfn.XLOOKUP(Table16[[#This Row],[Name]],Table2111216420212223253435363738[Name],Table2111216420212223253435363738[Points],"DNP",0,1)</f>
        <v>DNP</v>
      </c>
      <c r="U279" t="str">
        <f>_xlfn.XLOOKUP(Table16[[#This Row],[Name]],Table2111216420212223253435363739[Name],Table2111216420212223253435363739[Points],"DNP",0,1)</f>
        <v>DNP</v>
      </c>
      <c r="V279" t="str">
        <f>_xlfn.XLOOKUP(Table16[[#This Row],[Name]],Table211121642021222325343536373841[Name],Table211121642021222325343536373841[Points],"DNP",0,1)</f>
        <v>DNP</v>
      </c>
    </row>
    <row r="280" spans="2:22">
      <c r="B280" t="str">
        <f>IFERROR(Table5[[#This Row],[Full name]],"")</f>
        <v>Punit Guddeti</v>
      </c>
      <c r="C280" s="68">
        <f>SUM(Table16[[#This Row],[September 30, 2025]:[Column18]])</f>
        <v>23</v>
      </c>
      <c r="D280">
        <f>_xlfn.XLOOKUP(Table16[[#This Row],[Name]],Table4[Name],Table4[Points],"DNP",0,1)</f>
        <v>1</v>
      </c>
      <c r="E280">
        <f>_xlfn.XLOOKUP(Table16[[#This Row],[Name]],Table9[Name],Table9[Points],"DNP",0,1)</f>
        <v>10</v>
      </c>
      <c r="F280">
        <f>_xlfn.XLOOKUP(Table16[[#This Row],[Name]],Table18[Name],Table18[Points],"DNP",0,1)</f>
        <v>1</v>
      </c>
      <c r="G280">
        <f>_xlfn.XLOOKUP(Table16[[#This Row],[Name]],Table2[Name],Table2[Points],"DNP",0,1)</f>
        <v>1</v>
      </c>
      <c r="H280">
        <f>_xlfn.XLOOKUP(Table16[[#This Row],[Name]],Table211[Name],Table211[Points],"DNP",0,1)</f>
        <v>2</v>
      </c>
      <c r="I280" t="str">
        <f>_xlfn.XLOOKUP(Table16[[#This Row],[Name]],Table21112[Name],Table21112[Points],"DNP",0,1)</f>
        <v>DNP</v>
      </c>
      <c r="J280" t="str">
        <f>_xlfn.XLOOKUP(Table16[[#This Row],[Name]],Table21112164[Name],Table21112164[Points],"DNP",0,1)</f>
        <v>DNP</v>
      </c>
      <c r="K280">
        <f>_xlfn.XLOOKUP(Table16[[#This Row],[Name]],Table2111216420[Name],Table2111216420[Points],"DNP",0,1)</f>
        <v>1</v>
      </c>
      <c r="L280">
        <f>_xlfn.XLOOKUP(Table16[[#This Row],[Name]],Table211121642021[Name],Table211121642021[Points],"DNP",0,1)</f>
        <v>1</v>
      </c>
      <c r="M280" t="str">
        <f>_xlfn.XLOOKUP(Table16[[#This Row],[Name]],Table21112164202122[Name],Table21112164202122[Points],"DNP",0,1)</f>
        <v>DNP</v>
      </c>
      <c r="N280">
        <f>_xlfn.XLOOKUP(Table16[[#This Row],[Name]],Table2111216420212223[Name],Table2111216420212223[Points],"DNP",0,1)</f>
        <v>1</v>
      </c>
      <c r="O280">
        <f>_xlfn.XLOOKUP(Table16[[#This Row],[Name]],Table211121642021222325[Name],Table211121642021222325[Points],"DNP",0,1)</f>
        <v>1</v>
      </c>
      <c r="P280">
        <f>_xlfn.XLOOKUP(Table16[[#This Row],[Name]],Table21112164202122232534[Name],Table21112164202122232534[Points],"DNP",0,1)</f>
        <v>1</v>
      </c>
      <c r="Q280" t="str">
        <f>_xlfn.XLOOKUP(Table16[[#This Row],[Name]],Table2111216420212223253435[Name],Table2111216420212223253435[Points],"DNP",0,1)</f>
        <v>DNP</v>
      </c>
      <c r="R280" t="str">
        <f>_xlfn.XLOOKUP(Table16[[#This Row],[Name]],Table211121642021222325343536[Name],Table211121642021222325343536[Points],"DNP",0,1)</f>
        <v>DNP</v>
      </c>
      <c r="S280" t="str">
        <f>_xlfn.XLOOKUP(Table16[[#This Row],[Name]],Table21112164202122232534353637[Name],Table21112164202122232534353637[Points],"DNP",0,1)</f>
        <v>DNP</v>
      </c>
      <c r="T280" t="str">
        <f>_xlfn.XLOOKUP(Table16[[#This Row],[Name]],Table2111216420212223253435363738[Name],Table2111216420212223253435363738[Points],"DNP",0,1)</f>
        <v>DNP</v>
      </c>
      <c r="U280">
        <f>_xlfn.XLOOKUP(Table16[[#This Row],[Name]],Table2111216420212223253435363739[Name],Table2111216420212223253435363739[Points],"DNP",0,1)</f>
        <v>1</v>
      </c>
      <c r="V280">
        <f>_xlfn.XLOOKUP(Table16[[#This Row],[Name]],Table211121642021222325343536373841[Name],Table211121642021222325343536373841[Points],"DNP",0,1)</f>
        <v>2</v>
      </c>
    </row>
    <row r="281" spans="2:22">
      <c r="B281" t="str">
        <f>IFERROR(Table5[[#This Row],[Full name]],"")</f>
        <v>Qingtong Hu</v>
      </c>
      <c r="C281" s="68">
        <f>SUM(Table16[[#This Row],[September 30, 2025]:[Column18]])</f>
        <v>33</v>
      </c>
      <c r="D281">
        <f>_xlfn.XLOOKUP(Table16[[#This Row],[Name]],Table4[Name],Table4[Points],"DNP",0,1)</f>
        <v>1</v>
      </c>
      <c r="E281">
        <f>_xlfn.XLOOKUP(Table16[[#This Row],[Name]],Table9[Name],Table9[Points],"DNP",0,1)</f>
        <v>4</v>
      </c>
      <c r="F281">
        <f>_xlfn.XLOOKUP(Table16[[#This Row],[Name]],Table18[Name],Table18[Points],"DNP",0,1)</f>
        <v>3</v>
      </c>
      <c r="G281">
        <f>_xlfn.XLOOKUP(Table16[[#This Row],[Name]],Table2[Name],Table2[Points],"DNP",0,1)</f>
        <v>2</v>
      </c>
      <c r="H281">
        <f>_xlfn.XLOOKUP(Table16[[#This Row],[Name]],Table211[Name],Table211[Points],"DNP",0,1)</f>
        <v>4</v>
      </c>
      <c r="I281">
        <f>_xlfn.XLOOKUP(Table16[[#This Row],[Name]],Table21112[Name],Table21112[Points],"DNP",0,1)</f>
        <v>2</v>
      </c>
      <c r="J281">
        <f>_xlfn.XLOOKUP(Table16[[#This Row],[Name]],Table21112164[Name],Table21112164[Points],"DNP",0,1)</f>
        <v>4</v>
      </c>
      <c r="K281">
        <f>_xlfn.XLOOKUP(Table16[[#This Row],[Name]],Table2111216420[Name],Table2111216420[Points],"DNP",0,1)</f>
        <v>1</v>
      </c>
      <c r="L281">
        <f>_xlfn.XLOOKUP(Table16[[#This Row],[Name]],Table211121642021[Name],Table211121642021[Points],"DNP",0,1)</f>
        <v>2</v>
      </c>
      <c r="M281">
        <f>_xlfn.XLOOKUP(Table16[[#This Row],[Name]],Table21112164202122[Name],Table21112164202122[Points],"DNP",0,1)</f>
        <v>2</v>
      </c>
      <c r="N281">
        <f>_xlfn.XLOOKUP(Table16[[#This Row],[Name]],Table2111216420212223[Name],Table2111216420212223[Points],"DNP",0,1)</f>
        <v>1</v>
      </c>
      <c r="O281">
        <f>_xlfn.XLOOKUP(Table16[[#This Row],[Name]],Table211121642021222325[Name],Table211121642021222325[Points],"DNP",0,1)</f>
        <v>1</v>
      </c>
      <c r="P281">
        <f>_xlfn.XLOOKUP(Table16[[#This Row],[Name]],Table21112164202122232534[Name],Table21112164202122232534[Points],"DNP",0,1)</f>
        <v>2</v>
      </c>
      <c r="Q281" t="str">
        <f>_xlfn.XLOOKUP(Table16[[#This Row],[Name]],Table2111216420212223253435[Name],Table2111216420212223253435[Points],"DNP",0,1)</f>
        <v>DNP</v>
      </c>
      <c r="R281" t="str">
        <f>_xlfn.XLOOKUP(Table16[[#This Row],[Name]],Table211121642021222325343536[Name],Table211121642021222325343536[Points],"DNP",0,1)</f>
        <v>DNP</v>
      </c>
      <c r="S281" t="str">
        <f>_xlfn.XLOOKUP(Table16[[#This Row],[Name]],Table21112164202122232534353637[Name],Table21112164202122232534353637[Points],"DNP",0,1)</f>
        <v>DNP</v>
      </c>
      <c r="T281" t="str">
        <f>_xlfn.XLOOKUP(Table16[[#This Row],[Name]],Table2111216420212223253435363738[Name],Table2111216420212223253435363738[Points],"DNP",0,1)</f>
        <v>DNP</v>
      </c>
      <c r="U281">
        <f>_xlfn.XLOOKUP(Table16[[#This Row],[Name]],Table2111216420212223253435363739[Name],Table2111216420212223253435363739[Points],"DNP",0,1)</f>
        <v>1</v>
      </c>
      <c r="V281">
        <f>_xlfn.XLOOKUP(Table16[[#This Row],[Name]],Table211121642021222325343536373841[Name],Table211121642021222325343536373841[Points],"DNP",0,1)</f>
        <v>3</v>
      </c>
    </row>
    <row r="282" spans="2:22">
      <c r="B282" t="str">
        <f>IFERROR(Table5[[#This Row],[Full name]],"")</f>
        <v>Rahil Kochhar</v>
      </c>
      <c r="C282" s="68">
        <f>SUM(Table16[[#This Row],[September 30, 2025]:[Column18]])</f>
        <v>20</v>
      </c>
      <c r="D282" t="str">
        <f>_xlfn.XLOOKUP(Table16[[#This Row],[Name]],Table4[Name],Table4[Points],"DNP",0,1)</f>
        <v>DNP</v>
      </c>
      <c r="E282" t="str">
        <f>_xlfn.XLOOKUP(Table16[[#This Row],[Name]],Table9[Name],Table9[Points],"DNP",0,1)</f>
        <v>DNP</v>
      </c>
      <c r="F282">
        <f>_xlfn.XLOOKUP(Table16[[#This Row],[Name]],Table18[Name],Table18[Points],"DNP",0,1)</f>
        <v>2</v>
      </c>
      <c r="G282" t="str">
        <f>_xlfn.XLOOKUP(Table16[[#This Row],[Name]],Table2[Name],Table2[Points],"DNP",0,1)</f>
        <v>DNP</v>
      </c>
      <c r="H282">
        <f>_xlfn.XLOOKUP(Table16[[#This Row],[Name]],Table211[Name],Table211[Points],"DNP",0,1)</f>
        <v>2</v>
      </c>
      <c r="I282" t="str">
        <f>_xlfn.XLOOKUP(Table16[[#This Row],[Name]],Table21112[Name],Table21112[Points],"DNP",0,1)</f>
        <v>DNP</v>
      </c>
      <c r="J282" t="str">
        <f>_xlfn.XLOOKUP(Table16[[#This Row],[Name]],Table21112164[Name],Table21112164[Points],"DNP",0,1)</f>
        <v>DNP</v>
      </c>
      <c r="K282">
        <f>_xlfn.XLOOKUP(Table16[[#This Row],[Name]],Table2111216420[Name],Table2111216420[Points],"DNP",0,1)</f>
        <v>2</v>
      </c>
      <c r="L282">
        <f>_xlfn.XLOOKUP(Table16[[#This Row],[Name]],Table211121642021[Name],Table211121642021[Points],"DNP",0,1)</f>
        <v>2</v>
      </c>
      <c r="M282">
        <f>_xlfn.XLOOKUP(Table16[[#This Row],[Name]],Table21112164202122[Name],Table21112164202122[Points],"DNP",0,1)</f>
        <v>1</v>
      </c>
      <c r="N282" t="str">
        <f>_xlfn.XLOOKUP(Table16[[#This Row],[Name]],Table2111216420212223[Name],Table2111216420212223[Points],"DNP",0,1)</f>
        <v>DNP</v>
      </c>
      <c r="O282">
        <f>_xlfn.XLOOKUP(Table16[[#This Row],[Name]],Table211121642021222325[Name],Table211121642021222325[Points],"DNP",0,1)</f>
        <v>2</v>
      </c>
      <c r="P282">
        <f>_xlfn.XLOOKUP(Table16[[#This Row],[Name]],Table21112164202122232534[Name],Table21112164202122232534[Points],"DNP",0,1)</f>
        <v>8</v>
      </c>
      <c r="Q282" t="str">
        <f>_xlfn.XLOOKUP(Table16[[#This Row],[Name]],Table2111216420212223253435[Name],Table2111216420212223253435[Points],"DNP",0,1)</f>
        <v>DNP</v>
      </c>
      <c r="R282" t="str">
        <f>_xlfn.XLOOKUP(Table16[[#This Row],[Name]],Table211121642021222325343536[Name],Table211121642021222325343536[Points],"DNP",0,1)</f>
        <v>DNP</v>
      </c>
      <c r="S282">
        <f>_xlfn.XLOOKUP(Table16[[#This Row],[Name]],Table21112164202122232534353637[Name],Table21112164202122232534353637[Points],"DNP",0,1)</f>
        <v>1</v>
      </c>
      <c r="T282" t="str">
        <f>_xlfn.XLOOKUP(Table16[[#This Row],[Name]],Table2111216420212223253435363738[Name],Table2111216420212223253435363738[Points],"DNP",0,1)</f>
        <v>DNP</v>
      </c>
      <c r="U282" t="str">
        <f>_xlfn.XLOOKUP(Table16[[#This Row],[Name]],Table2111216420212223253435363739[Name],Table2111216420212223253435363739[Points],"DNP",0,1)</f>
        <v>DNP</v>
      </c>
      <c r="V282" t="str">
        <f>_xlfn.XLOOKUP(Table16[[#This Row],[Name]],Table211121642021222325343536373841[Name],Table211121642021222325343536373841[Points],"DNP",0,1)</f>
        <v>DNP</v>
      </c>
    </row>
    <row r="283" spans="2:22">
      <c r="B283" t="str">
        <f>IFERROR(Table5[[#This Row],[Full name]],"")</f>
        <v>Rami Shafikov</v>
      </c>
      <c r="C283" s="68">
        <f>SUM(Table16[[#This Row],[September 30, 2025]:[Column18]])</f>
        <v>5</v>
      </c>
      <c r="D283" t="str">
        <f>_xlfn.XLOOKUP(Table16[[#This Row],[Name]],Table4[Name],Table4[Points],"DNP",0,1)</f>
        <v>DNP</v>
      </c>
      <c r="E283" t="str">
        <f>_xlfn.XLOOKUP(Table16[[#This Row],[Name]],Table9[Name],Table9[Points],"DNP",0,1)</f>
        <v>DNP</v>
      </c>
      <c r="F283">
        <f>_xlfn.XLOOKUP(Table16[[#This Row],[Name]],Table18[Name],Table18[Points],"DNP",0,1)</f>
        <v>1</v>
      </c>
      <c r="G283">
        <f>_xlfn.XLOOKUP(Table16[[#This Row],[Name]],Table2[Name],Table2[Points],"DNP",0,1)</f>
        <v>2</v>
      </c>
      <c r="H283">
        <f>_xlfn.XLOOKUP(Table16[[#This Row],[Name]],Table211[Name],Table211[Points],"DNP",0,1)</f>
        <v>1</v>
      </c>
      <c r="I283" t="str">
        <f>_xlfn.XLOOKUP(Table16[[#This Row],[Name]],Table21112[Name],Table21112[Points],"DNP",0,1)</f>
        <v>DNP</v>
      </c>
      <c r="J283">
        <f>_xlfn.XLOOKUP(Table16[[#This Row],[Name]],Table21112164[Name],Table21112164[Points],"DNP",0,1)</f>
        <v>1</v>
      </c>
      <c r="K283" t="str">
        <f>_xlfn.XLOOKUP(Table16[[#This Row],[Name]],Table2111216420[Name],Table2111216420[Points],"DNP",0,1)</f>
        <v>DNP</v>
      </c>
      <c r="L283" t="str">
        <f>_xlfn.XLOOKUP(Table16[[#This Row],[Name]],Table211121642021[Name],Table211121642021[Points],"DNP",0,1)</f>
        <v>DNP</v>
      </c>
      <c r="M283" t="str">
        <f>_xlfn.XLOOKUP(Table16[[#This Row],[Name]],Table21112164202122[Name],Table21112164202122[Points],"DNP",0,1)</f>
        <v>DNP</v>
      </c>
      <c r="N283" t="str">
        <f>_xlfn.XLOOKUP(Table16[[#This Row],[Name]],Table2111216420212223[Name],Table2111216420212223[Points],"DNP",0,1)</f>
        <v>DNP</v>
      </c>
      <c r="O283" t="str">
        <f>_xlfn.XLOOKUP(Table16[[#This Row],[Name]],Table211121642021222325[Name],Table211121642021222325[Points],"DNP",0,1)</f>
        <v>DNP</v>
      </c>
      <c r="P283" t="str">
        <f>_xlfn.XLOOKUP(Table16[[#This Row],[Name]],Table21112164202122232534[Name],Table21112164202122232534[Points],"DNP",0,1)</f>
        <v>DNP</v>
      </c>
      <c r="Q283" t="str">
        <f>_xlfn.XLOOKUP(Table16[[#This Row],[Name]],Table2111216420212223253435[Name],Table2111216420212223253435[Points],"DNP",0,1)</f>
        <v>DNP</v>
      </c>
      <c r="R283" t="str">
        <f>_xlfn.XLOOKUP(Table16[[#This Row],[Name]],Table211121642021222325343536[Name],Table211121642021222325343536[Points],"DNP",0,1)</f>
        <v>DNP</v>
      </c>
      <c r="S283" t="str">
        <f>_xlfn.XLOOKUP(Table16[[#This Row],[Name]],Table21112164202122232534353637[Name],Table21112164202122232534353637[Points],"DNP",0,1)</f>
        <v>DNP</v>
      </c>
      <c r="T283" t="str">
        <f>_xlfn.XLOOKUP(Table16[[#This Row],[Name]],Table2111216420212223253435363738[Name],Table2111216420212223253435363738[Points],"DNP",0,1)</f>
        <v>DNP</v>
      </c>
      <c r="U283" t="str">
        <f>_xlfn.XLOOKUP(Table16[[#This Row],[Name]],Table2111216420212223253435363739[Name],Table2111216420212223253435363739[Points],"DNP",0,1)</f>
        <v>DNP</v>
      </c>
      <c r="V283" t="str">
        <f>_xlfn.XLOOKUP(Table16[[#This Row],[Name]],Table211121642021222325343536373841[Name],Table211121642021222325343536373841[Points],"DNP",0,1)</f>
        <v>DNP</v>
      </c>
    </row>
    <row r="284" spans="2:22">
      <c r="B284" t="str">
        <f>IFERROR(Table5[[#This Row],[Full name]],"")</f>
        <v>Ravekpal  Chahal</v>
      </c>
      <c r="C284" s="68">
        <f>SUM(Table16[[#This Row],[September 30, 2025]:[Column18]])</f>
        <v>2</v>
      </c>
      <c r="D284" t="str">
        <f>_xlfn.XLOOKUP(Table16[[#This Row],[Name]],Table4[Name],Table4[Points],"DNP",0,1)</f>
        <v>DNP</v>
      </c>
      <c r="E284" t="str">
        <f>_xlfn.XLOOKUP(Table16[[#This Row],[Name]],Table9[Name],Table9[Points],"DNP",0,1)</f>
        <v>DNP</v>
      </c>
      <c r="F284" t="str">
        <f>_xlfn.XLOOKUP(Table16[[#This Row],[Name]],Table18[Name],Table18[Points],"DNP",0,1)</f>
        <v>DNP</v>
      </c>
      <c r="G284" t="str">
        <f>_xlfn.XLOOKUP(Table16[[#This Row],[Name]],Table2[Name],Table2[Points],"DNP",0,1)</f>
        <v>DNP</v>
      </c>
      <c r="H284" t="str">
        <f>_xlfn.XLOOKUP(Table16[[#This Row],[Name]],Table211[Name],Table211[Points],"DNP",0,1)</f>
        <v>DNP</v>
      </c>
      <c r="I284" t="str">
        <f>_xlfn.XLOOKUP(Table16[[#This Row],[Name]],Table21112[Name],Table21112[Points],"DNP",0,1)</f>
        <v>DNP</v>
      </c>
      <c r="J284" t="str">
        <f>_xlfn.XLOOKUP(Table16[[#This Row],[Name]],Table21112164[Name],Table21112164[Points],"DNP",0,1)</f>
        <v>DNP</v>
      </c>
      <c r="K284" t="str">
        <f>_xlfn.XLOOKUP(Table16[[#This Row],[Name]],Table2111216420[Name],Table2111216420[Points],"DNP",0,1)</f>
        <v>DNP</v>
      </c>
      <c r="L284" t="str">
        <f>_xlfn.XLOOKUP(Table16[[#This Row],[Name]],Table211121642021[Name],Table211121642021[Points],"DNP",0,1)</f>
        <v>DNP</v>
      </c>
      <c r="M284" t="str">
        <f>_xlfn.XLOOKUP(Table16[[#This Row],[Name]],Table21112164202122[Name],Table21112164202122[Points],"DNP",0,1)</f>
        <v>DNP</v>
      </c>
      <c r="N284" t="str">
        <f>_xlfn.XLOOKUP(Table16[[#This Row],[Name]],Table2111216420212223[Name],Table2111216420212223[Points],"DNP",0,1)</f>
        <v>DNP</v>
      </c>
      <c r="O284" t="str">
        <f>_xlfn.XLOOKUP(Table16[[#This Row],[Name]],Table211121642021222325[Name],Table211121642021222325[Points],"DNP",0,1)</f>
        <v>DNP</v>
      </c>
      <c r="P284" t="str">
        <f>_xlfn.XLOOKUP(Table16[[#This Row],[Name]],Table21112164202122232534[Name],Table21112164202122232534[Points],"DNP",0,1)</f>
        <v>DNP</v>
      </c>
      <c r="Q284">
        <f>_xlfn.XLOOKUP(Table16[[#This Row],[Name]],Table2111216420212223253435[Name],Table2111216420212223253435[Points],"DNP",0,1)</f>
        <v>1</v>
      </c>
      <c r="R284" t="str">
        <f>_xlfn.XLOOKUP(Table16[[#This Row],[Name]],Table211121642021222325343536[Name],Table211121642021222325343536[Points],"DNP",0,1)</f>
        <v>DNP</v>
      </c>
      <c r="S284" t="str">
        <f>_xlfn.XLOOKUP(Table16[[#This Row],[Name]],Table21112164202122232534353637[Name],Table21112164202122232534353637[Points],"DNP",0,1)</f>
        <v>DNP</v>
      </c>
      <c r="T284" t="str">
        <f>_xlfn.XLOOKUP(Table16[[#This Row],[Name]],Table2111216420212223253435363738[Name],Table2111216420212223253435363738[Points],"DNP",0,1)</f>
        <v>DNP</v>
      </c>
      <c r="U284" t="str">
        <f>_xlfn.XLOOKUP(Table16[[#This Row],[Name]],Table2111216420212223253435363739[Name],Table2111216420212223253435363739[Points],"DNP",0,1)</f>
        <v>DNP</v>
      </c>
      <c r="V284">
        <f>_xlfn.XLOOKUP(Table16[[#This Row],[Name]],Table211121642021222325343536373841[Name],Table211121642021222325343536373841[Points],"DNP",0,1)</f>
        <v>1</v>
      </c>
    </row>
    <row r="285" spans="2:22">
      <c r="B285" t="str">
        <f>IFERROR(Table5[[#This Row],[Full name]],"")</f>
        <v>Reid Giasson</v>
      </c>
      <c r="C285" s="68">
        <f>SUM(Table16[[#This Row],[September 30, 2025]:[Column18]])</f>
        <v>0</v>
      </c>
      <c r="D285" t="str">
        <f>_xlfn.XLOOKUP(Table16[[#This Row],[Name]],Table4[Name],Table4[Points],"DNP",0,1)</f>
        <v>DNP</v>
      </c>
      <c r="E285" t="str">
        <f>_xlfn.XLOOKUP(Table16[[#This Row],[Name]],Table9[Name],Table9[Points],"DNP",0,1)</f>
        <v>DNP</v>
      </c>
      <c r="F285" t="str">
        <f>_xlfn.XLOOKUP(Table16[[#This Row],[Name]],Table18[Name],Table18[Points],"DNP",0,1)</f>
        <v>DNP</v>
      </c>
      <c r="G285" t="str">
        <f>_xlfn.XLOOKUP(Table16[[#This Row],[Name]],Table2[Name],Table2[Points],"DNP",0,1)</f>
        <v>DNP</v>
      </c>
      <c r="H285" t="str">
        <f>_xlfn.XLOOKUP(Table16[[#This Row],[Name]],Table211[Name],Table211[Points],"DNP",0,1)</f>
        <v>DNP</v>
      </c>
      <c r="I285" t="str">
        <f>_xlfn.XLOOKUP(Table16[[#This Row],[Name]],Table21112[Name],Table21112[Points],"DNP",0,1)</f>
        <v>DNP</v>
      </c>
      <c r="J285" t="str">
        <f>_xlfn.XLOOKUP(Table16[[#This Row],[Name]],Table21112164[Name],Table21112164[Points],"DNP",0,1)</f>
        <v>DNP</v>
      </c>
      <c r="K285" t="str">
        <f>_xlfn.XLOOKUP(Table16[[#This Row],[Name]],Table2111216420[Name],Table2111216420[Points],"DNP",0,1)</f>
        <v>DNP</v>
      </c>
      <c r="L285" t="str">
        <f>_xlfn.XLOOKUP(Table16[[#This Row],[Name]],Table211121642021[Name],Table211121642021[Points],"DNP",0,1)</f>
        <v>DNP</v>
      </c>
      <c r="M285" t="str">
        <f>_xlfn.XLOOKUP(Table16[[#This Row],[Name]],Table21112164202122[Name],Table21112164202122[Points],"DNP",0,1)</f>
        <v>DNP</v>
      </c>
      <c r="N285" t="str">
        <f>_xlfn.XLOOKUP(Table16[[#This Row],[Name]],Table2111216420212223[Name],Table2111216420212223[Points],"DNP",0,1)</f>
        <v>DNP</v>
      </c>
      <c r="O285" t="str">
        <f>_xlfn.XLOOKUP(Table16[[#This Row],[Name]],Table211121642021222325[Name],Table211121642021222325[Points],"DNP",0,1)</f>
        <v>DNP</v>
      </c>
      <c r="P285" t="str">
        <f>_xlfn.XLOOKUP(Table16[[#This Row],[Name]],Table21112164202122232534[Name],Table21112164202122232534[Points],"DNP",0,1)</f>
        <v>DNP</v>
      </c>
      <c r="Q285" t="str">
        <f>_xlfn.XLOOKUP(Table16[[#This Row],[Name]],Table2111216420212223253435[Name],Table2111216420212223253435[Points],"DNP",0,1)</f>
        <v>DNP</v>
      </c>
      <c r="R285" t="str">
        <f>_xlfn.XLOOKUP(Table16[[#This Row],[Name]],Table211121642021222325343536[Name],Table211121642021222325343536[Points],"DNP",0,1)</f>
        <v>DNP</v>
      </c>
      <c r="S285" t="str">
        <f>_xlfn.XLOOKUP(Table16[[#This Row],[Name]],Table21112164202122232534353637[Name],Table21112164202122232534353637[Points],"DNP",0,1)</f>
        <v>DNP</v>
      </c>
      <c r="T285" t="str">
        <f>_xlfn.XLOOKUP(Table16[[#This Row],[Name]],Table2111216420212223253435363738[Name],Table2111216420212223253435363738[Points],"DNP",0,1)</f>
        <v>DNP</v>
      </c>
      <c r="U285" t="str">
        <f>_xlfn.XLOOKUP(Table16[[#This Row],[Name]],Table2111216420212223253435363739[Name],Table2111216420212223253435363739[Points],"DNP",0,1)</f>
        <v>DNP</v>
      </c>
      <c r="V285" t="str">
        <f>_xlfn.XLOOKUP(Table16[[#This Row],[Name]],Table211121642021222325343536373841[Name],Table211121642021222325343536373841[Points],"DNP",0,1)</f>
        <v>DNP</v>
      </c>
    </row>
    <row r="286" spans="2:22">
      <c r="B286" t="str">
        <f>IFERROR(Table5[[#This Row],[Full name]],"")</f>
        <v>Richard Ge</v>
      </c>
      <c r="C286" s="68">
        <f>SUM(Table16[[#This Row],[September 30, 2025]:[Column18]])</f>
        <v>3</v>
      </c>
      <c r="D286">
        <f>_xlfn.XLOOKUP(Table16[[#This Row],[Name]],Table4[Name],Table4[Points],"DNP",0,1)</f>
        <v>1</v>
      </c>
      <c r="E286" t="str">
        <f>_xlfn.XLOOKUP(Table16[[#This Row],[Name]],Table9[Name],Table9[Points],"DNP",0,1)</f>
        <v>DNP</v>
      </c>
      <c r="F286">
        <f>_xlfn.XLOOKUP(Table16[[#This Row],[Name]],Table18[Name],Table18[Points],"DNP",0,1)</f>
        <v>1</v>
      </c>
      <c r="G286" t="str">
        <f>_xlfn.XLOOKUP(Table16[[#This Row],[Name]],Table2[Name],Table2[Points],"DNP",0,1)</f>
        <v>DNP</v>
      </c>
      <c r="H286" t="str">
        <f>_xlfn.XLOOKUP(Table16[[#This Row],[Name]],Table211[Name],Table211[Points],"DNP",0,1)</f>
        <v>DNP</v>
      </c>
      <c r="I286" t="str">
        <f>_xlfn.XLOOKUP(Table16[[#This Row],[Name]],Table21112[Name],Table21112[Points],"DNP",0,1)</f>
        <v>DNP</v>
      </c>
      <c r="J286">
        <f>_xlfn.XLOOKUP(Table16[[#This Row],[Name]],Table21112164[Name],Table21112164[Points],"DNP",0,1)</f>
        <v>1</v>
      </c>
      <c r="K286" t="str">
        <f>_xlfn.XLOOKUP(Table16[[#This Row],[Name]],Table2111216420[Name],Table2111216420[Points],"DNP",0,1)</f>
        <v>DNP</v>
      </c>
      <c r="L286" t="str">
        <f>_xlfn.XLOOKUP(Table16[[#This Row],[Name]],Table211121642021[Name],Table211121642021[Points],"DNP",0,1)</f>
        <v>DNP</v>
      </c>
      <c r="M286" t="str">
        <f>_xlfn.XLOOKUP(Table16[[#This Row],[Name]],Table21112164202122[Name],Table21112164202122[Points],"DNP",0,1)</f>
        <v>DNP</v>
      </c>
      <c r="N286" t="str">
        <f>_xlfn.XLOOKUP(Table16[[#This Row],[Name]],Table2111216420212223[Name],Table2111216420212223[Points],"DNP",0,1)</f>
        <v>DNP</v>
      </c>
      <c r="O286" t="str">
        <f>_xlfn.XLOOKUP(Table16[[#This Row],[Name]],Table211121642021222325[Name],Table211121642021222325[Points],"DNP",0,1)</f>
        <v>DNP</v>
      </c>
      <c r="P286" t="str">
        <f>_xlfn.XLOOKUP(Table16[[#This Row],[Name]],Table21112164202122232534[Name],Table21112164202122232534[Points],"DNP",0,1)</f>
        <v>DNP</v>
      </c>
      <c r="Q286" t="str">
        <f>_xlfn.XLOOKUP(Table16[[#This Row],[Name]],Table2111216420212223253435[Name],Table2111216420212223253435[Points],"DNP",0,1)</f>
        <v>DNP</v>
      </c>
      <c r="R286" t="str">
        <f>_xlfn.XLOOKUP(Table16[[#This Row],[Name]],Table211121642021222325343536[Name],Table211121642021222325343536[Points],"DNP",0,1)</f>
        <v>DNP</v>
      </c>
      <c r="S286" t="str">
        <f>_xlfn.XLOOKUP(Table16[[#This Row],[Name]],Table21112164202122232534353637[Name],Table21112164202122232534353637[Points],"DNP",0,1)</f>
        <v>DNP</v>
      </c>
      <c r="T286" t="str">
        <f>_xlfn.XLOOKUP(Table16[[#This Row],[Name]],Table2111216420212223253435363738[Name],Table2111216420212223253435363738[Points],"DNP",0,1)</f>
        <v>DNP</v>
      </c>
      <c r="U286" t="str">
        <f>_xlfn.XLOOKUP(Table16[[#This Row],[Name]],Table2111216420212223253435363739[Name],Table2111216420212223253435363739[Points],"DNP",0,1)</f>
        <v>DNP</v>
      </c>
      <c r="V286" t="str">
        <f>_xlfn.XLOOKUP(Table16[[#This Row],[Name]],Table211121642021222325343536373841[Name],Table211121642021222325343536373841[Points],"DNP",0,1)</f>
        <v>DNP</v>
      </c>
    </row>
    <row r="287" spans="2:22">
      <c r="B287" t="str">
        <f>IFERROR(Table5[[#This Row],[Full name]],"")</f>
        <v>Richard Sonibare</v>
      </c>
      <c r="C287" s="68">
        <f>SUM(Table16[[#This Row],[September 30, 2025]:[Column18]])</f>
        <v>30</v>
      </c>
      <c r="D287" t="str">
        <f>_xlfn.XLOOKUP(Table16[[#This Row],[Name]],Table4[Name],Table4[Points],"DNP",0,1)</f>
        <v>DNP</v>
      </c>
      <c r="E287" t="str">
        <f>_xlfn.XLOOKUP(Table16[[#This Row],[Name]],Table9[Name],Table9[Points],"DNP",0,1)</f>
        <v>DNP</v>
      </c>
      <c r="F287">
        <f>_xlfn.XLOOKUP(Table16[[#This Row],[Name]],Table18[Name],Table18[Points],"DNP",0,1)</f>
        <v>30</v>
      </c>
      <c r="G287" t="str">
        <f>_xlfn.XLOOKUP(Table16[[#This Row],[Name]],Table2[Name],Table2[Points],"DNP",0,1)</f>
        <v>DNP</v>
      </c>
      <c r="H287" t="str">
        <f>_xlfn.XLOOKUP(Table16[[#This Row],[Name]],Table211[Name],Table211[Points],"DNP",0,1)</f>
        <v>DNP</v>
      </c>
      <c r="I287" t="str">
        <f>_xlfn.XLOOKUP(Table16[[#This Row],[Name]],Table21112[Name],Table21112[Points],"DNP",0,1)</f>
        <v>DNP</v>
      </c>
      <c r="J287" t="str">
        <f>_xlfn.XLOOKUP(Table16[[#This Row],[Name]],Table21112164[Name],Table21112164[Points],"DNP",0,1)</f>
        <v>DNP</v>
      </c>
      <c r="K287" t="str">
        <f>_xlfn.XLOOKUP(Table16[[#This Row],[Name]],Table2111216420[Name],Table2111216420[Points],"DNP",0,1)</f>
        <v>DNP</v>
      </c>
      <c r="L287" t="str">
        <f>_xlfn.XLOOKUP(Table16[[#This Row],[Name]],Table211121642021[Name],Table211121642021[Points],"DNP",0,1)</f>
        <v>DNP</v>
      </c>
      <c r="M287" t="str">
        <f>_xlfn.XLOOKUP(Table16[[#This Row],[Name]],Table21112164202122[Name],Table21112164202122[Points],"DNP",0,1)</f>
        <v>DNP</v>
      </c>
      <c r="N287" t="str">
        <f>_xlfn.XLOOKUP(Table16[[#This Row],[Name]],Table2111216420212223[Name],Table2111216420212223[Points],"DNP",0,1)</f>
        <v>DNP</v>
      </c>
      <c r="O287" t="str">
        <f>_xlfn.XLOOKUP(Table16[[#This Row],[Name]],Table211121642021222325[Name],Table211121642021222325[Points],"DNP",0,1)</f>
        <v>DNP</v>
      </c>
      <c r="P287" t="str">
        <f>_xlfn.XLOOKUP(Table16[[#This Row],[Name]],Table21112164202122232534[Name],Table21112164202122232534[Points],"DNP",0,1)</f>
        <v>DNP</v>
      </c>
      <c r="Q287" t="str">
        <f>_xlfn.XLOOKUP(Table16[[#This Row],[Name]],Table2111216420212223253435[Name],Table2111216420212223253435[Points],"DNP",0,1)</f>
        <v>DNP</v>
      </c>
      <c r="R287" t="str">
        <f>_xlfn.XLOOKUP(Table16[[#This Row],[Name]],Table211121642021222325343536[Name],Table211121642021222325343536[Points],"DNP",0,1)</f>
        <v>DNP</v>
      </c>
      <c r="S287" t="str">
        <f>_xlfn.XLOOKUP(Table16[[#This Row],[Name]],Table21112164202122232534353637[Name],Table21112164202122232534353637[Points],"DNP",0,1)</f>
        <v>DNP</v>
      </c>
      <c r="T287" t="str">
        <f>_xlfn.XLOOKUP(Table16[[#This Row],[Name]],Table2111216420212223253435363738[Name],Table2111216420212223253435363738[Points],"DNP",0,1)</f>
        <v>DNP</v>
      </c>
      <c r="U287" t="str">
        <f>_xlfn.XLOOKUP(Table16[[#This Row],[Name]],Table2111216420212223253435363739[Name],Table2111216420212223253435363739[Points],"DNP",0,1)</f>
        <v>DNP</v>
      </c>
      <c r="V287" t="str">
        <f>_xlfn.XLOOKUP(Table16[[#This Row],[Name]],Table211121642021222325343536373841[Name],Table211121642021222325343536373841[Points],"DNP",0,1)</f>
        <v>DNP</v>
      </c>
    </row>
    <row r="288" spans="2:22">
      <c r="B288" t="str">
        <f>IFERROR(Table5[[#This Row],[Full name]],"")</f>
        <v>Rishi Bhaskara</v>
      </c>
      <c r="C288" s="68">
        <f>SUM(Table16[[#This Row],[September 30, 2025]:[Column18]])</f>
        <v>1</v>
      </c>
      <c r="D288">
        <f>_xlfn.XLOOKUP(Table16[[#This Row],[Name]],Table4[Name],Table4[Points],"DNP",0,1)</f>
        <v>1</v>
      </c>
      <c r="E288" t="str">
        <f>_xlfn.XLOOKUP(Table16[[#This Row],[Name]],Table9[Name],Table9[Points],"DNP",0,1)</f>
        <v>DNP</v>
      </c>
      <c r="F288" t="str">
        <f>_xlfn.XLOOKUP(Table16[[#This Row],[Name]],Table18[Name],Table18[Points],"DNP",0,1)</f>
        <v>DNP</v>
      </c>
      <c r="G288" t="str">
        <f>_xlfn.XLOOKUP(Table16[[#This Row],[Name]],Table2[Name],Table2[Points],"DNP",0,1)</f>
        <v>DNP</v>
      </c>
      <c r="H288" t="str">
        <f>_xlfn.XLOOKUP(Table16[[#This Row],[Name]],Table211[Name],Table211[Points],"DNP",0,1)</f>
        <v>DNP</v>
      </c>
      <c r="I288" t="str">
        <f>_xlfn.XLOOKUP(Table16[[#This Row],[Name]],Table21112[Name],Table21112[Points],"DNP",0,1)</f>
        <v>DNP</v>
      </c>
      <c r="J288" t="str">
        <f>_xlfn.XLOOKUP(Table16[[#This Row],[Name]],Table21112164[Name],Table21112164[Points],"DNP",0,1)</f>
        <v>DNP</v>
      </c>
      <c r="K288" t="str">
        <f>_xlfn.XLOOKUP(Table16[[#This Row],[Name]],Table2111216420[Name],Table2111216420[Points],"DNP",0,1)</f>
        <v>DNP</v>
      </c>
      <c r="L288" t="str">
        <f>_xlfn.XLOOKUP(Table16[[#This Row],[Name]],Table211121642021[Name],Table211121642021[Points],"DNP",0,1)</f>
        <v>DNP</v>
      </c>
      <c r="M288" t="str">
        <f>_xlfn.XLOOKUP(Table16[[#This Row],[Name]],Table21112164202122[Name],Table21112164202122[Points],"DNP",0,1)</f>
        <v>DNP</v>
      </c>
      <c r="N288" t="str">
        <f>_xlfn.XLOOKUP(Table16[[#This Row],[Name]],Table2111216420212223[Name],Table2111216420212223[Points],"DNP",0,1)</f>
        <v>DNP</v>
      </c>
      <c r="O288" t="str">
        <f>_xlfn.XLOOKUP(Table16[[#This Row],[Name]],Table211121642021222325[Name],Table211121642021222325[Points],"DNP",0,1)</f>
        <v>DNP</v>
      </c>
      <c r="P288" t="str">
        <f>_xlfn.XLOOKUP(Table16[[#This Row],[Name]],Table21112164202122232534[Name],Table21112164202122232534[Points],"DNP",0,1)</f>
        <v>DNP</v>
      </c>
      <c r="Q288" t="str">
        <f>_xlfn.XLOOKUP(Table16[[#This Row],[Name]],Table2111216420212223253435[Name],Table2111216420212223253435[Points],"DNP",0,1)</f>
        <v>DNP</v>
      </c>
      <c r="R288" t="str">
        <f>_xlfn.XLOOKUP(Table16[[#This Row],[Name]],Table211121642021222325343536[Name],Table211121642021222325343536[Points],"DNP",0,1)</f>
        <v>DNP</v>
      </c>
      <c r="S288" t="str">
        <f>_xlfn.XLOOKUP(Table16[[#This Row],[Name]],Table21112164202122232534353637[Name],Table21112164202122232534353637[Points],"DNP",0,1)</f>
        <v>DNP</v>
      </c>
      <c r="T288" t="str">
        <f>_xlfn.XLOOKUP(Table16[[#This Row],[Name]],Table2111216420212223253435363738[Name],Table2111216420212223253435363738[Points],"DNP",0,1)</f>
        <v>DNP</v>
      </c>
      <c r="U288" t="str">
        <f>_xlfn.XLOOKUP(Table16[[#This Row],[Name]],Table2111216420212223253435363739[Name],Table2111216420212223253435363739[Points],"DNP",0,1)</f>
        <v>DNP</v>
      </c>
      <c r="V288" t="str">
        <f>_xlfn.XLOOKUP(Table16[[#This Row],[Name]],Table211121642021222325343536373841[Name],Table211121642021222325343536373841[Points],"DNP",0,1)</f>
        <v>DNP</v>
      </c>
    </row>
    <row r="289" spans="2:22">
      <c r="B289" t="str">
        <f>IFERROR(Table5[[#This Row],[Full name]],"")</f>
        <v>River Jiang</v>
      </c>
      <c r="C289" s="68">
        <f>SUM(Table16[[#This Row],[September 30, 2025]:[Column18]])</f>
        <v>81</v>
      </c>
      <c r="D289">
        <f>_xlfn.XLOOKUP(Table16[[#This Row],[Name]],Table4[Name],Table4[Points],"DNP",0,1)</f>
        <v>2</v>
      </c>
      <c r="E289">
        <f>_xlfn.XLOOKUP(Table16[[#This Row],[Name]],Table9[Name],Table9[Points],"DNP",0,1)</f>
        <v>8</v>
      </c>
      <c r="F289">
        <f>_xlfn.XLOOKUP(Table16[[#This Row],[Name]],Table18[Name],Table18[Points],"DNP",0,1)</f>
        <v>2</v>
      </c>
      <c r="G289" t="str">
        <f>_xlfn.XLOOKUP(Table16[[#This Row],[Name]],Table2[Name],Table2[Points],"DNP",0,1)</f>
        <v>DNP</v>
      </c>
      <c r="H289">
        <f>_xlfn.XLOOKUP(Table16[[#This Row],[Name]],Table211[Name],Table211[Points],"DNP",0,1)</f>
        <v>3</v>
      </c>
      <c r="I289">
        <f>_xlfn.XLOOKUP(Table16[[#This Row],[Name]],Table21112[Name],Table21112[Points],"DNP",0,1)</f>
        <v>4</v>
      </c>
      <c r="J289">
        <f>_xlfn.XLOOKUP(Table16[[#This Row],[Name]],Table21112164[Name],Table21112164[Points],"DNP",0,1)</f>
        <v>1</v>
      </c>
      <c r="K289">
        <f>_xlfn.XLOOKUP(Table16[[#This Row],[Name]],Table2111216420[Name],Table2111216420[Points],"DNP",0,1)</f>
        <v>20</v>
      </c>
      <c r="L289">
        <f>_xlfn.XLOOKUP(Table16[[#This Row],[Name]],Table211121642021[Name],Table211121642021[Points],"DNP",0,1)</f>
        <v>2</v>
      </c>
      <c r="M289">
        <f>_xlfn.XLOOKUP(Table16[[#This Row],[Name]],Table21112164202122[Name],Table21112164202122[Points],"DNP",0,1)</f>
        <v>1</v>
      </c>
      <c r="N289">
        <f>_xlfn.XLOOKUP(Table16[[#This Row],[Name]],Table2111216420212223[Name],Table2111216420212223[Points],"DNP",0,1)</f>
        <v>2</v>
      </c>
      <c r="O289" t="str">
        <f>_xlfn.XLOOKUP(Table16[[#This Row],[Name]],Table211121642021222325[Name],Table211121642021222325[Points],"DNP",0,1)</f>
        <v>DNP</v>
      </c>
      <c r="P289">
        <f>_xlfn.XLOOKUP(Table16[[#This Row],[Name]],Table21112164202122232534[Name],Table21112164202122232534[Points],"DNP",0,1)</f>
        <v>1</v>
      </c>
      <c r="Q289">
        <f>_xlfn.XLOOKUP(Table16[[#This Row],[Name]],Table2111216420212223253435[Name],Table2111216420212223253435[Points],"DNP",0,1)</f>
        <v>1</v>
      </c>
      <c r="R289">
        <f>_xlfn.XLOOKUP(Table16[[#This Row],[Name]],Table211121642021222325343536[Name],Table211121642021222325343536[Points],"DNP",0,1)</f>
        <v>10</v>
      </c>
      <c r="S289" t="str">
        <f>_xlfn.XLOOKUP(Table16[[#This Row],[Name]],Table21112164202122232534353637[Name],Table21112164202122232534353637[Points],"DNP",0,1)</f>
        <v>DNP</v>
      </c>
      <c r="T289">
        <f>_xlfn.XLOOKUP(Table16[[#This Row],[Name]],Table2111216420212223253435363738[Name],Table2111216420212223253435363738[Points],"DNP",0,1)</f>
        <v>23</v>
      </c>
      <c r="U289">
        <f>_xlfn.XLOOKUP(Table16[[#This Row],[Name]],Table2111216420212223253435363739[Name],Table2111216420212223253435363739[Points],"DNP",0,1)</f>
        <v>1</v>
      </c>
      <c r="V289" t="str">
        <f>_xlfn.XLOOKUP(Table16[[#This Row],[Name]],Table211121642021222325343536373841[Name],Table211121642021222325343536373841[Points],"DNP",0,1)</f>
        <v>DNP</v>
      </c>
    </row>
    <row r="290" spans="2:22">
      <c r="B290" t="str">
        <f>IFERROR(Table5[[#This Row],[Full name]],"")</f>
        <v>Robert Tomicic II</v>
      </c>
      <c r="C290" s="68">
        <f>SUM(Table16[[#This Row],[September 30, 2025]:[Column18]])</f>
        <v>5</v>
      </c>
      <c r="D290">
        <f>_xlfn.XLOOKUP(Table16[[#This Row],[Name]],Table4[Name],Table4[Points],"DNP",0,1)</f>
        <v>1</v>
      </c>
      <c r="E290">
        <f>_xlfn.XLOOKUP(Table16[[#This Row],[Name]],Table9[Name],Table9[Points],"DNP",0,1)</f>
        <v>2</v>
      </c>
      <c r="F290" t="str">
        <f>_xlfn.XLOOKUP(Table16[[#This Row],[Name]],Table18[Name],Table18[Points],"DNP",0,1)</f>
        <v>DNP</v>
      </c>
      <c r="G290">
        <f>_xlfn.XLOOKUP(Table16[[#This Row],[Name]],Table2[Name],Table2[Points],"DNP",0,1)</f>
        <v>2</v>
      </c>
      <c r="H290" t="str">
        <f>_xlfn.XLOOKUP(Table16[[#This Row],[Name]],Table211[Name],Table211[Points],"DNP",0,1)</f>
        <v>DNP</v>
      </c>
      <c r="I290" t="str">
        <f>_xlfn.XLOOKUP(Table16[[#This Row],[Name]],Table21112[Name],Table21112[Points],"DNP",0,1)</f>
        <v>DNP</v>
      </c>
      <c r="J290" t="str">
        <f>_xlfn.XLOOKUP(Table16[[#This Row],[Name]],Table21112164[Name],Table21112164[Points],"DNP",0,1)</f>
        <v>DNP</v>
      </c>
      <c r="K290" t="str">
        <f>_xlfn.XLOOKUP(Table16[[#This Row],[Name]],Table2111216420[Name],Table2111216420[Points],"DNP",0,1)</f>
        <v>DNP</v>
      </c>
      <c r="L290" t="str">
        <f>_xlfn.XLOOKUP(Table16[[#This Row],[Name]],Table211121642021[Name],Table211121642021[Points],"DNP",0,1)</f>
        <v>DNP</v>
      </c>
      <c r="M290" t="str">
        <f>_xlfn.XLOOKUP(Table16[[#This Row],[Name]],Table21112164202122[Name],Table21112164202122[Points],"DNP",0,1)</f>
        <v>DNP</v>
      </c>
      <c r="N290" t="str">
        <f>_xlfn.XLOOKUP(Table16[[#This Row],[Name]],Table2111216420212223[Name],Table2111216420212223[Points],"DNP",0,1)</f>
        <v>DNP</v>
      </c>
      <c r="O290" t="str">
        <f>_xlfn.XLOOKUP(Table16[[#This Row],[Name]],Table211121642021222325[Name],Table211121642021222325[Points],"DNP",0,1)</f>
        <v>DNP</v>
      </c>
      <c r="P290" t="str">
        <f>_xlfn.XLOOKUP(Table16[[#This Row],[Name]],Table21112164202122232534[Name],Table21112164202122232534[Points],"DNP",0,1)</f>
        <v>DNP</v>
      </c>
      <c r="Q290" t="str">
        <f>_xlfn.XLOOKUP(Table16[[#This Row],[Name]],Table2111216420212223253435[Name],Table2111216420212223253435[Points],"DNP",0,1)</f>
        <v>DNP</v>
      </c>
      <c r="R290" t="str">
        <f>_xlfn.XLOOKUP(Table16[[#This Row],[Name]],Table211121642021222325343536[Name],Table211121642021222325343536[Points],"DNP",0,1)</f>
        <v>DNP</v>
      </c>
      <c r="S290" t="str">
        <f>_xlfn.XLOOKUP(Table16[[#This Row],[Name]],Table21112164202122232534353637[Name],Table21112164202122232534353637[Points],"DNP",0,1)</f>
        <v>DNP</v>
      </c>
      <c r="T290" t="str">
        <f>_xlfn.XLOOKUP(Table16[[#This Row],[Name]],Table2111216420212223253435363738[Name],Table2111216420212223253435363738[Points],"DNP",0,1)</f>
        <v>DNP</v>
      </c>
      <c r="U290" t="str">
        <f>_xlfn.XLOOKUP(Table16[[#This Row],[Name]],Table2111216420212223253435363739[Name],Table2111216420212223253435363739[Points],"DNP",0,1)</f>
        <v>DNP</v>
      </c>
      <c r="V290" t="str">
        <f>_xlfn.XLOOKUP(Table16[[#This Row],[Name]],Table211121642021222325343536373841[Name],Table211121642021222325343536373841[Points],"DNP",0,1)</f>
        <v>DNP</v>
      </c>
    </row>
    <row r="291" spans="2:22">
      <c r="B291" t="str">
        <f>IFERROR(Table5[[#This Row],[Full name]],"")</f>
        <v>Rocco Le Donne</v>
      </c>
      <c r="C291" s="68">
        <f>SUM(Table16[[#This Row],[September 30, 2025]:[Column18]])</f>
        <v>0</v>
      </c>
      <c r="D291" t="str">
        <f>_xlfn.XLOOKUP(Table16[[#This Row],[Name]],Table4[Name],Table4[Points],"DNP",0,1)</f>
        <v>DNP</v>
      </c>
      <c r="E291" t="str">
        <f>_xlfn.XLOOKUP(Table16[[#This Row],[Name]],Table9[Name],Table9[Points],"DNP",0,1)</f>
        <v>DNP</v>
      </c>
      <c r="F291" t="str">
        <f>_xlfn.XLOOKUP(Table16[[#This Row],[Name]],Table18[Name],Table18[Points],"DNP",0,1)</f>
        <v>DNP</v>
      </c>
      <c r="G291" t="str">
        <f>_xlfn.XLOOKUP(Table16[[#This Row],[Name]],Table2[Name],Table2[Points],"DNP",0,1)</f>
        <v>DNP</v>
      </c>
      <c r="H291" t="str">
        <f>_xlfn.XLOOKUP(Table16[[#This Row],[Name]],Table211[Name],Table211[Points],"DNP",0,1)</f>
        <v>DNP</v>
      </c>
      <c r="I291" t="str">
        <f>_xlfn.XLOOKUP(Table16[[#This Row],[Name]],Table21112[Name],Table21112[Points],"DNP",0,1)</f>
        <v>DNP</v>
      </c>
      <c r="J291" t="str">
        <f>_xlfn.XLOOKUP(Table16[[#This Row],[Name]],Table21112164[Name],Table21112164[Points],"DNP",0,1)</f>
        <v>DNP</v>
      </c>
      <c r="K291" t="str">
        <f>_xlfn.XLOOKUP(Table16[[#This Row],[Name]],Table2111216420[Name],Table2111216420[Points],"DNP",0,1)</f>
        <v>DNP</v>
      </c>
      <c r="L291" t="str">
        <f>_xlfn.XLOOKUP(Table16[[#This Row],[Name]],Table211121642021[Name],Table211121642021[Points],"DNP",0,1)</f>
        <v>DNP</v>
      </c>
      <c r="M291" t="str">
        <f>_xlfn.XLOOKUP(Table16[[#This Row],[Name]],Table21112164202122[Name],Table21112164202122[Points],"DNP",0,1)</f>
        <v>DNP</v>
      </c>
      <c r="N291" t="str">
        <f>_xlfn.XLOOKUP(Table16[[#This Row],[Name]],Table2111216420212223[Name],Table2111216420212223[Points],"DNP",0,1)</f>
        <v>DNP</v>
      </c>
      <c r="O291" t="str">
        <f>_xlfn.XLOOKUP(Table16[[#This Row],[Name]],Table211121642021222325[Name],Table211121642021222325[Points],"DNP",0,1)</f>
        <v>DNP</v>
      </c>
      <c r="P291" t="str">
        <f>_xlfn.XLOOKUP(Table16[[#This Row],[Name]],Table21112164202122232534[Name],Table21112164202122232534[Points],"DNP",0,1)</f>
        <v>DNP</v>
      </c>
      <c r="Q291" t="str">
        <f>_xlfn.XLOOKUP(Table16[[#This Row],[Name]],Table2111216420212223253435[Name],Table2111216420212223253435[Points],"DNP",0,1)</f>
        <v>DNP</v>
      </c>
      <c r="R291" t="str">
        <f>_xlfn.XLOOKUP(Table16[[#This Row],[Name]],Table211121642021222325343536[Name],Table211121642021222325343536[Points],"DNP",0,1)</f>
        <v>DNP</v>
      </c>
      <c r="S291" t="str">
        <f>_xlfn.XLOOKUP(Table16[[#This Row],[Name]],Table21112164202122232534353637[Name],Table21112164202122232534353637[Points],"DNP",0,1)</f>
        <v>DNP</v>
      </c>
      <c r="T291" t="str">
        <f>_xlfn.XLOOKUP(Table16[[#This Row],[Name]],Table2111216420212223253435363738[Name],Table2111216420212223253435363738[Points],"DNP",0,1)</f>
        <v>DNP</v>
      </c>
      <c r="U291" t="str">
        <f>_xlfn.XLOOKUP(Table16[[#This Row],[Name]],Table2111216420212223253435363739[Name],Table2111216420212223253435363739[Points],"DNP",0,1)</f>
        <v>DNP</v>
      </c>
      <c r="V291" t="str">
        <f>_xlfn.XLOOKUP(Table16[[#This Row],[Name]],Table211121642021222325343536373841[Name],Table211121642021222325343536373841[Points],"DNP",0,1)</f>
        <v>DNP</v>
      </c>
    </row>
    <row r="292" spans="2:22">
      <c r="B292" t="str">
        <f>IFERROR(Table5[[#This Row],[Full name]],"")</f>
        <v>Rohan Mehta</v>
      </c>
      <c r="C292" s="68">
        <f>SUM(Table16[[#This Row],[September 30, 2025]:[Column18]])</f>
        <v>1</v>
      </c>
      <c r="D292" t="str">
        <f>_xlfn.XLOOKUP(Table16[[#This Row],[Name]],Table4[Name],Table4[Points],"DNP",0,1)</f>
        <v>DNP</v>
      </c>
      <c r="E292" t="str">
        <f>_xlfn.XLOOKUP(Table16[[#This Row],[Name]],Table9[Name],Table9[Points],"DNP",0,1)</f>
        <v>DNP</v>
      </c>
      <c r="F292" t="str">
        <f>_xlfn.XLOOKUP(Table16[[#This Row],[Name]],Table18[Name],Table18[Points],"DNP",0,1)</f>
        <v>DNP</v>
      </c>
      <c r="G292" t="str">
        <f>_xlfn.XLOOKUP(Table16[[#This Row],[Name]],Table2[Name],Table2[Points],"DNP",0,1)</f>
        <v>DNP</v>
      </c>
      <c r="H292" t="str">
        <f>_xlfn.XLOOKUP(Table16[[#This Row],[Name]],Table211[Name],Table211[Points],"DNP",0,1)</f>
        <v>DNP</v>
      </c>
      <c r="I292" t="str">
        <f>_xlfn.XLOOKUP(Table16[[#This Row],[Name]],Table21112[Name],Table21112[Points],"DNP",0,1)</f>
        <v>DNP</v>
      </c>
      <c r="J292" t="str">
        <f>_xlfn.XLOOKUP(Table16[[#This Row],[Name]],Table21112164[Name],Table21112164[Points],"DNP",0,1)</f>
        <v>DNP</v>
      </c>
      <c r="K292" t="str">
        <f>_xlfn.XLOOKUP(Table16[[#This Row],[Name]],Table2111216420[Name],Table2111216420[Points],"DNP",0,1)</f>
        <v>DNP</v>
      </c>
      <c r="L292">
        <f>_xlfn.XLOOKUP(Table16[[#This Row],[Name]],Table211121642021[Name],Table211121642021[Points],"DNP",0,1)</f>
        <v>1</v>
      </c>
      <c r="M292" t="str">
        <f>_xlfn.XLOOKUP(Table16[[#This Row],[Name]],Table21112164202122[Name],Table21112164202122[Points],"DNP",0,1)</f>
        <v>DNP</v>
      </c>
      <c r="N292" t="str">
        <f>_xlfn.XLOOKUP(Table16[[#This Row],[Name]],Table2111216420212223[Name],Table2111216420212223[Points],"DNP",0,1)</f>
        <v>DNP</v>
      </c>
      <c r="O292" t="str">
        <f>_xlfn.XLOOKUP(Table16[[#This Row],[Name]],Table211121642021222325[Name],Table211121642021222325[Points],"DNP",0,1)</f>
        <v>DNP</v>
      </c>
      <c r="P292" t="str">
        <f>_xlfn.XLOOKUP(Table16[[#This Row],[Name]],Table21112164202122232534[Name],Table21112164202122232534[Points],"DNP",0,1)</f>
        <v>DNP</v>
      </c>
      <c r="Q292" t="str">
        <f>_xlfn.XLOOKUP(Table16[[#This Row],[Name]],Table2111216420212223253435[Name],Table2111216420212223253435[Points],"DNP",0,1)</f>
        <v>DNP</v>
      </c>
      <c r="R292" t="str">
        <f>_xlfn.XLOOKUP(Table16[[#This Row],[Name]],Table211121642021222325343536[Name],Table211121642021222325343536[Points],"DNP",0,1)</f>
        <v>DNP</v>
      </c>
      <c r="S292" t="str">
        <f>_xlfn.XLOOKUP(Table16[[#This Row],[Name]],Table21112164202122232534353637[Name],Table21112164202122232534353637[Points],"DNP",0,1)</f>
        <v>DNP</v>
      </c>
      <c r="T292" t="str">
        <f>_xlfn.XLOOKUP(Table16[[#This Row],[Name]],Table2111216420212223253435363738[Name],Table2111216420212223253435363738[Points],"DNP",0,1)</f>
        <v>DNP</v>
      </c>
      <c r="U292" t="str">
        <f>_xlfn.XLOOKUP(Table16[[#This Row],[Name]],Table2111216420212223253435363739[Name],Table2111216420212223253435363739[Points],"DNP",0,1)</f>
        <v>DNP</v>
      </c>
      <c r="V292" t="str">
        <f>_xlfn.XLOOKUP(Table16[[#This Row],[Name]],Table211121642021222325343536373841[Name],Table211121642021222325343536373841[Points],"DNP",0,1)</f>
        <v>DNP</v>
      </c>
    </row>
    <row r="293" spans="2:22">
      <c r="B293" t="str">
        <f>IFERROR(Table5[[#This Row],[Full name]],"")</f>
        <v>Rohum Zaman</v>
      </c>
      <c r="C293" s="68">
        <f>SUM(Table16[[#This Row],[September 30, 2025]:[Column18]])</f>
        <v>0</v>
      </c>
      <c r="D293" t="str">
        <f>_xlfn.XLOOKUP(Table16[[#This Row],[Name]],Table4[Name],Table4[Points],"DNP",0,1)</f>
        <v>DNP</v>
      </c>
      <c r="E293" t="str">
        <f>_xlfn.XLOOKUP(Table16[[#This Row],[Name]],Table9[Name],Table9[Points],"DNP",0,1)</f>
        <v>DNP</v>
      </c>
      <c r="F293" t="str">
        <f>_xlfn.XLOOKUP(Table16[[#This Row],[Name]],Table18[Name],Table18[Points],"DNP",0,1)</f>
        <v>DNP</v>
      </c>
      <c r="G293" t="str">
        <f>_xlfn.XLOOKUP(Table16[[#This Row],[Name]],Table2[Name],Table2[Points],"DNP",0,1)</f>
        <v>DNP</v>
      </c>
      <c r="H293" t="str">
        <f>_xlfn.XLOOKUP(Table16[[#This Row],[Name]],Table211[Name],Table211[Points],"DNP",0,1)</f>
        <v>DNP</v>
      </c>
      <c r="I293" t="str">
        <f>_xlfn.XLOOKUP(Table16[[#This Row],[Name]],Table21112[Name],Table21112[Points],"DNP",0,1)</f>
        <v>DNP</v>
      </c>
      <c r="J293" t="str">
        <f>_xlfn.XLOOKUP(Table16[[#This Row],[Name]],Table21112164[Name],Table21112164[Points],"DNP",0,1)</f>
        <v>DNP</v>
      </c>
      <c r="K293" t="str">
        <f>_xlfn.XLOOKUP(Table16[[#This Row],[Name]],Table2111216420[Name],Table2111216420[Points],"DNP",0,1)</f>
        <v>DNP</v>
      </c>
      <c r="L293" t="str">
        <f>_xlfn.XLOOKUP(Table16[[#This Row],[Name]],Table211121642021[Name],Table211121642021[Points],"DNP",0,1)</f>
        <v>DNP</v>
      </c>
      <c r="M293" t="str">
        <f>_xlfn.XLOOKUP(Table16[[#This Row],[Name]],Table21112164202122[Name],Table21112164202122[Points],"DNP",0,1)</f>
        <v>DNP</v>
      </c>
      <c r="N293" t="str">
        <f>_xlfn.XLOOKUP(Table16[[#This Row],[Name]],Table2111216420212223[Name],Table2111216420212223[Points],"DNP",0,1)</f>
        <v>DNP</v>
      </c>
      <c r="O293" t="str">
        <f>_xlfn.XLOOKUP(Table16[[#This Row],[Name]],Table211121642021222325[Name],Table211121642021222325[Points],"DNP",0,1)</f>
        <v>DNP</v>
      </c>
      <c r="P293" t="str">
        <f>_xlfn.XLOOKUP(Table16[[#This Row],[Name]],Table21112164202122232534[Name],Table21112164202122232534[Points],"DNP",0,1)</f>
        <v>DNP</v>
      </c>
      <c r="Q293" t="str">
        <f>_xlfn.XLOOKUP(Table16[[#This Row],[Name]],Table2111216420212223253435[Name],Table2111216420212223253435[Points],"DNP",0,1)</f>
        <v>DNP</v>
      </c>
      <c r="R293" t="str">
        <f>_xlfn.XLOOKUP(Table16[[#This Row],[Name]],Table211121642021222325343536[Name],Table211121642021222325343536[Points],"DNP",0,1)</f>
        <v>DNP</v>
      </c>
      <c r="S293" t="str">
        <f>_xlfn.XLOOKUP(Table16[[#This Row],[Name]],Table21112164202122232534353637[Name],Table21112164202122232534353637[Points],"DNP",0,1)</f>
        <v>DNP</v>
      </c>
      <c r="T293" t="str">
        <f>_xlfn.XLOOKUP(Table16[[#This Row],[Name]],Table2111216420212223253435363738[Name],Table2111216420212223253435363738[Points],"DNP",0,1)</f>
        <v>DNP</v>
      </c>
      <c r="U293" t="str">
        <f>_xlfn.XLOOKUP(Table16[[#This Row],[Name]],Table2111216420212223253435363739[Name],Table2111216420212223253435363739[Points],"DNP",0,1)</f>
        <v>DNP</v>
      </c>
      <c r="V293" t="str">
        <f>_xlfn.XLOOKUP(Table16[[#This Row],[Name]],Table211121642021222325343536373841[Name],Table211121642021222325343536373841[Points],"DNP",0,1)</f>
        <v>DNP</v>
      </c>
    </row>
    <row r="294" spans="2:22">
      <c r="B294" t="str">
        <f>IFERROR(Table5[[#This Row],[Full name]],"")</f>
        <v>Romina Tabesh</v>
      </c>
      <c r="C294" s="68">
        <f>SUM(Table16[[#This Row],[September 30, 2025]:[Column18]])</f>
        <v>10</v>
      </c>
      <c r="D294" t="str">
        <f>_xlfn.XLOOKUP(Table16[[#This Row],[Name]],Table4[Name],Table4[Points],"DNP",0,1)</f>
        <v>DNP</v>
      </c>
      <c r="E294">
        <f>_xlfn.XLOOKUP(Table16[[#This Row],[Name]],Table9[Name],Table9[Points],"DNP",0,1)</f>
        <v>10</v>
      </c>
      <c r="F294" t="str">
        <f>_xlfn.XLOOKUP(Table16[[#This Row],[Name]],Table18[Name],Table18[Points],"DNP",0,1)</f>
        <v>DNP</v>
      </c>
      <c r="G294" t="str">
        <f>_xlfn.XLOOKUP(Table16[[#This Row],[Name]],Table2[Name],Table2[Points],"DNP",0,1)</f>
        <v>DNP</v>
      </c>
      <c r="H294" t="str">
        <f>_xlfn.XLOOKUP(Table16[[#This Row],[Name]],Table211[Name],Table211[Points],"DNP",0,1)</f>
        <v>DNP</v>
      </c>
      <c r="I294" t="str">
        <f>_xlfn.XLOOKUP(Table16[[#This Row],[Name]],Table21112[Name],Table21112[Points],"DNP",0,1)</f>
        <v>DNP</v>
      </c>
      <c r="J294" t="str">
        <f>_xlfn.XLOOKUP(Table16[[#This Row],[Name]],Table21112164[Name],Table21112164[Points],"DNP",0,1)</f>
        <v>DNP</v>
      </c>
      <c r="K294" t="str">
        <f>_xlfn.XLOOKUP(Table16[[#This Row],[Name]],Table2111216420[Name],Table2111216420[Points],"DNP",0,1)</f>
        <v>DNP</v>
      </c>
      <c r="L294" t="str">
        <f>_xlfn.XLOOKUP(Table16[[#This Row],[Name]],Table211121642021[Name],Table211121642021[Points],"DNP",0,1)</f>
        <v>DNP</v>
      </c>
      <c r="M294" t="str">
        <f>_xlfn.XLOOKUP(Table16[[#This Row],[Name]],Table21112164202122[Name],Table21112164202122[Points],"DNP",0,1)</f>
        <v>DNP</v>
      </c>
      <c r="N294" t="str">
        <f>_xlfn.XLOOKUP(Table16[[#This Row],[Name]],Table2111216420212223[Name],Table2111216420212223[Points],"DNP",0,1)</f>
        <v>DNP</v>
      </c>
      <c r="O294" t="str">
        <f>_xlfn.XLOOKUP(Table16[[#This Row],[Name]],Table211121642021222325[Name],Table211121642021222325[Points],"DNP",0,1)</f>
        <v>DNP</v>
      </c>
      <c r="P294" t="str">
        <f>_xlfn.XLOOKUP(Table16[[#This Row],[Name]],Table21112164202122232534[Name],Table21112164202122232534[Points],"DNP",0,1)</f>
        <v>DNP</v>
      </c>
      <c r="Q294" t="str">
        <f>_xlfn.XLOOKUP(Table16[[#This Row],[Name]],Table2111216420212223253435[Name],Table2111216420212223253435[Points],"DNP",0,1)</f>
        <v>DNP</v>
      </c>
      <c r="R294" t="str">
        <f>_xlfn.XLOOKUP(Table16[[#This Row],[Name]],Table211121642021222325343536[Name],Table211121642021222325343536[Points],"DNP",0,1)</f>
        <v>DNP</v>
      </c>
      <c r="S294" t="str">
        <f>_xlfn.XLOOKUP(Table16[[#This Row],[Name]],Table21112164202122232534353637[Name],Table21112164202122232534353637[Points],"DNP",0,1)</f>
        <v>DNP</v>
      </c>
      <c r="T294" t="str">
        <f>_xlfn.XLOOKUP(Table16[[#This Row],[Name]],Table2111216420212223253435363738[Name],Table2111216420212223253435363738[Points],"DNP",0,1)</f>
        <v>DNP</v>
      </c>
      <c r="U294" t="str">
        <f>_xlfn.XLOOKUP(Table16[[#This Row],[Name]],Table2111216420212223253435363739[Name],Table2111216420212223253435363739[Points],"DNP",0,1)</f>
        <v>DNP</v>
      </c>
      <c r="V294" t="str">
        <f>_xlfn.XLOOKUP(Table16[[#This Row],[Name]],Table211121642021222325343536373841[Name],Table211121642021222325343536373841[Points],"DNP",0,1)</f>
        <v>DNP</v>
      </c>
    </row>
    <row r="295" spans="2:22">
      <c r="B295" t="str">
        <f>IFERROR(Table5[[#This Row],[Full name]],"")</f>
        <v>Rui Xi Qiu</v>
      </c>
      <c r="C295" s="68">
        <f>SUM(Table16[[#This Row],[September 30, 2025]:[Column18]])</f>
        <v>5</v>
      </c>
      <c r="D295">
        <f>_xlfn.XLOOKUP(Table16[[#This Row],[Name]],Table4[Name],Table4[Points],"DNP",0,1)</f>
        <v>2</v>
      </c>
      <c r="E295" t="str">
        <f>_xlfn.XLOOKUP(Table16[[#This Row],[Name]],Table9[Name],Table9[Points],"DNP",0,1)</f>
        <v>DNP</v>
      </c>
      <c r="F295" t="str">
        <f>_xlfn.XLOOKUP(Table16[[#This Row],[Name]],Table18[Name],Table18[Points],"DNP",0,1)</f>
        <v>DNP</v>
      </c>
      <c r="G295" t="str">
        <f>_xlfn.XLOOKUP(Table16[[#This Row],[Name]],Table2[Name],Table2[Points],"DNP",0,1)</f>
        <v>DNP</v>
      </c>
      <c r="H295" t="str">
        <f>_xlfn.XLOOKUP(Table16[[#This Row],[Name]],Table211[Name],Table211[Points],"DNP",0,1)</f>
        <v>DNP</v>
      </c>
      <c r="I295" t="str">
        <f>_xlfn.XLOOKUP(Table16[[#This Row],[Name]],Table21112[Name],Table21112[Points],"DNP",0,1)</f>
        <v>DNP</v>
      </c>
      <c r="J295" t="str">
        <f>_xlfn.XLOOKUP(Table16[[#This Row],[Name]],Table21112164[Name],Table21112164[Points],"DNP",0,1)</f>
        <v>DNP</v>
      </c>
      <c r="K295">
        <f>_xlfn.XLOOKUP(Table16[[#This Row],[Name]],Table2111216420[Name],Table2111216420[Points],"DNP",0,1)</f>
        <v>1</v>
      </c>
      <c r="L295">
        <f>_xlfn.XLOOKUP(Table16[[#This Row],[Name]],Table211121642021[Name],Table211121642021[Points],"DNP",0,1)</f>
        <v>1</v>
      </c>
      <c r="M295" t="str">
        <f>_xlfn.XLOOKUP(Table16[[#This Row],[Name]],Table21112164202122[Name],Table21112164202122[Points],"DNP",0,1)</f>
        <v>DNP</v>
      </c>
      <c r="N295">
        <f>_xlfn.XLOOKUP(Table16[[#This Row],[Name]],Table2111216420212223[Name],Table2111216420212223[Points],"DNP",0,1)</f>
        <v>1</v>
      </c>
      <c r="O295" t="str">
        <f>_xlfn.XLOOKUP(Table16[[#This Row],[Name]],Table211121642021222325[Name],Table211121642021222325[Points],"DNP",0,1)</f>
        <v>DNP</v>
      </c>
      <c r="P295" t="str">
        <f>_xlfn.XLOOKUP(Table16[[#This Row],[Name]],Table21112164202122232534[Name],Table21112164202122232534[Points],"DNP",0,1)</f>
        <v>DNP</v>
      </c>
      <c r="Q295" t="str">
        <f>_xlfn.XLOOKUP(Table16[[#This Row],[Name]],Table2111216420212223253435[Name],Table2111216420212223253435[Points],"DNP",0,1)</f>
        <v>DNP</v>
      </c>
      <c r="R295" t="str">
        <f>_xlfn.XLOOKUP(Table16[[#This Row],[Name]],Table211121642021222325343536[Name],Table211121642021222325343536[Points],"DNP",0,1)</f>
        <v>DNP</v>
      </c>
      <c r="S295" t="str">
        <f>_xlfn.XLOOKUP(Table16[[#This Row],[Name]],Table21112164202122232534353637[Name],Table21112164202122232534353637[Points],"DNP",0,1)</f>
        <v>DNP</v>
      </c>
      <c r="T295" t="str">
        <f>_xlfn.XLOOKUP(Table16[[#This Row],[Name]],Table2111216420212223253435363738[Name],Table2111216420212223253435363738[Points],"DNP",0,1)</f>
        <v>DNP</v>
      </c>
      <c r="U295" t="str">
        <f>_xlfn.XLOOKUP(Table16[[#This Row],[Name]],Table2111216420212223253435363739[Name],Table2111216420212223253435363739[Points],"DNP",0,1)</f>
        <v>DNP</v>
      </c>
      <c r="V295" t="str">
        <f>_xlfn.XLOOKUP(Table16[[#This Row],[Name]],Table211121642021222325343536373841[Name],Table211121642021222325343536373841[Points],"DNP",0,1)</f>
        <v>DNP</v>
      </c>
    </row>
    <row r="296" spans="2:22">
      <c r="B296" t="str">
        <f>IFERROR(Table5[[#This Row],[Full name]],"")</f>
        <v>Ryan Morrison</v>
      </c>
      <c r="C296" s="68">
        <f>SUM(Table16[[#This Row],[September 30, 2025]:[Column18]])</f>
        <v>2</v>
      </c>
      <c r="D296" t="str">
        <f>_xlfn.XLOOKUP(Table16[[#This Row],[Name]],Table4[Name],Table4[Points],"DNP",0,1)</f>
        <v>DNP</v>
      </c>
      <c r="E296" t="str">
        <f>_xlfn.XLOOKUP(Table16[[#This Row],[Name]],Table9[Name],Table9[Points],"DNP",0,1)</f>
        <v>DNP</v>
      </c>
      <c r="F296">
        <f>_xlfn.XLOOKUP(Table16[[#This Row],[Name]],Table18[Name],Table18[Points],"DNP",0,1)</f>
        <v>1</v>
      </c>
      <c r="G296" t="str">
        <f>_xlfn.XLOOKUP(Table16[[#This Row],[Name]],Table2[Name],Table2[Points],"DNP",0,1)</f>
        <v>DNP</v>
      </c>
      <c r="H296" t="str">
        <f>_xlfn.XLOOKUP(Table16[[#This Row],[Name]],Table211[Name],Table211[Points],"DNP",0,1)</f>
        <v>DNP</v>
      </c>
      <c r="I296" t="str">
        <f>_xlfn.XLOOKUP(Table16[[#This Row],[Name]],Table21112[Name],Table21112[Points],"DNP",0,1)</f>
        <v>DNP</v>
      </c>
      <c r="J296" t="str">
        <f>_xlfn.XLOOKUP(Table16[[#This Row],[Name]],Table21112164[Name],Table21112164[Points],"DNP",0,1)</f>
        <v>DNP</v>
      </c>
      <c r="K296" t="str">
        <f>_xlfn.XLOOKUP(Table16[[#This Row],[Name]],Table2111216420[Name],Table2111216420[Points],"DNP",0,1)</f>
        <v>DNP</v>
      </c>
      <c r="L296" t="str">
        <f>_xlfn.XLOOKUP(Table16[[#This Row],[Name]],Table211121642021[Name],Table211121642021[Points],"DNP",0,1)</f>
        <v>DNP</v>
      </c>
      <c r="M296" t="str">
        <f>_xlfn.XLOOKUP(Table16[[#This Row],[Name]],Table21112164202122[Name],Table21112164202122[Points],"DNP",0,1)</f>
        <v>DNP</v>
      </c>
      <c r="N296" t="str">
        <f>_xlfn.XLOOKUP(Table16[[#This Row],[Name]],Table2111216420212223[Name],Table2111216420212223[Points],"DNP",0,1)</f>
        <v>DNP</v>
      </c>
      <c r="O296" t="str">
        <f>_xlfn.XLOOKUP(Table16[[#This Row],[Name]],Table211121642021222325[Name],Table211121642021222325[Points],"DNP",0,1)</f>
        <v>DNP</v>
      </c>
      <c r="P296" t="str">
        <f>_xlfn.XLOOKUP(Table16[[#This Row],[Name]],Table21112164202122232534[Name],Table21112164202122232534[Points],"DNP",0,1)</f>
        <v>DNP</v>
      </c>
      <c r="Q296" t="str">
        <f>_xlfn.XLOOKUP(Table16[[#This Row],[Name]],Table2111216420212223253435[Name],Table2111216420212223253435[Points],"DNP",0,1)</f>
        <v>DNP</v>
      </c>
      <c r="R296" t="str">
        <f>_xlfn.XLOOKUP(Table16[[#This Row],[Name]],Table211121642021222325343536[Name],Table211121642021222325343536[Points],"DNP",0,1)</f>
        <v>DNP</v>
      </c>
      <c r="S296" t="str">
        <f>_xlfn.XLOOKUP(Table16[[#This Row],[Name]],Table21112164202122232534353637[Name],Table21112164202122232534353637[Points],"DNP",0,1)</f>
        <v>DNP</v>
      </c>
      <c r="T296" t="str">
        <f>_xlfn.XLOOKUP(Table16[[#This Row],[Name]],Table2111216420212223253435363738[Name],Table2111216420212223253435363738[Points],"DNP",0,1)</f>
        <v>DNP</v>
      </c>
      <c r="U296">
        <f>_xlfn.XLOOKUP(Table16[[#This Row],[Name]],Table2111216420212223253435363739[Name],Table2111216420212223253435363739[Points],"DNP",0,1)</f>
        <v>1</v>
      </c>
      <c r="V296" t="str">
        <f>_xlfn.XLOOKUP(Table16[[#This Row],[Name]],Table211121642021222325343536373841[Name],Table211121642021222325343536373841[Points],"DNP",0,1)</f>
        <v>DNP</v>
      </c>
    </row>
    <row r="297" spans="2:22">
      <c r="B297" t="str">
        <f>IFERROR(Table5[[#This Row],[Full name]],"")</f>
        <v>Ryan Qian</v>
      </c>
      <c r="C297" s="68">
        <f>SUM(Table16[[#This Row],[September 30, 2025]:[Column18]])</f>
        <v>12</v>
      </c>
      <c r="D297" t="str">
        <f>_xlfn.XLOOKUP(Table16[[#This Row],[Name]],Table4[Name],Table4[Points],"DNP",0,1)</f>
        <v>DNP</v>
      </c>
      <c r="E297" t="str">
        <f>_xlfn.XLOOKUP(Table16[[#This Row],[Name]],Table9[Name],Table9[Points],"DNP",0,1)</f>
        <v>DNP</v>
      </c>
      <c r="F297" t="str">
        <f>_xlfn.XLOOKUP(Table16[[#This Row],[Name]],Table18[Name],Table18[Points],"DNP",0,1)</f>
        <v>DNP</v>
      </c>
      <c r="G297" t="str">
        <f>_xlfn.XLOOKUP(Table16[[#This Row],[Name]],Table2[Name],Table2[Points],"DNP",0,1)</f>
        <v>DNP</v>
      </c>
      <c r="H297" t="str">
        <f>_xlfn.XLOOKUP(Table16[[#This Row],[Name]],Table211[Name],Table211[Points],"DNP",0,1)</f>
        <v>DNP</v>
      </c>
      <c r="I297" t="str">
        <f>_xlfn.XLOOKUP(Table16[[#This Row],[Name]],Table21112[Name],Table21112[Points],"DNP",0,1)</f>
        <v>DNP</v>
      </c>
      <c r="J297">
        <f>_xlfn.XLOOKUP(Table16[[#This Row],[Name]],Table21112164[Name],Table21112164[Points],"DNP",0,1)</f>
        <v>1</v>
      </c>
      <c r="K297" t="str">
        <f>_xlfn.XLOOKUP(Table16[[#This Row],[Name]],Table2111216420[Name],Table2111216420[Points],"DNP",0,1)</f>
        <v>DNP</v>
      </c>
      <c r="L297" t="str">
        <f>_xlfn.XLOOKUP(Table16[[#This Row],[Name]],Table211121642021[Name],Table211121642021[Points],"DNP",0,1)</f>
        <v>DNP</v>
      </c>
      <c r="M297" t="str">
        <f>_xlfn.XLOOKUP(Table16[[#This Row],[Name]],Table21112164202122[Name],Table21112164202122[Points],"DNP",0,1)</f>
        <v>DNP</v>
      </c>
      <c r="N297" t="str">
        <f>_xlfn.XLOOKUP(Table16[[#This Row],[Name]],Table2111216420212223[Name],Table2111216420212223[Points],"DNP",0,1)</f>
        <v>DNP</v>
      </c>
      <c r="O297" t="str">
        <f>_xlfn.XLOOKUP(Table16[[#This Row],[Name]],Table211121642021222325[Name],Table211121642021222325[Points],"DNP",0,1)</f>
        <v>DNP</v>
      </c>
      <c r="P297" t="str">
        <f>_xlfn.XLOOKUP(Table16[[#This Row],[Name]],Table21112164202122232534[Name],Table21112164202122232534[Points],"DNP",0,1)</f>
        <v>DNP</v>
      </c>
      <c r="Q297" t="str">
        <f>_xlfn.XLOOKUP(Table16[[#This Row],[Name]],Table2111216420212223253435[Name],Table2111216420212223253435[Points],"DNP",0,1)</f>
        <v>DNP</v>
      </c>
      <c r="R297">
        <f>_xlfn.XLOOKUP(Table16[[#This Row],[Name]],Table211121642021222325343536[Name],Table211121642021222325343536[Points],"DNP",0,1)</f>
        <v>10</v>
      </c>
      <c r="S297" t="str">
        <f>_xlfn.XLOOKUP(Table16[[#This Row],[Name]],Table21112164202122232534353637[Name],Table21112164202122232534353637[Points],"DNP",0,1)</f>
        <v>DNP</v>
      </c>
      <c r="T297" t="str">
        <f>_xlfn.XLOOKUP(Table16[[#This Row],[Name]],Table2111216420212223253435363738[Name],Table2111216420212223253435363738[Points],"DNP",0,1)</f>
        <v>DNP</v>
      </c>
      <c r="U297">
        <f>_xlfn.XLOOKUP(Table16[[#This Row],[Name]],Table2111216420212223253435363739[Name],Table2111216420212223253435363739[Points],"DNP",0,1)</f>
        <v>1</v>
      </c>
      <c r="V297" t="str">
        <f>_xlfn.XLOOKUP(Table16[[#This Row],[Name]],Table211121642021222325343536373841[Name],Table211121642021222325343536373841[Points],"DNP",0,1)</f>
        <v>DNP</v>
      </c>
    </row>
    <row r="298" spans="2:22">
      <c r="B298" t="str">
        <f>IFERROR(Table5[[#This Row],[Full name]],"")</f>
        <v>Ryan Sale</v>
      </c>
      <c r="C298" s="68">
        <f>SUM(Table16[[#This Row],[September 30, 2025]:[Column18]])</f>
        <v>18</v>
      </c>
      <c r="D298">
        <f>_xlfn.XLOOKUP(Table16[[#This Row],[Name]],Table4[Name],Table4[Points],"DNP",0,1)</f>
        <v>1</v>
      </c>
      <c r="E298" t="str">
        <f>_xlfn.XLOOKUP(Table16[[#This Row],[Name]],Table9[Name],Table9[Points],"DNP",0,1)</f>
        <v>DNP</v>
      </c>
      <c r="F298">
        <f>_xlfn.XLOOKUP(Table16[[#This Row],[Name]],Table18[Name],Table18[Points],"DNP",0,1)</f>
        <v>3</v>
      </c>
      <c r="G298" t="str">
        <f>_xlfn.XLOOKUP(Table16[[#This Row],[Name]],Table2[Name],Table2[Points],"DNP",0,1)</f>
        <v>DNP</v>
      </c>
      <c r="H298">
        <f>_xlfn.XLOOKUP(Table16[[#This Row],[Name]],Table211[Name],Table211[Points],"DNP",0,1)</f>
        <v>4</v>
      </c>
      <c r="I298" t="str">
        <f>_xlfn.XLOOKUP(Table16[[#This Row],[Name]],Table21112[Name],Table21112[Points],"DNP",0,1)</f>
        <v>DNP</v>
      </c>
      <c r="J298" t="str">
        <f>_xlfn.XLOOKUP(Table16[[#This Row],[Name]],Table21112164[Name],Table21112164[Points],"DNP",0,1)</f>
        <v>DNP</v>
      </c>
      <c r="K298">
        <f>_xlfn.XLOOKUP(Table16[[#This Row],[Name]],Table2111216420[Name],Table2111216420[Points],"DNP",0,1)</f>
        <v>1</v>
      </c>
      <c r="L298" t="str">
        <f>_xlfn.XLOOKUP(Table16[[#This Row],[Name]],Table211121642021[Name],Table211121642021[Points],"DNP",0,1)</f>
        <v>DNP</v>
      </c>
      <c r="M298">
        <f>_xlfn.XLOOKUP(Table16[[#This Row],[Name]],Table21112164202122[Name],Table21112164202122[Points],"DNP",0,1)</f>
        <v>4</v>
      </c>
      <c r="N298" t="str">
        <f>_xlfn.XLOOKUP(Table16[[#This Row],[Name]],Table2111216420212223[Name],Table2111216420212223[Points],"DNP",0,1)</f>
        <v>DNP</v>
      </c>
      <c r="O298" t="str">
        <f>_xlfn.XLOOKUP(Table16[[#This Row],[Name]],Table211121642021222325[Name],Table211121642021222325[Points],"DNP",0,1)</f>
        <v>DNP</v>
      </c>
      <c r="P298" t="str">
        <f>_xlfn.XLOOKUP(Table16[[#This Row],[Name]],Table21112164202122232534[Name],Table21112164202122232534[Points],"DNP",0,1)</f>
        <v>DNP</v>
      </c>
      <c r="Q298">
        <f>_xlfn.XLOOKUP(Table16[[#This Row],[Name]],Table2111216420212223253435[Name],Table2111216420212223253435[Points],"DNP",0,1)</f>
        <v>1</v>
      </c>
      <c r="R298">
        <f>_xlfn.XLOOKUP(Table16[[#This Row],[Name]],Table211121642021222325343536[Name],Table211121642021222325343536[Points],"DNP",0,1)</f>
        <v>2</v>
      </c>
      <c r="S298">
        <f>_xlfn.XLOOKUP(Table16[[#This Row],[Name]],Table21112164202122232534353637[Name],Table21112164202122232534353637[Points],"DNP",0,1)</f>
        <v>2</v>
      </c>
      <c r="T298" t="str">
        <f>_xlfn.XLOOKUP(Table16[[#This Row],[Name]],Table2111216420212223253435363738[Name],Table2111216420212223253435363738[Points],"DNP",0,1)</f>
        <v>DNP</v>
      </c>
      <c r="U298" t="str">
        <f>_xlfn.XLOOKUP(Table16[[#This Row],[Name]],Table2111216420212223253435363739[Name],Table2111216420212223253435363739[Points],"DNP",0,1)</f>
        <v>DNP</v>
      </c>
      <c r="V298" t="str">
        <f>_xlfn.XLOOKUP(Table16[[#This Row],[Name]],Table211121642021222325343536373841[Name],Table211121642021222325343536373841[Points],"DNP",0,1)</f>
        <v>DNP</v>
      </c>
    </row>
    <row r="299" spans="2:22">
      <c r="B299" t="str">
        <f>IFERROR(Table5[[#This Row],[Full name]],"")</f>
        <v>Ryan Song</v>
      </c>
      <c r="C299" s="68">
        <f>SUM(Table16[[#This Row],[September 30, 2025]:[Column18]])</f>
        <v>0</v>
      </c>
      <c r="D299" t="str">
        <f>_xlfn.XLOOKUP(Table16[[#This Row],[Name]],Table4[Name],Table4[Points],"DNP",0,1)</f>
        <v>DNP</v>
      </c>
      <c r="E299" t="str">
        <f>_xlfn.XLOOKUP(Table16[[#This Row],[Name]],Table9[Name],Table9[Points],"DNP",0,1)</f>
        <v>DNP</v>
      </c>
      <c r="F299" t="str">
        <f>_xlfn.XLOOKUP(Table16[[#This Row],[Name]],Table18[Name],Table18[Points],"DNP",0,1)</f>
        <v>DNP</v>
      </c>
      <c r="G299" t="str">
        <f>_xlfn.XLOOKUP(Table16[[#This Row],[Name]],Table2[Name],Table2[Points],"DNP",0,1)</f>
        <v>DNP</v>
      </c>
      <c r="H299" t="str">
        <f>_xlfn.XLOOKUP(Table16[[#This Row],[Name]],Table211[Name],Table211[Points],"DNP",0,1)</f>
        <v>DNP</v>
      </c>
      <c r="I299" t="str">
        <f>_xlfn.XLOOKUP(Table16[[#This Row],[Name]],Table21112[Name],Table21112[Points],"DNP",0,1)</f>
        <v>DNP</v>
      </c>
      <c r="J299" t="str">
        <f>_xlfn.XLOOKUP(Table16[[#This Row],[Name]],Table21112164[Name],Table21112164[Points],"DNP",0,1)</f>
        <v>DNP</v>
      </c>
      <c r="K299" t="str">
        <f>_xlfn.XLOOKUP(Table16[[#This Row],[Name]],Table2111216420[Name],Table2111216420[Points],"DNP",0,1)</f>
        <v>DNP</v>
      </c>
      <c r="L299" t="str">
        <f>_xlfn.XLOOKUP(Table16[[#This Row],[Name]],Table211121642021[Name],Table211121642021[Points],"DNP",0,1)</f>
        <v>DNP</v>
      </c>
      <c r="M299" t="str">
        <f>_xlfn.XLOOKUP(Table16[[#This Row],[Name]],Table21112164202122[Name],Table21112164202122[Points],"DNP",0,1)</f>
        <v>DNP</v>
      </c>
      <c r="N299" t="str">
        <f>_xlfn.XLOOKUP(Table16[[#This Row],[Name]],Table2111216420212223[Name],Table2111216420212223[Points],"DNP",0,1)</f>
        <v>DNP</v>
      </c>
      <c r="O299" t="str">
        <f>_xlfn.XLOOKUP(Table16[[#This Row],[Name]],Table211121642021222325[Name],Table211121642021222325[Points],"DNP",0,1)</f>
        <v>DNP</v>
      </c>
      <c r="P299" t="str">
        <f>_xlfn.XLOOKUP(Table16[[#This Row],[Name]],Table21112164202122232534[Name],Table21112164202122232534[Points],"DNP",0,1)</f>
        <v>DNP</v>
      </c>
      <c r="Q299" t="str">
        <f>_xlfn.XLOOKUP(Table16[[#This Row],[Name]],Table2111216420212223253435[Name],Table2111216420212223253435[Points],"DNP",0,1)</f>
        <v>DNP</v>
      </c>
      <c r="R299" t="str">
        <f>_xlfn.XLOOKUP(Table16[[#This Row],[Name]],Table211121642021222325343536[Name],Table211121642021222325343536[Points],"DNP",0,1)</f>
        <v>DNP</v>
      </c>
      <c r="S299" t="str">
        <f>_xlfn.XLOOKUP(Table16[[#This Row],[Name]],Table21112164202122232534353637[Name],Table21112164202122232534353637[Points],"DNP",0,1)</f>
        <v>DNP</v>
      </c>
      <c r="T299" t="str">
        <f>_xlfn.XLOOKUP(Table16[[#This Row],[Name]],Table2111216420212223253435363738[Name],Table2111216420212223253435363738[Points],"DNP",0,1)</f>
        <v>DNP</v>
      </c>
      <c r="U299" t="str">
        <f>_xlfn.XLOOKUP(Table16[[#This Row],[Name]],Table2111216420212223253435363739[Name],Table2111216420212223253435363739[Points],"DNP",0,1)</f>
        <v>DNP</v>
      </c>
      <c r="V299" t="str">
        <f>_xlfn.XLOOKUP(Table16[[#This Row],[Name]],Table211121642021222325343536373841[Name],Table211121642021222325343536373841[Points],"DNP",0,1)</f>
        <v>DNP</v>
      </c>
    </row>
    <row r="300" spans="2:22">
      <c r="B300" t="str">
        <f>IFERROR(Table5[[#This Row],[Full name]],"")</f>
        <v>Ryan Jouhere</v>
      </c>
      <c r="C300" s="68">
        <f>SUM(Table16[[#This Row],[September 30, 2025]:[Column18]])</f>
        <v>1</v>
      </c>
      <c r="D300" t="str">
        <f>_xlfn.XLOOKUP(Table16[[#This Row],[Name]],Table4[Name],Table4[Points],"DNP",0,1)</f>
        <v>DNP</v>
      </c>
      <c r="E300" t="str">
        <f>_xlfn.XLOOKUP(Table16[[#This Row],[Name]],Table9[Name],Table9[Points],"DNP",0,1)</f>
        <v>DNP</v>
      </c>
      <c r="F300" t="str">
        <f>_xlfn.XLOOKUP(Table16[[#This Row],[Name]],Table18[Name],Table18[Points],"DNP",0,1)</f>
        <v>DNP</v>
      </c>
      <c r="G300" t="str">
        <f>_xlfn.XLOOKUP(Table16[[#This Row],[Name]],Table2[Name],Table2[Points],"DNP",0,1)</f>
        <v>DNP</v>
      </c>
      <c r="H300" t="str">
        <f>_xlfn.XLOOKUP(Table16[[#This Row],[Name]],Table211[Name],Table211[Points],"DNP",0,1)</f>
        <v>DNP</v>
      </c>
      <c r="I300" t="str">
        <f>_xlfn.XLOOKUP(Table16[[#This Row],[Name]],Table21112[Name],Table21112[Points],"DNP",0,1)</f>
        <v>DNP</v>
      </c>
      <c r="J300" t="str">
        <f>_xlfn.XLOOKUP(Table16[[#This Row],[Name]],Table21112164[Name],Table21112164[Points],"DNP",0,1)</f>
        <v>DNP</v>
      </c>
      <c r="K300" t="str">
        <f>_xlfn.XLOOKUP(Table16[[#This Row],[Name]],Table2111216420[Name],Table2111216420[Points],"DNP",0,1)</f>
        <v>DNP</v>
      </c>
      <c r="L300" t="str">
        <f>_xlfn.XLOOKUP(Table16[[#This Row],[Name]],Table211121642021[Name],Table211121642021[Points],"DNP",0,1)</f>
        <v>DNP</v>
      </c>
      <c r="M300" t="str">
        <f>_xlfn.XLOOKUP(Table16[[#This Row],[Name]],Table21112164202122[Name],Table21112164202122[Points],"DNP",0,1)</f>
        <v>DNP</v>
      </c>
      <c r="N300" t="str">
        <f>_xlfn.XLOOKUP(Table16[[#This Row],[Name]],Table2111216420212223[Name],Table2111216420212223[Points],"DNP",0,1)</f>
        <v>DNP</v>
      </c>
      <c r="O300">
        <f>_xlfn.XLOOKUP(Table16[[#This Row],[Name]],Table211121642021222325[Name],Table211121642021222325[Points],"DNP",0,1)</f>
        <v>1</v>
      </c>
      <c r="P300" t="str">
        <f>_xlfn.XLOOKUP(Table16[[#This Row],[Name]],Table21112164202122232534[Name],Table21112164202122232534[Points],"DNP",0,1)</f>
        <v>DNP</v>
      </c>
      <c r="Q300" t="str">
        <f>_xlfn.XLOOKUP(Table16[[#This Row],[Name]],Table2111216420212223253435[Name],Table2111216420212223253435[Points],"DNP",0,1)</f>
        <v>DNP</v>
      </c>
      <c r="R300" t="str">
        <f>_xlfn.XLOOKUP(Table16[[#This Row],[Name]],Table211121642021222325343536[Name],Table211121642021222325343536[Points],"DNP",0,1)</f>
        <v>DNP</v>
      </c>
      <c r="S300" t="str">
        <f>_xlfn.XLOOKUP(Table16[[#This Row],[Name]],Table21112164202122232534353637[Name],Table21112164202122232534353637[Points],"DNP",0,1)</f>
        <v>DNP</v>
      </c>
      <c r="T300" t="str">
        <f>_xlfn.XLOOKUP(Table16[[#This Row],[Name]],Table2111216420212223253435363738[Name],Table2111216420212223253435363738[Points],"DNP",0,1)</f>
        <v>DNP</v>
      </c>
      <c r="U300" t="str">
        <f>_xlfn.XLOOKUP(Table16[[#This Row],[Name]],Table2111216420212223253435363739[Name],Table2111216420212223253435363739[Points],"DNP",0,1)</f>
        <v>DNP</v>
      </c>
      <c r="V300" t="str">
        <f>_xlfn.XLOOKUP(Table16[[#This Row],[Name]],Table211121642021222325343536373841[Name],Table211121642021222325343536373841[Points],"DNP",0,1)</f>
        <v>DNP</v>
      </c>
    </row>
    <row r="301" spans="2:22">
      <c r="B301" t="str">
        <f>IFERROR(Table5[[#This Row],[Full name]],"")</f>
        <v>Salaar Ali</v>
      </c>
      <c r="C301" s="68">
        <f>SUM(Table16[[#This Row],[September 30, 2025]:[Column18]])</f>
        <v>2</v>
      </c>
      <c r="D301" t="str">
        <f>_xlfn.XLOOKUP(Table16[[#This Row],[Name]],Table4[Name],Table4[Points],"DNP",0,1)</f>
        <v>DNP</v>
      </c>
      <c r="E301" t="str">
        <f>_xlfn.XLOOKUP(Table16[[#This Row],[Name]],Table9[Name],Table9[Points],"DNP",0,1)</f>
        <v>DNP</v>
      </c>
      <c r="F301" t="str">
        <f>_xlfn.XLOOKUP(Table16[[#This Row],[Name]],Table18[Name],Table18[Points],"DNP",0,1)</f>
        <v>DNP</v>
      </c>
      <c r="G301">
        <f>_xlfn.XLOOKUP(Table16[[#This Row],[Name]],Table2[Name],Table2[Points],"DNP",0,1)</f>
        <v>1</v>
      </c>
      <c r="H301" t="str">
        <f>_xlfn.XLOOKUP(Table16[[#This Row],[Name]],Table211[Name],Table211[Points],"DNP",0,1)</f>
        <v>DNP</v>
      </c>
      <c r="I301">
        <f>_xlfn.XLOOKUP(Table16[[#This Row],[Name]],Table21112[Name],Table21112[Points],"DNP",0,1)</f>
        <v>1</v>
      </c>
      <c r="J301" t="str">
        <f>_xlfn.XLOOKUP(Table16[[#This Row],[Name]],Table21112164[Name],Table21112164[Points],"DNP",0,1)</f>
        <v>DNP</v>
      </c>
      <c r="K301" t="str">
        <f>_xlfn.XLOOKUP(Table16[[#This Row],[Name]],Table2111216420[Name],Table2111216420[Points],"DNP",0,1)</f>
        <v>DNP</v>
      </c>
      <c r="L301" t="str">
        <f>_xlfn.XLOOKUP(Table16[[#This Row],[Name]],Table211121642021[Name],Table211121642021[Points],"DNP",0,1)</f>
        <v>DNP</v>
      </c>
      <c r="M301" t="str">
        <f>_xlfn.XLOOKUP(Table16[[#This Row],[Name]],Table21112164202122[Name],Table21112164202122[Points],"DNP",0,1)</f>
        <v>DNP</v>
      </c>
      <c r="N301" t="str">
        <f>_xlfn.XLOOKUP(Table16[[#This Row],[Name]],Table2111216420212223[Name],Table2111216420212223[Points],"DNP",0,1)</f>
        <v>DNP</v>
      </c>
      <c r="O301" t="str">
        <f>_xlfn.XLOOKUP(Table16[[#This Row],[Name]],Table211121642021222325[Name],Table211121642021222325[Points],"DNP",0,1)</f>
        <v>DNP</v>
      </c>
      <c r="P301" t="str">
        <f>_xlfn.XLOOKUP(Table16[[#This Row],[Name]],Table21112164202122232534[Name],Table21112164202122232534[Points],"DNP",0,1)</f>
        <v>DNP</v>
      </c>
      <c r="Q301" t="str">
        <f>_xlfn.XLOOKUP(Table16[[#This Row],[Name]],Table2111216420212223253435[Name],Table2111216420212223253435[Points],"DNP",0,1)</f>
        <v>DNP</v>
      </c>
      <c r="R301" t="str">
        <f>_xlfn.XLOOKUP(Table16[[#This Row],[Name]],Table211121642021222325343536[Name],Table211121642021222325343536[Points],"DNP",0,1)</f>
        <v>DNP</v>
      </c>
      <c r="S301" t="str">
        <f>_xlfn.XLOOKUP(Table16[[#This Row],[Name]],Table21112164202122232534353637[Name],Table21112164202122232534353637[Points],"DNP",0,1)</f>
        <v>DNP</v>
      </c>
      <c r="T301" t="str">
        <f>_xlfn.XLOOKUP(Table16[[#This Row],[Name]],Table2111216420212223253435363738[Name],Table2111216420212223253435363738[Points],"DNP",0,1)</f>
        <v>DNP</v>
      </c>
      <c r="U301" t="str">
        <f>_xlfn.XLOOKUP(Table16[[#This Row],[Name]],Table2111216420212223253435363739[Name],Table2111216420212223253435363739[Points],"DNP",0,1)</f>
        <v>DNP</v>
      </c>
      <c r="V301" t="str">
        <f>_xlfn.XLOOKUP(Table16[[#This Row],[Name]],Table211121642021222325343536373841[Name],Table211121642021222325343536373841[Points],"DNP",0,1)</f>
        <v>DNP</v>
      </c>
    </row>
    <row r="302" spans="2:22">
      <c r="B302" t="str">
        <f>IFERROR(Table5[[#This Row],[Full name]],"")</f>
        <v>Sam Das</v>
      </c>
      <c r="C302" s="68">
        <f>SUM(Table16[[#This Row],[September 30, 2025]:[Column18]])</f>
        <v>2</v>
      </c>
      <c r="D302" t="str">
        <f>_xlfn.XLOOKUP(Table16[[#This Row],[Name]],Table4[Name],Table4[Points],"DNP",0,1)</f>
        <v>DNP</v>
      </c>
      <c r="E302" t="str">
        <f>_xlfn.XLOOKUP(Table16[[#This Row],[Name]],Table9[Name],Table9[Points],"DNP",0,1)</f>
        <v>DNP</v>
      </c>
      <c r="F302" t="str">
        <f>_xlfn.XLOOKUP(Table16[[#This Row],[Name]],Table18[Name],Table18[Points],"DNP",0,1)</f>
        <v>DNP</v>
      </c>
      <c r="G302" t="str">
        <f>_xlfn.XLOOKUP(Table16[[#This Row],[Name]],Table2[Name],Table2[Points],"DNP",0,1)</f>
        <v>DNP</v>
      </c>
      <c r="H302" t="str">
        <f>_xlfn.XLOOKUP(Table16[[#This Row],[Name]],Table211[Name],Table211[Points],"DNP",0,1)</f>
        <v>DNP</v>
      </c>
      <c r="I302" t="str">
        <f>_xlfn.XLOOKUP(Table16[[#This Row],[Name]],Table21112[Name],Table21112[Points],"DNP",0,1)</f>
        <v>DNP</v>
      </c>
      <c r="J302" t="str">
        <f>_xlfn.XLOOKUP(Table16[[#This Row],[Name]],Table21112164[Name],Table21112164[Points],"DNP",0,1)</f>
        <v>DNP</v>
      </c>
      <c r="K302" t="str">
        <f>_xlfn.XLOOKUP(Table16[[#This Row],[Name]],Table2111216420[Name],Table2111216420[Points],"DNP",0,1)</f>
        <v>DNP</v>
      </c>
      <c r="L302" t="str">
        <f>_xlfn.XLOOKUP(Table16[[#This Row],[Name]],Table211121642021[Name],Table211121642021[Points],"DNP",0,1)</f>
        <v>DNP</v>
      </c>
      <c r="M302" t="str">
        <f>_xlfn.XLOOKUP(Table16[[#This Row],[Name]],Table21112164202122[Name],Table21112164202122[Points],"DNP",0,1)</f>
        <v>DNP</v>
      </c>
      <c r="N302">
        <f>_xlfn.XLOOKUP(Table16[[#This Row],[Name]],Table2111216420212223[Name],Table2111216420212223[Points],"DNP",0,1)</f>
        <v>1</v>
      </c>
      <c r="O302" t="str">
        <f>_xlfn.XLOOKUP(Table16[[#This Row],[Name]],Table211121642021222325[Name],Table211121642021222325[Points],"DNP",0,1)</f>
        <v>DNP</v>
      </c>
      <c r="P302" t="str">
        <f>_xlfn.XLOOKUP(Table16[[#This Row],[Name]],Table21112164202122232534[Name],Table21112164202122232534[Points],"DNP",0,1)</f>
        <v>DNP</v>
      </c>
      <c r="Q302" t="str">
        <f>_xlfn.XLOOKUP(Table16[[#This Row],[Name]],Table2111216420212223253435[Name],Table2111216420212223253435[Points],"DNP",0,1)</f>
        <v>DNP</v>
      </c>
      <c r="R302" t="str">
        <f>_xlfn.XLOOKUP(Table16[[#This Row],[Name]],Table211121642021222325343536[Name],Table211121642021222325343536[Points],"DNP",0,1)</f>
        <v>DNP</v>
      </c>
      <c r="S302">
        <f>_xlfn.XLOOKUP(Table16[[#This Row],[Name]],Table21112164202122232534353637[Name],Table21112164202122232534353637[Points],"DNP",0,1)</f>
        <v>1</v>
      </c>
      <c r="T302" t="str">
        <f>_xlfn.XLOOKUP(Table16[[#This Row],[Name]],Table2111216420212223253435363738[Name],Table2111216420212223253435363738[Points],"DNP",0,1)</f>
        <v>DNP</v>
      </c>
      <c r="U302" t="str">
        <f>_xlfn.XLOOKUP(Table16[[#This Row],[Name]],Table2111216420212223253435363739[Name],Table2111216420212223253435363739[Points],"DNP",0,1)</f>
        <v>DNP</v>
      </c>
      <c r="V302" t="str">
        <f>_xlfn.XLOOKUP(Table16[[#This Row],[Name]],Table211121642021222325343536373841[Name],Table211121642021222325343536373841[Points],"DNP",0,1)</f>
        <v>DNP</v>
      </c>
    </row>
    <row r="303" spans="2:22">
      <c r="B303" t="str">
        <f>IFERROR(Table5[[#This Row],[Full name]],"")</f>
        <v>Sameer Aziz</v>
      </c>
      <c r="C303" s="68">
        <f>SUM(Table16[[#This Row],[September 30, 2025]:[Column18]])</f>
        <v>12</v>
      </c>
      <c r="D303" t="str">
        <f>_xlfn.XLOOKUP(Table16[[#This Row],[Name]],Table4[Name],Table4[Points],"DNP",0,1)</f>
        <v>DNP</v>
      </c>
      <c r="E303" t="str">
        <f>_xlfn.XLOOKUP(Table16[[#This Row],[Name]],Table9[Name],Table9[Points],"DNP",0,1)</f>
        <v>DNP</v>
      </c>
      <c r="F303">
        <f>_xlfn.XLOOKUP(Table16[[#This Row],[Name]],Table18[Name],Table18[Points],"DNP",0,1)</f>
        <v>4</v>
      </c>
      <c r="G303" t="str">
        <f>_xlfn.XLOOKUP(Table16[[#This Row],[Name]],Table2[Name],Table2[Points],"DNP",0,1)</f>
        <v>DNP</v>
      </c>
      <c r="H303" t="str">
        <f>_xlfn.XLOOKUP(Table16[[#This Row],[Name]],Table211[Name],Table211[Points],"DNP",0,1)</f>
        <v>DNP</v>
      </c>
      <c r="I303">
        <f>_xlfn.XLOOKUP(Table16[[#This Row],[Name]],Table21112[Name],Table21112[Points],"DNP",0,1)</f>
        <v>1</v>
      </c>
      <c r="J303">
        <f>_xlfn.XLOOKUP(Table16[[#This Row],[Name]],Table21112164[Name],Table21112164[Points],"DNP",0,1)</f>
        <v>1</v>
      </c>
      <c r="K303">
        <f>_xlfn.XLOOKUP(Table16[[#This Row],[Name]],Table2111216420[Name],Table2111216420[Points],"DNP",0,1)</f>
        <v>4</v>
      </c>
      <c r="L303" t="str">
        <f>_xlfn.XLOOKUP(Table16[[#This Row],[Name]],Table211121642021[Name],Table211121642021[Points],"DNP",0,1)</f>
        <v>DNP</v>
      </c>
      <c r="M303" t="str">
        <f>_xlfn.XLOOKUP(Table16[[#This Row],[Name]],Table21112164202122[Name],Table21112164202122[Points],"DNP",0,1)</f>
        <v>DNP</v>
      </c>
      <c r="N303" t="str">
        <f>_xlfn.XLOOKUP(Table16[[#This Row],[Name]],Table2111216420212223[Name],Table2111216420212223[Points],"DNP",0,1)</f>
        <v>DNP</v>
      </c>
      <c r="O303">
        <f>_xlfn.XLOOKUP(Table16[[#This Row],[Name]],Table211121642021222325[Name],Table211121642021222325[Points],"DNP",0,1)</f>
        <v>1</v>
      </c>
      <c r="P303" t="str">
        <f>_xlfn.XLOOKUP(Table16[[#This Row],[Name]],Table21112164202122232534[Name],Table21112164202122232534[Points],"DNP",0,1)</f>
        <v>DNP</v>
      </c>
      <c r="Q303">
        <f>_xlfn.XLOOKUP(Table16[[#This Row],[Name]],Table2111216420212223253435[Name],Table2111216420212223253435[Points],"DNP",0,1)</f>
        <v>1</v>
      </c>
      <c r="R303" t="str">
        <f>_xlfn.XLOOKUP(Table16[[#This Row],[Name]],Table211121642021222325343536[Name],Table211121642021222325343536[Points],"DNP",0,1)</f>
        <v>DNP</v>
      </c>
      <c r="S303" t="str">
        <f>_xlfn.XLOOKUP(Table16[[#This Row],[Name]],Table21112164202122232534353637[Name],Table21112164202122232534353637[Points],"DNP",0,1)</f>
        <v>DNP</v>
      </c>
      <c r="T303" t="str">
        <f>_xlfn.XLOOKUP(Table16[[#This Row],[Name]],Table2111216420212223253435363738[Name],Table2111216420212223253435363738[Points],"DNP",0,1)</f>
        <v>DNP</v>
      </c>
      <c r="U303" t="str">
        <f>_xlfn.XLOOKUP(Table16[[#This Row],[Name]],Table2111216420212223253435363739[Name],Table2111216420212223253435363739[Points],"DNP",0,1)</f>
        <v>DNP</v>
      </c>
      <c r="V303" t="str">
        <f>_xlfn.XLOOKUP(Table16[[#This Row],[Name]],Table211121642021222325343536373841[Name],Table211121642021222325343536373841[Points],"DNP",0,1)</f>
        <v>DNP</v>
      </c>
    </row>
    <row r="304" spans="2:22">
      <c r="B304" t="str">
        <f>IFERROR(Table5[[#This Row],[Full name]],"")</f>
        <v>Samuel Lu</v>
      </c>
      <c r="C304" s="68">
        <f>SUM(Table16[[#This Row],[September 30, 2025]:[Column18]])</f>
        <v>15</v>
      </c>
      <c r="D304" t="str">
        <f>_xlfn.XLOOKUP(Table16[[#This Row],[Name]],Table4[Name],Table4[Points],"DNP",0,1)</f>
        <v>DNP</v>
      </c>
      <c r="E304">
        <f>_xlfn.XLOOKUP(Table16[[#This Row],[Name]],Table9[Name],Table9[Points],"DNP",0,1)</f>
        <v>1</v>
      </c>
      <c r="F304">
        <f>_xlfn.XLOOKUP(Table16[[#This Row],[Name]],Table18[Name],Table18[Points],"DNP",0,1)</f>
        <v>2</v>
      </c>
      <c r="G304" t="str">
        <f>_xlfn.XLOOKUP(Table16[[#This Row],[Name]],Table2[Name],Table2[Points],"DNP",0,1)</f>
        <v>DNP</v>
      </c>
      <c r="H304">
        <f>_xlfn.XLOOKUP(Table16[[#This Row],[Name]],Table211[Name],Table211[Points],"DNP",0,1)</f>
        <v>1</v>
      </c>
      <c r="I304" t="str">
        <f>_xlfn.XLOOKUP(Table16[[#This Row],[Name]],Table21112[Name],Table21112[Points],"DNP",0,1)</f>
        <v>DNP</v>
      </c>
      <c r="J304">
        <f>_xlfn.XLOOKUP(Table16[[#This Row],[Name]],Table21112164[Name],Table21112164[Points],"DNP",0,1)</f>
        <v>1</v>
      </c>
      <c r="K304" t="str">
        <f>_xlfn.XLOOKUP(Table16[[#This Row],[Name]],Table2111216420[Name],Table2111216420[Points],"DNP",0,1)</f>
        <v>DNP</v>
      </c>
      <c r="L304">
        <f>_xlfn.XLOOKUP(Table16[[#This Row],[Name]],Table211121642021[Name],Table211121642021[Points],"DNP",0,1)</f>
        <v>4</v>
      </c>
      <c r="M304" t="str">
        <f>_xlfn.XLOOKUP(Table16[[#This Row],[Name]],Table21112164202122[Name],Table21112164202122[Points],"DNP",0,1)</f>
        <v>DNP</v>
      </c>
      <c r="N304" t="str">
        <f>_xlfn.XLOOKUP(Table16[[#This Row],[Name]],Table2111216420212223[Name],Table2111216420212223[Points],"DNP",0,1)</f>
        <v>DNP</v>
      </c>
      <c r="O304" t="str">
        <f>_xlfn.XLOOKUP(Table16[[#This Row],[Name]],Table211121642021222325[Name],Table211121642021222325[Points],"DNP",0,1)</f>
        <v>DNP</v>
      </c>
      <c r="P304" t="str">
        <f>_xlfn.XLOOKUP(Table16[[#This Row],[Name]],Table21112164202122232534[Name],Table21112164202122232534[Points],"DNP",0,1)</f>
        <v>DNP</v>
      </c>
      <c r="Q304" t="str">
        <f>_xlfn.XLOOKUP(Table16[[#This Row],[Name]],Table2111216420212223253435[Name],Table2111216420212223253435[Points],"DNP",0,1)</f>
        <v>DNP</v>
      </c>
      <c r="R304">
        <f>_xlfn.XLOOKUP(Table16[[#This Row],[Name]],Table211121642021222325343536[Name],Table211121642021222325343536[Points],"DNP",0,1)</f>
        <v>1</v>
      </c>
      <c r="S304" t="str">
        <f>_xlfn.XLOOKUP(Table16[[#This Row],[Name]],Table21112164202122232534353637[Name],Table21112164202122232534353637[Points],"DNP",0,1)</f>
        <v>DNP</v>
      </c>
      <c r="T304">
        <f>_xlfn.XLOOKUP(Table16[[#This Row],[Name]],Table2111216420212223253435363738[Name],Table2111216420212223253435363738[Points],"DNP",0,1)</f>
        <v>2</v>
      </c>
      <c r="U304" t="str">
        <f>_xlfn.XLOOKUP(Table16[[#This Row],[Name]],Table2111216420212223253435363739[Name],Table2111216420212223253435363739[Points],"DNP",0,1)</f>
        <v>DNP</v>
      </c>
      <c r="V304">
        <f>_xlfn.XLOOKUP(Table16[[#This Row],[Name]],Table211121642021222325343536373841[Name],Table211121642021222325343536373841[Points],"DNP",0,1)</f>
        <v>3</v>
      </c>
    </row>
    <row r="305" spans="2:22">
      <c r="B305" t="str">
        <f>IFERROR(Table5[[#This Row],[Full name]],"")</f>
        <v>Samuel Sax-Marton</v>
      </c>
      <c r="C305" s="68">
        <f>SUM(Table16[[#This Row],[September 30, 2025]:[Column18]])</f>
        <v>110</v>
      </c>
      <c r="D305">
        <f>_xlfn.XLOOKUP(Table16[[#This Row],[Name]],Table4[Name],Table4[Points],"DNP",0,1)</f>
        <v>50</v>
      </c>
      <c r="E305">
        <f>_xlfn.XLOOKUP(Table16[[#This Row],[Name]],Table9[Name],Table9[Points],"DNP",0,1)</f>
        <v>4</v>
      </c>
      <c r="F305" t="str">
        <f>_xlfn.XLOOKUP(Table16[[#This Row],[Name]],Table18[Name],Table18[Points],"DNP",0,1)</f>
        <v>DNP</v>
      </c>
      <c r="G305">
        <f>_xlfn.XLOOKUP(Table16[[#This Row],[Name]],Table2[Name],Table2[Points],"DNP",0,1)</f>
        <v>4</v>
      </c>
      <c r="H305">
        <f>_xlfn.XLOOKUP(Table16[[#This Row],[Name]],Table211[Name],Table211[Points],"DNP",0,1)</f>
        <v>1</v>
      </c>
      <c r="I305">
        <f>_xlfn.XLOOKUP(Table16[[#This Row],[Name]],Table21112[Name],Table21112[Points],"DNP",0,1)</f>
        <v>8</v>
      </c>
      <c r="J305">
        <f>_xlfn.XLOOKUP(Table16[[#This Row],[Name]],Table21112164[Name],Table21112164[Points],"DNP",0,1)</f>
        <v>1</v>
      </c>
      <c r="K305">
        <f>_xlfn.XLOOKUP(Table16[[#This Row],[Name]],Table2111216420[Name],Table2111216420[Points],"DNP",0,1)</f>
        <v>1</v>
      </c>
      <c r="L305">
        <f>_xlfn.XLOOKUP(Table16[[#This Row],[Name]],Table211121642021[Name],Table211121642021[Points],"DNP",0,1)</f>
        <v>4</v>
      </c>
      <c r="M305">
        <f>_xlfn.XLOOKUP(Table16[[#This Row],[Name]],Table21112164202122[Name],Table21112164202122[Points],"DNP",0,1)</f>
        <v>20</v>
      </c>
      <c r="N305" t="str">
        <f>_xlfn.XLOOKUP(Table16[[#This Row],[Name]],Table2111216420212223[Name],Table2111216420212223[Points],"DNP",0,1)</f>
        <v>DNP</v>
      </c>
      <c r="O305">
        <f>_xlfn.XLOOKUP(Table16[[#This Row],[Name]],Table211121642021222325[Name],Table211121642021222325[Points],"DNP",0,1)</f>
        <v>2</v>
      </c>
      <c r="P305">
        <f>_xlfn.XLOOKUP(Table16[[#This Row],[Name]],Table21112164202122232534[Name],Table21112164202122232534[Points],"DNP",0,1)</f>
        <v>1</v>
      </c>
      <c r="Q305">
        <f>_xlfn.XLOOKUP(Table16[[#This Row],[Name]],Table2111216420212223253435[Name],Table2111216420212223253435[Points],"DNP",0,1)</f>
        <v>2</v>
      </c>
      <c r="R305">
        <f>_xlfn.XLOOKUP(Table16[[#This Row],[Name]],Table211121642021222325343536[Name],Table211121642021222325343536[Points],"DNP",0,1)</f>
        <v>8</v>
      </c>
      <c r="S305">
        <f>_xlfn.XLOOKUP(Table16[[#This Row],[Name]],Table21112164202122232534353637[Name],Table21112164202122232534353637[Points],"DNP",0,1)</f>
        <v>1</v>
      </c>
      <c r="T305">
        <f>_xlfn.XLOOKUP(Table16[[#This Row],[Name]],Table2111216420212223253435363738[Name],Table2111216420212223253435363738[Points],"DNP",0,1)</f>
        <v>1</v>
      </c>
      <c r="U305">
        <f>_xlfn.XLOOKUP(Table16[[#This Row],[Name]],Table2111216420212223253435363739[Name],Table2111216420212223253435363739[Points],"DNP",0,1)</f>
        <v>1</v>
      </c>
      <c r="V305">
        <f>_xlfn.XLOOKUP(Table16[[#This Row],[Name]],Table211121642021222325343536373841[Name],Table211121642021222325343536373841[Points],"DNP",0,1)</f>
        <v>1</v>
      </c>
    </row>
    <row r="306" spans="2:22">
      <c r="B306" t="str">
        <f>IFERROR(Table5[[#This Row],[Full name]],"")</f>
        <v>Sarmad Siddiqui</v>
      </c>
      <c r="C306" s="68">
        <f>SUM(Table16[[#This Row],[September 30, 2025]:[Column18]])</f>
        <v>14</v>
      </c>
      <c r="D306">
        <f>_xlfn.XLOOKUP(Table16[[#This Row],[Name]],Table4[Name],Table4[Points],"DNP",0,1)</f>
        <v>10</v>
      </c>
      <c r="E306" t="str">
        <f>_xlfn.XLOOKUP(Table16[[#This Row],[Name]],Table9[Name],Table9[Points],"DNP",0,1)</f>
        <v>DNP</v>
      </c>
      <c r="F306" t="str">
        <f>_xlfn.XLOOKUP(Table16[[#This Row],[Name]],Table18[Name],Table18[Points],"DNP",0,1)</f>
        <v>DNP</v>
      </c>
      <c r="G306" t="str">
        <f>_xlfn.XLOOKUP(Table16[[#This Row],[Name]],Table2[Name],Table2[Points],"DNP",0,1)</f>
        <v>DNP</v>
      </c>
      <c r="H306" t="str">
        <f>_xlfn.XLOOKUP(Table16[[#This Row],[Name]],Table211[Name],Table211[Points],"DNP",0,1)</f>
        <v>DNP</v>
      </c>
      <c r="I306" t="str">
        <f>_xlfn.XLOOKUP(Table16[[#This Row],[Name]],Table21112[Name],Table21112[Points],"DNP",0,1)</f>
        <v>DNP</v>
      </c>
      <c r="J306" t="str">
        <f>_xlfn.XLOOKUP(Table16[[#This Row],[Name]],Table21112164[Name],Table21112164[Points],"DNP",0,1)</f>
        <v>DNP</v>
      </c>
      <c r="K306" t="str">
        <f>_xlfn.XLOOKUP(Table16[[#This Row],[Name]],Table2111216420[Name],Table2111216420[Points],"DNP",0,1)</f>
        <v>DNP</v>
      </c>
      <c r="L306" t="str">
        <f>_xlfn.XLOOKUP(Table16[[#This Row],[Name]],Table211121642021[Name],Table211121642021[Points],"DNP",0,1)</f>
        <v>DNP</v>
      </c>
      <c r="M306">
        <f>_xlfn.XLOOKUP(Table16[[#This Row],[Name]],Table21112164202122[Name],Table21112164202122[Points],"DNP",0,1)</f>
        <v>4</v>
      </c>
      <c r="N306" t="str">
        <f>_xlfn.XLOOKUP(Table16[[#This Row],[Name]],Table2111216420212223[Name],Table2111216420212223[Points],"DNP",0,1)</f>
        <v>DNP</v>
      </c>
      <c r="O306" t="str">
        <f>_xlfn.XLOOKUP(Table16[[#This Row],[Name]],Table211121642021222325[Name],Table211121642021222325[Points],"DNP",0,1)</f>
        <v>DNP</v>
      </c>
      <c r="P306" t="str">
        <f>_xlfn.XLOOKUP(Table16[[#This Row],[Name]],Table21112164202122232534[Name],Table21112164202122232534[Points],"DNP",0,1)</f>
        <v>DNP</v>
      </c>
      <c r="Q306" t="str">
        <f>_xlfn.XLOOKUP(Table16[[#This Row],[Name]],Table2111216420212223253435[Name],Table2111216420212223253435[Points],"DNP",0,1)</f>
        <v>DNP</v>
      </c>
      <c r="R306" t="str">
        <f>_xlfn.XLOOKUP(Table16[[#This Row],[Name]],Table211121642021222325343536[Name],Table211121642021222325343536[Points],"DNP",0,1)</f>
        <v>DNP</v>
      </c>
      <c r="S306" t="str">
        <f>_xlfn.XLOOKUP(Table16[[#This Row],[Name]],Table21112164202122232534353637[Name],Table21112164202122232534353637[Points],"DNP",0,1)</f>
        <v>DNP</v>
      </c>
      <c r="T306" t="str">
        <f>_xlfn.XLOOKUP(Table16[[#This Row],[Name]],Table2111216420212223253435363738[Name],Table2111216420212223253435363738[Points],"DNP",0,1)</f>
        <v>DNP</v>
      </c>
      <c r="U306" t="str">
        <f>_xlfn.XLOOKUP(Table16[[#This Row],[Name]],Table2111216420212223253435363739[Name],Table2111216420212223253435363739[Points],"DNP",0,1)</f>
        <v>DNP</v>
      </c>
      <c r="V306" t="str">
        <f>_xlfn.XLOOKUP(Table16[[#This Row],[Name]],Table211121642021222325343536373841[Name],Table211121642021222325343536373841[Points],"DNP",0,1)</f>
        <v>DNP</v>
      </c>
    </row>
    <row r="307" spans="2:22">
      <c r="B307" t="str">
        <f>IFERROR(Table5[[#This Row],[Full name]],"")</f>
        <v>Sebastian Hamilton</v>
      </c>
      <c r="C307" s="68">
        <f>SUM(Table16[[#This Row],[September 30, 2025]:[Column18]])</f>
        <v>0</v>
      </c>
      <c r="D307" t="str">
        <f>_xlfn.XLOOKUP(Table16[[#This Row],[Name]],Table4[Name],Table4[Points],"DNP",0,1)</f>
        <v>DNP</v>
      </c>
      <c r="E307" t="str">
        <f>_xlfn.XLOOKUP(Table16[[#This Row],[Name]],Table9[Name],Table9[Points],"DNP",0,1)</f>
        <v>DNP</v>
      </c>
      <c r="F307" t="str">
        <f>_xlfn.XLOOKUP(Table16[[#This Row],[Name]],Table18[Name],Table18[Points],"DNP",0,1)</f>
        <v>DNP</v>
      </c>
      <c r="G307" t="str">
        <f>_xlfn.XLOOKUP(Table16[[#This Row],[Name]],Table2[Name],Table2[Points],"DNP",0,1)</f>
        <v>DNP</v>
      </c>
      <c r="H307" t="str">
        <f>_xlfn.XLOOKUP(Table16[[#This Row],[Name]],Table211[Name],Table211[Points],"DNP",0,1)</f>
        <v>DNP</v>
      </c>
      <c r="I307" t="str">
        <f>_xlfn.XLOOKUP(Table16[[#This Row],[Name]],Table21112[Name],Table21112[Points],"DNP",0,1)</f>
        <v>DNP</v>
      </c>
      <c r="J307" t="str">
        <f>_xlfn.XLOOKUP(Table16[[#This Row],[Name]],Table21112164[Name],Table21112164[Points],"DNP",0,1)</f>
        <v>DNP</v>
      </c>
      <c r="K307" t="str">
        <f>_xlfn.XLOOKUP(Table16[[#This Row],[Name]],Table2111216420[Name],Table2111216420[Points],"DNP",0,1)</f>
        <v>DNP</v>
      </c>
      <c r="L307" t="str">
        <f>_xlfn.XLOOKUP(Table16[[#This Row],[Name]],Table211121642021[Name],Table211121642021[Points],"DNP",0,1)</f>
        <v>DNP</v>
      </c>
      <c r="M307" t="str">
        <f>_xlfn.XLOOKUP(Table16[[#This Row],[Name]],Table21112164202122[Name],Table21112164202122[Points],"DNP",0,1)</f>
        <v>DNP</v>
      </c>
      <c r="N307" t="str">
        <f>_xlfn.XLOOKUP(Table16[[#This Row],[Name]],Table2111216420212223[Name],Table2111216420212223[Points],"DNP",0,1)</f>
        <v>DNP</v>
      </c>
      <c r="O307" t="str">
        <f>_xlfn.XLOOKUP(Table16[[#This Row],[Name]],Table211121642021222325[Name],Table211121642021222325[Points],"DNP",0,1)</f>
        <v>DNP</v>
      </c>
      <c r="P307" t="str">
        <f>_xlfn.XLOOKUP(Table16[[#This Row],[Name]],Table21112164202122232534[Name],Table21112164202122232534[Points],"DNP",0,1)</f>
        <v>DNP</v>
      </c>
      <c r="Q307" t="str">
        <f>_xlfn.XLOOKUP(Table16[[#This Row],[Name]],Table2111216420212223253435[Name],Table2111216420212223253435[Points],"DNP",0,1)</f>
        <v>DNP</v>
      </c>
      <c r="R307" t="str">
        <f>_xlfn.XLOOKUP(Table16[[#This Row],[Name]],Table211121642021222325343536[Name],Table211121642021222325343536[Points],"DNP",0,1)</f>
        <v>DNP</v>
      </c>
      <c r="S307" t="str">
        <f>_xlfn.XLOOKUP(Table16[[#This Row],[Name]],Table21112164202122232534353637[Name],Table21112164202122232534353637[Points],"DNP",0,1)</f>
        <v>DNP</v>
      </c>
      <c r="T307" t="str">
        <f>_xlfn.XLOOKUP(Table16[[#This Row],[Name]],Table2111216420212223253435363738[Name],Table2111216420212223253435363738[Points],"DNP",0,1)</f>
        <v>DNP</v>
      </c>
      <c r="U307" t="str">
        <f>_xlfn.XLOOKUP(Table16[[#This Row],[Name]],Table2111216420212223253435363739[Name],Table2111216420212223253435363739[Points],"DNP",0,1)</f>
        <v>DNP</v>
      </c>
      <c r="V307" t="str">
        <f>_xlfn.XLOOKUP(Table16[[#This Row],[Name]],Table211121642021222325343536373841[Name],Table211121642021222325343536373841[Points],"DNP",0,1)</f>
        <v>DNP</v>
      </c>
    </row>
    <row r="308" spans="2:22">
      <c r="B308" t="str">
        <f>IFERROR(Table5[[#This Row],[Full name]],"")</f>
        <v>Seren Kalfa</v>
      </c>
      <c r="C308" s="68">
        <f>SUM(Table16[[#This Row],[September 30, 2025]:[Column18]])</f>
        <v>2</v>
      </c>
      <c r="D308" t="str">
        <f>_xlfn.XLOOKUP(Table16[[#This Row],[Name]],Table4[Name],Table4[Points],"DNP",0,1)</f>
        <v>DNP</v>
      </c>
      <c r="E308" t="str">
        <f>_xlfn.XLOOKUP(Table16[[#This Row],[Name]],Table9[Name],Table9[Points],"DNP",0,1)</f>
        <v>DNP</v>
      </c>
      <c r="F308" t="str">
        <f>_xlfn.XLOOKUP(Table16[[#This Row],[Name]],Table18[Name],Table18[Points],"DNP",0,1)</f>
        <v>DNP</v>
      </c>
      <c r="G308" t="str">
        <f>_xlfn.XLOOKUP(Table16[[#This Row],[Name]],Table2[Name],Table2[Points],"DNP",0,1)</f>
        <v>DNP</v>
      </c>
      <c r="H308" t="str">
        <f>_xlfn.XLOOKUP(Table16[[#This Row],[Name]],Table211[Name],Table211[Points],"DNP",0,1)</f>
        <v>DNP</v>
      </c>
      <c r="I308" t="str">
        <f>_xlfn.XLOOKUP(Table16[[#This Row],[Name]],Table21112[Name],Table21112[Points],"DNP",0,1)</f>
        <v>DNP</v>
      </c>
      <c r="J308" t="str">
        <f>_xlfn.XLOOKUP(Table16[[#This Row],[Name]],Table21112164[Name],Table21112164[Points],"DNP",0,1)</f>
        <v>DNP</v>
      </c>
      <c r="K308" t="str">
        <f>_xlfn.XLOOKUP(Table16[[#This Row],[Name]],Table2111216420[Name],Table2111216420[Points],"DNP",0,1)</f>
        <v>DNP</v>
      </c>
      <c r="L308" t="str">
        <f>_xlfn.XLOOKUP(Table16[[#This Row],[Name]],Table211121642021[Name],Table211121642021[Points],"DNP",0,1)</f>
        <v>DNP</v>
      </c>
      <c r="M308" t="str">
        <f>_xlfn.XLOOKUP(Table16[[#This Row],[Name]],Table21112164202122[Name],Table21112164202122[Points],"DNP",0,1)</f>
        <v>DNP</v>
      </c>
      <c r="N308" t="str">
        <f>_xlfn.XLOOKUP(Table16[[#This Row],[Name]],Table2111216420212223[Name],Table2111216420212223[Points],"DNP",0,1)</f>
        <v>DNP</v>
      </c>
      <c r="O308">
        <f>_xlfn.XLOOKUP(Table16[[#This Row],[Name]],Table211121642021222325[Name],Table211121642021222325[Points],"DNP",0,1)</f>
        <v>1</v>
      </c>
      <c r="P308">
        <f>_xlfn.XLOOKUP(Table16[[#This Row],[Name]],Table21112164202122232534[Name],Table21112164202122232534[Points],"DNP",0,1)</f>
        <v>1</v>
      </c>
      <c r="Q308" t="str">
        <f>_xlfn.XLOOKUP(Table16[[#This Row],[Name]],Table2111216420212223253435[Name],Table2111216420212223253435[Points],"DNP",0,1)</f>
        <v>DNP</v>
      </c>
      <c r="R308" t="str">
        <f>_xlfn.XLOOKUP(Table16[[#This Row],[Name]],Table211121642021222325343536[Name],Table211121642021222325343536[Points],"DNP",0,1)</f>
        <v>DNP</v>
      </c>
      <c r="S308" t="str">
        <f>_xlfn.XLOOKUP(Table16[[#This Row],[Name]],Table21112164202122232534353637[Name],Table21112164202122232534353637[Points],"DNP",0,1)</f>
        <v>DNP</v>
      </c>
      <c r="T308" t="str">
        <f>_xlfn.XLOOKUP(Table16[[#This Row],[Name]],Table2111216420212223253435363738[Name],Table2111216420212223253435363738[Points],"DNP",0,1)</f>
        <v>DNP</v>
      </c>
      <c r="U308" t="str">
        <f>_xlfn.XLOOKUP(Table16[[#This Row],[Name]],Table2111216420212223253435363739[Name],Table2111216420212223253435363739[Points],"DNP",0,1)</f>
        <v>DNP</v>
      </c>
      <c r="V308" t="str">
        <f>_xlfn.XLOOKUP(Table16[[#This Row],[Name]],Table211121642021222325343536373841[Name],Table211121642021222325343536373841[Points],"DNP",0,1)</f>
        <v>DNP</v>
      </c>
    </row>
    <row r="309" spans="2:22">
      <c r="B309" t="str">
        <f>IFERROR(Table5[[#This Row],[Full name]],"")</f>
        <v>Shanbir Hira</v>
      </c>
      <c r="C309" s="68">
        <f>SUM(Table16[[#This Row],[September 30, 2025]:[Column18]])</f>
        <v>9</v>
      </c>
      <c r="D309" t="str">
        <f>_xlfn.XLOOKUP(Table16[[#This Row],[Name]],Table4[Name],Table4[Points],"DNP",0,1)</f>
        <v>DNP</v>
      </c>
      <c r="E309" t="str">
        <f>_xlfn.XLOOKUP(Table16[[#This Row],[Name]],Table9[Name],Table9[Points],"DNP",0,1)</f>
        <v>DNP</v>
      </c>
      <c r="F309" t="str">
        <f>_xlfn.XLOOKUP(Table16[[#This Row],[Name]],Table18[Name],Table18[Points],"DNP",0,1)</f>
        <v>DNP</v>
      </c>
      <c r="G309" t="str">
        <f>_xlfn.XLOOKUP(Table16[[#This Row],[Name]],Table2[Name],Table2[Points],"DNP",0,1)</f>
        <v>DNP</v>
      </c>
      <c r="H309" t="str">
        <f>_xlfn.XLOOKUP(Table16[[#This Row],[Name]],Table211[Name],Table211[Points],"DNP",0,1)</f>
        <v>DNP</v>
      </c>
      <c r="I309">
        <f>_xlfn.XLOOKUP(Table16[[#This Row],[Name]],Table21112[Name],Table21112[Points],"DNP",0,1)</f>
        <v>1</v>
      </c>
      <c r="J309">
        <f>_xlfn.XLOOKUP(Table16[[#This Row],[Name]],Table21112164[Name],Table21112164[Points],"DNP",0,1)</f>
        <v>8</v>
      </c>
      <c r="K309" t="str">
        <f>_xlfn.XLOOKUP(Table16[[#This Row],[Name]],Table2111216420[Name],Table2111216420[Points],"DNP",0,1)</f>
        <v>DNP</v>
      </c>
      <c r="L309" t="str">
        <f>_xlfn.XLOOKUP(Table16[[#This Row],[Name]],Table211121642021[Name],Table211121642021[Points],"DNP",0,1)</f>
        <v>DNP</v>
      </c>
      <c r="M309" t="str">
        <f>_xlfn.XLOOKUP(Table16[[#This Row],[Name]],Table21112164202122[Name],Table21112164202122[Points],"DNP",0,1)</f>
        <v>DNP</v>
      </c>
      <c r="N309" t="str">
        <f>_xlfn.XLOOKUP(Table16[[#This Row],[Name]],Table2111216420212223[Name],Table2111216420212223[Points],"DNP",0,1)</f>
        <v>DNP</v>
      </c>
      <c r="O309" t="str">
        <f>_xlfn.XLOOKUP(Table16[[#This Row],[Name]],Table211121642021222325[Name],Table211121642021222325[Points],"DNP",0,1)</f>
        <v>DNP</v>
      </c>
      <c r="P309" t="str">
        <f>_xlfn.XLOOKUP(Table16[[#This Row],[Name]],Table21112164202122232534[Name],Table21112164202122232534[Points],"DNP",0,1)</f>
        <v>DNP</v>
      </c>
      <c r="Q309" t="str">
        <f>_xlfn.XLOOKUP(Table16[[#This Row],[Name]],Table2111216420212223253435[Name],Table2111216420212223253435[Points],"DNP",0,1)</f>
        <v>DNP</v>
      </c>
      <c r="R309" t="str">
        <f>_xlfn.XLOOKUP(Table16[[#This Row],[Name]],Table211121642021222325343536[Name],Table211121642021222325343536[Points],"DNP",0,1)</f>
        <v>DNP</v>
      </c>
      <c r="S309" t="str">
        <f>_xlfn.XLOOKUP(Table16[[#This Row],[Name]],Table21112164202122232534353637[Name],Table21112164202122232534353637[Points],"DNP",0,1)</f>
        <v>DNP</v>
      </c>
      <c r="T309" t="str">
        <f>_xlfn.XLOOKUP(Table16[[#This Row],[Name]],Table2111216420212223253435363738[Name],Table2111216420212223253435363738[Points],"DNP",0,1)</f>
        <v>DNP</v>
      </c>
      <c r="U309" t="str">
        <f>_xlfn.XLOOKUP(Table16[[#This Row],[Name]],Table2111216420212223253435363739[Name],Table2111216420212223253435363739[Points],"DNP",0,1)</f>
        <v>DNP</v>
      </c>
      <c r="V309" t="str">
        <f>_xlfn.XLOOKUP(Table16[[#This Row],[Name]],Table211121642021222325343536373841[Name],Table211121642021222325343536373841[Points],"DNP",0,1)</f>
        <v>DNP</v>
      </c>
    </row>
    <row r="310" spans="2:22">
      <c r="B310" t="str">
        <f>IFERROR(Table5[[#This Row],[Full name]],"")</f>
        <v>Shayaan Tanvir</v>
      </c>
      <c r="C310" s="68">
        <f>SUM(Table16[[#This Row],[September 30, 2025]:[Column18]])</f>
        <v>26</v>
      </c>
      <c r="D310" t="str">
        <f>_xlfn.XLOOKUP(Table16[[#This Row],[Name]],Table4[Name],Table4[Points],"DNP",0,1)</f>
        <v>DNP</v>
      </c>
      <c r="E310" t="str">
        <f>_xlfn.XLOOKUP(Table16[[#This Row],[Name]],Table9[Name],Table9[Points],"DNP",0,1)</f>
        <v>DNP</v>
      </c>
      <c r="F310" t="str">
        <f>_xlfn.XLOOKUP(Table16[[#This Row],[Name]],Table18[Name],Table18[Points],"DNP",0,1)</f>
        <v>DNP</v>
      </c>
      <c r="G310" t="str">
        <f>_xlfn.XLOOKUP(Table16[[#This Row],[Name]],Table2[Name],Table2[Points],"DNP",0,1)</f>
        <v>DNP</v>
      </c>
      <c r="H310" t="str">
        <f>_xlfn.XLOOKUP(Table16[[#This Row],[Name]],Table211[Name],Table211[Points],"DNP",0,1)</f>
        <v>DNP</v>
      </c>
      <c r="I310" t="str">
        <f>_xlfn.XLOOKUP(Table16[[#This Row],[Name]],Table21112[Name],Table21112[Points],"DNP",0,1)</f>
        <v>DNP</v>
      </c>
      <c r="J310" t="str">
        <f>_xlfn.XLOOKUP(Table16[[#This Row],[Name]],Table21112164[Name],Table21112164[Points],"DNP",0,1)</f>
        <v>DNP</v>
      </c>
      <c r="K310" t="str">
        <f>_xlfn.XLOOKUP(Table16[[#This Row],[Name]],Table2111216420[Name],Table2111216420[Points],"DNP",0,1)</f>
        <v>DNP</v>
      </c>
      <c r="L310">
        <f>_xlfn.XLOOKUP(Table16[[#This Row],[Name]],Table211121642021[Name],Table211121642021[Points],"DNP",0,1)</f>
        <v>2</v>
      </c>
      <c r="M310">
        <f>_xlfn.XLOOKUP(Table16[[#This Row],[Name]],Table21112164202122[Name],Table21112164202122[Points],"DNP",0,1)</f>
        <v>2</v>
      </c>
      <c r="N310">
        <f>_xlfn.XLOOKUP(Table16[[#This Row],[Name]],Table2111216420212223[Name],Table2111216420212223[Points],"DNP",0,1)</f>
        <v>3</v>
      </c>
      <c r="O310">
        <f>_xlfn.XLOOKUP(Table16[[#This Row],[Name]],Table211121642021222325[Name],Table211121642021222325[Points],"DNP",0,1)</f>
        <v>4</v>
      </c>
      <c r="P310">
        <f>_xlfn.XLOOKUP(Table16[[#This Row],[Name]],Table21112164202122232534[Name],Table21112164202122232534[Points],"DNP",0,1)</f>
        <v>2</v>
      </c>
      <c r="Q310">
        <f>_xlfn.XLOOKUP(Table16[[#This Row],[Name]],Table2111216420212223253435[Name],Table2111216420212223253435[Points],"DNP",0,1)</f>
        <v>1</v>
      </c>
      <c r="R310">
        <f>_xlfn.XLOOKUP(Table16[[#This Row],[Name]],Table211121642021222325343536[Name],Table211121642021222325343536[Points],"DNP",0,1)</f>
        <v>1</v>
      </c>
      <c r="S310" t="str">
        <f>_xlfn.XLOOKUP(Table16[[#This Row],[Name]],Table21112164202122232534353637[Name],Table21112164202122232534353637[Points],"DNP",0,1)</f>
        <v>DNP</v>
      </c>
      <c r="T310" t="str">
        <f>_xlfn.XLOOKUP(Table16[[#This Row],[Name]],Table2111216420212223253435363738[Name],Table2111216420212223253435363738[Points],"DNP",0,1)</f>
        <v>DNP</v>
      </c>
      <c r="U310">
        <f>_xlfn.XLOOKUP(Table16[[#This Row],[Name]],Table2111216420212223253435363739[Name],Table2111216420212223253435363739[Points],"DNP",0,1)</f>
        <v>1</v>
      </c>
      <c r="V310">
        <f>_xlfn.XLOOKUP(Table16[[#This Row],[Name]],Table211121642021222325343536373841[Name],Table211121642021222325343536373841[Points],"DNP",0,1)</f>
        <v>10</v>
      </c>
    </row>
    <row r="311" spans="2:22">
      <c r="B311" t="str">
        <f>IFERROR(Table5[[#This Row],[Full name]],"")</f>
        <v>Shayan Ahmed</v>
      </c>
      <c r="C311" s="68">
        <f>SUM(Table16[[#This Row],[September 30, 2025]:[Column18]])</f>
        <v>17</v>
      </c>
      <c r="D311">
        <f>_xlfn.XLOOKUP(Table16[[#This Row],[Name]],Table4[Name],Table4[Points],"DNP",0,1)</f>
        <v>1</v>
      </c>
      <c r="E311" t="str">
        <f>_xlfn.XLOOKUP(Table16[[#This Row],[Name]],Table9[Name],Table9[Points],"DNP",0,1)</f>
        <v>DNP</v>
      </c>
      <c r="F311">
        <f>_xlfn.XLOOKUP(Table16[[#This Row],[Name]],Table18[Name],Table18[Points],"DNP",0,1)</f>
        <v>2</v>
      </c>
      <c r="G311">
        <f>_xlfn.XLOOKUP(Table16[[#This Row],[Name]],Table2[Name],Table2[Points],"DNP",0,1)</f>
        <v>10</v>
      </c>
      <c r="H311" t="str">
        <f>_xlfn.XLOOKUP(Table16[[#This Row],[Name]],Table211[Name],Table211[Points],"DNP",0,1)</f>
        <v>DNP</v>
      </c>
      <c r="I311" t="str">
        <f>_xlfn.XLOOKUP(Table16[[#This Row],[Name]],Table21112[Name],Table21112[Points],"DNP",0,1)</f>
        <v>DNP</v>
      </c>
      <c r="J311" t="str">
        <f>_xlfn.XLOOKUP(Table16[[#This Row],[Name]],Table21112164[Name],Table21112164[Points],"DNP",0,1)</f>
        <v>DNP</v>
      </c>
      <c r="K311" t="str">
        <f>_xlfn.XLOOKUP(Table16[[#This Row],[Name]],Table2111216420[Name],Table2111216420[Points],"DNP",0,1)</f>
        <v>DNP</v>
      </c>
      <c r="L311" t="str">
        <f>_xlfn.XLOOKUP(Table16[[#This Row],[Name]],Table211121642021[Name],Table211121642021[Points],"DNP",0,1)</f>
        <v>DNP</v>
      </c>
      <c r="M311" t="str">
        <f>_xlfn.XLOOKUP(Table16[[#This Row],[Name]],Table21112164202122[Name],Table21112164202122[Points],"DNP",0,1)</f>
        <v>DNP</v>
      </c>
      <c r="N311" t="str">
        <f>_xlfn.XLOOKUP(Table16[[#This Row],[Name]],Table2111216420212223[Name],Table2111216420212223[Points],"DNP",0,1)</f>
        <v>DNP</v>
      </c>
      <c r="O311" t="str">
        <f>_xlfn.XLOOKUP(Table16[[#This Row],[Name]],Table211121642021222325[Name],Table211121642021222325[Points],"DNP",0,1)</f>
        <v>DNP</v>
      </c>
      <c r="P311">
        <f>_xlfn.XLOOKUP(Table16[[#This Row],[Name]],Table21112164202122232534[Name],Table21112164202122232534[Points],"DNP",0,1)</f>
        <v>4</v>
      </c>
      <c r="Q311" t="str">
        <f>_xlfn.XLOOKUP(Table16[[#This Row],[Name]],Table2111216420212223253435[Name],Table2111216420212223253435[Points],"DNP",0,1)</f>
        <v>DNP</v>
      </c>
      <c r="R311" t="str">
        <f>_xlfn.XLOOKUP(Table16[[#This Row],[Name]],Table211121642021222325343536[Name],Table211121642021222325343536[Points],"DNP",0,1)</f>
        <v>DNP</v>
      </c>
      <c r="S311" t="str">
        <f>_xlfn.XLOOKUP(Table16[[#This Row],[Name]],Table21112164202122232534353637[Name],Table21112164202122232534353637[Points],"DNP",0,1)</f>
        <v>DNP</v>
      </c>
      <c r="T311" t="str">
        <f>_xlfn.XLOOKUP(Table16[[#This Row],[Name]],Table2111216420212223253435363738[Name],Table2111216420212223253435363738[Points],"DNP",0,1)</f>
        <v>DNP</v>
      </c>
      <c r="U311" t="str">
        <f>_xlfn.XLOOKUP(Table16[[#This Row],[Name]],Table2111216420212223253435363739[Name],Table2111216420212223253435363739[Points],"DNP",0,1)</f>
        <v>DNP</v>
      </c>
      <c r="V311" t="str">
        <f>_xlfn.XLOOKUP(Table16[[#This Row],[Name]],Table211121642021222325343536373841[Name],Table211121642021222325343536373841[Points],"DNP",0,1)</f>
        <v>DNP</v>
      </c>
    </row>
    <row r="312" spans="2:22">
      <c r="B312" t="str">
        <f>IFERROR(Table5[[#This Row],[Full name]],"")</f>
        <v>Shiyu Sun</v>
      </c>
      <c r="C312" s="68">
        <f>SUM(Table16[[#This Row],[September 30, 2025]:[Column18]])</f>
        <v>1</v>
      </c>
      <c r="D312" t="str">
        <f>_xlfn.XLOOKUP(Table16[[#This Row],[Name]],Table4[Name],Table4[Points],"DNP",0,1)</f>
        <v>DNP</v>
      </c>
      <c r="E312" t="str">
        <f>_xlfn.XLOOKUP(Table16[[#This Row],[Name]],Table9[Name],Table9[Points],"DNP",0,1)</f>
        <v>DNP</v>
      </c>
      <c r="F312" t="str">
        <f>_xlfn.XLOOKUP(Table16[[#This Row],[Name]],Table18[Name],Table18[Points],"DNP",0,1)</f>
        <v>DNP</v>
      </c>
      <c r="G312" t="str">
        <f>_xlfn.XLOOKUP(Table16[[#This Row],[Name]],Table2[Name],Table2[Points],"DNP",0,1)</f>
        <v>DNP</v>
      </c>
      <c r="H312" t="str">
        <f>_xlfn.XLOOKUP(Table16[[#This Row],[Name]],Table211[Name],Table211[Points],"DNP",0,1)</f>
        <v>DNP</v>
      </c>
      <c r="I312" t="str">
        <f>_xlfn.XLOOKUP(Table16[[#This Row],[Name]],Table21112[Name],Table21112[Points],"DNP",0,1)</f>
        <v>DNP</v>
      </c>
      <c r="J312" t="str">
        <f>_xlfn.XLOOKUP(Table16[[#This Row],[Name]],Table21112164[Name],Table21112164[Points],"DNP",0,1)</f>
        <v>DNP</v>
      </c>
      <c r="K312">
        <f>_xlfn.XLOOKUP(Table16[[#This Row],[Name]],Table2111216420[Name],Table2111216420[Points],"DNP",0,1)</f>
        <v>1</v>
      </c>
      <c r="L312" t="str">
        <f>_xlfn.XLOOKUP(Table16[[#This Row],[Name]],Table211121642021[Name],Table211121642021[Points],"DNP",0,1)</f>
        <v>DNP</v>
      </c>
      <c r="M312" t="str">
        <f>_xlfn.XLOOKUP(Table16[[#This Row],[Name]],Table21112164202122[Name],Table21112164202122[Points],"DNP",0,1)</f>
        <v>DNP</v>
      </c>
      <c r="N312" t="str">
        <f>_xlfn.XLOOKUP(Table16[[#This Row],[Name]],Table2111216420212223[Name],Table2111216420212223[Points],"DNP",0,1)</f>
        <v>DNP</v>
      </c>
      <c r="O312" t="str">
        <f>_xlfn.XLOOKUP(Table16[[#This Row],[Name]],Table211121642021222325[Name],Table211121642021222325[Points],"DNP",0,1)</f>
        <v>DNP</v>
      </c>
      <c r="P312" t="str">
        <f>_xlfn.XLOOKUP(Table16[[#This Row],[Name]],Table21112164202122232534[Name],Table21112164202122232534[Points],"DNP",0,1)</f>
        <v>DNP</v>
      </c>
      <c r="Q312" t="str">
        <f>_xlfn.XLOOKUP(Table16[[#This Row],[Name]],Table2111216420212223253435[Name],Table2111216420212223253435[Points],"DNP",0,1)</f>
        <v>DNP</v>
      </c>
      <c r="R312" t="str">
        <f>_xlfn.XLOOKUP(Table16[[#This Row],[Name]],Table211121642021222325343536[Name],Table211121642021222325343536[Points],"DNP",0,1)</f>
        <v>DNP</v>
      </c>
      <c r="S312" t="str">
        <f>_xlfn.XLOOKUP(Table16[[#This Row],[Name]],Table21112164202122232534353637[Name],Table21112164202122232534353637[Points],"DNP",0,1)</f>
        <v>DNP</v>
      </c>
      <c r="T312" t="str">
        <f>_xlfn.XLOOKUP(Table16[[#This Row],[Name]],Table2111216420212223253435363738[Name],Table2111216420212223253435363738[Points],"DNP",0,1)</f>
        <v>DNP</v>
      </c>
      <c r="U312" t="str">
        <f>_xlfn.XLOOKUP(Table16[[#This Row],[Name]],Table2111216420212223253435363739[Name],Table2111216420212223253435363739[Points],"DNP",0,1)</f>
        <v>DNP</v>
      </c>
      <c r="V312" t="str">
        <f>_xlfn.XLOOKUP(Table16[[#This Row],[Name]],Table211121642021222325343536373841[Name],Table211121642021222325343536373841[Points],"DNP",0,1)</f>
        <v>DNP</v>
      </c>
    </row>
    <row r="313" spans="2:22">
      <c r="B313" t="str">
        <f>IFERROR(Table5[[#This Row],[Full name]],"")</f>
        <v>Sierra Hermary</v>
      </c>
      <c r="C313" s="68">
        <f>SUM(Table16[[#This Row],[September 30, 2025]:[Column18]])</f>
        <v>0</v>
      </c>
      <c r="D313" t="str">
        <f>_xlfn.XLOOKUP(Table16[[#This Row],[Name]],Table4[Name],Table4[Points],"DNP",0,1)</f>
        <v>DNP</v>
      </c>
      <c r="E313" t="str">
        <f>_xlfn.XLOOKUP(Table16[[#This Row],[Name]],Table9[Name],Table9[Points],"DNP",0,1)</f>
        <v>DNP</v>
      </c>
      <c r="F313" t="str">
        <f>_xlfn.XLOOKUP(Table16[[#This Row],[Name]],Table18[Name],Table18[Points],"DNP",0,1)</f>
        <v>DNP</v>
      </c>
      <c r="G313" t="str">
        <f>_xlfn.XLOOKUP(Table16[[#This Row],[Name]],Table2[Name],Table2[Points],"DNP",0,1)</f>
        <v>DNP</v>
      </c>
      <c r="H313" t="str">
        <f>_xlfn.XLOOKUP(Table16[[#This Row],[Name]],Table211[Name],Table211[Points],"DNP",0,1)</f>
        <v>DNP</v>
      </c>
      <c r="I313" t="str">
        <f>_xlfn.XLOOKUP(Table16[[#This Row],[Name]],Table21112[Name],Table21112[Points],"DNP",0,1)</f>
        <v>DNP</v>
      </c>
      <c r="J313" t="str">
        <f>_xlfn.XLOOKUP(Table16[[#This Row],[Name]],Table21112164[Name],Table21112164[Points],"DNP",0,1)</f>
        <v>DNP</v>
      </c>
      <c r="K313" t="str">
        <f>_xlfn.XLOOKUP(Table16[[#This Row],[Name]],Table2111216420[Name],Table2111216420[Points],"DNP",0,1)</f>
        <v>DNP</v>
      </c>
      <c r="L313" t="str">
        <f>_xlfn.XLOOKUP(Table16[[#This Row],[Name]],Table211121642021[Name],Table211121642021[Points],"DNP",0,1)</f>
        <v>DNP</v>
      </c>
      <c r="M313" t="str">
        <f>_xlfn.XLOOKUP(Table16[[#This Row],[Name]],Table21112164202122[Name],Table21112164202122[Points],"DNP",0,1)</f>
        <v>DNP</v>
      </c>
      <c r="N313" t="str">
        <f>_xlfn.XLOOKUP(Table16[[#This Row],[Name]],Table2111216420212223[Name],Table2111216420212223[Points],"DNP",0,1)</f>
        <v>DNP</v>
      </c>
      <c r="O313" t="str">
        <f>_xlfn.XLOOKUP(Table16[[#This Row],[Name]],Table211121642021222325[Name],Table211121642021222325[Points],"DNP",0,1)</f>
        <v>DNP</v>
      </c>
      <c r="P313" t="str">
        <f>_xlfn.XLOOKUP(Table16[[#This Row],[Name]],Table21112164202122232534[Name],Table21112164202122232534[Points],"DNP",0,1)</f>
        <v>DNP</v>
      </c>
      <c r="Q313" t="str">
        <f>_xlfn.XLOOKUP(Table16[[#This Row],[Name]],Table2111216420212223253435[Name],Table2111216420212223253435[Points],"DNP",0,1)</f>
        <v>DNP</v>
      </c>
      <c r="R313" t="str">
        <f>_xlfn.XLOOKUP(Table16[[#This Row],[Name]],Table211121642021222325343536[Name],Table211121642021222325343536[Points],"DNP",0,1)</f>
        <v>DNP</v>
      </c>
      <c r="S313" t="str">
        <f>_xlfn.XLOOKUP(Table16[[#This Row],[Name]],Table21112164202122232534353637[Name],Table21112164202122232534353637[Points],"DNP",0,1)</f>
        <v>DNP</v>
      </c>
      <c r="T313" t="str">
        <f>_xlfn.XLOOKUP(Table16[[#This Row],[Name]],Table2111216420212223253435363738[Name],Table2111216420212223253435363738[Points],"DNP",0,1)</f>
        <v>DNP</v>
      </c>
      <c r="U313" t="str">
        <f>_xlfn.XLOOKUP(Table16[[#This Row],[Name]],Table2111216420212223253435363739[Name],Table2111216420212223253435363739[Points],"DNP",0,1)</f>
        <v>DNP</v>
      </c>
      <c r="V313" t="str">
        <f>_xlfn.XLOOKUP(Table16[[#This Row],[Name]],Table211121642021222325343536373841[Name],Table211121642021222325343536373841[Points],"DNP",0,1)</f>
        <v>DNP</v>
      </c>
    </row>
    <row r="314" spans="2:22">
      <c r="B314" t="str">
        <f>IFERROR(Table5[[#This Row],[Full name]],"")</f>
        <v>Spencer Bulley</v>
      </c>
      <c r="C314" s="68">
        <f>SUM(Table16[[#This Row],[September 30, 2025]:[Column18]])</f>
        <v>1</v>
      </c>
      <c r="D314" t="str">
        <f>_xlfn.XLOOKUP(Table16[[#This Row],[Name]],Table4[Name],Table4[Points],"DNP",0,1)</f>
        <v>DNP</v>
      </c>
      <c r="E314" t="str">
        <f>_xlfn.XLOOKUP(Table16[[#This Row],[Name]],Table9[Name],Table9[Points],"DNP",0,1)</f>
        <v>DNP</v>
      </c>
      <c r="F314">
        <f>_xlfn.XLOOKUP(Table16[[#This Row],[Name]],Table18[Name],Table18[Points],"DNP",0,1)</f>
        <v>1</v>
      </c>
      <c r="G314" t="str">
        <f>_xlfn.XLOOKUP(Table16[[#This Row],[Name]],Table2[Name],Table2[Points],"DNP",0,1)</f>
        <v>DNP</v>
      </c>
      <c r="H314" t="str">
        <f>_xlfn.XLOOKUP(Table16[[#This Row],[Name]],Table211[Name],Table211[Points],"DNP",0,1)</f>
        <v>DNP</v>
      </c>
      <c r="I314" t="str">
        <f>_xlfn.XLOOKUP(Table16[[#This Row],[Name]],Table21112[Name],Table21112[Points],"DNP",0,1)</f>
        <v>DNP</v>
      </c>
      <c r="J314" t="str">
        <f>_xlfn.XLOOKUP(Table16[[#This Row],[Name]],Table21112164[Name],Table21112164[Points],"DNP",0,1)</f>
        <v>DNP</v>
      </c>
      <c r="K314" t="str">
        <f>_xlfn.XLOOKUP(Table16[[#This Row],[Name]],Table2111216420[Name],Table2111216420[Points],"DNP",0,1)</f>
        <v>DNP</v>
      </c>
      <c r="L314" t="str">
        <f>_xlfn.XLOOKUP(Table16[[#This Row],[Name]],Table211121642021[Name],Table211121642021[Points],"DNP",0,1)</f>
        <v>DNP</v>
      </c>
      <c r="M314" t="str">
        <f>_xlfn.XLOOKUP(Table16[[#This Row],[Name]],Table21112164202122[Name],Table21112164202122[Points],"DNP",0,1)</f>
        <v>DNP</v>
      </c>
      <c r="N314" t="str">
        <f>_xlfn.XLOOKUP(Table16[[#This Row],[Name]],Table2111216420212223[Name],Table2111216420212223[Points],"DNP",0,1)</f>
        <v>DNP</v>
      </c>
      <c r="O314" t="str">
        <f>_xlfn.XLOOKUP(Table16[[#This Row],[Name]],Table211121642021222325[Name],Table211121642021222325[Points],"DNP",0,1)</f>
        <v>DNP</v>
      </c>
      <c r="P314" t="str">
        <f>_xlfn.XLOOKUP(Table16[[#This Row],[Name]],Table21112164202122232534[Name],Table21112164202122232534[Points],"DNP",0,1)</f>
        <v>DNP</v>
      </c>
      <c r="Q314" t="str">
        <f>_xlfn.XLOOKUP(Table16[[#This Row],[Name]],Table2111216420212223253435[Name],Table2111216420212223253435[Points],"DNP",0,1)</f>
        <v>DNP</v>
      </c>
      <c r="R314" t="str">
        <f>_xlfn.XLOOKUP(Table16[[#This Row],[Name]],Table211121642021222325343536[Name],Table211121642021222325343536[Points],"DNP",0,1)</f>
        <v>DNP</v>
      </c>
      <c r="S314" t="str">
        <f>_xlfn.XLOOKUP(Table16[[#This Row],[Name]],Table21112164202122232534353637[Name],Table21112164202122232534353637[Points],"DNP",0,1)</f>
        <v>DNP</v>
      </c>
      <c r="T314" t="str">
        <f>_xlfn.XLOOKUP(Table16[[#This Row],[Name]],Table2111216420212223253435363738[Name],Table2111216420212223253435363738[Points],"DNP",0,1)</f>
        <v>DNP</v>
      </c>
      <c r="U314" t="str">
        <f>_xlfn.XLOOKUP(Table16[[#This Row],[Name]],Table2111216420212223253435363739[Name],Table2111216420212223253435363739[Points],"DNP",0,1)</f>
        <v>DNP</v>
      </c>
      <c r="V314" t="str">
        <f>_xlfn.XLOOKUP(Table16[[#This Row],[Name]],Table211121642021222325343536373841[Name],Table211121642021222325343536373841[Points],"DNP",0,1)</f>
        <v>DNP</v>
      </c>
    </row>
    <row r="315" spans="2:22">
      <c r="B315" t="str">
        <f>IFERROR(Table5[[#This Row],[Full name]],"")</f>
        <v>Steven Kom</v>
      </c>
      <c r="C315" s="68">
        <f>SUM(Table16[[#This Row],[September 30, 2025]:[Column18]])</f>
        <v>3</v>
      </c>
      <c r="D315" t="str">
        <f>_xlfn.XLOOKUP(Table16[[#This Row],[Name]],Table4[Name],Table4[Points],"DNP",0,1)</f>
        <v>DNP</v>
      </c>
      <c r="E315">
        <f>_xlfn.XLOOKUP(Table16[[#This Row],[Name]],Table9[Name],Table9[Points],"DNP",0,1)</f>
        <v>1</v>
      </c>
      <c r="F315">
        <f>_xlfn.XLOOKUP(Table16[[#This Row],[Name]],Table18[Name],Table18[Points],"DNP",0,1)</f>
        <v>1</v>
      </c>
      <c r="G315" t="str">
        <f>_xlfn.XLOOKUP(Table16[[#This Row],[Name]],Table2[Name],Table2[Points],"DNP",0,1)</f>
        <v>DNP</v>
      </c>
      <c r="H315" t="str">
        <f>_xlfn.XLOOKUP(Table16[[#This Row],[Name]],Table211[Name],Table211[Points],"DNP",0,1)</f>
        <v>DNP</v>
      </c>
      <c r="I315" t="str">
        <f>_xlfn.XLOOKUP(Table16[[#This Row],[Name]],Table21112[Name],Table21112[Points],"DNP",0,1)</f>
        <v>DNP</v>
      </c>
      <c r="J315" t="str">
        <f>_xlfn.XLOOKUP(Table16[[#This Row],[Name]],Table21112164[Name],Table21112164[Points],"DNP",0,1)</f>
        <v>DNP</v>
      </c>
      <c r="K315" t="str">
        <f>_xlfn.XLOOKUP(Table16[[#This Row],[Name]],Table2111216420[Name],Table2111216420[Points],"DNP",0,1)</f>
        <v>DNP</v>
      </c>
      <c r="L315" t="str">
        <f>_xlfn.XLOOKUP(Table16[[#This Row],[Name]],Table211121642021[Name],Table211121642021[Points],"DNP",0,1)</f>
        <v>DNP</v>
      </c>
      <c r="M315" t="str">
        <f>_xlfn.XLOOKUP(Table16[[#This Row],[Name]],Table21112164202122[Name],Table21112164202122[Points],"DNP",0,1)</f>
        <v>DNP</v>
      </c>
      <c r="N315" t="str">
        <f>_xlfn.XLOOKUP(Table16[[#This Row],[Name]],Table2111216420212223[Name],Table2111216420212223[Points],"DNP",0,1)</f>
        <v>DNP</v>
      </c>
      <c r="O315" t="str">
        <f>_xlfn.XLOOKUP(Table16[[#This Row],[Name]],Table211121642021222325[Name],Table211121642021222325[Points],"DNP",0,1)</f>
        <v>DNP</v>
      </c>
      <c r="P315">
        <f>_xlfn.XLOOKUP(Table16[[#This Row],[Name]],Table21112164202122232534[Name],Table21112164202122232534[Points],"DNP",0,1)</f>
        <v>1</v>
      </c>
      <c r="Q315" t="str">
        <f>_xlfn.XLOOKUP(Table16[[#This Row],[Name]],Table2111216420212223253435[Name],Table2111216420212223253435[Points],"DNP",0,1)</f>
        <v>DNP</v>
      </c>
      <c r="R315" t="str">
        <f>_xlfn.XLOOKUP(Table16[[#This Row],[Name]],Table211121642021222325343536[Name],Table211121642021222325343536[Points],"DNP",0,1)</f>
        <v>DNP</v>
      </c>
      <c r="S315" t="str">
        <f>_xlfn.XLOOKUP(Table16[[#This Row],[Name]],Table21112164202122232534353637[Name],Table21112164202122232534353637[Points],"DNP",0,1)</f>
        <v>DNP</v>
      </c>
      <c r="T315" t="str">
        <f>_xlfn.XLOOKUP(Table16[[#This Row],[Name]],Table2111216420212223253435363738[Name],Table2111216420212223253435363738[Points],"DNP",0,1)</f>
        <v>DNP</v>
      </c>
      <c r="U315" t="str">
        <f>_xlfn.XLOOKUP(Table16[[#This Row],[Name]],Table2111216420212223253435363739[Name],Table2111216420212223253435363739[Points],"DNP",0,1)</f>
        <v>DNP</v>
      </c>
      <c r="V315" t="str">
        <f>_xlfn.XLOOKUP(Table16[[#This Row],[Name]],Table211121642021222325343536373841[Name],Table211121642021222325343536373841[Points],"DNP",0,1)</f>
        <v>DNP</v>
      </c>
    </row>
    <row r="316" spans="2:22">
      <c r="B316" t="str">
        <f>IFERROR(Table5[[#This Row],[Full name]],"")</f>
        <v>Steven Luo</v>
      </c>
      <c r="C316" s="68">
        <f>SUM(Table16[[#This Row],[September 30, 2025]:[Column18]])</f>
        <v>1</v>
      </c>
      <c r="D316" t="str">
        <f>_xlfn.XLOOKUP(Table16[[#This Row],[Name]],Table4[Name],Table4[Points],"DNP",0,1)</f>
        <v>DNP</v>
      </c>
      <c r="E316" t="str">
        <f>_xlfn.XLOOKUP(Table16[[#This Row],[Name]],Table9[Name],Table9[Points],"DNP",0,1)</f>
        <v>DNP</v>
      </c>
      <c r="F316" t="str">
        <f>_xlfn.XLOOKUP(Table16[[#This Row],[Name]],Table18[Name],Table18[Points],"DNP",0,1)</f>
        <v>DNP</v>
      </c>
      <c r="G316" t="str">
        <f>_xlfn.XLOOKUP(Table16[[#This Row],[Name]],Table2[Name],Table2[Points],"DNP",0,1)</f>
        <v>DNP</v>
      </c>
      <c r="H316">
        <f>_xlfn.XLOOKUP(Table16[[#This Row],[Name]],Table211[Name],Table211[Points],"DNP",0,1)</f>
        <v>1</v>
      </c>
      <c r="I316" t="str">
        <f>_xlfn.XLOOKUP(Table16[[#This Row],[Name]],Table21112[Name],Table21112[Points],"DNP",0,1)</f>
        <v>DNP</v>
      </c>
      <c r="J316" t="str">
        <f>_xlfn.XLOOKUP(Table16[[#This Row],[Name]],Table21112164[Name],Table21112164[Points],"DNP",0,1)</f>
        <v>DNP</v>
      </c>
      <c r="K316" t="str">
        <f>_xlfn.XLOOKUP(Table16[[#This Row],[Name]],Table2111216420[Name],Table2111216420[Points],"DNP",0,1)</f>
        <v>DNP</v>
      </c>
      <c r="L316" t="str">
        <f>_xlfn.XLOOKUP(Table16[[#This Row],[Name]],Table211121642021[Name],Table211121642021[Points],"DNP",0,1)</f>
        <v>DNP</v>
      </c>
      <c r="M316" t="str">
        <f>_xlfn.XLOOKUP(Table16[[#This Row],[Name]],Table21112164202122[Name],Table21112164202122[Points],"DNP",0,1)</f>
        <v>DNP</v>
      </c>
      <c r="N316" t="str">
        <f>_xlfn.XLOOKUP(Table16[[#This Row],[Name]],Table2111216420212223[Name],Table2111216420212223[Points],"DNP",0,1)</f>
        <v>DNP</v>
      </c>
      <c r="O316" t="str">
        <f>_xlfn.XLOOKUP(Table16[[#This Row],[Name]],Table211121642021222325[Name],Table211121642021222325[Points],"DNP",0,1)</f>
        <v>DNP</v>
      </c>
      <c r="P316" t="str">
        <f>_xlfn.XLOOKUP(Table16[[#This Row],[Name]],Table21112164202122232534[Name],Table21112164202122232534[Points],"DNP",0,1)</f>
        <v>DNP</v>
      </c>
      <c r="Q316" t="str">
        <f>_xlfn.XLOOKUP(Table16[[#This Row],[Name]],Table2111216420212223253435[Name],Table2111216420212223253435[Points],"DNP",0,1)</f>
        <v>DNP</v>
      </c>
      <c r="R316" t="str">
        <f>_xlfn.XLOOKUP(Table16[[#This Row],[Name]],Table211121642021222325343536[Name],Table211121642021222325343536[Points],"DNP",0,1)</f>
        <v>DNP</v>
      </c>
      <c r="S316" t="str">
        <f>_xlfn.XLOOKUP(Table16[[#This Row],[Name]],Table21112164202122232534353637[Name],Table21112164202122232534353637[Points],"DNP",0,1)</f>
        <v>DNP</v>
      </c>
      <c r="T316" t="str">
        <f>_xlfn.XLOOKUP(Table16[[#This Row],[Name]],Table2111216420212223253435363738[Name],Table2111216420212223253435363738[Points],"DNP",0,1)</f>
        <v>DNP</v>
      </c>
      <c r="U316" t="str">
        <f>_xlfn.XLOOKUP(Table16[[#This Row],[Name]],Table2111216420212223253435363739[Name],Table2111216420212223253435363739[Points],"DNP",0,1)</f>
        <v>DNP</v>
      </c>
      <c r="V316" t="str">
        <f>_xlfn.XLOOKUP(Table16[[#This Row],[Name]],Table211121642021222325343536373841[Name],Table211121642021222325343536373841[Points],"DNP",0,1)</f>
        <v>DNP</v>
      </c>
    </row>
    <row r="317" spans="2:22">
      <c r="B317" t="str">
        <f>IFERROR(Table5[[#This Row],[Full name]],"")</f>
        <v>Sulang Hou</v>
      </c>
      <c r="C317" s="68">
        <f>SUM(Table16[[#This Row],[September 30, 2025]:[Column18]])</f>
        <v>1</v>
      </c>
      <c r="D317" t="str">
        <f>_xlfn.XLOOKUP(Table16[[#This Row],[Name]],Table4[Name],Table4[Points],"DNP",0,1)</f>
        <v>DNP</v>
      </c>
      <c r="E317" t="str">
        <f>_xlfn.XLOOKUP(Table16[[#This Row],[Name]],Table9[Name],Table9[Points],"DNP",0,1)</f>
        <v>DNP</v>
      </c>
      <c r="F317">
        <f>_xlfn.XLOOKUP(Table16[[#This Row],[Name]],Table18[Name],Table18[Points],"DNP",0,1)</f>
        <v>1</v>
      </c>
      <c r="G317" t="str">
        <f>_xlfn.XLOOKUP(Table16[[#This Row],[Name]],Table2[Name],Table2[Points],"DNP",0,1)</f>
        <v>DNP</v>
      </c>
      <c r="H317" t="str">
        <f>_xlfn.XLOOKUP(Table16[[#This Row],[Name]],Table211[Name],Table211[Points],"DNP",0,1)</f>
        <v>DNP</v>
      </c>
      <c r="I317" t="str">
        <f>_xlfn.XLOOKUP(Table16[[#This Row],[Name]],Table21112[Name],Table21112[Points],"DNP",0,1)</f>
        <v>DNP</v>
      </c>
      <c r="J317" t="str">
        <f>_xlfn.XLOOKUP(Table16[[#This Row],[Name]],Table21112164[Name],Table21112164[Points],"DNP",0,1)</f>
        <v>DNP</v>
      </c>
      <c r="K317" t="str">
        <f>_xlfn.XLOOKUP(Table16[[#This Row],[Name]],Table2111216420[Name],Table2111216420[Points],"DNP",0,1)</f>
        <v>DNP</v>
      </c>
      <c r="L317" t="str">
        <f>_xlfn.XLOOKUP(Table16[[#This Row],[Name]],Table211121642021[Name],Table211121642021[Points],"DNP",0,1)</f>
        <v>DNP</v>
      </c>
      <c r="M317" t="str">
        <f>_xlfn.XLOOKUP(Table16[[#This Row],[Name]],Table21112164202122[Name],Table21112164202122[Points],"DNP",0,1)</f>
        <v>DNP</v>
      </c>
      <c r="N317" t="str">
        <f>_xlfn.XLOOKUP(Table16[[#This Row],[Name]],Table2111216420212223[Name],Table2111216420212223[Points],"DNP",0,1)</f>
        <v>DNP</v>
      </c>
      <c r="O317" t="str">
        <f>_xlfn.XLOOKUP(Table16[[#This Row],[Name]],Table211121642021222325[Name],Table211121642021222325[Points],"DNP",0,1)</f>
        <v>DNP</v>
      </c>
      <c r="P317" t="str">
        <f>_xlfn.XLOOKUP(Table16[[#This Row],[Name]],Table21112164202122232534[Name],Table21112164202122232534[Points],"DNP",0,1)</f>
        <v>DNP</v>
      </c>
      <c r="Q317" t="str">
        <f>_xlfn.XLOOKUP(Table16[[#This Row],[Name]],Table2111216420212223253435[Name],Table2111216420212223253435[Points],"DNP",0,1)</f>
        <v>DNP</v>
      </c>
      <c r="R317" t="str">
        <f>_xlfn.XLOOKUP(Table16[[#This Row],[Name]],Table211121642021222325343536[Name],Table211121642021222325343536[Points],"DNP",0,1)</f>
        <v>DNP</v>
      </c>
      <c r="S317" t="str">
        <f>_xlfn.XLOOKUP(Table16[[#This Row],[Name]],Table21112164202122232534353637[Name],Table21112164202122232534353637[Points],"DNP",0,1)</f>
        <v>DNP</v>
      </c>
      <c r="T317" t="str">
        <f>_xlfn.XLOOKUP(Table16[[#This Row],[Name]],Table2111216420212223253435363738[Name],Table2111216420212223253435363738[Points],"DNP",0,1)</f>
        <v>DNP</v>
      </c>
      <c r="U317" t="str">
        <f>_xlfn.XLOOKUP(Table16[[#This Row],[Name]],Table2111216420212223253435363739[Name],Table2111216420212223253435363739[Points],"DNP",0,1)</f>
        <v>DNP</v>
      </c>
      <c r="V317" t="str">
        <f>_xlfn.XLOOKUP(Table16[[#This Row],[Name]],Table211121642021222325343536373841[Name],Table211121642021222325343536373841[Points],"DNP",0,1)</f>
        <v>DNP</v>
      </c>
    </row>
    <row r="318" spans="2:22">
      <c r="B318" t="str">
        <f>IFERROR(Table5[[#This Row],[Full name]],"")</f>
        <v>Sunny Zhao</v>
      </c>
      <c r="C318" s="68">
        <f>SUM(Table16[[#This Row],[September 30, 2025]:[Column18]])</f>
        <v>11</v>
      </c>
      <c r="D318">
        <f>_xlfn.XLOOKUP(Table16[[#This Row],[Name]],Table4[Name],Table4[Points],"DNP",0,1)</f>
        <v>1</v>
      </c>
      <c r="E318" t="str">
        <f>_xlfn.XLOOKUP(Table16[[#This Row],[Name]],Table9[Name],Table9[Points],"DNP",0,1)</f>
        <v>DNP</v>
      </c>
      <c r="F318" t="str">
        <f>_xlfn.XLOOKUP(Table16[[#This Row],[Name]],Table18[Name],Table18[Points],"DNP",0,1)</f>
        <v>DNP</v>
      </c>
      <c r="G318">
        <f>_xlfn.XLOOKUP(Table16[[#This Row],[Name]],Table2[Name],Table2[Points],"DNP",0,1)</f>
        <v>10</v>
      </c>
      <c r="H318" t="str">
        <f>_xlfn.XLOOKUP(Table16[[#This Row],[Name]],Table211[Name],Table211[Points],"DNP",0,1)</f>
        <v>DNP</v>
      </c>
      <c r="I318" t="str">
        <f>_xlfn.XLOOKUP(Table16[[#This Row],[Name]],Table21112[Name],Table21112[Points],"DNP",0,1)</f>
        <v>DNP</v>
      </c>
      <c r="J318" t="str">
        <f>_xlfn.XLOOKUP(Table16[[#This Row],[Name]],Table21112164[Name],Table21112164[Points],"DNP",0,1)</f>
        <v>DNP</v>
      </c>
      <c r="K318" t="str">
        <f>_xlfn.XLOOKUP(Table16[[#This Row],[Name]],Table2111216420[Name],Table2111216420[Points],"DNP",0,1)</f>
        <v>DNP</v>
      </c>
      <c r="L318" t="str">
        <f>_xlfn.XLOOKUP(Table16[[#This Row],[Name]],Table211121642021[Name],Table211121642021[Points],"DNP",0,1)</f>
        <v>DNP</v>
      </c>
      <c r="M318" t="str">
        <f>_xlfn.XLOOKUP(Table16[[#This Row],[Name]],Table21112164202122[Name],Table21112164202122[Points],"DNP",0,1)</f>
        <v>DNP</v>
      </c>
      <c r="N318" t="str">
        <f>_xlfn.XLOOKUP(Table16[[#This Row],[Name]],Table2111216420212223[Name],Table2111216420212223[Points],"DNP",0,1)</f>
        <v>DNP</v>
      </c>
      <c r="O318" t="str">
        <f>_xlfn.XLOOKUP(Table16[[#This Row],[Name]],Table211121642021222325[Name],Table211121642021222325[Points],"DNP",0,1)</f>
        <v>DNP</v>
      </c>
      <c r="P318" t="str">
        <f>_xlfn.XLOOKUP(Table16[[#This Row],[Name]],Table21112164202122232534[Name],Table21112164202122232534[Points],"DNP",0,1)</f>
        <v>DNP</v>
      </c>
      <c r="Q318" t="str">
        <f>_xlfn.XLOOKUP(Table16[[#This Row],[Name]],Table2111216420212223253435[Name],Table2111216420212223253435[Points],"DNP",0,1)</f>
        <v>DNP</v>
      </c>
      <c r="R318" t="str">
        <f>_xlfn.XLOOKUP(Table16[[#This Row],[Name]],Table211121642021222325343536[Name],Table211121642021222325343536[Points],"DNP",0,1)</f>
        <v>DNP</v>
      </c>
      <c r="S318" t="str">
        <f>_xlfn.XLOOKUP(Table16[[#This Row],[Name]],Table21112164202122232534353637[Name],Table21112164202122232534353637[Points],"DNP",0,1)</f>
        <v>DNP</v>
      </c>
      <c r="T318" t="str">
        <f>_xlfn.XLOOKUP(Table16[[#This Row],[Name]],Table2111216420212223253435363738[Name],Table2111216420212223253435363738[Points],"DNP",0,1)</f>
        <v>DNP</v>
      </c>
      <c r="U318" t="str">
        <f>_xlfn.XLOOKUP(Table16[[#This Row],[Name]],Table2111216420212223253435363739[Name],Table2111216420212223253435363739[Points],"DNP",0,1)</f>
        <v>DNP</v>
      </c>
      <c r="V318" t="str">
        <f>_xlfn.XLOOKUP(Table16[[#This Row],[Name]],Table211121642021222325343536373841[Name],Table211121642021222325343536373841[Points],"DNP",0,1)</f>
        <v>DNP</v>
      </c>
    </row>
    <row r="319" spans="2:22">
      <c r="B319" t="str">
        <f>IFERROR(Table5[[#This Row],[Full name]],"")</f>
        <v>Sydney Xie</v>
      </c>
      <c r="C319" s="68">
        <f>SUM(Table16[[#This Row],[September 30, 2025]:[Column18]])</f>
        <v>4</v>
      </c>
      <c r="D319" t="str">
        <f>_xlfn.XLOOKUP(Table16[[#This Row],[Name]],Table4[Name],Table4[Points],"DNP",0,1)</f>
        <v>DNP</v>
      </c>
      <c r="E319" t="str">
        <f>_xlfn.XLOOKUP(Table16[[#This Row],[Name]],Table9[Name],Table9[Points],"DNP",0,1)</f>
        <v>DNP</v>
      </c>
      <c r="F319" t="str">
        <f>_xlfn.XLOOKUP(Table16[[#This Row],[Name]],Table18[Name],Table18[Points],"DNP",0,1)</f>
        <v>DNP</v>
      </c>
      <c r="G319" t="str">
        <f>_xlfn.XLOOKUP(Table16[[#This Row],[Name]],Table2[Name],Table2[Points],"DNP",0,1)</f>
        <v>DNP</v>
      </c>
      <c r="H319" t="str">
        <f>_xlfn.XLOOKUP(Table16[[#This Row],[Name]],Table211[Name],Table211[Points],"DNP",0,1)</f>
        <v>DNP</v>
      </c>
      <c r="I319" t="str">
        <f>_xlfn.XLOOKUP(Table16[[#This Row],[Name]],Table21112[Name],Table21112[Points],"DNP",0,1)</f>
        <v>DNP</v>
      </c>
      <c r="J319" t="str">
        <f>_xlfn.XLOOKUP(Table16[[#This Row],[Name]],Table21112164[Name],Table21112164[Points],"DNP",0,1)</f>
        <v>DNP</v>
      </c>
      <c r="K319" t="str">
        <f>_xlfn.XLOOKUP(Table16[[#This Row],[Name]],Table2111216420[Name],Table2111216420[Points],"DNP",0,1)</f>
        <v>DNP</v>
      </c>
      <c r="L319" t="str">
        <f>_xlfn.XLOOKUP(Table16[[#This Row],[Name]],Table211121642021[Name],Table211121642021[Points],"DNP",0,1)</f>
        <v>DNP</v>
      </c>
      <c r="M319" t="str">
        <f>_xlfn.XLOOKUP(Table16[[#This Row],[Name]],Table21112164202122[Name],Table21112164202122[Points],"DNP",0,1)</f>
        <v>DNP</v>
      </c>
      <c r="N319" t="str">
        <f>_xlfn.XLOOKUP(Table16[[#This Row],[Name]],Table2111216420212223[Name],Table2111216420212223[Points],"DNP",0,1)</f>
        <v>DNP</v>
      </c>
      <c r="O319" t="str">
        <f>_xlfn.XLOOKUP(Table16[[#This Row],[Name]],Table211121642021222325[Name],Table211121642021222325[Points],"DNP",0,1)</f>
        <v>DNP</v>
      </c>
      <c r="P319" t="str">
        <f>_xlfn.XLOOKUP(Table16[[#This Row],[Name]],Table21112164202122232534[Name],Table21112164202122232534[Points],"DNP",0,1)</f>
        <v>DNP</v>
      </c>
      <c r="Q319" t="str">
        <f>_xlfn.XLOOKUP(Table16[[#This Row],[Name]],Table2111216420212223253435[Name],Table2111216420212223253435[Points],"DNP",0,1)</f>
        <v>DNP</v>
      </c>
      <c r="R319" t="str">
        <f>_xlfn.XLOOKUP(Table16[[#This Row],[Name]],Table211121642021222325343536[Name],Table211121642021222325343536[Points],"DNP",0,1)</f>
        <v>DNP</v>
      </c>
      <c r="S319" t="str">
        <f>_xlfn.XLOOKUP(Table16[[#This Row],[Name]],Table21112164202122232534353637[Name],Table21112164202122232534353637[Points],"DNP",0,1)</f>
        <v>DNP</v>
      </c>
      <c r="T319" t="str">
        <f>_xlfn.XLOOKUP(Table16[[#This Row],[Name]],Table2111216420212223253435363738[Name],Table2111216420212223253435363738[Points],"DNP",0,1)</f>
        <v>DNP</v>
      </c>
      <c r="U319" t="str">
        <f>_xlfn.XLOOKUP(Table16[[#This Row],[Name]],Table2111216420212223253435363739[Name],Table2111216420212223253435363739[Points],"DNP",0,1)</f>
        <v>DNP</v>
      </c>
      <c r="V319">
        <f>_xlfn.XLOOKUP(Table16[[#This Row],[Name]],Table211121642021222325343536373841[Name],Table211121642021222325343536373841[Points],"DNP",0,1)</f>
        <v>4</v>
      </c>
    </row>
    <row r="320" spans="2:22">
      <c r="B320" t="str">
        <f>IFERROR(Table5[[#This Row],[Full name]],"")</f>
        <v>Syed Bilal</v>
      </c>
      <c r="C320" s="68">
        <f>SUM(Table16[[#This Row],[September 30, 2025]:[Column18]])</f>
        <v>1</v>
      </c>
      <c r="D320" t="str">
        <f>_xlfn.XLOOKUP(Table16[[#This Row],[Name]],Table4[Name],Table4[Points],"DNP",0,1)</f>
        <v>DNP</v>
      </c>
      <c r="E320" t="str">
        <f>_xlfn.XLOOKUP(Table16[[#This Row],[Name]],Table9[Name],Table9[Points],"DNP",0,1)</f>
        <v>DNP</v>
      </c>
      <c r="F320" t="str">
        <f>_xlfn.XLOOKUP(Table16[[#This Row],[Name]],Table18[Name],Table18[Points],"DNP",0,1)</f>
        <v>DNP</v>
      </c>
      <c r="G320" t="str">
        <f>_xlfn.XLOOKUP(Table16[[#This Row],[Name]],Table2[Name],Table2[Points],"DNP",0,1)</f>
        <v>DNP</v>
      </c>
      <c r="H320">
        <f>_xlfn.XLOOKUP(Table16[[#This Row],[Name]],Table211[Name],Table211[Points],"DNP",0,1)</f>
        <v>1</v>
      </c>
      <c r="I320" t="str">
        <f>_xlfn.XLOOKUP(Table16[[#This Row],[Name]],Table21112[Name],Table21112[Points],"DNP",0,1)</f>
        <v>DNP</v>
      </c>
      <c r="J320" t="str">
        <f>_xlfn.XLOOKUP(Table16[[#This Row],[Name]],Table21112164[Name],Table21112164[Points],"DNP",0,1)</f>
        <v>DNP</v>
      </c>
      <c r="K320" t="str">
        <f>_xlfn.XLOOKUP(Table16[[#This Row],[Name]],Table2111216420[Name],Table2111216420[Points],"DNP",0,1)</f>
        <v>DNP</v>
      </c>
      <c r="L320" t="str">
        <f>_xlfn.XLOOKUP(Table16[[#This Row],[Name]],Table211121642021[Name],Table211121642021[Points],"DNP",0,1)</f>
        <v>DNP</v>
      </c>
      <c r="M320" t="str">
        <f>_xlfn.XLOOKUP(Table16[[#This Row],[Name]],Table21112164202122[Name],Table21112164202122[Points],"DNP",0,1)</f>
        <v>DNP</v>
      </c>
      <c r="N320" t="str">
        <f>_xlfn.XLOOKUP(Table16[[#This Row],[Name]],Table2111216420212223[Name],Table2111216420212223[Points],"DNP",0,1)</f>
        <v>DNP</v>
      </c>
      <c r="O320" t="str">
        <f>_xlfn.XLOOKUP(Table16[[#This Row],[Name]],Table211121642021222325[Name],Table211121642021222325[Points],"DNP",0,1)</f>
        <v>DNP</v>
      </c>
      <c r="P320" t="str">
        <f>_xlfn.XLOOKUP(Table16[[#This Row],[Name]],Table21112164202122232534[Name],Table21112164202122232534[Points],"DNP",0,1)</f>
        <v>DNP</v>
      </c>
      <c r="Q320" t="str">
        <f>_xlfn.XLOOKUP(Table16[[#This Row],[Name]],Table2111216420212223253435[Name],Table2111216420212223253435[Points],"DNP",0,1)</f>
        <v>DNP</v>
      </c>
      <c r="R320" t="str">
        <f>_xlfn.XLOOKUP(Table16[[#This Row],[Name]],Table211121642021222325343536[Name],Table211121642021222325343536[Points],"DNP",0,1)</f>
        <v>DNP</v>
      </c>
      <c r="S320" t="str">
        <f>_xlfn.XLOOKUP(Table16[[#This Row],[Name]],Table21112164202122232534353637[Name],Table21112164202122232534353637[Points],"DNP",0,1)</f>
        <v>DNP</v>
      </c>
      <c r="T320" t="str">
        <f>_xlfn.XLOOKUP(Table16[[#This Row],[Name]],Table2111216420212223253435363738[Name],Table2111216420212223253435363738[Points],"DNP",0,1)</f>
        <v>DNP</v>
      </c>
      <c r="U320" t="str">
        <f>_xlfn.XLOOKUP(Table16[[#This Row],[Name]],Table2111216420212223253435363739[Name],Table2111216420212223253435363739[Points],"DNP",0,1)</f>
        <v>DNP</v>
      </c>
      <c r="V320" t="str">
        <f>_xlfn.XLOOKUP(Table16[[#This Row],[Name]],Table211121642021222325343536373841[Name],Table211121642021222325343536373841[Points],"DNP",0,1)</f>
        <v>DNP</v>
      </c>
    </row>
    <row r="321" spans="2:22">
      <c r="B321" t="str">
        <f>IFERROR(Table5[[#This Row],[Full name]],"")</f>
        <v>Taha Siddiqui</v>
      </c>
      <c r="C321" s="68">
        <f>SUM(Table16[[#This Row],[September 30, 2025]:[Column18]])</f>
        <v>5</v>
      </c>
      <c r="D321">
        <f>_xlfn.XLOOKUP(Table16[[#This Row],[Name]],Table4[Name],Table4[Points],"DNP",0,1)</f>
        <v>1</v>
      </c>
      <c r="E321" t="str">
        <f>_xlfn.XLOOKUP(Table16[[#This Row],[Name]],Table9[Name],Table9[Points],"DNP",0,1)</f>
        <v>DNP</v>
      </c>
      <c r="F321" t="str">
        <f>_xlfn.XLOOKUP(Table16[[#This Row],[Name]],Table18[Name],Table18[Points],"DNP",0,1)</f>
        <v>DNP</v>
      </c>
      <c r="G321" t="str">
        <f>_xlfn.XLOOKUP(Table16[[#This Row],[Name]],Table2[Name],Table2[Points],"DNP",0,1)</f>
        <v>DNP</v>
      </c>
      <c r="H321" t="str">
        <f>_xlfn.XLOOKUP(Table16[[#This Row],[Name]],Table211[Name],Table211[Points],"DNP",0,1)</f>
        <v>DNP</v>
      </c>
      <c r="I321" t="str">
        <f>_xlfn.XLOOKUP(Table16[[#This Row],[Name]],Table21112[Name],Table21112[Points],"DNP",0,1)</f>
        <v>DNP</v>
      </c>
      <c r="J321" t="str">
        <f>_xlfn.XLOOKUP(Table16[[#This Row],[Name]],Table21112164[Name],Table21112164[Points],"DNP",0,1)</f>
        <v>DNP</v>
      </c>
      <c r="K321">
        <f>_xlfn.XLOOKUP(Table16[[#This Row],[Name]],Table2111216420[Name],Table2111216420[Points],"DNP",0,1)</f>
        <v>1</v>
      </c>
      <c r="L321">
        <f>_xlfn.XLOOKUP(Table16[[#This Row],[Name]],Table211121642021[Name],Table211121642021[Points],"DNP",0,1)</f>
        <v>2</v>
      </c>
      <c r="M321">
        <f>_xlfn.XLOOKUP(Table16[[#This Row],[Name]],Table21112164202122[Name],Table21112164202122[Points],"DNP",0,1)</f>
        <v>1</v>
      </c>
      <c r="N321" t="str">
        <f>_xlfn.XLOOKUP(Table16[[#This Row],[Name]],Table2111216420212223[Name],Table2111216420212223[Points],"DNP",0,1)</f>
        <v>DNP</v>
      </c>
      <c r="O321" t="str">
        <f>_xlfn.XLOOKUP(Table16[[#This Row],[Name]],Table211121642021222325[Name],Table211121642021222325[Points],"DNP",0,1)</f>
        <v>DNP</v>
      </c>
      <c r="P321" t="str">
        <f>_xlfn.XLOOKUP(Table16[[#This Row],[Name]],Table21112164202122232534[Name],Table21112164202122232534[Points],"DNP",0,1)</f>
        <v>DNP</v>
      </c>
      <c r="Q321" t="str">
        <f>_xlfn.XLOOKUP(Table16[[#This Row],[Name]],Table2111216420212223253435[Name],Table2111216420212223253435[Points],"DNP",0,1)</f>
        <v>DNP</v>
      </c>
      <c r="R321" t="str">
        <f>_xlfn.XLOOKUP(Table16[[#This Row],[Name]],Table211121642021222325343536[Name],Table211121642021222325343536[Points],"DNP",0,1)</f>
        <v>DNP</v>
      </c>
      <c r="S321" t="str">
        <f>_xlfn.XLOOKUP(Table16[[#This Row],[Name]],Table21112164202122232534353637[Name],Table21112164202122232534353637[Points],"DNP",0,1)</f>
        <v>DNP</v>
      </c>
      <c r="T321" t="str">
        <f>_xlfn.XLOOKUP(Table16[[#This Row],[Name]],Table2111216420212223253435363738[Name],Table2111216420212223253435363738[Points],"DNP",0,1)</f>
        <v>DNP</v>
      </c>
      <c r="U321" t="str">
        <f>_xlfn.XLOOKUP(Table16[[#This Row],[Name]],Table2111216420212223253435363739[Name],Table2111216420212223253435363739[Points],"DNP",0,1)</f>
        <v>DNP</v>
      </c>
      <c r="V321" t="str">
        <f>_xlfn.XLOOKUP(Table16[[#This Row],[Name]],Table211121642021222325343536373841[Name],Table211121642021222325343536373841[Points],"DNP",0,1)</f>
        <v>DNP</v>
      </c>
    </row>
    <row r="322" spans="2:22">
      <c r="B322" t="str">
        <f>IFERROR(Table5[[#This Row],[Full name]],"")</f>
        <v>Taidhg Tajalli</v>
      </c>
      <c r="C322" s="68">
        <f>SUM(Table16[[#This Row],[September 30, 2025]:[Column18]])</f>
        <v>101</v>
      </c>
      <c r="D322">
        <f>_xlfn.XLOOKUP(Table16[[#This Row],[Name]],Table4[Name],Table4[Points],"DNP",0,1)</f>
        <v>1</v>
      </c>
      <c r="E322">
        <f>_xlfn.XLOOKUP(Table16[[#This Row],[Name]],Table9[Name],Table9[Points],"DNP",0,1)</f>
        <v>10</v>
      </c>
      <c r="F322">
        <f>_xlfn.XLOOKUP(Table16[[#This Row],[Name]],Table18[Name],Table18[Points],"DNP",0,1)</f>
        <v>2</v>
      </c>
      <c r="G322" t="str">
        <f>_xlfn.XLOOKUP(Table16[[#This Row],[Name]],Table2[Name],Table2[Points],"DNP",0,1)</f>
        <v>DNP</v>
      </c>
      <c r="H322">
        <f>_xlfn.XLOOKUP(Table16[[#This Row],[Name]],Table211[Name],Table211[Points],"DNP",0,1)</f>
        <v>50</v>
      </c>
      <c r="I322">
        <f>_xlfn.XLOOKUP(Table16[[#This Row],[Name]],Table21112[Name],Table21112[Points],"DNP",0,1)</f>
        <v>1</v>
      </c>
      <c r="J322">
        <f>_xlfn.XLOOKUP(Table16[[#This Row],[Name]],Table21112164[Name],Table21112164[Points],"DNP",0,1)</f>
        <v>2</v>
      </c>
      <c r="K322">
        <f>_xlfn.XLOOKUP(Table16[[#This Row],[Name]],Table2111216420[Name],Table2111216420[Points],"DNP",0,1)</f>
        <v>2</v>
      </c>
      <c r="L322" t="str">
        <f>_xlfn.XLOOKUP(Table16[[#This Row],[Name]],Table211121642021[Name],Table211121642021[Points],"DNP",0,1)</f>
        <v>DNP</v>
      </c>
      <c r="M322">
        <f>_xlfn.XLOOKUP(Table16[[#This Row],[Name]],Table21112164202122[Name],Table21112164202122[Points],"DNP",0,1)</f>
        <v>4</v>
      </c>
      <c r="N322">
        <f>_xlfn.XLOOKUP(Table16[[#This Row],[Name]],Table2111216420212223[Name],Table2111216420212223[Points],"DNP",0,1)</f>
        <v>1</v>
      </c>
      <c r="O322">
        <f>_xlfn.XLOOKUP(Table16[[#This Row],[Name]],Table211121642021222325[Name],Table211121642021222325[Points],"DNP",0,1)</f>
        <v>1</v>
      </c>
      <c r="P322">
        <f>_xlfn.XLOOKUP(Table16[[#This Row],[Name]],Table21112164202122232534[Name],Table21112164202122232534[Points],"DNP",0,1)</f>
        <v>4</v>
      </c>
      <c r="Q322">
        <f>_xlfn.XLOOKUP(Table16[[#This Row],[Name]],Table2111216420212223253435[Name],Table2111216420212223253435[Points],"DNP",0,1)</f>
        <v>2</v>
      </c>
      <c r="R322" t="str">
        <f>_xlfn.XLOOKUP(Table16[[#This Row],[Name]],Table211121642021222325343536[Name],Table211121642021222325343536[Points],"DNP",0,1)</f>
        <v>DNP</v>
      </c>
      <c r="S322">
        <f>_xlfn.XLOOKUP(Table16[[#This Row],[Name]],Table21112164202122232534353637[Name],Table21112164202122232534353637[Points],"DNP",0,1)</f>
        <v>10</v>
      </c>
      <c r="T322">
        <f>_xlfn.XLOOKUP(Table16[[#This Row],[Name]],Table2111216420212223253435363738[Name],Table2111216420212223253435363738[Points],"DNP",0,1)</f>
        <v>1</v>
      </c>
      <c r="U322">
        <f>_xlfn.XLOOKUP(Table16[[#This Row],[Name]],Table2111216420212223253435363739[Name],Table2111216420212223253435363739[Points],"DNP",0,1)</f>
        <v>10</v>
      </c>
      <c r="V322" t="str">
        <f>_xlfn.XLOOKUP(Table16[[#This Row],[Name]],Table211121642021222325343536373841[Name],Table211121642021222325343536373841[Points],"DNP",0,1)</f>
        <v>DNP</v>
      </c>
    </row>
    <row r="323" spans="2:22">
      <c r="B323" t="str">
        <f>IFERROR(Table5[[#This Row],[Full name]],"")</f>
        <v>Taige Zhang</v>
      </c>
      <c r="C323" s="68">
        <f>SUM(Table16[[#This Row],[September 30, 2025]:[Column18]])</f>
        <v>5</v>
      </c>
      <c r="D323" t="str">
        <f>_xlfn.XLOOKUP(Table16[[#This Row],[Name]],Table4[Name],Table4[Points],"DNP",0,1)</f>
        <v>DNP</v>
      </c>
      <c r="E323" t="str">
        <f>_xlfn.XLOOKUP(Table16[[#This Row],[Name]],Table9[Name],Table9[Points],"DNP",0,1)</f>
        <v>DNP</v>
      </c>
      <c r="F323" t="str">
        <f>_xlfn.XLOOKUP(Table16[[#This Row],[Name]],Table18[Name],Table18[Points],"DNP",0,1)</f>
        <v>DNP</v>
      </c>
      <c r="G323" t="str">
        <f>_xlfn.XLOOKUP(Table16[[#This Row],[Name]],Table2[Name],Table2[Points],"DNP",0,1)</f>
        <v>DNP</v>
      </c>
      <c r="H323" t="str">
        <f>_xlfn.XLOOKUP(Table16[[#This Row],[Name]],Table211[Name],Table211[Points],"DNP",0,1)</f>
        <v>DNP</v>
      </c>
      <c r="I323">
        <f>_xlfn.XLOOKUP(Table16[[#This Row],[Name]],Table21112[Name],Table21112[Points],"DNP",0,1)</f>
        <v>3</v>
      </c>
      <c r="J323">
        <f>_xlfn.XLOOKUP(Table16[[#This Row],[Name]],Table21112164[Name],Table21112164[Points],"DNP",0,1)</f>
        <v>1</v>
      </c>
      <c r="K323">
        <f>_xlfn.XLOOKUP(Table16[[#This Row],[Name]],Table2111216420[Name],Table2111216420[Points],"DNP",0,1)</f>
        <v>1</v>
      </c>
      <c r="L323" t="str">
        <f>_xlfn.XLOOKUP(Table16[[#This Row],[Name]],Table211121642021[Name],Table211121642021[Points],"DNP",0,1)</f>
        <v>DNP</v>
      </c>
      <c r="M323" t="str">
        <f>_xlfn.XLOOKUP(Table16[[#This Row],[Name]],Table21112164202122[Name],Table21112164202122[Points],"DNP",0,1)</f>
        <v>DNP</v>
      </c>
      <c r="N323" t="str">
        <f>_xlfn.XLOOKUP(Table16[[#This Row],[Name]],Table2111216420212223[Name],Table2111216420212223[Points],"DNP",0,1)</f>
        <v>DNP</v>
      </c>
      <c r="O323" t="str">
        <f>_xlfn.XLOOKUP(Table16[[#This Row],[Name]],Table211121642021222325[Name],Table211121642021222325[Points],"DNP",0,1)</f>
        <v>DNP</v>
      </c>
      <c r="P323" t="str">
        <f>_xlfn.XLOOKUP(Table16[[#This Row],[Name]],Table21112164202122232534[Name],Table21112164202122232534[Points],"DNP",0,1)</f>
        <v>DNP</v>
      </c>
      <c r="Q323" t="str">
        <f>_xlfn.XLOOKUP(Table16[[#This Row],[Name]],Table2111216420212223253435[Name],Table2111216420212223253435[Points],"DNP",0,1)</f>
        <v>DNP</v>
      </c>
      <c r="R323" t="str">
        <f>_xlfn.XLOOKUP(Table16[[#This Row],[Name]],Table211121642021222325343536[Name],Table211121642021222325343536[Points],"DNP",0,1)</f>
        <v>DNP</v>
      </c>
      <c r="S323" t="str">
        <f>_xlfn.XLOOKUP(Table16[[#This Row],[Name]],Table21112164202122232534353637[Name],Table21112164202122232534353637[Points],"DNP",0,1)</f>
        <v>DNP</v>
      </c>
      <c r="T323" t="str">
        <f>_xlfn.XLOOKUP(Table16[[#This Row],[Name]],Table2111216420212223253435363738[Name],Table2111216420212223253435363738[Points],"DNP",0,1)</f>
        <v>DNP</v>
      </c>
      <c r="U323" t="str">
        <f>_xlfn.XLOOKUP(Table16[[#This Row],[Name]],Table2111216420212223253435363739[Name],Table2111216420212223253435363739[Points],"DNP",0,1)</f>
        <v>DNP</v>
      </c>
      <c r="V323" t="str">
        <f>_xlfn.XLOOKUP(Table16[[#This Row],[Name]],Table211121642021222325343536373841[Name],Table211121642021222325343536373841[Points],"DNP",0,1)</f>
        <v>DNP</v>
      </c>
    </row>
    <row r="324" spans="2:22">
      <c r="B324" t="str">
        <f>IFERROR(Table5[[#This Row],[Full name]],"")</f>
        <v>Taowei Liu</v>
      </c>
      <c r="C324" s="68">
        <f>SUM(Table16[[#This Row],[September 30, 2025]:[Column18]])</f>
        <v>11</v>
      </c>
      <c r="D324" t="str">
        <f>_xlfn.XLOOKUP(Table16[[#This Row],[Name]],Table4[Name],Table4[Points],"DNP",0,1)</f>
        <v>DNP</v>
      </c>
      <c r="E324" t="str">
        <f>_xlfn.XLOOKUP(Table16[[#This Row],[Name]],Table9[Name],Table9[Points],"DNP",0,1)</f>
        <v>DNP</v>
      </c>
      <c r="F324" t="str">
        <f>_xlfn.XLOOKUP(Table16[[#This Row],[Name]],Table18[Name],Table18[Points],"DNP",0,1)</f>
        <v>DNP</v>
      </c>
      <c r="G324" t="str">
        <f>_xlfn.XLOOKUP(Table16[[#This Row],[Name]],Table2[Name],Table2[Points],"DNP",0,1)</f>
        <v>DNP</v>
      </c>
      <c r="H324" t="str">
        <f>_xlfn.XLOOKUP(Table16[[#This Row],[Name]],Table211[Name],Table211[Points],"DNP",0,1)</f>
        <v>DNP</v>
      </c>
      <c r="I324" t="str">
        <f>_xlfn.XLOOKUP(Table16[[#This Row],[Name]],Table21112[Name],Table21112[Points],"DNP",0,1)</f>
        <v>DNP</v>
      </c>
      <c r="J324" t="str">
        <f>_xlfn.XLOOKUP(Table16[[#This Row],[Name]],Table21112164[Name],Table21112164[Points],"DNP",0,1)</f>
        <v>DNP</v>
      </c>
      <c r="K324" t="str">
        <f>_xlfn.XLOOKUP(Table16[[#This Row],[Name]],Table2111216420[Name],Table2111216420[Points],"DNP",0,1)</f>
        <v>DNP</v>
      </c>
      <c r="L324" t="str">
        <f>_xlfn.XLOOKUP(Table16[[#This Row],[Name]],Table211121642021[Name],Table211121642021[Points],"DNP",0,1)</f>
        <v>DNP</v>
      </c>
      <c r="M324" t="str">
        <f>_xlfn.XLOOKUP(Table16[[#This Row],[Name]],Table21112164202122[Name],Table21112164202122[Points],"DNP",0,1)</f>
        <v>DNP</v>
      </c>
      <c r="N324">
        <f>_xlfn.XLOOKUP(Table16[[#This Row],[Name]],Table2111216420212223[Name],Table2111216420212223[Points],"DNP",0,1)</f>
        <v>1</v>
      </c>
      <c r="O324">
        <f>_xlfn.XLOOKUP(Table16[[#This Row],[Name]],Table211121642021222325[Name],Table211121642021222325[Points],"DNP",0,1)</f>
        <v>2</v>
      </c>
      <c r="P324">
        <f>_xlfn.XLOOKUP(Table16[[#This Row],[Name]],Table21112164202122232534[Name],Table21112164202122232534[Points],"DNP",0,1)</f>
        <v>1</v>
      </c>
      <c r="Q324">
        <f>_xlfn.XLOOKUP(Table16[[#This Row],[Name]],Table2111216420212223253435[Name],Table2111216420212223253435[Points],"DNP",0,1)</f>
        <v>4</v>
      </c>
      <c r="R324">
        <f>_xlfn.XLOOKUP(Table16[[#This Row],[Name]],Table211121642021222325343536[Name],Table211121642021222325343536[Points],"DNP",0,1)</f>
        <v>3</v>
      </c>
      <c r="S324" t="str">
        <f>_xlfn.XLOOKUP(Table16[[#This Row],[Name]],Table21112164202122232534353637[Name],Table21112164202122232534353637[Points],"DNP",0,1)</f>
        <v>DNP</v>
      </c>
      <c r="T324" t="str">
        <f>_xlfn.XLOOKUP(Table16[[#This Row],[Name]],Table2111216420212223253435363738[Name],Table2111216420212223253435363738[Points],"DNP",0,1)</f>
        <v>DNP</v>
      </c>
      <c r="U324" t="str">
        <f>_xlfn.XLOOKUP(Table16[[#This Row],[Name]],Table2111216420212223253435363739[Name],Table2111216420212223253435363739[Points],"DNP",0,1)</f>
        <v>DNP</v>
      </c>
      <c r="V324" t="str">
        <f>_xlfn.XLOOKUP(Table16[[#This Row],[Name]],Table211121642021222325343536373841[Name],Table211121642021222325343536373841[Points],"DNP",0,1)</f>
        <v>DNP</v>
      </c>
    </row>
    <row r="325" spans="2:22">
      <c r="B325" t="str">
        <f>IFERROR(Table5[[#This Row],[Full name]],"")</f>
        <v>Thomas Liu</v>
      </c>
      <c r="C325" s="68">
        <f>SUM(Table16[[#This Row],[September 30, 2025]:[Column18]])</f>
        <v>50</v>
      </c>
      <c r="D325">
        <f>_xlfn.XLOOKUP(Table16[[#This Row],[Name]],Table4[Name],Table4[Points],"DNP",0,1)</f>
        <v>1</v>
      </c>
      <c r="E325">
        <f>_xlfn.XLOOKUP(Table16[[#This Row],[Name]],Table9[Name],Table9[Points],"DNP",0,1)</f>
        <v>1</v>
      </c>
      <c r="F325">
        <f>_xlfn.XLOOKUP(Table16[[#This Row],[Name]],Table18[Name],Table18[Points],"DNP",0,1)</f>
        <v>2</v>
      </c>
      <c r="G325">
        <f>_xlfn.XLOOKUP(Table16[[#This Row],[Name]],Table2[Name],Table2[Points],"DNP",0,1)</f>
        <v>1</v>
      </c>
      <c r="H325">
        <f>_xlfn.XLOOKUP(Table16[[#This Row],[Name]],Table211[Name],Table211[Points],"DNP",0,1)</f>
        <v>3</v>
      </c>
      <c r="I325">
        <f>_xlfn.XLOOKUP(Table16[[#This Row],[Name]],Table21112[Name],Table21112[Points],"DNP",0,1)</f>
        <v>1</v>
      </c>
      <c r="J325">
        <f>_xlfn.XLOOKUP(Table16[[#This Row],[Name]],Table21112164[Name],Table21112164[Points],"DNP",0,1)</f>
        <v>1</v>
      </c>
      <c r="K325">
        <f>_xlfn.XLOOKUP(Table16[[#This Row],[Name]],Table2111216420[Name],Table2111216420[Points],"DNP",0,1)</f>
        <v>23</v>
      </c>
      <c r="L325">
        <f>_xlfn.XLOOKUP(Table16[[#This Row],[Name]],Table211121642021[Name],Table211121642021[Points],"DNP",0,1)</f>
        <v>8</v>
      </c>
      <c r="M325">
        <f>_xlfn.XLOOKUP(Table16[[#This Row],[Name]],Table21112164202122[Name],Table21112164202122[Points],"DNP",0,1)</f>
        <v>1</v>
      </c>
      <c r="N325">
        <f>_xlfn.XLOOKUP(Table16[[#This Row],[Name]],Table2111216420212223[Name],Table2111216420212223[Points],"DNP",0,1)</f>
        <v>1</v>
      </c>
      <c r="O325">
        <f>_xlfn.XLOOKUP(Table16[[#This Row],[Name]],Table211121642021222325[Name],Table211121642021222325[Points],"DNP",0,1)</f>
        <v>1</v>
      </c>
      <c r="P325">
        <f>_xlfn.XLOOKUP(Table16[[#This Row],[Name]],Table21112164202122232534[Name],Table21112164202122232534[Points],"DNP",0,1)</f>
        <v>1</v>
      </c>
      <c r="Q325" t="str">
        <f>_xlfn.XLOOKUP(Table16[[#This Row],[Name]],Table2111216420212223253435[Name],Table2111216420212223253435[Points],"DNP",0,1)</f>
        <v>DNP</v>
      </c>
      <c r="R325">
        <f>_xlfn.XLOOKUP(Table16[[#This Row],[Name]],Table211121642021222325343536[Name],Table211121642021222325343536[Points],"DNP",0,1)</f>
        <v>1</v>
      </c>
      <c r="S325" t="str">
        <f>_xlfn.XLOOKUP(Table16[[#This Row],[Name]],Table21112164202122232534353637[Name],Table21112164202122232534353637[Points],"DNP",0,1)</f>
        <v>DNP</v>
      </c>
      <c r="T325">
        <f>_xlfn.XLOOKUP(Table16[[#This Row],[Name]],Table2111216420212223253435363738[Name],Table2111216420212223253435363738[Points],"DNP",0,1)</f>
        <v>1</v>
      </c>
      <c r="U325">
        <f>_xlfn.XLOOKUP(Table16[[#This Row],[Name]],Table2111216420212223253435363739[Name],Table2111216420212223253435363739[Points],"DNP",0,1)</f>
        <v>3</v>
      </c>
      <c r="V325" t="str">
        <f>_xlfn.XLOOKUP(Table16[[#This Row],[Name]],Table211121642021222325343536373841[Name],Table211121642021222325343536373841[Points],"DNP",0,1)</f>
        <v>DNP</v>
      </c>
    </row>
    <row r="326" spans="2:22">
      <c r="B326" t="str">
        <f>IFERROR(Table5[[#This Row],[Full name]],"")</f>
        <v>Timothy  Yeung</v>
      </c>
      <c r="C326" s="68">
        <f>SUM(Table16[[#This Row],[September 30, 2025]:[Column18]])</f>
        <v>15</v>
      </c>
      <c r="D326" t="str">
        <f>_xlfn.XLOOKUP(Table16[[#This Row],[Name]],Table4[Name],Table4[Points],"DNP",0,1)</f>
        <v>DNP</v>
      </c>
      <c r="E326" t="str">
        <f>_xlfn.XLOOKUP(Table16[[#This Row],[Name]],Table9[Name],Table9[Points],"DNP",0,1)</f>
        <v>DNP</v>
      </c>
      <c r="F326">
        <f>_xlfn.XLOOKUP(Table16[[#This Row],[Name]],Table18[Name],Table18[Points],"DNP",0,1)</f>
        <v>8</v>
      </c>
      <c r="G326">
        <f>_xlfn.XLOOKUP(Table16[[#This Row],[Name]],Table2[Name],Table2[Points],"DNP",0,1)</f>
        <v>2</v>
      </c>
      <c r="H326" t="str">
        <f>_xlfn.XLOOKUP(Table16[[#This Row],[Name]],Table211[Name],Table211[Points],"DNP",0,1)</f>
        <v>DNP</v>
      </c>
      <c r="I326" t="str">
        <f>_xlfn.XLOOKUP(Table16[[#This Row],[Name]],Table21112[Name],Table21112[Points],"DNP",0,1)</f>
        <v>DNP</v>
      </c>
      <c r="J326" t="str">
        <f>_xlfn.XLOOKUP(Table16[[#This Row],[Name]],Table21112164[Name],Table21112164[Points],"DNP",0,1)</f>
        <v>DNP</v>
      </c>
      <c r="K326">
        <f>_xlfn.XLOOKUP(Table16[[#This Row],[Name]],Table2111216420[Name],Table2111216420[Points],"DNP",0,1)</f>
        <v>2</v>
      </c>
      <c r="L326" t="str">
        <f>_xlfn.XLOOKUP(Table16[[#This Row],[Name]],Table211121642021[Name],Table211121642021[Points],"DNP",0,1)</f>
        <v>DNP</v>
      </c>
      <c r="M326" t="str">
        <f>_xlfn.XLOOKUP(Table16[[#This Row],[Name]],Table21112164202122[Name],Table21112164202122[Points],"DNP",0,1)</f>
        <v>DNP</v>
      </c>
      <c r="N326">
        <f>_xlfn.XLOOKUP(Table16[[#This Row],[Name]],Table2111216420212223[Name],Table2111216420212223[Points],"DNP",0,1)</f>
        <v>2</v>
      </c>
      <c r="O326" t="str">
        <f>_xlfn.XLOOKUP(Table16[[#This Row],[Name]],Table211121642021222325[Name],Table211121642021222325[Points],"DNP",0,1)</f>
        <v>DNP</v>
      </c>
      <c r="P326" t="str">
        <f>_xlfn.XLOOKUP(Table16[[#This Row],[Name]],Table21112164202122232534[Name],Table21112164202122232534[Points],"DNP",0,1)</f>
        <v>DNP</v>
      </c>
      <c r="Q326" t="str">
        <f>_xlfn.XLOOKUP(Table16[[#This Row],[Name]],Table2111216420212223253435[Name],Table2111216420212223253435[Points],"DNP",0,1)</f>
        <v>DNP</v>
      </c>
      <c r="R326" t="str">
        <f>_xlfn.XLOOKUP(Table16[[#This Row],[Name]],Table211121642021222325343536[Name],Table211121642021222325343536[Points],"DNP",0,1)</f>
        <v>DNP</v>
      </c>
      <c r="S326" t="str">
        <f>_xlfn.XLOOKUP(Table16[[#This Row],[Name]],Table21112164202122232534353637[Name],Table21112164202122232534353637[Points],"DNP",0,1)</f>
        <v>DNP</v>
      </c>
      <c r="T326" t="str">
        <f>_xlfn.XLOOKUP(Table16[[#This Row],[Name]],Table2111216420212223253435363738[Name],Table2111216420212223253435363738[Points],"DNP",0,1)</f>
        <v>DNP</v>
      </c>
      <c r="U326">
        <f>_xlfn.XLOOKUP(Table16[[#This Row],[Name]],Table2111216420212223253435363739[Name],Table2111216420212223253435363739[Points],"DNP",0,1)</f>
        <v>1</v>
      </c>
      <c r="V326" t="str">
        <f>_xlfn.XLOOKUP(Table16[[#This Row],[Name]],Table211121642021222325343536373841[Name],Table211121642021222325343536373841[Points],"DNP",0,1)</f>
        <v>DNP</v>
      </c>
    </row>
    <row r="327" spans="2:22">
      <c r="B327" t="str">
        <f>IFERROR(Table5[[#This Row],[Full name]],"")</f>
        <v>Toma Pituscan</v>
      </c>
      <c r="C327" s="68">
        <f>SUM(Table16[[#This Row],[September 30, 2025]:[Column18]])</f>
        <v>2</v>
      </c>
      <c r="D327" t="str">
        <f>_xlfn.XLOOKUP(Table16[[#This Row],[Name]],Table4[Name],Table4[Points],"DNP",0,1)</f>
        <v>DNP</v>
      </c>
      <c r="E327" t="str">
        <f>_xlfn.XLOOKUP(Table16[[#This Row],[Name]],Table9[Name],Table9[Points],"DNP",0,1)</f>
        <v>DNP</v>
      </c>
      <c r="F327" t="str">
        <f>_xlfn.XLOOKUP(Table16[[#This Row],[Name]],Table18[Name],Table18[Points],"DNP",0,1)</f>
        <v>DNP</v>
      </c>
      <c r="G327" t="str">
        <f>_xlfn.XLOOKUP(Table16[[#This Row],[Name]],Table2[Name],Table2[Points],"DNP",0,1)</f>
        <v>DNP</v>
      </c>
      <c r="H327" t="str">
        <f>_xlfn.XLOOKUP(Table16[[#This Row],[Name]],Table211[Name],Table211[Points],"DNP",0,1)</f>
        <v>DNP</v>
      </c>
      <c r="I327" t="str">
        <f>_xlfn.XLOOKUP(Table16[[#This Row],[Name]],Table21112[Name],Table21112[Points],"DNP",0,1)</f>
        <v>DNP</v>
      </c>
      <c r="J327" t="str">
        <f>_xlfn.XLOOKUP(Table16[[#This Row],[Name]],Table21112164[Name],Table21112164[Points],"DNP",0,1)</f>
        <v>DNP</v>
      </c>
      <c r="K327" t="str">
        <f>_xlfn.XLOOKUP(Table16[[#This Row],[Name]],Table2111216420[Name],Table2111216420[Points],"DNP",0,1)</f>
        <v>DNP</v>
      </c>
      <c r="L327" t="str">
        <f>_xlfn.XLOOKUP(Table16[[#This Row],[Name]],Table211121642021[Name],Table211121642021[Points],"DNP",0,1)</f>
        <v>DNP</v>
      </c>
      <c r="M327" t="str">
        <f>_xlfn.XLOOKUP(Table16[[#This Row],[Name]],Table21112164202122[Name],Table21112164202122[Points],"DNP",0,1)</f>
        <v>DNP</v>
      </c>
      <c r="N327">
        <f>_xlfn.XLOOKUP(Table16[[#This Row],[Name]],Table2111216420212223[Name],Table2111216420212223[Points],"DNP",0,1)</f>
        <v>2</v>
      </c>
      <c r="O327" t="str">
        <f>_xlfn.XLOOKUP(Table16[[#This Row],[Name]],Table211121642021222325[Name],Table211121642021222325[Points],"DNP",0,1)</f>
        <v>DNP</v>
      </c>
      <c r="P327" t="str">
        <f>_xlfn.XLOOKUP(Table16[[#This Row],[Name]],Table21112164202122232534[Name],Table21112164202122232534[Points],"DNP",0,1)</f>
        <v>DNP</v>
      </c>
      <c r="Q327" t="str">
        <f>_xlfn.XLOOKUP(Table16[[#This Row],[Name]],Table2111216420212223253435[Name],Table2111216420212223253435[Points],"DNP",0,1)</f>
        <v>DNP</v>
      </c>
      <c r="R327" t="str">
        <f>_xlfn.XLOOKUP(Table16[[#This Row],[Name]],Table211121642021222325343536[Name],Table211121642021222325343536[Points],"DNP",0,1)</f>
        <v>DNP</v>
      </c>
      <c r="S327" t="str">
        <f>_xlfn.XLOOKUP(Table16[[#This Row],[Name]],Table21112164202122232534353637[Name],Table21112164202122232534353637[Points],"DNP",0,1)</f>
        <v>DNP</v>
      </c>
      <c r="T327" t="str">
        <f>_xlfn.XLOOKUP(Table16[[#This Row],[Name]],Table2111216420212223253435363738[Name],Table2111216420212223253435363738[Points],"DNP",0,1)</f>
        <v>DNP</v>
      </c>
      <c r="U327" t="str">
        <f>_xlfn.XLOOKUP(Table16[[#This Row],[Name]],Table2111216420212223253435363739[Name],Table2111216420212223253435363739[Points],"DNP",0,1)</f>
        <v>DNP</v>
      </c>
      <c r="V327" t="str">
        <f>_xlfn.XLOOKUP(Table16[[#This Row],[Name]],Table211121642021222325343536373841[Name],Table211121642021222325343536373841[Points],"DNP",0,1)</f>
        <v>DNP</v>
      </c>
    </row>
    <row r="328" spans="2:22">
      <c r="B328" t="str">
        <f>IFERROR(Table5[[#This Row],[Full name]],"")</f>
        <v>Tomas Cuni</v>
      </c>
      <c r="C328" s="68">
        <f>SUM(Table16[[#This Row],[September 30, 2025]:[Column18]])</f>
        <v>0</v>
      </c>
      <c r="D328" t="str">
        <f>_xlfn.XLOOKUP(Table16[[#This Row],[Name]],Table4[Name],Table4[Points],"DNP",0,1)</f>
        <v>DNP</v>
      </c>
      <c r="E328" t="str">
        <f>_xlfn.XLOOKUP(Table16[[#This Row],[Name]],Table9[Name],Table9[Points],"DNP",0,1)</f>
        <v>DNP</v>
      </c>
      <c r="F328" t="str">
        <f>_xlfn.XLOOKUP(Table16[[#This Row],[Name]],Table18[Name],Table18[Points],"DNP",0,1)</f>
        <v>DNP</v>
      </c>
      <c r="G328" t="str">
        <f>_xlfn.XLOOKUP(Table16[[#This Row],[Name]],Table2[Name],Table2[Points],"DNP",0,1)</f>
        <v>DNP</v>
      </c>
      <c r="H328" t="str">
        <f>_xlfn.XLOOKUP(Table16[[#This Row],[Name]],Table211[Name],Table211[Points],"DNP",0,1)</f>
        <v>DNP</v>
      </c>
      <c r="I328" t="str">
        <f>_xlfn.XLOOKUP(Table16[[#This Row],[Name]],Table21112[Name],Table21112[Points],"DNP",0,1)</f>
        <v>DNP</v>
      </c>
      <c r="J328" t="str">
        <f>_xlfn.XLOOKUP(Table16[[#This Row],[Name]],Table21112164[Name],Table21112164[Points],"DNP",0,1)</f>
        <v>DNP</v>
      </c>
      <c r="K328" t="str">
        <f>_xlfn.XLOOKUP(Table16[[#This Row],[Name]],Table2111216420[Name],Table2111216420[Points],"DNP",0,1)</f>
        <v>DNP</v>
      </c>
      <c r="L328" t="str">
        <f>_xlfn.XLOOKUP(Table16[[#This Row],[Name]],Table211121642021[Name],Table211121642021[Points],"DNP",0,1)</f>
        <v>DNP</v>
      </c>
      <c r="M328" t="str">
        <f>_xlfn.XLOOKUP(Table16[[#This Row],[Name]],Table21112164202122[Name],Table21112164202122[Points],"DNP",0,1)</f>
        <v>DNP</v>
      </c>
      <c r="N328" t="str">
        <f>_xlfn.XLOOKUP(Table16[[#This Row],[Name]],Table2111216420212223[Name],Table2111216420212223[Points],"DNP",0,1)</f>
        <v>DNP</v>
      </c>
      <c r="O328" t="str">
        <f>_xlfn.XLOOKUP(Table16[[#This Row],[Name]],Table211121642021222325[Name],Table211121642021222325[Points],"DNP",0,1)</f>
        <v>DNP</v>
      </c>
      <c r="P328" t="str">
        <f>_xlfn.XLOOKUP(Table16[[#This Row],[Name]],Table21112164202122232534[Name],Table21112164202122232534[Points],"DNP",0,1)</f>
        <v>DNP</v>
      </c>
      <c r="Q328" t="str">
        <f>_xlfn.XLOOKUP(Table16[[#This Row],[Name]],Table2111216420212223253435[Name],Table2111216420212223253435[Points],"DNP",0,1)</f>
        <v>DNP</v>
      </c>
      <c r="R328" t="str">
        <f>_xlfn.XLOOKUP(Table16[[#This Row],[Name]],Table211121642021222325343536[Name],Table211121642021222325343536[Points],"DNP",0,1)</f>
        <v>DNP</v>
      </c>
      <c r="S328" t="str">
        <f>_xlfn.XLOOKUP(Table16[[#This Row],[Name]],Table21112164202122232534353637[Name],Table21112164202122232534353637[Points],"DNP",0,1)</f>
        <v>DNP</v>
      </c>
      <c r="T328" t="str">
        <f>_xlfn.XLOOKUP(Table16[[#This Row],[Name]],Table2111216420212223253435363738[Name],Table2111216420212223253435363738[Points],"DNP",0,1)</f>
        <v>DNP</v>
      </c>
      <c r="U328" t="str">
        <f>_xlfn.XLOOKUP(Table16[[#This Row],[Name]],Table2111216420212223253435363739[Name],Table2111216420212223253435363739[Points],"DNP",0,1)</f>
        <v>DNP</v>
      </c>
      <c r="V328" t="str">
        <f>_xlfn.XLOOKUP(Table16[[#This Row],[Name]],Table211121642021222325343536373841[Name],Table211121642021222325343536373841[Points],"DNP",0,1)</f>
        <v>DNP</v>
      </c>
    </row>
    <row r="329" spans="2:22">
      <c r="B329" t="str">
        <f>IFERROR(Table5[[#This Row],[Full name]],"")</f>
        <v>Tommy Truong</v>
      </c>
      <c r="C329" s="68">
        <f>SUM(Table16[[#This Row],[September 30, 2025]:[Column18]])</f>
        <v>64</v>
      </c>
      <c r="D329">
        <f>_xlfn.XLOOKUP(Table16[[#This Row],[Name]],Table4[Name],Table4[Points],"DNP",0,1)</f>
        <v>4</v>
      </c>
      <c r="E329">
        <f>_xlfn.XLOOKUP(Table16[[#This Row],[Name]],Table9[Name],Table9[Points],"DNP",0,1)</f>
        <v>2</v>
      </c>
      <c r="F329">
        <f>_xlfn.XLOOKUP(Table16[[#This Row],[Name]],Table18[Name],Table18[Points],"DNP",0,1)</f>
        <v>2</v>
      </c>
      <c r="G329" t="str">
        <f>_xlfn.XLOOKUP(Table16[[#This Row],[Name]],Table2[Name],Table2[Points],"DNP",0,1)</f>
        <v>DNP</v>
      </c>
      <c r="H329">
        <f>_xlfn.XLOOKUP(Table16[[#This Row],[Name]],Table211[Name],Table211[Points],"DNP",0,1)</f>
        <v>3</v>
      </c>
      <c r="I329">
        <f>_xlfn.XLOOKUP(Table16[[#This Row],[Name]],Table21112[Name],Table21112[Points],"DNP",0,1)</f>
        <v>30</v>
      </c>
      <c r="J329">
        <f>_xlfn.XLOOKUP(Table16[[#This Row],[Name]],Table21112164[Name],Table21112164[Points],"DNP",0,1)</f>
        <v>1</v>
      </c>
      <c r="K329">
        <f>_xlfn.XLOOKUP(Table16[[#This Row],[Name]],Table2111216420[Name],Table2111216420[Points],"DNP",0,1)</f>
        <v>4</v>
      </c>
      <c r="L329">
        <f>_xlfn.XLOOKUP(Table16[[#This Row],[Name]],Table211121642021[Name],Table211121642021[Points],"DNP",0,1)</f>
        <v>4</v>
      </c>
      <c r="M329">
        <f>_xlfn.XLOOKUP(Table16[[#This Row],[Name]],Table21112164202122[Name],Table21112164202122[Points],"DNP",0,1)</f>
        <v>4</v>
      </c>
      <c r="N329" t="str">
        <f>_xlfn.XLOOKUP(Table16[[#This Row],[Name]],Table2111216420212223[Name],Table2111216420212223[Points],"DNP",0,1)</f>
        <v>DNP</v>
      </c>
      <c r="O329">
        <f>_xlfn.XLOOKUP(Table16[[#This Row],[Name]],Table211121642021222325[Name],Table211121642021222325[Points],"DNP",0,1)</f>
        <v>1</v>
      </c>
      <c r="P329">
        <f>_xlfn.XLOOKUP(Table16[[#This Row],[Name]],Table21112164202122232534[Name],Table21112164202122232534[Points],"DNP",0,1)</f>
        <v>1</v>
      </c>
      <c r="Q329">
        <f>_xlfn.XLOOKUP(Table16[[#This Row],[Name]],Table2111216420212223253435[Name],Table2111216420212223253435[Points],"DNP",0,1)</f>
        <v>1</v>
      </c>
      <c r="R329">
        <f>_xlfn.XLOOKUP(Table16[[#This Row],[Name]],Table211121642021222325343536[Name],Table211121642021222325343536[Points],"DNP",0,1)</f>
        <v>2</v>
      </c>
      <c r="S329">
        <f>_xlfn.XLOOKUP(Table16[[#This Row],[Name]],Table21112164202122232534353637[Name],Table21112164202122232534353637[Points],"DNP",0,1)</f>
        <v>1</v>
      </c>
      <c r="T329">
        <f>_xlfn.XLOOKUP(Table16[[#This Row],[Name]],Table2111216420212223253435363738[Name],Table2111216420212223253435363738[Points],"DNP",0,1)</f>
        <v>2</v>
      </c>
      <c r="U329">
        <f>_xlfn.XLOOKUP(Table16[[#This Row],[Name]],Table2111216420212223253435363739[Name],Table2111216420212223253435363739[Points],"DNP",0,1)</f>
        <v>1</v>
      </c>
      <c r="V329">
        <f>_xlfn.XLOOKUP(Table16[[#This Row],[Name]],Table211121642021222325343536373841[Name],Table211121642021222325343536373841[Points],"DNP",0,1)</f>
        <v>1</v>
      </c>
    </row>
    <row r="330" spans="2:22">
      <c r="B330" t="str">
        <f>IFERROR(Table5[[#This Row],[Full name]],"")</f>
        <v>Tyler Griffiths</v>
      </c>
      <c r="C330" s="68">
        <f>SUM(Table16[[#This Row],[September 30, 2025]:[Column18]])</f>
        <v>0</v>
      </c>
      <c r="D330" t="str">
        <f>_xlfn.XLOOKUP(Table16[[#This Row],[Name]],Table4[Name],Table4[Points],"DNP",0,1)</f>
        <v>DNP</v>
      </c>
      <c r="E330" t="str">
        <f>_xlfn.XLOOKUP(Table16[[#This Row],[Name]],Table9[Name],Table9[Points],"DNP",0,1)</f>
        <v>DNP</v>
      </c>
      <c r="F330" t="str">
        <f>_xlfn.XLOOKUP(Table16[[#This Row],[Name]],Table18[Name],Table18[Points],"DNP",0,1)</f>
        <v>DNP</v>
      </c>
      <c r="G330" t="str">
        <f>_xlfn.XLOOKUP(Table16[[#This Row],[Name]],Table2[Name],Table2[Points],"DNP",0,1)</f>
        <v>DNP</v>
      </c>
      <c r="H330" t="str">
        <f>_xlfn.XLOOKUP(Table16[[#This Row],[Name]],Table211[Name],Table211[Points],"DNP",0,1)</f>
        <v>DNP</v>
      </c>
      <c r="I330" t="str">
        <f>_xlfn.XLOOKUP(Table16[[#This Row],[Name]],Table21112[Name],Table21112[Points],"DNP",0,1)</f>
        <v>DNP</v>
      </c>
      <c r="J330" t="str">
        <f>_xlfn.XLOOKUP(Table16[[#This Row],[Name]],Table21112164[Name],Table21112164[Points],"DNP",0,1)</f>
        <v>DNP</v>
      </c>
      <c r="K330" t="str">
        <f>_xlfn.XLOOKUP(Table16[[#This Row],[Name]],Table2111216420[Name],Table2111216420[Points],"DNP",0,1)</f>
        <v>DNP</v>
      </c>
      <c r="L330" t="str">
        <f>_xlfn.XLOOKUP(Table16[[#This Row],[Name]],Table211121642021[Name],Table211121642021[Points],"DNP",0,1)</f>
        <v>DNP</v>
      </c>
      <c r="M330" t="str">
        <f>_xlfn.XLOOKUP(Table16[[#This Row],[Name]],Table21112164202122[Name],Table21112164202122[Points],"DNP",0,1)</f>
        <v>DNP</v>
      </c>
      <c r="N330" t="str">
        <f>_xlfn.XLOOKUP(Table16[[#This Row],[Name]],Table2111216420212223[Name],Table2111216420212223[Points],"DNP",0,1)</f>
        <v>DNP</v>
      </c>
      <c r="O330" t="str">
        <f>_xlfn.XLOOKUP(Table16[[#This Row],[Name]],Table211121642021222325[Name],Table211121642021222325[Points],"DNP",0,1)</f>
        <v>DNP</v>
      </c>
      <c r="P330" t="str">
        <f>_xlfn.XLOOKUP(Table16[[#This Row],[Name]],Table21112164202122232534[Name],Table21112164202122232534[Points],"DNP",0,1)</f>
        <v>DNP</v>
      </c>
      <c r="Q330" t="str">
        <f>_xlfn.XLOOKUP(Table16[[#This Row],[Name]],Table2111216420212223253435[Name],Table2111216420212223253435[Points],"DNP",0,1)</f>
        <v>DNP</v>
      </c>
      <c r="R330" t="str">
        <f>_xlfn.XLOOKUP(Table16[[#This Row],[Name]],Table211121642021222325343536[Name],Table211121642021222325343536[Points],"DNP",0,1)</f>
        <v>DNP</v>
      </c>
      <c r="S330" t="str">
        <f>_xlfn.XLOOKUP(Table16[[#This Row],[Name]],Table21112164202122232534353637[Name],Table21112164202122232534353637[Points],"DNP",0,1)</f>
        <v>DNP</v>
      </c>
      <c r="T330" t="str">
        <f>_xlfn.XLOOKUP(Table16[[#This Row],[Name]],Table2111216420212223253435363738[Name],Table2111216420212223253435363738[Points],"DNP",0,1)</f>
        <v>DNP</v>
      </c>
      <c r="U330" t="str">
        <f>_xlfn.XLOOKUP(Table16[[#This Row],[Name]],Table2111216420212223253435363739[Name],Table2111216420212223253435363739[Points],"DNP",0,1)</f>
        <v>DNP</v>
      </c>
      <c r="V330" t="str">
        <f>_xlfn.XLOOKUP(Table16[[#This Row],[Name]],Table211121642021222325343536373841[Name],Table211121642021222325343536373841[Points],"DNP",0,1)</f>
        <v>DNP</v>
      </c>
    </row>
    <row r="331" spans="2:22">
      <c r="B331" t="str">
        <f>IFERROR(Table5[[#This Row],[Full name]],"")</f>
        <v>Tyler Maddox</v>
      </c>
      <c r="C331" s="68">
        <f>SUM(Table16[[#This Row],[September 30, 2025]:[Column18]])</f>
        <v>1</v>
      </c>
      <c r="D331" t="str">
        <f>_xlfn.XLOOKUP(Table16[[#This Row],[Name]],Table4[Name],Table4[Points],"DNP",0,1)</f>
        <v>DNP</v>
      </c>
      <c r="E331" t="str">
        <f>_xlfn.XLOOKUP(Table16[[#This Row],[Name]],Table9[Name],Table9[Points],"DNP",0,1)</f>
        <v>DNP</v>
      </c>
      <c r="F331">
        <f>_xlfn.XLOOKUP(Table16[[#This Row],[Name]],Table18[Name],Table18[Points],"DNP",0,1)</f>
        <v>1</v>
      </c>
      <c r="G331" t="str">
        <f>_xlfn.XLOOKUP(Table16[[#This Row],[Name]],Table2[Name],Table2[Points],"DNP",0,1)</f>
        <v>DNP</v>
      </c>
      <c r="H331" t="str">
        <f>_xlfn.XLOOKUP(Table16[[#This Row],[Name]],Table211[Name],Table211[Points],"DNP",0,1)</f>
        <v>DNP</v>
      </c>
      <c r="I331" t="str">
        <f>_xlfn.XLOOKUP(Table16[[#This Row],[Name]],Table21112[Name],Table21112[Points],"DNP",0,1)</f>
        <v>DNP</v>
      </c>
      <c r="J331" t="str">
        <f>_xlfn.XLOOKUP(Table16[[#This Row],[Name]],Table21112164[Name],Table21112164[Points],"DNP",0,1)</f>
        <v>DNP</v>
      </c>
      <c r="K331" t="str">
        <f>_xlfn.XLOOKUP(Table16[[#This Row],[Name]],Table2111216420[Name],Table2111216420[Points],"DNP",0,1)</f>
        <v>DNP</v>
      </c>
      <c r="L331" t="str">
        <f>_xlfn.XLOOKUP(Table16[[#This Row],[Name]],Table211121642021[Name],Table211121642021[Points],"DNP",0,1)</f>
        <v>DNP</v>
      </c>
      <c r="M331" t="str">
        <f>_xlfn.XLOOKUP(Table16[[#This Row],[Name]],Table21112164202122[Name],Table21112164202122[Points],"DNP",0,1)</f>
        <v>DNP</v>
      </c>
      <c r="N331" t="str">
        <f>_xlfn.XLOOKUP(Table16[[#This Row],[Name]],Table2111216420212223[Name],Table2111216420212223[Points],"DNP",0,1)</f>
        <v>DNP</v>
      </c>
      <c r="O331" t="str">
        <f>_xlfn.XLOOKUP(Table16[[#This Row],[Name]],Table211121642021222325[Name],Table211121642021222325[Points],"DNP",0,1)</f>
        <v>DNP</v>
      </c>
      <c r="P331" t="str">
        <f>_xlfn.XLOOKUP(Table16[[#This Row],[Name]],Table21112164202122232534[Name],Table21112164202122232534[Points],"DNP",0,1)</f>
        <v>DNP</v>
      </c>
      <c r="Q331" t="str">
        <f>_xlfn.XLOOKUP(Table16[[#This Row],[Name]],Table2111216420212223253435[Name],Table2111216420212223253435[Points],"DNP",0,1)</f>
        <v>DNP</v>
      </c>
      <c r="R331" t="str">
        <f>_xlfn.XLOOKUP(Table16[[#This Row],[Name]],Table211121642021222325343536[Name],Table211121642021222325343536[Points],"DNP",0,1)</f>
        <v>DNP</v>
      </c>
      <c r="S331" t="str">
        <f>_xlfn.XLOOKUP(Table16[[#This Row],[Name]],Table21112164202122232534353637[Name],Table21112164202122232534353637[Points],"DNP",0,1)</f>
        <v>DNP</v>
      </c>
      <c r="T331" t="str">
        <f>_xlfn.XLOOKUP(Table16[[#This Row],[Name]],Table2111216420212223253435363738[Name],Table2111216420212223253435363738[Points],"DNP",0,1)</f>
        <v>DNP</v>
      </c>
      <c r="U331" t="str">
        <f>_xlfn.XLOOKUP(Table16[[#This Row],[Name]],Table2111216420212223253435363739[Name],Table2111216420212223253435363739[Points],"DNP",0,1)</f>
        <v>DNP</v>
      </c>
      <c r="V331" t="str">
        <f>_xlfn.XLOOKUP(Table16[[#This Row],[Name]],Table211121642021222325343536373841[Name],Table211121642021222325343536373841[Points],"DNP",0,1)</f>
        <v>DNP</v>
      </c>
    </row>
    <row r="332" spans="2:22">
      <c r="B332" t="str">
        <f>IFERROR(Table5[[#This Row],[Full name]],"")</f>
        <v>Vanessa Olutayo</v>
      </c>
      <c r="C332" s="68">
        <f>SUM(Table16[[#This Row],[September 30, 2025]:[Column18]])</f>
        <v>9</v>
      </c>
      <c r="D332" t="str">
        <f>_xlfn.XLOOKUP(Table16[[#This Row],[Name]],Table4[Name],Table4[Points],"DNP",0,1)</f>
        <v>DNP</v>
      </c>
      <c r="E332" t="str">
        <f>_xlfn.XLOOKUP(Table16[[#This Row],[Name]],Table9[Name],Table9[Points],"DNP",0,1)</f>
        <v>DNP</v>
      </c>
      <c r="F332" t="str">
        <f>_xlfn.XLOOKUP(Table16[[#This Row],[Name]],Table18[Name],Table18[Points],"DNP",0,1)</f>
        <v>DNP</v>
      </c>
      <c r="G332" t="str">
        <f>_xlfn.XLOOKUP(Table16[[#This Row],[Name]],Table2[Name],Table2[Points],"DNP",0,1)</f>
        <v>DNP</v>
      </c>
      <c r="H332" t="str">
        <f>_xlfn.XLOOKUP(Table16[[#This Row],[Name]],Table211[Name],Table211[Points],"DNP",0,1)</f>
        <v>DNP</v>
      </c>
      <c r="I332" t="str">
        <f>_xlfn.XLOOKUP(Table16[[#This Row],[Name]],Table21112[Name],Table21112[Points],"DNP",0,1)</f>
        <v>DNP</v>
      </c>
      <c r="J332" t="str">
        <f>_xlfn.XLOOKUP(Table16[[#This Row],[Name]],Table21112164[Name],Table21112164[Points],"DNP",0,1)</f>
        <v>DNP</v>
      </c>
      <c r="K332" t="str">
        <f>_xlfn.XLOOKUP(Table16[[#This Row],[Name]],Table2111216420[Name],Table2111216420[Points],"DNP",0,1)</f>
        <v>DNP</v>
      </c>
      <c r="L332" t="str">
        <f>_xlfn.XLOOKUP(Table16[[#This Row],[Name]],Table211121642021[Name],Table211121642021[Points],"DNP",0,1)</f>
        <v>DNP</v>
      </c>
      <c r="M332">
        <f>_xlfn.XLOOKUP(Table16[[#This Row],[Name]],Table21112164202122[Name],Table21112164202122[Points],"DNP",0,1)</f>
        <v>1</v>
      </c>
      <c r="N332" t="str">
        <f>_xlfn.XLOOKUP(Table16[[#This Row],[Name]],Table2111216420212223[Name],Table2111216420212223[Points],"DNP",0,1)</f>
        <v>DNP</v>
      </c>
      <c r="O332" t="str">
        <f>_xlfn.XLOOKUP(Table16[[#This Row],[Name]],Table211121642021222325[Name],Table211121642021222325[Points],"DNP",0,1)</f>
        <v>DNP</v>
      </c>
      <c r="P332" t="str">
        <f>_xlfn.XLOOKUP(Table16[[#This Row],[Name]],Table21112164202122232534[Name],Table21112164202122232534[Points],"DNP",0,1)</f>
        <v>DNP</v>
      </c>
      <c r="Q332">
        <f>_xlfn.XLOOKUP(Table16[[#This Row],[Name]],Table2111216420212223253435[Name],Table2111216420212223253435[Points],"DNP",0,1)</f>
        <v>8</v>
      </c>
      <c r="R332" t="str">
        <f>_xlfn.XLOOKUP(Table16[[#This Row],[Name]],Table211121642021222325343536[Name],Table211121642021222325343536[Points],"DNP",0,1)</f>
        <v>DNP</v>
      </c>
      <c r="S332" t="str">
        <f>_xlfn.XLOOKUP(Table16[[#This Row],[Name]],Table21112164202122232534353637[Name],Table21112164202122232534353637[Points],"DNP",0,1)</f>
        <v>DNP</v>
      </c>
      <c r="T332" t="str">
        <f>_xlfn.XLOOKUP(Table16[[#This Row],[Name]],Table2111216420212223253435363738[Name],Table2111216420212223253435363738[Points],"DNP",0,1)</f>
        <v>DNP</v>
      </c>
      <c r="U332" t="str">
        <f>_xlfn.XLOOKUP(Table16[[#This Row],[Name]],Table2111216420212223253435363739[Name],Table2111216420212223253435363739[Points],"DNP",0,1)</f>
        <v>DNP</v>
      </c>
      <c r="V332" t="str">
        <f>_xlfn.XLOOKUP(Table16[[#This Row],[Name]],Table211121642021222325343536373841[Name],Table211121642021222325343536373841[Points],"DNP",0,1)</f>
        <v>DNP</v>
      </c>
    </row>
    <row r="333" spans="2:22">
      <c r="B333" t="str">
        <f>IFERROR(Table5[[#This Row],[Full name]],"")</f>
        <v>Victor Pivtoran</v>
      </c>
      <c r="C333" s="68">
        <f>SUM(Table16[[#This Row],[September 30, 2025]:[Column18]])</f>
        <v>57</v>
      </c>
      <c r="D333" t="str">
        <f>_xlfn.XLOOKUP(Table16[[#This Row],[Name]],Table4[Name],Table4[Points],"DNP",0,1)</f>
        <v>DNP</v>
      </c>
      <c r="E333">
        <f>_xlfn.XLOOKUP(Table16[[#This Row],[Name]],Table9[Name],Table9[Points],"DNP",0,1)</f>
        <v>1</v>
      </c>
      <c r="F333">
        <f>_xlfn.XLOOKUP(Table16[[#This Row],[Name]],Table18[Name],Table18[Points],"DNP",0,1)</f>
        <v>10</v>
      </c>
      <c r="G333">
        <f>_xlfn.XLOOKUP(Table16[[#This Row],[Name]],Table2[Name],Table2[Points],"DNP",0,1)</f>
        <v>8</v>
      </c>
      <c r="H333" t="str">
        <f>_xlfn.XLOOKUP(Table16[[#This Row],[Name]],Table211[Name],Table211[Points],"DNP",0,1)</f>
        <v>DNP</v>
      </c>
      <c r="I333">
        <f>_xlfn.XLOOKUP(Table16[[#This Row],[Name]],Table21112[Name],Table21112[Points],"DNP",0,1)</f>
        <v>1</v>
      </c>
      <c r="J333">
        <f>_xlfn.XLOOKUP(Table16[[#This Row],[Name]],Table21112164[Name],Table21112164[Points],"DNP",0,1)</f>
        <v>4</v>
      </c>
      <c r="K333">
        <f>_xlfn.XLOOKUP(Table16[[#This Row],[Name]],Table2111216420[Name],Table2111216420[Points],"DNP",0,1)</f>
        <v>1</v>
      </c>
      <c r="L333" t="str">
        <f>_xlfn.XLOOKUP(Table16[[#This Row],[Name]],Table211121642021[Name],Table211121642021[Points],"DNP",0,1)</f>
        <v>DNP</v>
      </c>
      <c r="M333">
        <f>_xlfn.XLOOKUP(Table16[[#This Row],[Name]],Table21112164202122[Name],Table21112164202122[Points],"DNP",0,1)</f>
        <v>8</v>
      </c>
      <c r="N333">
        <f>_xlfn.XLOOKUP(Table16[[#This Row],[Name]],Table2111216420212223[Name],Table2111216420212223[Points],"DNP",0,1)</f>
        <v>8</v>
      </c>
      <c r="O333">
        <f>_xlfn.XLOOKUP(Table16[[#This Row],[Name]],Table211121642021222325[Name],Table211121642021222325[Points],"DNP",0,1)</f>
        <v>1</v>
      </c>
      <c r="P333">
        <f>_xlfn.XLOOKUP(Table16[[#This Row],[Name]],Table21112164202122232534[Name],Table21112164202122232534[Points],"DNP",0,1)</f>
        <v>1</v>
      </c>
      <c r="Q333">
        <f>_xlfn.XLOOKUP(Table16[[#This Row],[Name]],Table2111216420212223253435[Name],Table2111216420212223253435[Points],"DNP",0,1)</f>
        <v>10</v>
      </c>
      <c r="R333">
        <f>_xlfn.XLOOKUP(Table16[[#This Row],[Name]],Table211121642021222325343536[Name],Table211121642021222325343536[Points],"DNP",0,1)</f>
        <v>2</v>
      </c>
      <c r="S333">
        <f>_xlfn.XLOOKUP(Table16[[#This Row],[Name]],Table21112164202122232534353637[Name],Table21112164202122232534353637[Points],"DNP",0,1)</f>
        <v>1</v>
      </c>
      <c r="T333" t="str">
        <f>_xlfn.XLOOKUP(Table16[[#This Row],[Name]],Table2111216420212223253435363738[Name],Table2111216420212223253435363738[Points],"DNP",0,1)</f>
        <v>DNP</v>
      </c>
      <c r="U333">
        <f>_xlfn.XLOOKUP(Table16[[#This Row],[Name]],Table2111216420212223253435363739[Name],Table2111216420212223253435363739[Points],"DNP",0,1)</f>
        <v>1</v>
      </c>
      <c r="V333" t="str">
        <f>_xlfn.XLOOKUP(Table16[[#This Row],[Name]],Table211121642021222325343536373841[Name],Table211121642021222325343536373841[Points],"DNP",0,1)</f>
        <v>DNP</v>
      </c>
    </row>
    <row r="334" spans="2:22">
      <c r="B334" t="str">
        <f>IFERROR(Table5[[#This Row],[Full name]],"")</f>
        <v>Vik Anandkmar</v>
      </c>
      <c r="C334" s="68">
        <f>SUM(Table16[[#This Row],[September 30, 2025]:[Column18]])</f>
        <v>67</v>
      </c>
      <c r="D334" t="str">
        <f>_xlfn.XLOOKUP(Table16[[#This Row],[Name]],Table4[Name],Table4[Points],"DNP",0,1)</f>
        <v>DNP</v>
      </c>
      <c r="E334" t="str">
        <f>_xlfn.XLOOKUP(Table16[[#This Row],[Name]],Table9[Name],Table9[Points],"DNP",0,1)</f>
        <v>DNP</v>
      </c>
      <c r="F334" t="str">
        <f>_xlfn.XLOOKUP(Table16[[#This Row],[Name]],Table18[Name],Table18[Points],"DNP",0,1)</f>
        <v>DNP</v>
      </c>
      <c r="G334" t="str">
        <f>_xlfn.XLOOKUP(Table16[[#This Row],[Name]],Table2[Name],Table2[Points],"DNP",0,1)</f>
        <v>DNP</v>
      </c>
      <c r="H334" t="str">
        <f>_xlfn.XLOOKUP(Table16[[#This Row],[Name]],Table211[Name],Table211[Points],"DNP",0,1)</f>
        <v>DNP</v>
      </c>
      <c r="I334" t="str">
        <f>_xlfn.XLOOKUP(Table16[[#This Row],[Name]],Table21112[Name],Table21112[Points],"DNP",0,1)</f>
        <v>DNP</v>
      </c>
      <c r="J334" t="str">
        <f>_xlfn.XLOOKUP(Table16[[#This Row],[Name]],Table21112164[Name],Table21112164[Points],"DNP",0,1)</f>
        <v>DNP</v>
      </c>
      <c r="K334">
        <f>_xlfn.XLOOKUP(Table16[[#This Row],[Name]],Table2111216420[Name],Table2111216420[Points],"DNP",0,1)</f>
        <v>1</v>
      </c>
      <c r="L334">
        <f>_xlfn.XLOOKUP(Table16[[#This Row],[Name]],Table211121642021[Name],Table211121642021[Points],"DNP",0,1)</f>
        <v>1</v>
      </c>
      <c r="M334">
        <f>_xlfn.XLOOKUP(Table16[[#This Row],[Name]],Table21112164202122[Name],Table21112164202122[Points],"DNP",0,1)</f>
        <v>2</v>
      </c>
      <c r="N334">
        <f>_xlfn.XLOOKUP(Table16[[#This Row],[Name]],Table2111216420212223[Name],Table2111216420212223[Points],"DNP",0,1)</f>
        <v>1</v>
      </c>
      <c r="O334">
        <f>_xlfn.XLOOKUP(Table16[[#This Row],[Name]],Table211121642021222325[Name],Table211121642021222325[Points],"DNP",0,1)</f>
        <v>10</v>
      </c>
      <c r="P334">
        <f>_xlfn.XLOOKUP(Table16[[#This Row],[Name]],Table21112164202122232534[Name],Table21112164202122232534[Points],"DNP",0,1)</f>
        <v>2</v>
      </c>
      <c r="Q334">
        <f>_xlfn.XLOOKUP(Table16[[#This Row],[Name]],Table2111216420212223253435[Name],Table2111216420212223253435[Points],"DNP",0,1)</f>
        <v>1</v>
      </c>
      <c r="R334">
        <f>_xlfn.XLOOKUP(Table16[[#This Row],[Name]],Table211121642021222325343536[Name],Table211121642021222325343536[Points],"DNP",0,1)</f>
        <v>8</v>
      </c>
      <c r="S334">
        <f>_xlfn.XLOOKUP(Table16[[#This Row],[Name]],Table21112164202122232534353637[Name],Table21112164202122232534353637[Points],"DNP",0,1)</f>
        <v>1</v>
      </c>
      <c r="T334">
        <f>_xlfn.XLOOKUP(Table16[[#This Row],[Name]],Table2111216420212223253435363738[Name],Table2111216420212223253435363738[Points],"DNP",0,1)</f>
        <v>1</v>
      </c>
      <c r="U334">
        <f>_xlfn.XLOOKUP(Table16[[#This Row],[Name]],Table2111216420212223253435363739[Name],Table2111216420212223253435363739[Points],"DNP",0,1)</f>
        <v>38</v>
      </c>
      <c r="V334">
        <f>_xlfn.XLOOKUP(Table16[[#This Row],[Name]],Table211121642021222325343536373841[Name],Table211121642021222325343536373841[Points],"DNP",0,1)</f>
        <v>1</v>
      </c>
    </row>
    <row r="335" spans="2:22">
      <c r="B335" t="str">
        <f>IFERROR(Table5[[#This Row],[Full name]],"")</f>
        <v>Vishall Balaji Balakrishnan</v>
      </c>
      <c r="C335" s="68">
        <f>SUM(Table16[[#This Row],[September 30, 2025]:[Column18]])</f>
        <v>27</v>
      </c>
      <c r="D335" t="str">
        <f>_xlfn.XLOOKUP(Table16[[#This Row],[Name]],Table4[Name],Table4[Points],"DNP",0,1)</f>
        <v>DNP</v>
      </c>
      <c r="E335">
        <f>_xlfn.XLOOKUP(Table16[[#This Row],[Name]],Table9[Name],Table9[Points],"DNP",0,1)</f>
        <v>1</v>
      </c>
      <c r="F335">
        <f>_xlfn.XLOOKUP(Table16[[#This Row],[Name]],Table18[Name],Table18[Points],"DNP",0,1)</f>
        <v>4</v>
      </c>
      <c r="G335" t="str">
        <f>_xlfn.XLOOKUP(Table16[[#This Row],[Name]],Table2[Name],Table2[Points],"DNP",0,1)</f>
        <v>DNP</v>
      </c>
      <c r="H335" t="str">
        <f>_xlfn.XLOOKUP(Table16[[#This Row],[Name]],Table211[Name],Table211[Points],"DNP",0,1)</f>
        <v>DNP</v>
      </c>
      <c r="I335" t="str">
        <f>_xlfn.XLOOKUP(Table16[[#This Row],[Name]],Table21112[Name],Table21112[Points],"DNP",0,1)</f>
        <v>DNP</v>
      </c>
      <c r="J335" t="str">
        <f>_xlfn.XLOOKUP(Table16[[#This Row],[Name]],Table21112164[Name],Table21112164[Points],"DNP",0,1)</f>
        <v>DNP</v>
      </c>
      <c r="K335" t="str">
        <f>_xlfn.XLOOKUP(Table16[[#This Row],[Name]],Table2111216420[Name],Table2111216420[Points],"DNP",0,1)</f>
        <v>DNP</v>
      </c>
      <c r="L335" t="str">
        <f>_xlfn.XLOOKUP(Table16[[#This Row],[Name]],Table211121642021[Name],Table211121642021[Points],"DNP",0,1)</f>
        <v>DNP</v>
      </c>
      <c r="M335" t="str">
        <f>_xlfn.XLOOKUP(Table16[[#This Row],[Name]],Table21112164202122[Name],Table21112164202122[Points],"DNP",0,1)</f>
        <v>DNP</v>
      </c>
      <c r="N335">
        <f>_xlfn.XLOOKUP(Table16[[#This Row],[Name]],Table2111216420212223[Name],Table2111216420212223[Points],"DNP",0,1)</f>
        <v>4</v>
      </c>
      <c r="O335">
        <f>_xlfn.XLOOKUP(Table16[[#This Row],[Name]],Table211121642021222325[Name],Table211121642021222325[Points],"DNP",0,1)</f>
        <v>1</v>
      </c>
      <c r="P335" t="str">
        <f>_xlfn.XLOOKUP(Table16[[#This Row],[Name]],Table21112164202122232534[Name],Table21112164202122232534[Points],"DNP",0,1)</f>
        <v>DNP</v>
      </c>
      <c r="Q335">
        <f>_xlfn.XLOOKUP(Table16[[#This Row],[Name]],Table2111216420212223253435[Name],Table2111216420212223253435[Points],"DNP",0,1)</f>
        <v>2</v>
      </c>
      <c r="R335">
        <f>_xlfn.XLOOKUP(Table16[[#This Row],[Name]],Table211121642021222325343536[Name],Table211121642021222325343536[Points],"DNP",0,1)</f>
        <v>15</v>
      </c>
      <c r="S335" t="str">
        <f>_xlfn.XLOOKUP(Table16[[#This Row],[Name]],Table21112164202122232534353637[Name],Table21112164202122232534353637[Points],"DNP",0,1)</f>
        <v>DNP</v>
      </c>
      <c r="T335" t="str">
        <f>_xlfn.XLOOKUP(Table16[[#This Row],[Name]],Table2111216420212223253435363738[Name],Table2111216420212223253435363738[Points],"DNP",0,1)</f>
        <v>DNP</v>
      </c>
      <c r="U335" t="str">
        <f>_xlfn.XLOOKUP(Table16[[#This Row],[Name]],Table2111216420212223253435363739[Name],Table2111216420212223253435363739[Points],"DNP",0,1)</f>
        <v>DNP</v>
      </c>
      <c r="V335" t="str">
        <f>_xlfn.XLOOKUP(Table16[[#This Row],[Name]],Table211121642021222325343536373841[Name],Table211121642021222325343536373841[Points],"DNP",0,1)</f>
        <v>DNP</v>
      </c>
    </row>
    <row r="336" spans="2:22">
      <c r="B336" t="str">
        <f>IFERROR(Table5[[#This Row],[Full name]],"")</f>
        <v>Vivaan Master</v>
      </c>
      <c r="C336" s="68">
        <f>SUM(Table16[[#This Row],[September 30, 2025]:[Column18]])</f>
        <v>0</v>
      </c>
      <c r="D336" t="str">
        <f>_xlfn.XLOOKUP(Table16[[#This Row],[Name]],Table4[Name],Table4[Points],"DNP",0,1)</f>
        <v>DNP</v>
      </c>
      <c r="E336" t="str">
        <f>_xlfn.XLOOKUP(Table16[[#This Row],[Name]],Table9[Name],Table9[Points],"DNP",0,1)</f>
        <v>DNP</v>
      </c>
      <c r="F336" t="str">
        <f>_xlfn.XLOOKUP(Table16[[#This Row],[Name]],Table18[Name],Table18[Points],"DNP",0,1)</f>
        <v>DNP</v>
      </c>
      <c r="G336" t="str">
        <f>_xlfn.XLOOKUP(Table16[[#This Row],[Name]],Table2[Name],Table2[Points],"DNP",0,1)</f>
        <v>DNP</v>
      </c>
      <c r="H336" t="str">
        <f>_xlfn.XLOOKUP(Table16[[#This Row],[Name]],Table211[Name],Table211[Points],"DNP",0,1)</f>
        <v>DNP</v>
      </c>
      <c r="I336" t="str">
        <f>_xlfn.XLOOKUP(Table16[[#This Row],[Name]],Table21112[Name],Table21112[Points],"DNP",0,1)</f>
        <v>DNP</v>
      </c>
      <c r="J336" t="str">
        <f>_xlfn.XLOOKUP(Table16[[#This Row],[Name]],Table21112164[Name],Table21112164[Points],"DNP",0,1)</f>
        <v>DNP</v>
      </c>
      <c r="K336" t="str">
        <f>_xlfn.XLOOKUP(Table16[[#This Row],[Name]],Table2111216420[Name],Table2111216420[Points],"DNP",0,1)</f>
        <v>DNP</v>
      </c>
      <c r="L336" t="str">
        <f>_xlfn.XLOOKUP(Table16[[#This Row],[Name]],Table211121642021[Name],Table211121642021[Points],"DNP",0,1)</f>
        <v>DNP</v>
      </c>
      <c r="M336" t="str">
        <f>_xlfn.XLOOKUP(Table16[[#This Row],[Name]],Table21112164202122[Name],Table21112164202122[Points],"DNP",0,1)</f>
        <v>DNP</v>
      </c>
      <c r="N336" t="str">
        <f>_xlfn.XLOOKUP(Table16[[#This Row],[Name]],Table2111216420212223[Name],Table2111216420212223[Points],"DNP",0,1)</f>
        <v>DNP</v>
      </c>
      <c r="O336" t="str">
        <f>_xlfn.XLOOKUP(Table16[[#This Row],[Name]],Table211121642021222325[Name],Table211121642021222325[Points],"DNP",0,1)</f>
        <v>DNP</v>
      </c>
      <c r="P336" t="str">
        <f>_xlfn.XLOOKUP(Table16[[#This Row],[Name]],Table21112164202122232534[Name],Table21112164202122232534[Points],"DNP",0,1)</f>
        <v>DNP</v>
      </c>
      <c r="Q336" t="str">
        <f>_xlfn.XLOOKUP(Table16[[#This Row],[Name]],Table2111216420212223253435[Name],Table2111216420212223253435[Points],"DNP",0,1)</f>
        <v>DNP</v>
      </c>
      <c r="R336" t="str">
        <f>_xlfn.XLOOKUP(Table16[[#This Row],[Name]],Table211121642021222325343536[Name],Table211121642021222325343536[Points],"DNP",0,1)</f>
        <v>DNP</v>
      </c>
      <c r="S336" t="str">
        <f>_xlfn.XLOOKUP(Table16[[#This Row],[Name]],Table21112164202122232534353637[Name],Table21112164202122232534353637[Points],"DNP",0,1)</f>
        <v>DNP</v>
      </c>
      <c r="T336" t="str">
        <f>_xlfn.XLOOKUP(Table16[[#This Row],[Name]],Table2111216420212223253435363738[Name],Table2111216420212223253435363738[Points],"DNP",0,1)</f>
        <v>DNP</v>
      </c>
      <c r="U336" t="str">
        <f>_xlfn.XLOOKUP(Table16[[#This Row],[Name]],Table2111216420212223253435363739[Name],Table2111216420212223253435363739[Points],"DNP",0,1)</f>
        <v>DNP</v>
      </c>
      <c r="V336" t="str">
        <f>_xlfn.XLOOKUP(Table16[[#This Row],[Name]],Table211121642021222325343536373841[Name],Table211121642021222325343536373841[Points],"DNP",0,1)</f>
        <v>DNP</v>
      </c>
    </row>
    <row r="337" spans="2:22">
      <c r="B337" t="str">
        <f>IFERROR(Table5[[#This Row],[Full name]],"")</f>
        <v>William Meldrum</v>
      </c>
      <c r="C337" s="68">
        <f>SUM(Table16[[#This Row],[September 30, 2025]:[Column18]])</f>
        <v>0</v>
      </c>
      <c r="D337" t="str">
        <f>_xlfn.XLOOKUP(Table16[[#This Row],[Name]],Table4[Name],Table4[Points],"DNP",0,1)</f>
        <v>DNP</v>
      </c>
      <c r="E337" t="str">
        <f>_xlfn.XLOOKUP(Table16[[#This Row],[Name]],Table9[Name],Table9[Points],"DNP",0,1)</f>
        <v>DNP</v>
      </c>
      <c r="F337" t="str">
        <f>_xlfn.XLOOKUP(Table16[[#This Row],[Name]],Table18[Name],Table18[Points],"DNP",0,1)</f>
        <v>DNP</v>
      </c>
      <c r="G337" t="str">
        <f>_xlfn.XLOOKUP(Table16[[#This Row],[Name]],Table2[Name],Table2[Points],"DNP",0,1)</f>
        <v>DNP</v>
      </c>
      <c r="H337" t="str">
        <f>_xlfn.XLOOKUP(Table16[[#This Row],[Name]],Table211[Name],Table211[Points],"DNP",0,1)</f>
        <v>DNP</v>
      </c>
      <c r="I337" t="str">
        <f>_xlfn.XLOOKUP(Table16[[#This Row],[Name]],Table21112[Name],Table21112[Points],"DNP",0,1)</f>
        <v>DNP</v>
      </c>
      <c r="J337" t="str">
        <f>_xlfn.XLOOKUP(Table16[[#This Row],[Name]],Table21112164[Name],Table21112164[Points],"DNP",0,1)</f>
        <v>DNP</v>
      </c>
      <c r="K337" t="str">
        <f>_xlfn.XLOOKUP(Table16[[#This Row],[Name]],Table2111216420[Name],Table2111216420[Points],"DNP",0,1)</f>
        <v>DNP</v>
      </c>
      <c r="L337" t="str">
        <f>_xlfn.XLOOKUP(Table16[[#This Row],[Name]],Table211121642021[Name],Table211121642021[Points],"DNP",0,1)</f>
        <v>DNP</v>
      </c>
      <c r="M337" t="str">
        <f>_xlfn.XLOOKUP(Table16[[#This Row],[Name]],Table21112164202122[Name],Table21112164202122[Points],"DNP",0,1)</f>
        <v>DNP</v>
      </c>
      <c r="N337" t="str">
        <f>_xlfn.XLOOKUP(Table16[[#This Row],[Name]],Table2111216420212223[Name],Table2111216420212223[Points],"DNP",0,1)</f>
        <v>DNP</v>
      </c>
      <c r="O337" t="str">
        <f>_xlfn.XLOOKUP(Table16[[#This Row],[Name]],Table211121642021222325[Name],Table211121642021222325[Points],"DNP",0,1)</f>
        <v>DNP</v>
      </c>
      <c r="P337" t="str">
        <f>_xlfn.XLOOKUP(Table16[[#This Row],[Name]],Table21112164202122232534[Name],Table21112164202122232534[Points],"DNP",0,1)</f>
        <v>DNP</v>
      </c>
      <c r="Q337" t="str">
        <f>_xlfn.XLOOKUP(Table16[[#This Row],[Name]],Table2111216420212223253435[Name],Table2111216420212223253435[Points],"DNP",0,1)</f>
        <v>DNP</v>
      </c>
      <c r="R337" t="str">
        <f>_xlfn.XLOOKUP(Table16[[#This Row],[Name]],Table211121642021222325343536[Name],Table211121642021222325343536[Points],"DNP",0,1)</f>
        <v>DNP</v>
      </c>
      <c r="S337" t="str">
        <f>_xlfn.XLOOKUP(Table16[[#This Row],[Name]],Table21112164202122232534353637[Name],Table21112164202122232534353637[Points],"DNP",0,1)</f>
        <v>DNP</v>
      </c>
      <c r="T337" t="str">
        <f>_xlfn.XLOOKUP(Table16[[#This Row],[Name]],Table2111216420212223253435363738[Name],Table2111216420212223253435363738[Points],"DNP",0,1)</f>
        <v>DNP</v>
      </c>
      <c r="U337" t="str">
        <f>_xlfn.XLOOKUP(Table16[[#This Row],[Name]],Table2111216420212223253435363739[Name],Table2111216420212223253435363739[Points],"DNP",0,1)</f>
        <v>DNP</v>
      </c>
      <c r="V337" t="str">
        <f>_xlfn.XLOOKUP(Table16[[#This Row],[Name]],Table211121642021222325343536373841[Name],Table211121642021222325343536373841[Points],"DNP",0,1)</f>
        <v>DNP</v>
      </c>
    </row>
    <row r="338" spans="2:22">
      <c r="B338" t="str">
        <f>IFERROR(Table5[[#This Row],[Full name]],"")</f>
        <v>William Vu</v>
      </c>
      <c r="C338" s="68">
        <f>SUM(Table16[[#This Row],[September 30, 2025]:[Column18]])</f>
        <v>25</v>
      </c>
      <c r="D338">
        <f>_xlfn.XLOOKUP(Table16[[#This Row],[Name]],Table4[Name],Table4[Points],"DNP",0,1)</f>
        <v>20</v>
      </c>
      <c r="E338">
        <f>_xlfn.XLOOKUP(Table16[[#This Row],[Name]],Table9[Name],Table9[Points],"DNP",0,1)</f>
        <v>1</v>
      </c>
      <c r="F338">
        <f>_xlfn.XLOOKUP(Table16[[#This Row],[Name]],Table18[Name],Table18[Points],"DNP",0,1)</f>
        <v>1</v>
      </c>
      <c r="G338">
        <f>_xlfn.XLOOKUP(Table16[[#This Row],[Name]],Table2[Name],Table2[Points],"DNP",0,1)</f>
        <v>1</v>
      </c>
      <c r="H338" t="str">
        <f>_xlfn.XLOOKUP(Table16[[#This Row],[Name]],Table211[Name],Table211[Points],"DNP",0,1)</f>
        <v>DNP</v>
      </c>
      <c r="I338">
        <f>_xlfn.XLOOKUP(Table16[[#This Row],[Name]],Table21112[Name],Table21112[Points],"DNP",0,1)</f>
        <v>2</v>
      </c>
      <c r="J338" t="str">
        <f>_xlfn.XLOOKUP(Table16[[#This Row],[Name]],Table21112164[Name],Table21112164[Points],"DNP",0,1)</f>
        <v>DNP</v>
      </c>
      <c r="K338" t="str">
        <f>_xlfn.XLOOKUP(Table16[[#This Row],[Name]],Table2111216420[Name],Table2111216420[Points],"DNP",0,1)</f>
        <v>DNP</v>
      </c>
      <c r="L338" t="str">
        <f>_xlfn.XLOOKUP(Table16[[#This Row],[Name]],Table211121642021[Name],Table211121642021[Points],"DNP",0,1)</f>
        <v>DNP</v>
      </c>
      <c r="M338" t="str">
        <f>_xlfn.XLOOKUP(Table16[[#This Row],[Name]],Table21112164202122[Name],Table21112164202122[Points],"DNP",0,1)</f>
        <v>DNP</v>
      </c>
      <c r="N338" t="str">
        <f>_xlfn.XLOOKUP(Table16[[#This Row],[Name]],Table2111216420212223[Name],Table2111216420212223[Points],"DNP",0,1)</f>
        <v>DNP</v>
      </c>
      <c r="O338" t="str">
        <f>_xlfn.XLOOKUP(Table16[[#This Row],[Name]],Table211121642021222325[Name],Table211121642021222325[Points],"DNP",0,1)</f>
        <v>DNP</v>
      </c>
      <c r="P338" t="str">
        <f>_xlfn.XLOOKUP(Table16[[#This Row],[Name]],Table21112164202122232534[Name],Table21112164202122232534[Points],"DNP",0,1)</f>
        <v>DNP</v>
      </c>
      <c r="Q338" t="str">
        <f>_xlfn.XLOOKUP(Table16[[#This Row],[Name]],Table2111216420212223253435[Name],Table2111216420212223253435[Points],"DNP",0,1)</f>
        <v>DNP</v>
      </c>
      <c r="R338" t="str">
        <f>_xlfn.XLOOKUP(Table16[[#This Row],[Name]],Table211121642021222325343536[Name],Table211121642021222325343536[Points],"DNP",0,1)</f>
        <v>DNP</v>
      </c>
      <c r="S338" t="str">
        <f>_xlfn.XLOOKUP(Table16[[#This Row],[Name]],Table21112164202122232534353637[Name],Table21112164202122232534353637[Points],"DNP",0,1)</f>
        <v>DNP</v>
      </c>
      <c r="T338" t="str">
        <f>_xlfn.XLOOKUP(Table16[[#This Row],[Name]],Table2111216420212223253435363738[Name],Table2111216420212223253435363738[Points],"DNP",0,1)</f>
        <v>DNP</v>
      </c>
      <c r="U338" t="str">
        <f>_xlfn.XLOOKUP(Table16[[#This Row],[Name]],Table2111216420212223253435363739[Name],Table2111216420212223253435363739[Points],"DNP",0,1)</f>
        <v>DNP</v>
      </c>
      <c r="V338" t="str">
        <f>_xlfn.XLOOKUP(Table16[[#This Row],[Name]],Table211121642021222325343536373841[Name],Table211121642021222325343536373841[Points],"DNP",0,1)</f>
        <v>DNP</v>
      </c>
    </row>
    <row r="339" spans="2:22">
      <c r="B339" t="str">
        <f>IFERROR(Table5[[#This Row],[Full name]],"")</f>
        <v>William Wang</v>
      </c>
      <c r="C339" s="68">
        <f>SUM(Table16[[#This Row],[September 30, 2025]:[Column18]])</f>
        <v>0</v>
      </c>
      <c r="D339" t="str">
        <f>_xlfn.XLOOKUP(Table16[[#This Row],[Name]],Table4[Name],Table4[Points],"DNP",0,1)</f>
        <v>DNP</v>
      </c>
      <c r="E339" t="str">
        <f>_xlfn.XLOOKUP(Table16[[#This Row],[Name]],Table9[Name],Table9[Points],"DNP",0,1)</f>
        <v>DNP</v>
      </c>
      <c r="F339" t="str">
        <f>_xlfn.XLOOKUP(Table16[[#This Row],[Name]],Table18[Name],Table18[Points],"DNP",0,1)</f>
        <v>DNP</v>
      </c>
      <c r="G339" t="str">
        <f>_xlfn.XLOOKUP(Table16[[#This Row],[Name]],Table2[Name],Table2[Points],"DNP",0,1)</f>
        <v>DNP</v>
      </c>
      <c r="H339" t="str">
        <f>_xlfn.XLOOKUP(Table16[[#This Row],[Name]],Table211[Name],Table211[Points],"DNP",0,1)</f>
        <v>DNP</v>
      </c>
      <c r="I339" t="str">
        <f>_xlfn.XLOOKUP(Table16[[#This Row],[Name]],Table21112[Name],Table21112[Points],"DNP",0,1)</f>
        <v>DNP</v>
      </c>
      <c r="J339" t="str">
        <f>_xlfn.XLOOKUP(Table16[[#This Row],[Name]],Table21112164[Name],Table21112164[Points],"DNP",0,1)</f>
        <v>DNP</v>
      </c>
      <c r="K339" t="str">
        <f>_xlfn.XLOOKUP(Table16[[#This Row],[Name]],Table2111216420[Name],Table2111216420[Points],"DNP",0,1)</f>
        <v>DNP</v>
      </c>
      <c r="L339" t="str">
        <f>_xlfn.XLOOKUP(Table16[[#This Row],[Name]],Table211121642021[Name],Table211121642021[Points],"DNP",0,1)</f>
        <v>DNP</v>
      </c>
      <c r="M339" t="str">
        <f>_xlfn.XLOOKUP(Table16[[#This Row],[Name]],Table21112164202122[Name],Table21112164202122[Points],"DNP",0,1)</f>
        <v>DNP</v>
      </c>
      <c r="N339" t="str">
        <f>_xlfn.XLOOKUP(Table16[[#This Row],[Name]],Table2111216420212223[Name],Table2111216420212223[Points],"DNP",0,1)</f>
        <v>DNP</v>
      </c>
      <c r="O339" t="str">
        <f>_xlfn.XLOOKUP(Table16[[#This Row],[Name]],Table211121642021222325[Name],Table211121642021222325[Points],"DNP",0,1)</f>
        <v>DNP</v>
      </c>
      <c r="P339" t="str">
        <f>_xlfn.XLOOKUP(Table16[[#This Row],[Name]],Table21112164202122232534[Name],Table21112164202122232534[Points],"DNP",0,1)</f>
        <v>DNP</v>
      </c>
      <c r="Q339" t="str">
        <f>_xlfn.XLOOKUP(Table16[[#This Row],[Name]],Table2111216420212223253435[Name],Table2111216420212223253435[Points],"DNP",0,1)</f>
        <v>DNP</v>
      </c>
      <c r="R339" t="str">
        <f>_xlfn.XLOOKUP(Table16[[#This Row],[Name]],Table211121642021222325343536[Name],Table211121642021222325343536[Points],"DNP",0,1)</f>
        <v>DNP</v>
      </c>
      <c r="S339" t="str">
        <f>_xlfn.XLOOKUP(Table16[[#This Row],[Name]],Table21112164202122232534353637[Name],Table21112164202122232534353637[Points],"DNP",0,1)</f>
        <v>DNP</v>
      </c>
      <c r="T339" t="str">
        <f>_xlfn.XLOOKUP(Table16[[#This Row],[Name]],Table2111216420212223253435363738[Name],Table2111216420212223253435363738[Points],"DNP",0,1)</f>
        <v>DNP</v>
      </c>
      <c r="U339" t="str">
        <f>_xlfn.XLOOKUP(Table16[[#This Row],[Name]],Table2111216420212223253435363739[Name],Table2111216420212223253435363739[Points],"DNP",0,1)</f>
        <v>DNP</v>
      </c>
      <c r="V339" t="str">
        <f>_xlfn.XLOOKUP(Table16[[#This Row],[Name]],Table211121642021222325343536373841[Name],Table211121642021222325343536373841[Points],"DNP",0,1)</f>
        <v>DNP</v>
      </c>
    </row>
    <row r="340" spans="2:22">
      <c r="B340" t="str">
        <f>IFERROR(Table5[[#This Row],[Full name]],"")</f>
        <v>Yahvi Patel</v>
      </c>
      <c r="C340" s="68">
        <f>SUM(Table16[[#This Row],[September 30, 2025]:[Column18]])</f>
        <v>12</v>
      </c>
      <c r="D340" t="str">
        <f>_xlfn.XLOOKUP(Table16[[#This Row],[Name]],Table4[Name],Table4[Points],"DNP",0,1)</f>
        <v>DNP</v>
      </c>
      <c r="E340" t="str">
        <f>_xlfn.XLOOKUP(Table16[[#This Row],[Name]],Table9[Name],Table9[Points],"DNP",0,1)</f>
        <v>DNP</v>
      </c>
      <c r="F340" t="str">
        <f>_xlfn.XLOOKUP(Table16[[#This Row],[Name]],Table18[Name],Table18[Points],"DNP",0,1)</f>
        <v>DNP</v>
      </c>
      <c r="G340" t="str">
        <f>_xlfn.XLOOKUP(Table16[[#This Row],[Name]],Table2[Name],Table2[Points],"DNP",0,1)</f>
        <v>DNP</v>
      </c>
      <c r="H340" t="str">
        <f>_xlfn.XLOOKUP(Table16[[#This Row],[Name]],Table211[Name],Table211[Points],"DNP",0,1)</f>
        <v>DNP</v>
      </c>
      <c r="I340" t="str">
        <f>_xlfn.XLOOKUP(Table16[[#This Row],[Name]],Table21112[Name],Table21112[Points],"DNP",0,1)</f>
        <v>DNP</v>
      </c>
      <c r="J340" t="str">
        <f>_xlfn.XLOOKUP(Table16[[#This Row],[Name]],Table21112164[Name],Table21112164[Points],"DNP",0,1)</f>
        <v>DNP</v>
      </c>
      <c r="K340" t="str">
        <f>_xlfn.XLOOKUP(Table16[[#This Row],[Name]],Table2111216420[Name],Table2111216420[Points],"DNP",0,1)</f>
        <v>DNP</v>
      </c>
      <c r="L340" t="str">
        <f>_xlfn.XLOOKUP(Table16[[#This Row],[Name]],Table211121642021[Name],Table211121642021[Points],"DNP",0,1)</f>
        <v>DNP</v>
      </c>
      <c r="M340" t="str">
        <f>_xlfn.XLOOKUP(Table16[[#This Row],[Name]],Table21112164202122[Name],Table21112164202122[Points],"DNP",0,1)</f>
        <v>DNP</v>
      </c>
      <c r="N340">
        <f>_xlfn.XLOOKUP(Table16[[#This Row],[Name]],Table2111216420212223[Name],Table2111216420212223[Points],"DNP",0,1)</f>
        <v>4</v>
      </c>
      <c r="O340" t="str">
        <f>_xlfn.XLOOKUP(Table16[[#This Row],[Name]],Table211121642021222325[Name],Table211121642021222325[Points],"DNP",0,1)</f>
        <v>DNP</v>
      </c>
      <c r="P340" t="str">
        <f>_xlfn.XLOOKUP(Table16[[#This Row],[Name]],Table21112164202122232534[Name],Table21112164202122232534[Points],"DNP",0,1)</f>
        <v>DNP</v>
      </c>
      <c r="Q340">
        <f>_xlfn.XLOOKUP(Table16[[#This Row],[Name]],Table2111216420212223253435[Name],Table2111216420212223253435[Points],"DNP",0,1)</f>
        <v>1</v>
      </c>
      <c r="R340">
        <f>_xlfn.XLOOKUP(Table16[[#This Row],[Name]],Table211121642021222325343536[Name],Table211121642021222325343536[Points],"DNP",0,1)</f>
        <v>2</v>
      </c>
      <c r="S340" t="str">
        <f>_xlfn.XLOOKUP(Table16[[#This Row],[Name]],Table21112164202122232534353637[Name],Table21112164202122232534353637[Points],"DNP",0,1)</f>
        <v>DNP</v>
      </c>
      <c r="T340">
        <f>_xlfn.XLOOKUP(Table16[[#This Row],[Name]],Table2111216420212223253435363738[Name],Table2111216420212223253435363738[Points],"DNP",0,1)</f>
        <v>2</v>
      </c>
      <c r="U340">
        <f>_xlfn.XLOOKUP(Table16[[#This Row],[Name]],Table2111216420212223253435363739[Name],Table2111216420212223253435363739[Points],"DNP",0,1)</f>
        <v>1</v>
      </c>
      <c r="V340">
        <f>_xlfn.XLOOKUP(Table16[[#This Row],[Name]],Table211121642021222325343536373841[Name],Table211121642021222325343536373841[Points],"DNP",0,1)</f>
        <v>2</v>
      </c>
    </row>
    <row r="341" spans="2:22">
      <c r="B341" t="str">
        <f>IFERROR(Table5[[#This Row],[Full name]],"")</f>
        <v>Yan Xiang Zou</v>
      </c>
      <c r="C341" s="68">
        <f>SUM(Table16[[#This Row],[September 30, 2025]:[Column18]])</f>
        <v>16</v>
      </c>
      <c r="D341" t="str">
        <f>_xlfn.XLOOKUP(Table16[[#This Row],[Name]],Table4[Name],Table4[Points],"DNP",0,1)</f>
        <v>DNP</v>
      </c>
      <c r="E341" t="str">
        <f>_xlfn.XLOOKUP(Table16[[#This Row],[Name]],Table9[Name],Table9[Points],"DNP",0,1)</f>
        <v>DNP</v>
      </c>
      <c r="F341" t="str">
        <f>_xlfn.XLOOKUP(Table16[[#This Row],[Name]],Table18[Name],Table18[Points],"DNP",0,1)</f>
        <v>DNP</v>
      </c>
      <c r="G341" t="str">
        <f>_xlfn.XLOOKUP(Table16[[#This Row],[Name]],Table2[Name],Table2[Points],"DNP",0,1)</f>
        <v>DNP</v>
      </c>
      <c r="H341" t="str">
        <f>_xlfn.XLOOKUP(Table16[[#This Row],[Name]],Table211[Name],Table211[Points],"DNP",0,1)</f>
        <v>DNP</v>
      </c>
      <c r="I341" t="str">
        <f>_xlfn.XLOOKUP(Table16[[#This Row],[Name]],Table21112[Name],Table21112[Points],"DNP",0,1)</f>
        <v>DNP</v>
      </c>
      <c r="J341" t="str">
        <f>_xlfn.XLOOKUP(Table16[[#This Row],[Name]],Table21112164[Name],Table21112164[Points],"DNP",0,1)</f>
        <v>DNP</v>
      </c>
      <c r="K341" t="str">
        <f>_xlfn.XLOOKUP(Table16[[#This Row],[Name]],Table2111216420[Name],Table2111216420[Points],"DNP",0,1)</f>
        <v>DNP</v>
      </c>
      <c r="L341" t="str">
        <f>_xlfn.XLOOKUP(Table16[[#This Row],[Name]],Table211121642021[Name],Table211121642021[Points],"DNP",0,1)</f>
        <v>DNP</v>
      </c>
      <c r="M341" t="str">
        <f>_xlfn.XLOOKUP(Table16[[#This Row],[Name]],Table21112164202122[Name],Table21112164202122[Points],"DNP",0,1)</f>
        <v>DNP</v>
      </c>
      <c r="N341">
        <f>_xlfn.XLOOKUP(Table16[[#This Row],[Name]],Table2111216420212223[Name],Table2111216420212223[Points],"DNP",0,1)</f>
        <v>1</v>
      </c>
      <c r="O341">
        <f>_xlfn.XLOOKUP(Table16[[#This Row],[Name]],Table211121642021222325[Name],Table211121642021222325[Points],"DNP",0,1)</f>
        <v>1</v>
      </c>
      <c r="P341" t="str">
        <f>_xlfn.XLOOKUP(Table16[[#This Row],[Name]],Table21112164202122232534[Name],Table21112164202122232534[Points],"DNP",0,1)</f>
        <v>DNP</v>
      </c>
      <c r="Q341">
        <f>_xlfn.XLOOKUP(Table16[[#This Row],[Name]],Table2111216420212223253435[Name],Table2111216420212223253435[Points],"DNP",0,1)</f>
        <v>1</v>
      </c>
      <c r="R341" t="str">
        <f>_xlfn.XLOOKUP(Table16[[#This Row],[Name]],Table211121642021222325343536[Name],Table211121642021222325343536[Points],"DNP",0,1)</f>
        <v>DNP</v>
      </c>
      <c r="S341" t="str">
        <f>_xlfn.XLOOKUP(Table16[[#This Row],[Name]],Table21112164202122232534353637[Name],Table21112164202122232534353637[Points],"DNP",0,1)</f>
        <v>DNP</v>
      </c>
      <c r="T341">
        <f>_xlfn.XLOOKUP(Table16[[#This Row],[Name]],Table2111216420212223253435363738[Name],Table2111216420212223253435363738[Points],"DNP",0,1)</f>
        <v>10</v>
      </c>
      <c r="U341">
        <f>_xlfn.XLOOKUP(Table16[[#This Row],[Name]],Table2111216420212223253435363739[Name],Table2111216420212223253435363739[Points],"DNP",0,1)</f>
        <v>3</v>
      </c>
      <c r="V341" t="str">
        <f>_xlfn.XLOOKUP(Table16[[#This Row],[Name]],Table211121642021222325343536373841[Name],Table211121642021222325343536373841[Points],"DNP",0,1)</f>
        <v>DNP</v>
      </c>
    </row>
    <row r="342" spans="2:22">
      <c r="B342" t="str">
        <f>IFERROR(Table5[[#This Row],[Full name]],"")</f>
        <v>Yassin Mohamed</v>
      </c>
      <c r="C342" s="68">
        <f>SUM(Table16[[#This Row],[September 30, 2025]:[Column18]])</f>
        <v>1</v>
      </c>
      <c r="D342" t="str">
        <f>_xlfn.XLOOKUP(Table16[[#This Row],[Name]],Table4[Name],Table4[Points],"DNP",0,1)</f>
        <v>DNP</v>
      </c>
      <c r="E342" t="str">
        <f>_xlfn.XLOOKUP(Table16[[#This Row],[Name]],Table9[Name],Table9[Points],"DNP",0,1)</f>
        <v>DNP</v>
      </c>
      <c r="F342" t="str">
        <f>_xlfn.XLOOKUP(Table16[[#This Row],[Name]],Table18[Name],Table18[Points],"DNP",0,1)</f>
        <v>DNP</v>
      </c>
      <c r="G342" t="str">
        <f>_xlfn.XLOOKUP(Table16[[#This Row],[Name]],Table2[Name],Table2[Points],"DNP",0,1)</f>
        <v>DNP</v>
      </c>
      <c r="H342">
        <f>_xlfn.XLOOKUP(Table16[[#This Row],[Name]],Table211[Name],Table211[Points],"DNP",0,1)</f>
        <v>1</v>
      </c>
      <c r="I342" t="str">
        <f>_xlfn.XLOOKUP(Table16[[#This Row],[Name]],Table21112[Name],Table21112[Points],"DNP",0,1)</f>
        <v>DNP</v>
      </c>
      <c r="J342" t="str">
        <f>_xlfn.XLOOKUP(Table16[[#This Row],[Name]],Table21112164[Name],Table21112164[Points],"DNP",0,1)</f>
        <v>DNP</v>
      </c>
      <c r="K342" t="str">
        <f>_xlfn.XLOOKUP(Table16[[#This Row],[Name]],Table2111216420[Name],Table2111216420[Points],"DNP",0,1)</f>
        <v>DNP</v>
      </c>
      <c r="L342" t="str">
        <f>_xlfn.XLOOKUP(Table16[[#This Row],[Name]],Table211121642021[Name],Table211121642021[Points],"DNP",0,1)</f>
        <v>DNP</v>
      </c>
      <c r="M342" t="str">
        <f>_xlfn.XLOOKUP(Table16[[#This Row],[Name]],Table21112164202122[Name],Table21112164202122[Points],"DNP",0,1)</f>
        <v>DNP</v>
      </c>
      <c r="N342" t="str">
        <f>_xlfn.XLOOKUP(Table16[[#This Row],[Name]],Table2111216420212223[Name],Table2111216420212223[Points],"DNP",0,1)</f>
        <v>DNP</v>
      </c>
      <c r="O342" t="str">
        <f>_xlfn.XLOOKUP(Table16[[#This Row],[Name]],Table211121642021222325[Name],Table211121642021222325[Points],"DNP",0,1)</f>
        <v>DNP</v>
      </c>
      <c r="P342" t="str">
        <f>_xlfn.XLOOKUP(Table16[[#This Row],[Name]],Table21112164202122232534[Name],Table21112164202122232534[Points],"DNP",0,1)</f>
        <v>DNP</v>
      </c>
      <c r="Q342" t="str">
        <f>_xlfn.XLOOKUP(Table16[[#This Row],[Name]],Table2111216420212223253435[Name],Table2111216420212223253435[Points],"DNP",0,1)</f>
        <v>DNP</v>
      </c>
      <c r="R342" t="str">
        <f>_xlfn.XLOOKUP(Table16[[#This Row],[Name]],Table211121642021222325343536[Name],Table211121642021222325343536[Points],"DNP",0,1)</f>
        <v>DNP</v>
      </c>
      <c r="S342" t="str">
        <f>_xlfn.XLOOKUP(Table16[[#This Row],[Name]],Table21112164202122232534353637[Name],Table21112164202122232534353637[Points],"DNP",0,1)</f>
        <v>DNP</v>
      </c>
      <c r="T342" t="str">
        <f>_xlfn.XLOOKUP(Table16[[#This Row],[Name]],Table2111216420212223253435363738[Name],Table2111216420212223253435363738[Points],"DNP",0,1)</f>
        <v>DNP</v>
      </c>
      <c r="U342" t="str">
        <f>_xlfn.XLOOKUP(Table16[[#This Row],[Name]],Table2111216420212223253435363739[Name],Table2111216420212223253435363739[Points],"DNP",0,1)</f>
        <v>DNP</v>
      </c>
      <c r="V342" t="str">
        <f>_xlfn.XLOOKUP(Table16[[#This Row],[Name]],Table211121642021222325343536373841[Name],Table211121642021222325343536373841[Points],"DNP",0,1)</f>
        <v>DNP</v>
      </c>
    </row>
    <row r="343" spans="2:22">
      <c r="B343" t="str">
        <f>IFERROR(Table5[[#This Row],[Full name]],"")</f>
        <v>Yoni Silbershatz</v>
      </c>
      <c r="C343" s="68">
        <f>SUM(Table16[[#This Row],[September 30, 2025]:[Column18]])</f>
        <v>33</v>
      </c>
      <c r="D343">
        <f>_xlfn.XLOOKUP(Table16[[#This Row],[Name]],Table4[Name],Table4[Points],"DNP",0,1)</f>
        <v>1</v>
      </c>
      <c r="E343" t="str">
        <f>_xlfn.XLOOKUP(Table16[[#This Row],[Name]],Table9[Name],Table9[Points],"DNP",0,1)</f>
        <v>DNP</v>
      </c>
      <c r="F343">
        <f>_xlfn.XLOOKUP(Table16[[#This Row],[Name]],Table18[Name],Table18[Points],"DNP",0,1)</f>
        <v>4</v>
      </c>
      <c r="G343" t="str">
        <f>_xlfn.XLOOKUP(Table16[[#This Row],[Name]],Table2[Name],Table2[Points],"DNP",0,1)</f>
        <v>DNP</v>
      </c>
      <c r="H343">
        <f>_xlfn.XLOOKUP(Table16[[#This Row],[Name]],Table211[Name],Table211[Points],"DNP",0,1)</f>
        <v>2</v>
      </c>
      <c r="I343">
        <f>_xlfn.XLOOKUP(Table16[[#This Row],[Name]],Table21112[Name],Table21112[Points],"DNP",0,1)</f>
        <v>1</v>
      </c>
      <c r="J343">
        <f>_xlfn.XLOOKUP(Table16[[#This Row],[Name]],Table21112164[Name],Table21112164[Points],"DNP",0,1)</f>
        <v>1</v>
      </c>
      <c r="K343">
        <f>_xlfn.XLOOKUP(Table16[[#This Row],[Name]],Table2111216420[Name],Table2111216420[Points],"DNP",0,1)</f>
        <v>2</v>
      </c>
      <c r="L343">
        <f>_xlfn.XLOOKUP(Table16[[#This Row],[Name]],Table211121642021[Name],Table211121642021[Points],"DNP",0,1)</f>
        <v>3</v>
      </c>
      <c r="M343">
        <f>_xlfn.XLOOKUP(Table16[[#This Row],[Name]],Table21112164202122[Name],Table21112164202122[Points],"DNP",0,1)</f>
        <v>1</v>
      </c>
      <c r="N343" t="str">
        <f>_xlfn.XLOOKUP(Table16[[#This Row],[Name]],Table2111216420212223[Name],Table2111216420212223[Points],"DNP",0,1)</f>
        <v>DNP</v>
      </c>
      <c r="O343" t="str">
        <f>_xlfn.XLOOKUP(Table16[[#This Row],[Name]],Table211121642021222325[Name],Table211121642021222325[Points],"DNP",0,1)</f>
        <v>DNP</v>
      </c>
      <c r="P343">
        <f>_xlfn.XLOOKUP(Table16[[#This Row],[Name]],Table21112164202122232534[Name],Table21112164202122232534[Points],"DNP",0,1)</f>
        <v>10</v>
      </c>
      <c r="Q343" t="str">
        <f>_xlfn.XLOOKUP(Table16[[#This Row],[Name]],Table2111216420212223253435[Name],Table2111216420212223253435[Points],"DNP",0,1)</f>
        <v>DNP</v>
      </c>
      <c r="R343" t="str">
        <f>_xlfn.XLOOKUP(Table16[[#This Row],[Name]],Table211121642021222325343536[Name],Table211121642021222325343536[Points],"DNP",0,1)</f>
        <v>DNP</v>
      </c>
      <c r="S343">
        <f>_xlfn.XLOOKUP(Table16[[#This Row],[Name]],Table21112164202122232534353637[Name],Table21112164202122232534353637[Points],"DNP",0,1)</f>
        <v>2</v>
      </c>
      <c r="T343">
        <f>_xlfn.XLOOKUP(Table16[[#This Row],[Name]],Table2111216420212223253435363738[Name],Table2111216420212223253435363738[Points],"DNP",0,1)</f>
        <v>4</v>
      </c>
      <c r="U343">
        <f>_xlfn.XLOOKUP(Table16[[#This Row],[Name]],Table2111216420212223253435363739[Name],Table2111216420212223253435363739[Points],"DNP",0,1)</f>
        <v>1</v>
      </c>
      <c r="V343">
        <f>_xlfn.XLOOKUP(Table16[[#This Row],[Name]],Table211121642021222325343536373841[Name],Table211121642021222325343536373841[Points],"DNP",0,1)</f>
        <v>1</v>
      </c>
    </row>
    <row r="344" spans="2:22">
      <c r="B344" t="str">
        <f>IFERROR(Table5[[#This Row],[Full name]],"")</f>
        <v>Youngjun Cho</v>
      </c>
      <c r="C344" s="68">
        <f>SUM(Table16[[#This Row],[September 30, 2025]:[Column18]])</f>
        <v>4</v>
      </c>
      <c r="D344" t="str">
        <f>_xlfn.XLOOKUP(Table16[[#This Row],[Name]],Table4[Name],Table4[Points],"DNP",0,1)</f>
        <v>DNP</v>
      </c>
      <c r="E344" t="str">
        <f>_xlfn.XLOOKUP(Table16[[#This Row],[Name]],Table9[Name],Table9[Points],"DNP",0,1)</f>
        <v>DNP</v>
      </c>
      <c r="F344" t="str">
        <f>_xlfn.XLOOKUP(Table16[[#This Row],[Name]],Table18[Name],Table18[Points],"DNP",0,1)</f>
        <v>DNP</v>
      </c>
      <c r="G344" t="str">
        <f>_xlfn.XLOOKUP(Table16[[#This Row],[Name]],Table2[Name],Table2[Points],"DNP",0,1)</f>
        <v>DNP</v>
      </c>
      <c r="H344" t="str">
        <f>_xlfn.XLOOKUP(Table16[[#This Row],[Name]],Table211[Name],Table211[Points],"DNP",0,1)</f>
        <v>DNP</v>
      </c>
      <c r="I344" t="str">
        <f>_xlfn.XLOOKUP(Table16[[#This Row],[Name]],Table21112[Name],Table21112[Points],"DNP",0,1)</f>
        <v>DNP</v>
      </c>
      <c r="J344" t="str">
        <f>_xlfn.XLOOKUP(Table16[[#This Row],[Name]],Table21112164[Name],Table21112164[Points],"DNP",0,1)</f>
        <v>DNP</v>
      </c>
      <c r="K344">
        <f>_xlfn.XLOOKUP(Table16[[#This Row],[Name]],Table2111216420[Name],Table2111216420[Points],"DNP",0,1)</f>
        <v>1</v>
      </c>
      <c r="L344" t="str">
        <f>_xlfn.XLOOKUP(Table16[[#This Row],[Name]],Table211121642021[Name],Table211121642021[Points],"DNP",0,1)</f>
        <v>DNP</v>
      </c>
      <c r="M344" t="str">
        <f>_xlfn.XLOOKUP(Table16[[#This Row],[Name]],Table21112164202122[Name],Table21112164202122[Points],"DNP",0,1)</f>
        <v>DNP</v>
      </c>
      <c r="N344" t="str">
        <f>_xlfn.XLOOKUP(Table16[[#This Row],[Name]],Table2111216420212223[Name],Table2111216420212223[Points],"DNP",0,1)</f>
        <v>DNP</v>
      </c>
      <c r="O344" t="str">
        <f>_xlfn.XLOOKUP(Table16[[#This Row],[Name]],Table211121642021222325[Name],Table211121642021222325[Points],"DNP",0,1)</f>
        <v>DNP</v>
      </c>
      <c r="P344">
        <f>_xlfn.XLOOKUP(Table16[[#This Row],[Name]],Table21112164202122232534[Name],Table21112164202122232534[Points],"DNP",0,1)</f>
        <v>1</v>
      </c>
      <c r="Q344">
        <f>_xlfn.XLOOKUP(Table16[[#This Row],[Name]],Table2111216420212223253435[Name],Table2111216420212223253435[Points],"DNP",0,1)</f>
        <v>1</v>
      </c>
      <c r="R344" t="str">
        <f>_xlfn.XLOOKUP(Table16[[#This Row],[Name]],Table211121642021222325343536[Name],Table211121642021222325343536[Points],"DNP",0,1)</f>
        <v>DNP</v>
      </c>
      <c r="S344">
        <f>_xlfn.XLOOKUP(Table16[[#This Row],[Name]],Table21112164202122232534353637[Name],Table21112164202122232534353637[Points],"DNP",0,1)</f>
        <v>1</v>
      </c>
      <c r="T344" t="str">
        <f>_xlfn.XLOOKUP(Table16[[#This Row],[Name]],Table2111216420212223253435363738[Name],Table2111216420212223253435363738[Points],"DNP",0,1)</f>
        <v>DNP</v>
      </c>
      <c r="U344" t="str">
        <f>_xlfn.XLOOKUP(Table16[[#This Row],[Name]],Table2111216420212223253435363739[Name],Table2111216420212223253435363739[Points],"DNP",0,1)</f>
        <v>DNP</v>
      </c>
      <c r="V344" t="str">
        <f>_xlfn.XLOOKUP(Table16[[#This Row],[Name]],Table211121642021222325343536373841[Name],Table211121642021222325343536373841[Points],"DNP",0,1)</f>
        <v>DNP</v>
      </c>
    </row>
    <row r="345" spans="2:22">
      <c r="B345" t="str">
        <f>IFERROR(Table5[[#This Row],[Full name]],"")</f>
        <v>Yue Wang</v>
      </c>
      <c r="C345" s="68">
        <f>SUM(Table16[[#This Row],[September 30, 2025]:[Column18]])</f>
        <v>47</v>
      </c>
      <c r="D345" t="str">
        <f>_xlfn.XLOOKUP(Table16[[#This Row],[Name]],Table4[Name],Table4[Points],"DNP",0,1)</f>
        <v>DNP</v>
      </c>
      <c r="E345" t="str">
        <f>_xlfn.XLOOKUP(Table16[[#This Row],[Name]],Table9[Name],Table9[Points],"DNP",0,1)</f>
        <v>DNP</v>
      </c>
      <c r="F345" t="str">
        <f>_xlfn.XLOOKUP(Table16[[#This Row],[Name]],Table18[Name],Table18[Points],"DNP",0,1)</f>
        <v>DNP</v>
      </c>
      <c r="G345">
        <f>_xlfn.XLOOKUP(Table16[[#This Row],[Name]],Table2[Name],Table2[Points],"DNP",0,1)</f>
        <v>1</v>
      </c>
      <c r="H345" t="str">
        <f>_xlfn.XLOOKUP(Table16[[#This Row],[Name]],Table211[Name],Table211[Points],"DNP",0,1)</f>
        <v>DNP</v>
      </c>
      <c r="I345">
        <f>_xlfn.XLOOKUP(Table16[[#This Row],[Name]],Table21112[Name],Table21112[Points],"DNP",0,1)</f>
        <v>15</v>
      </c>
      <c r="J345">
        <f>_xlfn.XLOOKUP(Table16[[#This Row],[Name]],Table21112164[Name],Table21112164[Points],"DNP",0,1)</f>
        <v>30</v>
      </c>
      <c r="K345" t="str">
        <f>_xlfn.XLOOKUP(Table16[[#This Row],[Name]],Table2111216420[Name],Table2111216420[Points],"DNP",0,1)</f>
        <v>DNP</v>
      </c>
      <c r="L345" t="str">
        <f>_xlfn.XLOOKUP(Table16[[#This Row],[Name]],Table211121642021[Name],Table211121642021[Points],"DNP",0,1)</f>
        <v>DNP</v>
      </c>
      <c r="M345">
        <f>_xlfn.XLOOKUP(Table16[[#This Row],[Name]],Table21112164202122[Name],Table21112164202122[Points],"DNP",0,1)</f>
        <v>1</v>
      </c>
      <c r="N345" t="str">
        <f>_xlfn.XLOOKUP(Table16[[#This Row],[Name]],Table2111216420212223[Name],Table2111216420212223[Points],"DNP",0,1)</f>
        <v>DNP</v>
      </c>
      <c r="O345" t="str">
        <f>_xlfn.XLOOKUP(Table16[[#This Row],[Name]],Table211121642021222325[Name],Table211121642021222325[Points],"DNP",0,1)</f>
        <v>DNP</v>
      </c>
      <c r="P345" t="str">
        <f>_xlfn.XLOOKUP(Table16[[#This Row],[Name]],Table21112164202122232534[Name],Table21112164202122232534[Points],"DNP",0,1)</f>
        <v>DNP</v>
      </c>
      <c r="Q345" t="str">
        <f>_xlfn.XLOOKUP(Table16[[#This Row],[Name]],Table2111216420212223253435[Name],Table2111216420212223253435[Points],"DNP",0,1)</f>
        <v>DNP</v>
      </c>
      <c r="R345" t="str">
        <f>_xlfn.XLOOKUP(Table16[[#This Row],[Name]],Table211121642021222325343536[Name],Table211121642021222325343536[Points],"DNP",0,1)</f>
        <v>DNP</v>
      </c>
      <c r="S345" t="str">
        <f>_xlfn.XLOOKUP(Table16[[#This Row],[Name]],Table21112164202122232534353637[Name],Table21112164202122232534353637[Points],"DNP",0,1)</f>
        <v>DNP</v>
      </c>
      <c r="T345" t="str">
        <f>_xlfn.XLOOKUP(Table16[[#This Row],[Name]],Table2111216420212223253435363738[Name],Table2111216420212223253435363738[Points],"DNP",0,1)</f>
        <v>DNP</v>
      </c>
      <c r="U345" t="str">
        <f>_xlfn.XLOOKUP(Table16[[#This Row],[Name]],Table2111216420212223253435363739[Name],Table2111216420212223253435363739[Points],"DNP",0,1)</f>
        <v>DNP</v>
      </c>
      <c r="V345" t="str">
        <f>_xlfn.XLOOKUP(Table16[[#This Row],[Name]],Table211121642021222325343536373841[Name],Table211121642021222325343536373841[Points],"DNP",0,1)</f>
        <v>DNP</v>
      </c>
    </row>
    <row r="346" spans="2:22">
      <c r="B346" t="str">
        <f>IFERROR(Table5[[#This Row],[Full name]],"")</f>
        <v>Yusuf Mohmand</v>
      </c>
      <c r="C346" s="68">
        <f>SUM(Table16[[#This Row],[September 30, 2025]:[Column18]])</f>
        <v>1</v>
      </c>
      <c r="D346" t="str">
        <f>_xlfn.XLOOKUP(Table16[[#This Row],[Name]],Table4[Name],Table4[Points],"DNP",0,1)</f>
        <v>DNP</v>
      </c>
      <c r="E346" t="str">
        <f>_xlfn.XLOOKUP(Table16[[#This Row],[Name]],Table9[Name],Table9[Points],"DNP",0,1)</f>
        <v>DNP</v>
      </c>
      <c r="F346" t="str">
        <f>_xlfn.XLOOKUP(Table16[[#This Row],[Name]],Table18[Name],Table18[Points],"DNP",0,1)</f>
        <v>DNP</v>
      </c>
      <c r="G346" t="str">
        <f>_xlfn.XLOOKUP(Table16[[#This Row],[Name]],Table2[Name],Table2[Points],"DNP",0,1)</f>
        <v>DNP</v>
      </c>
      <c r="H346" t="str">
        <f>_xlfn.XLOOKUP(Table16[[#This Row],[Name]],Table211[Name],Table211[Points],"DNP",0,1)</f>
        <v>DNP</v>
      </c>
      <c r="I346">
        <f>_xlfn.XLOOKUP(Table16[[#This Row],[Name]],Table21112[Name],Table21112[Points],"DNP",0,1)</f>
        <v>1</v>
      </c>
      <c r="J346" t="str">
        <f>_xlfn.XLOOKUP(Table16[[#This Row],[Name]],Table21112164[Name],Table21112164[Points],"DNP",0,1)</f>
        <v>DNP</v>
      </c>
      <c r="K346" t="str">
        <f>_xlfn.XLOOKUP(Table16[[#This Row],[Name]],Table2111216420[Name],Table2111216420[Points],"DNP",0,1)</f>
        <v>DNP</v>
      </c>
      <c r="L346" t="str">
        <f>_xlfn.XLOOKUP(Table16[[#This Row],[Name]],Table211121642021[Name],Table211121642021[Points],"DNP",0,1)</f>
        <v>DNP</v>
      </c>
      <c r="M346" t="str">
        <f>_xlfn.XLOOKUP(Table16[[#This Row],[Name]],Table21112164202122[Name],Table21112164202122[Points],"DNP",0,1)</f>
        <v>DNP</v>
      </c>
      <c r="N346" t="str">
        <f>_xlfn.XLOOKUP(Table16[[#This Row],[Name]],Table2111216420212223[Name],Table2111216420212223[Points],"DNP",0,1)</f>
        <v>DNP</v>
      </c>
      <c r="O346" t="str">
        <f>_xlfn.XLOOKUP(Table16[[#This Row],[Name]],Table211121642021222325[Name],Table211121642021222325[Points],"DNP",0,1)</f>
        <v>DNP</v>
      </c>
      <c r="P346" t="str">
        <f>_xlfn.XLOOKUP(Table16[[#This Row],[Name]],Table21112164202122232534[Name],Table21112164202122232534[Points],"DNP",0,1)</f>
        <v>DNP</v>
      </c>
      <c r="Q346" t="str">
        <f>_xlfn.XLOOKUP(Table16[[#This Row],[Name]],Table2111216420212223253435[Name],Table2111216420212223253435[Points],"DNP",0,1)</f>
        <v>DNP</v>
      </c>
      <c r="R346" t="str">
        <f>_xlfn.XLOOKUP(Table16[[#This Row],[Name]],Table211121642021222325343536[Name],Table211121642021222325343536[Points],"DNP",0,1)</f>
        <v>DNP</v>
      </c>
      <c r="S346" t="str">
        <f>_xlfn.XLOOKUP(Table16[[#This Row],[Name]],Table21112164202122232534353637[Name],Table21112164202122232534353637[Points],"DNP",0,1)</f>
        <v>DNP</v>
      </c>
      <c r="T346" t="str">
        <f>_xlfn.XLOOKUP(Table16[[#This Row],[Name]],Table2111216420212223253435363738[Name],Table2111216420212223253435363738[Points],"DNP",0,1)</f>
        <v>DNP</v>
      </c>
      <c r="U346" t="str">
        <f>_xlfn.XLOOKUP(Table16[[#This Row],[Name]],Table2111216420212223253435363739[Name],Table2111216420212223253435363739[Points],"DNP",0,1)</f>
        <v>DNP</v>
      </c>
      <c r="V346" t="str">
        <f>_xlfn.XLOOKUP(Table16[[#This Row],[Name]],Table211121642021222325343536373841[Name],Table211121642021222325343536373841[Points],"DNP",0,1)</f>
        <v>DNP</v>
      </c>
    </row>
    <row r="347" spans="2:22">
      <c r="B347" t="str">
        <f>IFERROR(Table5[[#This Row],[Full name]],"")</f>
        <v>Zachary Hersi</v>
      </c>
      <c r="C347" s="68">
        <f>SUM(Table16[[#This Row],[September 30, 2025]:[Column18]])</f>
        <v>32</v>
      </c>
      <c r="D347" t="str">
        <f>_xlfn.XLOOKUP(Table16[[#This Row],[Name]],Table4[Name],Table4[Points],"DNP",0,1)</f>
        <v>DNP</v>
      </c>
      <c r="E347">
        <f>_xlfn.XLOOKUP(Table16[[#This Row],[Name]],Table9[Name],Table9[Points],"DNP",0,1)</f>
        <v>1</v>
      </c>
      <c r="F347" t="str">
        <f>_xlfn.XLOOKUP(Table16[[#This Row],[Name]],Table18[Name],Table18[Points],"DNP",0,1)</f>
        <v>DNP</v>
      </c>
      <c r="G347">
        <f>_xlfn.XLOOKUP(Table16[[#This Row],[Name]],Table2[Name],Table2[Points],"DNP",0,1)</f>
        <v>2</v>
      </c>
      <c r="H347">
        <f>_xlfn.XLOOKUP(Table16[[#This Row],[Name]],Table211[Name],Table211[Points],"DNP",0,1)</f>
        <v>2</v>
      </c>
      <c r="I347">
        <f>_xlfn.XLOOKUP(Table16[[#This Row],[Name]],Table21112[Name],Table21112[Points],"DNP",0,1)</f>
        <v>1</v>
      </c>
      <c r="J347">
        <f>_xlfn.XLOOKUP(Table16[[#This Row],[Name]],Table21112164[Name],Table21112164[Points],"DNP",0,1)</f>
        <v>3</v>
      </c>
      <c r="K347">
        <f>_xlfn.XLOOKUP(Table16[[#This Row],[Name]],Table2111216420[Name],Table2111216420[Points],"DNP",0,1)</f>
        <v>1</v>
      </c>
      <c r="L347">
        <f>_xlfn.XLOOKUP(Table16[[#This Row],[Name]],Table211121642021[Name],Table211121642021[Points],"DNP",0,1)</f>
        <v>1</v>
      </c>
      <c r="M347">
        <f>_xlfn.XLOOKUP(Table16[[#This Row],[Name]],Table21112164202122[Name],Table21112164202122[Points],"DNP",0,1)</f>
        <v>1</v>
      </c>
      <c r="N347">
        <f>_xlfn.XLOOKUP(Table16[[#This Row],[Name]],Table2111216420212223[Name],Table2111216420212223[Points],"DNP",0,1)</f>
        <v>1</v>
      </c>
      <c r="O347">
        <f>_xlfn.XLOOKUP(Table16[[#This Row],[Name]],Table211121642021222325[Name],Table211121642021222325[Points],"DNP",0,1)</f>
        <v>2</v>
      </c>
      <c r="P347">
        <f>_xlfn.XLOOKUP(Table16[[#This Row],[Name]],Table21112164202122232534[Name],Table21112164202122232534[Points],"DNP",0,1)</f>
        <v>3</v>
      </c>
      <c r="Q347">
        <f>_xlfn.XLOOKUP(Table16[[#This Row],[Name]],Table2111216420212223253435[Name],Table2111216420212223253435[Points],"DNP",0,1)</f>
        <v>3</v>
      </c>
      <c r="R347" t="str">
        <f>_xlfn.XLOOKUP(Table16[[#This Row],[Name]],Table211121642021222325343536[Name],Table211121642021222325343536[Points],"DNP",0,1)</f>
        <v>DNP</v>
      </c>
      <c r="S347">
        <f>_xlfn.XLOOKUP(Table16[[#This Row],[Name]],Table21112164202122232534353637[Name],Table21112164202122232534353637[Points],"DNP",0,1)</f>
        <v>3</v>
      </c>
      <c r="T347">
        <f>_xlfn.XLOOKUP(Table16[[#This Row],[Name]],Table2111216420212223253435363738[Name],Table2111216420212223253435363738[Points],"DNP",0,1)</f>
        <v>4</v>
      </c>
      <c r="U347" t="str">
        <f>_xlfn.XLOOKUP(Table16[[#This Row],[Name]],Table2111216420212223253435363739[Name],Table2111216420212223253435363739[Points],"DNP",0,1)</f>
        <v>DNP</v>
      </c>
      <c r="V347">
        <f>_xlfn.XLOOKUP(Table16[[#This Row],[Name]],Table211121642021222325343536373841[Name],Table211121642021222325343536373841[Points],"DNP",0,1)</f>
        <v>4</v>
      </c>
    </row>
    <row r="348" spans="2:22">
      <c r="B348" t="str">
        <f>IFERROR(Table5[[#This Row],[Full name]],"")</f>
        <v>Zain Husain</v>
      </c>
      <c r="C348" s="68">
        <f>SUM(Table16[[#This Row],[September 30, 2025]:[Column18]])</f>
        <v>37</v>
      </c>
      <c r="D348">
        <f>_xlfn.XLOOKUP(Table16[[#This Row],[Name]],Table4[Name],Table4[Points],"DNP",0,1)</f>
        <v>1</v>
      </c>
      <c r="E348" t="str">
        <f>_xlfn.XLOOKUP(Table16[[#This Row],[Name]],Table9[Name],Table9[Points],"DNP",0,1)</f>
        <v>DNP</v>
      </c>
      <c r="F348">
        <f>_xlfn.XLOOKUP(Table16[[#This Row],[Name]],Table18[Name],Table18[Points],"DNP",0,1)</f>
        <v>1</v>
      </c>
      <c r="G348">
        <f>_xlfn.XLOOKUP(Table16[[#This Row],[Name]],Table2[Name],Table2[Points],"DNP",0,1)</f>
        <v>10</v>
      </c>
      <c r="H348">
        <f>_xlfn.XLOOKUP(Table16[[#This Row],[Name]],Table211[Name],Table211[Points],"DNP",0,1)</f>
        <v>2</v>
      </c>
      <c r="I348">
        <f>_xlfn.XLOOKUP(Table16[[#This Row],[Name]],Table21112[Name],Table21112[Points],"DNP",0,1)</f>
        <v>3</v>
      </c>
      <c r="J348" t="str">
        <f>_xlfn.XLOOKUP(Table16[[#This Row],[Name]],Table21112164[Name],Table21112164[Points],"DNP",0,1)</f>
        <v>DNP</v>
      </c>
      <c r="K348">
        <f>_xlfn.XLOOKUP(Table16[[#This Row],[Name]],Table2111216420[Name],Table2111216420[Points],"DNP",0,1)</f>
        <v>10</v>
      </c>
      <c r="L348">
        <f>_xlfn.XLOOKUP(Table16[[#This Row],[Name]],Table211121642021[Name],Table211121642021[Points],"DNP",0,1)</f>
        <v>3</v>
      </c>
      <c r="M348">
        <f>_xlfn.XLOOKUP(Table16[[#This Row],[Name]],Table21112164202122[Name],Table21112164202122[Points],"DNP",0,1)</f>
        <v>2</v>
      </c>
      <c r="N348" t="str">
        <f>_xlfn.XLOOKUP(Table16[[#This Row],[Name]],Table2111216420212223[Name],Table2111216420212223[Points],"DNP",0,1)</f>
        <v>DNP</v>
      </c>
      <c r="O348">
        <f>_xlfn.XLOOKUP(Table16[[#This Row],[Name]],Table211121642021222325[Name],Table211121642021222325[Points],"DNP",0,1)</f>
        <v>1</v>
      </c>
      <c r="P348" t="str">
        <f>_xlfn.XLOOKUP(Table16[[#This Row],[Name]],Table21112164202122232534[Name],Table21112164202122232534[Points],"DNP",0,1)</f>
        <v>DNP</v>
      </c>
      <c r="Q348">
        <f>_xlfn.XLOOKUP(Table16[[#This Row],[Name]],Table2111216420212223253435[Name],Table2111216420212223253435[Points],"DNP",0,1)</f>
        <v>4</v>
      </c>
      <c r="R348" t="str">
        <f>_xlfn.XLOOKUP(Table16[[#This Row],[Name]],Table211121642021222325343536[Name],Table211121642021222325343536[Points],"DNP",0,1)</f>
        <v>DNP</v>
      </c>
      <c r="S348" t="str">
        <f>_xlfn.XLOOKUP(Table16[[#This Row],[Name]],Table21112164202122232534353637[Name],Table21112164202122232534353637[Points],"DNP",0,1)</f>
        <v>DNP</v>
      </c>
      <c r="T348" t="str">
        <f>_xlfn.XLOOKUP(Table16[[#This Row],[Name]],Table2111216420212223253435363738[Name],Table2111216420212223253435363738[Points],"DNP",0,1)</f>
        <v>DNP</v>
      </c>
      <c r="U348" t="str">
        <f>_xlfn.XLOOKUP(Table16[[#This Row],[Name]],Table2111216420212223253435363739[Name],Table2111216420212223253435363739[Points],"DNP",0,1)</f>
        <v>DNP</v>
      </c>
      <c r="V348" t="str">
        <f>_xlfn.XLOOKUP(Table16[[#This Row],[Name]],Table211121642021222325343536373841[Name],Table211121642021222325343536373841[Points],"DNP",0,1)</f>
        <v>DNP</v>
      </c>
    </row>
    <row r="349" spans="2:22">
      <c r="B349" t="str">
        <f>IFERROR(Table5[[#This Row],[Full name]],"")</f>
        <v>Zain Ahmed</v>
      </c>
      <c r="C349" s="68">
        <f>SUM(Table16[[#This Row],[September 30, 2025]:[Column18]])</f>
        <v>2</v>
      </c>
      <c r="D349" t="str">
        <f>_xlfn.XLOOKUP(Table16[[#This Row],[Name]],Table4[Name],Table4[Points],"DNP",0,1)</f>
        <v>DNP</v>
      </c>
      <c r="E349" t="str">
        <f>_xlfn.XLOOKUP(Table16[[#This Row],[Name]],Table9[Name],Table9[Points],"DNP",0,1)</f>
        <v>DNP</v>
      </c>
      <c r="F349" t="str">
        <f>_xlfn.XLOOKUP(Table16[[#This Row],[Name]],Table18[Name],Table18[Points],"DNP",0,1)</f>
        <v>DNP</v>
      </c>
      <c r="G349" t="str">
        <f>_xlfn.XLOOKUP(Table16[[#This Row],[Name]],Table2[Name],Table2[Points],"DNP",0,1)</f>
        <v>DNP</v>
      </c>
      <c r="H349" t="str">
        <f>_xlfn.XLOOKUP(Table16[[#This Row],[Name]],Table211[Name],Table211[Points],"DNP",0,1)</f>
        <v>DNP</v>
      </c>
      <c r="I349" t="str">
        <f>_xlfn.XLOOKUP(Table16[[#This Row],[Name]],Table21112[Name],Table21112[Points],"DNP",0,1)</f>
        <v>DNP</v>
      </c>
      <c r="J349" t="str">
        <f>_xlfn.XLOOKUP(Table16[[#This Row],[Name]],Table21112164[Name],Table21112164[Points],"DNP",0,1)</f>
        <v>DNP</v>
      </c>
      <c r="K349" t="str">
        <f>_xlfn.XLOOKUP(Table16[[#This Row],[Name]],Table2111216420[Name],Table2111216420[Points],"DNP",0,1)</f>
        <v>DNP</v>
      </c>
      <c r="L349" t="str">
        <f>_xlfn.XLOOKUP(Table16[[#This Row],[Name]],Table211121642021[Name],Table211121642021[Points],"DNP",0,1)</f>
        <v>DNP</v>
      </c>
      <c r="M349" t="str">
        <f>_xlfn.XLOOKUP(Table16[[#This Row],[Name]],Table21112164202122[Name],Table21112164202122[Points],"DNP",0,1)</f>
        <v>DNP</v>
      </c>
      <c r="N349" t="str">
        <f>_xlfn.XLOOKUP(Table16[[#This Row],[Name]],Table2111216420212223[Name],Table2111216420212223[Points],"DNP",0,1)</f>
        <v>DNP</v>
      </c>
      <c r="O349" t="str">
        <f>_xlfn.XLOOKUP(Table16[[#This Row],[Name]],Table211121642021222325[Name],Table211121642021222325[Points],"DNP",0,1)</f>
        <v>DNP</v>
      </c>
      <c r="P349" t="str">
        <f>_xlfn.XLOOKUP(Table16[[#This Row],[Name]],Table21112164202122232534[Name],Table21112164202122232534[Points],"DNP",0,1)</f>
        <v>DNP</v>
      </c>
      <c r="Q349" t="str">
        <f>_xlfn.XLOOKUP(Table16[[#This Row],[Name]],Table2111216420212223253435[Name],Table2111216420212223253435[Points],"DNP",0,1)</f>
        <v>DNP</v>
      </c>
      <c r="R349">
        <f>_xlfn.XLOOKUP(Table16[[#This Row],[Name]],Table211121642021222325343536[Name],Table211121642021222325343536[Points],"DNP",0,1)</f>
        <v>2</v>
      </c>
      <c r="S349" t="str">
        <f>_xlfn.XLOOKUP(Table16[[#This Row],[Name]],Table21112164202122232534353637[Name],Table21112164202122232534353637[Points],"DNP",0,1)</f>
        <v>DNP</v>
      </c>
      <c r="T349" t="str">
        <f>_xlfn.XLOOKUP(Table16[[#This Row],[Name]],Table2111216420212223253435363738[Name],Table2111216420212223253435363738[Points],"DNP",0,1)</f>
        <v>DNP</v>
      </c>
      <c r="U349" t="str">
        <f>_xlfn.XLOOKUP(Table16[[#This Row],[Name]],Table2111216420212223253435363739[Name],Table2111216420212223253435363739[Points],"DNP",0,1)</f>
        <v>DNP</v>
      </c>
      <c r="V349" t="str">
        <f>_xlfn.XLOOKUP(Table16[[#This Row],[Name]],Table211121642021222325343536373841[Name],Table211121642021222325343536373841[Points],"DNP",0,1)</f>
        <v>DNP</v>
      </c>
    </row>
    <row r="350" spans="2:22">
      <c r="B350" t="str">
        <f>IFERROR(Table5[[#This Row],[Full name]],"")</f>
        <v>Zeeshan Khan</v>
      </c>
      <c r="C350" s="68">
        <f>SUM(Table16[[#This Row],[September 30, 2025]:[Column18]])</f>
        <v>9</v>
      </c>
      <c r="D350" t="str">
        <f>_xlfn.XLOOKUP(Table16[[#This Row],[Name]],Table4[Name],Table4[Points],"DNP",0,1)</f>
        <v>DNP</v>
      </c>
      <c r="E350" t="str">
        <f>_xlfn.XLOOKUP(Table16[[#This Row],[Name]],Table9[Name],Table9[Points],"DNP",0,1)</f>
        <v>DNP</v>
      </c>
      <c r="F350" t="str">
        <f>_xlfn.XLOOKUP(Table16[[#This Row],[Name]],Table18[Name],Table18[Points],"DNP",0,1)</f>
        <v>DNP</v>
      </c>
      <c r="G350" t="str">
        <f>_xlfn.XLOOKUP(Table16[[#This Row],[Name]],Table2[Name],Table2[Points],"DNP",0,1)</f>
        <v>DNP</v>
      </c>
      <c r="H350" t="str">
        <f>_xlfn.XLOOKUP(Table16[[#This Row],[Name]],Table211[Name],Table211[Points],"DNP",0,1)</f>
        <v>DNP</v>
      </c>
      <c r="I350" t="str">
        <f>_xlfn.XLOOKUP(Table16[[#This Row],[Name]],Table21112[Name],Table21112[Points],"DNP",0,1)</f>
        <v>DNP</v>
      </c>
      <c r="J350" t="str">
        <f>_xlfn.XLOOKUP(Table16[[#This Row],[Name]],Table21112164[Name],Table21112164[Points],"DNP",0,1)</f>
        <v>DNP</v>
      </c>
      <c r="K350" t="str">
        <f>_xlfn.XLOOKUP(Table16[[#This Row],[Name]],Table2111216420[Name],Table2111216420[Points],"DNP",0,1)</f>
        <v>DNP</v>
      </c>
      <c r="L350">
        <f>_xlfn.XLOOKUP(Table16[[#This Row],[Name]],Table211121642021[Name],Table211121642021[Points],"DNP",0,1)</f>
        <v>2</v>
      </c>
      <c r="M350">
        <f>_xlfn.XLOOKUP(Table16[[#This Row],[Name]],Table21112164202122[Name],Table21112164202122[Points],"DNP",0,1)</f>
        <v>1</v>
      </c>
      <c r="N350" t="str">
        <f>_xlfn.XLOOKUP(Table16[[#This Row],[Name]],Table2111216420212223[Name],Table2111216420212223[Points],"DNP",0,1)</f>
        <v>DNP</v>
      </c>
      <c r="O350" t="str">
        <f>_xlfn.XLOOKUP(Table16[[#This Row],[Name]],Table211121642021222325[Name],Table211121642021222325[Points],"DNP",0,1)</f>
        <v>DNP</v>
      </c>
      <c r="P350">
        <f>_xlfn.XLOOKUP(Table16[[#This Row],[Name]],Table21112164202122232534[Name],Table21112164202122232534[Points],"DNP",0,1)</f>
        <v>4</v>
      </c>
      <c r="Q350" t="str">
        <f>_xlfn.XLOOKUP(Table16[[#This Row],[Name]],Table2111216420212223253435[Name],Table2111216420212223253435[Points],"DNP",0,1)</f>
        <v>DNP</v>
      </c>
      <c r="R350">
        <f>_xlfn.XLOOKUP(Table16[[#This Row],[Name]],Table211121642021222325343536[Name],Table211121642021222325343536[Points],"DNP",0,1)</f>
        <v>1</v>
      </c>
      <c r="S350" t="str">
        <f>_xlfn.XLOOKUP(Table16[[#This Row],[Name]],Table21112164202122232534353637[Name],Table21112164202122232534353637[Points],"DNP",0,1)</f>
        <v>DNP</v>
      </c>
      <c r="T350" t="str">
        <f>_xlfn.XLOOKUP(Table16[[#This Row],[Name]],Table2111216420212223253435363738[Name],Table2111216420212223253435363738[Points],"DNP",0,1)</f>
        <v>DNP</v>
      </c>
      <c r="U350" t="str">
        <f>_xlfn.XLOOKUP(Table16[[#This Row],[Name]],Table2111216420212223253435363739[Name],Table2111216420212223253435363739[Points],"DNP",0,1)</f>
        <v>DNP</v>
      </c>
      <c r="V350">
        <f>_xlfn.XLOOKUP(Table16[[#This Row],[Name]],Table211121642021222325343536373841[Name],Table211121642021222325343536373841[Points],"DNP",0,1)</f>
        <v>1</v>
      </c>
    </row>
    <row r="351" spans="2:22">
      <c r="B351" t="str">
        <f>IFERROR(Table5[[#This Row],[Full name]],"")</f>
        <v>Zhen Hao Huang</v>
      </c>
      <c r="C351" s="68">
        <f>SUM(Table16[[#This Row],[September 30, 2025]:[Column18]])</f>
        <v>11</v>
      </c>
      <c r="D351">
        <f>_xlfn.XLOOKUP(Table16[[#This Row],[Name]],Table4[Name],Table4[Points],"DNP",0,1)</f>
        <v>1</v>
      </c>
      <c r="E351" t="str">
        <f>_xlfn.XLOOKUP(Table16[[#This Row],[Name]],Table9[Name],Table9[Points],"DNP",0,1)</f>
        <v>DNP</v>
      </c>
      <c r="F351" t="str">
        <f>_xlfn.XLOOKUP(Table16[[#This Row],[Name]],Table18[Name],Table18[Points],"DNP",0,1)</f>
        <v>DNP</v>
      </c>
      <c r="G351" t="str">
        <f>_xlfn.XLOOKUP(Table16[[#This Row],[Name]],Table2[Name],Table2[Points],"DNP",0,1)</f>
        <v>DNP</v>
      </c>
      <c r="H351" t="str">
        <f>_xlfn.XLOOKUP(Table16[[#This Row],[Name]],Table211[Name],Table211[Points],"DNP",0,1)</f>
        <v>DNP</v>
      </c>
      <c r="I351" t="str">
        <f>_xlfn.XLOOKUP(Table16[[#This Row],[Name]],Table21112[Name],Table21112[Points],"DNP",0,1)</f>
        <v>DNP</v>
      </c>
      <c r="J351" t="str">
        <f>_xlfn.XLOOKUP(Table16[[#This Row],[Name]],Table21112164[Name],Table21112164[Points],"DNP",0,1)</f>
        <v>DNP</v>
      </c>
      <c r="K351" t="str">
        <f>_xlfn.XLOOKUP(Table16[[#This Row],[Name]],Table2111216420[Name],Table2111216420[Points],"DNP",0,1)</f>
        <v>DNP</v>
      </c>
      <c r="L351">
        <f>_xlfn.XLOOKUP(Table16[[#This Row],[Name]],Table211121642021[Name],Table211121642021[Points],"DNP",0,1)</f>
        <v>10</v>
      </c>
      <c r="M351" t="str">
        <f>_xlfn.XLOOKUP(Table16[[#This Row],[Name]],Table21112164202122[Name],Table21112164202122[Points],"DNP",0,1)</f>
        <v>DNP</v>
      </c>
      <c r="N351" t="str">
        <f>_xlfn.XLOOKUP(Table16[[#This Row],[Name]],Table2111216420212223[Name],Table2111216420212223[Points],"DNP",0,1)</f>
        <v>DNP</v>
      </c>
      <c r="O351" t="str">
        <f>_xlfn.XLOOKUP(Table16[[#This Row],[Name]],Table211121642021222325[Name],Table211121642021222325[Points],"DNP",0,1)</f>
        <v>DNP</v>
      </c>
      <c r="P351" t="str">
        <f>_xlfn.XLOOKUP(Table16[[#This Row],[Name]],Table21112164202122232534[Name],Table21112164202122232534[Points],"DNP",0,1)</f>
        <v>DNP</v>
      </c>
      <c r="Q351" t="str">
        <f>_xlfn.XLOOKUP(Table16[[#This Row],[Name]],Table2111216420212223253435[Name],Table2111216420212223253435[Points],"DNP",0,1)</f>
        <v>DNP</v>
      </c>
      <c r="R351" t="str">
        <f>_xlfn.XLOOKUP(Table16[[#This Row],[Name]],Table211121642021222325343536[Name],Table211121642021222325343536[Points],"DNP",0,1)</f>
        <v>DNP</v>
      </c>
      <c r="S351" t="str">
        <f>_xlfn.XLOOKUP(Table16[[#This Row],[Name]],Table21112164202122232534353637[Name],Table21112164202122232534353637[Points],"DNP",0,1)</f>
        <v>DNP</v>
      </c>
      <c r="T351" t="str">
        <f>_xlfn.XLOOKUP(Table16[[#This Row],[Name]],Table2111216420212223253435363738[Name],Table2111216420212223253435363738[Points],"DNP",0,1)</f>
        <v>DNP</v>
      </c>
      <c r="U351" t="str">
        <f>_xlfn.XLOOKUP(Table16[[#This Row],[Name]],Table2111216420212223253435363739[Name],Table2111216420212223253435363739[Points],"DNP",0,1)</f>
        <v>DNP</v>
      </c>
      <c r="V351" t="str">
        <f>_xlfn.XLOOKUP(Table16[[#This Row],[Name]],Table211121642021222325343536373841[Name],Table211121642021222325343536373841[Points],"DNP",0,1)</f>
        <v>DNP</v>
      </c>
    </row>
    <row r="352" spans="2:22">
      <c r="B352" t="str">
        <f>IFERROR(Table5[[#This Row],[Full name]],"")</f>
        <v>Zhiye Liu</v>
      </c>
      <c r="C352" s="68">
        <f>SUM(Table16[[#This Row],[September 30, 2025]:[Column18]])</f>
        <v>2</v>
      </c>
      <c r="D352">
        <f>_xlfn.XLOOKUP(Table16[[#This Row],[Name]],Table4[Name],Table4[Points],"DNP",0,1)</f>
        <v>1</v>
      </c>
      <c r="E352" t="str">
        <f>_xlfn.XLOOKUP(Table16[[#This Row],[Name]],Table9[Name],Table9[Points],"DNP",0,1)</f>
        <v>DNP</v>
      </c>
      <c r="F352">
        <f>_xlfn.XLOOKUP(Table16[[#This Row],[Name]],Table18[Name],Table18[Points],"DNP",0,1)</f>
        <v>1</v>
      </c>
      <c r="G352" t="str">
        <f>_xlfn.XLOOKUP(Table16[[#This Row],[Name]],Table2[Name],Table2[Points],"DNP",0,1)</f>
        <v>DNP</v>
      </c>
      <c r="H352" t="str">
        <f>_xlfn.XLOOKUP(Table16[[#This Row],[Name]],Table211[Name],Table211[Points],"DNP",0,1)</f>
        <v>DNP</v>
      </c>
      <c r="I352" t="str">
        <f>_xlfn.XLOOKUP(Table16[[#This Row],[Name]],Table21112[Name],Table21112[Points],"DNP",0,1)</f>
        <v>DNP</v>
      </c>
      <c r="J352" t="str">
        <f>_xlfn.XLOOKUP(Table16[[#This Row],[Name]],Table21112164[Name],Table21112164[Points],"DNP",0,1)</f>
        <v>DNP</v>
      </c>
      <c r="K352" t="str">
        <f>_xlfn.XLOOKUP(Table16[[#This Row],[Name]],Table2111216420[Name],Table2111216420[Points],"DNP",0,1)</f>
        <v>DNP</v>
      </c>
      <c r="L352" t="str">
        <f>_xlfn.XLOOKUP(Table16[[#This Row],[Name]],Table211121642021[Name],Table211121642021[Points],"DNP",0,1)</f>
        <v>DNP</v>
      </c>
      <c r="M352" t="str">
        <f>_xlfn.XLOOKUP(Table16[[#This Row],[Name]],Table21112164202122[Name],Table21112164202122[Points],"DNP",0,1)</f>
        <v>DNP</v>
      </c>
      <c r="N352" t="str">
        <f>_xlfn.XLOOKUP(Table16[[#This Row],[Name]],Table2111216420212223[Name],Table2111216420212223[Points],"DNP",0,1)</f>
        <v>DNP</v>
      </c>
      <c r="O352" t="str">
        <f>_xlfn.XLOOKUP(Table16[[#This Row],[Name]],Table211121642021222325[Name],Table211121642021222325[Points],"DNP",0,1)</f>
        <v>DNP</v>
      </c>
      <c r="P352" t="str">
        <f>_xlfn.XLOOKUP(Table16[[#This Row],[Name]],Table21112164202122232534[Name],Table21112164202122232534[Points],"DNP",0,1)</f>
        <v>DNP</v>
      </c>
      <c r="Q352" t="str">
        <f>_xlfn.XLOOKUP(Table16[[#This Row],[Name]],Table2111216420212223253435[Name],Table2111216420212223253435[Points],"DNP",0,1)</f>
        <v>DNP</v>
      </c>
      <c r="R352" t="str">
        <f>_xlfn.XLOOKUP(Table16[[#This Row],[Name]],Table211121642021222325343536[Name],Table211121642021222325343536[Points],"DNP",0,1)</f>
        <v>DNP</v>
      </c>
      <c r="S352" t="str">
        <f>_xlfn.XLOOKUP(Table16[[#This Row],[Name]],Table21112164202122232534353637[Name],Table21112164202122232534353637[Points],"DNP",0,1)</f>
        <v>DNP</v>
      </c>
      <c r="T352" t="str">
        <f>_xlfn.XLOOKUP(Table16[[#This Row],[Name]],Table2111216420212223253435363738[Name],Table2111216420212223253435363738[Points],"DNP",0,1)</f>
        <v>DNP</v>
      </c>
      <c r="U352" t="str">
        <f>_xlfn.XLOOKUP(Table16[[#This Row],[Name]],Table2111216420212223253435363739[Name],Table2111216420212223253435363739[Points],"DNP",0,1)</f>
        <v>DNP</v>
      </c>
      <c r="V352" t="str">
        <f>_xlfn.XLOOKUP(Table16[[#This Row],[Name]],Table211121642021222325343536373841[Name],Table211121642021222325343536373841[Points],"DNP",0,1)</f>
        <v>DNP</v>
      </c>
    </row>
    <row r="353" spans="2:22">
      <c r="B353" t="str">
        <f>IFERROR(Table5[[#This Row],[Full name]],"")</f>
        <v>Ziad Elnagar</v>
      </c>
      <c r="C353" s="68">
        <f>SUM(Table16[[#This Row],[September 30, 2025]:[Column18]])</f>
        <v>13</v>
      </c>
      <c r="D353" t="str">
        <f>_xlfn.XLOOKUP(Table16[[#This Row],[Name]],Table4[Name],Table4[Points],"DNP",0,1)</f>
        <v>DNP</v>
      </c>
      <c r="E353" t="str">
        <f>_xlfn.XLOOKUP(Table16[[#This Row],[Name]],Table9[Name],Table9[Points],"DNP",0,1)</f>
        <v>DNP</v>
      </c>
      <c r="F353" t="str">
        <f>_xlfn.XLOOKUP(Table16[[#This Row],[Name]],Table18[Name],Table18[Points],"DNP",0,1)</f>
        <v>DNP</v>
      </c>
      <c r="G353" t="str">
        <f>_xlfn.XLOOKUP(Table16[[#This Row],[Name]],Table2[Name],Table2[Points],"DNP",0,1)</f>
        <v>DNP</v>
      </c>
      <c r="H353" t="str">
        <f>_xlfn.XLOOKUP(Table16[[#This Row],[Name]],Table211[Name],Table211[Points],"DNP",0,1)</f>
        <v>DNP</v>
      </c>
      <c r="I353" t="str">
        <f>_xlfn.XLOOKUP(Table16[[#This Row],[Name]],Table21112[Name],Table21112[Points],"DNP",0,1)</f>
        <v>DNP</v>
      </c>
      <c r="J353" t="str">
        <f>_xlfn.XLOOKUP(Table16[[#This Row],[Name]],Table21112164[Name],Table21112164[Points],"DNP",0,1)</f>
        <v>DNP</v>
      </c>
      <c r="K353" t="str">
        <f>_xlfn.XLOOKUP(Table16[[#This Row],[Name]],Table2111216420[Name],Table2111216420[Points],"DNP",0,1)</f>
        <v>DNP</v>
      </c>
      <c r="L353" t="str">
        <f>_xlfn.XLOOKUP(Table16[[#This Row],[Name]],Table211121642021[Name],Table211121642021[Points],"DNP",0,1)</f>
        <v>DNP</v>
      </c>
      <c r="M353" t="str">
        <f>_xlfn.XLOOKUP(Table16[[#This Row],[Name]],Table21112164202122[Name],Table21112164202122[Points],"DNP",0,1)</f>
        <v>DNP</v>
      </c>
      <c r="N353">
        <f>_xlfn.XLOOKUP(Table16[[#This Row],[Name]],Table2111216420212223[Name],Table2111216420212223[Points],"DNP",0,1)</f>
        <v>1</v>
      </c>
      <c r="O353">
        <f>_xlfn.XLOOKUP(Table16[[#This Row],[Name]],Table211121642021222325[Name],Table211121642021222325[Points],"DNP",0,1)</f>
        <v>4</v>
      </c>
      <c r="P353">
        <f>_xlfn.XLOOKUP(Table16[[#This Row],[Name]],Table21112164202122232534[Name],Table21112164202122232534[Points],"DNP",0,1)</f>
        <v>4</v>
      </c>
      <c r="Q353">
        <f>_xlfn.XLOOKUP(Table16[[#This Row],[Name]],Table2111216420212223253435[Name],Table2111216420212223253435[Points],"DNP",0,1)</f>
        <v>2</v>
      </c>
      <c r="R353" t="str">
        <f>_xlfn.XLOOKUP(Table16[[#This Row],[Name]],Table211121642021222325343536[Name],Table211121642021222325343536[Points],"DNP",0,1)</f>
        <v>DNP</v>
      </c>
      <c r="S353" t="str">
        <f>_xlfn.XLOOKUP(Table16[[#This Row],[Name]],Table21112164202122232534353637[Name],Table21112164202122232534353637[Points],"DNP",0,1)</f>
        <v>DNP</v>
      </c>
      <c r="T353" t="str">
        <f>_xlfn.XLOOKUP(Table16[[#This Row],[Name]],Table2111216420212223253435363738[Name],Table2111216420212223253435363738[Points],"DNP",0,1)</f>
        <v>DNP</v>
      </c>
      <c r="U353">
        <f>_xlfn.XLOOKUP(Table16[[#This Row],[Name]],Table2111216420212223253435363739[Name],Table2111216420212223253435363739[Points],"DNP",0,1)</f>
        <v>2</v>
      </c>
      <c r="V353" t="str">
        <f>_xlfn.XLOOKUP(Table16[[#This Row],[Name]],Table211121642021222325343536373841[Name],Table211121642021222325343536373841[Points],"DNP",0,1)</f>
        <v>DNP</v>
      </c>
    </row>
    <row r="354" spans="2:22">
      <c r="B354" t="str">
        <f>IFERROR(Table5[[#This Row],[Full name]],"")</f>
        <v>Zoe Rosenfeld</v>
      </c>
      <c r="C354" s="68">
        <f>SUM(Table16[[#This Row],[September 30, 2025]:[Column18]])</f>
        <v>0</v>
      </c>
      <c r="D354" t="str">
        <f>_xlfn.XLOOKUP(Table16[[#This Row],[Name]],Table4[Name],Table4[Points],"DNP",0,1)</f>
        <v>DNP</v>
      </c>
      <c r="E354" t="str">
        <f>_xlfn.XLOOKUP(Table16[[#This Row],[Name]],Table9[Name],Table9[Points],"DNP",0,1)</f>
        <v>DNP</v>
      </c>
      <c r="F354" t="str">
        <f>_xlfn.XLOOKUP(Table16[[#This Row],[Name]],Table18[Name],Table18[Points],"DNP",0,1)</f>
        <v>DNP</v>
      </c>
      <c r="G354" t="str">
        <f>_xlfn.XLOOKUP(Table16[[#This Row],[Name]],Table2[Name],Table2[Points],"DNP",0,1)</f>
        <v>DNP</v>
      </c>
      <c r="H354" t="str">
        <f>_xlfn.XLOOKUP(Table16[[#This Row],[Name]],Table211[Name],Table211[Points],"DNP",0,1)</f>
        <v>DNP</v>
      </c>
      <c r="I354" t="str">
        <f>_xlfn.XLOOKUP(Table16[[#This Row],[Name]],Table21112[Name],Table21112[Points],"DNP",0,1)</f>
        <v>DNP</v>
      </c>
      <c r="J354" t="str">
        <f>_xlfn.XLOOKUP(Table16[[#This Row],[Name]],Table21112164[Name],Table21112164[Points],"DNP",0,1)</f>
        <v>DNP</v>
      </c>
      <c r="K354" t="str">
        <f>_xlfn.XLOOKUP(Table16[[#This Row],[Name]],Table2111216420[Name],Table2111216420[Points],"DNP",0,1)</f>
        <v>DNP</v>
      </c>
      <c r="L354" t="str">
        <f>_xlfn.XLOOKUP(Table16[[#This Row],[Name]],Table211121642021[Name],Table211121642021[Points],"DNP",0,1)</f>
        <v>DNP</v>
      </c>
      <c r="M354" t="str">
        <f>_xlfn.XLOOKUP(Table16[[#This Row],[Name]],Table21112164202122[Name],Table21112164202122[Points],"DNP",0,1)</f>
        <v>DNP</v>
      </c>
      <c r="N354" t="str">
        <f>_xlfn.XLOOKUP(Table16[[#This Row],[Name]],Table2111216420212223[Name],Table2111216420212223[Points],"DNP",0,1)</f>
        <v>DNP</v>
      </c>
      <c r="O354" t="str">
        <f>_xlfn.XLOOKUP(Table16[[#This Row],[Name]],Table211121642021222325[Name],Table211121642021222325[Points],"DNP",0,1)</f>
        <v>DNP</v>
      </c>
      <c r="P354" t="str">
        <f>_xlfn.XLOOKUP(Table16[[#This Row],[Name]],Table21112164202122232534[Name],Table21112164202122232534[Points],"DNP",0,1)</f>
        <v>DNP</v>
      </c>
      <c r="Q354" t="str">
        <f>_xlfn.XLOOKUP(Table16[[#This Row],[Name]],Table2111216420212223253435[Name],Table2111216420212223253435[Points],"DNP",0,1)</f>
        <v>DNP</v>
      </c>
      <c r="R354" t="str">
        <f>_xlfn.XLOOKUP(Table16[[#This Row],[Name]],Table211121642021222325343536[Name],Table211121642021222325343536[Points],"DNP",0,1)</f>
        <v>DNP</v>
      </c>
      <c r="S354" t="str">
        <f>_xlfn.XLOOKUP(Table16[[#This Row],[Name]],Table21112164202122232534353637[Name],Table21112164202122232534353637[Points],"DNP",0,1)</f>
        <v>DNP</v>
      </c>
      <c r="T354" t="str">
        <f>_xlfn.XLOOKUP(Table16[[#This Row],[Name]],Table2111216420212223253435363738[Name],Table2111216420212223253435363738[Points],"DNP",0,1)</f>
        <v>DNP</v>
      </c>
      <c r="U354" t="str">
        <f>_xlfn.XLOOKUP(Table16[[#This Row],[Name]],Table2111216420212223253435363739[Name],Table2111216420212223253435363739[Points],"DNP",0,1)</f>
        <v>DNP</v>
      </c>
      <c r="V354" t="str">
        <f>_xlfn.XLOOKUP(Table16[[#This Row],[Name]],Table211121642021222325343536373841[Name],Table211121642021222325343536373841[Points],"DNP",0,1)</f>
        <v>DNP</v>
      </c>
    </row>
    <row r="355" spans="2:22">
      <c r="B355" t="str">
        <f>IFERROR(Table5[[#This Row],[Full name]],"")</f>
        <v>Rayane Jouhere</v>
      </c>
      <c r="C355" s="68">
        <f>SUM(Table16[[#This Row],[September 30, 2025]:[Column18]])</f>
        <v>0</v>
      </c>
      <c r="D355" t="str">
        <f>_xlfn.XLOOKUP(Table16[[#This Row],[Name]],Table4[Name],Table4[Points],"DNP",0,1)</f>
        <v>DNP</v>
      </c>
      <c r="E355" t="str">
        <f>_xlfn.XLOOKUP(Table16[[#This Row],[Name]],Table9[Name],Table9[Points],"DNP",0,1)</f>
        <v>DNP</v>
      </c>
      <c r="F355" t="str">
        <f>_xlfn.XLOOKUP(Table16[[#This Row],[Name]],Table18[Name],Table18[Points],"DNP",0,1)</f>
        <v>DNP</v>
      </c>
      <c r="G355" t="str">
        <f>_xlfn.XLOOKUP(Table16[[#This Row],[Name]],Table2[Name],Table2[Points],"DNP",0,1)</f>
        <v>DNP</v>
      </c>
      <c r="H355" t="str">
        <f>_xlfn.XLOOKUP(Table16[[#This Row],[Name]],Table211[Name],Table211[Points],"DNP",0,1)</f>
        <v>DNP</v>
      </c>
      <c r="I355" t="str">
        <f>_xlfn.XLOOKUP(Table16[[#This Row],[Name]],Table21112[Name],Table21112[Points],"DNP",0,1)</f>
        <v>DNP</v>
      </c>
      <c r="J355" t="str">
        <f>_xlfn.XLOOKUP(Table16[[#This Row],[Name]],Table21112164[Name],Table21112164[Points],"DNP",0,1)</f>
        <v>DNP</v>
      </c>
      <c r="K355" t="str">
        <f>_xlfn.XLOOKUP(Table16[[#This Row],[Name]],Table2111216420[Name],Table2111216420[Points],"DNP",0,1)</f>
        <v>DNP</v>
      </c>
      <c r="L355" t="str">
        <f>_xlfn.XLOOKUP(Table16[[#This Row],[Name]],Table211121642021[Name],Table211121642021[Points],"DNP",0,1)</f>
        <v>DNP</v>
      </c>
      <c r="M355" t="str">
        <f>_xlfn.XLOOKUP(Table16[[#This Row],[Name]],Table21112164202122[Name],Table21112164202122[Points],"DNP",0,1)</f>
        <v>DNP</v>
      </c>
      <c r="N355" t="str">
        <f>_xlfn.XLOOKUP(Table16[[#This Row],[Name]],Table2111216420212223[Name],Table2111216420212223[Points],"DNP",0,1)</f>
        <v>DNP</v>
      </c>
      <c r="O355" t="str">
        <f>_xlfn.XLOOKUP(Table16[[#This Row],[Name]],Table211121642021222325[Name],Table211121642021222325[Points],"DNP",0,1)</f>
        <v>DNP</v>
      </c>
      <c r="P355" t="str">
        <f>_xlfn.XLOOKUP(Table16[[#This Row],[Name]],Table21112164202122232534[Name],Table21112164202122232534[Points],"DNP",0,1)</f>
        <v>DNP</v>
      </c>
      <c r="Q355" t="str">
        <f>_xlfn.XLOOKUP(Table16[[#This Row],[Name]],Table2111216420212223253435[Name],Table2111216420212223253435[Points],"DNP",0,1)</f>
        <v>DNP</v>
      </c>
      <c r="R355" t="str">
        <f>_xlfn.XLOOKUP(Table16[[#This Row],[Name]],Table211121642021222325343536[Name],Table211121642021222325343536[Points],"DNP",0,1)</f>
        <v>DNP</v>
      </c>
      <c r="S355" t="str">
        <f>_xlfn.XLOOKUP(Table16[[#This Row],[Name]],Table21112164202122232534353637[Name],Table21112164202122232534353637[Points],"DNP",0,1)</f>
        <v>DNP</v>
      </c>
      <c r="T355" t="str">
        <f>_xlfn.XLOOKUP(Table16[[#This Row],[Name]],Table2111216420212223253435363738[Name],Table2111216420212223253435363738[Points],"DNP",0,1)</f>
        <v>DNP</v>
      </c>
      <c r="U355" t="str">
        <f>_xlfn.XLOOKUP(Table16[[#This Row],[Name]],Table2111216420212223253435363739[Name],Table2111216420212223253435363739[Points],"DNP",0,1)</f>
        <v>DNP</v>
      </c>
      <c r="V355" t="str">
        <f>_xlfn.XLOOKUP(Table16[[#This Row],[Name]],Table211121642021222325343536373841[Name],Table211121642021222325343536373841[Points],"DNP",0,1)</f>
        <v>DNP</v>
      </c>
    </row>
    <row r="356" spans="2:22">
      <c r="B356" t="str">
        <f>IFERROR(Table5[[#This Row],[Full name]],"")</f>
        <v/>
      </c>
      <c r="C356" s="68">
        <f>SUM(Table16[[#This Row],[September 30, 2025]:[Column18]])</f>
        <v>0</v>
      </c>
      <c r="D356" t="str">
        <f>_xlfn.XLOOKUP(Table16[[#This Row],[Name]],Table4[Name],Table4[Points],"DNP",0,1)</f>
        <v>DNP</v>
      </c>
      <c r="E356" t="str">
        <f>_xlfn.XLOOKUP(Table16[[#This Row],[Name]],Table9[Name],Table9[Points],"DNP",0,1)</f>
        <v>DNP</v>
      </c>
      <c r="F356" t="str">
        <f>_xlfn.XLOOKUP(Table16[[#This Row],[Name]],Table18[Name],Table18[Points],"DNP",0,1)</f>
        <v>DNP</v>
      </c>
      <c r="G356" t="str">
        <f>_xlfn.XLOOKUP(Table16[[#This Row],[Name]],Table2[Name],Table2[Points],"DNP",0,1)</f>
        <v>DNP</v>
      </c>
      <c r="H356" t="str">
        <f>_xlfn.XLOOKUP(Table16[[#This Row],[Name]],Table211[Name],Table211[Points],"DNP",0,1)</f>
        <v>DNP</v>
      </c>
      <c r="I356" t="str">
        <f>_xlfn.XLOOKUP(Table16[[#This Row],[Name]],Table21112[Name],Table21112[Points],"DNP",0,1)</f>
        <v>DNP</v>
      </c>
      <c r="J356" t="str">
        <f>_xlfn.XLOOKUP(Table16[[#This Row],[Name]],Table21112164[Name],Table21112164[Points],"DNP",0,1)</f>
        <v>DNP</v>
      </c>
      <c r="K356" t="str">
        <f>_xlfn.XLOOKUP(Table16[[#This Row],[Name]],Table2111216420[Name],Table2111216420[Points],"DNP",0,1)</f>
        <v>DNP</v>
      </c>
      <c r="L356" t="str">
        <f>_xlfn.XLOOKUP(Table16[[#This Row],[Name]],Table211121642021[Name],Table211121642021[Points],"DNP",0,1)</f>
        <v>DNP</v>
      </c>
      <c r="M356" t="str">
        <f>_xlfn.XLOOKUP(Table16[[#This Row],[Name]],Table21112164202122[Name],Table21112164202122[Points],"DNP",0,1)</f>
        <v>DNP</v>
      </c>
      <c r="N356" t="str">
        <f>_xlfn.XLOOKUP(Table16[[#This Row],[Name]],Table2111216420212223[Name],Table2111216420212223[Points],"DNP",0,1)</f>
        <v>DNP</v>
      </c>
      <c r="O356" t="str">
        <f>_xlfn.XLOOKUP(Table16[[#This Row],[Name]],Table211121642021222325[Name],Table211121642021222325[Points],"DNP",0,1)</f>
        <v>DNP</v>
      </c>
      <c r="P356" t="str">
        <f>_xlfn.XLOOKUP(Table16[[#This Row],[Name]],Table21112164202122232534[Name],Table21112164202122232534[Points],"DNP",0,1)</f>
        <v>DNP</v>
      </c>
      <c r="Q356" t="str">
        <f>_xlfn.XLOOKUP(Table16[[#This Row],[Name]],Table2111216420212223253435[Name],Table2111216420212223253435[Points],"DNP",0,1)</f>
        <v>DNP</v>
      </c>
      <c r="R356" t="str">
        <f>_xlfn.XLOOKUP(Table16[[#This Row],[Name]],Table211121642021222325343536[Name],Table211121642021222325343536[Points],"DNP",0,1)</f>
        <v>DNP</v>
      </c>
      <c r="S356" t="str">
        <f>_xlfn.XLOOKUP(Table16[[#This Row],[Name]],Table21112164202122232534353637[Name],Table21112164202122232534353637[Points],"DNP",0,1)</f>
        <v>DNP</v>
      </c>
      <c r="T356" t="str">
        <f>_xlfn.XLOOKUP(Table16[[#This Row],[Name]],Table2111216420212223253435363738[Name],Table2111216420212223253435363738[Points],"DNP",0,1)</f>
        <v>DNP</v>
      </c>
      <c r="U356" t="str">
        <f>_xlfn.XLOOKUP(Table16[[#This Row],[Name]],Table2111216420212223253435363739[Name],Table2111216420212223253435363739[Points],"DNP",0,1)</f>
        <v>DNP</v>
      </c>
      <c r="V356" t="str">
        <f>_xlfn.XLOOKUP(Table16[[#This Row],[Name]],Table211121642021222325343536373841[Name],Table211121642021222325343536373841[Points],"DNP",0,1)</f>
        <v>DNP</v>
      </c>
    </row>
    <row r="357" spans="2:22">
      <c r="B357" t="str">
        <f>IFERROR(Table5[[#This Row],[Full name]],"")</f>
        <v/>
      </c>
      <c r="C357" s="68">
        <f>SUM(Table16[[#This Row],[September 30, 2025]:[Column18]])</f>
        <v>0</v>
      </c>
      <c r="D357" t="str">
        <f>_xlfn.XLOOKUP(Table16[[#This Row],[Name]],Table4[Name],Table4[Points],"DNP",0,1)</f>
        <v>DNP</v>
      </c>
      <c r="E357" t="str">
        <f>_xlfn.XLOOKUP(Table16[[#This Row],[Name]],Table9[Name],Table9[Points],"DNP",0,1)</f>
        <v>DNP</v>
      </c>
      <c r="F357" t="str">
        <f>_xlfn.XLOOKUP(Table16[[#This Row],[Name]],Table18[Name],Table18[Points],"DNP",0,1)</f>
        <v>DNP</v>
      </c>
      <c r="G357" t="str">
        <f>_xlfn.XLOOKUP(Table16[[#This Row],[Name]],Table2[Name],Table2[Points],"DNP",0,1)</f>
        <v>DNP</v>
      </c>
      <c r="H357" t="str">
        <f>_xlfn.XLOOKUP(Table16[[#This Row],[Name]],Table211[Name],Table211[Points],"DNP",0,1)</f>
        <v>DNP</v>
      </c>
      <c r="I357" t="str">
        <f>_xlfn.XLOOKUP(Table16[[#This Row],[Name]],Table21112[Name],Table21112[Points],"DNP",0,1)</f>
        <v>DNP</v>
      </c>
      <c r="J357" t="str">
        <f>_xlfn.XLOOKUP(Table16[[#This Row],[Name]],Table21112164[Name],Table21112164[Points],"DNP",0,1)</f>
        <v>DNP</v>
      </c>
      <c r="K357" t="str">
        <f>_xlfn.XLOOKUP(Table16[[#This Row],[Name]],Table2111216420[Name],Table2111216420[Points],"DNP",0,1)</f>
        <v>DNP</v>
      </c>
      <c r="L357" t="str">
        <f>_xlfn.XLOOKUP(Table16[[#This Row],[Name]],Table211121642021[Name],Table211121642021[Points],"DNP",0,1)</f>
        <v>DNP</v>
      </c>
      <c r="M357" t="str">
        <f>_xlfn.XLOOKUP(Table16[[#This Row],[Name]],Table21112164202122[Name],Table21112164202122[Points],"DNP",0,1)</f>
        <v>DNP</v>
      </c>
      <c r="N357" t="str">
        <f>_xlfn.XLOOKUP(Table16[[#This Row],[Name]],Table2111216420212223[Name],Table2111216420212223[Points],"DNP",0,1)</f>
        <v>DNP</v>
      </c>
      <c r="O357" t="str">
        <f>_xlfn.XLOOKUP(Table16[[#This Row],[Name]],Table211121642021222325[Name],Table211121642021222325[Points],"DNP",0,1)</f>
        <v>DNP</v>
      </c>
      <c r="P357" t="str">
        <f>_xlfn.XLOOKUP(Table16[[#This Row],[Name]],Table21112164202122232534[Name],Table21112164202122232534[Points],"DNP",0,1)</f>
        <v>DNP</v>
      </c>
      <c r="Q357" t="str">
        <f>_xlfn.XLOOKUP(Table16[[#This Row],[Name]],Table2111216420212223253435[Name],Table2111216420212223253435[Points],"DNP",0,1)</f>
        <v>DNP</v>
      </c>
      <c r="R357" t="str">
        <f>_xlfn.XLOOKUP(Table16[[#This Row],[Name]],Table211121642021222325343536[Name],Table211121642021222325343536[Points],"DNP",0,1)</f>
        <v>DNP</v>
      </c>
      <c r="S357" t="str">
        <f>_xlfn.XLOOKUP(Table16[[#This Row],[Name]],Table21112164202122232534353637[Name],Table21112164202122232534353637[Points],"DNP",0,1)</f>
        <v>DNP</v>
      </c>
      <c r="T357" t="str">
        <f>_xlfn.XLOOKUP(Table16[[#This Row],[Name]],Table2111216420212223253435363738[Name],Table2111216420212223253435363738[Points],"DNP",0,1)</f>
        <v>DNP</v>
      </c>
      <c r="U357" t="str">
        <f>_xlfn.XLOOKUP(Table16[[#This Row],[Name]],Table2111216420212223253435363739[Name],Table2111216420212223253435363739[Points],"DNP",0,1)</f>
        <v>DNP</v>
      </c>
      <c r="V357" t="str">
        <f>_xlfn.XLOOKUP(Table16[[#This Row],[Name]],Table211121642021222325343536373841[Name],Table211121642021222325343536373841[Points],"DNP",0,1)</f>
        <v>DNP</v>
      </c>
    </row>
    <row r="358" spans="2:22">
      <c r="B358" t="str">
        <f>IFERROR(Table5[[#This Row],[Full name]],"")</f>
        <v/>
      </c>
      <c r="C358" s="68">
        <f>SUM(Table16[[#This Row],[September 30, 2025]:[Column18]])</f>
        <v>0</v>
      </c>
      <c r="D358" t="str">
        <f>_xlfn.XLOOKUP(Table16[[#This Row],[Name]],Table4[Name],Table4[Points],"DNP",0,1)</f>
        <v>DNP</v>
      </c>
      <c r="E358" t="str">
        <f>_xlfn.XLOOKUP(Table16[[#This Row],[Name]],Table9[Name],Table9[Points],"DNP",0,1)</f>
        <v>DNP</v>
      </c>
      <c r="F358" t="str">
        <f>_xlfn.XLOOKUP(Table16[[#This Row],[Name]],Table18[Name],Table18[Points],"DNP",0,1)</f>
        <v>DNP</v>
      </c>
      <c r="G358" t="str">
        <f>_xlfn.XLOOKUP(Table16[[#This Row],[Name]],Table2[Name],Table2[Points],"DNP",0,1)</f>
        <v>DNP</v>
      </c>
      <c r="H358" t="str">
        <f>_xlfn.XLOOKUP(Table16[[#This Row],[Name]],Table211[Name],Table211[Points],"DNP",0,1)</f>
        <v>DNP</v>
      </c>
      <c r="I358" t="str">
        <f>_xlfn.XLOOKUP(Table16[[#This Row],[Name]],Table21112[Name],Table21112[Points],"DNP",0,1)</f>
        <v>DNP</v>
      </c>
      <c r="J358" t="str">
        <f>_xlfn.XLOOKUP(Table16[[#This Row],[Name]],Table21112164[Name],Table21112164[Points],"DNP",0,1)</f>
        <v>DNP</v>
      </c>
      <c r="K358" t="str">
        <f>_xlfn.XLOOKUP(Table16[[#This Row],[Name]],Table2111216420[Name],Table2111216420[Points],"DNP",0,1)</f>
        <v>DNP</v>
      </c>
      <c r="L358" t="str">
        <f>_xlfn.XLOOKUP(Table16[[#This Row],[Name]],Table211121642021[Name],Table211121642021[Points],"DNP",0,1)</f>
        <v>DNP</v>
      </c>
      <c r="M358" t="str">
        <f>_xlfn.XLOOKUP(Table16[[#This Row],[Name]],Table21112164202122[Name],Table21112164202122[Points],"DNP",0,1)</f>
        <v>DNP</v>
      </c>
      <c r="N358" t="str">
        <f>_xlfn.XLOOKUP(Table16[[#This Row],[Name]],Table2111216420212223[Name],Table2111216420212223[Points],"DNP",0,1)</f>
        <v>DNP</v>
      </c>
      <c r="O358" t="str">
        <f>_xlfn.XLOOKUP(Table16[[#This Row],[Name]],Table211121642021222325[Name],Table211121642021222325[Points],"DNP",0,1)</f>
        <v>DNP</v>
      </c>
      <c r="P358" t="str">
        <f>_xlfn.XLOOKUP(Table16[[#This Row],[Name]],Table21112164202122232534[Name],Table21112164202122232534[Points],"DNP",0,1)</f>
        <v>DNP</v>
      </c>
      <c r="Q358" t="str">
        <f>_xlfn.XLOOKUP(Table16[[#This Row],[Name]],Table2111216420212223253435[Name],Table2111216420212223253435[Points],"DNP",0,1)</f>
        <v>DNP</v>
      </c>
      <c r="R358" t="str">
        <f>_xlfn.XLOOKUP(Table16[[#This Row],[Name]],Table211121642021222325343536[Name],Table211121642021222325343536[Points],"DNP",0,1)</f>
        <v>DNP</v>
      </c>
      <c r="S358" t="str">
        <f>_xlfn.XLOOKUP(Table16[[#This Row],[Name]],Table21112164202122232534353637[Name],Table21112164202122232534353637[Points],"DNP",0,1)</f>
        <v>DNP</v>
      </c>
      <c r="T358" t="str">
        <f>_xlfn.XLOOKUP(Table16[[#This Row],[Name]],Table2111216420212223253435363738[Name],Table2111216420212223253435363738[Points],"DNP",0,1)</f>
        <v>DNP</v>
      </c>
      <c r="U358" t="str">
        <f>_xlfn.XLOOKUP(Table16[[#This Row],[Name]],Table2111216420212223253435363739[Name],Table2111216420212223253435363739[Points],"DNP",0,1)</f>
        <v>DNP</v>
      </c>
      <c r="V358" t="str">
        <f>_xlfn.XLOOKUP(Table16[[#This Row],[Name]],Table211121642021222325343536373841[Name],Table211121642021222325343536373841[Points],"DNP",0,1)</f>
        <v>DNP</v>
      </c>
    </row>
    <row r="359" spans="2:22">
      <c r="B359" t="str">
        <f>IFERROR(Table5[[#This Row],[Full name]],"")</f>
        <v/>
      </c>
      <c r="C359" s="68">
        <f>SUM(Table16[[#This Row],[September 30, 2025]:[Column18]])</f>
        <v>0</v>
      </c>
      <c r="D359" t="str">
        <f>_xlfn.XLOOKUP(Table16[[#This Row],[Name]],Table4[Name],Table4[Points],"DNP",0,1)</f>
        <v>DNP</v>
      </c>
      <c r="E359" t="str">
        <f>_xlfn.XLOOKUP(Table16[[#This Row],[Name]],Table9[Name],Table9[Points],"DNP",0,1)</f>
        <v>DNP</v>
      </c>
      <c r="F359" t="str">
        <f>_xlfn.XLOOKUP(Table16[[#This Row],[Name]],Table18[Name],Table18[Points],"DNP",0,1)</f>
        <v>DNP</v>
      </c>
      <c r="G359" t="str">
        <f>_xlfn.XLOOKUP(Table16[[#This Row],[Name]],Table2[Name],Table2[Points],"DNP",0,1)</f>
        <v>DNP</v>
      </c>
      <c r="H359" t="str">
        <f>_xlfn.XLOOKUP(Table16[[#This Row],[Name]],Table211[Name],Table211[Points],"DNP",0,1)</f>
        <v>DNP</v>
      </c>
      <c r="I359" t="str">
        <f>_xlfn.XLOOKUP(Table16[[#This Row],[Name]],Table21112[Name],Table21112[Points],"DNP",0,1)</f>
        <v>DNP</v>
      </c>
      <c r="J359" t="str">
        <f>_xlfn.XLOOKUP(Table16[[#This Row],[Name]],Table21112164[Name],Table21112164[Points],"DNP",0,1)</f>
        <v>DNP</v>
      </c>
      <c r="K359" t="str">
        <f>_xlfn.XLOOKUP(Table16[[#This Row],[Name]],Table2111216420[Name],Table2111216420[Points],"DNP",0,1)</f>
        <v>DNP</v>
      </c>
      <c r="L359" t="str">
        <f>_xlfn.XLOOKUP(Table16[[#This Row],[Name]],Table211121642021[Name],Table211121642021[Points],"DNP",0,1)</f>
        <v>DNP</v>
      </c>
      <c r="M359" t="str">
        <f>_xlfn.XLOOKUP(Table16[[#This Row],[Name]],Table21112164202122[Name],Table21112164202122[Points],"DNP",0,1)</f>
        <v>DNP</v>
      </c>
      <c r="N359" t="str">
        <f>_xlfn.XLOOKUP(Table16[[#This Row],[Name]],Table2111216420212223[Name],Table2111216420212223[Points],"DNP",0,1)</f>
        <v>DNP</v>
      </c>
      <c r="O359" t="str">
        <f>_xlfn.XLOOKUP(Table16[[#This Row],[Name]],Table211121642021222325[Name],Table211121642021222325[Points],"DNP",0,1)</f>
        <v>DNP</v>
      </c>
      <c r="P359" t="str">
        <f>_xlfn.XLOOKUP(Table16[[#This Row],[Name]],Table21112164202122232534[Name],Table21112164202122232534[Points],"DNP",0,1)</f>
        <v>DNP</v>
      </c>
      <c r="Q359" t="str">
        <f>_xlfn.XLOOKUP(Table16[[#This Row],[Name]],Table2111216420212223253435[Name],Table2111216420212223253435[Points],"DNP",0,1)</f>
        <v>DNP</v>
      </c>
      <c r="R359" t="str">
        <f>_xlfn.XLOOKUP(Table16[[#This Row],[Name]],Table211121642021222325343536[Name],Table211121642021222325343536[Points],"DNP",0,1)</f>
        <v>DNP</v>
      </c>
      <c r="S359" t="str">
        <f>_xlfn.XLOOKUP(Table16[[#This Row],[Name]],Table21112164202122232534353637[Name],Table21112164202122232534353637[Points],"DNP",0,1)</f>
        <v>DNP</v>
      </c>
      <c r="T359" t="str">
        <f>_xlfn.XLOOKUP(Table16[[#This Row],[Name]],Table2111216420212223253435363738[Name],Table2111216420212223253435363738[Points],"DNP",0,1)</f>
        <v>DNP</v>
      </c>
      <c r="U359" t="str">
        <f>_xlfn.XLOOKUP(Table16[[#This Row],[Name]],Table2111216420212223253435363739[Name],Table2111216420212223253435363739[Points],"DNP",0,1)</f>
        <v>DNP</v>
      </c>
      <c r="V359" t="str">
        <f>_xlfn.XLOOKUP(Table16[[#This Row],[Name]],Table211121642021222325343536373841[Name],Table211121642021222325343536373841[Points],"DNP",0,1)</f>
        <v>DNP</v>
      </c>
    </row>
    <row r="360" spans="2:22">
      <c r="B360" t="str">
        <f>IFERROR(Table5[[#This Row],[Full name]],"")</f>
        <v/>
      </c>
      <c r="C360" s="68">
        <f>SUM(Table16[[#This Row],[September 30, 2025]:[Column18]])</f>
        <v>0</v>
      </c>
      <c r="D360" t="str">
        <f>_xlfn.XLOOKUP(Table16[[#This Row],[Name]],Table4[Name],Table4[Points],"DNP",0,1)</f>
        <v>DNP</v>
      </c>
      <c r="E360" t="str">
        <f>_xlfn.XLOOKUP(Table16[[#This Row],[Name]],Table9[Name],Table9[Points],"DNP",0,1)</f>
        <v>DNP</v>
      </c>
      <c r="F360" t="str">
        <f>_xlfn.XLOOKUP(Table16[[#This Row],[Name]],Table18[Name],Table18[Points],"DNP",0,1)</f>
        <v>DNP</v>
      </c>
      <c r="G360" t="str">
        <f>_xlfn.XLOOKUP(Table16[[#This Row],[Name]],Table2[Name],Table2[Points],"DNP",0,1)</f>
        <v>DNP</v>
      </c>
      <c r="H360" t="str">
        <f>_xlfn.XLOOKUP(Table16[[#This Row],[Name]],Table211[Name],Table211[Points],"DNP",0,1)</f>
        <v>DNP</v>
      </c>
      <c r="I360" t="str">
        <f>_xlfn.XLOOKUP(Table16[[#This Row],[Name]],Table21112[Name],Table21112[Points],"DNP",0,1)</f>
        <v>DNP</v>
      </c>
      <c r="J360" t="str">
        <f>_xlfn.XLOOKUP(Table16[[#This Row],[Name]],Table21112164[Name],Table21112164[Points],"DNP",0,1)</f>
        <v>DNP</v>
      </c>
      <c r="K360" t="str">
        <f>_xlfn.XLOOKUP(Table16[[#This Row],[Name]],Table2111216420[Name],Table2111216420[Points],"DNP",0,1)</f>
        <v>DNP</v>
      </c>
      <c r="L360" t="str">
        <f>_xlfn.XLOOKUP(Table16[[#This Row],[Name]],Table211121642021[Name],Table211121642021[Points],"DNP",0,1)</f>
        <v>DNP</v>
      </c>
      <c r="M360" t="str">
        <f>_xlfn.XLOOKUP(Table16[[#This Row],[Name]],Table21112164202122[Name],Table21112164202122[Points],"DNP",0,1)</f>
        <v>DNP</v>
      </c>
      <c r="N360" t="str">
        <f>_xlfn.XLOOKUP(Table16[[#This Row],[Name]],Table2111216420212223[Name],Table2111216420212223[Points],"DNP",0,1)</f>
        <v>DNP</v>
      </c>
      <c r="O360" t="str">
        <f>_xlfn.XLOOKUP(Table16[[#This Row],[Name]],Table211121642021222325[Name],Table211121642021222325[Points],"DNP",0,1)</f>
        <v>DNP</v>
      </c>
      <c r="P360" t="str">
        <f>_xlfn.XLOOKUP(Table16[[#This Row],[Name]],Table21112164202122232534[Name],Table21112164202122232534[Points],"DNP",0,1)</f>
        <v>DNP</v>
      </c>
      <c r="Q360" t="str">
        <f>_xlfn.XLOOKUP(Table16[[#This Row],[Name]],Table2111216420212223253435[Name],Table2111216420212223253435[Points],"DNP",0,1)</f>
        <v>DNP</v>
      </c>
      <c r="R360" t="str">
        <f>_xlfn.XLOOKUP(Table16[[#This Row],[Name]],Table211121642021222325343536[Name],Table211121642021222325343536[Points],"DNP",0,1)</f>
        <v>DNP</v>
      </c>
      <c r="S360" t="str">
        <f>_xlfn.XLOOKUP(Table16[[#This Row],[Name]],Table21112164202122232534353637[Name],Table21112164202122232534353637[Points],"DNP",0,1)</f>
        <v>DNP</v>
      </c>
      <c r="T360" t="str">
        <f>_xlfn.XLOOKUP(Table16[[#This Row],[Name]],Table2111216420212223253435363738[Name],Table2111216420212223253435363738[Points],"DNP",0,1)</f>
        <v>DNP</v>
      </c>
      <c r="U360" t="str">
        <f>_xlfn.XLOOKUP(Table16[[#This Row],[Name]],Table2111216420212223253435363739[Name],Table2111216420212223253435363739[Points],"DNP",0,1)</f>
        <v>DNP</v>
      </c>
      <c r="V360" t="str">
        <f>_xlfn.XLOOKUP(Table16[[#This Row],[Name]],Table211121642021222325343536373841[Name],Table211121642021222325343536373841[Points],"DNP",0,1)</f>
        <v>DNP</v>
      </c>
    </row>
    <row r="361" spans="2:22">
      <c r="B361" t="str">
        <f>IFERROR(Table5[[#This Row],[Full name]],"")</f>
        <v/>
      </c>
      <c r="C361" s="68">
        <f>SUM(Table16[[#This Row],[September 30, 2025]:[Column18]])</f>
        <v>0</v>
      </c>
      <c r="D361" t="str">
        <f>_xlfn.XLOOKUP(Table16[[#This Row],[Name]],Table4[Name],Table4[Points],"DNP",0,1)</f>
        <v>DNP</v>
      </c>
      <c r="E361" t="str">
        <f>_xlfn.XLOOKUP(Table16[[#This Row],[Name]],Table9[Name],Table9[Points],"DNP",0,1)</f>
        <v>DNP</v>
      </c>
      <c r="F361" t="str">
        <f>_xlfn.XLOOKUP(Table16[[#This Row],[Name]],Table18[Name],Table18[Points],"DNP",0,1)</f>
        <v>DNP</v>
      </c>
      <c r="G361" t="str">
        <f>_xlfn.XLOOKUP(Table16[[#This Row],[Name]],Table2[Name],Table2[Points],"DNP",0,1)</f>
        <v>DNP</v>
      </c>
      <c r="H361" t="str">
        <f>_xlfn.XLOOKUP(Table16[[#This Row],[Name]],Table211[Name],Table211[Points],"DNP",0,1)</f>
        <v>DNP</v>
      </c>
      <c r="I361" t="str">
        <f>_xlfn.XLOOKUP(Table16[[#This Row],[Name]],Table21112[Name],Table21112[Points],"DNP",0,1)</f>
        <v>DNP</v>
      </c>
      <c r="J361" t="str">
        <f>_xlfn.XLOOKUP(Table16[[#This Row],[Name]],Table21112164[Name],Table21112164[Points],"DNP",0,1)</f>
        <v>DNP</v>
      </c>
      <c r="K361" t="str">
        <f>_xlfn.XLOOKUP(Table16[[#This Row],[Name]],Table2111216420[Name],Table2111216420[Points],"DNP",0,1)</f>
        <v>DNP</v>
      </c>
      <c r="L361" t="str">
        <f>_xlfn.XLOOKUP(Table16[[#This Row],[Name]],Table211121642021[Name],Table211121642021[Points],"DNP",0,1)</f>
        <v>DNP</v>
      </c>
      <c r="M361" t="str">
        <f>_xlfn.XLOOKUP(Table16[[#This Row],[Name]],Table21112164202122[Name],Table21112164202122[Points],"DNP",0,1)</f>
        <v>DNP</v>
      </c>
      <c r="N361" t="str">
        <f>_xlfn.XLOOKUP(Table16[[#This Row],[Name]],Table2111216420212223[Name],Table2111216420212223[Points],"DNP",0,1)</f>
        <v>DNP</v>
      </c>
      <c r="O361" t="str">
        <f>_xlfn.XLOOKUP(Table16[[#This Row],[Name]],Table211121642021222325[Name],Table211121642021222325[Points],"DNP",0,1)</f>
        <v>DNP</v>
      </c>
      <c r="P361" t="str">
        <f>_xlfn.XLOOKUP(Table16[[#This Row],[Name]],Table21112164202122232534[Name],Table21112164202122232534[Points],"DNP",0,1)</f>
        <v>DNP</v>
      </c>
      <c r="Q361" t="str">
        <f>_xlfn.XLOOKUP(Table16[[#This Row],[Name]],Table2111216420212223253435[Name],Table2111216420212223253435[Points],"DNP",0,1)</f>
        <v>DNP</v>
      </c>
      <c r="R361" t="str">
        <f>_xlfn.XLOOKUP(Table16[[#This Row],[Name]],Table211121642021222325343536[Name],Table211121642021222325343536[Points],"DNP",0,1)</f>
        <v>DNP</v>
      </c>
      <c r="S361" t="str">
        <f>_xlfn.XLOOKUP(Table16[[#This Row],[Name]],Table21112164202122232534353637[Name],Table21112164202122232534353637[Points],"DNP",0,1)</f>
        <v>DNP</v>
      </c>
      <c r="T361" t="str">
        <f>_xlfn.XLOOKUP(Table16[[#This Row],[Name]],Table2111216420212223253435363738[Name],Table2111216420212223253435363738[Points],"DNP",0,1)</f>
        <v>DNP</v>
      </c>
      <c r="U361" t="str">
        <f>_xlfn.XLOOKUP(Table16[[#This Row],[Name]],Table2111216420212223253435363739[Name],Table2111216420212223253435363739[Points],"DNP",0,1)</f>
        <v>DNP</v>
      </c>
      <c r="V361" t="str">
        <f>_xlfn.XLOOKUP(Table16[[#This Row],[Name]],Table211121642021222325343536373841[Name],Table211121642021222325343536373841[Points],"DNP",0,1)</f>
        <v>DNP</v>
      </c>
    </row>
    <row r="362" spans="2:22">
      <c r="B362" t="str">
        <f>IFERROR(Table5[[#This Row],[Full name]],"")</f>
        <v/>
      </c>
      <c r="C362" s="68">
        <f>SUM(Table16[[#This Row],[September 30, 2025]:[Column18]])</f>
        <v>0</v>
      </c>
      <c r="D362" t="str">
        <f>_xlfn.XLOOKUP(Table16[[#This Row],[Name]],Table4[Name],Table4[Points],"DNP",0,1)</f>
        <v>DNP</v>
      </c>
      <c r="E362" t="str">
        <f>_xlfn.XLOOKUP(Table16[[#This Row],[Name]],Table9[Name],Table9[Points],"DNP",0,1)</f>
        <v>DNP</v>
      </c>
      <c r="F362" t="str">
        <f>_xlfn.XLOOKUP(Table16[[#This Row],[Name]],Table18[Name],Table18[Points],"DNP",0,1)</f>
        <v>DNP</v>
      </c>
      <c r="G362" t="str">
        <f>_xlfn.XLOOKUP(Table16[[#This Row],[Name]],Table2[Name],Table2[Points],"DNP",0,1)</f>
        <v>DNP</v>
      </c>
      <c r="H362" t="str">
        <f>_xlfn.XLOOKUP(Table16[[#This Row],[Name]],Table211[Name],Table211[Points],"DNP",0,1)</f>
        <v>DNP</v>
      </c>
      <c r="I362" t="str">
        <f>_xlfn.XLOOKUP(Table16[[#This Row],[Name]],Table21112[Name],Table21112[Points],"DNP",0,1)</f>
        <v>DNP</v>
      </c>
      <c r="J362" t="str">
        <f>_xlfn.XLOOKUP(Table16[[#This Row],[Name]],Table21112164[Name],Table21112164[Points],"DNP",0,1)</f>
        <v>DNP</v>
      </c>
      <c r="K362" t="str">
        <f>_xlfn.XLOOKUP(Table16[[#This Row],[Name]],Table2111216420[Name],Table2111216420[Points],"DNP",0,1)</f>
        <v>DNP</v>
      </c>
      <c r="L362" t="str">
        <f>_xlfn.XLOOKUP(Table16[[#This Row],[Name]],Table211121642021[Name],Table211121642021[Points],"DNP",0,1)</f>
        <v>DNP</v>
      </c>
      <c r="M362" t="str">
        <f>_xlfn.XLOOKUP(Table16[[#This Row],[Name]],Table21112164202122[Name],Table21112164202122[Points],"DNP",0,1)</f>
        <v>DNP</v>
      </c>
      <c r="N362" t="str">
        <f>_xlfn.XLOOKUP(Table16[[#This Row],[Name]],Table2111216420212223[Name],Table2111216420212223[Points],"DNP",0,1)</f>
        <v>DNP</v>
      </c>
      <c r="O362" t="str">
        <f>_xlfn.XLOOKUP(Table16[[#This Row],[Name]],Table211121642021222325[Name],Table211121642021222325[Points],"DNP",0,1)</f>
        <v>DNP</v>
      </c>
      <c r="P362" t="str">
        <f>_xlfn.XLOOKUP(Table16[[#This Row],[Name]],Table21112164202122232534[Name],Table21112164202122232534[Points],"DNP",0,1)</f>
        <v>DNP</v>
      </c>
      <c r="Q362" t="str">
        <f>_xlfn.XLOOKUP(Table16[[#This Row],[Name]],Table2111216420212223253435[Name],Table2111216420212223253435[Points],"DNP",0,1)</f>
        <v>DNP</v>
      </c>
      <c r="R362" t="str">
        <f>_xlfn.XLOOKUP(Table16[[#This Row],[Name]],Table211121642021222325343536[Name],Table211121642021222325343536[Points],"DNP",0,1)</f>
        <v>DNP</v>
      </c>
      <c r="S362" t="str">
        <f>_xlfn.XLOOKUP(Table16[[#This Row],[Name]],Table21112164202122232534353637[Name],Table21112164202122232534353637[Points],"DNP",0,1)</f>
        <v>DNP</v>
      </c>
      <c r="T362" t="str">
        <f>_xlfn.XLOOKUP(Table16[[#This Row],[Name]],Table2111216420212223253435363738[Name],Table2111216420212223253435363738[Points],"DNP",0,1)</f>
        <v>DNP</v>
      </c>
      <c r="U362" t="str">
        <f>_xlfn.XLOOKUP(Table16[[#This Row],[Name]],Table2111216420212223253435363739[Name],Table2111216420212223253435363739[Points],"DNP",0,1)</f>
        <v>DNP</v>
      </c>
      <c r="V362" t="str">
        <f>_xlfn.XLOOKUP(Table16[[#This Row],[Name]],Table211121642021222325343536373841[Name],Table211121642021222325343536373841[Points],"DNP",0,1)</f>
        <v>DNP</v>
      </c>
    </row>
    <row r="363" spans="2:22">
      <c r="B363" t="str">
        <f>IFERROR(Table5[[#This Row],[Full name]],"")</f>
        <v/>
      </c>
      <c r="C363" s="68">
        <f>SUM(Table16[[#This Row],[September 30, 2025]:[Column18]])</f>
        <v>0</v>
      </c>
      <c r="D363" t="str">
        <f>_xlfn.XLOOKUP(Table16[[#This Row],[Name]],Table4[Name],Table4[Points],"DNP",0,1)</f>
        <v>DNP</v>
      </c>
      <c r="E363" t="str">
        <f>_xlfn.XLOOKUP(Table16[[#This Row],[Name]],Table9[Name],Table9[Points],"DNP",0,1)</f>
        <v>DNP</v>
      </c>
      <c r="F363" t="str">
        <f>_xlfn.XLOOKUP(Table16[[#This Row],[Name]],Table18[Name],Table18[Points],"DNP",0,1)</f>
        <v>DNP</v>
      </c>
      <c r="G363" t="str">
        <f>_xlfn.XLOOKUP(Table16[[#This Row],[Name]],Table2[Name],Table2[Points],"DNP",0,1)</f>
        <v>DNP</v>
      </c>
      <c r="H363" t="str">
        <f>_xlfn.XLOOKUP(Table16[[#This Row],[Name]],Table211[Name],Table211[Points],"DNP",0,1)</f>
        <v>DNP</v>
      </c>
      <c r="I363" t="str">
        <f>_xlfn.XLOOKUP(Table16[[#This Row],[Name]],Table21112[Name],Table21112[Points],"DNP",0,1)</f>
        <v>DNP</v>
      </c>
      <c r="J363" t="str">
        <f>_xlfn.XLOOKUP(Table16[[#This Row],[Name]],Table21112164[Name],Table21112164[Points],"DNP",0,1)</f>
        <v>DNP</v>
      </c>
      <c r="K363" t="str">
        <f>_xlfn.XLOOKUP(Table16[[#This Row],[Name]],Table2111216420[Name],Table2111216420[Points],"DNP",0,1)</f>
        <v>DNP</v>
      </c>
      <c r="L363" t="str">
        <f>_xlfn.XLOOKUP(Table16[[#This Row],[Name]],Table211121642021[Name],Table211121642021[Points],"DNP",0,1)</f>
        <v>DNP</v>
      </c>
      <c r="M363" t="str">
        <f>_xlfn.XLOOKUP(Table16[[#This Row],[Name]],Table21112164202122[Name],Table21112164202122[Points],"DNP",0,1)</f>
        <v>DNP</v>
      </c>
      <c r="N363" t="str">
        <f>_xlfn.XLOOKUP(Table16[[#This Row],[Name]],Table2111216420212223[Name],Table2111216420212223[Points],"DNP",0,1)</f>
        <v>DNP</v>
      </c>
      <c r="O363" t="str">
        <f>_xlfn.XLOOKUP(Table16[[#This Row],[Name]],Table211121642021222325[Name],Table211121642021222325[Points],"DNP",0,1)</f>
        <v>DNP</v>
      </c>
      <c r="P363" t="str">
        <f>_xlfn.XLOOKUP(Table16[[#This Row],[Name]],Table21112164202122232534[Name],Table21112164202122232534[Points],"DNP",0,1)</f>
        <v>DNP</v>
      </c>
      <c r="Q363" t="str">
        <f>_xlfn.XLOOKUP(Table16[[#This Row],[Name]],Table2111216420212223253435[Name],Table2111216420212223253435[Points],"DNP",0,1)</f>
        <v>DNP</v>
      </c>
      <c r="R363" t="str">
        <f>_xlfn.XLOOKUP(Table16[[#This Row],[Name]],Table211121642021222325343536[Name],Table211121642021222325343536[Points],"DNP",0,1)</f>
        <v>DNP</v>
      </c>
      <c r="S363" t="str">
        <f>_xlfn.XLOOKUP(Table16[[#This Row],[Name]],Table21112164202122232534353637[Name],Table21112164202122232534353637[Points],"DNP",0,1)</f>
        <v>DNP</v>
      </c>
      <c r="T363" t="str">
        <f>_xlfn.XLOOKUP(Table16[[#This Row],[Name]],Table2111216420212223253435363738[Name],Table2111216420212223253435363738[Points],"DNP",0,1)</f>
        <v>DNP</v>
      </c>
      <c r="U363" t="str">
        <f>_xlfn.XLOOKUP(Table16[[#This Row],[Name]],Table2111216420212223253435363739[Name],Table2111216420212223253435363739[Points],"DNP",0,1)</f>
        <v>DNP</v>
      </c>
      <c r="V363" t="str">
        <f>_xlfn.XLOOKUP(Table16[[#This Row],[Name]],Table211121642021222325343536373841[Name],Table211121642021222325343536373841[Points],"DNP",0,1)</f>
        <v>DNP</v>
      </c>
    </row>
    <row r="364" spans="2:22">
      <c r="B364" t="str">
        <f>IFERROR(Table5[[#This Row],[Full name]],"")</f>
        <v/>
      </c>
      <c r="C364" s="68">
        <f>SUM(Table16[[#This Row],[September 30, 2025]:[Column18]])</f>
        <v>0</v>
      </c>
      <c r="D364" t="str">
        <f>_xlfn.XLOOKUP(Table16[[#This Row],[Name]],Table4[Name],Table4[Points],"DNP",0,1)</f>
        <v>DNP</v>
      </c>
      <c r="E364" t="str">
        <f>_xlfn.XLOOKUP(Table16[[#This Row],[Name]],Table9[Name],Table9[Points],"DNP",0,1)</f>
        <v>DNP</v>
      </c>
      <c r="F364" t="str">
        <f>_xlfn.XLOOKUP(Table16[[#This Row],[Name]],Table18[Name],Table18[Points],"DNP",0,1)</f>
        <v>DNP</v>
      </c>
      <c r="G364" t="str">
        <f>_xlfn.XLOOKUP(Table16[[#This Row],[Name]],Table2[Name],Table2[Points],"DNP",0,1)</f>
        <v>DNP</v>
      </c>
      <c r="H364" t="str">
        <f>_xlfn.XLOOKUP(Table16[[#This Row],[Name]],Table211[Name],Table211[Points],"DNP",0,1)</f>
        <v>DNP</v>
      </c>
      <c r="I364" t="str">
        <f>_xlfn.XLOOKUP(Table16[[#This Row],[Name]],Table21112[Name],Table21112[Points],"DNP",0,1)</f>
        <v>DNP</v>
      </c>
      <c r="J364" t="str">
        <f>_xlfn.XLOOKUP(Table16[[#This Row],[Name]],Table21112164[Name],Table21112164[Points],"DNP",0,1)</f>
        <v>DNP</v>
      </c>
      <c r="K364" t="str">
        <f>_xlfn.XLOOKUP(Table16[[#This Row],[Name]],Table2111216420[Name],Table2111216420[Points],"DNP",0,1)</f>
        <v>DNP</v>
      </c>
      <c r="L364" t="str">
        <f>_xlfn.XLOOKUP(Table16[[#This Row],[Name]],Table211121642021[Name],Table211121642021[Points],"DNP",0,1)</f>
        <v>DNP</v>
      </c>
      <c r="M364" t="str">
        <f>_xlfn.XLOOKUP(Table16[[#This Row],[Name]],Table21112164202122[Name],Table21112164202122[Points],"DNP",0,1)</f>
        <v>DNP</v>
      </c>
      <c r="N364" t="str">
        <f>_xlfn.XLOOKUP(Table16[[#This Row],[Name]],Table2111216420212223[Name],Table2111216420212223[Points],"DNP",0,1)</f>
        <v>DNP</v>
      </c>
      <c r="O364" t="str">
        <f>_xlfn.XLOOKUP(Table16[[#This Row],[Name]],Table211121642021222325[Name],Table211121642021222325[Points],"DNP",0,1)</f>
        <v>DNP</v>
      </c>
      <c r="P364" t="str">
        <f>_xlfn.XLOOKUP(Table16[[#This Row],[Name]],Table21112164202122232534[Name],Table21112164202122232534[Points],"DNP",0,1)</f>
        <v>DNP</v>
      </c>
      <c r="Q364" t="str">
        <f>_xlfn.XLOOKUP(Table16[[#This Row],[Name]],Table2111216420212223253435[Name],Table2111216420212223253435[Points],"DNP",0,1)</f>
        <v>DNP</v>
      </c>
      <c r="R364" t="str">
        <f>_xlfn.XLOOKUP(Table16[[#This Row],[Name]],Table211121642021222325343536[Name],Table211121642021222325343536[Points],"DNP",0,1)</f>
        <v>DNP</v>
      </c>
      <c r="S364" t="str">
        <f>_xlfn.XLOOKUP(Table16[[#This Row],[Name]],Table21112164202122232534353637[Name],Table21112164202122232534353637[Points],"DNP",0,1)</f>
        <v>DNP</v>
      </c>
      <c r="T364" t="str">
        <f>_xlfn.XLOOKUP(Table16[[#This Row],[Name]],Table2111216420212223253435363738[Name],Table2111216420212223253435363738[Points],"DNP",0,1)</f>
        <v>DNP</v>
      </c>
      <c r="U364" t="str">
        <f>_xlfn.XLOOKUP(Table16[[#This Row],[Name]],Table2111216420212223253435363739[Name],Table2111216420212223253435363739[Points],"DNP",0,1)</f>
        <v>DNP</v>
      </c>
      <c r="V364" t="str">
        <f>_xlfn.XLOOKUP(Table16[[#This Row],[Name]],Table211121642021222325343536373841[Name],Table211121642021222325343536373841[Points],"DNP",0,1)</f>
        <v>DNP</v>
      </c>
    </row>
    <row r="365" spans="2:22">
      <c r="B365" t="str">
        <f>IFERROR(Table5[[#This Row],[Full name]],"")</f>
        <v/>
      </c>
      <c r="C365" s="68">
        <f>SUM(Table16[[#This Row],[September 30, 2025]:[Column18]])</f>
        <v>0</v>
      </c>
      <c r="D365" t="str">
        <f>_xlfn.XLOOKUP(Table16[[#This Row],[Name]],Table4[Name],Table4[Points],"DNP",0,1)</f>
        <v>DNP</v>
      </c>
      <c r="E365" t="str">
        <f>_xlfn.XLOOKUP(Table16[[#This Row],[Name]],Table9[Name],Table9[Points],"DNP",0,1)</f>
        <v>DNP</v>
      </c>
      <c r="F365" t="str">
        <f>_xlfn.XLOOKUP(Table16[[#This Row],[Name]],Table18[Name],Table18[Points],"DNP",0,1)</f>
        <v>DNP</v>
      </c>
      <c r="G365" t="str">
        <f>_xlfn.XLOOKUP(Table16[[#This Row],[Name]],Table2[Name],Table2[Points],"DNP",0,1)</f>
        <v>DNP</v>
      </c>
      <c r="H365" t="str">
        <f>_xlfn.XLOOKUP(Table16[[#This Row],[Name]],Table211[Name],Table211[Points],"DNP",0,1)</f>
        <v>DNP</v>
      </c>
      <c r="I365" t="str">
        <f>_xlfn.XLOOKUP(Table16[[#This Row],[Name]],Table21112[Name],Table21112[Points],"DNP",0,1)</f>
        <v>DNP</v>
      </c>
      <c r="J365" t="str">
        <f>_xlfn.XLOOKUP(Table16[[#This Row],[Name]],Table21112164[Name],Table21112164[Points],"DNP",0,1)</f>
        <v>DNP</v>
      </c>
      <c r="K365" t="str">
        <f>_xlfn.XLOOKUP(Table16[[#This Row],[Name]],Table2111216420[Name],Table2111216420[Points],"DNP",0,1)</f>
        <v>DNP</v>
      </c>
      <c r="L365" t="str">
        <f>_xlfn.XLOOKUP(Table16[[#This Row],[Name]],Table211121642021[Name],Table211121642021[Points],"DNP",0,1)</f>
        <v>DNP</v>
      </c>
      <c r="M365" t="str">
        <f>_xlfn.XLOOKUP(Table16[[#This Row],[Name]],Table21112164202122[Name],Table21112164202122[Points],"DNP",0,1)</f>
        <v>DNP</v>
      </c>
      <c r="N365" t="str">
        <f>_xlfn.XLOOKUP(Table16[[#This Row],[Name]],Table2111216420212223[Name],Table2111216420212223[Points],"DNP",0,1)</f>
        <v>DNP</v>
      </c>
      <c r="O365" t="str">
        <f>_xlfn.XLOOKUP(Table16[[#This Row],[Name]],Table211121642021222325[Name],Table211121642021222325[Points],"DNP",0,1)</f>
        <v>DNP</v>
      </c>
      <c r="P365" t="str">
        <f>_xlfn.XLOOKUP(Table16[[#This Row],[Name]],Table21112164202122232534[Name],Table21112164202122232534[Points],"DNP",0,1)</f>
        <v>DNP</v>
      </c>
      <c r="Q365" t="str">
        <f>_xlfn.XLOOKUP(Table16[[#This Row],[Name]],Table2111216420212223253435[Name],Table2111216420212223253435[Points],"DNP",0,1)</f>
        <v>DNP</v>
      </c>
      <c r="R365" t="str">
        <f>_xlfn.XLOOKUP(Table16[[#This Row],[Name]],Table211121642021222325343536[Name],Table211121642021222325343536[Points],"DNP",0,1)</f>
        <v>DNP</v>
      </c>
      <c r="S365" t="str">
        <f>_xlfn.XLOOKUP(Table16[[#This Row],[Name]],Table21112164202122232534353637[Name],Table21112164202122232534353637[Points],"DNP",0,1)</f>
        <v>DNP</v>
      </c>
      <c r="T365" t="str">
        <f>_xlfn.XLOOKUP(Table16[[#This Row],[Name]],Table2111216420212223253435363738[Name],Table2111216420212223253435363738[Points],"DNP",0,1)</f>
        <v>DNP</v>
      </c>
      <c r="U365" t="str">
        <f>_xlfn.XLOOKUP(Table16[[#This Row],[Name]],Table2111216420212223253435363739[Name],Table2111216420212223253435363739[Points],"DNP",0,1)</f>
        <v>DNP</v>
      </c>
      <c r="V365" t="str">
        <f>_xlfn.XLOOKUP(Table16[[#This Row],[Name]],Table211121642021222325343536373841[Name],Table211121642021222325343536373841[Points],"DNP",0,1)</f>
        <v>DNP</v>
      </c>
    </row>
    <row r="366" spans="2:22">
      <c r="B366" t="str">
        <f>IFERROR(Table5[[#This Row],[Full name]],"")</f>
        <v/>
      </c>
      <c r="C366" s="68">
        <f>SUM(Table16[[#This Row],[September 30, 2025]:[Column18]])</f>
        <v>0</v>
      </c>
      <c r="D366" t="str">
        <f>_xlfn.XLOOKUP(Table16[[#This Row],[Name]],Table4[Name],Table4[Points],"DNP",0,1)</f>
        <v>DNP</v>
      </c>
      <c r="E366" t="str">
        <f>_xlfn.XLOOKUP(Table16[[#This Row],[Name]],Table9[Name],Table9[Points],"DNP",0,1)</f>
        <v>DNP</v>
      </c>
      <c r="F366" t="str">
        <f>_xlfn.XLOOKUP(Table16[[#This Row],[Name]],Table18[Name],Table18[Points],"DNP",0,1)</f>
        <v>DNP</v>
      </c>
      <c r="G366" t="str">
        <f>_xlfn.XLOOKUP(Table16[[#This Row],[Name]],Table2[Name],Table2[Points],"DNP",0,1)</f>
        <v>DNP</v>
      </c>
      <c r="H366" t="str">
        <f>_xlfn.XLOOKUP(Table16[[#This Row],[Name]],Table211[Name],Table211[Points],"DNP",0,1)</f>
        <v>DNP</v>
      </c>
      <c r="I366" t="str">
        <f>_xlfn.XLOOKUP(Table16[[#This Row],[Name]],Table21112[Name],Table21112[Points],"DNP",0,1)</f>
        <v>DNP</v>
      </c>
      <c r="J366" t="str">
        <f>_xlfn.XLOOKUP(Table16[[#This Row],[Name]],Table21112164[Name],Table21112164[Points],"DNP",0,1)</f>
        <v>DNP</v>
      </c>
      <c r="K366" t="str">
        <f>_xlfn.XLOOKUP(Table16[[#This Row],[Name]],Table2111216420[Name],Table2111216420[Points],"DNP",0,1)</f>
        <v>DNP</v>
      </c>
      <c r="L366" t="str">
        <f>_xlfn.XLOOKUP(Table16[[#This Row],[Name]],Table211121642021[Name],Table211121642021[Points],"DNP",0,1)</f>
        <v>DNP</v>
      </c>
      <c r="M366" t="str">
        <f>_xlfn.XLOOKUP(Table16[[#This Row],[Name]],Table21112164202122[Name],Table21112164202122[Points],"DNP",0,1)</f>
        <v>DNP</v>
      </c>
      <c r="N366" t="str">
        <f>_xlfn.XLOOKUP(Table16[[#This Row],[Name]],Table2111216420212223[Name],Table2111216420212223[Points],"DNP",0,1)</f>
        <v>DNP</v>
      </c>
      <c r="O366" t="str">
        <f>_xlfn.XLOOKUP(Table16[[#This Row],[Name]],Table211121642021222325[Name],Table211121642021222325[Points],"DNP",0,1)</f>
        <v>DNP</v>
      </c>
      <c r="P366" t="str">
        <f>_xlfn.XLOOKUP(Table16[[#This Row],[Name]],Table21112164202122232534[Name],Table21112164202122232534[Points],"DNP",0,1)</f>
        <v>DNP</v>
      </c>
      <c r="Q366" t="str">
        <f>_xlfn.XLOOKUP(Table16[[#This Row],[Name]],Table2111216420212223253435[Name],Table2111216420212223253435[Points],"DNP",0,1)</f>
        <v>DNP</v>
      </c>
      <c r="R366" t="str">
        <f>_xlfn.XLOOKUP(Table16[[#This Row],[Name]],Table211121642021222325343536[Name],Table211121642021222325343536[Points],"DNP",0,1)</f>
        <v>DNP</v>
      </c>
      <c r="S366" t="str">
        <f>_xlfn.XLOOKUP(Table16[[#This Row],[Name]],Table21112164202122232534353637[Name],Table21112164202122232534353637[Points],"DNP",0,1)</f>
        <v>DNP</v>
      </c>
      <c r="T366" t="str">
        <f>_xlfn.XLOOKUP(Table16[[#This Row],[Name]],Table2111216420212223253435363738[Name],Table2111216420212223253435363738[Points],"DNP",0,1)</f>
        <v>DNP</v>
      </c>
      <c r="U366" t="str">
        <f>_xlfn.XLOOKUP(Table16[[#This Row],[Name]],Table2111216420212223253435363739[Name],Table2111216420212223253435363739[Points],"DNP",0,1)</f>
        <v>DNP</v>
      </c>
      <c r="V366" t="str">
        <f>_xlfn.XLOOKUP(Table16[[#This Row],[Name]],Table211121642021222325343536373841[Name],Table211121642021222325343536373841[Points],"DNP",0,1)</f>
        <v>DNP</v>
      </c>
    </row>
    <row r="367" spans="2:22">
      <c r="B367" t="str">
        <f>IFERROR(Table5[[#This Row],[Full name]],"")</f>
        <v/>
      </c>
      <c r="C367" s="68">
        <f>SUM(Table16[[#This Row],[September 30, 2025]:[Column18]])</f>
        <v>0</v>
      </c>
      <c r="D367" t="str">
        <f>_xlfn.XLOOKUP(Table16[[#This Row],[Name]],Table4[Name],Table4[Points],"DNP",0,1)</f>
        <v>DNP</v>
      </c>
      <c r="E367" t="str">
        <f>_xlfn.XLOOKUP(Table16[[#This Row],[Name]],Table9[Name],Table9[Points],"DNP",0,1)</f>
        <v>DNP</v>
      </c>
      <c r="F367" t="str">
        <f>_xlfn.XLOOKUP(Table16[[#This Row],[Name]],Table18[Name],Table18[Points],"DNP",0,1)</f>
        <v>DNP</v>
      </c>
      <c r="G367" t="str">
        <f>_xlfn.XLOOKUP(Table16[[#This Row],[Name]],Table2[Name],Table2[Points],"DNP",0,1)</f>
        <v>DNP</v>
      </c>
      <c r="H367" t="str">
        <f>_xlfn.XLOOKUP(Table16[[#This Row],[Name]],Table211[Name],Table211[Points],"DNP",0,1)</f>
        <v>DNP</v>
      </c>
      <c r="I367" t="str">
        <f>_xlfn.XLOOKUP(Table16[[#This Row],[Name]],Table21112[Name],Table21112[Points],"DNP",0,1)</f>
        <v>DNP</v>
      </c>
      <c r="J367" t="str">
        <f>_xlfn.XLOOKUP(Table16[[#This Row],[Name]],Table21112164[Name],Table21112164[Points],"DNP",0,1)</f>
        <v>DNP</v>
      </c>
      <c r="K367" t="str">
        <f>_xlfn.XLOOKUP(Table16[[#This Row],[Name]],Table2111216420[Name],Table2111216420[Points],"DNP",0,1)</f>
        <v>DNP</v>
      </c>
      <c r="L367" t="str">
        <f>_xlfn.XLOOKUP(Table16[[#This Row],[Name]],Table211121642021[Name],Table211121642021[Points],"DNP",0,1)</f>
        <v>DNP</v>
      </c>
      <c r="M367" t="str">
        <f>_xlfn.XLOOKUP(Table16[[#This Row],[Name]],Table21112164202122[Name],Table21112164202122[Points],"DNP",0,1)</f>
        <v>DNP</v>
      </c>
      <c r="N367" t="str">
        <f>_xlfn.XLOOKUP(Table16[[#This Row],[Name]],Table2111216420212223[Name],Table2111216420212223[Points],"DNP",0,1)</f>
        <v>DNP</v>
      </c>
      <c r="O367" t="str">
        <f>_xlfn.XLOOKUP(Table16[[#This Row],[Name]],Table211121642021222325[Name],Table211121642021222325[Points],"DNP",0,1)</f>
        <v>DNP</v>
      </c>
      <c r="P367" t="str">
        <f>_xlfn.XLOOKUP(Table16[[#This Row],[Name]],Table21112164202122232534[Name],Table21112164202122232534[Points],"DNP",0,1)</f>
        <v>DNP</v>
      </c>
      <c r="Q367" t="str">
        <f>_xlfn.XLOOKUP(Table16[[#This Row],[Name]],Table2111216420212223253435[Name],Table2111216420212223253435[Points],"DNP",0,1)</f>
        <v>DNP</v>
      </c>
      <c r="R367" t="str">
        <f>_xlfn.XLOOKUP(Table16[[#This Row],[Name]],Table211121642021222325343536[Name],Table211121642021222325343536[Points],"DNP",0,1)</f>
        <v>DNP</v>
      </c>
      <c r="S367" t="str">
        <f>_xlfn.XLOOKUP(Table16[[#This Row],[Name]],Table21112164202122232534353637[Name],Table21112164202122232534353637[Points],"DNP",0,1)</f>
        <v>DNP</v>
      </c>
      <c r="T367" t="str">
        <f>_xlfn.XLOOKUP(Table16[[#This Row],[Name]],Table2111216420212223253435363738[Name],Table2111216420212223253435363738[Points],"DNP",0,1)</f>
        <v>DNP</v>
      </c>
      <c r="U367" t="str">
        <f>_xlfn.XLOOKUP(Table16[[#This Row],[Name]],Table2111216420212223253435363739[Name],Table2111216420212223253435363739[Points],"DNP",0,1)</f>
        <v>DNP</v>
      </c>
      <c r="V367" t="str">
        <f>_xlfn.XLOOKUP(Table16[[#This Row],[Name]],Table211121642021222325343536373841[Name],Table211121642021222325343536373841[Points],"DNP",0,1)</f>
        <v>DNP</v>
      </c>
    </row>
    <row r="368" spans="2:22">
      <c r="B368" t="str">
        <f>IFERROR(Table5[[#This Row],[Full name]],"")</f>
        <v/>
      </c>
      <c r="C368" s="68">
        <f>SUM(Table16[[#This Row],[September 30, 2025]:[Column18]])</f>
        <v>0</v>
      </c>
      <c r="D368" t="str">
        <f>_xlfn.XLOOKUP(Table16[[#This Row],[Name]],Table4[Name],Table4[Points],"DNP",0,1)</f>
        <v>DNP</v>
      </c>
      <c r="E368" t="str">
        <f>_xlfn.XLOOKUP(Table16[[#This Row],[Name]],Table9[Name],Table9[Points],"DNP",0,1)</f>
        <v>DNP</v>
      </c>
      <c r="F368" t="str">
        <f>_xlfn.XLOOKUP(Table16[[#This Row],[Name]],Table18[Name],Table18[Points],"DNP",0,1)</f>
        <v>DNP</v>
      </c>
      <c r="G368" t="str">
        <f>_xlfn.XLOOKUP(Table16[[#This Row],[Name]],Table2[Name],Table2[Points],"DNP",0,1)</f>
        <v>DNP</v>
      </c>
      <c r="H368" t="str">
        <f>_xlfn.XLOOKUP(Table16[[#This Row],[Name]],Table211[Name],Table211[Points],"DNP",0,1)</f>
        <v>DNP</v>
      </c>
      <c r="I368" t="str">
        <f>_xlfn.XLOOKUP(Table16[[#This Row],[Name]],Table21112[Name],Table21112[Points],"DNP",0,1)</f>
        <v>DNP</v>
      </c>
      <c r="J368" t="str">
        <f>_xlfn.XLOOKUP(Table16[[#This Row],[Name]],Table21112164[Name],Table21112164[Points],"DNP",0,1)</f>
        <v>DNP</v>
      </c>
      <c r="K368" t="str">
        <f>_xlfn.XLOOKUP(Table16[[#This Row],[Name]],Table2111216420[Name],Table2111216420[Points],"DNP",0,1)</f>
        <v>DNP</v>
      </c>
      <c r="L368" t="str">
        <f>_xlfn.XLOOKUP(Table16[[#This Row],[Name]],Table211121642021[Name],Table211121642021[Points],"DNP",0,1)</f>
        <v>DNP</v>
      </c>
      <c r="M368" t="str">
        <f>_xlfn.XLOOKUP(Table16[[#This Row],[Name]],Table21112164202122[Name],Table21112164202122[Points],"DNP",0,1)</f>
        <v>DNP</v>
      </c>
      <c r="N368" t="str">
        <f>_xlfn.XLOOKUP(Table16[[#This Row],[Name]],Table2111216420212223[Name],Table2111216420212223[Points],"DNP",0,1)</f>
        <v>DNP</v>
      </c>
      <c r="O368" t="str">
        <f>_xlfn.XLOOKUP(Table16[[#This Row],[Name]],Table211121642021222325[Name],Table211121642021222325[Points],"DNP",0,1)</f>
        <v>DNP</v>
      </c>
      <c r="P368" t="str">
        <f>_xlfn.XLOOKUP(Table16[[#This Row],[Name]],Table21112164202122232534[Name],Table21112164202122232534[Points],"DNP",0,1)</f>
        <v>DNP</v>
      </c>
      <c r="Q368" t="str">
        <f>_xlfn.XLOOKUP(Table16[[#This Row],[Name]],Table2111216420212223253435[Name],Table2111216420212223253435[Points],"DNP",0,1)</f>
        <v>DNP</v>
      </c>
      <c r="R368" t="str">
        <f>_xlfn.XLOOKUP(Table16[[#This Row],[Name]],Table211121642021222325343536[Name],Table211121642021222325343536[Points],"DNP",0,1)</f>
        <v>DNP</v>
      </c>
      <c r="S368" t="str">
        <f>_xlfn.XLOOKUP(Table16[[#This Row],[Name]],Table21112164202122232534353637[Name],Table21112164202122232534353637[Points],"DNP",0,1)</f>
        <v>DNP</v>
      </c>
      <c r="T368" t="str">
        <f>_xlfn.XLOOKUP(Table16[[#This Row],[Name]],Table2111216420212223253435363738[Name],Table2111216420212223253435363738[Points],"DNP",0,1)</f>
        <v>DNP</v>
      </c>
      <c r="U368" t="str">
        <f>_xlfn.XLOOKUP(Table16[[#This Row],[Name]],Table2111216420212223253435363739[Name],Table2111216420212223253435363739[Points],"DNP",0,1)</f>
        <v>DNP</v>
      </c>
      <c r="V368" t="str">
        <f>_xlfn.XLOOKUP(Table16[[#This Row],[Name]],Table211121642021222325343536373841[Name],Table211121642021222325343536373841[Points],"DNP",0,1)</f>
        <v>DNP</v>
      </c>
    </row>
    <row r="369" spans="2:22">
      <c r="B369" t="str">
        <f>IFERROR(Table5[[#This Row],[Full name]],"")</f>
        <v/>
      </c>
      <c r="C369" s="68">
        <f>SUM(Table16[[#This Row],[September 30, 2025]:[Column18]])</f>
        <v>0</v>
      </c>
      <c r="D369" t="str">
        <f>_xlfn.XLOOKUP(Table16[[#This Row],[Name]],Table4[Name],Table4[Points],"DNP",0,1)</f>
        <v>DNP</v>
      </c>
      <c r="E369" t="str">
        <f>_xlfn.XLOOKUP(Table16[[#This Row],[Name]],Table9[Name],Table9[Points],"DNP",0,1)</f>
        <v>DNP</v>
      </c>
      <c r="F369" t="str">
        <f>_xlfn.XLOOKUP(Table16[[#This Row],[Name]],Table18[Name],Table18[Points],"DNP",0,1)</f>
        <v>DNP</v>
      </c>
      <c r="G369" t="str">
        <f>_xlfn.XLOOKUP(Table16[[#This Row],[Name]],Table2[Name],Table2[Points],"DNP",0,1)</f>
        <v>DNP</v>
      </c>
      <c r="H369" t="str">
        <f>_xlfn.XLOOKUP(Table16[[#This Row],[Name]],Table211[Name],Table211[Points],"DNP",0,1)</f>
        <v>DNP</v>
      </c>
      <c r="I369" t="str">
        <f>_xlfn.XLOOKUP(Table16[[#This Row],[Name]],Table21112[Name],Table21112[Points],"DNP",0,1)</f>
        <v>DNP</v>
      </c>
      <c r="J369" t="str">
        <f>_xlfn.XLOOKUP(Table16[[#This Row],[Name]],Table21112164[Name],Table21112164[Points],"DNP",0,1)</f>
        <v>DNP</v>
      </c>
      <c r="K369" t="str">
        <f>_xlfn.XLOOKUP(Table16[[#This Row],[Name]],Table2111216420[Name],Table2111216420[Points],"DNP",0,1)</f>
        <v>DNP</v>
      </c>
      <c r="L369" t="str">
        <f>_xlfn.XLOOKUP(Table16[[#This Row],[Name]],Table211121642021[Name],Table211121642021[Points],"DNP",0,1)</f>
        <v>DNP</v>
      </c>
      <c r="M369" t="str">
        <f>_xlfn.XLOOKUP(Table16[[#This Row],[Name]],Table21112164202122[Name],Table21112164202122[Points],"DNP",0,1)</f>
        <v>DNP</v>
      </c>
      <c r="N369" t="str">
        <f>_xlfn.XLOOKUP(Table16[[#This Row],[Name]],Table2111216420212223[Name],Table2111216420212223[Points],"DNP",0,1)</f>
        <v>DNP</v>
      </c>
      <c r="O369" t="str">
        <f>_xlfn.XLOOKUP(Table16[[#This Row],[Name]],Table211121642021222325[Name],Table211121642021222325[Points],"DNP",0,1)</f>
        <v>DNP</v>
      </c>
      <c r="P369" t="str">
        <f>_xlfn.XLOOKUP(Table16[[#This Row],[Name]],Table21112164202122232534[Name],Table21112164202122232534[Points],"DNP",0,1)</f>
        <v>DNP</v>
      </c>
      <c r="Q369" t="str">
        <f>_xlfn.XLOOKUP(Table16[[#This Row],[Name]],Table2111216420212223253435[Name],Table2111216420212223253435[Points],"DNP",0,1)</f>
        <v>DNP</v>
      </c>
      <c r="R369" t="str">
        <f>_xlfn.XLOOKUP(Table16[[#This Row],[Name]],Table211121642021222325343536[Name],Table211121642021222325343536[Points],"DNP",0,1)</f>
        <v>DNP</v>
      </c>
      <c r="S369" t="str">
        <f>_xlfn.XLOOKUP(Table16[[#This Row],[Name]],Table21112164202122232534353637[Name],Table21112164202122232534353637[Points],"DNP",0,1)</f>
        <v>DNP</v>
      </c>
      <c r="T369" t="str">
        <f>_xlfn.XLOOKUP(Table16[[#This Row],[Name]],Table2111216420212223253435363738[Name],Table2111216420212223253435363738[Points],"DNP",0,1)</f>
        <v>DNP</v>
      </c>
      <c r="U369" t="str">
        <f>_xlfn.XLOOKUP(Table16[[#This Row],[Name]],Table2111216420212223253435363739[Name],Table2111216420212223253435363739[Points],"DNP",0,1)</f>
        <v>DNP</v>
      </c>
      <c r="V369" t="str">
        <f>_xlfn.XLOOKUP(Table16[[#This Row],[Name]],Table211121642021222325343536373841[Name],Table211121642021222325343536373841[Points],"DNP",0,1)</f>
        <v>DNP</v>
      </c>
    </row>
    <row r="370" spans="2:22">
      <c r="B370" t="str">
        <f>IFERROR(Table5[[#This Row],[Full name]],"")</f>
        <v/>
      </c>
      <c r="C370" s="68">
        <f>SUM(Table16[[#This Row],[September 30, 2025]:[Column18]])</f>
        <v>0</v>
      </c>
      <c r="D370" t="str">
        <f>_xlfn.XLOOKUP(Table16[[#This Row],[Name]],Table4[Name],Table4[Points],"DNP",0,1)</f>
        <v>DNP</v>
      </c>
      <c r="E370" t="str">
        <f>_xlfn.XLOOKUP(Table16[[#This Row],[Name]],Table9[Name],Table9[Points],"DNP",0,1)</f>
        <v>DNP</v>
      </c>
      <c r="F370" t="str">
        <f>_xlfn.XLOOKUP(Table16[[#This Row],[Name]],Table18[Name],Table18[Points],"DNP",0,1)</f>
        <v>DNP</v>
      </c>
      <c r="G370" t="str">
        <f>_xlfn.XLOOKUP(Table16[[#This Row],[Name]],Table2[Name],Table2[Points],"DNP",0,1)</f>
        <v>DNP</v>
      </c>
      <c r="H370" t="str">
        <f>_xlfn.XLOOKUP(Table16[[#This Row],[Name]],Table211[Name],Table211[Points],"DNP",0,1)</f>
        <v>DNP</v>
      </c>
      <c r="I370" t="str">
        <f>_xlfn.XLOOKUP(Table16[[#This Row],[Name]],Table21112[Name],Table21112[Points],"DNP",0,1)</f>
        <v>DNP</v>
      </c>
      <c r="J370" t="str">
        <f>_xlfn.XLOOKUP(Table16[[#This Row],[Name]],Table21112164[Name],Table21112164[Points],"DNP",0,1)</f>
        <v>DNP</v>
      </c>
      <c r="K370" t="str">
        <f>_xlfn.XLOOKUP(Table16[[#This Row],[Name]],Table2111216420[Name],Table2111216420[Points],"DNP",0,1)</f>
        <v>DNP</v>
      </c>
      <c r="L370" t="str">
        <f>_xlfn.XLOOKUP(Table16[[#This Row],[Name]],Table211121642021[Name],Table211121642021[Points],"DNP",0,1)</f>
        <v>DNP</v>
      </c>
      <c r="M370" t="str">
        <f>_xlfn.XLOOKUP(Table16[[#This Row],[Name]],Table21112164202122[Name],Table21112164202122[Points],"DNP",0,1)</f>
        <v>DNP</v>
      </c>
      <c r="N370" t="str">
        <f>_xlfn.XLOOKUP(Table16[[#This Row],[Name]],Table2111216420212223[Name],Table2111216420212223[Points],"DNP",0,1)</f>
        <v>DNP</v>
      </c>
      <c r="O370" t="str">
        <f>_xlfn.XLOOKUP(Table16[[#This Row],[Name]],Table211121642021222325[Name],Table211121642021222325[Points],"DNP",0,1)</f>
        <v>DNP</v>
      </c>
      <c r="P370" t="str">
        <f>_xlfn.XLOOKUP(Table16[[#This Row],[Name]],Table21112164202122232534[Name],Table21112164202122232534[Points],"DNP",0,1)</f>
        <v>DNP</v>
      </c>
      <c r="Q370" t="str">
        <f>_xlfn.XLOOKUP(Table16[[#This Row],[Name]],Table2111216420212223253435[Name],Table2111216420212223253435[Points],"DNP",0,1)</f>
        <v>DNP</v>
      </c>
      <c r="R370" t="str">
        <f>_xlfn.XLOOKUP(Table16[[#This Row],[Name]],Table211121642021222325343536[Name],Table211121642021222325343536[Points],"DNP",0,1)</f>
        <v>DNP</v>
      </c>
      <c r="S370" t="str">
        <f>_xlfn.XLOOKUP(Table16[[#This Row],[Name]],Table21112164202122232534353637[Name],Table21112164202122232534353637[Points],"DNP",0,1)</f>
        <v>DNP</v>
      </c>
      <c r="T370" t="str">
        <f>_xlfn.XLOOKUP(Table16[[#This Row],[Name]],Table2111216420212223253435363738[Name],Table2111216420212223253435363738[Points],"DNP",0,1)</f>
        <v>DNP</v>
      </c>
      <c r="U370" t="str">
        <f>_xlfn.XLOOKUP(Table16[[#This Row],[Name]],Table2111216420212223253435363739[Name],Table2111216420212223253435363739[Points],"DNP",0,1)</f>
        <v>DNP</v>
      </c>
      <c r="V370" t="str">
        <f>_xlfn.XLOOKUP(Table16[[#This Row],[Name]],Table211121642021222325343536373841[Name],Table211121642021222325343536373841[Points],"DNP",0,1)</f>
        <v>DNP</v>
      </c>
    </row>
    <row r="371" spans="2:22">
      <c r="B371" t="str">
        <f>IFERROR(Table5[[#This Row],[Full name]],"")</f>
        <v/>
      </c>
      <c r="C371" s="68">
        <f>SUM(Table16[[#This Row],[September 30, 2025]:[Column18]])</f>
        <v>0</v>
      </c>
      <c r="D371" t="str">
        <f>_xlfn.XLOOKUP(Table16[[#This Row],[Name]],Table4[Name],Table4[Points],"DNP",0,1)</f>
        <v>DNP</v>
      </c>
      <c r="E371" t="str">
        <f>_xlfn.XLOOKUP(Table16[[#This Row],[Name]],Table9[Name],Table9[Points],"DNP",0,1)</f>
        <v>DNP</v>
      </c>
      <c r="F371" t="str">
        <f>_xlfn.XLOOKUP(Table16[[#This Row],[Name]],Table18[Name],Table18[Points],"DNP",0,1)</f>
        <v>DNP</v>
      </c>
      <c r="G371" t="str">
        <f>_xlfn.XLOOKUP(Table16[[#This Row],[Name]],Table2[Name],Table2[Points],"DNP",0,1)</f>
        <v>DNP</v>
      </c>
      <c r="H371" t="str">
        <f>_xlfn.XLOOKUP(Table16[[#This Row],[Name]],Table211[Name],Table211[Points],"DNP",0,1)</f>
        <v>DNP</v>
      </c>
      <c r="I371" t="str">
        <f>_xlfn.XLOOKUP(Table16[[#This Row],[Name]],Table21112[Name],Table21112[Points],"DNP",0,1)</f>
        <v>DNP</v>
      </c>
      <c r="J371" t="str">
        <f>_xlfn.XLOOKUP(Table16[[#This Row],[Name]],Table21112164[Name],Table21112164[Points],"DNP",0,1)</f>
        <v>DNP</v>
      </c>
      <c r="K371" t="str">
        <f>_xlfn.XLOOKUP(Table16[[#This Row],[Name]],Table2111216420[Name],Table2111216420[Points],"DNP",0,1)</f>
        <v>DNP</v>
      </c>
      <c r="L371" t="str">
        <f>_xlfn.XLOOKUP(Table16[[#This Row],[Name]],Table211121642021[Name],Table211121642021[Points],"DNP",0,1)</f>
        <v>DNP</v>
      </c>
      <c r="M371" t="str">
        <f>_xlfn.XLOOKUP(Table16[[#This Row],[Name]],Table21112164202122[Name],Table21112164202122[Points],"DNP",0,1)</f>
        <v>DNP</v>
      </c>
      <c r="N371" t="str">
        <f>_xlfn.XLOOKUP(Table16[[#This Row],[Name]],Table2111216420212223[Name],Table2111216420212223[Points],"DNP",0,1)</f>
        <v>DNP</v>
      </c>
      <c r="O371" t="str">
        <f>_xlfn.XLOOKUP(Table16[[#This Row],[Name]],Table211121642021222325[Name],Table211121642021222325[Points],"DNP",0,1)</f>
        <v>DNP</v>
      </c>
      <c r="P371" t="str">
        <f>_xlfn.XLOOKUP(Table16[[#This Row],[Name]],Table21112164202122232534[Name],Table21112164202122232534[Points],"DNP",0,1)</f>
        <v>DNP</v>
      </c>
      <c r="Q371" t="str">
        <f>_xlfn.XLOOKUP(Table16[[#This Row],[Name]],Table2111216420212223253435[Name],Table2111216420212223253435[Points],"DNP",0,1)</f>
        <v>DNP</v>
      </c>
      <c r="R371" t="str">
        <f>_xlfn.XLOOKUP(Table16[[#This Row],[Name]],Table211121642021222325343536[Name],Table211121642021222325343536[Points],"DNP",0,1)</f>
        <v>DNP</v>
      </c>
      <c r="S371" t="str">
        <f>_xlfn.XLOOKUP(Table16[[#This Row],[Name]],Table21112164202122232534353637[Name],Table21112164202122232534353637[Points],"DNP",0,1)</f>
        <v>DNP</v>
      </c>
      <c r="T371" t="str">
        <f>_xlfn.XLOOKUP(Table16[[#This Row],[Name]],Table2111216420212223253435363738[Name],Table2111216420212223253435363738[Points],"DNP",0,1)</f>
        <v>DNP</v>
      </c>
      <c r="U371" t="str">
        <f>_xlfn.XLOOKUP(Table16[[#This Row],[Name]],Table2111216420212223253435363739[Name],Table2111216420212223253435363739[Points],"DNP",0,1)</f>
        <v>DNP</v>
      </c>
      <c r="V371" t="str">
        <f>_xlfn.XLOOKUP(Table16[[#This Row],[Name]],Table211121642021222325343536373841[Name],Table211121642021222325343536373841[Points],"DNP",0,1)</f>
        <v>DNP</v>
      </c>
    </row>
    <row r="372" spans="2:22">
      <c r="B372" t="str">
        <f>IFERROR(Table5[[#This Row],[Full name]],"")</f>
        <v/>
      </c>
      <c r="C372" s="68">
        <f>SUM(Table16[[#This Row],[September 30, 2025]:[Column18]])</f>
        <v>0</v>
      </c>
      <c r="D372" t="str">
        <f>_xlfn.XLOOKUP(Table16[[#This Row],[Name]],Table4[Name],Table4[Points],"DNP",0,1)</f>
        <v>DNP</v>
      </c>
      <c r="E372" t="str">
        <f>_xlfn.XLOOKUP(Table16[[#This Row],[Name]],Table9[Name],Table9[Points],"DNP",0,1)</f>
        <v>DNP</v>
      </c>
      <c r="F372" t="str">
        <f>_xlfn.XLOOKUP(Table16[[#This Row],[Name]],Table18[Name],Table18[Points],"DNP",0,1)</f>
        <v>DNP</v>
      </c>
      <c r="G372" t="str">
        <f>_xlfn.XLOOKUP(Table16[[#This Row],[Name]],Table2[Name],Table2[Points],"DNP",0,1)</f>
        <v>DNP</v>
      </c>
      <c r="H372" t="str">
        <f>_xlfn.XLOOKUP(Table16[[#This Row],[Name]],Table211[Name],Table211[Points],"DNP",0,1)</f>
        <v>DNP</v>
      </c>
      <c r="I372" t="str">
        <f>_xlfn.XLOOKUP(Table16[[#This Row],[Name]],Table21112[Name],Table21112[Points],"DNP",0,1)</f>
        <v>DNP</v>
      </c>
      <c r="J372" t="str">
        <f>_xlfn.XLOOKUP(Table16[[#This Row],[Name]],Table21112164[Name],Table21112164[Points],"DNP",0,1)</f>
        <v>DNP</v>
      </c>
      <c r="K372" t="str">
        <f>_xlfn.XLOOKUP(Table16[[#This Row],[Name]],Table2111216420[Name],Table2111216420[Points],"DNP",0,1)</f>
        <v>DNP</v>
      </c>
      <c r="L372" t="str">
        <f>_xlfn.XLOOKUP(Table16[[#This Row],[Name]],Table211121642021[Name],Table211121642021[Points],"DNP",0,1)</f>
        <v>DNP</v>
      </c>
      <c r="M372" t="str">
        <f>_xlfn.XLOOKUP(Table16[[#This Row],[Name]],Table21112164202122[Name],Table21112164202122[Points],"DNP",0,1)</f>
        <v>DNP</v>
      </c>
      <c r="N372" t="str">
        <f>_xlfn.XLOOKUP(Table16[[#This Row],[Name]],Table2111216420212223[Name],Table2111216420212223[Points],"DNP",0,1)</f>
        <v>DNP</v>
      </c>
      <c r="O372" t="str">
        <f>_xlfn.XLOOKUP(Table16[[#This Row],[Name]],Table211121642021222325[Name],Table211121642021222325[Points],"DNP",0,1)</f>
        <v>DNP</v>
      </c>
      <c r="P372" t="str">
        <f>_xlfn.XLOOKUP(Table16[[#This Row],[Name]],Table21112164202122232534[Name],Table21112164202122232534[Points],"DNP",0,1)</f>
        <v>DNP</v>
      </c>
      <c r="Q372" t="str">
        <f>_xlfn.XLOOKUP(Table16[[#This Row],[Name]],Table2111216420212223253435[Name],Table2111216420212223253435[Points],"DNP",0,1)</f>
        <v>DNP</v>
      </c>
      <c r="R372" t="str">
        <f>_xlfn.XLOOKUP(Table16[[#This Row],[Name]],Table211121642021222325343536[Name],Table211121642021222325343536[Points],"DNP",0,1)</f>
        <v>DNP</v>
      </c>
      <c r="S372" t="str">
        <f>_xlfn.XLOOKUP(Table16[[#This Row],[Name]],Table21112164202122232534353637[Name],Table21112164202122232534353637[Points],"DNP",0,1)</f>
        <v>DNP</v>
      </c>
      <c r="T372" t="str">
        <f>_xlfn.XLOOKUP(Table16[[#This Row],[Name]],Table2111216420212223253435363738[Name],Table2111216420212223253435363738[Points],"DNP",0,1)</f>
        <v>DNP</v>
      </c>
      <c r="U372" t="str">
        <f>_xlfn.XLOOKUP(Table16[[#This Row],[Name]],Table2111216420212223253435363739[Name],Table2111216420212223253435363739[Points],"DNP",0,1)</f>
        <v>DNP</v>
      </c>
      <c r="V372" t="str">
        <f>_xlfn.XLOOKUP(Table16[[#This Row],[Name]],Table211121642021222325343536373841[Name],Table211121642021222325343536373841[Points],"DNP",0,1)</f>
        <v>DNP</v>
      </c>
    </row>
    <row r="373" spans="2:22">
      <c r="B373" t="str">
        <f>IFERROR(Table5[[#This Row],[Full name]],"")</f>
        <v/>
      </c>
      <c r="C373" s="68">
        <f>SUM(Table16[[#This Row],[September 30, 2025]:[Column18]])</f>
        <v>0</v>
      </c>
      <c r="D373" t="str">
        <f>_xlfn.XLOOKUP(Table16[[#This Row],[Name]],Table4[Name],Table4[Points],"DNP",0,1)</f>
        <v>DNP</v>
      </c>
      <c r="E373" t="str">
        <f>_xlfn.XLOOKUP(Table16[[#This Row],[Name]],Table9[Name],Table9[Points],"DNP",0,1)</f>
        <v>DNP</v>
      </c>
      <c r="F373" t="str">
        <f>_xlfn.XLOOKUP(Table16[[#This Row],[Name]],Table18[Name],Table18[Points],"DNP",0,1)</f>
        <v>DNP</v>
      </c>
      <c r="G373" t="str">
        <f>_xlfn.XLOOKUP(Table16[[#This Row],[Name]],Table2[Name],Table2[Points],"DNP",0,1)</f>
        <v>DNP</v>
      </c>
      <c r="H373" t="str">
        <f>_xlfn.XLOOKUP(Table16[[#This Row],[Name]],Table211[Name],Table211[Points],"DNP",0,1)</f>
        <v>DNP</v>
      </c>
      <c r="I373" t="str">
        <f>_xlfn.XLOOKUP(Table16[[#This Row],[Name]],Table21112[Name],Table21112[Points],"DNP",0,1)</f>
        <v>DNP</v>
      </c>
      <c r="J373" t="str">
        <f>_xlfn.XLOOKUP(Table16[[#This Row],[Name]],Table21112164[Name],Table21112164[Points],"DNP",0,1)</f>
        <v>DNP</v>
      </c>
      <c r="K373" t="str">
        <f>_xlfn.XLOOKUP(Table16[[#This Row],[Name]],Table2111216420[Name],Table2111216420[Points],"DNP",0,1)</f>
        <v>DNP</v>
      </c>
      <c r="L373" t="str">
        <f>_xlfn.XLOOKUP(Table16[[#This Row],[Name]],Table211121642021[Name],Table211121642021[Points],"DNP",0,1)</f>
        <v>DNP</v>
      </c>
      <c r="M373" t="str">
        <f>_xlfn.XLOOKUP(Table16[[#This Row],[Name]],Table21112164202122[Name],Table21112164202122[Points],"DNP",0,1)</f>
        <v>DNP</v>
      </c>
      <c r="N373" t="str">
        <f>_xlfn.XLOOKUP(Table16[[#This Row],[Name]],Table2111216420212223[Name],Table2111216420212223[Points],"DNP",0,1)</f>
        <v>DNP</v>
      </c>
      <c r="O373" t="str">
        <f>_xlfn.XLOOKUP(Table16[[#This Row],[Name]],Table211121642021222325[Name],Table211121642021222325[Points],"DNP",0,1)</f>
        <v>DNP</v>
      </c>
      <c r="P373" t="str">
        <f>_xlfn.XLOOKUP(Table16[[#This Row],[Name]],Table21112164202122232534[Name],Table21112164202122232534[Points],"DNP",0,1)</f>
        <v>DNP</v>
      </c>
      <c r="Q373" t="str">
        <f>_xlfn.XLOOKUP(Table16[[#This Row],[Name]],Table2111216420212223253435[Name],Table2111216420212223253435[Points],"DNP",0,1)</f>
        <v>DNP</v>
      </c>
      <c r="R373" t="str">
        <f>_xlfn.XLOOKUP(Table16[[#This Row],[Name]],Table211121642021222325343536[Name],Table211121642021222325343536[Points],"DNP",0,1)</f>
        <v>DNP</v>
      </c>
      <c r="S373" t="str">
        <f>_xlfn.XLOOKUP(Table16[[#This Row],[Name]],Table21112164202122232534353637[Name],Table21112164202122232534353637[Points],"DNP",0,1)</f>
        <v>DNP</v>
      </c>
      <c r="T373" t="str">
        <f>_xlfn.XLOOKUP(Table16[[#This Row],[Name]],Table2111216420212223253435363738[Name],Table2111216420212223253435363738[Points],"DNP",0,1)</f>
        <v>DNP</v>
      </c>
      <c r="U373" t="str">
        <f>_xlfn.XLOOKUP(Table16[[#This Row],[Name]],Table2111216420212223253435363739[Name],Table2111216420212223253435363739[Points],"DNP",0,1)</f>
        <v>DNP</v>
      </c>
      <c r="V373" t="str">
        <f>_xlfn.XLOOKUP(Table16[[#This Row],[Name]],Table211121642021222325343536373841[Name],Table211121642021222325343536373841[Points],"DNP",0,1)</f>
        <v>DNP</v>
      </c>
    </row>
    <row r="374" spans="2:22">
      <c r="B374" t="str">
        <f>IFERROR(Table5[[#This Row],[Full name]],"")</f>
        <v/>
      </c>
      <c r="C374" s="68">
        <f>SUM(Table16[[#This Row],[September 30, 2025]:[Column18]])</f>
        <v>0</v>
      </c>
      <c r="D374" t="str">
        <f>_xlfn.XLOOKUP(Table16[[#This Row],[Name]],Table4[Name],Table4[Points],"DNP",0,1)</f>
        <v>DNP</v>
      </c>
      <c r="E374" t="str">
        <f>_xlfn.XLOOKUP(Table16[[#This Row],[Name]],Table9[Name],Table9[Points],"DNP",0,1)</f>
        <v>DNP</v>
      </c>
      <c r="F374" t="str">
        <f>_xlfn.XLOOKUP(Table16[[#This Row],[Name]],Table18[Name],Table18[Points],"DNP",0,1)</f>
        <v>DNP</v>
      </c>
      <c r="G374" t="str">
        <f>_xlfn.XLOOKUP(Table16[[#This Row],[Name]],Table2[Name],Table2[Points],"DNP",0,1)</f>
        <v>DNP</v>
      </c>
      <c r="H374" t="str">
        <f>_xlfn.XLOOKUP(Table16[[#This Row],[Name]],Table211[Name],Table211[Points],"DNP",0,1)</f>
        <v>DNP</v>
      </c>
      <c r="I374" t="str">
        <f>_xlfn.XLOOKUP(Table16[[#This Row],[Name]],Table21112[Name],Table21112[Points],"DNP",0,1)</f>
        <v>DNP</v>
      </c>
      <c r="J374" t="str">
        <f>_xlfn.XLOOKUP(Table16[[#This Row],[Name]],Table21112164[Name],Table21112164[Points],"DNP",0,1)</f>
        <v>DNP</v>
      </c>
      <c r="K374" t="str">
        <f>_xlfn.XLOOKUP(Table16[[#This Row],[Name]],Table2111216420[Name],Table2111216420[Points],"DNP",0,1)</f>
        <v>DNP</v>
      </c>
      <c r="L374" t="str">
        <f>_xlfn.XLOOKUP(Table16[[#This Row],[Name]],Table211121642021[Name],Table211121642021[Points],"DNP",0,1)</f>
        <v>DNP</v>
      </c>
      <c r="M374" t="str">
        <f>_xlfn.XLOOKUP(Table16[[#This Row],[Name]],Table21112164202122[Name],Table21112164202122[Points],"DNP",0,1)</f>
        <v>DNP</v>
      </c>
      <c r="N374" t="str">
        <f>_xlfn.XLOOKUP(Table16[[#This Row],[Name]],Table2111216420212223[Name],Table2111216420212223[Points],"DNP",0,1)</f>
        <v>DNP</v>
      </c>
      <c r="O374" t="str">
        <f>_xlfn.XLOOKUP(Table16[[#This Row],[Name]],Table211121642021222325[Name],Table211121642021222325[Points],"DNP",0,1)</f>
        <v>DNP</v>
      </c>
      <c r="P374" t="str">
        <f>_xlfn.XLOOKUP(Table16[[#This Row],[Name]],Table21112164202122232534[Name],Table21112164202122232534[Points],"DNP",0,1)</f>
        <v>DNP</v>
      </c>
      <c r="Q374" t="str">
        <f>_xlfn.XLOOKUP(Table16[[#This Row],[Name]],Table2111216420212223253435[Name],Table2111216420212223253435[Points],"DNP",0,1)</f>
        <v>DNP</v>
      </c>
      <c r="R374" t="str">
        <f>_xlfn.XLOOKUP(Table16[[#This Row],[Name]],Table211121642021222325343536[Name],Table211121642021222325343536[Points],"DNP",0,1)</f>
        <v>DNP</v>
      </c>
      <c r="S374" t="str">
        <f>_xlfn.XLOOKUP(Table16[[#This Row],[Name]],Table21112164202122232534353637[Name],Table21112164202122232534353637[Points],"DNP",0,1)</f>
        <v>DNP</v>
      </c>
      <c r="T374" t="str">
        <f>_xlfn.XLOOKUP(Table16[[#This Row],[Name]],Table2111216420212223253435363738[Name],Table2111216420212223253435363738[Points],"DNP",0,1)</f>
        <v>DNP</v>
      </c>
      <c r="U374" t="str">
        <f>_xlfn.XLOOKUP(Table16[[#This Row],[Name]],Table2111216420212223253435363739[Name],Table2111216420212223253435363739[Points],"DNP",0,1)</f>
        <v>DNP</v>
      </c>
      <c r="V374" t="str">
        <f>_xlfn.XLOOKUP(Table16[[#This Row],[Name]],Table211121642021222325343536373841[Name],Table211121642021222325343536373841[Points],"DNP",0,1)</f>
        <v>DNP</v>
      </c>
    </row>
    <row r="375" spans="2:22">
      <c r="B375" t="str">
        <f>IFERROR(Table5[[#This Row],[Full name]],"")</f>
        <v/>
      </c>
      <c r="C375" s="68">
        <f>SUM(Table16[[#This Row],[September 30, 2025]:[Column18]])</f>
        <v>0</v>
      </c>
      <c r="D375" t="str">
        <f>_xlfn.XLOOKUP(Table16[[#This Row],[Name]],Table4[Name],Table4[Points],"DNP",0,1)</f>
        <v>DNP</v>
      </c>
      <c r="E375" t="str">
        <f>_xlfn.XLOOKUP(Table16[[#This Row],[Name]],Table9[Name],Table9[Points],"DNP",0,1)</f>
        <v>DNP</v>
      </c>
      <c r="F375" t="str">
        <f>_xlfn.XLOOKUP(Table16[[#This Row],[Name]],Table18[Name],Table18[Points],"DNP",0,1)</f>
        <v>DNP</v>
      </c>
      <c r="G375" t="str">
        <f>_xlfn.XLOOKUP(Table16[[#This Row],[Name]],Table2[Name],Table2[Points],"DNP",0,1)</f>
        <v>DNP</v>
      </c>
      <c r="H375" t="str">
        <f>_xlfn.XLOOKUP(Table16[[#This Row],[Name]],Table211[Name],Table211[Points],"DNP",0,1)</f>
        <v>DNP</v>
      </c>
      <c r="I375" t="str">
        <f>_xlfn.XLOOKUP(Table16[[#This Row],[Name]],Table21112[Name],Table21112[Points],"DNP",0,1)</f>
        <v>DNP</v>
      </c>
      <c r="J375" t="str">
        <f>_xlfn.XLOOKUP(Table16[[#This Row],[Name]],Table21112164[Name],Table21112164[Points],"DNP",0,1)</f>
        <v>DNP</v>
      </c>
      <c r="K375" t="str">
        <f>_xlfn.XLOOKUP(Table16[[#This Row],[Name]],Table2111216420[Name],Table2111216420[Points],"DNP",0,1)</f>
        <v>DNP</v>
      </c>
      <c r="L375" t="str">
        <f>_xlfn.XLOOKUP(Table16[[#This Row],[Name]],Table211121642021[Name],Table211121642021[Points],"DNP",0,1)</f>
        <v>DNP</v>
      </c>
      <c r="M375" t="str">
        <f>_xlfn.XLOOKUP(Table16[[#This Row],[Name]],Table21112164202122[Name],Table21112164202122[Points],"DNP",0,1)</f>
        <v>DNP</v>
      </c>
      <c r="N375" t="str">
        <f>_xlfn.XLOOKUP(Table16[[#This Row],[Name]],Table2111216420212223[Name],Table2111216420212223[Points],"DNP",0,1)</f>
        <v>DNP</v>
      </c>
      <c r="O375" t="str">
        <f>_xlfn.XLOOKUP(Table16[[#This Row],[Name]],Table211121642021222325[Name],Table211121642021222325[Points],"DNP",0,1)</f>
        <v>DNP</v>
      </c>
      <c r="P375" t="str">
        <f>_xlfn.XLOOKUP(Table16[[#This Row],[Name]],Table21112164202122232534[Name],Table21112164202122232534[Points],"DNP",0,1)</f>
        <v>DNP</v>
      </c>
      <c r="Q375" t="str">
        <f>_xlfn.XLOOKUP(Table16[[#This Row],[Name]],Table2111216420212223253435[Name],Table2111216420212223253435[Points],"DNP",0,1)</f>
        <v>DNP</v>
      </c>
      <c r="R375" t="str">
        <f>_xlfn.XLOOKUP(Table16[[#This Row],[Name]],Table211121642021222325343536[Name],Table211121642021222325343536[Points],"DNP",0,1)</f>
        <v>DNP</v>
      </c>
      <c r="S375" t="str">
        <f>_xlfn.XLOOKUP(Table16[[#This Row],[Name]],Table21112164202122232534353637[Name],Table21112164202122232534353637[Points],"DNP",0,1)</f>
        <v>DNP</v>
      </c>
      <c r="T375" t="str">
        <f>_xlfn.XLOOKUP(Table16[[#This Row],[Name]],Table2111216420212223253435363738[Name],Table2111216420212223253435363738[Points],"DNP",0,1)</f>
        <v>DNP</v>
      </c>
      <c r="U375" t="str">
        <f>_xlfn.XLOOKUP(Table16[[#This Row],[Name]],Table2111216420212223253435363739[Name],Table2111216420212223253435363739[Points],"DNP",0,1)</f>
        <v>DNP</v>
      </c>
      <c r="V375" t="str">
        <f>_xlfn.XLOOKUP(Table16[[#This Row],[Name]],Table211121642021222325343536373841[Name],Table211121642021222325343536373841[Points],"DNP",0,1)</f>
        <v>DNP</v>
      </c>
    </row>
    <row r="376" spans="2:22">
      <c r="B376" t="str">
        <f>IFERROR(Table5[[#This Row],[Full name]],"")</f>
        <v/>
      </c>
      <c r="C376" s="68">
        <f>SUM(Table16[[#This Row],[September 30, 2025]:[Column18]])</f>
        <v>0</v>
      </c>
      <c r="D376" t="str">
        <f>_xlfn.XLOOKUP(Table16[[#This Row],[Name]],Table4[Name],Table4[Points],"DNP",0,1)</f>
        <v>DNP</v>
      </c>
      <c r="E376" t="str">
        <f>_xlfn.XLOOKUP(Table16[[#This Row],[Name]],Table9[Name],Table9[Points],"DNP",0,1)</f>
        <v>DNP</v>
      </c>
      <c r="F376" t="str">
        <f>_xlfn.XLOOKUP(Table16[[#This Row],[Name]],Table18[Name],Table18[Points],"DNP",0,1)</f>
        <v>DNP</v>
      </c>
      <c r="G376" t="str">
        <f>_xlfn.XLOOKUP(Table16[[#This Row],[Name]],Table2[Name],Table2[Points],"DNP",0,1)</f>
        <v>DNP</v>
      </c>
      <c r="H376" t="str">
        <f>_xlfn.XLOOKUP(Table16[[#This Row],[Name]],Table211[Name],Table211[Points],"DNP",0,1)</f>
        <v>DNP</v>
      </c>
      <c r="I376" t="str">
        <f>_xlfn.XLOOKUP(Table16[[#This Row],[Name]],Table21112[Name],Table21112[Points],"DNP",0,1)</f>
        <v>DNP</v>
      </c>
      <c r="J376" t="str">
        <f>_xlfn.XLOOKUP(Table16[[#This Row],[Name]],Table21112164[Name],Table21112164[Points],"DNP",0,1)</f>
        <v>DNP</v>
      </c>
      <c r="K376" t="str">
        <f>_xlfn.XLOOKUP(Table16[[#This Row],[Name]],Table2111216420[Name],Table2111216420[Points],"DNP",0,1)</f>
        <v>DNP</v>
      </c>
      <c r="L376" t="str">
        <f>_xlfn.XLOOKUP(Table16[[#This Row],[Name]],Table211121642021[Name],Table211121642021[Points],"DNP",0,1)</f>
        <v>DNP</v>
      </c>
      <c r="M376" t="str">
        <f>_xlfn.XLOOKUP(Table16[[#This Row],[Name]],Table21112164202122[Name],Table21112164202122[Points],"DNP",0,1)</f>
        <v>DNP</v>
      </c>
      <c r="N376" t="str">
        <f>_xlfn.XLOOKUP(Table16[[#This Row],[Name]],Table2111216420212223[Name],Table2111216420212223[Points],"DNP",0,1)</f>
        <v>DNP</v>
      </c>
      <c r="O376" t="str">
        <f>_xlfn.XLOOKUP(Table16[[#This Row],[Name]],Table211121642021222325[Name],Table211121642021222325[Points],"DNP",0,1)</f>
        <v>DNP</v>
      </c>
      <c r="P376" t="str">
        <f>_xlfn.XLOOKUP(Table16[[#This Row],[Name]],Table21112164202122232534[Name],Table21112164202122232534[Points],"DNP",0,1)</f>
        <v>DNP</v>
      </c>
      <c r="Q376" t="str">
        <f>_xlfn.XLOOKUP(Table16[[#This Row],[Name]],Table2111216420212223253435[Name],Table2111216420212223253435[Points],"DNP",0,1)</f>
        <v>DNP</v>
      </c>
      <c r="R376" t="str">
        <f>_xlfn.XLOOKUP(Table16[[#This Row],[Name]],Table211121642021222325343536[Name],Table211121642021222325343536[Points],"DNP",0,1)</f>
        <v>DNP</v>
      </c>
      <c r="S376" t="str">
        <f>_xlfn.XLOOKUP(Table16[[#This Row],[Name]],Table21112164202122232534353637[Name],Table21112164202122232534353637[Points],"DNP",0,1)</f>
        <v>DNP</v>
      </c>
      <c r="T376" t="str">
        <f>_xlfn.XLOOKUP(Table16[[#This Row],[Name]],Table2111216420212223253435363738[Name],Table2111216420212223253435363738[Points],"DNP",0,1)</f>
        <v>DNP</v>
      </c>
      <c r="U376" t="str">
        <f>_xlfn.XLOOKUP(Table16[[#This Row],[Name]],Table2111216420212223253435363739[Name],Table2111216420212223253435363739[Points],"DNP",0,1)</f>
        <v>DNP</v>
      </c>
      <c r="V376" t="str">
        <f>_xlfn.XLOOKUP(Table16[[#This Row],[Name]],Table211121642021222325343536373841[Name],Table211121642021222325343536373841[Points],"DNP",0,1)</f>
        <v>DNP</v>
      </c>
    </row>
    <row r="377" spans="2:22">
      <c r="B377" t="str">
        <f>IFERROR(Table5[[#This Row],[Full name]],"")</f>
        <v/>
      </c>
      <c r="C377" s="68">
        <f>SUM(Table16[[#This Row],[September 30, 2025]:[Column18]])</f>
        <v>0</v>
      </c>
      <c r="D377" t="str">
        <f>_xlfn.XLOOKUP(Table16[[#This Row],[Name]],Table4[Name],Table4[Points],"DNP",0,1)</f>
        <v>DNP</v>
      </c>
      <c r="E377" t="str">
        <f>_xlfn.XLOOKUP(Table16[[#This Row],[Name]],Table9[Name],Table9[Points],"DNP",0,1)</f>
        <v>DNP</v>
      </c>
      <c r="F377" t="str">
        <f>_xlfn.XLOOKUP(Table16[[#This Row],[Name]],Table18[Name],Table18[Points],"DNP",0,1)</f>
        <v>DNP</v>
      </c>
      <c r="G377" t="str">
        <f>_xlfn.XLOOKUP(Table16[[#This Row],[Name]],Table2[Name],Table2[Points],"DNP",0,1)</f>
        <v>DNP</v>
      </c>
      <c r="H377" t="str">
        <f>_xlfn.XLOOKUP(Table16[[#This Row],[Name]],Table211[Name],Table211[Points],"DNP",0,1)</f>
        <v>DNP</v>
      </c>
      <c r="I377" t="str">
        <f>_xlfn.XLOOKUP(Table16[[#This Row],[Name]],Table21112[Name],Table21112[Points],"DNP",0,1)</f>
        <v>DNP</v>
      </c>
      <c r="J377" t="str">
        <f>_xlfn.XLOOKUP(Table16[[#This Row],[Name]],Table21112164[Name],Table21112164[Points],"DNP",0,1)</f>
        <v>DNP</v>
      </c>
      <c r="K377" t="str">
        <f>_xlfn.XLOOKUP(Table16[[#This Row],[Name]],Table2111216420[Name],Table2111216420[Points],"DNP",0,1)</f>
        <v>DNP</v>
      </c>
      <c r="L377" t="str">
        <f>_xlfn.XLOOKUP(Table16[[#This Row],[Name]],Table211121642021[Name],Table211121642021[Points],"DNP",0,1)</f>
        <v>DNP</v>
      </c>
      <c r="M377" t="str">
        <f>_xlfn.XLOOKUP(Table16[[#This Row],[Name]],Table21112164202122[Name],Table21112164202122[Points],"DNP",0,1)</f>
        <v>DNP</v>
      </c>
      <c r="N377" t="str">
        <f>_xlfn.XLOOKUP(Table16[[#This Row],[Name]],Table2111216420212223[Name],Table2111216420212223[Points],"DNP",0,1)</f>
        <v>DNP</v>
      </c>
      <c r="O377" t="str">
        <f>_xlfn.XLOOKUP(Table16[[#This Row],[Name]],Table211121642021222325[Name],Table211121642021222325[Points],"DNP",0,1)</f>
        <v>DNP</v>
      </c>
      <c r="P377" t="str">
        <f>_xlfn.XLOOKUP(Table16[[#This Row],[Name]],Table21112164202122232534[Name],Table21112164202122232534[Points],"DNP",0,1)</f>
        <v>DNP</v>
      </c>
      <c r="Q377" t="str">
        <f>_xlfn.XLOOKUP(Table16[[#This Row],[Name]],Table2111216420212223253435[Name],Table2111216420212223253435[Points],"DNP",0,1)</f>
        <v>DNP</v>
      </c>
      <c r="R377" t="str">
        <f>_xlfn.XLOOKUP(Table16[[#This Row],[Name]],Table211121642021222325343536[Name],Table211121642021222325343536[Points],"DNP",0,1)</f>
        <v>DNP</v>
      </c>
      <c r="S377" t="str">
        <f>_xlfn.XLOOKUP(Table16[[#This Row],[Name]],Table21112164202122232534353637[Name],Table21112164202122232534353637[Points],"DNP",0,1)</f>
        <v>DNP</v>
      </c>
      <c r="T377" t="str">
        <f>_xlfn.XLOOKUP(Table16[[#This Row],[Name]],Table2111216420212223253435363738[Name],Table2111216420212223253435363738[Points],"DNP",0,1)</f>
        <v>DNP</v>
      </c>
      <c r="U377" t="str">
        <f>_xlfn.XLOOKUP(Table16[[#This Row],[Name]],Table2111216420212223253435363739[Name],Table2111216420212223253435363739[Points],"DNP",0,1)</f>
        <v>DNP</v>
      </c>
      <c r="V377" t="str">
        <f>_xlfn.XLOOKUP(Table16[[#This Row],[Name]],Table211121642021222325343536373841[Name],Table211121642021222325343536373841[Points],"DNP",0,1)</f>
        <v>DNP</v>
      </c>
    </row>
    <row r="378" spans="2:22">
      <c r="B378" t="str">
        <f>IFERROR(Table5[[#This Row],[Full name]],"")</f>
        <v/>
      </c>
      <c r="C378" s="68">
        <f>SUM(Table16[[#This Row],[September 30, 2025]:[Column18]])</f>
        <v>0</v>
      </c>
      <c r="D378" t="str">
        <f>_xlfn.XLOOKUP(Table16[[#This Row],[Name]],Table4[Name],Table4[Points],"DNP",0,1)</f>
        <v>DNP</v>
      </c>
      <c r="E378" t="str">
        <f>_xlfn.XLOOKUP(Table16[[#This Row],[Name]],Table9[Name],Table9[Points],"DNP",0,1)</f>
        <v>DNP</v>
      </c>
      <c r="F378" t="str">
        <f>_xlfn.XLOOKUP(Table16[[#This Row],[Name]],Table18[Name],Table18[Points],"DNP",0,1)</f>
        <v>DNP</v>
      </c>
      <c r="G378" t="str">
        <f>_xlfn.XLOOKUP(Table16[[#This Row],[Name]],Table2[Name],Table2[Points],"DNP",0,1)</f>
        <v>DNP</v>
      </c>
      <c r="H378" t="str">
        <f>_xlfn.XLOOKUP(Table16[[#This Row],[Name]],Table211[Name],Table211[Points],"DNP",0,1)</f>
        <v>DNP</v>
      </c>
      <c r="I378" t="str">
        <f>_xlfn.XLOOKUP(Table16[[#This Row],[Name]],Table21112[Name],Table21112[Points],"DNP",0,1)</f>
        <v>DNP</v>
      </c>
      <c r="J378" t="str">
        <f>_xlfn.XLOOKUP(Table16[[#This Row],[Name]],Table21112164[Name],Table21112164[Points],"DNP",0,1)</f>
        <v>DNP</v>
      </c>
      <c r="K378" t="str">
        <f>_xlfn.XLOOKUP(Table16[[#This Row],[Name]],Table2111216420[Name],Table2111216420[Points],"DNP",0,1)</f>
        <v>DNP</v>
      </c>
      <c r="L378" t="str">
        <f>_xlfn.XLOOKUP(Table16[[#This Row],[Name]],Table211121642021[Name],Table211121642021[Points],"DNP",0,1)</f>
        <v>DNP</v>
      </c>
      <c r="M378" t="str">
        <f>_xlfn.XLOOKUP(Table16[[#This Row],[Name]],Table21112164202122[Name],Table21112164202122[Points],"DNP",0,1)</f>
        <v>DNP</v>
      </c>
      <c r="N378" t="str">
        <f>_xlfn.XLOOKUP(Table16[[#This Row],[Name]],Table2111216420212223[Name],Table2111216420212223[Points],"DNP",0,1)</f>
        <v>DNP</v>
      </c>
      <c r="O378" t="str">
        <f>_xlfn.XLOOKUP(Table16[[#This Row],[Name]],Table211121642021222325[Name],Table211121642021222325[Points],"DNP",0,1)</f>
        <v>DNP</v>
      </c>
      <c r="P378" t="str">
        <f>_xlfn.XLOOKUP(Table16[[#This Row],[Name]],Table21112164202122232534[Name],Table21112164202122232534[Points],"DNP",0,1)</f>
        <v>DNP</v>
      </c>
      <c r="Q378" t="str">
        <f>_xlfn.XLOOKUP(Table16[[#This Row],[Name]],Table2111216420212223253435[Name],Table2111216420212223253435[Points],"DNP",0,1)</f>
        <v>DNP</v>
      </c>
      <c r="R378" t="str">
        <f>_xlfn.XLOOKUP(Table16[[#This Row],[Name]],Table211121642021222325343536[Name],Table211121642021222325343536[Points],"DNP",0,1)</f>
        <v>DNP</v>
      </c>
      <c r="S378" t="str">
        <f>_xlfn.XLOOKUP(Table16[[#This Row],[Name]],Table21112164202122232534353637[Name],Table21112164202122232534353637[Points],"DNP",0,1)</f>
        <v>DNP</v>
      </c>
      <c r="T378" t="str">
        <f>_xlfn.XLOOKUP(Table16[[#This Row],[Name]],Table2111216420212223253435363738[Name],Table2111216420212223253435363738[Points],"DNP",0,1)</f>
        <v>DNP</v>
      </c>
      <c r="U378" t="str">
        <f>_xlfn.XLOOKUP(Table16[[#This Row],[Name]],Table2111216420212223253435363739[Name],Table2111216420212223253435363739[Points],"DNP",0,1)</f>
        <v>DNP</v>
      </c>
      <c r="V378" t="str">
        <f>_xlfn.XLOOKUP(Table16[[#This Row],[Name]],Table211121642021222325343536373841[Name],Table211121642021222325343536373841[Points],"DNP",0,1)</f>
        <v>DNP</v>
      </c>
    </row>
    <row r="379" spans="2:22">
      <c r="B379" t="str">
        <f>IFERROR(Table5[[#This Row],[Full name]],"")</f>
        <v/>
      </c>
      <c r="C379" s="68">
        <f>SUM(Table16[[#This Row],[September 30, 2025]:[Column18]])</f>
        <v>0</v>
      </c>
      <c r="D379" t="str">
        <f>_xlfn.XLOOKUP(Table16[[#This Row],[Name]],Table4[Name],Table4[Points],"DNP",0,1)</f>
        <v>DNP</v>
      </c>
      <c r="E379" t="str">
        <f>_xlfn.XLOOKUP(Table16[[#This Row],[Name]],Table9[Name],Table9[Points],"DNP",0,1)</f>
        <v>DNP</v>
      </c>
      <c r="F379" t="str">
        <f>_xlfn.XLOOKUP(Table16[[#This Row],[Name]],Table18[Name],Table18[Points],"DNP",0,1)</f>
        <v>DNP</v>
      </c>
      <c r="G379" t="str">
        <f>_xlfn.XLOOKUP(Table16[[#This Row],[Name]],Table2[Name],Table2[Points],"DNP",0,1)</f>
        <v>DNP</v>
      </c>
      <c r="H379" t="str">
        <f>_xlfn.XLOOKUP(Table16[[#This Row],[Name]],Table211[Name],Table211[Points],"DNP",0,1)</f>
        <v>DNP</v>
      </c>
      <c r="I379" t="str">
        <f>_xlfn.XLOOKUP(Table16[[#This Row],[Name]],Table21112[Name],Table21112[Points],"DNP",0,1)</f>
        <v>DNP</v>
      </c>
      <c r="J379" t="str">
        <f>_xlfn.XLOOKUP(Table16[[#This Row],[Name]],Table21112164[Name],Table21112164[Points],"DNP",0,1)</f>
        <v>DNP</v>
      </c>
      <c r="K379" t="str">
        <f>_xlfn.XLOOKUP(Table16[[#This Row],[Name]],Table2111216420[Name],Table2111216420[Points],"DNP",0,1)</f>
        <v>DNP</v>
      </c>
      <c r="L379" t="str">
        <f>_xlfn.XLOOKUP(Table16[[#This Row],[Name]],Table211121642021[Name],Table211121642021[Points],"DNP",0,1)</f>
        <v>DNP</v>
      </c>
      <c r="M379" t="str">
        <f>_xlfn.XLOOKUP(Table16[[#This Row],[Name]],Table21112164202122[Name],Table21112164202122[Points],"DNP",0,1)</f>
        <v>DNP</v>
      </c>
      <c r="N379" t="str">
        <f>_xlfn.XLOOKUP(Table16[[#This Row],[Name]],Table2111216420212223[Name],Table2111216420212223[Points],"DNP",0,1)</f>
        <v>DNP</v>
      </c>
      <c r="O379" t="str">
        <f>_xlfn.XLOOKUP(Table16[[#This Row],[Name]],Table211121642021222325[Name],Table211121642021222325[Points],"DNP",0,1)</f>
        <v>DNP</v>
      </c>
      <c r="P379" t="str">
        <f>_xlfn.XLOOKUP(Table16[[#This Row],[Name]],Table21112164202122232534[Name],Table21112164202122232534[Points],"DNP",0,1)</f>
        <v>DNP</v>
      </c>
      <c r="Q379" t="str">
        <f>_xlfn.XLOOKUP(Table16[[#This Row],[Name]],Table2111216420212223253435[Name],Table2111216420212223253435[Points],"DNP",0,1)</f>
        <v>DNP</v>
      </c>
      <c r="R379" t="str">
        <f>_xlfn.XLOOKUP(Table16[[#This Row],[Name]],Table211121642021222325343536[Name],Table211121642021222325343536[Points],"DNP",0,1)</f>
        <v>DNP</v>
      </c>
      <c r="S379" t="str">
        <f>_xlfn.XLOOKUP(Table16[[#This Row],[Name]],Table21112164202122232534353637[Name],Table21112164202122232534353637[Points],"DNP",0,1)</f>
        <v>DNP</v>
      </c>
      <c r="T379" t="str">
        <f>_xlfn.XLOOKUP(Table16[[#This Row],[Name]],Table2111216420212223253435363738[Name],Table2111216420212223253435363738[Points],"DNP",0,1)</f>
        <v>DNP</v>
      </c>
      <c r="U379" t="str">
        <f>_xlfn.XLOOKUP(Table16[[#This Row],[Name]],Table2111216420212223253435363739[Name],Table2111216420212223253435363739[Points],"DNP",0,1)</f>
        <v>DNP</v>
      </c>
      <c r="V379" t="str">
        <f>_xlfn.XLOOKUP(Table16[[#This Row],[Name]],Table211121642021222325343536373841[Name],Table211121642021222325343536373841[Points],"DNP",0,1)</f>
        <v>DNP</v>
      </c>
    </row>
    <row r="380" spans="2:22">
      <c r="B380" t="str">
        <f>IFERROR(Table5[[#This Row],[Full name]],"")</f>
        <v/>
      </c>
      <c r="C380" s="68">
        <f>SUM(Table16[[#This Row],[September 30, 2025]:[Column18]])</f>
        <v>0</v>
      </c>
      <c r="D380" t="str">
        <f>_xlfn.XLOOKUP(Table16[[#This Row],[Name]],Table4[Name],Table4[Points],"DNP",0,1)</f>
        <v>DNP</v>
      </c>
      <c r="E380" t="str">
        <f>_xlfn.XLOOKUP(Table16[[#This Row],[Name]],Table9[Name],Table9[Points],"DNP",0,1)</f>
        <v>DNP</v>
      </c>
      <c r="F380" t="str">
        <f>_xlfn.XLOOKUP(Table16[[#This Row],[Name]],Table18[Name],Table18[Points],"DNP",0,1)</f>
        <v>DNP</v>
      </c>
      <c r="G380" t="str">
        <f>_xlfn.XLOOKUP(Table16[[#This Row],[Name]],Table2[Name],Table2[Points],"DNP",0,1)</f>
        <v>DNP</v>
      </c>
      <c r="H380" t="str">
        <f>_xlfn.XLOOKUP(Table16[[#This Row],[Name]],Table211[Name],Table211[Points],"DNP",0,1)</f>
        <v>DNP</v>
      </c>
      <c r="I380" t="str">
        <f>_xlfn.XLOOKUP(Table16[[#This Row],[Name]],Table21112[Name],Table21112[Points],"DNP",0,1)</f>
        <v>DNP</v>
      </c>
      <c r="J380" t="str">
        <f>_xlfn.XLOOKUP(Table16[[#This Row],[Name]],Table21112164[Name],Table21112164[Points],"DNP",0,1)</f>
        <v>DNP</v>
      </c>
      <c r="K380" t="str">
        <f>_xlfn.XLOOKUP(Table16[[#This Row],[Name]],Table2111216420[Name],Table2111216420[Points],"DNP",0,1)</f>
        <v>DNP</v>
      </c>
      <c r="L380" t="str">
        <f>_xlfn.XLOOKUP(Table16[[#This Row],[Name]],Table211121642021[Name],Table211121642021[Points],"DNP",0,1)</f>
        <v>DNP</v>
      </c>
      <c r="M380" t="str">
        <f>_xlfn.XLOOKUP(Table16[[#This Row],[Name]],Table21112164202122[Name],Table21112164202122[Points],"DNP",0,1)</f>
        <v>DNP</v>
      </c>
      <c r="N380" t="str">
        <f>_xlfn.XLOOKUP(Table16[[#This Row],[Name]],Table2111216420212223[Name],Table2111216420212223[Points],"DNP",0,1)</f>
        <v>DNP</v>
      </c>
      <c r="O380" t="str">
        <f>_xlfn.XLOOKUP(Table16[[#This Row],[Name]],Table211121642021222325[Name],Table211121642021222325[Points],"DNP",0,1)</f>
        <v>DNP</v>
      </c>
      <c r="P380" t="str">
        <f>_xlfn.XLOOKUP(Table16[[#This Row],[Name]],Table21112164202122232534[Name],Table21112164202122232534[Points],"DNP",0,1)</f>
        <v>DNP</v>
      </c>
      <c r="Q380" t="str">
        <f>_xlfn.XLOOKUP(Table16[[#This Row],[Name]],Table2111216420212223253435[Name],Table2111216420212223253435[Points],"DNP",0,1)</f>
        <v>DNP</v>
      </c>
      <c r="R380" t="str">
        <f>_xlfn.XLOOKUP(Table16[[#This Row],[Name]],Table211121642021222325343536[Name],Table211121642021222325343536[Points],"DNP",0,1)</f>
        <v>DNP</v>
      </c>
      <c r="S380" t="str">
        <f>_xlfn.XLOOKUP(Table16[[#This Row],[Name]],Table21112164202122232534353637[Name],Table21112164202122232534353637[Points],"DNP",0,1)</f>
        <v>DNP</v>
      </c>
      <c r="T380" t="str">
        <f>_xlfn.XLOOKUP(Table16[[#This Row],[Name]],Table2111216420212223253435363738[Name],Table2111216420212223253435363738[Points],"DNP",0,1)</f>
        <v>DNP</v>
      </c>
      <c r="U380" t="str">
        <f>_xlfn.XLOOKUP(Table16[[#This Row],[Name]],Table2111216420212223253435363739[Name],Table2111216420212223253435363739[Points],"DNP",0,1)</f>
        <v>DNP</v>
      </c>
      <c r="V380" t="str">
        <f>_xlfn.XLOOKUP(Table16[[#This Row],[Name]],Table211121642021222325343536373841[Name],Table211121642021222325343536373841[Points],"DNP",0,1)</f>
        <v>DNP</v>
      </c>
    </row>
    <row r="381" spans="2:22">
      <c r="B381" t="str">
        <f>IFERROR(Table5[[#This Row],[Full name]],"")</f>
        <v/>
      </c>
      <c r="C381" s="68">
        <f>SUM(Table16[[#This Row],[September 30, 2025]:[Column18]])</f>
        <v>0</v>
      </c>
      <c r="D381" t="str">
        <f>_xlfn.XLOOKUP(Table16[[#This Row],[Name]],Table4[Name],Table4[Points],"DNP",0,1)</f>
        <v>DNP</v>
      </c>
      <c r="E381" t="str">
        <f>_xlfn.XLOOKUP(Table16[[#This Row],[Name]],Table9[Name],Table9[Points],"DNP",0,1)</f>
        <v>DNP</v>
      </c>
      <c r="F381" t="str">
        <f>_xlfn.XLOOKUP(Table16[[#This Row],[Name]],Table18[Name],Table18[Points],"DNP",0,1)</f>
        <v>DNP</v>
      </c>
      <c r="G381" t="str">
        <f>_xlfn.XLOOKUP(Table16[[#This Row],[Name]],Table2[Name],Table2[Points],"DNP",0,1)</f>
        <v>DNP</v>
      </c>
      <c r="H381" t="str">
        <f>_xlfn.XLOOKUP(Table16[[#This Row],[Name]],Table211[Name],Table211[Points],"DNP",0,1)</f>
        <v>DNP</v>
      </c>
      <c r="I381" t="str">
        <f>_xlfn.XLOOKUP(Table16[[#This Row],[Name]],Table21112[Name],Table21112[Points],"DNP",0,1)</f>
        <v>DNP</v>
      </c>
      <c r="J381" t="str">
        <f>_xlfn.XLOOKUP(Table16[[#This Row],[Name]],Table21112164[Name],Table21112164[Points],"DNP",0,1)</f>
        <v>DNP</v>
      </c>
      <c r="K381" t="str">
        <f>_xlfn.XLOOKUP(Table16[[#This Row],[Name]],Table2111216420[Name],Table2111216420[Points],"DNP",0,1)</f>
        <v>DNP</v>
      </c>
      <c r="L381" t="str">
        <f>_xlfn.XLOOKUP(Table16[[#This Row],[Name]],Table211121642021[Name],Table211121642021[Points],"DNP",0,1)</f>
        <v>DNP</v>
      </c>
      <c r="M381" t="str">
        <f>_xlfn.XLOOKUP(Table16[[#This Row],[Name]],Table21112164202122[Name],Table21112164202122[Points],"DNP",0,1)</f>
        <v>DNP</v>
      </c>
      <c r="N381" t="str">
        <f>_xlfn.XLOOKUP(Table16[[#This Row],[Name]],Table2111216420212223[Name],Table2111216420212223[Points],"DNP",0,1)</f>
        <v>DNP</v>
      </c>
      <c r="O381" t="str">
        <f>_xlfn.XLOOKUP(Table16[[#This Row],[Name]],Table211121642021222325[Name],Table211121642021222325[Points],"DNP",0,1)</f>
        <v>DNP</v>
      </c>
      <c r="P381" t="str">
        <f>_xlfn.XLOOKUP(Table16[[#This Row],[Name]],Table21112164202122232534[Name],Table21112164202122232534[Points],"DNP",0,1)</f>
        <v>DNP</v>
      </c>
      <c r="Q381" t="str">
        <f>_xlfn.XLOOKUP(Table16[[#This Row],[Name]],Table2111216420212223253435[Name],Table2111216420212223253435[Points],"DNP",0,1)</f>
        <v>DNP</v>
      </c>
      <c r="R381" t="str">
        <f>_xlfn.XLOOKUP(Table16[[#This Row],[Name]],Table211121642021222325343536[Name],Table211121642021222325343536[Points],"DNP",0,1)</f>
        <v>DNP</v>
      </c>
      <c r="S381" t="str">
        <f>_xlfn.XLOOKUP(Table16[[#This Row],[Name]],Table21112164202122232534353637[Name],Table21112164202122232534353637[Points],"DNP",0,1)</f>
        <v>DNP</v>
      </c>
      <c r="T381" t="str">
        <f>_xlfn.XLOOKUP(Table16[[#This Row],[Name]],Table2111216420212223253435363738[Name],Table2111216420212223253435363738[Points],"DNP",0,1)</f>
        <v>DNP</v>
      </c>
      <c r="U381" t="str">
        <f>_xlfn.XLOOKUP(Table16[[#This Row],[Name]],Table2111216420212223253435363739[Name],Table2111216420212223253435363739[Points],"DNP",0,1)</f>
        <v>DNP</v>
      </c>
      <c r="V381" t="str">
        <f>_xlfn.XLOOKUP(Table16[[#This Row],[Name]],Table211121642021222325343536373841[Name],Table211121642021222325343536373841[Points],"DNP",0,1)</f>
        <v>DNP</v>
      </c>
    </row>
    <row r="382" spans="2:22">
      <c r="B382" t="str">
        <f>IFERROR(Table5[[#This Row],[Full name]],"")</f>
        <v/>
      </c>
      <c r="C382" s="68">
        <f>SUM(Table16[[#This Row],[September 30, 2025]:[Column18]])</f>
        <v>0</v>
      </c>
      <c r="D382" t="str">
        <f>_xlfn.XLOOKUP(Table16[[#This Row],[Name]],Table4[Name],Table4[Points],"DNP",0,1)</f>
        <v>DNP</v>
      </c>
      <c r="E382" t="str">
        <f>_xlfn.XLOOKUP(Table16[[#This Row],[Name]],Table9[Name],Table9[Points],"DNP",0,1)</f>
        <v>DNP</v>
      </c>
      <c r="F382" t="str">
        <f>_xlfn.XLOOKUP(Table16[[#This Row],[Name]],Table18[Name],Table18[Points],"DNP",0,1)</f>
        <v>DNP</v>
      </c>
      <c r="G382" t="str">
        <f>_xlfn.XLOOKUP(Table16[[#This Row],[Name]],Table2[Name],Table2[Points],"DNP",0,1)</f>
        <v>DNP</v>
      </c>
      <c r="H382" t="str">
        <f>_xlfn.XLOOKUP(Table16[[#This Row],[Name]],Table211[Name],Table211[Points],"DNP",0,1)</f>
        <v>DNP</v>
      </c>
      <c r="I382" t="str">
        <f>_xlfn.XLOOKUP(Table16[[#This Row],[Name]],Table21112[Name],Table21112[Points],"DNP",0,1)</f>
        <v>DNP</v>
      </c>
      <c r="J382" t="str">
        <f>_xlfn.XLOOKUP(Table16[[#This Row],[Name]],Table21112164[Name],Table21112164[Points],"DNP",0,1)</f>
        <v>DNP</v>
      </c>
      <c r="K382" t="str">
        <f>_xlfn.XLOOKUP(Table16[[#This Row],[Name]],Table2111216420[Name],Table2111216420[Points],"DNP",0,1)</f>
        <v>DNP</v>
      </c>
      <c r="L382" t="str">
        <f>_xlfn.XLOOKUP(Table16[[#This Row],[Name]],Table211121642021[Name],Table211121642021[Points],"DNP",0,1)</f>
        <v>DNP</v>
      </c>
      <c r="M382" t="str">
        <f>_xlfn.XLOOKUP(Table16[[#This Row],[Name]],Table21112164202122[Name],Table21112164202122[Points],"DNP",0,1)</f>
        <v>DNP</v>
      </c>
      <c r="N382" t="str">
        <f>_xlfn.XLOOKUP(Table16[[#This Row],[Name]],Table2111216420212223[Name],Table2111216420212223[Points],"DNP",0,1)</f>
        <v>DNP</v>
      </c>
      <c r="O382" t="str">
        <f>_xlfn.XLOOKUP(Table16[[#This Row],[Name]],Table211121642021222325[Name],Table211121642021222325[Points],"DNP",0,1)</f>
        <v>DNP</v>
      </c>
      <c r="P382" t="str">
        <f>_xlfn.XLOOKUP(Table16[[#This Row],[Name]],Table21112164202122232534[Name],Table21112164202122232534[Points],"DNP",0,1)</f>
        <v>DNP</v>
      </c>
      <c r="Q382" t="str">
        <f>_xlfn.XLOOKUP(Table16[[#This Row],[Name]],Table2111216420212223253435[Name],Table2111216420212223253435[Points],"DNP",0,1)</f>
        <v>DNP</v>
      </c>
      <c r="R382" t="str">
        <f>_xlfn.XLOOKUP(Table16[[#This Row],[Name]],Table211121642021222325343536[Name],Table211121642021222325343536[Points],"DNP",0,1)</f>
        <v>DNP</v>
      </c>
      <c r="S382" t="str">
        <f>_xlfn.XLOOKUP(Table16[[#This Row],[Name]],Table21112164202122232534353637[Name],Table21112164202122232534353637[Points],"DNP",0,1)</f>
        <v>DNP</v>
      </c>
      <c r="T382" t="str">
        <f>_xlfn.XLOOKUP(Table16[[#This Row],[Name]],Table2111216420212223253435363738[Name],Table2111216420212223253435363738[Points],"DNP",0,1)</f>
        <v>DNP</v>
      </c>
      <c r="U382" t="str">
        <f>_xlfn.XLOOKUP(Table16[[#This Row],[Name]],Table2111216420212223253435363739[Name],Table2111216420212223253435363739[Points],"DNP",0,1)</f>
        <v>DNP</v>
      </c>
      <c r="V382" t="str">
        <f>_xlfn.XLOOKUP(Table16[[#This Row],[Name]],Table211121642021222325343536373841[Name],Table211121642021222325343536373841[Points],"DNP",0,1)</f>
        <v>DNP</v>
      </c>
    </row>
    <row r="383" spans="2:22">
      <c r="B383" t="str">
        <f>IFERROR(Table5[[#This Row],[Full name]],"")</f>
        <v/>
      </c>
      <c r="C383" s="68">
        <f>SUM(Table16[[#This Row],[September 30, 2025]:[Column18]])</f>
        <v>0</v>
      </c>
      <c r="D383" t="str">
        <f>_xlfn.XLOOKUP(Table16[[#This Row],[Name]],Table4[Name],Table4[Points],"DNP",0,1)</f>
        <v>DNP</v>
      </c>
      <c r="E383" t="str">
        <f>_xlfn.XLOOKUP(Table16[[#This Row],[Name]],Table9[Name],Table9[Points],"DNP",0,1)</f>
        <v>DNP</v>
      </c>
      <c r="F383" t="str">
        <f>_xlfn.XLOOKUP(Table16[[#This Row],[Name]],Table18[Name],Table18[Points],"DNP",0,1)</f>
        <v>DNP</v>
      </c>
      <c r="G383" t="str">
        <f>_xlfn.XLOOKUP(Table16[[#This Row],[Name]],Table2[Name],Table2[Points],"DNP",0,1)</f>
        <v>DNP</v>
      </c>
      <c r="H383" t="str">
        <f>_xlfn.XLOOKUP(Table16[[#This Row],[Name]],Table211[Name],Table211[Points],"DNP",0,1)</f>
        <v>DNP</v>
      </c>
      <c r="I383" t="str">
        <f>_xlfn.XLOOKUP(Table16[[#This Row],[Name]],Table21112[Name],Table21112[Points],"DNP",0,1)</f>
        <v>DNP</v>
      </c>
      <c r="J383" t="str">
        <f>_xlfn.XLOOKUP(Table16[[#This Row],[Name]],Table21112164[Name],Table21112164[Points],"DNP",0,1)</f>
        <v>DNP</v>
      </c>
      <c r="K383" t="str">
        <f>_xlfn.XLOOKUP(Table16[[#This Row],[Name]],Table2111216420[Name],Table2111216420[Points],"DNP",0,1)</f>
        <v>DNP</v>
      </c>
      <c r="L383" t="str">
        <f>_xlfn.XLOOKUP(Table16[[#This Row],[Name]],Table211121642021[Name],Table211121642021[Points],"DNP",0,1)</f>
        <v>DNP</v>
      </c>
      <c r="M383" t="str">
        <f>_xlfn.XLOOKUP(Table16[[#This Row],[Name]],Table21112164202122[Name],Table21112164202122[Points],"DNP",0,1)</f>
        <v>DNP</v>
      </c>
      <c r="N383" t="str">
        <f>_xlfn.XLOOKUP(Table16[[#This Row],[Name]],Table2111216420212223[Name],Table2111216420212223[Points],"DNP",0,1)</f>
        <v>DNP</v>
      </c>
      <c r="O383" t="str">
        <f>_xlfn.XLOOKUP(Table16[[#This Row],[Name]],Table211121642021222325[Name],Table211121642021222325[Points],"DNP",0,1)</f>
        <v>DNP</v>
      </c>
      <c r="P383" t="str">
        <f>_xlfn.XLOOKUP(Table16[[#This Row],[Name]],Table21112164202122232534[Name],Table21112164202122232534[Points],"DNP",0,1)</f>
        <v>DNP</v>
      </c>
      <c r="Q383" t="str">
        <f>_xlfn.XLOOKUP(Table16[[#This Row],[Name]],Table2111216420212223253435[Name],Table2111216420212223253435[Points],"DNP",0,1)</f>
        <v>DNP</v>
      </c>
      <c r="R383" t="str">
        <f>_xlfn.XLOOKUP(Table16[[#This Row],[Name]],Table211121642021222325343536[Name],Table211121642021222325343536[Points],"DNP",0,1)</f>
        <v>DNP</v>
      </c>
      <c r="S383" t="str">
        <f>_xlfn.XLOOKUP(Table16[[#This Row],[Name]],Table21112164202122232534353637[Name],Table21112164202122232534353637[Points],"DNP",0,1)</f>
        <v>DNP</v>
      </c>
      <c r="T383" t="str">
        <f>_xlfn.XLOOKUP(Table16[[#This Row],[Name]],Table2111216420212223253435363738[Name],Table2111216420212223253435363738[Points],"DNP",0,1)</f>
        <v>DNP</v>
      </c>
      <c r="U383" t="str">
        <f>_xlfn.XLOOKUP(Table16[[#This Row],[Name]],Table2111216420212223253435363739[Name],Table2111216420212223253435363739[Points],"DNP",0,1)</f>
        <v>DNP</v>
      </c>
      <c r="V383" t="str">
        <f>_xlfn.XLOOKUP(Table16[[#This Row],[Name]],Table211121642021222325343536373841[Name],Table211121642021222325343536373841[Points],"DNP",0,1)</f>
        <v>DNP</v>
      </c>
    </row>
    <row r="384" spans="2:22">
      <c r="B384" t="str">
        <f>IFERROR(Table5[[#This Row],[Full name]],"")</f>
        <v/>
      </c>
      <c r="C384" s="68">
        <f>SUM(Table16[[#This Row],[September 30, 2025]:[Column18]])</f>
        <v>0</v>
      </c>
      <c r="D384" t="str">
        <f>_xlfn.XLOOKUP(Table16[[#This Row],[Name]],Table4[Name],Table4[Points],"DNP",0,1)</f>
        <v>DNP</v>
      </c>
      <c r="E384" t="str">
        <f>_xlfn.XLOOKUP(Table16[[#This Row],[Name]],Table9[Name],Table9[Points],"DNP",0,1)</f>
        <v>DNP</v>
      </c>
      <c r="F384" t="str">
        <f>_xlfn.XLOOKUP(Table16[[#This Row],[Name]],Table18[Name],Table18[Points],"DNP",0,1)</f>
        <v>DNP</v>
      </c>
      <c r="G384" t="str">
        <f>_xlfn.XLOOKUP(Table16[[#This Row],[Name]],Table2[Name],Table2[Points],"DNP",0,1)</f>
        <v>DNP</v>
      </c>
      <c r="H384" t="str">
        <f>_xlfn.XLOOKUP(Table16[[#This Row],[Name]],Table211[Name],Table211[Points],"DNP",0,1)</f>
        <v>DNP</v>
      </c>
      <c r="I384" t="str">
        <f>_xlfn.XLOOKUP(Table16[[#This Row],[Name]],Table21112[Name],Table21112[Points],"DNP",0,1)</f>
        <v>DNP</v>
      </c>
      <c r="J384" t="str">
        <f>_xlfn.XLOOKUP(Table16[[#This Row],[Name]],Table21112164[Name],Table21112164[Points],"DNP",0,1)</f>
        <v>DNP</v>
      </c>
      <c r="K384" t="str">
        <f>_xlfn.XLOOKUP(Table16[[#This Row],[Name]],Table2111216420[Name],Table2111216420[Points],"DNP",0,1)</f>
        <v>DNP</v>
      </c>
      <c r="L384" t="str">
        <f>_xlfn.XLOOKUP(Table16[[#This Row],[Name]],Table211121642021[Name],Table211121642021[Points],"DNP",0,1)</f>
        <v>DNP</v>
      </c>
      <c r="M384" t="str">
        <f>_xlfn.XLOOKUP(Table16[[#This Row],[Name]],Table21112164202122[Name],Table21112164202122[Points],"DNP",0,1)</f>
        <v>DNP</v>
      </c>
      <c r="N384" t="str">
        <f>_xlfn.XLOOKUP(Table16[[#This Row],[Name]],Table2111216420212223[Name],Table2111216420212223[Points],"DNP",0,1)</f>
        <v>DNP</v>
      </c>
      <c r="O384" t="str">
        <f>_xlfn.XLOOKUP(Table16[[#This Row],[Name]],Table211121642021222325[Name],Table211121642021222325[Points],"DNP",0,1)</f>
        <v>DNP</v>
      </c>
      <c r="P384" t="str">
        <f>_xlfn.XLOOKUP(Table16[[#This Row],[Name]],Table21112164202122232534[Name],Table21112164202122232534[Points],"DNP",0,1)</f>
        <v>DNP</v>
      </c>
      <c r="Q384" t="str">
        <f>_xlfn.XLOOKUP(Table16[[#This Row],[Name]],Table2111216420212223253435[Name],Table2111216420212223253435[Points],"DNP",0,1)</f>
        <v>DNP</v>
      </c>
      <c r="R384" t="str">
        <f>_xlfn.XLOOKUP(Table16[[#This Row],[Name]],Table211121642021222325343536[Name],Table211121642021222325343536[Points],"DNP",0,1)</f>
        <v>DNP</v>
      </c>
      <c r="S384" t="str">
        <f>_xlfn.XLOOKUP(Table16[[#This Row],[Name]],Table21112164202122232534353637[Name],Table21112164202122232534353637[Points],"DNP",0,1)</f>
        <v>DNP</v>
      </c>
      <c r="T384" t="str">
        <f>_xlfn.XLOOKUP(Table16[[#This Row],[Name]],Table2111216420212223253435363738[Name],Table2111216420212223253435363738[Points],"DNP",0,1)</f>
        <v>DNP</v>
      </c>
      <c r="U384" t="str">
        <f>_xlfn.XLOOKUP(Table16[[#This Row],[Name]],Table2111216420212223253435363739[Name],Table2111216420212223253435363739[Points],"DNP",0,1)</f>
        <v>DNP</v>
      </c>
      <c r="V384" t="str">
        <f>_xlfn.XLOOKUP(Table16[[#This Row],[Name]],Table211121642021222325343536373841[Name],Table211121642021222325343536373841[Points],"DNP",0,1)</f>
        <v>DNP</v>
      </c>
    </row>
    <row r="385" spans="2:22">
      <c r="B385" t="str">
        <f>IFERROR(Table5[[#This Row],[Full name]],"")</f>
        <v/>
      </c>
      <c r="C385" s="68">
        <f>SUM(Table16[[#This Row],[September 30, 2025]:[Column18]])</f>
        <v>0</v>
      </c>
      <c r="D385" t="str">
        <f>_xlfn.XLOOKUP(Table16[[#This Row],[Name]],Table4[Name],Table4[Points],"DNP",0,1)</f>
        <v>DNP</v>
      </c>
      <c r="E385" t="str">
        <f>_xlfn.XLOOKUP(Table16[[#This Row],[Name]],Table9[Name],Table9[Points],"DNP",0,1)</f>
        <v>DNP</v>
      </c>
      <c r="F385" t="str">
        <f>_xlfn.XLOOKUP(Table16[[#This Row],[Name]],Table18[Name],Table18[Points],"DNP",0,1)</f>
        <v>DNP</v>
      </c>
      <c r="G385" t="str">
        <f>_xlfn.XLOOKUP(Table16[[#This Row],[Name]],Table2[Name],Table2[Points],"DNP",0,1)</f>
        <v>DNP</v>
      </c>
      <c r="H385" t="str">
        <f>_xlfn.XLOOKUP(Table16[[#This Row],[Name]],Table211[Name],Table211[Points],"DNP",0,1)</f>
        <v>DNP</v>
      </c>
      <c r="I385" t="str">
        <f>_xlfn.XLOOKUP(Table16[[#This Row],[Name]],Table21112[Name],Table21112[Points],"DNP",0,1)</f>
        <v>DNP</v>
      </c>
      <c r="J385" t="str">
        <f>_xlfn.XLOOKUP(Table16[[#This Row],[Name]],Table21112164[Name],Table21112164[Points],"DNP",0,1)</f>
        <v>DNP</v>
      </c>
      <c r="K385" t="str">
        <f>_xlfn.XLOOKUP(Table16[[#This Row],[Name]],Table2111216420[Name],Table2111216420[Points],"DNP",0,1)</f>
        <v>DNP</v>
      </c>
      <c r="L385" t="str">
        <f>_xlfn.XLOOKUP(Table16[[#This Row],[Name]],Table211121642021[Name],Table211121642021[Points],"DNP",0,1)</f>
        <v>DNP</v>
      </c>
      <c r="M385" t="str">
        <f>_xlfn.XLOOKUP(Table16[[#This Row],[Name]],Table21112164202122[Name],Table21112164202122[Points],"DNP",0,1)</f>
        <v>DNP</v>
      </c>
      <c r="N385" t="str">
        <f>_xlfn.XLOOKUP(Table16[[#This Row],[Name]],Table2111216420212223[Name],Table2111216420212223[Points],"DNP",0,1)</f>
        <v>DNP</v>
      </c>
      <c r="O385" t="str">
        <f>_xlfn.XLOOKUP(Table16[[#This Row],[Name]],Table211121642021222325[Name],Table211121642021222325[Points],"DNP",0,1)</f>
        <v>DNP</v>
      </c>
      <c r="P385" t="str">
        <f>_xlfn.XLOOKUP(Table16[[#This Row],[Name]],Table21112164202122232534[Name],Table21112164202122232534[Points],"DNP",0,1)</f>
        <v>DNP</v>
      </c>
      <c r="Q385" t="str">
        <f>_xlfn.XLOOKUP(Table16[[#This Row],[Name]],Table2111216420212223253435[Name],Table2111216420212223253435[Points],"DNP",0,1)</f>
        <v>DNP</v>
      </c>
      <c r="R385" t="str">
        <f>_xlfn.XLOOKUP(Table16[[#This Row],[Name]],Table211121642021222325343536[Name],Table211121642021222325343536[Points],"DNP",0,1)</f>
        <v>DNP</v>
      </c>
      <c r="S385" t="str">
        <f>_xlfn.XLOOKUP(Table16[[#This Row],[Name]],Table21112164202122232534353637[Name],Table21112164202122232534353637[Points],"DNP",0,1)</f>
        <v>DNP</v>
      </c>
      <c r="T385" t="str">
        <f>_xlfn.XLOOKUP(Table16[[#This Row],[Name]],Table2111216420212223253435363738[Name],Table2111216420212223253435363738[Points],"DNP",0,1)</f>
        <v>DNP</v>
      </c>
      <c r="U385" t="str">
        <f>_xlfn.XLOOKUP(Table16[[#This Row],[Name]],Table2111216420212223253435363739[Name],Table2111216420212223253435363739[Points],"DNP",0,1)</f>
        <v>DNP</v>
      </c>
      <c r="V385" t="str">
        <f>_xlfn.XLOOKUP(Table16[[#This Row],[Name]],Table211121642021222325343536373841[Name],Table211121642021222325343536373841[Points],"DNP",0,1)</f>
        <v>DNP</v>
      </c>
    </row>
    <row r="386" spans="2:22">
      <c r="B386" t="str">
        <f>IFERROR(Table5[[#This Row],[Full name]],"")</f>
        <v/>
      </c>
      <c r="C386" s="68">
        <f>SUM(Table16[[#This Row],[September 30, 2025]:[Column18]])</f>
        <v>0</v>
      </c>
      <c r="D386" t="str">
        <f>_xlfn.XLOOKUP(Table16[[#This Row],[Name]],Table4[Name],Table4[Points],"DNP",0,1)</f>
        <v>DNP</v>
      </c>
      <c r="E386" t="str">
        <f>_xlfn.XLOOKUP(Table16[[#This Row],[Name]],Table9[Name],Table9[Points],"DNP",0,1)</f>
        <v>DNP</v>
      </c>
      <c r="F386" t="str">
        <f>_xlfn.XLOOKUP(Table16[[#This Row],[Name]],Table18[Name],Table18[Points],"DNP",0,1)</f>
        <v>DNP</v>
      </c>
      <c r="G386" t="str">
        <f>_xlfn.XLOOKUP(Table16[[#This Row],[Name]],Table2[Name],Table2[Points],"DNP",0,1)</f>
        <v>DNP</v>
      </c>
      <c r="H386" t="str">
        <f>_xlfn.XLOOKUP(Table16[[#This Row],[Name]],Table211[Name],Table211[Points],"DNP",0,1)</f>
        <v>DNP</v>
      </c>
      <c r="I386" t="str">
        <f>_xlfn.XLOOKUP(Table16[[#This Row],[Name]],Table21112[Name],Table21112[Points],"DNP",0,1)</f>
        <v>DNP</v>
      </c>
      <c r="J386" t="str">
        <f>_xlfn.XLOOKUP(Table16[[#This Row],[Name]],Table21112164[Name],Table21112164[Points],"DNP",0,1)</f>
        <v>DNP</v>
      </c>
      <c r="K386" t="str">
        <f>_xlfn.XLOOKUP(Table16[[#This Row],[Name]],Table2111216420[Name],Table2111216420[Points],"DNP",0,1)</f>
        <v>DNP</v>
      </c>
      <c r="L386" t="str">
        <f>_xlfn.XLOOKUP(Table16[[#This Row],[Name]],Table211121642021[Name],Table211121642021[Points],"DNP",0,1)</f>
        <v>DNP</v>
      </c>
      <c r="M386" t="str">
        <f>_xlfn.XLOOKUP(Table16[[#This Row],[Name]],Table21112164202122[Name],Table21112164202122[Points],"DNP",0,1)</f>
        <v>DNP</v>
      </c>
      <c r="N386" t="str">
        <f>_xlfn.XLOOKUP(Table16[[#This Row],[Name]],Table2111216420212223[Name],Table2111216420212223[Points],"DNP",0,1)</f>
        <v>DNP</v>
      </c>
      <c r="O386" t="str">
        <f>_xlfn.XLOOKUP(Table16[[#This Row],[Name]],Table211121642021222325[Name],Table211121642021222325[Points],"DNP",0,1)</f>
        <v>DNP</v>
      </c>
      <c r="P386" t="str">
        <f>_xlfn.XLOOKUP(Table16[[#This Row],[Name]],Table21112164202122232534[Name],Table21112164202122232534[Points],"DNP",0,1)</f>
        <v>DNP</v>
      </c>
      <c r="Q386" t="str">
        <f>_xlfn.XLOOKUP(Table16[[#This Row],[Name]],Table2111216420212223253435[Name],Table2111216420212223253435[Points],"DNP",0,1)</f>
        <v>DNP</v>
      </c>
      <c r="R386" t="str">
        <f>_xlfn.XLOOKUP(Table16[[#This Row],[Name]],Table211121642021222325343536[Name],Table211121642021222325343536[Points],"DNP",0,1)</f>
        <v>DNP</v>
      </c>
      <c r="S386" t="str">
        <f>_xlfn.XLOOKUP(Table16[[#This Row],[Name]],Table21112164202122232534353637[Name],Table21112164202122232534353637[Points],"DNP",0,1)</f>
        <v>DNP</v>
      </c>
      <c r="T386" t="str">
        <f>_xlfn.XLOOKUP(Table16[[#This Row],[Name]],Table2111216420212223253435363738[Name],Table2111216420212223253435363738[Points],"DNP",0,1)</f>
        <v>DNP</v>
      </c>
      <c r="U386" t="str">
        <f>_xlfn.XLOOKUP(Table16[[#This Row],[Name]],Table2111216420212223253435363739[Name],Table2111216420212223253435363739[Points],"DNP",0,1)</f>
        <v>DNP</v>
      </c>
      <c r="V386" t="str">
        <f>_xlfn.XLOOKUP(Table16[[#This Row],[Name]],Table211121642021222325343536373841[Name],Table211121642021222325343536373841[Points],"DNP",0,1)</f>
        <v>DNP</v>
      </c>
    </row>
    <row r="387" spans="2:22">
      <c r="B387" t="str">
        <f>IFERROR(Table5[[#This Row],[Full name]],"")</f>
        <v/>
      </c>
      <c r="C387" s="68">
        <f>SUM(Table16[[#This Row],[September 30, 2025]:[Column18]])</f>
        <v>0</v>
      </c>
      <c r="D387" t="str">
        <f>_xlfn.XLOOKUP(Table16[[#This Row],[Name]],Table4[Name],Table4[Points],"DNP",0,1)</f>
        <v>DNP</v>
      </c>
      <c r="E387" t="str">
        <f>_xlfn.XLOOKUP(Table16[[#This Row],[Name]],Table9[Name],Table9[Points],"DNP",0,1)</f>
        <v>DNP</v>
      </c>
      <c r="F387" t="str">
        <f>_xlfn.XLOOKUP(Table16[[#This Row],[Name]],Table18[Name],Table18[Points],"DNP",0,1)</f>
        <v>DNP</v>
      </c>
      <c r="G387" t="str">
        <f>_xlfn.XLOOKUP(Table16[[#This Row],[Name]],Table2[Name],Table2[Points],"DNP",0,1)</f>
        <v>DNP</v>
      </c>
      <c r="H387" t="str">
        <f>_xlfn.XLOOKUP(Table16[[#This Row],[Name]],Table211[Name],Table211[Points],"DNP",0,1)</f>
        <v>DNP</v>
      </c>
      <c r="I387" t="str">
        <f>_xlfn.XLOOKUP(Table16[[#This Row],[Name]],Table21112[Name],Table21112[Points],"DNP",0,1)</f>
        <v>DNP</v>
      </c>
      <c r="J387" t="str">
        <f>_xlfn.XLOOKUP(Table16[[#This Row],[Name]],Table21112164[Name],Table21112164[Points],"DNP",0,1)</f>
        <v>DNP</v>
      </c>
      <c r="K387" t="str">
        <f>_xlfn.XLOOKUP(Table16[[#This Row],[Name]],Table2111216420[Name],Table2111216420[Points],"DNP",0,1)</f>
        <v>DNP</v>
      </c>
      <c r="L387" t="str">
        <f>_xlfn.XLOOKUP(Table16[[#This Row],[Name]],Table211121642021[Name],Table211121642021[Points],"DNP",0,1)</f>
        <v>DNP</v>
      </c>
      <c r="M387" t="str">
        <f>_xlfn.XLOOKUP(Table16[[#This Row],[Name]],Table21112164202122[Name],Table21112164202122[Points],"DNP",0,1)</f>
        <v>DNP</v>
      </c>
      <c r="N387" t="str">
        <f>_xlfn.XLOOKUP(Table16[[#This Row],[Name]],Table2111216420212223[Name],Table2111216420212223[Points],"DNP",0,1)</f>
        <v>DNP</v>
      </c>
      <c r="O387" t="str">
        <f>_xlfn.XLOOKUP(Table16[[#This Row],[Name]],Table211121642021222325[Name],Table211121642021222325[Points],"DNP",0,1)</f>
        <v>DNP</v>
      </c>
      <c r="P387" t="str">
        <f>_xlfn.XLOOKUP(Table16[[#This Row],[Name]],Table21112164202122232534[Name],Table21112164202122232534[Points],"DNP",0,1)</f>
        <v>DNP</v>
      </c>
      <c r="Q387" t="str">
        <f>_xlfn.XLOOKUP(Table16[[#This Row],[Name]],Table2111216420212223253435[Name],Table2111216420212223253435[Points],"DNP",0,1)</f>
        <v>DNP</v>
      </c>
      <c r="R387" t="str">
        <f>_xlfn.XLOOKUP(Table16[[#This Row],[Name]],Table211121642021222325343536[Name],Table211121642021222325343536[Points],"DNP",0,1)</f>
        <v>DNP</v>
      </c>
      <c r="S387" t="str">
        <f>_xlfn.XLOOKUP(Table16[[#This Row],[Name]],Table21112164202122232534353637[Name],Table21112164202122232534353637[Points],"DNP",0,1)</f>
        <v>DNP</v>
      </c>
      <c r="T387" t="str">
        <f>_xlfn.XLOOKUP(Table16[[#This Row],[Name]],Table2111216420212223253435363738[Name],Table2111216420212223253435363738[Points],"DNP",0,1)</f>
        <v>DNP</v>
      </c>
      <c r="U387" t="str">
        <f>_xlfn.XLOOKUP(Table16[[#This Row],[Name]],Table2111216420212223253435363739[Name],Table2111216420212223253435363739[Points],"DNP",0,1)</f>
        <v>DNP</v>
      </c>
      <c r="V387" t="str">
        <f>_xlfn.XLOOKUP(Table16[[#This Row],[Name]],Table211121642021222325343536373841[Name],Table211121642021222325343536373841[Points],"DNP",0,1)</f>
        <v>DNP</v>
      </c>
    </row>
    <row r="388" spans="2:22">
      <c r="B388" t="str">
        <f>IFERROR(Table5[[#This Row],[Full name]],"")</f>
        <v/>
      </c>
      <c r="C388" s="68">
        <f>SUM(Table16[[#This Row],[September 30, 2025]:[Column18]])</f>
        <v>0</v>
      </c>
      <c r="D388" t="str">
        <f>_xlfn.XLOOKUP(Table16[[#This Row],[Name]],Table4[Name],Table4[Points],"DNP",0,1)</f>
        <v>DNP</v>
      </c>
      <c r="E388" t="str">
        <f>_xlfn.XLOOKUP(Table16[[#This Row],[Name]],Table9[Name],Table9[Points],"DNP",0,1)</f>
        <v>DNP</v>
      </c>
      <c r="F388" t="str">
        <f>_xlfn.XLOOKUP(Table16[[#This Row],[Name]],Table18[Name],Table18[Points],"DNP",0,1)</f>
        <v>DNP</v>
      </c>
      <c r="G388" t="str">
        <f>_xlfn.XLOOKUP(Table16[[#This Row],[Name]],Table2[Name],Table2[Points],"DNP",0,1)</f>
        <v>DNP</v>
      </c>
      <c r="H388" t="str">
        <f>_xlfn.XLOOKUP(Table16[[#This Row],[Name]],Table211[Name],Table211[Points],"DNP",0,1)</f>
        <v>DNP</v>
      </c>
      <c r="I388" t="str">
        <f>_xlfn.XLOOKUP(Table16[[#This Row],[Name]],Table21112[Name],Table21112[Points],"DNP",0,1)</f>
        <v>DNP</v>
      </c>
      <c r="J388" t="str">
        <f>_xlfn.XLOOKUP(Table16[[#This Row],[Name]],Table21112164[Name],Table21112164[Points],"DNP",0,1)</f>
        <v>DNP</v>
      </c>
      <c r="K388" t="str">
        <f>_xlfn.XLOOKUP(Table16[[#This Row],[Name]],Table2111216420[Name],Table2111216420[Points],"DNP",0,1)</f>
        <v>DNP</v>
      </c>
      <c r="L388" t="str">
        <f>_xlfn.XLOOKUP(Table16[[#This Row],[Name]],Table211121642021[Name],Table211121642021[Points],"DNP",0,1)</f>
        <v>DNP</v>
      </c>
      <c r="M388" t="str">
        <f>_xlfn.XLOOKUP(Table16[[#This Row],[Name]],Table21112164202122[Name],Table21112164202122[Points],"DNP",0,1)</f>
        <v>DNP</v>
      </c>
      <c r="N388" t="str">
        <f>_xlfn.XLOOKUP(Table16[[#This Row],[Name]],Table2111216420212223[Name],Table2111216420212223[Points],"DNP",0,1)</f>
        <v>DNP</v>
      </c>
      <c r="O388" t="str">
        <f>_xlfn.XLOOKUP(Table16[[#This Row],[Name]],Table211121642021222325[Name],Table211121642021222325[Points],"DNP",0,1)</f>
        <v>DNP</v>
      </c>
      <c r="P388" t="str">
        <f>_xlfn.XLOOKUP(Table16[[#This Row],[Name]],Table21112164202122232534[Name],Table21112164202122232534[Points],"DNP",0,1)</f>
        <v>DNP</v>
      </c>
      <c r="Q388" t="str">
        <f>_xlfn.XLOOKUP(Table16[[#This Row],[Name]],Table2111216420212223253435[Name],Table2111216420212223253435[Points],"DNP",0,1)</f>
        <v>DNP</v>
      </c>
      <c r="R388" t="str">
        <f>_xlfn.XLOOKUP(Table16[[#This Row],[Name]],Table211121642021222325343536[Name],Table211121642021222325343536[Points],"DNP",0,1)</f>
        <v>DNP</v>
      </c>
      <c r="S388" t="str">
        <f>_xlfn.XLOOKUP(Table16[[#This Row],[Name]],Table21112164202122232534353637[Name],Table21112164202122232534353637[Points],"DNP",0,1)</f>
        <v>DNP</v>
      </c>
      <c r="T388" t="str">
        <f>_xlfn.XLOOKUP(Table16[[#This Row],[Name]],Table2111216420212223253435363738[Name],Table2111216420212223253435363738[Points],"DNP",0,1)</f>
        <v>DNP</v>
      </c>
      <c r="U388" t="str">
        <f>_xlfn.XLOOKUP(Table16[[#This Row],[Name]],Table2111216420212223253435363739[Name],Table2111216420212223253435363739[Points],"DNP",0,1)</f>
        <v>DNP</v>
      </c>
      <c r="V388" t="str">
        <f>_xlfn.XLOOKUP(Table16[[#This Row],[Name]],Table211121642021222325343536373841[Name],Table211121642021222325343536373841[Points],"DNP",0,1)</f>
        <v>DNP</v>
      </c>
    </row>
    <row r="389" spans="2:22">
      <c r="B389" t="str">
        <f>IFERROR(Table5[[#This Row],[Full name]],"")</f>
        <v/>
      </c>
      <c r="C389" s="68">
        <f>SUM(Table16[[#This Row],[September 30, 2025]:[Column18]])</f>
        <v>0</v>
      </c>
      <c r="D389" t="str">
        <f>_xlfn.XLOOKUP(Table16[[#This Row],[Name]],Table4[Name],Table4[Points],"DNP",0,1)</f>
        <v>DNP</v>
      </c>
      <c r="E389" t="str">
        <f>_xlfn.XLOOKUP(Table16[[#This Row],[Name]],Table9[Name],Table9[Points],"DNP",0,1)</f>
        <v>DNP</v>
      </c>
      <c r="F389" t="str">
        <f>_xlfn.XLOOKUP(Table16[[#This Row],[Name]],Table18[Name],Table18[Points],"DNP",0,1)</f>
        <v>DNP</v>
      </c>
      <c r="G389" t="str">
        <f>_xlfn.XLOOKUP(Table16[[#This Row],[Name]],Table2[Name],Table2[Points],"DNP",0,1)</f>
        <v>DNP</v>
      </c>
      <c r="H389" t="str">
        <f>_xlfn.XLOOKUP(Table16[[#This Row],[Name]],Table211[Name],Table211[Points],"DNP",0,1)</f>
        <v>DNP</v>
      </c>
      <c r="I389" t="str">
        <f>_xlfn.XLOOKUP(Table16[[#This Row],[Name]],Table21112[Name],Table21112[Points],"DNP",0,1)</f>
        <v>DNP</v>
      </c>
      <c r="J389" t="str">
        <f>_xlfn.XLOOKUP(Table16[[#This Row],[Name]],Table21112164[Name],Table21112164[Points],"DNP",0,1)</f>
        <v>DNP</v>
      </c>
      <c r="K389" t="str">
        <f>_xlfn.XLOOKUP(Table16[[#This Row],[Name]],Table2111216420[Name],Table2111216420[Points],"DNP",0,1)</f>
        <v>DNP</v>
      </c>
      <c r="L389" t="str">
        <f>_xlfn.XLOOKUP(Table16[[#This Row],[Name]],Table211121642021[Name],Table211121642021[Points],"DNP",0,1)</f>
        <v>DNP</v>
      </c>
      <c r="M389" t="str">
        <f>_xlfn.XLOOKUP(Table16[[#This Row],[Name]],Table21112164202122[Name],Table21112164202122[Points],"DNP",0,1)</f>
        <v>DNP</v>
      </c>
      <c r="N389" t="str">
        <f>_xlfn.XLOOKUP(Table16[[#This Row],[Name]],Table2111216420212223[Name],Table2111216420212223[Points],"DNP",0,1)</f>
        <v>DNP</v>
      </c>
      <c r="O389" t="str">
        <f>_xlfn.XLOOKUP(Table16[[#This Row],[Name]],Table211121642021222325[Name],Table211121642021222325[Points],"DNP",0,1)</f>
        <v>DNP</v>
      </c>
      <c r="P389" t="str">
        <f>_xlfn.XLOOKUP(Table16[[#This Row],[Name]],Table21112164202122232534[Name],Table21112164202122232534[Points],"DNP",0,1)</f>
        <v>DNP</v>
      </c>
      <c r="Q389" t="str">
        <f>_xlfn.XLOOKUP(Table16[[#This Row],[Name]],Table2111216420212223253435[Name],Table2111216420212223253435[Points],"DNP",0,1)</f>
        <v>DNP</v>
      </c>
      <c r="R389" t="str">
        <f>_xlfn.XLOOKUP(Table16[[#This Row],[Name]],Table211121642021222325343536[Name],Table211121642021222325343536[Points],"DNP",0,1)</f>
        <v>DNP</v>
      </c>
      <c r="S389" t="str">
        <f>_xlfn.XLOOKUP(Table16[[#This Row],[Name]],Table21112164202122232534353637[Name],Table21112164202122232534353637[Points],"DNP",0,1)</f>
        <v>DNP</v>
      </c>
      <c r="T389" t="str">
        <f>_xlfn.XLOOKUP(Table16[[#This Row],[Name]],Table2111216420212223253435363738[Name],Table2111216420212223253435363738[Points],"DNP",0,1)</f>
        <v>DNP</v>
      </c>
      <c r="U389" t="str">
        <f>_xlfn.XLOOKUP(Table16[[#This Row],[Name]],Table2111216420212223253435363739[Name],Table2111216420212223253435363739[Points],"DNP",0,1)</f>
        <v>DNP</v>
      </c>
      <c r="V389" t="str">
        <f>_xlfn.XLOOKUP(Table16[[#This Row],[Name]],Table211121642021222325343536373841[Name],Table211121642021222325343536373841[Points],"DNP",0,1)</f>
        <v>DNP</v>
      </c>
    </row>
    <row r="390" spans="2:22">
      <c r="B390" t="str">
        <f>IFERROR(Table5[[#This Row],[Full name]],"")</f>
        <v/>
      </c>
      <c r="C390" s="68">
        <f>SUM(Table16[[#This Row],[September 30, 2025]:[Column18]])</f>
        <v>0</v>
      </c>
      <c r="D390" t="str">
        <f>_xlfn.XLOOKUP(Table16[[#This Row],[Name]],Table4[Name],Table4[Points],"DNP",0,1)</f>
        <v>DNP</v>
      </c>
      <c r="E390" t="str">
        <f>_xlfn.XLOOKUP(Table16[[#This Row],[Name]],Table9[Name],Table9[Points],"DNP",0,1)</f>
        <v>DNP</v>
      </c>
      <c r="F390" t="str">
        <f>_xlfn.XLOOKUP(Table16[[#This Row],[Name]],Table18[Name],Table18[Points],"DNP",0,1)</f>
        <v>DNP</v>
      </c>
      <c r="G390" t="str">
        <f>_xlfn.XLOOKUP(Table16[[#This Row],[Name]],Table2[Name],Table2[Points],"DNP",0,1)</f>
        <v>DNP</v>
      </c>
      <c r="H390" t="str">
        <f>_xlfn.XLOOKUP(Table16[[#This Row],[Name]],Table211[Name],Table211[Points],"DNP",0,1)</f>
        <v>DNP</v>
      </c>
      <c r="I390" t="str">
        <f>_xlfn.XLOOKUP(Table16[[#This Row],[Name]],Table21112[Name],Table21112[Points],"DNP",0,1)</f>
        <v>DNP</v>
      </c>
      <c r="J390" t="str">
        <f>_xlfn.XLOOKUP(Table16[[#This Row],[Name]],Table21112164[Name],Table21112164[Points],"DNP",0,1)</f>
        <v>DNP</v>
      </c>
      <c r="K390" t="str">
        <f>_xlfn.XLOOKUP(Table16[[#This Row],[Name]],Table2111216420[Name],Table2111216420[Points],"DNP",0,1)</f>
        <v>DNP</v>
      </c>
      <c r="L390" t="str">
        <f>_xlfn.XLOOKUP(Table16[[#This Row],[Name]],Table211121642021[Name],Table211121642021[Points],"DNP",0,1)</f>
        <v>DNP</v>
      </c>
      <c r="M390" t="str">
        <f>_xlfn.XLOOKUP(Table16[[#This Row],[Name]],Table21112164202122[Name],Table21112164202122[Points],"DNP",0,1)</f>
        <v>DNP</v>
      </c>
      <c r="N390" t="str">
        <f>_xlfn.XLOOKUP(Table16[[#This Row],[Name]],Table2111216420212223[Name],Table2111216420212223[Points],"DNP",0,1)</f>
        <v>DNP</v>
      </c>
      <c r="O390" t="str">
        <f>_xlfn.XLOOKUP(Table16[[#This Row],[Name]],Table211121642021222325[Name],Table211121642021222325[Points],"DNP",0,1)</f>
        <v>DNP</v>
      </c>
      <c r="P390" t="str">
        <f>_xlfn.XLOOKUP(Table16[[#This Row],[Name]],Table21112164202122232534[Name],Table21112164202122232534[Points],"DNP",0,1)</f>
        <v>DNP</v>
      </c>
      <c r="Q390" t="str">
        <f>_xlfn.XLOOKUP(Table16[[#This Row],[Name]],Table2111216420212223253435[Name],Table2111216420212223253435[Points],"DNP",0,1)</f>
        <v>DNP</v>
      </c>
      <c r="R390" t="str">
        <f>_xlfn.XLOOKUP(Table16[[#This Row],[Name]],Table211121642021222325343536[Name],Table211121642021222325343536[Points],"DNP",0,1)</f>
        <v>DNP</v>
      </c>
      <c r="S390" t="str">
        <f>_xlfn.XLOOKUP(Table16[[#This Row],[Name]],Table21112164202122232534353637[Name],Table21112164202122232534353637[Points],"DNP",0,1)</f>
        <v>DNP</v>
      </c>
      <c r="T390" t="str">
        <f>_xlfn.XLOOKUP(Table16[[#This Row],[Name]],Table2111216420212223253435363738[Name],Table2111216420212223253435363738[Points],"DNP",0,1)</f>
        <v>DNP</v>
      </c>
      <c r="U390" t="str">
        <f>_xlfn.XLOOKUP(Table16[[#This Row],[Name]],Table2111216420212223253435363739[Name],Table2111216420212223253435363739[Points],"DNP",0,1)</f>
        <v>DNP</v>
      </c>
      <c r="V390" t="str">
        <f>_xlfn.XLOOKUP(Table16[[#This Row],[Name]],Table211121642021222325343536373841[Name],Table211121642021222325343536373841[Points],"DNP",0,1)</f>
        <v>DNP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BDF04B-AF29-4915-9FC6-09967A03AE81}">
          <x14:formula1>
            <xm:f>Structures!$O$3:$O$33</xm:f>
          </x14:formula1>
          <xm:sqref>D5:AG5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45B9-96B1-430E-892B-21ADE5DF9CB0}">
  <dimension ref="A3:AG390"/>
  <sheetViews>
    <sheetView zoomScale="80" zoomScaleNormal="80" workbookViewId="0">
      <selection activeCell="F6" sqref="F6"/>
    </sheetView>
  </sheetViews>
  <sheetFormatPr defaultColWidth="8.85546875" defaultRowHeight="15"/>
  <cols>
    <col min="2" max="3" width="23" customWidth="1"/>
    <col min="4" max="11" width="25.7109375" customWidth="1"/>
    <col min="12" max="12" width="29.42578125" bestFit="1" customWidth="1"/>
    <col min="13" max="13" width="27.7109375" bestFit="1" customWidth="1"/>
    <col min="14" max="33" width="25.7109375" customWidth="1"/>
  </cols>
  <sheetData>
    <row r="3" spans="1:33" s="44" customFormat="1" ht="18.75">
      <c r="A3"/>
      <c r="B3"/>
      <c r="C3"/>
      <c r="D3" s="43" t="s">
        <v>1176</v>
      </c>
      <c r="M3" s="44" t="s">
        <v>1189</v>
      </c>
    </row>
    <row r="4" spans="1:33" s="44" customFormat="1" ht="23.25" customHeight="1">
      <c r="A4"/>
      <c r="B4"/>
      <c r="C4"/>
      <c r="D4" s="45" t="str">
        <f>'Weekly Attendance'!H3</f>
        <v>Tournament 1</v>
      </c>
      <c r="E4" s="45" t="str">
        <f>'Weekly Attendance'!I3</f>
        <v>Tournament 2</v>
      </c>
      <c r="F4" s="45" t="str">
        <f>'Weekly Attendance'!J3</f>
        <v>Tournament 3</v>
      </c>
      <c r="G4" s="45" t="str">
        <f>'Weekly Attendance'!K3</f>
        <v>Tournament 4</v>
      </c>
      <c r="H4" s="45" t="str">
        <f>'Weekly Attendance'!L3</f>
        <v>Tournament 5</v>
      </c>
      <c r="I4" s="45" t="str">
        <f>'Weekly Attendance'!M3</f>
        <v>Tournament 6</v>
      </c>
      <c r="J4" s="45" t="str">
        <f>'Weekly Attendance'!N3</f>
        <v>Tournament 7</v>
      </c>
      <c r="K4" s="45" t="str">
        <f>'Weekly Attendance'!O3</f>
        <v>Tournament 8</v>
      </c>
      <c r="L4" s="45" t="str">
        <f>'Weekly Attendance'!P3</f>
        <v>Tournament 9</v>
      </c>
      <c r="M4" s="45" t="str">
        <f>'Weekly Attendance'!Q3</f>
        <v>Tournament 10</v>
      </c>
      <c r="N4" s="45" t="str">
        <f>'Weekly Attendance'!R3</f>
        <v>Tournament 11</v>
      </c>
      <c r="O4" s="45" t="str">
        <f>'Weekly Attendance'!S3</f>
        <v>Tournament 12</v>
      </c>
      <c r="P4" s="45" t="str">
        <f>'Weekly Attendance'!T3</f>
        <v>Tournament 13</v>
      </c>
      <c r="Q4" s="45" t="str">
        <f>'Weekly Attendance'!U3</f>
        <v>Tournament 14</v>
      </c>
      <c r="R4" s="45" t="str">
        <f>'Weekly Attendance'!V3</f>
        <v>Tournament 15</v>
      </c>
      <c r="S4" s="45" t="str">
        <f>'Weekly Attendance'!W3</f>
        <v>Tournament 16</v>
      </c>
      <c r="T4" s="45" t="str">
        <f>'Weekly Attendance'!X3</f>
        <v>Tournament 17</v>
      </c>
      <c r="U4" s="45" t="str">
        <f>'Weekly Attendance'!Y3</f>
        <v>Tournament 18</v>
      </c>
      <c r="V4" s="45" t="str">
        <f>'Weekly Attendance'!Z3</f>
        <v>Tournament 19</v>
      </c>
      <c r="W4" s="45" t="str">
        <f>'Weekly Attendance'!AA3</f>
        <v>Tournament 20</v>
      </c>
      <c r="X4" s="45" t="str">
        <f>'Weekly Attendance'!AB3</f>
        <v>Tournament 21</v>
      </c>
      <c r="Y4" s="45" t="str">
        <f>'Weekly Attendance'!AC3</f>
        <v>Tournament 22</v>
      </c>
      <c r="Z4" s="45" t="str">
        <f>'Weekly Attendance'!AD3</f>
        <v>Tournament 23</v>
      </c>
      <c r="AA4" s="45" t="str">
        <f>'Weekly Attendance'!AE3</f>
        <v>Tournament 24</v>
      </c>
      <c r="AB4" s="45" t="str">
        <f>'Weekly Attendance'!AF3</f>
        <v>Tournament 25</v>
      </c>
      <c r="AC4" s="45" t="str">
        <f>'Weekly Attendance'!AG3</f>
        <v>Tournament 26</v>
      </c>
      <c r="AD4" s="45" t="str">
        <f>'Weekly Attendance'!AH3</f>
        <v>Tournament 27</v>
      </c>
      <c r="AE4" s="45" t="str">
        <f>'Weekly Attendance'!AI3</f>
        <v>Tournament 28</v>
      </c>
      <c r="AF4" s="45" t="str">
        <f>'Weekly Attendance'!AJ3</f>
        <v>Tournament 29</v>
      </c>
      <c r="AG4" s="45" t="e">
        <f>'Weekly Attendance'!#REF!</f>
        <v>#REF!</v>
      </c>
    </row>
    <row r="5" spans="1:33">
      <c r="B5" s="41" t="s">
        <v>17</v>
      </c>
      <c r="C5" s="41" t="s">
        <v>1178</v>
      </c>
      <c r="D5" s="42" t="s">
        <v>272</v>
      </c>
      <c r="E5" s="42" t="s">
        <v>273</v>
      </c>
      <c r="F5" s="42" t="s">
        <v>274</v>
      </c>
      <c r="G5" s="42" t="s">
        <v>275</v>
      </c>
      <c r="H5" s="42" t="s">
        <v>276</v>
      </c>
      <c r="I5" s="42" t="s">
        <v>277</v>
      </c>
      <c r="J5" s="42" t="s">
        <v>278</v>
      </c>
      <c r="K5" s="42" t="s">
        <v>279</v>
      </c>
      <c r="L5" s="42" t="s">
        <v>280</v>
      </c>
      <c r="M5" s="42" t="s">
        <v>281</v>
      </c>
      <c r="N5" s="42" t="s">
        <v>282</v>
      </c>
      <c r="O5" s="42" t="s">
        <v>283</v>
      </c>
      <c r="P5" s="42" t="s">
        <v>284</v>
      </c>
      <c r="Q5" s="42" t="s">
        <v>285</v>
      </c>
      <c r="R5" s="42" t="s">
        <v>286</v>
      </c>
      <c r="S5" s="42" t="s">
        <v>287</v>
      </c>
      <c r="T5" s="42" t="s">
        <v>288</v>
      </c>
      <c r="U5" s="42" t="s">
        <v>1190</v>
      </c>
      <c r="V5" s="42" t="s">
        <v>1191</v>
      </c>
      <c r="W5" s="42" t="s">
        <v>1192</v>
      </c>
      <c r="X5" s="42" t="s">
        <v>1179</v>
      </c>
      <c r="Y5" s="42" t="s">
        <v>1180</v>
      </c>
      <c r="Z5" s="42" t="s">
        <v>1181</v>
      </c>
      <c r="AA5" s="42" t="s">
        <v>1182</v>
      </c>
      <c r="AB5" s="42" t="s">
        <v>1183</v>
      </c>
      <c r="AC5" s="42" t="s">
        <v>1184</v>
      </c>
      <c r="AD5" s="42" t="s">
        <v>1185</v>
      </c>
      <c r="AE5" s="42" t="s">
        <v>1186</v>
      </c>
      <c r="AF5" s="42" t="s">
        <v>1187</v>
      </c>
      <c r="AG5" s="42" t="s">
        <v>1188</v>
      </c>
    </row>
    <row r="6" spans="1:33">
      <c r="B6" t="str">
        <f>IFERROR(Table5[[#This Row],[Full name]],"")</f>
        <v>David Ribkoff</v>
      </c>
      <c r="C6" s="108">
        <f>IFERROR(AVERAGE(Table1624[[#This Row],[September 30, 2025]:[Column18]]),"N/A")</f>
        <v>0.53071428571428581</v>
      </c>
      <c r="D6" s="26" t="str">
        <f>IFERROR(_xlfn.PERCENTRANK.INC(Table4[True Rank],_xlfn.XLOOKUP(Table1624[[#This Row],[Name]],Table4[Name],Table4[True Rank],"DNP",0,1)),"DNP")</f>
        <v>DNP</v>
      </c>
      <c r="E6" s="26" t="str">
        <f>IFERROR(_xlfn.PERCENTRANK.INC(Table9[True Rank],_xlfn.XLOOKUP(Table1624[[#This Row],[Name]],Table9[Name],Table9[True Rank],"DNP",0,1)),"DNP")</f>
        <v>DNP</v>
      </c>
      <c r="F6" s="26">
        <f>1-IFERROR(_xlfn.PERCENTRANK.INC(Table18[True Rank],_xlfn.XLOOKUP(Table1624[[#This Row],[Name]],Table18[Name],Table18[True Rank],"DNP",0,1)),"DNP")</f>
        <v>0.43500000000000005</v>
      </c>
      <c r="G6" s="26" t="str">
        <f>IFERROR(_xlfn.PERCENTRANK.INC(Table2[True Rank],_xlfn.XLOOKUP(Table1624[[#This Row],[Name]],Table2[Name],Table2[True Rank],"DNP",0,1)),"DNP")</f>
        <v>DNP</v>
      </c>
      <c r="H6" s="26" t="str">
        <f>IFERROR(_xlfn.PERCENTRANK.INC(Table211[True Rank],_xlfn.XLOOKUP(Table1624[[#This Row],[Name]],Table211[Name],Table211[True Rank],"DNP",0,1)),"DNP")</f>
        <v>DNP</v>
      </c>
      <c r="I6" s="26">
        <f>IFERROR(_xlfn.PERCENTRANK.INC(Table21112[True Rank],_xlfn.XLOOKUP(Table1624[[#This Row],[Name]],Table21112[Name],Table21112[True Rank],"DNP",0,1)),"DNP")</f>
        <v>0.92300000000000004</v>
      </c>
      <c r="J6" s="26">
        <f>IFERROR(_xlfn.PERCENTRANK.INC(Table21112164[True Rank],_xlfn.XLOOKUP(Table1624[[#This Row],[Name]],Table21112164[Name],Table21112164[True Rank],"DNP",0,1)),"DNP")</f>
        <v>8.8999999999999996E-2</v>
      </c>
      <c r="K6" s="26" t="str">
        <f>IFERROR(_xlfn.PERCENTRANK.INC(Table2111216420[True Rank],_xlfn.XLOOKUP(Table1624[[#This Row],[Name]],Table2111216420[Name],Table2111216420[True Rank],"DNP",0,1)),"DNP")</f>
        <v>DNP</v>
      </c>
      <c r="L6" s="26" t="str">
        <f>IFERROR(_xlfn.PERCENTRANK.INC(Table211121642021[True Rank],_xlfn.XLOOKUP(Table1624[[#This Row],[Name]],Table211121642021[Name],Table211121642021[True Rank],"DNP",0,1)),"DNP")</f>
        <v>DNP</v>
      </c>
      <c r="M6" s="26">
        <f>IFERROR(_xlfn.PERCENTRANK.INC(Table21112164202122[True Rank],_xlfn.XLOOKUP(Table1624[[#This Row],[Name]],Table21112164202122[Name],Table21112164202122[True Rank],"DNP",0,1)),"DNP")</f>
        <v>0.39700000000000002</v>
      </c>
      <c r="N6" s="26">
        <f>IFERROR(_xlfn.PERCENTRANK.INC(Table2111216420212223[True Rank],_xlfn.XLOOKUP(Table1624[[#This Row],[Name]],Table2111216420212223[Name],Table2111216420212223[True Rank],"DNP",0,1)),"DNP")</f>
        <v>0.153</v>
      </c>
      <c r="O6" s="26" t="str">
        <f>IFERROR(_xlfn.PERCENTRANK.INC(Table211121642021222325[True Rank],_xlfn.XLOOKUP(Table1624[[#This Row],[Name]],Table211121642021222325[Name],Table211121642021222325[True Rank],"DNP",0,1)),"DNP")</f>
        <v>DNP</v>
      </c>
      <c r="P6" s="26" t="str">
        <f>IFERROR(_xlfn.PERCENTRANK.INC(Table21112164202122232534[True Rank],_xlfn.XLOOKUP(Table1624[[#This Row],[Name]],Table21112164202122232534[Name],Table21112164202122232534[True Rank],"DNP",0,1)),"DNP")</f>
        <v>DNP</v>
      </c>
      <c r="Q6" s="26">
        <f>IFERROR(_xlfn.PERCENTRANK.INC(Table2111216420212223253435[True Rank],_xlfn.XLOOKUP(Table1624[[#This Row],[Name]],Table2111216420212223253435[Name],Table2111216420212223253435[True Rank],"DNP",0,1)),"DNP")</f>
        <v>0.97299999999999998</v>
      </c>
      <c r="R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" s="26">
        <f>IFERROR(_xlfn.PERCENTRANK.INC(Table2111216420212223253435363738[True Rank],_xlfn.XLOOKUP(Table1624[[#This Row],[Name]],Table2111216420212223253435363738[Name],Table2111216420212223253435363738[True Rank],"DNP",0,1)),"DNP")</f>
        <v>0.745</v>
      </c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1:33">
      <c r="B7" t="str">
        <f>IFERROR(Table5[[#This Row],[Full name]],"")</f>
        <v>Ryan Chen</v>
      </c>
      <c r="C7" s="108">
        <f>IFERROR(AVERAGE(Table1624[[#This Row],[September 30, 2025]:[Column18]]),"N/A")</f>
        <v>0.37208333333333332</v>
      </c>
      <c r="D7" s="26">
        <f>IFERROR(_xlfn.PERCENTRANK.INC(Table4[True Rank],_xlfn.XLOOKUP(Table1624[[#This Row],[Name]],Table4[Name],Table4[True Rank],"DNP",0,1)),"DNP")</f>
        <v>0.22900000000000001</v>
      </c>
      <c r="E7" s="26">
        <f>IFERROR(_xlfn.PERCENTRANK.INC(Table9[True Rank],_xlfn.XLOOKUP(Table1624[[#This Row],[Name]],Table9[Name],Table9[True Rank],"DNP",0,1)),"DNP")</f>
        <v>0.67800000000000005</v>
      </c>
      <c r="F7" s="26">
        <f>IFERROR(_xlfn.PERCENTRANK.INC(Table18[True Rank],_xlfn.XLOOKUP(Table1624[[#This Row],[Name]],Table18[Name],Table18[True Rank],"DNP",0,1)),"DNP")</f>
        <v>0.41399999999999998</v>
      </c>
      <c r="G7" s="26" t="str">
        <f>IFERROR(_xlfn.PERCENTRANK.INC(Table2[True Rank],_xlfn.XLOOKUP(Table1624[[#This Row],[Name]],Table2[Name],Table2[True Rank],"DNP",0,1)),"DNP")</f>
        <v>DNP</v>
      </c>
      <c r="H7" s="26">
        <f>IFERROR(_xlfn.PERCENTRANK.INC(Table211[True Rank],_xlfn.XLOOKUP(Table1624[[#This Row],[Name]],Table211[Name],Table211[True Rank],"DNP",0,1)),"DNP")</f>
        <v>5.6000000000000001E-2</v>
      </c>
      <c r="I7" s="26">
        <f>IFERROR(_xlfn.PERCENTRANK.INC(Table21112[True Rank],_xlfn.XLOOKUP(Table1624[[#This Row],[Name]],Table21112[Name],Table21112[True Rank],"DNP",0,1)),"DNP")</f>
        <v>0.56399999999999995</v>
      </c>
      <c r="J7" s="26">
        <f>IFERROR(_xlfn.PERCENTRANK.INC(Table21112164[True Rank],_xlfn.XLOOKUP(Table1624[[#This Row],[Name]],Table21112164[Name],Table21112164[True Rank],"DNP",0,1)),"DNP")</f>
        <v>0.32500000000000001</v>
      </c>
      <c r="K7" s="26">
        <f>IFERROR(_xlfn.PERCENTRANK.INC(Table2111216420[True Rank],_xlfn.XLOOKUP(Table1624[[#This Row],[Name]],Table2111216420[Name],Table2111216420[True Rank],"DNP",0,1)),"DNP")</f>
        <v>0.21199999999999999</v>
      </c>
      <c r="L7" s="26" t="str">
        <f>IFERROR(_xlfn.PERCENTRANK.INC(Table211121642021[True Rank],_xlfn.XLOOKUP(Table1624[[#This Row],[Name]],Table211121642021[Name],Table211121642021[True Rank],"DNP",0,1)),"DNP")</f>
        <v>DNP</v>
      </c>
      <c r="M7" s="26">
        <f>IFERROR(_xlfn.PERCENTRANK.INC(Table21112164202122[True Rank],_xlfn.XLOOKUP(Table1624[[#This Row],[Name]],Table21112164202122[Name],Table21112164202122[True Rank],"DNP",0,1)),"DNP")</f>
        <v>0.45400000000000001</v>
      </c>
      <c r="N7" s="26">
        <f>IFERROR(_xlfn.PERCENTRANK.INC(Table2111216420212223[True Rank],_xlfn.XLOOKUP(Table1624[[#This Row],[Name]],Table2111216420212223[Name],Table2111216420212223[True Rank],"DNP",0,1)),"DNP")</f>
        <v>0.29599999999999999</v>
      </c>
      <c r="O7" s="26">
        <f>IFERROR(_xlfn.PERCENTRANK.INC(Table211121642021222325[True Rank],_xlfn.XLOOKUP(Table1624[[#This Row],[Name]],Table211121642021222325[Name],Table211121642021222325[True Rank],"DNP",0,1)),"DNP")</f>
        <v>0.56000000000000005</v>
      </c>
      <c r="P7" s="26">
        <f>IFERROR(_xlfn.PERCENTRANK.INC(Table21112164202122232534[True Rank],_xlfn.XLOOKUP(Table1624[[#This Row],[Name]],Table21112164202122232534[Name],Table21112164202122232534[True Rank],"DNP",0,1)),"DNP")</f>
        <v>0.505</v>
      </c>
      <c r="Q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" s="26">
        <f>IFERROR(_xlfn.PERCENTRANK.INC(Table21112164202122232534353637[True Rank],_xlfn.XLOOKUP(Table1624[[#This Row],[Name]],Table21112164202122232534353637[Name],Table21112164202122232534353637[True Rank],"DNP",0,1)),"DNP")</f>
        <v>0.17199999999999999</v>
      </c>
      <c r="T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>
      <c r="B8" t="str">
        <f>IFERROR(Table5[[#This Row],[Full name]],"")</f>
        <v>Myles MacPherson</v>
      </c>
      <c r="C8" s="108">
        <f>IFERROR(AVERAGE(Table1624[[#This Row],[September 30, 2025]:[Column18]]),"N/A")</f>
        <v>0.60699999999999998</v>
      </c>
      <c r="D8" s="26" t="str">
        <f>IFERROR(_xlfn.PERCENTRANK.INC(Table4[True Rank],_xlfn.XLOOKUP(Table1624[[#This Row],[Name]],Table4[Name],Table4[True Rank],"DNP",0,1)),"DNP")</f>
        <v>DNP</v>
      </c>
      <c r="E8" s="26" t="str">
        <f>IFERROR(_xlfn.PERCENTRANK.INC(Table9[True Rank],_xlfn.XLOOKUP(Table1624[[#This Row],[Name]],Table9[Name],Table9[True Rank],"DNP",0,1)),"DNP")</f>
        <v>DNP</v>
      </c>
      <c r="F8" s="26" t="str">
        <f>IFERROR(_xlfn.PERCENTRANK.INC(Table18[True Rank],_xlfn.XLOOKUP(Table1624[[#This Row],[Name]],Table18[Name],Table18[True Rank],"DNP",0,1)),"DNP")</f>
        <v>DNP</v>
      </c>
      <c r="G8" s="26" t="str">
        <f>IFERROR(_xlfn.PERCENTRANK.INC(Table2[True Rank],_xlfn.XLOOKUP(Table1624[[#This Row],[Name]],Table2[Name],Table2[True Rank],"DNP",0,1)),"DNP")</f>
        <v>DNP</v>
      </c>
      <c r="H8" s="26" t="str">
        <f>IFERROR(_xlfn.PERCENTRANK.INC(Table211[True Rank],_xlfn.XLOOKUP(Table1624[[#This Row],[Name]],Table211[Name],Table211[True Rank],"DNP",0,1)),"DNP")</f>
        <v>DNP</v>
      </c>
      <c r="I8" s="26" t="str">
        <f>IFERROR(_xlfn.PERCENTRANK.INC(Table21112[True Rank],_xlfn.XLOOKUP(Table1624[[#This Row],[Name]],Table21112[Name],Table21112[True Rank],"DNP",0,1)),"DNP")</f>
        <v>DNP</v>
      </c>
      <c r="J8" s="26" t="str">
        <f>IFERROR(_xlfn.PERCENTRANK.INC(Table21112164[True Rank],_xlfn.XLOOKUP(Table1624[[#This Row],[Name]],Table21112164[Name],Table21112164[True Rank],"DNP",0,1)),"DNP")</f>
        <v>DNP</v>
      </c>
      <c r="K8" s="26" t="str">
        <f>IFERROR(_xlfn.PERCENTRANK.INC(Table2111216420[True Rank],_xlfn.XLOOKUP(Table1624[[#This Row],[Name]],Table2111216420[Name],Table2111216420[True Rank],"DNP",0,1)),"DNP")</f>
        <v>DNP</v>
      </c>
      <c r="L8" s="26">
        <f>IFERROR(_xlfn.PERCENTRANK.INC(Table211121642021[True Rank],_xlfn.XLOOKUP(Table1624[[#This Row],[Name]],Table211121642021[Name],Table211121642021[True Rank],"DNP",0,1)),"DNP")</f>
        <v>0.57999999999999996</v>
      </c>
      <c r="M8" s="26">
        <f>IFERROR(_xlfn.PERCENTRANK.INC(Table21112164202122[True Rank],_xlfn.XLOOKUP(Table1624[[#This Row],[Name]],Table21112164202122[Name],Table21112164202122[True Rank],"DNP",0,1)),"DNP")</f>
        <v>0.76100000000000001</v>
      </c>
      <c r="N8" s="26" t="str">
        <f>IFERROR(_xlfn.PERCENTRANK.INC(Table2111216420212223[True Rank],_xlfn.XLOOKUP(Table1624[[#This Row],[Name]],Table2111216420212223[Name],Table2111216420212223[True Rank],"DNP",0,1)),"DNP")</f>
        <v>DNP</v>
      </c>
      <c r="O8" s="26" t="str">
        <f>IFERROR(_xlfn.PERCENTRANK.INC(Table211121642021222325[True Rank],_xlfn.XLOOKUP(Table1624[[#This Row],[Name]],Table211121642021222325[Name],Table211121642021222325[True Rank],"DNP",0,1)),"DNP")</f>
        <v>DNP</v>
      </c>
      <c r="P8" s="26" t="str">
        <f>IFERROR(_xlfn.PERCENTRANK.INC(Table21112164202122232534[True Rank],_xlfn.XLOOKUP(Table1624[[#This Row],[Name]],Table21112164202122232534[Name],Table21112164202122232534[True Rank],"DNP",0,1)),"DNP")</f>
        <v>DNP</v>
      </c>
      <c r="Q8" s="26">
        <f>IFERROR(_xlfn.PERCENTRANK.INC(Table2111216420212223253435[True Rank],_xlfn.XLOOKUP(Table1624[[#This Row],[Name]],Table2111216420212223253435[Name],Table2111216420212223253435[True Rank],"DNP",0,1)),"DNP")</f>
        <v>0.48</v>
      </c>
      <c r="R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</row>
    <row r="9" spans="1:33">
      <c r="B9" t="str">
        <f>IFERROR(Table5[[#This Row],[Full name]],"")</f>
        <v>Tyler Mah</v>
      </c>
      <c r="C9" s="108">
        <f>IFERROR(AVERAGE(Table1624[[#This Row],[September 30, 2025]:[Column18]]),"N/A")</f>
        <v>0.65800000000000003</v>
      </c>
      <c r="D9" s="26">
        <f>IFERROR(_xlfn.PERCENTRANK.INC(Table4[True Rank],_xlfn.XLOOKUP(Table1624[[#This Row],[Name]],Table4[Name],Table4[True Rank],"DNP",0,1)),"DNP")</f>
        <v>7.2999999999999995E-2</v>
      </c>
      <c r="E9" s="26">
        <f>IFERROR(_xlfn.PERCENTRANK.INC(Table9[True Rank],_xlfn.XLOOKUP(Table1624[[#This Row],[Name]],Table9[Name],Table9[True Rank],"DNP",0,1)),"DNP")</f>
        <v>0.83899999999999997</v>
      </c>
      <c r="F9" s="26" t="str">
        <f>IFERROR(_xlfn.PERCENTRANK.INC(Table18[True Rank],_xlfn.XLOOKUP(Table1624[[#This Row],[Name]],Table18[Name],Table18[True Rank],"DNP",0,1)),"DNP")</f>
        <v>DNP</v>
      </c>
      <c r="G9" s="26" t="str">
        <f>IFERROR(_xlfn.PERCENTRANK.INC(Table2[True Rank],_xlfn.XLOOKUP(Table1624[[#This Row],[Name]],Table2[Name],Table2[True Rank],"DNP",0,1)),"DNP")</f>
        <v>DNP</v>
      </c>
      <c r="H9" s="26" t="str">
        <f>IFERROR(_xlfn.PERCENTRANK.INC(Table211[True Rank],_xlfn.XLOOKUP(Table1624[[#This Row],[Name]],Table211[Name],Table211[True Rank],"DNP",0,1)),"DNP")</f>
        <v>DNP</v>
      </c>
      <c r="I9" s="26" t="str">
        <f>IFERROR(_xlfn.PERCENTRANK.INC(Table21112[True Rank],_xlfn.XLOOKUP(Table1624[[#This Row],[Name]],Table21112[Name],Table21112[True Rank],"DNP",0,1)),"DNP")</f>
        <v>DNP</v>
      </c>
      <c r="J9" s="26">
        <f>IFERROR(_xlfn.PERCENTRANK.INC(Table21112164[True Rank],_xlfn.XLOOKUP(Table1624[[#This Row],[Name]],Table21112164[Name],Table21112164[True Rank],"DNP",0,1)),"DNP")</f>
        <v>0.78600000000000003</v>
      </c>
      <c r="K9" s="26" t="str">
        <f>IFERROR(_xlfn.PERCENTRANK.INC(Table2111216420[True Rank],_xlfn.XLOOKUP(Table1624[[#This Row],[Name]],Table2111216420[Name],Table2111216420[True Rank],"DNP",0,1)),"DNP")</f>
        <v>DNP</v>
      </c>
      <c r="L9" s="26" t="str">
        <f>IFERROR(_xlfn.PERCENTRANK.INC(Table211121642021[True Rank],_xlfn.XLOOKUP(Table1624[[#This Row],[Name]],Table211121642021[Name],Table211121642021[True Rank],"DNP",0,1)),"DNP")</f>
        <v>DNP</v>
      </c>
      <c r="M9" s="26" t="str">
        <f>IFERROR(_xlfn.PERCENTRANK.INC(Table21112164202122[True Rank],_xlfn.XLOOKUP(Table1624[[#This Row],[Name]],Table21112164202122[Name],Table21112164202122[True Rank],"DNP",0,1)),"DNP")</f>
        <v>DNP</v>
      </c>
      <c r="N9" s="26">
        <f>IFERROR(_xlfn.PERCENTRANK.INC(Table2111216420212223[True Rank],_xlfn.XLOOKUP(Table1624[[#This Row],[Name]],Table2111216420212223[Name],Table2111216420212223[True Rank],"DNP",0,1)),"DNP")</f>
        <v>0.93400000000000005</v>
      </c>
      <c r="O9" s="26" t="str">
        <f>IFERROR(_xlfn.PERCENTRANK.INC(Table211121642021222325[True Rank],_xlfn.XLOOKUP(Table1624[[#This Row],[Name]],Table211121642021222325[Name],Table211121642021222325[True Rank],"DNP",0,1)),"DNP")</f>
        <v>DNP</v>
      </c>
      <c r="P9" s="26" t="str">
        <f>IFERROR(_xlfn.PERCENTRANK.INC(Table21112164202122232534[True Rank],_xlfn.XLOOKUP(Table1624[[#This Row],[Name]],Table21112164202122232534[Name],Table21112164202122232534[True Rank],"DNP",0,1)),"DNP")</f>
        <v>DNP</v>
      </c>
      <c r="Q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>
      <c r="B10" t="str">
        <f>IFERROR(Table5[[#This Row],[Full name]],"")</f>
        <v>Nathan Fenske</v>
      </c>
      <c r="C10" s="108">
        <f>IFERROR(AVERAGE(Table1624[[#This Row],[September 30, 2025]:[Column18]]),"N/A")</f>
        <v>0.70533333333333337</v>
      </c>
      <c r="D10" s="26">
        <f>IFERROR(_xlfn.PERCENTRANK.INC(Table4[True Rank],_xlfn.XLOOKUP(Table1624[[#This Row],[Name]],Table4[Name],Table4[True Rank],"DNP",0,1)),"DNP")</f>
        <v>0.59599999999999997</v>
      </c>
      <c r="E10" s="26" t="str">
        <f>IFERROR(_xlfn.PERCENTRANK.INC(Table9[True Rank],_xlfn.XLOOKUP(Table1624[[#This Row],[Name]],Table9[Name],Table9[True Rank],"DNP",0,1)),"DNP")</f>
        <v>DNP</v>
      </c>
      <c r="F10" s="26" t="str">
        <f>IFERROR(_xlfn.PERCENTRANK.INC(Table18[True Rank],_xlfn.XLOOKUP(Table1624[[#This Row],[Name]],Table18[Name],Table18[True Rank],"DNP",0,1)),"DNP")</f>
        <v>DNP</v>
      </c>
      <c r="G10" s="26">
        <f>IFERROR(_xlfn.PERCENTRANK.INC(Table2[True Rank],_xlfn.XLOOKUP(Table1624[[#This Row],[Name]],Table2[Name],Table2[True Rank],"DNP",0,1)),"DNP")</f>
        <v>0.71399999999999997</v>
      </c>
      <c r="H10" s="26" t="str">
        <f>IFERROR(_xlfn.PERCENTRANK.INC(Table211[True Rank],_xlfn.XLOOKUP(Table1624[[#This Row],[Name]],Table211[Name],Table211[True Rank],"DNP",0,1)),"DNP")</f>
        <v>DNP</v>
      </c>
      <c r="I10" s="26" t="str">
        <f>IFERROR(_xlfn.PERCENTRANK.INC(Table21112[True Rank],_xlfn.XLOOKUP(Table1624[[#This Row],[Name]],Table21112[Name],Table21112[True Rank],"DNP",0,1)),"DNP")</f>
        <v>DNP</v>
      </c>
      <c r="J10" s="26" t="str">
        <f>IFERROR(_xlfn.PERCENTRANK.INC(Table21112164[True Rank],_xlfn.XLOOKUP(Table1624[[#This Row],[Name]],Table21112164[Name],Table21112164[True Rank],"DNP",0,1)),"DNP")</f>
        <v>DNP</v>
      </c>
      <c r="K10" s="26" t="str">
        <f>IFERROR(_xlfn.PERCENTRANK.INC(Table2111216420[True Rank],_xlfn.XLOOKUP(Table1624[[#This Row],[Name]],Table2111216420[Name],Table2111216420[True Rank],"DNP",0,1)),"DNP")</f>
        <v>DNP</v>
      </c>
      <c r="L10" s="26" t="str">
        <f>IFERROR(_xlfn.PERCENTRANK.INC(Table211121642021[True Rank],_xlfn.XLOOKUP(Table1624[[#This Row],[Name]],Table211121642021[Name],Table211121642021[True Rank],"DNP",0,1)),"DNP")</f>
        <v>DNP</v>
      </c>
      <c r="M10" s="26">
        <f>IFERROR(_xlfn.PERCENTRANK.INC(Table21112164202122[True Rank],_xlfn.XLOOKUP(Table1624[[#This Row],[Name]],Table21112164202122[Name],Table21112164202122[True Rank],"DNP",0,1)),"DNP")</f>
        <v>0.80600000000000005</v>
      </c>
      <c r="N10" s="26" t="str">
        <f>IFERROR(_xlfn.PERCENTRANK.INC(Table2111216420212223[True Rank],_xlfn.XLOOKUP(Table1624[[#This Row],[Name]],Table2111216420212223[Name],Table2111216420212223[True Rank],"DNP",0,1)),"DNP")</f>
        <v>DNP</v>
      </c>
      <c r="O10" s="26" t="str">
        <f>IFERROR(_xlfn.PERCENTRANK.INC(Table211121642021222325[True Rank],_xlfn.XLOOKUP(Table1624[[#This Row],[Name]],Table211121642021222325[Name],Table211121642021222325[True Rank],"DNP",0,1)),"DNP")</f>
        <v>DNP</v>
      </c>
      <c r="P10" s="26" t="str">
        <f>IFERROR(_xlfn.PERCENTRANK.INC(Table21112164202122232534[True Rank],_xlfn.XLOOKUP(Table1624[[#This Row],[Name]],Table21112164202122232534[Name],Table21112164202122232534[True Rank],"DNP",0,1)),"DNP")</f>
        <v>DNP</v>
      </c>
      <c r="Q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</row>
    <row r="11" spans="1:33">
      <c r="B11" t="str">
        <f>IFERROR(Table5[[#This Row],[Full name]],"")</f>
        <v>Jackie Cai</v>
      </c>
      <c r="C11" s="108">
        <f>IFERROR(AVERAGE(Table1624[[#This Row],[September 30, 2025]:[Column18]]),"N/A")</f>
        <v>0.38919999999999999</v>
      </c>
      <c r="D11" s="26">
        <f>IFERROR(_xlfn.PERCENTRANK.INC(Table4[True Rank],_xlfn.XLOOKUP(Table1624[[#This Row],[Name]],Table4[Name],Table4[True Rank],"DNP",0,1)),"DNP")</f>
        <v>0.11899999999999999</v>
      </c>
      <c r="E11" s="26" t="str">
        <f>IFERROR(_xlfn.PERCENTRANK.INC(Table9[True Rank],_xlfn.XLOOKUP(Table1624[[#This Row],[Name]],Table9[Name],Table9[True Rank],"DNP",0,1)),"DNP")</f>
        <v>DNP</v>
      </c>
      <c r="F11" s="26" t="str">
        <f>IFERROR(_xlfn.PERCENTRANK.INC(Table18[True Rank],_xlfn.XLOOKUP(Table1624[[#This Row],[Name]],Table18[Name],Table18[True Rank],"DNP",0,1)),"DNP")</f>
        <v>DNP</v>
      </c>
      <c r="G11" s="26" t="str">
        <f>IFERROR(_xlfn.PERCENTRANK.INC(Table2[True Rank],_xlfn.XLOOKUP(Table1624[[#This Row],[Name]],Table2[Name],Table2[True Rank],"DNP",0,1)),"DNP")</f>
        <v>DNP</v>
      </c>
      <c r="H11" s="26" t="str">
        <f>IFERROR(_xlfn.PERCENTRANK.INC(Table211[True Rank],_xlfn.XLOOKUP(Table1624[[#This Row],[Name]],Table211[Name],Table211[True Rank],"DNP",0,1)),"DNP")</f>
        <v>DNP</v>
      </c>
      <c r="I11" s="26" t="str">
        <f>IFERROR(_xlfn.PERCENTRANK.INC(Table21112[True Rank],_xlfn.XLOOKUP(Table1624[[#This Row],[Name]],Table21112[Name],Table21112[True Rank],"DNP",0,1)),"DNP")</f>
        <v>DNP</v>
      </c>
      <c r="J11" s="26">
        <f>IFERROR(_xlfn.PERCENTRANK.INC(Table21112164[True Rank],_xlfn.XLOOKUP(Table1624[[#This Row],[Name]],Table21112164[Name],Table21112164[True Rank],"DNP",0,1)),"DNP")</f>
        <v>0.123</v>
      </c>
      <c r="K11" s="26" t="str">
        <f>IFERROR(_xlfn.PERCENTRANK.INC(Table2111216420[True Rank],_xlfn.XLOOKUP(Table1624[[#This Row],[Name]],Table2111216420[Name],Table2111216420[True Rank],"DNP",0,1)),"DNP")</f>
        <v>DNP</v>
      </c>
      <c r="L11" s="26">
        <f>IFERROR(_xlfn.PERCENTRANK.INC(Table211121642021[True Rank],_xlfn.XLOOKUP(Table1624[[#This Row],[Name]],Table211121642021[Name],Table211121642021[True Rank],"DNP",0,1)),"DNP")</f>
        <v>0.88100000000000001</v>
      </c>
      <c r="M11" s="26" t="str">
        <f>IFERROR(_xlfn.PERCENTRANK.INC(Table21112164202122[True Rank],_xlfn.XLOOKUP(Table1624[[#This Row],[Name]],Table21112164202122[Name],Table21112164202122[True Rank],"DNP",0,1)),"DNP")</f>
        <v>DNP</v>
      </c>
      <c r="N11" s="26">
        <f>IFERROR(_xlfn.PERCENTRANK.INC(Table2111216420212223[True Rank],_xlfn.XLOOKUP(Table1624[[#This Row],[Name]],Table2111216420212223[Name],Table2111216420212223[True Rank],"DNP",0,1)),"DNP")</f>
        <v>0.73599999999999999</v>
      </c>
      <c r="O11" s="26" t="str">
        <f>IFERROR(_xlfn.PERCENTRANK.INC(Table211121642021222325[True Rank],_xlfn.XLOOKUP(Table1624[[#This Row],[Name]],Table211121642021222325[Name],Table211121642021222325[True Rank],"DNP",0,1)),"DNP")</f>
        <v>DNP</v>
      </c>
      <c r="P11" s="26">
        <f>IFERROR(_xlfn.PERCENTRANK.INC(Table21112164202122232534[True Rank],_xlfn.XLOOKUP(Table1624[[#This Row],[Name]],Table21112164202122232534[Name],Table21112164202122232534[True Rank],"DNP",0,1)),"DNP")</f>
        <v>8.6999999999999994E-2</v>
      </c>
      <c r="Q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</row>
    <row r="12" spans="1:33">
      <c r="B12" t="str">
        <f>IFERROR(Table5[[#This Row],[Full name]],"")</f>
        <v>Edward Dong</v>
      </c>
      <c r="C12" s="108">
        <f>IFERROR(AVERAGE(Table1624[[#This Row],[September 30, 2025]:[Column18]]),"N/A")</f>
        <v>0.39071428571428574</v>
      </c>
      <c r="D12" s="26">
        <f>IFERROR(_xlfn.PERCENTRANK.INC(Table4[True Rank],_xlfn.XLOOKUP(Table1624[[#This Row],[Name]],Table4[Name],Table4[True Rank],"DNP",0,1)),"DNP")</f>
        <v>0.55900000000000005</v>
      </c>
      <c r="E12" s="26">
        <f>IFERROR(_xlfn.PERCENTRANK.INC(Table9[True Rank],_xlfn.XLOOKUP(Table1624[[#This Row],[Name]],Table9[Name],Table9[True Rank],"DNP",0,1)),"DNP")</f>
        <v>0.27500000000000002</v>
      </c>
      <c r="F12" s="26" t="str">
        <f>IFERROR(_xlfn.PERCENTRANK.INC(Table18[True Rank],_xlfn.XLOOKUP(Table1624[[#This Row],[Name]],Table18[Name],Table18[True Rank],"DNP",0,1)),"DNP")</f>
        <v>DNP</v>
      </c>
      <c r="G12" s="26">
        <f>IFERROR(_xlfn.PERCENTRANK.INC(Table2[True Rank],_xlfn.XLOOKUP(Table1624[[#This Row],[Name]],Table2[Name],Table2[True Rank],"DNP",0,1)),"DNP")</f>
        <v>0.25</v>
      </c>
      <c r="H12" s="26" t="str">
        <f>IFERROR(_xlfn.PERCENTRANK.INC(Table211[True Rank],_xlfn.XLOOKUP(Table1624[[#This Row],[Name]],Table211[Name],Table211[True Rank],"DNP",0,1)),"DNP")</f>
        <v>DNP</v>
      </c>
      <c r="I12" s="26" t="str">
        <f>IFERROR(_xlfn.PERCENTRANK.INC(Table21112[True Rank],_xlfn.XLOOKUP(Table1624[[#This Row],[Name]],Table21112[Name],Table21112[True Rank],"DNP",0,1)),"DNP")</f>
        <v>DNP</v>
      </c>
      <c r="J12" s="26">
        <f>IFERROR(_xlfn.PERCENTRANK.INC(Table21112164[True Rank],_xlfn.XLOOKUP(Table1624[[#This Row],[Name]],Table21112164[Name],Table21112164[True Rank],"DNP",0,1)),"DNP")</f>
        <v>0.112</v>
      </c>
      <c r="K12" s="26">
        <f>IFERROR(_xlfn.PERCENTRANK.INC(Table2111216420[True Rank],_xlfn.XLOOKUP(Table1624[[#This Row],[Name]],Table2111216420[Name],Table2111216420[True Rank],"DNP",0,1)),"DNP")</f>
        <v>0.63800000000000001</v>
      </c>
      <c r="L12" s="26">
        <f>IFERROR(_xlfn.PERCENTRANK.INC(Table211121642021[True Rank],_xlfn.XLOOKUP(Table1624[[#This Row],[Name]],Table211121642021[Name],Table211121642021[True Rank],"DNP",0,1)),"DNP")</f>
        <v>0.72</v>
      </c>
      <c r="M12" s="26">
        <f>IFERROR(_xlfn.PERCENTRANK.INC(Table21112164202122[True Rank],_xlfn.XLOOKUP(Table1624[[#This Row],[Name]],Table21112164202122[Name],Table21112164202122[True Rank],"DNP",0,1)),"DNP")</f>
        <v>0.18099999999999999</v>
      </c>
      <c r="N12" s="26" t="str">
        <f>IFERROR(_xlfn.PERCENTRANK.INC(Table2111216420212223[True Rank],_xlfn.XLOOKUP(Table1624[[#This Row],[Name]],Table2111216420212223[Name],Table2111216420212223[True Rank],"DNP",0,1)),"DNP")</f>
        <v>DNP</v>
      </c>
      <c r="O12" s="26" t="str">
        <f>IFERROR(_xlfn.PERCENTRANK.INC(Table211121642021222325[True Rank],_xlfn.XLOOKUP(Table1624[[#This Row],[Name]],Table211121642021222325[Name],Table211121642021222325[True Rank],"DNP",0,1)),"DNP")</f>
        <v>DNP</v>
      </c>
      <c r="P12" s="26" t="str">
        <f>IFERROR(_xlfn.PERCENTRANK.INC(Table21112164202122232534[True Rank],_xlfn.XLOOKUP(Table1624[[#This Row],[Name]],Table21112164202122232534[Name],Table21112164202122232534[True Rank],"DNP",0,1)),"DNP")</f>
        <v>DNP</v>
      </c>
      <c r="Q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>
      <c r="B13" t="str">
        <f>IFERROR(Table5[[#This Row],[Full name]],"")</f>
        <v>Kaden Ali</v>
      </c>
      <c r="C13" s="108">
        <f>IFERROR(AVERAGE(Table1624[[#This Row],[September 30, 2025]:[Column18]]),"N/A")</f>
        <v>0.46600000000000003</v>
      </c>
      <c r="D13" s="26">
        <f>IFERROR(_xlfn.PERCENTRANK.INC(Table4[True Rank],_xlfn.XLOOKUP(Table1624[[#This Row],[Name]],Table4[Name],Table4[True Rank],"DNP",0,1)),"DNP")</f>
        <v>0.36599999999999999</v>
      </c>
      <c r="E13" s="26" t="str">
        <f>IFERROR(_xlfn.PERCENTRANK.INC(Table9[True Rank],_xlfn.XLOOKUP(Table1624[[#This Row],[Name]],Table9[Name],Table9[True Rank],"DNP",0,1)),"DNP")</f>
        <v>DNP</v>
      </c>
      <c r="F13" s="26" t="str">
        <f>IFERROR(_xlfn.PERCENTRANK.INC(Table18[True Rank],_xlfn.XLOOKUP(Table1624[[#This Row],[Name]],Table18[Name],Table18[True Rank],"DNP",0,1)),"DNP")</f>
        <v>DNP</v>
      </c>
      <c r="G13" s="26" t="str">
        <f>IFERROR(_xlfn.PERCENTRANK.INC(Table2[True Rank],_xlfn.XLOOKUP(Table1624[[#This Row],[Name]],Table2[Name],Table2[True Rank],"DNP",0,1)),"DNP")</f>
        <v>DNP</v>
      </c>
      <c r="H13" s="26">
        <f>IFERROR(_xlfn.PERCENTRANK.INC(Table211[True Rank],_xlfn.XLOOKUP(Table1624[[#This Row],[Name]],Table211[Name],Table211[True Rank],"DNP",0,1)),"DNP")</f>
        <v>1</v>
      </c>
      <c r="I13" s="26">
        <f>IFERROR(_xlfn.PERCENTRANK.INC(Table21112[True Rank],_xlfn.XLOOKUP(Table1624[[#This Row],[Name]],Table21112[Name],Table21112[True Rank],"DNP",0,1)),"DNP")</f>
        <v>0.78200000000000003</v>
      </c>
      <c r="J13" s="26">
        <f>IFERROR(_xlfn.PERCENTRANK.INC(Table21112164[True Rank],_xlfn.XLOOKUP(Table1624[[#This Row],[Name]],Table21112164[Name],Table21112164[True Rank],"DNP",0,1)),"DNP")</f>
        <v>0.438</v>
      </c>
      <c r="K13" s="26">
        <f>IFERROR(_xlfn.PERCENTRANK.INC(Table2111216420[True Rank],_xlfn.XLOOKUP(Table1624[[#This Row],[Name]],Table2111216420[Name],Table2111216420[True Rank],"DNP",0,1)),"DNP")</f>
        <v>0.11700000000000001</v>
      </c>
      <c r="L13" s="26" t="str">
        <f>IFERROR(_xlfn.PERCENTRANK.INC(Table211121642021[True Rank],_xlfn.XLOOKUP(Table1624[[#This Row],[Name]],Table211121642021[Name],Table211121642021[True Rank],"DNP",0,1)),"DNP")</f>
        <v>DNP</v>
      </c>
      <c r="M13" s="26">
        <f>IFERROR(_xlfn.PERCENTRANK.INC(Table21112164202122[True Rank],_xlfn.XLOOKUP(Table1624[[#This Row],[Name]],Table21112164202122[Name],Table21112164202122[True Rank],"DNP",0,1)),"DNP")</f>
        <v>0.28399999999999997</v>
      </c>
      <c r="N13" s="26" t="str">
        <f>IFERROR(_xlfn.PERCENTRANK.INC(Table2111216420212223[True Rank],_xlfn.XLOOKUP(Table1624[[#This Row],[Name]],Table2111216420212223[Name],Table2111216420212223[True Rank],"DNP",0,1)),"DNP")</f>
        <v>DNP</v>
      </c>
      <c r="O13" s="26" t="str">
        <f>IFERROR(_xlfn.PERCENTRANK.INC(Table211121642021222325[True Rank],_xlfn.XLOOKUP(Table1624[[#This Row],[Name]],Table211121642021222325[Name],Table211121642021222325[True Rank],"DNP",0,1)),"DNP")</f>
        <v>DNP</v>
      </c>
      <c r="P13" s="26" t="str">
        <f>IFERROR(_xlfn.PERCENTRANK.INC(Table21112164202122232534[True Rank],_xlfn.XLOOKUP(Table1624[[#This Row],[Name]],Table21112164202122232534[Name],Table21112164202122232534[True Rank],"DNP",0,1)),"DNP")</f>
        <v>DNP</v>
      </c>
      <c r="Q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" s="26">
        <f>IFERROR(_xlfn.PERCENTRANK.INC(Table21112164202122232534353637[True Rank],_xlfn.XLOOKUP(Table1624[[#This Row],[Name]],Table21112164202122232534353637[Name],Table21112164202122232534353637[True Rank],"DNP",0,1)),"DNP")</f>
        <v>0.27500000000000002</v>
      </c>
      <c r="T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</row>
    <row r="14" spans="1:33">
      <c r="B14" t="str">
        <f>IFERROR(Table5[[#This Row],[Full name]],"")</f>
        <v>Matthew Barclay</v>
      </c>
      <c r="C14" s="108">
        <f>IFERROR(AVERAGE(Table1624[[#This Row],[September 30, 2025]:[Column18]]),"N/A")</f>
        <v>0.38376923076923081</v>
      </c>
      <c r="D14" s="26" t="str">
        <f>IFERROR(_xlfn.PERCENTRANK.INC(Table4[True Rank],_xlfn.XLOOKUP(Table1624[[#This Row],[Name]],Table4[Name],Table4[True Rank],"DNP",0,1)),"DNP")</f>
        <v>DNP</v>
      </c>
      <c r="E14" s="26">
        <f>IFERROR(_xlfn.PERCENTRANK.INC(Table9[True Rank],_xlfn.XLOOKUP(Table1624[[#This Row],[Name]],Table9[Name],Table9[True Rank],"DNP",0,1)),"DNP")</f>
        <v>0.57399999999999995</v>
      </c>
      <c r="F14" s="26" t="str">
        <f>IFERROR(_xlfn.PERCENTRANK.INC(Table18[True Rank],_xlfn.XLOOKUP(Table1624[[#This Row],[Name]],Table18[Name],Table18[True Rank],"DNP",0,1)),"DNP")</f>
        <v>DNP</v>
      </c>
      <c r="G14" s="26">
        <f>IFERROR(_xlfn.PERCENTRANK.INC(Table2[True Rank],_xlfn.XLOOKUP(Table1624[[#This Row],[Name]],Table2[Name],Table2[True Rank],"DNP",0,1)),"DNP")</f>
        <v>5.8999999999999997E-2</v>
      </c>
      <c r="H14" s="26" t="str">
        <f>IFERROR(_xlfn.PERCENTRANK.INC(Table211[True Rank],_xlfn.XLOOKUP(Table1624[[#This Row],[Name]],Table211[Name],Table211[True Rank],"DNP",0,1)),"DNP")</f>
        <v>DNP</v>
      </c>
      <c r="I14" s="26">
        <f>IFERROR(_xlfn.PERCENTRANK.INC(Table21112[True Rank],_xlfn.XLOOKUP(Table1624[[#This Row],[Name]],Table21112[Name],Table21112[True Rank],"DNP",0,1)),"DNP")</f>
        <v>0.5</v>
      </c>
      <c r="J14" s="26">
        <f>IFERROR(_xlfn.PERCENTRANK.INC(Table21112164[True Rank],_xlfn.XLOOKUP(Table1624[[#This Row],[Name]],Table21112164[Name],Table21112164[True Rank],"DNP",0,1)),"DNP")</f>
        <v>0.20200000000000001</v>
      </c>
      <c r="K14" s="26">
        <f>IFERROR(_xlfn.PERCENTRANK.INC(Table2111216420[True Rank],_xlfn.XLOOKUP(Table1624[[#This Row],[Name]],Table2111216420[Name],Table2111216420[True Rank],"DNP",0,1)),"DNP")</f>
        <v>8.5000000000000006E-2</v>
      </c>
      <c r="L14" s="26">
        <f>IFERROR(_xlfn.PERCENTRANK.INC(Table211121642021[True Rank],_xlfn.XLOOKUP(Table1624[[#This Row],[Name]],Table211121642021[Name],Table211121642021[True Rank],"DNP",0,1)),"DNP")</f>
        <v>0.215</v>
      </c>
      <c r="M14" s="26">
        <f>IFERROR(_xlfn.PERCENTRANK.INC(Table21112164202122[True Rank],_xlfn.XLOOKUP(Table1624[[#This Row],[Name]],Table21112164202122[Name],Table21112164202122[True Rank],"DNP",0,1)),"DNP")</f>
        <v>0.84</v>
      </c>
      <c r="N14" s="26">
        <f>IFERROR(_xlfn.PERCENTRANK.INC(Table2111216420212223[True Rank],_xlfn.XLOOKUP(Table1624[[#This Row],[Name]],Table2111216420212223[Name],Table2111216420212223[True Rank],"DNP",0,1)),"DNP")</f>
        <v>0.91200000000000003</v>
      </c>
      <c r="O14" s="26" t="str">
        <f>IFERROR(_xlfn.PERCENTRANK.INC(Table211121642021222325[True Rank],_xlfn.XLOOKUP(Table1624[[#This Row],[Name]],Table211121642021222325[Name],Table211121642021222325[True Rank],"DNP",0,1)),"DNP")</f>
        <v>DNP</v>
      </c>
      <c r="P14" s="26">
        <f>IFERROR(_xlfn.PERCENTRANK.INC(Table21112164202122232534[True Rank],_xlfn.XLOOKUP(Table1624[[#This Row],[Name]],Table21112164202122232534[Name],Table21112164202122232534[True Rank],"DNP",0,1)),"DNP")</f>
        <v>0.307</v>
      </c>
      <c r="Q14" s="26">
        <f>IFERROR(_xlfn.PERCENTRANK.INC(Table2111216420212223253435[True Rank],_xlfn.XLOOKUP(Table1624[[#This Row],[Name]],Table2111216420212223253435[Name],Table2111216420212223253435[True Rank],"DNP",0,1)),"DNP")</f>
        <v>0.12</v>
      </c>
      <c r="R14" s="26">
        <f>IFERROR(_xlfn.PERCENTRANK.INC(Table211121642021222325343536[True Rank],_xlfn.XLOOKUP(Table1624[[#This Row],[Name]],Table211121642021222325343536[Name],Table211121642021222325343536[True Rank],"DNP",0,1)),"DNP")</f>
        <v>0.98399999999999999</v>
      </c>
      <c r="S14" s="26">
        <f>IFERROR(_xlfn.PERCENTRANK.INC(Table21112164202122232534353637[True Rank],_xlfn.XLOOKUP(Table1624[[#This Row],[Name]],Table21112164202122232534353637[Name],Table21112164202122232534353637[True Rank],"DNP",0,1)),"DNP")</f>
        <v>0.13700000000000001</v>
      </c>
      <c r="T14" s="26">
        <f>IFERROR(_xlfn.PERCENTRANK.INC(Table2111216420212223253435363738[True Rank],_xlfn.XLOOKUP(Table1624[[#This Row],[Name]],Table2111216420212223253435363738[Name],Table2111216420212223253435363738[True Rank],"DNP",0,1)),"DNP")</f>
        <v>5.3999999999999999E-2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>
      <c r="B15" t="str">
        <f>IFERROR(Table5[[#This Row],[Full name]],"")</f>
        <v>Pavel Zykmund</v>
      </c>
      <c r="C15" s="108">
        <f>IFERROR(AVERAGE(Table1624[[#This Row],[September 30, 2025]:[Column18]]),"N/A")</f>
        <v>0.21899999999999997</v>
      </c>
      <c r="D15" s="26">
        <f>IFERROR(_xlfn.PERCENTRANK.INC(Table4[True Rank],_xlfn.XLOOKUP(Table1624[[#This Row],[Name]],Table4[Name],Table4[True Rank],"DNP",0,1)),"DNP")</f>
        <v>8.2000000000000003E-2</v>
      </c>
      <c r="E15" s="26">
        <f>IFERROR(_xlfn.PERCENTRANK.INC(Table9[True Rank],_xlfn.XLOOKUP(Table1624[[#This Row],[Name]],Table9[Name],Table9[True Rank],"DNP",0,1)),"DNP")</f>
        <v>0.17199999999999999</v>
      </c>
      <c r="F15" s="26" t="str">
        <f>IFERROR(_xlfn.PERCENTRANK.INC(Table18[True Rank],_xlfn.XLOOKUP(Table1624[[#This Row],[Name]],Table18[Name],Table18[True Rank],"DNP",0,1)),"DNP")</f>
        <v>DNP</v>
      </c>
      <c r="G15" s="26">
        <f>IFERROR(_xlfn.PERCENTRANK.INC(Table2[True Rank],_xlfn.XLOOKUP(Table1624[[#This Row],[Name]],Table2[Name],Table2[True Rank],"DNP",0,1)),"DNP")</f>
        <v>0.29699999999999999</v>
      </c>
      <c r="H15" s="26">
        <f>IFERROR(_xlfn.PERCENTRANK.INC(Table211[True Rank],_xlfn.XLOOKUP(Table1624[[#This Row],[Name]],Table211[Name],Table211[True Rank],"DNP",0,1)),"DNP")</f>
        <v>0.57699999999999996</v>
      </c>
      <c r="I15" s="26" t="str">
        <f>IFERROR(_xlfn.PERCENTRANK.INC(Table21112[True Rank],_xlfn.XLOOKUP(Table1624[[#This Row],[Name]],Table21112[Name],Table21112[True Rank],"DNP",0,1)),"DNP")</f>
        <v>DNP</v>
      </c>
      <c r="J15" s="26" t="str">
        <f>IFERROR(_xlfn.PERCENTRANK.INC(Table21112164[True Rank],_xlfn.XLOOKUP(Table1624[[#This Row],[Name]],Table21112164[Name],Table21112164[True Rank],"DNP",0,1)),"DNP")</f>
        <v>DNP</v>
      </c>
      <c r="K15" s="26" t="str">
        <f>IFERROR(_xlfn.PERCENTRANK.INC(Table2111216420[True Rank],_xlfn.XLOOKUP(Table1624[[#This Row],[Name]],Table2111216420[Name],Table2111216420[True Rank],"DNP",0,1)),"DNP")</f>
        <v>DNP</v>
      </c>
      <c r="L15" s="26" t="str">
        <f>IFERROR(_xlfn.PERCENTRANK.INC(Table211121642021[True Rank],_xlfn.XLOOKUP(Table1624[[#This Row],[Name]],Table211121642021[Name],Table211121642021[True Rank],"DNP",0,1)),"DNP")</f>
        <v>DNP</v>
      </c>
      <c r="M15" s="26">
        <f>IFERROR(_xlfn.PERCENTRANK.INC(Table21112164202122[True Rank],_xlfn.XLOOKUP(Table1624[[#This Row],[Name]],Table21112164202122[Name],Table21112164202122[True Rank],"DNP",0,1)),"DNP")</f>
        <v>0</v>
      </c>
      <c r="N15" s="26">
        <f>IFERROR(_xlfn.PERCENTRANK.INC(Table2111216420212223[True Rank],_xlfn.XLOOKUP(Table1624[[#This Row],[Name]],Table2111216420212223[Name],Table2111216420212223[True Rank],"DNP",0,1)),"DNP")</f>
        <v>0.186</v>
      </c>
      <c r="O15" s="26" t="str">
        <f>IFERROR(_xlfn.PERCENTRANK.INC(Table211121642021222325[True Rank],_xlfn.XLOOKUP(Table1624[[#This Row],[Name]],Table211121642021222325[Name],Table211121642021222325[True Rank],"DNP",0,1)),"DNP")</f>
        <v>DNP</v>
      </c>
      <c r="P15" s="26" t="str">
        <f>IFERROR(_xlfn.PERCENTRANK.INC(Table21112164202122232534[True Rank],_xlfn.XLOOKUP(Table1624[[#This Row],[Name]],Table21112164202122232534[Name],Table21112164202122232534[True Rank],"DNP",0,1)),"DNP")</f>
        <v>DNP</v>
      </c>
      <c r="Q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</row>
    <row r="16" spans="1:33">
      <c r="B16" t="str">
        <f>IFERROR(Table5[[#This Row],[Full name]],"")</f>
        <v>Rita Shweihat</v>
      </c>
      <c r="C16" s="108">
        <f>IFERROR(AVERAGE(Table1624[[#This Row],[September 30, 2025]:[Column18]]),"N/A")</f>
        <v>0.54310000000000014</v>
      </c>
      <c r="D16" s="26">
        <f>IFERROR(_xlfn.PERCENTRANK.INC(Table4[True Rank],_xlfn.XLOOKUP(Table1624[[#This Row],[Name]],Table4[Name],Table4[True Rank],"DNP",0,1)),"DNP")</f>
        <v>0.41199999999999998</v>
      </c>
      <c r="E16" s="26" t="str">
        <f>IFERROR(_xlfn.PERCENTRANK.INC(Table9[True Rank],_xlfn.XLOOKUP(Table1624[[#This Row],[Name]],Table9[Name],Table9[True Rank],"DNP",0,1)),"DNP")</f>
        <v>DNP</v>
      </c>
      <c r="F16" s="26" t="str">
        <f>IFERROR(_xlfn.PERCENTRANK.INC(Table18[True Rank],_xlfn.XLOOKUP(Table1624[[#This Row],[Name]],Table18[Name],Table18[True Rank],"DNP",0,1)),"DNP")</f>
        <v>DNP</v>
      </c>
      <c r="G16" s="26">
        <f>IFERROR(_xlfn.PERCENTRANK.INC(Table2[True Rank],_xlfn.XLOOKUP(Table1624[[#This Row],[Name]],Table2[Name],Table2[True Rank],"DNP",0,1)),"DNP")</f>
        <v>0.88</v>
      </c>
      <c r="H16" s="26">
        <f>IFERROR(_xlfn.PERCENTRANK.INC(Table211[True Rank],_xlfn.XLOOKUP(Table1624[[#This Row],[Name]],Table211[Name],Table211[True Rank],"DNP",0,1)),"DNP")</f>
        <v>0.77400000000000002</v>
      </c>
      <c r="I16" s="26">
        <f>IFERROR(_xlfn.PERCENTRANK.INC(Table21112[True Rank],_xlfn.XLOOKUP(Table1624[[#This Row],[Name]],Table21112[Name],Table21112[True Rank],"DNP",0,1)),"DNP")</f>
        <v>0.64100000000000001</v>
      </c>
      <c r="J16" s="26">
        <f>IFERROR(_xlfn.PERCENTRANK.INC(Table21112164[True Rank],_xlfn.XLOOKUP(Table1624[[#This Row],[Name]],Table21112164[Name],Table21112164[True Rank],"DNP",0,1)),"DNP")</f>
        <v>0.629</v>
      </c>
      <c r="K16" s="26">
        <f>IFERROR(_xlfn.PERCENTRANK.INC(Table2111216420[True Rank],_xlfn.XLOOKUP(Table1624[[#This Row],[Name]],Table2111216420[Name],Table2111216420[True Rank],"DNP",0,1)),"DNP")</f>
        <v>0.51</v>
      </c>
      <c r="L16" s="26">
        <f>IFERROR(_xlfn.PERCENTRANK.INC(Table211121642021[True Rank],_xlfn.XLOOKUP(Table1624[[#This Row],[Name]],Table211121642021[Name],Table211121642021[True Rank],"DNP",0,1)),"DNP")</f>
        <v>0.505</v>
      </c>
      <c r="M16" s="26">
        <f>IFERROR(_xlfn.PERCENTRANK.INC(Table21112164202122[True Rank],_xlfn.XLOOKUP(Table1624[[#This Row],[Name]],Table21112164202122[Name],Table21112164202122[True Rank],"DNP",0,1)),"DNP")</f>
        <v>0.36299999999999999</v>
      </c>
      <c r="N16" s="26">
        <f>IFERROR(_xlfn.PERCENTRANK.INC(Table2111216420212223[True Rank],_xlfn.XLOOKUP(Table1624[[#This Row],[Name]],Table2111216420212223[Name],Table2111216420212223[True Rank],"DNP",0,1)),"DNP")</f>
        <v>0.13100000000000001</v>
      </c>
      <c r="O16" s="26" t="str">
        <f>IFERROR(_xlfn.PERCENTRANK.INC(Table211121642021222325[True Rank],_xlfn.XLOOKUP(Table1624[[#This Row],[Name]],Table211121642021222325[Name],Table211121642021222325[True Rank],"DNP",0,1)),"DNP")</f>
        <v>DNP</v>
      </c>
      <c r="P16" s="26" t="str">
        <f>IFERROR(_xlfn.PERCENTRANK.INC(Table21112164202122232534[True Rank],_xlfn.XLOOKUP(Table1624[[#This Row],[Name]],Table21112164202122232534[Name],Table21112164202122232534[True Rank],"DNP",0,1)),"DNP")</f>
        <v>DNP</v>
      </c>
      <c r="Q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" s="26">
        <f>IFERROR(_xlfn.PERCENTRANK.INC(Table21112164202122232534353637[True Rank],_xlfn.XLOOKUP(Table1624[[#This Row],[Name]],Table21112164202122232534353637[Name],Table21112164202122232534353637[True Rank],"DNP",0,1)),"DNP")</f>
        <v>0.58599999999999997</v>
      </c>
      <c r="T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</row>
    <row r="17" spans="2:33">
      <c r="B17" t="str">
        <f>IFERROR(Table5[[#This Row],[Full name]],"")</f>
        <v>Sam Ahn</v>
      </c>
      <c r="C17" s="108">
        <f>IFERROR(AVERAGE(Table1624[[#This Row],[September 30, 2025]:[Column18]]),"N/A")</f>
        <v>0.26318750000000002</v>
      </c>
      <c r="D17" s="26" t="str">
        <f>IFERROR(_xlfn.PERCENTRANK.INC(Table4[True Rank],_xlfn.XLOOKUP(Table1624[[#This Row],[Name]],Table4[Name],Table4[True Rank],"DNP",0,1)),"DNP")</f>
        <v>DNP</v>
      </c>
      <c r="E17" s="26">
        <f>IFERROR(_xlfn.PERCENTRANK.INC(Table9[True Rank],_xlfn.XLOOKUP(Table1624[[#This Row],[Name]],Table9[Name],Table9[True Rank],"DNP",0,1)),"DNP")</f>
        <v>1.0999999999999999E-2</v>
      </c>
      <c r="F17" s="26">
        <f>IFERROR(_xlfn.PERCENTRANK.INC(Table18[True Rank],_xlfn.XLOOKUP(Table1624[[#This Row],[Name]],Table18[Name],Table18[True Rank],"DNP",0,1)),"DNP")</f>
        <v>0.02</v>
      </c>
      <c r="G17" s="26">
        <f>IFERROR(_xlfn.PERCENTRANK.INC(Table2[True Rank],_xlfn.XLOOKUP(Table1624[[#This Row],[Name]],Table2[Name],Table2[True Rank],"DNP",0,1)),"DNP")</f>
        <v>1.0999999999999999E-2</v>
      </c>
      <c r="H17" s="26">
        <f>IFERROR(_xlfn.PERCENTRANK.INC(Table211[True Rank],_xlfn.XLOOKUP(Table1624[[#This Row],[Name]],Table211[Name],Table211[True Rank],"DNP",0,1)),"DNP")</f>
        <v>0</v>
      </c>
      <c r="I17" s="26">
        <f>IFERROR(_xlfn.PERCENTRANK.INC(Table21112[True Rank],_xlfn.XLOOKUP(Table1624[[#This Row],[Name]],Table21112[Name],Table21112[True Rank],"DNP",0,1)),"DNP")</f>
        <v>0.74299999999999999</v>
      </c>
      <c r="J17" s="26">
        <f>IFERROR(_xlfn.PERCENTRANK.INC(Table21112164[True Rank],_xlfn.XLOOKUP(Table1624[[#This Row],[Name]],Table21112164[Name],Table21112164[True Rank],"DNP",0,1)),"DNP")</f>
        <v>0.83099999999999996</v>
      </c>
      <c r="K17" s="26">
        <f>IFERROR(_xlfn.PERCENTRANK.INC(Table2111216420[True Rank],_xlfn.XLOOKUP(Table1624[[#This Row],[Name]],Table2111216420[Name],Table2111216420[True Rank],"DNP",0,1)),"DNP")</f>
        <v>6.3E-2</v>
      </c>
      <c r="L17" s="26">
        <f>IFERROR(_xlfn.PERCENTRANK.INC(Table211121642021[True Rank],_xlfn.XLOOKUP(Table1624[[#This Row],[Name]],Table211121642021[Name],Table211121642021[True Rank],"DNP",0,1)),"DNP")</f>
        <v>0.55900000000000005</v>
      </c>
      <c r="M17" s="26">
        <f>IFERROR(_xlfn.PERCENTRANK.INC(Table21112164202122[True Rank],_xlfn.XLOOKUP(Table1624[[#This Row],[Name]],Table21112164202122[Name],Table21112164202122[True Rank],"DNP",0,1)),"DNP")</f>
        <v>6.8000000000000005E-2</v>
      </c>
      <c r="N17" s="26">
        <f>IFERROR(_xlfn.PERCENTRANK.INC(Table2111216420212223[True Rank],_xlfn.XLOOKUP(Table1624[[#This Row],[Name]],Table2111216420212223[Name],Table2111216420212223[True Rank],"DNP",0,1)),"DNP")</f>
        <v>0.26300000000000001</v>
      </c>
      <c r="O17" s="26">
        <f>IFERROR(_xlfn.PERCENTRANK.INC(Table211121642021222325[True Rank],_xlfn.XLOOKUP(Table1624[[#This Row],[Name]],Table211121642021222325[Name],Table211121642021222325[True Rank],"DNP",0,1)),"DNP")</f>
        <v>7.5999999999999998E-2</v>
      </c>
      <c r="P17" s="26">
        <f>IFERROR(_xlfn.PERCENTRANK.INC(Table21112164202122232534[True Rank],_xlfn.XLOOKUP(Table1624[[#This Row],[Name]],Table21112164202122232534[Name],Table21112164202122232534[True Rank],"DNP",0,1)),"DNP")</f>
        <v>0.48299999999999998</v>
      </c>
      <c r="Q17" s="26">
        <f>IFERROR(_xlfn.PERCENTRANK.INC(Table2111216420212223253435[True Rank],_xlfn.XLOOKUP(Table1624[[#This Row],[Name]],Table2111216420212223253435[Name],Table2111216420212223253435[True Rank],"DNP",0,1)),"DNP")</f>
        <v>0.29299999999999998</v>
      </c>
      <c r="R17" s="26">
        <f>IFERROR(_xlfn.PERCENTRANK.INC(Table211121642021222325343536[True Rank],_xlfn.XLOOKUP(Table1624[[#This Row],[Name]],Table211121642021222325343536[Name],Table211121642021222325343536[True Rank],"DNP",0,1)),"DNP")</f>
        <v>0.13600000000000001</v>
      </c>
      <c r="S17" s="26">
        <f>IFERROR(_xlfn.PERCENTRANK.INC(Table21112164202122232534353637[True Rank],_xlfn.XLOOKUP(Table1624[[#This Row],[Name]],Table21112164202122232534353637[Name],Table21112164202122232534353637[True Rank],"DNP",0,1)),"DNP")</f>
        <v>0</v>
      </c>
      <c r="T17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</row>
    <row r="18" spans="2:33">
      <c r="B18" t="str">
        <f>IFERROR(Table5[[#This Row],[Full name]],"")</f>
        <v>Aidan Kwong</v>
      </c>
      <c r="C18" s="108">
        <f>IFERROR(AVERAGE(Table1624[[#This Row],[September 30, 2025]:[Column18]]),"N/A")</f>
        <v>0.36414285714285716</v>
      </c>
      <c r="D18" s="26">
        <f>IFERROR(_xlfn.PERCENTRANK.INC(Table4[True Rank],_xlfn.XLOOKUP(Table1624[[#This Row],[Name]],Table4[Name],Table4[True Rank],"DNP",0,1)),"DNP")</f>
        <v>6.4000000000000001E-2</v>
      </c>
      <c r="E18" s="26">
        <f>IFERROR(_xlfn.PERCENTRANK.INC(Table9[True Rank],_xlfn.XLOOKUP(Table1624[[#This Row],[Name]],Table9[Name],Table9[True Rank],"DNP",0,1)),"DNP")</f>
        <v>0.58599999999999997</v>
      </c>
      <c r="F18" s="26">
        <f>IFERROR(_xlfn.PERCENTRANK.INC(Table18[True Rank],_xlfn.XLOOKUP(Table1624[[#This Row],[Name]],Table18[Name],Table18[True Rank],"DNP",0,1)),"DNP")</f>
        <v>0.434</v>
      </c>
      <c r="G18" s="26">
        <f>IFERROR(_xlfn.PERCENTRANK.INC(Table2[True Rank],_xlfn.XLOOKUP(Table1624[[#This Row],[Name]],Table2[Name],Table2[True Rank],"DNP",0,1)),"DNP")</f>
        <v>0.11899999999999999</v>
      </c>
      <c r="H18" s="26" t="str">
        <f>IFERROR(_xlfn.PERCENTRANK.INC(Table211[True Rank],_xlfn.XLOOKUP(Table1624[[#This Row],[Name]],Table211[Name],Table211[True Rank],"DNP",0,1)),"DNP")</f>
        <v>DNP</v>
      </c>
      <c r="I18" s="26" t="str">
        <f>IFERROR(_xlfn.PERCENTRANK.INC(Table21112[True Rank],_xlfn.XLOOKUP(Table1624[[#This Row],[Name]],Table21112[Name],Table21112[True Rank],"DNP",0,1)),"DNP")</f>
        <v>DNP</v>
      </c>
      <c r="J18" s="26">
        <f>IFERROR(_xlfn.PERCENTRANK.INC(Table21112164[True Rank],_xlfn.XLOOKUP(Table1624[[#This Row],[Name]],Table21112164[Name],Table21112164[True Rank],"DNP",0,1)),"DNP")</f>
        <v>0.25800000000000001</v>
      </c>
      <c r="K18" s="26">
        <f>IFERROR(_xlfn.PERCENTRANK.INC(Table2111216420[True Rank],_xlfn.XLOOKUP(Table1624[[#This Row],[Name]],Table2111216420[Name],Table2111216420[True Rank],"DNP",0,1)),"DNP")</f>
        <v>0.32900000000000001</v>
      </c>
      <c r="L18" s="26">
        <f>IFERROR(_xlfn.PERCENTRANK.INC(Table211121642021[True Rank],_xlfn.XLOOKUP(Table1624[[#This Row],[Name]],Table211121642021[Name],Table211121642021[True Rank],"DNP",0,1)),"DNP")</f>
        <v>0.38700000000000001</v>
      </c>
      <c r="M18" s="26">
        <f>IFERROR(_xlfn.PERCENTRANK.INC(Table21112164202122[True Rank],_xlfn.XLOOKUP(Table1624[[#This Row],[Name]],Table21112164202122[Name],Table21112164202122[True Rank],"DNP",0,1)),"DNP")</f>
        <v>0.29499999999999998</v>
      </c>
      <c r="N18" s="26">
        <f>IFERROR(_xlfn.PERCENTRANK.INC(Table2111216420212223[True Rank],_xlfn.XLOOKUP(Table1624[[#This Row],[Name]],Table2111216420212223[Name],Table2111216420212223[True Rank],"DNP",0,1)),"DNP")</f>
        <v>0.20799999999999999</v>
      </c>
      <c r="O18" s="26">
        <f>IFERROR(_xlfn.PERCENTRANK.INC(Table211121642021222325[True Rank],_xlfn.XLOOKUP(Table1624[[#This Row],[Name]],Table211121642021222325[Name],Table211121642021222325[True Rank],"DNP",0,1)),"DNP")</f>
        <v>0.53800000000000003</v>
      </c>
      <c r="P18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18" s="26">
        <f>IFERROR(_xlfn.PERCENTRANK.INC(Table2111216420212223253435[True Rank],_xlfn.XLOOKUP(Table1624[[#This Row],[Name]],Table2111216420212223253435[Name],Table2111216420212223253435[True Rank],"DNP",0,1)),"DNP")</f>
        <v>0.48</v>
      </c>
      <c r="R18" s="26">
        <f>IFERROR(_xlfn.PERCENTRANK.INC(Table211121642021222325343536[True Rank],_xlfn.XLOOKUP(Table1624[[#This Row],[Name]],Table211121642021222325343536[Name],Table211121642021222325343536[True Rank],"DNP",0,1)),"DNP")</f>
        <v>0.72699999999999998</v>
      </c>
      <c r="S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" s="26">
        <f>IFERROR(_xlfn.PERCENTRANK.INC(Table2111216420212223253435363738[True Rank],_xlfn.XLOOKUP(Table1624[[#This Row],[Name]],Table2111216420212223253435363738[Name],Table2111216420212223253435363738[True Rank],"DNP",0,1)),"DNP")</f>
        <v>3.5999999999999997E-2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</row>
    <row r="19" spans="2:33">
      <c r="B19" t="str">
        <f>IFERROR(Table5[[#This Row],[Full name]],"")</f>
        <v>Eduard Zavedei</v>
      </c>
      <c r="C19" s="108">
        <f>IFERROR(AVERAGE(Table1624[[#This Row],[September 30, 2025]:[Column18]]),"N/A")</f>
        <v>0.78299999999999992</v>
      </c>
      <c r="D19" s="26" t="str">
        <f>IFERROR(_xlfn.PERCENTRANK.INC(Table4[True Rank],_xlfn.XLOOKUP(Table1624[[#This Row],[Name]],Table4[Name],Table4[True Rank],"DNP",0,1)),"DNP")</f>
        <v>DNP</v>
      </c>
      <c r="E19" s="26">
        <f>IFERROR(_xlfn.PERCENTRANK.INC(Table9[True Rank],_xlfn.XLOOKUP(Table1624[[#This Row],[Name]],Table9[Name],Table9[True Rank],"DNP",0,1)),"DNP")</f>
        <v>0.83899999999999997</v>
      </c>
      <c r="F19" s="26">
        <f>IFERROR(_xlfn.PERCENTRANK.INC(Table18[True Rank],_xlfn.XLOOKUP(Table1624[[#This Row],[Name]],Table18[Name],Table18[True Rank],"DNP",0,1)),"DNP")</f>
        <v>0.72699999999999998</v>
      </c>
      <c r="G19" s="26" t="str">
        <f>IFERROR(_xlfn.PERCENTRANK.INC(Table2[True Rank],_xlfn.XLOOKUP(Table1624[[#This Row],[Name]],Table2[Name],Table2[True Rank],"DNP",0,1)),"DNP")</f>
        <v>DNP</v>
      </c>
      <c r="H19" s="26" t="str">
        <f>IFERROR(_xlfn.PERCENTRANK.INC(Table211[True Rank],_xlfn.XLOOKUP(Table1624[[#This Row],[Name]],Table211[Name],Table211[True Rank],"DNP",0,1)),"DNP")</f>
        <v>DNP</v>
      </c>
      <c r="I19" s="26" t="str">
        <f>IFERROR(_xlfn.PERCENTRANK.INC(Table21112[True Rank],_xlfn.XLOOKUP(Table1624[[#This Row],[Name]],Table21112[Name],Table21112[True Rank],"DNP",0,1)),"DNP")</f>
        <v>DNP</v>
      </c>
      <c r="J19" s="26" t="str">
        <f>IFERROR(_xlfn.PERCENTRANK.INC(Table21112164[True Rank],_xlfn.XLOOKUP(Table1624[[#This Row],[Name]],Table21112164[Name],Table21112164[True Rank],"DNP",0,1)),"DNP")</f>
        <v>DNP</v>
      </c>
      <c r="K19" s="26" t="str">
        <f>IFERROR(_xlfn.PERCENTRANK.INC(Table2111216420[True Rank],_xlfn.XLOOKUP(Table1624[[#This Row],[Name]],Table2111216420[Name],Table2111216420[True Rank],"DNP",0,1)),"DNP")</f>
        <v>DNP</v>
      </c>
      <c r="L19" s="26" t="str">
        <f>IFERROR(_xlfn.PERCENTRANK.INC(Table211121642021[True Rank],_xlfn.XLOOKUP(Table1624[[#This Row],[Name]],Table211121642021[Name],Table211121642021[True Rank],"DNP",0,1)),"DNP")</f>
        <v>DNP</v>
      </c>
      <c r="M19" s="26" t="str">
        <f>IFERROR(_xlfn.PERCENTRANK.INC(Table21112164202122[True Rank],_xlfn.XLOOKUP(Table1624[[#This Row],[Name]],Table21112164202122[Name],Table21112164202122[True Rank],"DNP",0,1)),"DNP")</f>
        <v>DNP</v>
      </c>
      <c r="N19" s="26" t="str">
        <f>IFERROR(_xlfn.PERCENTRANK.INC(Table2111216420212223[True Rank],_xlfn.XLOOKUP(Table1624[[#This Row],[Name]],Table2111216420212223[Name],Table2111216420212223[True Rank],"DNP",0,1)),"DNP")</f>
        <v>DNP</v>
      </c>
      <c r="O19" s="26" t="str">
        <f>IFERROR(_xlfn.PERCENTRANK.INC(Table211121642021222325[True Rank],_xlfn.XLOOKUP(Table1624[[#This Row],[Name]],Table211121642021222325[Name],Table211121642021222325[True Rank],"DNP",0,1)),"DNP")</f>
        <v>DNP</v>
      </c>
      <c r="P19" s="26" t="str">
        <f>IFERROR(_xlfn.PERCENTRANK.INC(Table21112164202122232534[True Rank],_xlfn.XLOOKUP(Table1624[[#This Row],[Name]],Table21112164202122232534[Name],Table21112164202122232534[True Rank],"DNP",0,1)),"DNP")</f>
        <v>DNP</v>
      </c>
      <c r="Q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</row>
    <row r="20" spans="2:33">
      <c r="B20" t="str">
        <f>IFERROR(Table5[[#This Row],[Full name]],"")</f>
        <v>Ohemaa Acheampong</v>
      </c>
      <c r="C20" s="108">
        <f>IFERROR(AVERAGE(Table1624[[#This Row],[September 30, 2025]:[Column18]]),"N/A")</f>
        <v>0.92300000000000004</v>
      </c>
      <c r="D20" s="26" t="str">
        <f>IFERROR(_xlfn.PERCENTRANK.INC(Table4[True Rank],_xlfn.XLOOKUP(Table1624[[#This Row],[Name]],Table4[Name],Table4[True Rank],"DNP",0,1)),"DNP")</f>
        <v>DNP</v>
      </c>
      <c r="E20" s="26" t="str">
        <f>IFERROR(_xlfn.PERCENTRANK.INC(Table9[True Rank],_xlfn.XLOOKUP(Table1624[[#This Row],[Name]],Table9[Name],Table9[True Rank],"DNP",0,1)),"DNP")</f>
        <v>DNP</v>
      </c>
      <c r="F20" s="26" t="str">
        <f>IFERROR(_xlfn.PERCENTRANK.INC(Table18[True Rank],_xlfn.XLOOKUP(Table1624[[#This Row],[Name]],Table18[Name],Table18[True Rank],"DNP",0,1)),"DNP")</f>
        <v>DNP</v>
      </c>
      <c r="G20" s="26" t="str">
        <f>IFERROR(_xlfn.PERCENTRANK.INC(Table2[True Rank],_xlfn.XLOOKUP(Table1624[[#This Row],[Name]],Table2[Name],Table2[True Rank],"DNP",0,1)),"DNP")</f>
        <v>DNP</v>
      </c>
      <c r="H20" s="26" t="str">
        <f>IFERROR(_xlfn.PERCENTRANK.INC(Table211[True Rank],_xlfn.XLOOKUP(Table1624[[#This Row],[Name]],Table211[Name],Table211[True Rank],"DNP",0,1)),"DNP")</f>
        <v>DNP</v>
      </c>
      <c r="I20" s="26">
        <f>IFERROR(_xlfn.PERCENTRANK.INC(Table21112[True Rank],_xlfn.XLOOKUP(Table1624[[#This Row],[Name]],Table21112[Name],Table21112[True Rank],"DNP",0,1)),"DNP")</f>
        <v>0.92300000000000004</v>
      </c>
      <c r="J20" s="26" t="str">
        <f>IFERROR(_xlfn.PERCENTRANK.INC(Table21112164[True Rank],_xlfn.XLOOKUP(Table1624[[#This Row],[Name]],Table21112164[Name],Table21112164[True Rank],"DNP",0,1)),"DNP")</f>
        <v>DNP</v>
      </c>
      <c r="K20" s="26" t="str">
        <f>IFERROR(_xlfn.PERCENTRANK.INC(Table2111216420[True Rank],_xlfn.XLOOKUP(Table1624[[#This Row],[Name]],Table2111216420[Name],Table2111216420[True Rank],"DNP",0,1)),"DNP")</f>
        <v>DNP</v>
      </c>
      <c r="L20" s="26" t="str">
        <f>IFERROR(_xlfn.PERCENTRANK.INC(Table211121642021[True Rank],_xlfn.XLOOKUP(Table1624[[#This Row],[Name]],Table211121642021[Name],Table211121642021[True Rank],"DNP",0,1)),"DNP")</f>
        <v>DNP</v>
      </c>
      <c r="M20" s="26" t="str">
        <f>IFERROR(_xlfn.PERCENTRANK.INC(Table21112164202122[True Rank],_xlfn.XLOOKUP(Table1624[[#This Row],[Name]],Table21112164202122[Name],Table21112164202122[True Rank],"DNP",0,1)),"DNP")</f>
        <v>DNP</v>
      </c>
      <c r="N20" s="26" t="str">
        <f>IFERROR(_xlfn.PERCENTRANK.INC(Table2111216420212223[True Rank],_xlfn.XLOOKUP(Table1624[[#This Row],[Name]],Table2111216420212223[Name],Table2111216420212223[True Rank],"DNP",0,1)),"DNP")</f>
        <v>DNP</v>
      </c>
      <c r="O20" s="26" t="str">
        <f>IFERROR(_xlfn.PERCENTRANK.INC(Table211121642021222325[True Rank],_xlfn.XLOOKUP(Table1624[[#This Row],[Name]],Table211121642021222325[Name],Table211121642021222325[True Rank],"DNP",0,1)),"DNP")</f>
        <v>DNP</v>
      </c>
      <c r="P20" s="26" t="str">
        <f>IFERROR(_xlfn.PERCENTRANK.INC(Table21112164202122232534[True Rank],_xlfn.XLOOKUP(Table1624[[#This Row],[Name]],Table21112164202122232534[Name],Table21112164202122232534[True Rank],"DNP",0,1)),"DNP")</f>
        <v>DNP</v>
      </c>
      <c r="Q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</row>
    <row r="21" spans="2:33">
      <c r="B21" t="str">
        <f>IFERROR(Table5[[#This Row],[Full name]],"")</f>
        <v>Ben Bulyovsky</v>
      </c>
      <c r="C21" s="108">
        <f>IFERROR(AVERAGE(Table1624[[#This Row],[September 30, 2025]:[Column18]]),"N/A")</f>
        <v>0.57166666666666666</v>
      </c>
      <c r="D21" s="26">
        <f>IFERROR(_xlfn.PERCENTRANK.INC(Table4[True Rank],_xlfn.XLOOKUP(Table1624[[#This Row],[Name]],Table4[Name],Table4[True Rank],"DNP",0,1)),"DNP")</f>
        <v>0.32100000000000001</v>
      </c>
      <c r="E21" s="26" t="str">
        <f>IFERROR(_xlfn.PERCENTRANK.INC(Table9[True Rank],_xlfn.XLOOKUP(Table1624[[#This Row],[Name]],Table9[Name],Table9[True Rank],"DNP",0,1)),"DNP")</f>
        <v>DNP</v>
      </c>
      <c r="F21" s="26" t="str">
        <f>IFERROR(_xlfn.PERCENTRANK.INC(Table18[True Rank],_xlfn.XLOOKUP(Table1624[[#This Row],[Name]],Table18[Name],Table18[True Rank],"DNP",0,1)),"DNP")</f>
        <v>DNP</v>
      </c>
      <c r="G21" s="26">
        <f>IFERROR(_xlfn.PERCENTRANK.INC(Table2[True Rank],_xlfn.XLOOKUP(Table1624[[#This Row],[Name]],Table2[Name],Table2[True Rank],"DNP",0,1)),"DNP")</f>
        <v>0.53500000000000003</v>
      </c>
      <c r="H21" s="26">
        <f>IFERROR(_xlfn.PERCENTRANK.INC(Table211[True Rank],_xlfn.XLOOKUP(Table1624[[#This Row],[Name]],Table211[Name],Table211[True Rank],"DNP",0,1)),"DNP")</f>
        <v>0.85899999999999999</v>
      </c>
      <c r="I21" s="26" t="str">
        <f>IFERROR(_xlfn.PERCENTRANK.INC(Table21112[True Rank],_xlfn.XLOOKUP(Table1624[[#This Row],[Name]],Table21112[Name],Table21112[True Rank],"DNP",0,1)),"DNP")</f>
        <v>DNP</v>
      </c>
      <c r="J21" s="26" t="str">
        <f>IFERROR(_xlfn.PERCENTRANK.INC(Table21112164[True Rank],_xlfn.XLOOKUP(Table1624[[#This Row],[Name]],Table21112164[Name],Table21112164[True Rank],"DNP",0,1)),"DNP")</f>
        <v>DNP</v>
      </c>
      <c r="K21" s="26" t="str">
        <f>IFERROR(_xlfn.PERCENTRANK.INC(Table2111216420[True Rank],_xlfn.XLOOKUP(Table1624[[#This Row],[Name]],Table2111216420[Name],Table2111216420[True Rank],"DNP",0,1)),"DNP")</f>
        <v>DNP</v>
      </c>
      <c r="L21" s="26" t="str">
        <f>IFERROR(_xlfn.PERCENTRANK.INC(Table211121642021[True Rank],_xlfn.XLOOKUP(Table1624[[#This Row],[Name]],Table211121642021[Name],Table211121642021[True Rank],"DNP",0,1)),"DNP")</f>
        <v>DNP</v>
      </c>
      <c r="M21" s="26" t="str">
        <f>IFERROR(_xlfn.PERCENTRANK.INC(Table21112164202122[True Rank],_xlfn.XLOOKUP(Table1624[[#This Row],[Name]],Table21112164202122[Name],Table21112164202122[True Rank],"DNP",0,1)),"DNP")</f>
        <v>DNP</v>
      </c>
      <c r="N21" s="26" t="str">
        <f>IFERROR(_xlfn.PERCENTRANK.INC(Table2111216420212223[True Rank],_xlfn.XLOOKUP(Table1624[[#This Row],[Name]],Table2111216420212223[Name],Table2111216420212223[True Rank],"DNP",0,1)),"DNP")</f>
        <v>DNP</v>
      </c>
      <c r="O21" s="26" t="str">
        <f>IFERROR(_xlfn.PERCENTRANK.INC(Table211121642021222325[True Rank],_xlfn.XLOOKUP(Table1624[[#This Row],[Name]],Table211121642021222325[Name],Table211121642021222325[True Rank],"DNP",0,1)),"DNP")</f>
        <v>DNP</v>
      </c>
      <c r="P21" s="26" t="str">
        <f>IFERROR(_xlfn.PERCENTRANK.INC(Table21112164202122232534[True Rank],_xlfn.XLOOKUP(Table1624[[#This Row],[Name]],Table21112164202122232534[Name],Table21112164202122232534[True Rank],"DNP",0,1)),"DNP")</f>
        <v>DNP</v>
      </c>
      <c r="Q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</row>
    <row r="22" spans="2:33">
      <c r="B22" t="str">
        <f>IFERROR(Table5[[#This Row],[Full name]],"")</f>
        <v>Brock Suidgeest</v>
      </c>
      <c r="C22" s="108">
        <f>IFERROR(AVERAGE(Table1624[[#This Row],[September 30, 2025]:[Column18]]),"N/A")</f>
        <v>0.44375000000000003</v>
      </c>
      <c r="D22" s="26">
        <f>IFERROR(_xlfn.PERCENTRANK.INC(Table4[True Rank],_xlfn.XLOOKUP(Table1624[[#This Row],[Name]],Table4[Name],Table4[True Rank],"DNP",0,1)),"DNP")</f>
        <v>0.56799999999999995</v>
      </c>
      <c r="E22" s="26" t="str">
        <f>IFERROR(_xlfn.PERCENTRANK.INC(Table9[True Rank],_xlfn.XLOOKUP(Table1624[[#This Row],[Name]],Table9[Name],Table9[True Rank],"DNP",0,1)),"DNP")</f>
        <v>DNP</v>
      </c>
      <c r="F22" s="26" t="str">
        <f>IFERROR(_xlfn.PERCENTRANK.INC(Table18[True Rank],_xlfn.XLOOKUP(Table1624[[#This Row],[Name]],Table18[Name],Table18[True Rank],"DNP",0,1)),"DNP")</f>
        <v>DNP</v>
      </c>
      <c r="G22" s="26" t="str">
        <f>IFERROR(_xlfn.PERCENTRANK.INC(Table2[True Rank],_xlfn.XLOOKUP(Table1624[[#This Row],[Name]],Table2[Name],Table2[True Rank],"DNP",0,1)),"DNP")</f>
        <v>DNP</v>
      </c>
      <c r="H22" s="26" t="str">
        <f>IFERROR(_xlfn.PERCENTRANK.INC(Table211[True Rank],_xlfn.XLOOKUP(Table1624[[#This Row],[Name]],Table211[Name],Table211[True Rank],"DNP",0,1)),"DNP")</f>
        <v>DNP</v>
      </c>
      <c r="I22" s="26" t="str">
        <f>IFERROR(_xlfn.PERCENTRANK.INC(Table21112[True Rank],_xlfn.XLOOKUP(Table1624[[#This Row],[Name]],Table21112[Name],Table21112[True Rank],"DNP",0,1)),"DNP")</f>
        <v>DNP</v>
      </c>
      <c r="J22" s="26" t="str">
        <f>IFERROR(_xlfn.PERCENTRANK.INC(Table21112164[True Rank],_xlfn.XLOOKUP(Table1624[[#This Row],[Name]],Table21112164[Name],Table21112164[True Rank],"DNP",0,1)),"DNP")</f>
        <v>DNP</v>
      </c>
      <c r="K22" s="26" t="str">
        <f>IFERROR(_xlfn.PERCENTRANK.INC(Table2111216420[True Rank],_xlfn.XLOOKUP(Table1624[[#This Row],[Name]],Table2111216420[Name],Table2111216420[True Rank],"DNP",0,1)),"DNP")</f>
        <v>DNP</v>
      </c>
      <c r="L22" s="26">
        <f>IFERROR(_xlfn.PERCENTRANK.INC(Table211121642021[True Rank],_xlfn.XLOOKUP(Table1624[[#This Row],[Name]],Table211121642021[Name],Table211121642021[True Rank],"DNP",0,1)),"DNP")</f>
        <v>0.17199999999999999</v>
      </c>
      <c r="M22" s="26" t="str">
        <f>IFERROR(_xlfn.PERCENTRANK.INC(Table21112164202122[True Rank],_xlfn.XLOOKUP(Table1624[[#This Row],[Name]],Table21112164202122[Name],Table21112164202122[True Rank],"DNP",0,1)),"DNP")</f>
        <v>DNP</v>
      </c>
      <c r="N22" s="26" t="str">
        <f>IFERROR(_xlfn.PERCENTRANK.INC(Table2111216420212223[True Rank],_xlfn.XLOOKUP(Table1624[[#This Row],[Name]],Table2111216420212223[Name],Table2111216420212223[True Rank],"DNP",0,1)),"DNP")</f>
        <v>DNP</v>
      </c>
      <c r="O22" s="26">
        <f>IFERROR(_xlfn.PERCENTRANK.INC(Table211121642021222325[True Rank],_xlfn.XLOOKUP(Table1624[[#This Row],[Name]],Table211121642021222325[Name],Table211121642021222325[True Rank],"DNP",0,1)),"DNP")</f>
        <v>0.94499999999999995</v>
      </c>
      <c r="P22" s="26" t="str">
        <f>IFERROR(_xlfn.PERCENTRANK.INC(Table21112164202122232534[True Rank],_xlfn.XLOOKUP(Table1624[[#This Row],[Name]],Table21112164202122232534[Name],Table21112164202122232534[True Rank],"DNP",0,1)),"DNP")</f>
        <v>DNP</v>
      </c>
      <c r="Q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" s="26">
        <f>IFERROR(_xlfn.PERCENTRANK.INC(Table2111216420212223253435363738[True Rank],_xlfn.XLOOKUP(Table1624[[#This Row],[Name]],Table2111216420212223253435363738[Name],Table2111216420212223253435363738[True Rank],"DNP",0,1)),"DNP")</f>
        <v>0.09</v>
      </c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2:33">
      <c r="B23" t="str">
        <f>IFERROR(Table5[[#This Row],[Full name]],"")</f>
        <v>Cyrus Bechtold</v>
      </c>
      <c r="C23" s="108">
        <f>IFERROR(AVERAGE(Table1624[[#This Row],[September 30, 2025]:[Column18]]),"N/A")</f>
        <v>0.4976666666666667</v>
      </c>
      <c r="D23" s="26" t="str">
        <f>IFERROR(_xlfn.PERCENTRANK.INC(Table4[True Rank],_xlfn.XLOOKUP(Table1624[[#This Row],[Name]],Table4[Name],Table4[True Rank],"DNP",0,1)),"DNP")</f>
        <v>DNP</v>
      </c>
      <c r="E23" s="26">
        <f>IFERROR(_xlfn.PERCENTRANK.INC(Table9[True Rank],_xlfn.XLOOKUP(Table1624[[#This Row],[Name]],Table9[Name],Table9[True Rank],"DNP",0,1)),"DNP")</f>
        <v>0.48199999999999998</v>
      </c>
      <c r="F23" s="26">
        <f>IFERROR(_xlfn.PERCENTRANK.INC(Table18[True Rank],_xlfn.XLOOKUP(Table1624[[#This Row],[Name]],Table18[Name],Table18[True Rank],"DNP",0,1)),"DNP")</f>
        <v>0.35299999999999998</v>
      </c>
      <c r="G23" s="26" t="str">
        <f>IFERROR(_xlfn.PERCENTRANK.INC(Table2[True Rank],_xlfn.XLOOKUP(Table1624[[#This Row],[Name]],Table2[Name],Table2[True Rank],"DNP",0,1)),"DNP")</f>
        <v>DNP</v>
      </c>
      <c r="H23" s="26" t="str">
        <f>IFERROR(_xlfn.PERCENTRANK.INC(Table211[True Rank],_xlfn.XLOOKUP(Table1624[[#This Row],[Name]],Table211[Name],Table211[True Rank],"DNP",0,1)),"DNP")</f>
        <v>DNP</v>
      </c>
      <c r="I23" s="26">
        <f>IFERROR(_xlfn.PERCENTRANK.INC(Table21112[True Rank],_xlfn.XLOOKUP(Table1624[[#This Row],[Name]],Table21112[Name],Table21112[True Rank],"DNP",0,1)),"DNP")</f>
        <v>0.67900000000000005</v>
      </c>
      <c r="J23" s="26" t="str">
        <f>IFERROR(_xlfn.PERCENTRANK.INC(Table21112164[True Rank],_xlfn.XLOOKUP(Table1624[[#This Row],[Name]],Table21112164[Name],Table21112164[True Rank],"DNP",0,1)),"DNP")</f>
        <v>DNP</v>
      </c>
      <c r="K23" s="26">
        <f>IFERROR(_xlfn.PERCENTRANK.INC(Table2111216420[True Rank],_xlfn.XLOOKUP(Table1624[[#This Row],[Name]],Table2111216420[Name],Table2111216420[True Rank],"DNP",0,1)),"DNP")</f>
        <v>0.31900000000000001</v>
      </c>
      <c r="L23" s="26" t="str">
        <f>IFERROR(_xlfn.PERCENTRANK.INC(Table211121642021[True Rank],_xlfn.XLOOKUP(Table1624[[#This Row],[Name]],Table211121642021[Name],Table211121642021[True Rank],"DNP",0,1)),"DNP")</f>
        <v>DNP</v>
      </c>
      <c r="M23" s="26" t="str">
        <f>IFERROR(_xlfn.PERCENTRANK.INC(Table21112164202122[True Rank],_xlfn.XLOOKUP(Table1624[[#This Row],[Name]],Table21112164202122[Name],Table21112164202122[True Rank],"DNP",0,1)),"DNP")</f>
        <v>DNP</v>
      </c>
      <c r="N23" s="26">
        <f>IFERROR(_xlfn.PERCENTRANK.INC(Table2111216420212223[True Rank],_xlfn.XLOOKUP(Table1624[[#This Row],[Name]],Table2111216420212223[Name],Table2111216420212223[True Rank],"DNP",0,1)),"DNP")</f>
        <v>0.82399999999999995</v>
      </c>
      <c r="O23" s="26">
        <f>IFERROR(_xlfn.PERCENTRANK.INC(Table211121642021222325[True Rank],_xlfn.XLOOKUP(Table1624[[#This Row],[Name]],Table211121642021222325[Name],Table211121642021222325[True Rank],"DNP",0,1)),"DNP")</f>
        <v>0.72499999999999998</v>
      </c>
      <c r="P23" s="26">
        <f>IFERROR(_xlfn.PERCENTRANK.INC(Table21112164202122232534[True Rank],_xlfn.XLOOKUP(Table1624[[#This Row],[Name]],Table21112164202122232534[Name],Table21112164202122232534[True Rank],"DNP",0,1)),"DNP")</f>
        <v>4.2999999999999997E-2</v>
      </c>
      <c r="Q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" s="26">
        <f>IFERROR(_xlfn.PERCENTRANK.INC(Table211121642021222325343536[True Rank],_xlfn.XLOOKUP(Table1624[[#This Row],[Name]],Table211121642021222325343536[Name],Table211121642021222325343536[True Rank],"DNP",0,1)),"DNP")</f>
        <v>0.45400000000000001</v>
      </c>
      <c r="S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" s="26">
        <f>IFERROR(_xlfn.PERCENTRANK.INC(Table2111216420212223253435363738[True Rank],_xlfn.XLOOKUP(Table1624[[#This Row],[Name]],Table2111216420212223253435363738[Name],Table2111216420212223253435363738[True Rank],"DNP",0,1)),"DNP")</f>
        <v>0.6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2:33">
      <c r="B24" t="str">
        <f>IFERROR(Table5[[#This Row],[Full name]],"")</f>
        <v>Jillian Ouyang</v>
      </c>
      <c r="C24" s="108">
        <f>IFERROR(AVERAGE(Table1624[[#This Row],[September 30, 2025]:[Column18]]),"N/A")</f>
        <v>0.61716666666666664</v>
      </c>
      <c r="D24" s="26">
        <f>IFERROR(_xlfn.PERCENTRANK.INC(Table4[True Rank],_xlfn.XLOOKUP(Table1624[[#This Row],[Name]],Table4[Name],Table4[True Rank],"DNP",0,1)),"DNP")</f>
        <v>0.78800000000000003</v>
      </c>
      <c r="E24" s="26" t="str">
        <f>IFERROR(_xlfn.PERCENTRANK.INC(Table9[True Rank],_xlfn.XLOOKUP(Table1624[[#This Row],[Name]],Table9[Name],Table9[True Rank],"DNP",0,1)),"DNP")</f>
        <v>DNP</v>
      </c>
      <c r="F24" s="26">
        <f>IFERROR(_xlfn.PERCENTRANK.INC(Table18[True Rank],_xlfn.XLOOKUP(Table1624[[#This Row],[Name]],Table18[Name],Table18[True Rank],"DNP",0,1)),"DNP")</f>
        <v>0.434</v>
      </c>
      <c r="G24" s="26" t="str">
        <f>IFERROR(_xlfn.PERCENTRANK.INC(Table2[True Rank],_xlfn.XLOOKUP(Table1624[[#This Row],[Name]],Table2[Name],Table2[True Rank],"DNP",0,1)),"DNP")</f>
        <v>DNP</v>
      </c>
      <c r="H24" s="26">
        <f>IFERROR(_xlfn.PERCENTRANK.INC(Table211[True Rank],_xlfn.XLOOKUP(Table1624[[#This Row],[Name]],Table211[Name],Table211[True Rank],"DNP",0,1)),"DNP")</f>
        <v>0.92900000000000005</v>
      </c>
      <c r="I24" s="26" t="str">
        <f>IFERROR(_xlfn.PERCENTRANK.INC(Table21112[True Rank],_xlfn.XLOOKUP(Table1624[[#This Row],[Name]],Table21112[Name],Table21112[True Rank],"DNP",0,1)),"DNP")</f>
        <v>DNP</v>
      </c>
      <c r="J24" s="26" t="str">
        <f>IFERROR(_xlfn.PERCENTRANK.INC(Table21112164[True Rank],_xlfn.XLOOKUP(Table1624[[#This Row],[Name]],Table21112164[Name],Table21112164[True Rank],"DNP",0,1)),"DNP")</f>
        <v>DNP</v>
      </c>
      <c r="K24" s="26" t="str">
        <f>IFERROR(_xlfn.PERCENTRANK.INC(Table2111216420[True Rank],_xlfn.XLOOKUP(Table1624[[#This Row],[Name]],Table2111216420[Name],Table2111216420[True Rank],"DNP",0,1)),"DNP")</f>
        <v>DNP</v>
      </c>
      <c r="L24" s="26" t="str">
        <f>IFERROR(_xlfn.PERCENTRANK.INC(Table211121642021[True Rank],_xlfn.XLOOKUP(Table1624[[#This Row],[Name]],Table211121642021[Name],Table211121642021[True Rank],"DNP",0,1)),"DNP")</f>
        <v>DNP</v>
      </c>
      <c r="M24" s="26">
        <f>IFERROR(_xlfn.PERCENTRANK.INC(Table21112164202122[True Rank],_xlfn.XLOOKUP(Table1624[[#This Row],[Name]],Table21112164202122[Name],Table21112164202122[True Rank],"DNP",0,1)),"DNP")</f>
        <v>0.42</v>
      </c>
      <c r="N24" s="26" t="str">
        <f>IFERROR(_xlfn.PERCENTRANK.INC(Table2111216420212223[True Rank],_xlfn.XLOOKUP(Table1624[[#This Row],[Name]],Table2111216420212223[Name],Table2111216420212223[True Rank],"DNP",0,1)),"DNP")</f>
        <v>DNP</v>
      </c>
      <c r="O24" s="26">
        <f>IFERROR(_xlfn.PERCENTRANK.INC(Table211121642021222325[True Rank],_xlfn.XLOOKUP(Table1624[[#This Row],[Name]],Table211121642021222325[Name],Table211121642021222325[True Rank],"DNP",0,1)),"DNP")</f>
        <v>0.439</v>
      </c>
      <c r="P24" s="26" t="str">
        <f>IFERROR(_xlfn.PERCENTRANK.INC(Table21112164202122232534[True Rank],_xlfn.XLOOKUP(Table1624[[#This Row],[Name]],Table21112164202122232534[Name],Table21112164202122232534[True Rank],"DNP",0,1)),"DNP")</f>
        <v>DNP</v>
      </c>
      <c r="Q24" s="26">
        <f>IFERROR(_xlfn.PERCENTRANK.INC(Table2111216420212223253435[True Rank],_xlfn.XLOOKUP(Table1624[[#This Row],[Name]],Table2111216420212223253435[Name],Table2111216420212223253435[True Rank],"DNP",0,1)),"DNP")</f>
        <v>0.69299999999999995</v>
      </c>
      <c r="R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</row>
    <row r="25" spans="2:33">
      <c r="B25" t="str">
        <f>IFERROR(Table5[[#This Row],[Full name]],"")</f>
        <v>Rohan Mandi</v>
      </c>
      <c r="C25" s="108">
        <f>IFERROR(AVERAGE(Table1624[[#This Row],[September 30, 2025]:[Column18]]),"N/A")</f>
        <v>0.37957142857142856</v>
      </c>
      <c r="D25" s="26" t="str">
        <f>IFERROR(_xlfn.PERCENTRANK.INC(Table4[True Rank],_xlfn.XLOOKUP(Table1624[[#This Row],[Name]],Table4[Name],Table4[True Rank],"DNP",0,1)),"DNP")</f>
        <v>DNP</v>
      </c>
      <c r="E25" s="26">
        <f>IFERROR(_xlfn.PERCENTRANK.INC(Table9[True Rank],_xlfn.XLOOKUP(Table1624[[#This Row],[Name]],Table9[Name],Table9[True Rank],"DNP",0,1)),"DNP")</f>
        <v>0.44800000000000001</v>
      </c>
      <c r="F25" s="26" t="str">
        <f>IFERROR(_xlfn.PERCENTRANK.INC(Table18[True Rank],_xlfn.XLOOKUP(Table1624[[#This Row],[Name]],Table18[Name],Table18[True Rank],"DNP",0,1)),"DNP")</f>
        <v>DNP</v>
      </c>
      <c r="G25" s="26">
        <f>IFERROR(_xlfn.PERCENTRANK.INC(Table2[True Rank],_xlfn.XLOOKUP(Table1624[[#This Row],[Name]],Table2[Name],Table2[True Rank],"DNP",0,1)),"DNP")</f>
        <v>0.23799999999999999</v>
      </c>
      <c r="H25" s="26" t="str">
        <f>IFERROR(_xlfn.PERCENTRANK.INC(Table211[True Rank],_xlfn.XLOOKUP(Table1624[[#This Row],[Name]],Table211[Name],Table211[True Rank],"DNP",0,1)),"DNP")</f>
        <v>DNP</v>
      </c>
      <c r="I25" s="26">
        <f>IFERROR(_xlfn.PERCENTRANK.INC(Table21112[True Rank],_xlfn.XLOOKUP(Table1624[[#This Row],[Name]],Table21112[Name],Table21112[True Rank],"DNP",0,1)),"DNP")</f>
        <v>0.55100000000000005</v>
      </c>
      <c r="J25" s="26" t="str">
        <f>IFERROR(_xlfn.PERCENTRANK.INC(Table21112164[True Rank],_xlfn.XLOOKUP(Table1624[[#This Row],[Name]],Table21112164[Name],Table21112164[True Rank],"DNP",0,1)),"DNP")</f>
        <v>DNP</v>
      </c>
      <c r="K25" s="26">
        <f>IFERROR(_xlfn.PERCENTRANK.INC(Table2111216420[True Rank],_xlfn.XLOOKUP(Table1624[[#This Row],[Name]],Table2111216420[Name],Table2111216420[True Rank],"DNP",0,1)),"DNP")</f>
        <v>0.59499999999999997</v>
      </c>
      <c r="L25" s="26" t="str">
        <f>IFERROR(_xlfn.PERCENTRANK.INC(Table211121642021[True Rank],_xlfn.XLOOKUP(Table1624[[#This Row],[Name]],Table211121642021[Name],Table211121642021[True Rank],"DNP",0,1)),"DNP")</f>
        <v>DNP</v>
      </c>
      <c r="M25" s="26">
        <f>IFERROR(_xlfn.PERCENTRANK.INC(Table21112164202122[True Rank],_xlfn.XLOOKUP(Table1624[[#This Row],[Name]],Table21112164202122[Name],Table21112164202122[True Rank],"DNP",0,1)),"DNP")</f>
        <v>0.215</v>
      </c>
      <c r="N25" s="26" t="str">
        <f>IFERROR(_xlfn.PERCENTRANK.INC(Table2111216420212223[True Rank],_xlfn.XLOOKUP(Table1624[[#This Row],[Name]],Table2111216420212223[Name],Table2111216420212223[True Rank],"DNP",0,1)),"DNP")</f>
        <v>DNP</v>
      </c>
      <c r="O25" s="26" t="str">
        <f>IFERROR(_xlfn.PERCENTRANK.INC(Table211121642021222325[True Rank],_xlfn.XLOOKUP(Table1624[[#This Row],[Name]],Table211121642021222325[Name],Table211121642021222325[True Rank],"DNP",0,1)),"DNP")</f>
        <v>DNP</v>
      </c>
      <c r="P25" s="26">
        <f>IFERROR(_xlfn.PERCENTRANK.INC(Table21112164202122232534[True Rank],_xlfn.XLOOKUP(Table1624[[#This Row],[Name]],Table21112164202122232534[Name],Table21112164202122232534[True Rank],"DNP",0,1)),"DNP")</f>
        <v>0.38400000000000001</v>
      </c>
      <c r="Q25" s="26">
        <f>IFERROR(_xlfn.PERCENTRANK.INC(Table2111216420212223253435[True Rank],_xlfn.XLOOKUP(Table1624[[#This Row],[Name]],Table2111216420212223253435[Name],Table2111216420212223253435[True Rank],"DNP",0,1)),"DNP")</f>
        <v>0.22600000000000001</v>
      </c>
      <c r="R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</row>
    <row r="26" spans="2:33">
      <c r="B26" t="str">
        <f>IFERROR(Table5[[#This Row],[Full name]],"")</f>
        <v>Ethan Kim</v>
      </c>
      <c r="C26" s="108">
        <f>IFERROR(AVERAGE(Table1624[[#This Row],[September 30, 2025]:[Column18]]),"N/A")</f>
        <v>0.752</v>
      </c>
      <c r="D26" s="26" t="str">
        <f>IFERROR(_xlfn.PERCENTRANK.INC(Table4[True Rank],_xlfn.XLOOKUP(Table1624[[#This Row],[Name]],Table4[Name],Table4[True Rank],"DNP",0,1)),"DNP")</f>
        <v>DNP</v>
      </c>
      <c r="E26" s="26" t="str">
        <f>IFERROR(_xlfn.PERCENTRANK.INC(Table9[True Rank],_xlfn.XLOOKUP(Table1624[[#This Row],[Name]],Table9[Name],Table9[True Rank],"DNP",0,1)),"DNP")</f>
        <v>DNP</v>
      </c>
      <c r="F26" s="26" t="str">
        <f>IFERROR(_xlfn.PERCENTRANK.INC(Table18[True Rank],_xlfn.XLOOKUP(Table1624[[#This Row],[Name]],Table18[Name],Table18[True Rank],"DNP",0,1)),"DNP")</f>
        <v>DNP</v>
      </c>
      <c r="G26" s="26" t="str">
        <f>IFERROR(_xlfn.PERCENTRANK.INC(Table2[True Rank],_xlfn.XLOOKUP(Table1624[[#This Row],[Name]],Table2[Name],Table2[True Rank],"DNP",0,1)),"DNP")</f>
        <v>DNP</v>
      </c>
      <c r="H26" s="26" t="str">
        <f>IFERROR(_xlfn.PERCENTRANK.INC(Table211[True Rank],_xlfn.XLOOKUP(Table1624[[#This Row],[Name]],Table211[Name],Table211[True Rank],"DNP",0,1)),"DNP")</f>
        <v>DNP</v>
      </c>
      <c r="I26" s="26" t="str">
        <f>IFERROR(_xlfn.PERCENTRANK.INC(Table21112[True Rank],_xlfn.XLOOKUP(Table1624[[#This Row],[Name]],Table21112[Name],Table21112[True Rank],"DNP",0,1)),"DNP")</f>
        <v>DNP</v>
      </c>
      <c r="J26" s="26">
        <f>IFERROR(_xlfn.PERCENTRANK.INC(Table21112164[True Rank],_xlfn.XLOOKUP(Table1624[[#This Row],[Name]],Table21112164[Name],Table21112164[True Rank],"DNP",0,1)),"DNP")</f>
        <v>0.752</v>
      </c>
      <c r="K26" s="26" t="str">
        <f>IFERROR(_xlfn.PERCENTRANK.INC(Table2111216420[True Rank],_xlfn.XLOOKUP(Table1624[[#This Row],[Name]],Table2111216420[Name],Table2111216420[True Rank],"DNP",0,1)),"DNP")</f>
        <v>DNP</v>
      </c>
      <c r="L26" s="26" t="str">
        <f>IFERROR(_xlfn.PERCENTRANK.INC(Table211121642021[True Rank],_xlfn.XLOOKUP(Table1624[[#This Row],[Name]],Table211121642021[Name],Table211121642021[True Rank],"DNP",0,1)),"DNP")</f>
        <v>DNP</v>
      </c>
      <c r="M26" s="26" t="str">
        <f>IFERROR(_xlfn.PERCENTRANK.INC(Table21112164202122[True Rank],_xlfn.XLOOKUP(Table1624[[#This Row],[Name]],Table21112164202122[Name],Table21112164202122[True Rank],"DNP",0,1)),"DNP")</f>
        <v>DNP</v>
      </c>
      <c r="N26" s="26" t="str">
        <f>IFERROR(_xlfn.PERCENTRANK.INC(Table2111216420212223[True Rank],_xlfn.XLOOKUP(Table1624[[#This Row],[Name]],Table2111216420212223[Name],Table2111216420212223[True Rank],"DNP",0,1)),"DNP")</f>
        <v>DNP</v>
      </c>
      <c r="O26" s="26" t="str">
        <f>IFERROR(_xlfn.PERCENTRANK.INC(Table211121642021222325[True Rank],_xlfn.XLOOKUP(Table1624[[#This Row],[Name]],Table211121642021222325[Name],Table211121642021222325[True Rank],"DNP",0,1)),"DNP")</f>
        <v>DNP</v>
      </c>
      <c r="P26" s="26" t="str">
        <f>IFERROR(_xlfn.PERCENTRANK.INC(Table21112164202122232534[True Rank],_xlfn.XLOOKUP(Table1624[[#This Row],[Name]],Table21112164202122232534[Name],Table21112164202122232534[True Rank],"DNP",0,1)),"DNP")</f>
        <v>DNP</v>
      </c>
      <c r="Q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</row>
    <row r="27" spans="2:33">
      <c r="B27" t="str">
        <f>IFERROR(Table5[[#This Row],[Full name]],"")</f>
        <v>Kyler See</v>
      </c>
      <c r="C27" s="108">
        <f>IFERROR(AVERAGE(Table1624[[#This Row],[September 30, 2025]:[Column18]]),"N/A")</f>
        <v>0.45300000000000001</v>
      </c>
      <c r="D27" s="26">
        <f>IFERROR(_xlfn.PERCENTRANK.INC(Table4[True Rank],_xlfn.XLOOKUP(Table1624[[#This Row],[Name]],Table4[Name],Table4[True Rank],"DNP",0,1)),"DNP")</f>
        <v>0.35699999999999998</v>
      </c>
      <c r="E27" s="26" t="str">
        <f>IFERROR(_xlfn.PERCENTRANK.INC(Table9[True Rank],_xlfn.XLOOKUP(Table1624[[#This Row],[Name]],Table9[Name],Table9[True Rank],"DNP",0,1)),"DNP")</f>
        <v>DNP</v>
      </c>
      <c r="F27" s="26" t="str">
        <f>IFERROR(_xlfn.PERCENTRANK.INC(Table18[True Rank],_xlfn.XLOOKUP(Table1624[[#This Row],[Name]],Table18[Name],Table18[True Rank],"DNP",0,1)),"DNP")</f>
        <v>DNP</v>
      </c>
      <c r="G27" s="26" t="str">
        <f>IFERROR(_xlfn.PERCENTRANK.INC(Table2[True Rank],_xlfn.XLOOKUP(Table1624[[#This Row],[Name]],Table2[Name],Table2[True Rank],"DNP",0,1)),"DNP")</f>
        <v>DNP</v>
      </c>
      <c r="H27" s="26">
        <f>IFERROR(_xlfn.PERCENTRANK.INC(Table211[True Rank],_xlfn.XLOOKUP(Table1624[[#This Row],[Name]],Table211[Name],Table211[True Rank],"DNP",0,1)),"DNP")</f>
        <v>0.54900000000000004</v>
      </c>
      <c r="I27" s="26" t="str">
        <f>IFERROR(_xlfn.PERCENTRANK.INC(Table21112[True Rank],_xlfn.XLOOKUP(Table1624[[#This Row],[Name]],Table21112[Name],Table21112[True Rank],"DNP",0,1)),"DNP")</f>
        <v>DNP</v>
      </c>
      <c r="J27" s="26" t="str">
        <f>IFERROR(_xlfn.PERCENTRANK.INC(Table21112164[True Rank],_xlfn.XLOOKUP(Table1624[[#This Row],[Name]],Table21112164[Name],Table21112164[True Rank],"DNP",0,1)),"DNP")</f>
        <v>DNP</v>
      </c>
      <c r="K27" s="26" t="str">
        <f>IFERROR(_xlfn.PERCENTRANK.INC(Table2111216420[True Rank],_xlfn.XLOOKUP(Table1624[[#This Row],[Name]],Table2111216420[Name],Table2111216420[True Rank],"DNP",0,1)),"DNP")</f>
        <v>DNP</v>
      </c>
      <c r="L27" s="26" t="str">
        <f>IFERROR(_xlfn.PERCENTRANK.INC(Table211121642021[True Rank],_xlfn.XLOOKUP(Table1624[[#This Row],[Name]],Table211121642021[Name],Table211121642021[True Rank],"DNP",0,1)),"DNP")</f>
        <v>DNP</v>
      </c>
      <c r="M27" s="26" t="str">
        <f>IFERROR(_xlfn.PERCENTRANK.INC(Table21112164202122[True Rank],_xlfn.XLOOKUP(Table1624[[#This Row],[Name]],Table21112164202122[Name],Table21112164202122[True Rank],"DNP",0,1)),"DNP")</f>
        <v>DNP</v>
      </c>
      <c r="N27" s="26" t="str">
        <f>IFERROR(_xlfn.PERCENTRANK.INC(Table2111216420212223[True Rank],_xlfn.XLOOKUP(Table1624[[#This Row],[Name]],Table2111216420212223[Name],Table2111216420212223[True Rank],"DNP",0,1)),"DNP")</f>
        <v>DNP</v>
      </c>
      <c r="O27" s="26" t="str">
        <f>IFERROR(_xlfn.PERCENTRANK.INC(Table211121642021222325[True Rank],_xlfn.XLOOKUP(Table1624[[#This Row],[Name]],Table211121642021222325[Name],Table211121642021222325[True Rank],"DNP",0,1)),"DNP")</f>
        <v>DNP</v>
      </c>
      <c r="P27" s="26" t="str">
        <f>IFERROR(_xlfn.PERCENTRANK.INC(Table21112164202122232534[True Rank],_xlfn.XLOOKUP(Table1624[[#This Row],[Name]],Table21112164202122232534[Name],Table21112164202122232534[True Rank],"DNP",0,1)),"DNP")</f>
        <v>DNP</v>
      </c>
      <c r="Q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</row>
    <row r="28" spans="2:33">
      <c r="B28" t="str">
        <f>IFERROR(Table5[[#This Row],[Full name]],"")</f>
        <v>Aaron Kara</v>
      </c>
      <c r="C28" s="108">
        <f>IFERROR(AVERAGE(Table1624[[#This Row],[September 30, 2025]:[Column18]]),"N/A")</f>
        <v>0.51133333333333331</v>
      </c>
      <c r="D28" s="26">
        <f>IFERROR(_xlfn.PERCENTRANK.INC(Table4[True Rank],_xlfn.XLOOKUP(Table1624[[#This Row],[Name]],Table4[Name],Table4[True Rank],"DNP",0,1)),"DNP")</f>
        <v>0.78800000000000003</v>
      </c>
      <c r="E28" s="26">
        <f>IFERROR(_xlfn.PERCENTRANK.INC(Table9[True Rank],_xlfn.XLOOKUP(Table1624[[#This Row],[Name]],Table9[Name],Table9[True Rank],"DNP",0,1)),"DNP")</f>
        <v>0.24099999999999999</v>
      </c>
      <c r="F28" s="26">
        <f>IFERROR(_xlfn.PERCENTRANK.INC(Table18[True Rank],_xlfn.XLOOKUP(Table1624[[#This Row],[Name]],Table18[Name],Table18[True Rank],"DNP",0,1)),"DNP")</f>
        <v>0.505</v>
      </c>
      <c r="G28" s="26" t="str">
        <f>IFERROR(_xlfn.PERCENTRANK.INC(Table2[True Rank],_xlfn.XLOOKUP(Table1624[[#This Row],[Name]],Table2[Name],Table2[True Rank],"DNP",0,1)),"DNP")</f>
        <v>DNP</v>
      </c>
      <c r="H28" s="26" t="str">
        <f>IFERROR(_xlfn.PERCENTRANK.INC(Table211[True Rank],_xlfn.XLOOKUP(Table1624[[#This Row],[Name]],Table211[Name],Table211[True Rank],"DNP",0,1)),"DNP")</f>
        <v>DNP</v>
      </c>
      <c r="I28" s="26" t="str">
        <f>IFERROR(_xlfn.PERCENTRANK.INC(Table21112[True Rank],_xlfn.XLOOKUP(Table1624[[#This Row],[Name]],Table21112[Name],Table21112[True Rank],"DNP",0,1)),"DNP")</f>
        <v>DNP</v>
      </c>
      <c r="J28" s="26" t="str">
        <f>IFERROR(_xlfn.PERCENTRANK.INC(Table21112164[True Rank],_xlfn.XLOOKUP(Table1624[[#This Row],[Name]],Table21112164[Name],Table21112164[True Rank],"DNP",0,1)),"DNP")</f>
        <v>DNP</v>
      </c>
      <c r="K28" s="26" t="str">
        <f>IFERROR(_xlfn.PERCENTRANK.INC(Table2111216420[True Rank],_xlfn.XLOOKUP(Table1624[[#This Row],[Name]],Table2111216420[Name],Table2111216420[True Rank],"DNP",0,1)),"DNP")</f>
        <v>DNP</v>
      </c>
      <c r="L28" s="26" t="str">
        <f>IFERROR(_xlfn.PERCENTRANK.INC(Table211121642021[True Rank],_xlfn.XLOOKUP(Table1624[[#This Row],[Name]],Table211121642021[Name],Table211121642021[True Rank],"DNP",0,1)),"DNP")</f>
        <v>DNP</v>
      </c>
      <c r="M28" s="26" t="str">
        <f>IFERROR(_xlfn.PERCENTRANK.INC(Table21112164202122[True Rank],_xlfn.XLOOKUP(Table1624[[#This Row],[Name]],Table21112164202122[Name],Table21112164202122[True Rank],"DNP",0,1)),"DNP")</f>
        <v>DNP</v>
      </c>
      <c r="N28" s="26" t="str">
        <f>IFERROR(_xlfn.PERCENTRANK.INC(Table2111216420212223[True Rank],_xlfn.XLOOKUP(Table1624[[#This Row],[Name]],Table2111216420212223[Name],Table2111216420212223[True Rank],"DNP",0,1)),"DNP")</f>
        <v>DNP</v>
      </c>
      <c r="O28" s="26" t="str">
        <f>IFERROR(_xlfn.PERCENTRANK.INC(Table211121642021222325[True Rank],_xlfn.XLOOKUP(Table1624[[#This Row],[Name]],Table211121642021222325[Name],Table211121642021222325[True Rank],"DNP",0,1)),"DNP")</f>
        <v>DNP</v>
      </c>
      <c r="P28" s="26" t="str">
        <f>IFERROR(_xlfn.PERCENTRANK.INC(Table21112164202122232534[True Rank],_xlfn.XLOOKUP(Table1624[[#This Row],[Name]],Table21112164202122232534[Name],Table21112164202122232534[True Rank],"DNP",0,1)),"DNP")</f>
        <v>DNP</v>
      </c>
      <c r="Q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</row>
    <row r="29" spans="2:33">
      <c r="B29" t="str">
        <f>IFERROR(Table5[[#This Row],[Full name]],"")</f>
        <v>Aiden Ko</v>
      </c>
      <c r="C29" s="108" t="str">
        <f>IFERROR(AVERAGE(Table1624[[#This Row],[September 30, 2025]:[Column18]]),"N/A")</f>
        <v>N/A</v>
      </c>
      <c r="D29" s="26" t="str">
        <f>IFERROR(_xlfn.PERCENTRANK.INC(Table4[True Rank],_xlfn.XLOOKUP(Table1624[[#This Row],[Name]],Table4[Name],Table4[True Rank],"DNP",0,1)),"DNP")</f>
        <v>DNP</v>
      </c>
      <c r="E29" s="26" t="str">
        <f>IFERROR(_xlfn.PERCENTRANK.INC(Table9[True Rank],_xlfn.XLOOKUP(Table1624[[#This Row],[Name]],Table9[Name],Table9[True Rank],"DNP",0,1)),"DNP")</f>
        <v>DNP</v>
      </c>
      <c r="F29" s="26" t="str">
        <f>IFERROR(_xlfn.PERCENTRANK.INC(Table18[True Rank],_xlfn.XLOOKUP(Table1624[[#This Row],[Name]],Table18[Name],Table18[True Rank],"DNP",0,1)),"DNP")</f>
        <v>DNP</v>
      </c>
      <c r="G29" s="26" t="str">
        <f>IFERROR(_xlfn.PERCENTRANK.INC(Table2[True Rank],_xlfn.XLOOKUP(Table1624[[#This Row],[Name]],Table2[Name],Table2[True Rank],"DNP",0,1)),"DNP")</f>
        <v>DNP</v>
      </c>
      <c r="H29" s="26" t="str">
        <f>IFERROR(_xlfn.PERCENTRANK.INC(Table211[True Rank],_xlfn.XLOOKUP(Table1624[[#This Row],[Name]],Table211[Name],Table211[True Rank],"DNP",0,1)),"DNP")</f>
        <v>DNP</v>
      </c>
      <c r="I29" s="26" t="str">
        <f>IFERROR(_xlfn.PERCENTRANK.INC(Table21112[True Rank],_xlfn.XLOOKUP(Table1624[[#This Row],[Name]],Table21112[Name],Table21112[True Rank],"DNP",0,1)),"DNP")</f>
        <v>DNP</v>
      </c>
      <c r="J29" s="26" t="str">
        <f>IFERROR(_xlfn.PERCENTRANK.INC(Table21112164[True Rank],_xlfn.XLOOKUP(Table1624[[#This Row],[Name]],Table21112164[Name],Table21112164[True Rank],"DNP",0,1)),"DNP")</f>
        <v>DNP</v>
      </c>
      <c r="K29" s="26" t="str">
        <f>IFERROR(_xlfn.PERCENTRANK.INC(Table2111216420[True Rank],_xlfn.XLOOKUP(Table1624[[#This Row],[Name]],Table2111216420[Name],Table2111216420[True Rank],"DNP",0,1)),"DNP")</f>
        <v>DNP</v>
      </c>
      <c r="L29" s="26" t="str">
        <f>IFERROR(_xlfn.PERCENTRANK.INC(Table211121642021[True Rank],_xlfn.XLOOKUP(Table1624[[#This Row],[Name]],Table211121642021[Name],Table211121642021[True Rank],"DNP",0,1)),"DNP")</f>
        <v>DNP</v>
      </c>
      <c r="M29" s="26" t="str">
        <f>IFERROR(_xlfn.PERCENTRANK.INC(Table21112164202122[True Rank],_xlfn.XLOOKUP(Table1624[[#This Row],[Name]],Table21112164202122[Name],Table21112164202122[True Rank],"DNP",0,1)),"DNP")</f>
        <v>DNP</v>
      </c>
      <c r="N29" s="26" t="str">
        <f>IFERROR(_xlfn.PERCENTRANK.INC(Table2111216420212223[True Rank],_xlfn.XLOOKUP(Table1624[[#This Row],[Name]],Table2111216420212223[Name],Table2111216420212223[True Rank],"DNP",0,1)),"DNP")</f>
        <v>DNP</v>
      </c>
      <c r="O29" s="26" t="str">
        <f>IFERROR(_xlfn.PERCENTRANK.INC(Table211121642021222325[True Rank],_xlfn.XLOOKUP(Table1624[[#This Row],[Name]],Table211121642021222325[Name],Table211121642021222325[True Rank],"DNP",0,1)),"DNP")</f>
        <v>DNP</v>
      </c>
      <c r="P29" s="26" t="str">
        <f>IFERROR(_xlfn.PERCENTRANK.INC(Table21112164202122232534[True Rank],_xlfn.XLOOKUP(Table1624[[#This Row],[Name]],Table21112164202122232534[Name],Table21112164202122232534[True Rank],"DNP",0,1)),"DNP")</f>
        <v>DNP</v>
      </c>
      <c r="Q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</row>
    <row r="30" spans="2:33">
      <c r="B30" t="str">
        <f>IFERROR(Table5[[#This Row],[Full name]],"")</f>
        <v>Allen Liu</v>
      </c>
      <c r="C30" s="108">
        <f>IFERROR(AVERAGE(Table1624[[#This Row],[September 30, 2025]:[Column18]]),"N/A")</f>
        <v>0.50371428571428578</v>
      </c>
      <c r="D30" s="26" t="str">
        <f>IFERROR(_xlfn.PERCENTRANK.INC(Table4[True Rank],_xlfn.XLOOKUP(Table1624[[#This Row],[Name]],Table4[Name],Table4[True Rank],"DNP",0,1)),"DNP")</f>
        <v>DNP</v>
      </c>
      <c r="E30" s="26" t="str">
        <f>IFERROR(_xlfn.PERCENTRANK.INC(Table9[True Rank],_xlfn.XLOOKUP(Table1624[[#This Row],[Name]],Table9[Name],Table9[True Rank],"DNP",0,1)),"DNP")</f>
        <v>DNP</v>
      </c>
      <c r="F30" s="26" t="str">
        <f>IFERROR(_xlfn.PERCENTRANK.INC(Table18[True Rank],_xlfn.XLOOKUP(Table1624[[#This Row],[Name]],Table18[Name],Table18[True Rank],"DNP",0,1)),"DNP")</f>
        <v>DNP</v>
      </c>
      <c r="G30" s="26" t="str">
        <f>IFERROR(_xlfn.PERCENTRANK.INC(Table2[True Rank],_xlfn.XLOOKUP(Table1624[[#This Row],[Name]],Table2[Name],Table2[True Rank],"DNP",0,1)),"DNP")</f>
        <v>DNP</v>
      </c>
      <c r="H30" s="26" t="str">
        <f>IFERROR(_xlfn.PERCENTRANK.INC(Table211[True Rank],_xlfn.XLOOKUP(Table1624[[#This Row],[Name]],Table211[Name],Table211[True Rank],"DNP",0,1)),"DNP")</f>
        <v>DNP</v>
      </c>
      <c r="I30" s="26" t="str">
        <f>IFERROR(_xlfn.PERCENTRANK.INC(Table21112[True Rank],_xlfn.XLOOKUP(Table1624[[#This Row],[Name]],Table21112[Name],Table21112[True Rank],"DNP",0,1)),"DNP")</f>
        <v>DNP</v>
      </c>
      <c r="J30" s="26" t="str">
        <f>IFERROR(_xlfn.PERCENTRANK.INC(Table21112164[True Rank],_xlfn.XLOOKUP(Table1624[[#This Row],[Name]],Table21112164[Name],Table21112164[True Rank],"DNP",0,1)),"DNP")</f>
        <v>DNP</v>
      </c>
      <c r="K30" s="26" t="str">
        <f>IFERROR(_xlfn.PERCENTRANK.INC(Table2111216420[True Rank],_xlfn.XLOOKUP(Table1624[[#This Row],[Name]],Table2111216420[Name],Table2111216420[True Rank],"DNP",0,1)),"DNP")</f>
        <v>DNP</v>
      </c>
      <c r="L30" s="26" t="str">
        <f>IFERROR(_xlfn.PERCENTRANK.INC(Table211121642021[True Rank],_xlfn.XLOOKUP(Table1624[[#This Row],[Name]],Table211121642021[Name],Table211121642021[True Rank],"DNP",0,1)),"DNP")</f>
        <v>DNP</v>
      </c>
      <c r="M30" s="26">
        <f>IFERROR(_xlfn.PERCENTRANK.INC(Table21112164202122[True Rank],_xlfn.XLOOKUP(Table1624[[#This Row],[Name]],Table21112164202122[Name],Table21112164202122[True Rank],"DNP",0,1)),"DNP")</f>
        <v>3.4000000000000002E-2</v>
      </c>
      <c r="N30" s="26">
        <f>IFERROR(_xlfn.PERCENTRANK.INC(Table2111216420212223[True Rank],_xlfn.XLOOKUP(Table1624[[#This Row],[Name]],Table2111216420212223[Name],Table2111216420212223[True Rank],"DNP",0,1)),"DNP")</f>
        <v>0.85699999999999998</v>
      </c>
      <c r="O30" s="26" t="str">
        <f>IFERROR(_xlfn.PERCENTRANK.INC(Table211121642021222325[True Rank],_xlfn.XLOOKUP(Table1624[[#This Row],[Name]],Table211121642021222325[Name],Table211121642021222325[True Rank],"DNP",0,1)),"DNP")</f>
        <v>DNP</v>
      </c>
      <c r="P30" s="26">
        <f>IFERROR(_xlfn.PERCENTRANK.INC(Table21112164202122232534[True Rank],_xlfn.XLOOKUP(Table1624[[#This Row],[Name]],Table21112164202122232534[Name],Table21112164202122232534[True Rank],"DNP",0,1)),"DNP")</f>
        <v>0.34</v>
      </c>
      <c r="Q30" s="26">
        <f>IFERROR(_xlfn.PERCENTRANK.INC(Table2111216420212223253435[True Rank],_xlfn.XLOOKUP(Table1624[[#This Row],[Name]],Table2111216420212223253435[Name],Table2111216420212223253435[True Rank],"DNP",0,1)),"DNP")</f>
        <v>0.84</v>
      </c>
      <c r="R30" s="26">
        <f>IFERROR(_xlfn.PERCENTRANK.INC(Table211121642021222325343536[True Rank],_xlfn.XLOOKUP(Table1624[[#This Row],[Name]],Table211121642021222325343536[Name],Table211121642021222325343536[True Rank],"DNP",0,1)),"DNP")</f>
        <v>0.42399999999999999</v>
      </c>
      <c r="S30" s="26">
        <f>IFERROR(_xlfn.PERCENTRANK.INC(Table21112164202122232534353637[True Rank],_xlfn.XLOOKUP(Table1624[[#This Row],[Name]],Table21112164202122232534353637[Name],Table21112164202122232534353637[True Rank],"DNP",0,1)),"DNP")</f>
        <v>6.8000000000000005E-2</v>
      </c>
      <c r="T30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</row>
    <row r="31" spans="2:33">
      <c r="B31" t="str">
        <f>IFERROR(Table5[[#This Row],[Full name]],"")</f>
        <v>Aman Bains</v>
      </c>
      <c r="C31" s="108" t="str">
        <f>IFERROR(AVERAGE(Table1624[[#This Row],[September 30, 2025]:[Column18]]),"N/A")</f>
        <v>N/A</v>
      </c>
      <c r="D31" s="26" t="str">
        <f>IFERROR(_xlfn.PERCENTRANK.INC(Table4[True Rank],_xlfn.XLOOKUP(Table1624[[#This Row],[Name]],Table4[Name],Table4[True Rank],"DNP",0,1)),"DNP")</f>
        <v>DNP</v>
      </c>
      <c r="E31" s="26" t="str">
        <f>IFERROR(_xlfn.PERCENTRANK.INC(Table9[True Rank],_xlfn.XLOOKUP(Table1624[[#This Row],[Name]],Table9[Name],Table9[True Rank],"DNP",0,1)),"DNP")</f>
        <v>DNP</v>
      </c>
      <c r="F31" s="26" t="str">
        <f>IFERROR(_xlfn.PERCENTRANK.INC(Table18[True Rank],_xlfn.XLOOKUP(Table1624[[#This Row],[Name]],Table18[Name],Table18[True Rank],"DNP",0,1)),"DNP")</f>
        <v>DNP</v>
      </c>
      <c r="G31" s="26" t="str">
        <f>IFERROR(_xlfn.PERCENTRANK.INC(Table2[True Rank],_xlfn.XLOOKUP(Table1624[[#This Row],[Name]],Table2[Name],Table2[True Rank],"DNP",0,1)),"DNP")</f>
        <v>DNP</v>
      </c>
      <c r="H31" s="26" t="str">
        <f>IFERROR(_xlfn.PERCENTRANK.INC(Table211[True Rank],_xlfn.XLOOKUP(Table1624[[#This Row],[Name]],Table211[Name],Table211[True Rank],"DNP",0,1)),"DNP")</f>
        <v>DNP</v>
      </c>
      <c r="I31" s="26" t="str">
        <f>IFERROR(_xlfn.PERCENTRANK.INC(Table21112[True Rank],_xlfn.XLOOKUP(Table1624[[#This Row],[Name]],Table21112[Name],Table21112[True Rank],"DNP",0,1)),"DNP")</f>
        <v>DNP</v>
      </c>
      <c r="J31" s="26" t="str">
        <f>IFERROR(_xlfn.PERCENTRANK.INC(Table21112164[True Rank],_xlfn.XLOOKUP(Table1624[[#This Row],[Name]],Table21112164[Name],Table21112164[True Rank],"DNP",0,1)),"DNP")</f>
        <v>DNP</v>
      </c>
      <c r="K31" s="26" t="str">
        <f>IFERROR(_xlfn.PERCENTRANK.INC(Table2111216420[True Rank],_xlfn.XLOOKUP(Table1624[[#This Row],[Name]],Table2111216420[Name],Table2111216420[True Rank],"DNP",0,1)),"DNP")</f>
        <v>DNP</v>
      </c>
      <c r="L31" s="26" t="str">
        <f>IFERROR(_xlfn.PERCENTRANK.INC(Table211121642021[True Rank],_xlfn.XLOOKUP(Table1624[[#This Row],[Name]],Table211121642021[Name],Table211121642021[True Rank],"DNP",0,1)),"DNP")</f>
        <v>DNP</v>
      </c>
      <c r="M31" s="26" t="str">
        <f>IFERROR(_xlfn.PERCENTRANK.INC(Table21112164202122[True Rank],_xlfn.XLOOKUP(Table1624[[#This Row],[Name]],Table21112164202122[Name],Table21112164202122[True Rank],"DNP",0,1)),"DNP")</f>
        <v>DNP</v>
      </c>
      <c r="N31" s="26" t="str">
        <f>IFERROR(_xlfn.PERCENTRANK.INC(Table2111216420212223[True Rank],_xlfn.XLOOKUP(Table1624[[#This Row],[Name]],Table2111216420212223[Name],Table2111216420212223[True Rank],"DNP",0,1)),"DNP")</f>
        <v>DNP</v>
      </c>
      <c r="O31" s="26" t="str">
        <f>IFERROR(_xlfn.PERCENTRANK.INC(Table211121642021222325[True Rank],_xlfn.XLOOKUP(Table1624[[#This Row],[Name]],Table211121642021222325[Name],Table211121642021222325[True Rank],"DNP",0,1)),"DNP")</f>
        <v>DNP</v>
      </c>
      <c r="P31" s="26" t="str">
        <f>IFERROR(_xlfn.PERCENTRANK.INC(Table21112164202122232534[True Rank],_xlfn.XLOOKUP(Table1624[[#This Row],[Name]],Table21112164202122232534[Name],Table21112164202122232534[True Rank],"DNP",0,1)),"DNP")</f>
        <v>DNP</v>
      </c>
      <c r="Q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</row>
    <row r="32" spans="2:33">
      <c r="B32" t="str">
        <f>IFERROR(Table5[[#This Row],[Full name]],"")</f>
        <v>Anna Yu</v>
      </c>
      <c r="C32" s="108">
        <f>IFERROR(AVERAGE(Table1624[[#This Row],[September 30, 2025]:[Column18]]),"N/A")</f>
        <v>0.47828571428571426</v>
      </c>
      <c r="D32" s="26">
        <f>IFERROR(_xlfn.PERCENTRANK.INC(Table4[True Rank],_xlfn.XLOOKUP(Table1624[[#This Row],[Name]],Table4[Name],Table4[True Rank],"DNP",0,1)),"DNP")</f>
        <v>0.52200000000000002</v>
      </c>
      <c r="E32" s="26">
        <f>IFERROR(_xlfn.PERCENTRANK.INC(Table9[True Rank],_xlfn.XLOOKUP(Table1624[[#This Row],[Name]],Table9[Name],Table9[True Rank],"DNP",0,1)),"DNP")</f>
        <v>0.20599999999999999</v>
      </c>
      <c r="F32" s="26">
        <f>IFERROR(_xlfn.PERCENTRANK.INC(Table18[True Rank],_xlfn.XLOOKUP(Table1624[[#This Row],[Name]],Table18[Name],Table18[True Rank],"DNP",0,1)),"DNP")</f>
        <v>0.878</v>
      </c>
      <c r="G32" s="26">
        <f>IFERROR(_xlfn.PERCENTRANK.INC(Table2[True Rank],_xlfn.XLOOKUP(Table1624[[#This Row],[Name]],Table2[Name],Table2[True Rank],"DNP",0,1)),"DNP")</f>
        <v>0.52300000000000002</v>
      </c>
      <c r="H32" s="26" t="str">
        <f>IFERROR(_xlfn.PERCENTRANK.INC(Table211[True Rank],_xlfn.XLOOKUP(Table1624[[#This Row],[Name]],Table211[Name],Table211[True Rank],"DNP",0,1)),"DNP")</f>
        <v>DNP</v>
      </c>
      <c r="I32" s="26">
        <f>IFERROR(_xlfn.PERCENTRANK.INC(Table21112[True Rank],_xlfn.XLOOKUP(Table1624[[#This Row],[Name]],Table21112[Name],Table21112[True Rank],"DNP",0,1)),"DNP")</f>
        <v>0.23</v>
      </c>
      <c r="J32" s="26">
        <f>IFERROR(_xlfn.PERCENTRANK.INC(Table21112164[True Rank],_xlfn.XLOOKUP(Table1624[[#This Row],[Name]],Table21112164[Name],Table21112164[True Rank],"DNP",0,1)),"DNP")</f>
        <v>0.57299999999999995</v>
      </c>
      <c r="K32" s="26">
        <f>IFERROR(_xlfn.PERCENTRANK.INC(Table2111216420[True Rank],_xlfn.XLOOKUP(Table1624[[#This Row],[Name]],Table2111216420[Name],Table2111216420[True Rank],"DNP",0,1)),"DNP")</f>
        <v>0.76500000000000001</v>
      </c>
      <c r="L32" s="26">
        <f>IFERROR(_xlfn.PERCENTRANK.INC(Table211121642021[True Rank],_xlfn.XLOOKUP(Table1624[[#This Row],[Name]],Table211121642021[Name],Table211121642021[True Rank],"DNP",0,1)),"DNP")</f>
        <v>0.57999999999999996</v>
      </c>
      <c r="M32" s="26">
        <f>IFERROR(_xlfn.PERCENTRANK.INC(Table21112164202122[True Rank],_xlfn.XLOOKUP(Table1624[[#This Row],[Name]],Table21112164202122[Name],Table21112164202122[True Rank],"DNP",0,1)),"DNP")</f>
        <v>0.443</v>
      </c>
      <c r="N32" s="26">
        <f>IFERROR(_xlfn.PERCENTRANK.INC(Table2111216420212223[True Rank],_xlfn.XLOOKUP(Table1624[[#This Row],[Name]],Table2111216420212223[Name],Table2111216420212223[True Rank],"DNP",0,1)),"DNP")</f>
        <v>0.49399999999999999</v>
      </c>
      <c r="O32" s="26">
        <f>IFERROR(_xlfn.PERCENTRANK.INC(Table211121642021222325[True Rank],_xlfn.XLOOKUP(Table1624[[#This Row],[Name]],Table211121642021222325[Name],Table211121642021222325[True Rank],"DNP",0,1)),"DNP")</f>
        <v>0.29599999999999999</v>
      </c>
      <c r="P32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32" s="26">
        <f>IFERROR(_xlfn.PERCENTRANK.INC(Table2111216420212223253435[True Rank],_xlfn.XLOOKUP(Table1624[[#This Row],[Name]],Table2111216420212223253435[Name],Table2111216420212223253435[True Rank],"DNP",0,1)),"DNP")</f>
        <v>0.89300000000000002</v>
      </c>
      <c r="R32" s="26">
        <f>IFERROR(_xlfn.PERCENTRANK.INC(Table211121642021222325343536[True Rank],_xlfn.XLOOKUP(Table1624[[#This Row],[Name]],Table211121642021222325343536[Name],Table211121642021222325343536[True Rank],"DNP",0,1)),"DNP")</f>
        <v>0.151</v>
      </c>
      <c r="S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</row>
    <row r="33" spans="2:33">
      <c r="B33" t="str">
        <f>IFERROR(Table5[[#This Row],[Full name]],"")</f>
        <v>Carson Cull</v>
      </c>
      <c r="C33" s="108">
        <f>IFERROR(AVERAGE(Table1624[[#This Row],[September 30, 2025]:[Column18]]),"N/A")</f>
        <v>0.46485714285714286</v>
      </c>
      <c r="D33" s="26" t="str">
        <f>IFERROR(_xlfn.PERCENTRANK.INC(Table4[True Rank],_xlfn.XLOOKUP(Table1624[[#This Row],[Name]],Table4[Name],Table4[True Rank],"DNP",0,1)),"DNP")</f>
        <v>DNP</v>
      </c>
      <c r="E33" s="26" t="str">
        <f>IFERROR(_xlfn.PERCENTRANK.INC(Table9[True Rank],_xlfn.XLOOKUP(Table1624[[#This Row],[Name]],Table9[Name],Table9[True Rank],"DNP",0,1)),"DNP")</f>
        <v>DNP</v>
      </c>
      <c r="F33" s="26">
        <f>IFERROR(_xlfn.PERCENTRANK.INC(Table18[True Rank],_xlfn.XLOOKUP(Table1624[[#This Row],[Name]],Table18[Name],Table18[True Rank],"DNP",0,1)),"DNP")</f>
        <v>0.35299999999999998</v>
      </c>
      <c r="G33" s="26" t="str">
        <f>IFERROR(_xlfn.PERCENTRANK.INC(Table2[True Rank],_xlfn.XLOOKUP(Table1624[[#This Row],[Name]],Table2[Name],Table2[True Rank],"DNP",0,1)),"DNP")</f>
        <v>DNP</v>
      </c>
      <c r="H33" s="26" t="str">
        <f>IFERROR(_xlfn.PERCENTRANK.INC(Table211[True Rank],_xlfn.XLOOKUP(Table1624[[#This Row],[Name]],Table211[Name],Table211[True Rank],"DNP",0,1)),"DNP")</f>
        <v>DNP</v>
      </c>
      <c r="I33" s="26" t="str">
        <f>IFERROR(_xlfn.PERCENTRANK.INC(Table21112[True Rank],_xlfn.XLOOKUP(Table1624[[#This Row],[Name]],Table21112[Name],Table21112[True Rank],"DNP",0,1)),"DNP")</f>
        <v>DNP</v>
      </c>
      <c r="J33" s="26">
        <f>IFERROR(_xlfn.PERCENTRANK.INC(Table21112164[True Rank],_xlfn.XLOOKUP(Table1624[[#This Row],[Name]],Table21112164[Name],Table21112164[True Rank],"DNP",0,1)),"DNP")</f>
        <v>0.35899999999999999</v>
      </c>
      <c r="K33" s="26">
        <f>IFERROR(_xlfn.PERCENTRANK.INC(Table2111216420[True Rank],_xlfn.XLOOKUP(Table1624[[#This Row],[Name]],Table2111216420[Name],Table2111216420[True Rank],"DNP",0,1)),"DNP")</f>
        <v>0.35099999999999998</v>
      </c>
      <c r="L33" s="26">
        <f>IFERROR(_xlfn.PERCENTRANK.INC(Table211121642021[True Rank],_xlfn.XLOOKUP(Table1624[[#This Row],[Name]],Table211121642021[Name],Table211121642021[True Rank],"DNP",0,1)),"DNP")</f>
        <v>9.6000000000000002E-2</v>
      </c>
      <c r="M33" s="26">
        <f>IFERROR(_xlfn.PERCENTRANK.INC(Table21112164202122[True Rank],_xlfn.XLOOKUP(Table1624[[#This Row],[Name]],Table21112164202122[Name],Table21112164202122[True Rank],"DNP",0,1)),"DNP")</f>
        <v>0.92</v>
      </c>
      <c r="N33" s="26" t="str">
        <f>IFERROR(_xlfn.PERCENTRANK.INC(Table2111216420212223[True Rank],_xlfn.XLOOKUP(Table1624[[#This Row],[Name]],Table2111216420212223[Name],Table2111216420212223[True Rank],"DNP",0,1)),"DNP")</f>
        <v>DNP</v>
      </c>
      <c r="O33" s="26">
        <f>IFERROR(_xlfn.PERCENTRANK.INC(Table211121642021222325[True Rank],_xlfn.XLOOKUP(Table1624[[#This Row],[Name]],Table211121642021222325[Name],Table211121642021222325[True Rank],"DNP",0,1)),"DNP")</f>
        <v>0.35099999999999998</v>
      </c>
      <c r="P33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</row>
    <row r="34" spans="2:33">
      <c r="B34" t="str">
        <f>IFERROR(Table5[[#This Row],[Full name]],"")</f>
        <v>Cole Eisen</v>
      </c>
      <c r="C34" s="108">
        <f>IFERROR(AVERAGE(Table1624[[#This Row],[September 30, 2025]:[Column18]]),"N/A")</f>
        <v>0.37433333333333335</v>
      </c>
      <c r="D34" s="26">
        <f>IFERROR(_xlfn.PERCENTRANK.INC(Table4[True Rank],_xlfn.XLOOKUP(Table1624[[#This Row],[Name]],Table4[Name],Table4[True Rank],"DNP",0,1)),"DNP")</f>
        <v>0.39400000000000002</v>
      </c>
      <c r="E34" s="26">
        <f>IFERROR(_xlfn.PERCENTRANK.INC(Table9[True Rank],_xlfn.XLOOKUP(Table1624[[#This Row],[Name]],Table9[Name],Table9[True Rank],"DNP",0,1)),"DNP")</f>
        <v>0.32100000000000001</v>
      </c>
      <c r="F34" s="26" t="str">
        <f>IFERROR(_xlfn.PERCENTRANK.INC(Table18[True Rank],_xlfn.XLOOKUP(Table1624[[#This Row],[Name]],Table18[Name],Table18[True Rank],"DNP",0,1)),"DNP")</f>
        <v>DNP</v>
      </c>
      <c r="G34" s="26" t="str">
        <f>IFERROR(_xlfn.PERCENTRANK.INC(Table2[True Rank],_xlfn.XLOOKUP(Table1624[[#This Row],[Name]],Table2[Name],Table2[True Rank],"DNP",0,1)),"DNP")</f>
        <v>DNP</v>
      </c>
      <c r="H34" s="26">
        <f>IFERROR(_xlfn.PERCENTRANK.INC(Table211[True Rank],_xlfn.XLOOKUP(Table1624[[#This Row],[Name]],Table211[Name],Table211[True Rank],"DNP",0,1)),"DNP")</f>
        <v>0.40799999999999997</v>
      </c>
      <c r="I34" s="26" t="str">
        <f>IFERROR(_xlfn.PERCENTRANK.INC(Table21112[True Rank],_xlfn.XLOOKUP(Table1624[[#This Row],[Name]],Table21112[Name],Table21112[True Rank],"DNP",0,1)),"DNP")</f>
        <v>DNP</v>
      </c>
      <c r="J34" s="26" t="str">
        <f>IFERROR(_xlfn.PERCENTRANK.INC(Table21112164[True Rank],_xlfn.XLOOKUP(Table1624[[#This Row],[Name]],Table21112164[Name],Table21112164[True Rank],"DNP",0,1)),"DNP")</f>
        <v>DNP</v>
      </c>
      <c r="K34" s="26" t="str">
        <f>IFERROR(_xlfn.PERCENTRANK.INC(Table2111216420[True Rank],_xlfn.XLOOKUP(Table1624[[#This Row],[Name]],Table2111216420[Name],Table2111216420[True Rank],"DNP",0,1)),"DNP")</f>
        <v>DNP</v>
      </c>
      <c r="L34" s="26" t="str">
        <f>IFERROR(_xlfn.PERCENTRANK.INC(Table211121642021[True Rank],_xlfn.XLOOKUP(Table1624[[#This Row],[Name]],Table211121642021[Name],Table211121642021[True Rank],"DNP",0,1)),"DNP")</f>
        <v>DNP</v>
      </c>
      <c r="M34" s="26" t="str">
        <f>IFERROR(_xlfn.PERCENTRANK.INC(Table21112164202122[True Rank],_xlfn.XLOOKUP(Table1624[[#This Row],[Name]],Table21112164202122[Name],Table21112164202122[True Rank],"DNP",0,1)),"DNP")</f>
        <v>DNP</v>
      </c>
      <c r="N34" s="26" t="str">
        <f>IFERROR(_xlfn.PERCENTRANK.INC(Table2111216420212223[True Rank],_xlfn.XLOOKUP(Table1624[[#This Row],[Name]],Table2111216420212223[Name],Table2111216420212223[True Rank],"DNP",0,1)),"DNP")</f>
        <v>DNP</v>
      </c>
      <c r="O34" s="26" t="str">
        <f>IFERROR(_xlfn.PERCENTRANK.INC(Table211121642021222325[True Rank],_xlfn.XLOOKUP(Table1624[[#This Row],[Name]],Table211121642021222325[Name],Table211121642021222325[True Rank],"DNP",0,1)),"DNP")</f>
        <v>DNP</v>
      </c>
      <c r="P34" s="26" t="str">
        <f>IFERROR(_xlfn.PERCENTRANK.INC(Table21112164202122232534[True Rank],_xlfn.XLOOKUP(Table1624[[#This Row],[Name]],Table21112164202122232534[Name],Table21112164202122232534[True Rank],"DNP",0,1)),"DNP")</f>
        <v>DNP</v>
      </c>
      <c r="Q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</row>
    <row r="35" spans="2:33">
      <c r="B35" t="str">
        <f>IFERROR(Table5[[#This Row],[Full name]],"")</f>
        <v>Cole Korchinski</v>
      </c>
      <c r="C35" s="108">
        <f>IFERROR(AVERAGE(Table1624[[#This Row],[September 30, 2025]:[Column18]]),"N/A")</f>
        <v>0.61140000000000005</v>
      </c>
      <c r="D35" s="26">
        <f>IFERROR(_xlfn.PERCENTRANK.INC(Table4[True Rank],_xlfn.XLOOKUP(Table1624[[#This Row],[Name]],Table4[Name],Table4[True Rank],"DNP",0,1)),"DNP")</f>
        <v>0.47699999999999998</v>
      </c>
      <c r="E35" s="26">
        <f>IFERROR(_xlfn.PERCENTRANK.INC(Table9[True Rank],_xlfn.XLOOKUP(Table1624[[#This Row],[Name]],Table9[Name],Table9[True Rank],"DNP",0,1)),"DNP")</f>
        <v>0.90800000000000003</v>
      </c>
      <c r="F35" s="26" t="str">
        <f>IFERROR(_xlfn.PERCENTRANK.INC(Table18[True Rank],_xlfn.XLOOKUP(Table1624[[#This Row],[Name]],Table18[Name],Table18[True Rank],"DNP",0,1)),"DNP")</f>
        <v>DNP</v>
      </c>
      <c r="G35" s="26" t="str">
        <f>IFERROR(_xlfn.PERCENTRANK.INC(Table2[True Rank],_xlfn.XLOOKUP(Table1624[[#This Row],[Name]],Table2[Name],Table2[True Rank],"DNP",0,1)),"DNP")</f>
        <v>DNP</v>
      </c>
      <c r="H35" s="26">
        <f>IFERROR(_xlfn.PERCENTRANK.INC(Table211[True Rank],_xlfn.XLOOKUP(Table1624[[#This Row],[Name]],Table211[Name],Table211[True Rank],"DNP",0,1)),"DNP")</f>
        <v>0.40799999999999997</v>
      </c>
      <c r="I35" s="26" t="str">
        <f>IFERROR(_xlfn.PERCENTRANK.INC(Table21112[True Rank],_xlfn.XLOOKUP(Table1624[[#This Row],[Name]],Table21112[Name],Table21112[True Rank],"DNP",0,1)),"DNP")</f>
        <v>DNP</v>
      </c>
      <c r="J35" s="26" t="str">
        <f>IFERROR(_xlfn.PERCENTRANK.INC(Table21112164[True Rank],_xlfn.XLOOKUP(Table1624[[#This Row],[Name]],Table21112164[Name],Table21112164[True Rank],"DNP",0,1)),"DNP")</f>
        <v>DNP</v>
      </c>
      <c r="K35" s="26" t="str">
        <f>IFERROR(_xlfn.PERCENTRANK.INC(Table2111216420[True Rank],_xlfn.XLOOKUP(Table1624[[#This Row],[Name]],Table2111216420[Name],Table2111216420[True Rank],"DNP",0,1)),"DNP")</f>
        <v>DNP</v>
      </c>
      <c r="L35" s="26">
        <f>IFERROR(_xlfn.PERCENTRANK.INC(Table211121642021[True Rank],_xlfn.XLOOKUP(Table1624[[#This Row],[Name]],Table211121642021[Name],Table211121642021[True Rank],"DNP",0,1)),"DNP")</f>
        <v>0.77400000000000002</v>
      </c>
      <c r="M35" s="26" t="str">
        <f>IFERROR(_xlfn.PERCENTRANK.INC(Table21112164202122[True Rank],_xlfn.XLOOKUP(Table1624[[#This Row],[Name]],Table21112164202122[Name],Table21112164202122[True Rank],"DNP",0,1)),"DNP")</f>
        <v>DNP</v>
      </c>
      <c r="N35" s="26" t="str">
        <f>IFERROR(_xlfn.PERCENTRANK.INC(Table2111216420212223[True Rank],_xlfn.XLOOKUP(Table1624[[#This Row],[Name]],Table2111216420212223[Name],Table2111216420212223[True Rank],"DNP",0,1)),"DNP")</f>
        <v>DNP</v>
      </c>
      <c r="O35" s="26" t="str">
        <f>IFERROR(_xlfn.PERCENTRANK.INC(Table211121642021222325[True Rank],_xlfn.XLOOKUP(Table1624[[#This Row],[Name]],Table211121642021222325[Name],Table211121642021222325[True Rank],"DNP",0,1)),"DNP")</f>
        <v>DNP</v>
      </c>
      <c r="P35" s="26" t="str">
        <f>IFERROR(_xlfn.PERCENTRANK.INC(Table21112164202122232534[True Rank],_xlfn.XLOOKUP(Table1624[[#This Row],[Name]],Table21112164202122232534[Name],Table21112164202122232534[True Rank],"DNP",0,1)),"DNP")</f>
        <v>DNP</v>
      </c>
      <c r="Q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" s="26">
        <f>IFERROR(_xlfn.PERCENTRANK.INC(Table2111216420212223253435363738[True Rank],_xlfn.XLOOKUP(Table1624[[#This Row],[Name]],Table2111216420212223253435363738[Name],Table2111216420212223253435363738[True Rank],"DNP",0,1)),"DNP")</f>
        <v>0.49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</row>
    <row r="36" spans="2:33">
      <c r="B36" t="str">
        <f>IFERROR(Table5[[#This Row],[Full name]],"")</f>
        <v>Damon Deng</v>
      </c>
      <c r="C36" s="108">
        <f>IFERROR(AVERAGE(Table1624[[#This Row],[September 30, 2025]:[Column18]]),"N/A")</f>
        <v>0.33075000000000004</v>
      </c>
      <c r="D36" s="26">
        <f>IFERROR(_xlfn.PERCENTRANK.INC(Table4[True Rank],_xlfn.XLOOKUP(Table1624[[#This Row],[Name]],Table4[Name],Table4[True Rank],"DNP",0,1)),"DNP")</f>
        <v>0.78800000000000003</v>
      </c>
      <c r="E36" s="26" t="str">
        <f>IFERROR(_xlfn.PERCENTRANK.INC(Table9[True Rank],_xlfn.XLOOKUP(Table1624[[#This Row],[Name]],Table9[Name],Table9[True Rank],"DNP",0,1)),"DNP")</f>
        <v>DNP</v>
      </c>
      <c r="F36" s="26" t="str">
        <f>IFERROR(_xlfn.PERCENTRANK.INC(Table18[True Rank],_xlfn.XLOOKUP(Table1624[[#This Row],[Name]],Table18[Name],Table18[True Rank],"DNP",0,1)),"DNP")</f>
        <v>DNP</v>
      </c>
      <c r="G36" s="26" t="str">
        <f>IFERROR(_xlfn.PERCENTRANK.INC(Table2[True Rank],_xlfn.XLOOKUP(Table1624[[#This Row],[Name]],Table2[Name],Table2[True Rank],"DNP",0,1)),"DNP")</f>
        <v>DNP</v>
      </c>
      <c r="H36" s="26" t="str">
        <f>IFERROR(_xlfn.PERCENTRANK.INC(Table211[True Rank],_xlfn.XLOOKUP(Table1624[[#This Row],[Name]],Table211[Name],Table211[True Rank],"DNP",0,1)),"DNP")</f>
        <v>DNP</v>
      </c>
      <c r="I36" s="26" t="str">
        <f>IFERROR(_xlfn.PERCENTRANK.INC(Table21112[True Rank],_xlfn.XLOOKUP(Table1624[[#This Row],[Name]],Table21112[Name],Table21112[True Rank],"DNP",0,1)),"DNP")</f>
        <v>DNP</v>
      </c>
      <c r="J36" s="26" t="str">
        <f>IFERROR(_xlfn.PERCENTRANK.INC(Table21112164[True Rank],_xlfn.XLOOKUP(Table1624[[#This Row],[Name]],Table21112164[Name],Table21112164[True Rank],"DNP",0,1)),"DNP")</f>
        <v>DNP</v>
      </c>
      <c r="K36" s="26" t="str">
        <f>IFERROR(_xlfn.PERCENTRANK.INC(Table2111216420[True Rank],_xlfn.XLOOKUP(Table1624[[#This Row],[Name]],Table2111216420[Name],Table2111216420[True Rank],"DNP",0,1)),"DNP")</f>
        <v>DNP</v>
      </c>
      <c r="L36" s="26" t="str">
        <f>IFERROR(_xlfn.PERCENTRANK.INC(Table211121642021[True Rank],_xlfn.XLOOKUP(Table1624[[#This Row],[Name]],Table211121642021[Name],Table211121642021[True Rank],"DNP",0,1)),"DNP")</f>
        <v>DNP</v>
      </c>
      <c r="M36" s="26" t="str">
        <f>IFERROR(_xlfn.PERCENTRANK.INC(Table21112164202122[True Rank],_xlfn.XLOOKUP(Table1624[[#This Row],[Name]],Table21112164202122[Name],Table21112164202122[True Rank],"DNP",0,1)),"DNP")</f>
        <v>DNP</v>
      </c>
      <c r="N36" s="26">
        <f>IFERROR(_xlfn.PERCENTRANK.INC(Table2111216420212223[True Rank],_xlfn.XLOOKUP(Table1624[[#This Row],[Name]],Table2111216420212223[Name],Table2111216420212223[True Rank],"DNP",0,1)),"DNP")</f>
        <v>2.1000000000000001E-2</v>
      </c>
      <c r="O36" s="26" t="str">
        <f>IFERROR(_xlfn.PERCENTRANK.INC(Table211121642021222325[True Rank],_xlfn.XLOOKUP(Table1624[[#This Row],[Name]],Table211121642021222325[Name],Table211121642021222325[True Rank],"DNP",0,1)),"DNP")</f>
        <v>DNP</v>
      </c>
      <c r="P36" s="26" t="str">
        <f>IFERROR(_xlfn.PERCENTRANK.INC(Table21112164202122232534[True Rank],_xlfn.XLOOKUP(Table1624[[#This Row],[Name]],Table21112164202122232534[Name],Table21112164202122232534[True Rank],"DNP",0,1)),"DNP")</f>
        <v>DNP</v>
      </c>
      <c r="Q36" s="26">
        <f>IFERROR(_xlfn.PERCENTRANK.INC(Table2111216420212223253435[True Rank],_xlfn.XLOOKUP(Table1624[[#This Row],[Name]],Table2111216420212223253435[Name],Table2111216420212223253435[True Rank],"DNP",0,1)),"DNP")</f>
        <v>0.33300000000000002</v>
      </c>
      <c r="R36" s="26">
        <f>IFERROR(_xlfn.PERCENTRANK.INC(Table211121642021222325343536[True Rank],_xlfn.XLOOKUP(Table1624[[#This Row],[Name]],Table211121642021222325343536[Name],Table211121642021222325343536[True Rank],"DNP",0,1)),"DNP")</f>
        <v>0.18099999999999999</v>
      </c>
      <c r="S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</row>
    <row r="37" spans="2:33">
      <c r="B37" t="str">
        <f>IFERROR(Table5[[#This Row],[Full name]],"")</f>
        <v>Daniel Dillabough</v>
      </c>
      <c r="C37" s="108">
        <f>IFERROR(AVERAGE(Table1624[[#This Row],[September 30, 2025]:[Column18]]),"N/A")</f>
        <v>0.58744444444444444</v>
      </c>
      <c r="D37" s="26">
        <f>IFERROR(_xlfn.PERCENTRANK.INC(Table4[True Rank],_xlfn.XLOOKUP(Table1624[[#This Row],[Name]],Table4[Name],Table4[True Rank],"DNP",0,1)),"DNP")</f>
        <v>0.65100000000000002</v>
      </c>
      <c r="E37" s="26">
        <f>IFERROR(_xlfn.PERCENTRANK.INC(Table9[True Rank],_xlfn.XLOOKUP(Table1624[[#This Row],[Name]],Table9[Name],Table9[True Rank],"DNP",0,1)),"DNP")</f>
        <v>0.31</v>
      </c>
      <c r="F37" s="26" t="str">
        <f>IFERROR(_xlfn.PERCENTRANK.INC(Table18[True Rank],_xlfn.XLOOKUP(Table1624[[#This Row],[Name]],Table18[Name],Table18[True Rank],"DNP",0,1)),"DNP")</f>
        <v>DNP</v>
      </c>
      <c r="G37" s="26">
        <f>IFERROR(_xlfn.PERCENTRANK.INC(Table2[True Rank],_xlfn.XLOOKUP(Table1624[[#This Row],[Name]],Table2[Name],Table2[True Rank],"DNP",0,1)),"DNP")</f>
        <v>0.78500000000000003</v>
      </c>
      <c r="H37" s="26">
        <f>IFERROR(_xlfn.PERCENTRANK.INC(Table211[True Rank],_xlfn.XLOOKUP(Table1624[[#This Row],[Name]],Table211[Name],Table211[True Rank],"DNP",0,1)),"DNP")</f>
        <v>0.29499999999999998</v>
      </c>
      <c r="I37" s="26" t="str">
        <f>IFERROR(_xlfn.PERCENTRANK.INC(Table21112[True Rank],_xlfn.XLOOKUP(Table1624[[#This Row],[Name]],Table21112[Name],Table21112[True Rank],"DNP",0,1)),"DNP")</f>
        <v>DNP</v>
      </c>
      <c r="J37" s="26">
        <f>IFERROR(_xlfn.PERCENTRANK.INC(Table21112164[True Rank],_xlfn.XLOOKUP(Table1624[[#This Row],[Name]],Table21112164[Name],Table21112164[True Rank],"DNP",0,1)),"DNP")</f>
        <v>0.84199999999999997</v>
      </c>
      <c r="K37" s="26" t="str">
        <f>IFERROR(_xlfn.PERCENTRANK.INC(Table2111216420[True Rank],_xlfn.XLOOKUP(Table1624[[#This Row],[Name]],Table2111216420[Name],Table2111216420[True Rank],"DNP",0,1)),"DNP")</f>
        <v>DNP</v>
      </c>
      <c r="L37" s="26">
        <f>IFERROR(_xlfn.PERCENTRANK.INC(Table211121642021[True Rank],_xlfn.XLOOKUP(Table1624[[#This Row],[Name]],Table211121642021[Name],Table211121642021[True Rank],"DNP",0,1)),"DNP")</f>
        <v>0.48299999999999998</v>
      </c>
      <c r="M37" s="26">
        <f>IFERROR(_xlfn.PERCENTRANK.INC(Table21112164202122[True Rank],_xlfn.XLOOKUP(Table1624[[#This Row],[Name]],Table21112164202122[Name],Table21112164202122[True Rank],"DNP",0,1)),"DNP")</f>
        <v>0.72699999999999998</v>
      </c>
      <c r="N37" s="26" t="str">
        <f>IFERROR(_xlfn.PERCENTRANK.INC(Table2111216420212223[True Rank],_xlfn.XLOOKUP(Table1624[[#This Row],[Name]],Table2111216420212223[Name],Table2111216420212223[True Rank],"DNP",0,1)),"DNP")</f>
        <v>DNP</v>
      </c>
      <c r="O37" s="26" t="str">
        <f>IFERROR(_xlfn.PERCENTRANK.INC(Table211121642021222325[True Rank],_xlfn.XLOOKUP(Table1624[[#This Row],[Name]],Table211121642021222325[Name],Table211121642021222325[True Rank],"DNP",0,1)),"DNP")</f>
        <v>DNP</v>
      </c>
      <c r="P37" s="26">
        <f>IFERROR(_xlfn.PERCENTRANK.INC(Table21112164202122232534[True Rank],_xlfn.XLOOKUP(Table1624[[#This Row],[Name]],Table21112164202122232534[Name],Table21112164202122232534[True Rank],"DNP",0,1)),"DNP")</f>
        <v>0.28499999999999998</v>
      </c>
      <c r="Q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" s="26">
        <f>IFERROR(_xlfn.PERCENTRANK.INC(Table211121642021222325343536[True Rank],_xlfn.XLOOKUP(Table1624[[#This Row],[Name]],Table211121642021222325343536[Name],Table211121642021222325343536[True Rank],"DNP",0,1)),"DNP")</f>
        <v>0.90900000000000003</v>
      </c>
      <c r="S3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</row>
    <row r="38" spans="2:33">
      <c r="B38" t="str">
        <f>IFERROR(Table5[[#This Row],[Full name]],"")</f>
        <v>Darren Poku</v>
      </c>
      <c r="C38" s="108">
        <f>IFERROR(AVERAGE(Table1624[[#This Row],[September 30, 2025]:[Column18]]),"N/A")</f>
        <v>0.39700000000000002</v>
      </c>
      <c r="D38" s="26" t="str">
        <f>IFERROR(_xlfn.PERCENTRANK.INC(Table4[True Rank],_xlfn.XLOOKUP(Table1624[[#This Row],[Name]],Table4[Name],Table4[True Rank],"DNP",0,1)),"DNP")</f>
        <v>DNP</v>
      </c>
      <c r="E38" s="26">
        <f>IFERROR(_xlfn.PERCENTRANK.INC(Table9[True Rank],_xlfn.XLOOKUP(Table1624[[#This Row],[Name]],Table9[Name],Table9[True Rank],"DNP",0,1)),"DNP")</f>
        <v>0.65500000000000003</v>
      </c>
      <c r="F38" s="26">
        <f>IFERROR(_xlfn.PERCENTRANK.INC(Table18[True Rank],_xlfn.XLOOKUP(Table1624[[#This Row],[Name]],Table18[Name],Table18[True Rank],"DNP",0,1)),"DNP")</f>
        <v>0.434</v>
      </c>
      <c r="G38" s="26" t="str">
        <f>IFERROR(_xlfn.PERCENTRANK.INC(Table2[True Rank],_xlfn.XLOOKUP(Table1624[[#This Row],[Name]],Table2[Name],Table2[True Rank],"DNP",0,1)),"DNP")</f>
        <v>DNP</v>
      </c>
      <c r="H38" s="26" t="str">
        <f>IFERROR(_xlfn.PERCENTRANK.INC(Table211[True Rank],_xlfn.XLOOKUP(Table1624[[#This Row],[Name]],Table211[Name],Table211[True Rank],"DNP",0,1)),"DNP")</f>
        <v>DNP</v>
      </c>
      <c r="I38" s="26">
        <f>IFERROR(_xlfn.PERCENTRANK.INC(Table21112[True Rank],_xlfn.XLOOKUP(Table1624[[#This Row],[Name]],Table21112[Name],Table21112[True Rank],"DNP",0,1)),"DNP")</f>
        <v>0.10199999999999999</v>
      </c>
      <c r="J38" s="26" t="str">
        <f>IFERROR(_xlfn.PERCENTRANK.INC(Table21112164[True Rank],_xlfn.XLOOKUP(Table1624[[#This Row],[Name]],Table21112164[Name],Table21112164[True Rank],"DNP",0,1)),"DNP")</f>
        <v>DNP</v>
      </c>
      <c r="K38" s="26" t="str">
        <f>IFERROR(_xlfn.PERCENTRANK.INC(Table2111216420[True Rank],_xlfn.XLOOKUP(Table1624[[#This Row],[Name]],Table2111216420[Name],Table2111216420[True Rank],"DNP",0,1)),"DNP")</f>
        <v>DNP</v>
      </c>
      <c r="L38" s="26" t="str">
        <f>IFERROR(_xlfn.PERCENTRANK.INC(Table211121642021[True Rank],_xlfn.XLOOKUP(Table1624[[#This Row],[Name]],Table211121642021[Name],Table211121642021[True Rank],"DNP",0,1)),"DNP")</f>
        <v>DNP</v>
      </c>
      <c r="M38" s="26" t="str">
        <f>IFERROR(_xlfn.PERCENTRANK.INC(Table21112164202122[True Rank],_xlfn.XLOOKUP(Table1624[[#This Row],[Name]],Table21112164202122[Name],Table21112164202122[True Rank],"DNP",0,1)),"DNP")</f>
        <v>DNP</v>
      </c>
      <c r="N38" s="26" t="str">
        <f>IFERROR(_xlfn.PERCENTRANK.INC(Table2111216420212223[True Rank],_xlfn.XLOOKUP(Table1624[[#This Row],[Name]],Table2111216420212223[Name],Table2111216420212223[True Rank],"DNP",0,1)),"DNP")</f>
        <v>DNP</v>
      </c>
      <c r="O38" s="26" t="str">
        <f>IFERROR(_xlfn.PERCENTRANK.INC(Table211121642021222325[True Rank],_xlfn.XLOOKUP(Table1624[[#This Row],[Name]],Table211121642021222325[Name],Table211121642021222325[True Rank],"DNP",0,1)),"DNP")</f>
        <v>DNP</v>
      </c>
      <c r="P38" s="26" t="str">
        <f>IFERROR(_xlfn.PERCENTRANK.INC(Table21112164202122232534[True Rank],_xlfn.XLOOKUP(Table1624[[#This Row],[Name]],Table21112164202122232534[Name],Table21112164202122232534[True Rank],"DNP",0,1)),"DNP")</f>
        <v>DNP</v>
      </c>
      <c r="Q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spans="2:33">
      <c r="B39" t="str">
        <f>IFERROR(Table5[[#This Row],[Full name]],"")</f>
        <v>Dikang Fu</v>
      </c>
      <c r="C39" s="108">
        <f>IFERROR(AVERAGE(Table1624[[#This Row],[September 30, 2025]:[Column18]]),"N/A")</f>
        <v>0.50569230769230766</v>
      </c>
      <c r="D39" s="26">
        <f>IFERROR(_xlfn.PERCENTRANK.INC(Table4[True Rank],_xlfn.XLOOKUP(Table1624[[#This Row],[Name]],Table4[Name],Table4[True Rank],"DNP",0,1)),"DNP")</f>
        <v>0.14599999999999999</v>
      </c>
      <c r="E39" s="26">
        <f>IFERROR(_xlfn.PERCENTRANK.INC(Table9[True Rank],_xlfn.XLOOKUP(Table1624[[#This Row],[Name]],Table9[Name],Table9[True Rank],"DNP",0,1)),"DNP")</f>
        <v>0.16</v>
      </c>
      <c r="F39" s="26">
        <f>IFERROR(_xlfn.PERCENTRANK.INC(Table18[True Rank],_xlfn.XLOOKUP(Table1624[[#This Row],[Name]],Table18[Name],Table18[True Rank],"DNP",0,1)),"DNP")</f>
        <v>0.89800000000000002</v>
      </c>
      <c r="G39" s="26">
        <f>IFERROR(_xlfn.PERCENTRANK.INC(Table2[True Rank],_xlfn.XLOOKUP(Table1624[[#This Row],[Name]],Table2[Name],Table2[True Rank],"DNP",0,1)),"DNP")</f>
        <v>2.3E-2</v>
      </c>
      <c r="H39" s="26" t="str">
        <f>IFERROR(_xlfn.PERCENTRANK.INC(Table211[True Rank],_xlfn.XLOOKUP(Table1624[[#This Row],[Name]],Table211[Name],Table211[True Rank],"DNP",0,1)),"DNP")</f>
        <v>DNP</v>
      </c>
      <c r="I39" s="26">
        <f>IFERROR(_xlfn.PERCENTRANK.INC(Table21112[True Rank],_xlfn.XLOOKUP(Table1624[[#This Row],[Name]],Table21112[Name],Table21112[True Rank],"DNP",0,1)),"DNP")</f>
        <v>0.60199999999999998</v>
      </c>
      <c r="J39" s="26">
        <f>IFERROR(_xlfn.PERCENTRANK.INC(Table21112164[True Rank],_xlfn.XLOOKUP(Table1624[[#This Row],[Name]],Table21112164[Name],Table21112164[True Rank],"DNP",0,1)),"DNP")</f>
        <v>0.47099999999999997</v>
      </c>
      <c r="K39" s="26">
        <f>IFERROR(_xlfn.PERCENTRANK.INC(Table2111216420[True Rank],_xlfn.XLOOKUP(Table1624[[#This Row],[Name]],Table2111216420[Name],Table2111216420[True Rank],"DNP",0,1)),"DNP")</f>
        <v>0.11700000000000001</v>
      </c>
      <c r="L39" s="26">
        <f>IFERROR(_xlfn.PERCENTRANK.INC(Table211121642021[True Rank],_xlfn.XLOOKUP(Table1624[[#This Row],[Name]],Table211121642021[Name],Table211121642021[True Rank],"DNP",0,1)),"DNP")</f>
        <v>0.13900000000000001</v>
      </c>
      <c r="M39" s="26" t="str">
        <f>IFERROR(_xlfn.PERCENTRANK.INC(Table21112164202122[True Rank],_xlfn.XLOOKUP(Table1624[[#This Row],[Name]],Table21112164202122[Name],Table21112164202122[True Rank],"DNP",0,1)),"DNP")</f>
        <v>DNP</v>
      </c>
      <c r="N39" s="26" t="str">
        <f>IFERROR(_xlfn.PERCENTRANK.INC(Table2111216420212223[True Rank],_xlfn.XLOOKUP(Table1624[[#This Row],[Name]],Table2111216420212223[Name],Table2111216420212223[True Rank],"DNP",0,1)),"DNP")</f>
        <v>DNP</v>
      </c>
      <c r="O39" s="26">
        <f>IFERROR(_xlfn.PERCENTRANK.INC(Table211121642021222325[True Rank],_xlfn.XLOOKUP(Table1624[[#This Row],[Name]],Table211121642021222325[Name],Table211121642021222325[True Rank],"DNP",0,1)),"DNP")</f>
        <v>0.93400000000000005</v>
      </c>
      <c r="P39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39" s="26">
        <f>IFERROR(_xlfn.PERCENTRANK.INC(Table2111216420212223253435[True Rank],_xlfn.XLOOKUP(Table1624[[#This Row],[Name]],Table2111216420212223253435[Name],Table2111216420212223253435[True Rank],"DNP",0,1)),"DNP")</f>
        <v>0.66600000000000004</v>
      </c>
      <c r="R39" s="26">
        <f>IFERROR(_xlfn.PERCENTRANK.INC(Table211121642021222325343536[True Rank],_xlfn.XLOOKUP(Table1624[[#This Row],[Name]],Table211121642021222325343536[Name],Table211121642021222325343536[True Rank],"DNP",0,1)),"DNP")</f>
        <v>0.95399999999999996</v>
      </c>
      <c r="S39" s="26">
        <f>IFERROR(_xlfn.PERCENTRANK.INC(Table21112164202122232534353637[True Rank],_xlfn.XLOOKUP(Table1624[[#This Row],[Name]],Table21112164202122232534353637[Name],Table21112164202122232534353637[True Rank],"DNP",0,1)),"DNP")</f>
        <v>0.94799999999999995</v>
      </c>
      <c r="T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2:33">
      <c r="B40" t="str">
        <f>IFERROR(Table5[[#This Row],[Full name]],"")</f>
        <v>Elliott Beames</v>
      </c>
      <c r="C40" s="108">
        <f>IFERROR(AVERAGE(Table1624[[#This Row],[September 30, 2025]:[Column18]]),"N/A")</f>
        <v>0.42615384615384616</v>
      </c>
      <c r="D40" s="26" t="str">
        <f>IFERROR(_xlfn.PERCENTRANK.INC(Table4[True Rank],_xlfn.XLOOKUP(Table1624[[#This Row],[Name]],Table4[Name],Table4[True Rank],"DNP",0,1)),"DNP")</f>
        <v>DNP</v>
      </c>
      <c r="E40" s="26" t="str">
        <f>IFERROR(_xlfn.PERCENTRANK.INC(Table9[True Rank],_xlfn.XLOOKUP(Table1624[[#This Row],[Name]],Table9[Name],Table9[True Rank],"DNP",0,1)),"DNP")</f>
        <v>DNP</v>
      </c>
      <c r="F40" s="26" t="str">
        <f>IFERROR(_xlfn.PERCENTRANK.INC(Table18[True Rank],_xlfn.XLOOKUP(Table1624[[#This Row],[Name]],Table18[Name],Table18[True Rank],"DNP",0,1)),"DNP")</f>
        <v>DNP</v>
      </c>
      <c r="G40" s="26" t="str">
        <f>IFERROR(_xlfn.PERCENTRANK.INC(Table2[True Rank],_xlfn.XLOOKUP(Table1624[[#This Row],[Name]],Table2[Name],Table2[True Rank],"DNP",0,1)),"DNP")</f>
        <v>DNP</v>
      </c>
      <c r="H40" s="26">
        <f>IFERROR(_xlfn.PERCENTRANK.INC(Table211[True Rank],_xlfn.XLOOKUP(Table1624[[#This Row],[Name]],Table211[Name],Table211[True Rank],"DNP",0,1)),"DNP")</f>
        <v>4.2000000000000003E-2</v>
      </c>
      <c r="I40" s="26">
        <f>IFERROR(_xlfn.PERCENTRANK.INC(Table21112[True Rank],_xlfn.XLOOKUP(Table1624[[#This Row],[Name]],Table21112[Name],Table21112[True Rank],"DNP",0,1)),"DNP")</f>
        <v>0.153</v>
      </c>
      <c r="J40" s="26">
        <f>IFERROR(_xlfn.PERCENTRANK.INC(Table21112164[True Rank],_xlfn.XLOOKUP(Table1624[[#This Row],[Name]],Table21112164[Name],Table21112164[True Rank],"DNP",0,1)),"DNP")</f>
        <v>0.26900000000000002</v>
      </c>
      <c r="K40" s="26">
        <f>IFERROR(_xlfn.PERCENTRANK.INC(Table2111216420[True Rank],_xlfn.XLOOKUP(Table1624[[#This Row],[Name]],Table2111216420[Name],Table2111216420[True Rank],"DNP",0,1)),"DNP")</f>
        <v>0.65900000000000003</v>
      </c>
      <c r="L40" s="26">
        <f>IFERROR(_xlfn.PERCENTRANK.INC(Table211121642021[True Rank],_xlfn.XLOOKUP(Table1624[[#This Row],[Name]],Table211121642021[Name],Table211121642021[True Rank],"DNP",0,1)),"DNP")</f>
        <v>0</v>
      </c>
      <c r="M40" s="26">
        <f>IFERROR(_xlfn.PERCENTRANK.INC(Table21112164202122[True Rank],_xlfn.XLOOKUP(Table1624[[#This Row],[Name]],Table21112164202122[Name],Table21112164202122[True Rank],"DNP",0,1)),"DNP")</f>
        <v>0.90900000000000003</v>
      </c>
      <c r="N40" s="26">
        <f>IFERROR(_xlfn.PERCENTRANK.INC(Table2111216420212223[True Rank],_xlfn.XLOOKUP(Table1624[[#This Row],[Name]],Table2111216420212223[Name],Table2111216420212223[True Rank],"DNP",0,1)),"DNP")</f>
        <v>9.8000000000000004E-2</v>
      </c>
      <c r="O40" s="26">
        <f>IFERROR(_xlfn.PERCENTRANK.INC(Table211121642021222325[True Rank],_xlfn.XLOOKUP(Table1624[[#This Row],[Name]],Table211121642021222325[Name],Table211121642021222325[True Rank],"DNP",0,1)),"DNP")</f>
        <v>0.75800000000000001</v>
      </c>
      <c r="P40" s="26">
        <f>IFERROR(_xlfn.PERCENTRANK.INC(Table21112164202122232534[True Rank],_xlfn.XLOOKUP(Table1624[[#This Row],[Name]],Table21112164202122232534[Name],Table21112164202122232534[True Rank],"DNP",0,1)),"DNP")</f>
        <v>3.2000000000000001E-2</v>
      </c>
      <c r="Q40" s="26">
        <f>IFERROR(_xlfn.PERCENTRANK.INC(Table2111216420212223253435[True Rank],_xlfn.XLOOKUP(Table1624[[#This Row],[Name]],Table2111216420212223253435[Name],Table2111216420212223253435[True Rank],"DNP",0,1)),"DNP")</f>
        <v>0.81299999999999994</v>
      </c>
      <c r="R40" s="26">
        <f>IFERROR(_xlfn.PERCENTRANK.INC(Table211121642021222325343536[True Rank],_xlfn.XLOOKUP(Table1624[[#This Row],[Name]],Table211121642021222325343536[Name],Table211121642021222325343536[True Rank],"DNP",0,1)),"DNP")</f>
        <v>0.83299999999999996</v>
      </c>
      <c r="S40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40" s="26">
        <f>IFERROR(_xlfn.PERCENTRANK.INC(Table2111216420212223253435363738[True Rank],_xlfn.XLOOKUP(Table1624[[#This Row],[Name]],Table2111216420212223253435363738[Name],Table2111216420212223253435363738[True Rank],"DNP",0,1)),"DNP")</f>
        <v>0.18099999999999999</v>
      </c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</row>
    <row r="41" spans="2:33">
      <c r="B41" t="str">
        <f>IFERROR(Table5[[#This Row],[Full name]],"")</f>
        <v>Emma Sproxton</v>
      </c>
      <c r="C41" s="108">
        <f>IFERROR(AVERAGE(Table1624[[#This Row],[September 30, 2025]:[Column18]]),"N/A")</f>
        <v>0.47316666666666674</v>
      </c>
      <c r="D41" s="26" t="str">
        <f>IFERROR(_xlfn.PERCENTRANK.INC(Table4[True Rank],_xlfn.XLOOKUP(Table1624[[#This Row],[Name]],Table4[Name],Table4[True Rank],"DNP",0,1)),"DNP")</f>
        <v>DNP</v>
      </c>
      <c r="E41" s="26" t="str">
        <f>IFERROR(_xlfn.PERCENTRANK.INC(Table9[True Rank],_xlfn.XLOOKUP(Table1624[[#This Row],[Name]],Table9[Name],Table9[True Rank],"DNP",0,1)),"DNP")</f>
        <v>DNP</v>
      </c>
      <c r="F41" s="26" t="str">
        <f>IFERROR(_xlfn.PERCENTRANK.INC(Table18[True Rank],_xlfn.XLOOKUP(Table1624[[#This Row],[Name]],Table18[Name],Table18[True Rank],"DNP",0,1)),"DNP")</f>
        <v>DNP</v>
      </c>
      <c r="G41" s="26">
        <f>IFERROR(_xlfn.PERCENTRANK.INC(Table2[True Rank],_xlfn.XLOOKUP(Table1624[[#This Row],[Name]],Table2[Name],Table2[True Rank],"DNP",0,1)),"DNP")</f>
        <v>0.54700000000000004</v>
      </c>
      <c r="H41" s="26" t="str">
        <f>IFERROR(_xlfn.PERCENTRANK.INC(Table211[True Rank],_xlfn.XLOOKUP(Table1624[[#This Row],[Name]],Table211[Name],Table211[True Rank],"DNP",0,1)),"DNP")</f>
        <v>DNP</v>
      </c>
      <c r="I41" s="26" t="str">
        <f>IFERROR(_xlfn.PERCENTRANK.INC(Table21112[True Rank],_xlfn.XLOOKUP(Table1624[[#This Row],[Name]],Table21112[Name],Table21112[True Rank],"DNP",0,1)),"DNP")</f>
        <v>DNP</v>
      </c>
      <c r="J41" s="26" t="str">
        <f>IFERROR(_xlfn.PERCENTRANK.INC(Table21112164[True Rank],_xlfn.XLOOKUP(Table1624[[#This Row],[Name]],Table21112164[Name],Table21112164[True Rank],"DNP",0,1)),"DNP")</f>
        <v>DNP</v>
      </c>
      <c r="K41" s="26" t="str">
        <f>IFERROR(_xlfn.PERCENTRANK.INC(Table2111216420[True Rank],_xlfn.XLOOKUP(Table1624[[#This Row],[Name]],Table2111216420[Name],Table2111216420[True Rank],"DNP",0,1)),"DNP")</f>
        <v>DNP</v>
      </c>
      <c r="L41" s="26" t="str">
        <f>IFERROR(_xlfn.PERCENTRANK.INC(Table211121642021[True Rank],_xlfn.XLOOKUP(Table1624[[#This Row],[Name]],Table211121642021[Name],Table211121642021[True Rank],"DNP",0,1)),"DNP")</f>
        <v>DNP</v>
      </c>
      <c r="M41" s="26" t="str">
        <f>IFERROR(_xlfn.PERCENTRANK.INC(Table21112164202122[True Rank],_xlfn.XLOOKUP(Table1624[[#This Row],[Name]],Table21112164202122[Name],Table21112164202122[True Rank],"DNP",0,1)),"DNP")</f>
        <v>DNP</v>
      </c>
      <c r="N41" s="26">
        <f>IFERROR(_xlfn.PERCENTRANK.INC(Table2111216420212223[True Rank],_xlfn.XLOOKUP(Table1624[[#This Row],[Name]],Table2111216420212223[Name],Table2111216420212223[True Rank],"DNP",0,1)),"DNP")</f>
        <v>0.01</v>
      </c>
      <c r="O41" s="26">
        <f>IFERROR(_xlfn.PERCENTRANK.INC(Table211121642021222325[True Rank],_xlfn.XLOOKUP(Table1624[[#This Row],[Name]],Table211121642021222325[Name],Table211121642021222325[True Rank],"DNP",0,1)),"DNP")</f>
        <v>0.186</v>
      </c>
      <c r="P41" s="26">
        <f>IFERROR(_xlfn.PERCENTRANK.INC(Table21112164202122232534[True Rank],_xlfn.XLOOKUP(Table1624[[#This Row],[Name]],Table21112164202122232534[Name],Table21112164202122232534[True Rank],"DNP",0,1)),"DNP")</f>
        <v>0.54900000000000004</v>
      </c>
      <c r="Q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1" s="26">
        <f>IFERROR(_xlfn.PERCENTRANK.INC(Table211121642021222325343536[True Rank],_xlfn.XLOOKUP(Table1624[[#This Row],[Name]],Table211121642021222325343536[Name],Table211121642021222325343536[True Rank],"DNP",0,1)),"DNP")</f>
        <v>0.89300000000000002</v>
      </c>
      <c r="S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1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2:33">
      <c r="B42" t="str">
        <f>IFERROR(Table5[[#This Row],[Full name]],"")</f>
        <v>Forrest Hermary</v>
      </c>
      <c r="C42" s="108">
        <f>IFERROR(AVERAGE(Table1624[[#This Row],[September 30, 2025]:[Column18]]),"N/A")</f>
        <v>0.58783333333333332</v>
      </c>
      <c r="D42" s="26">
        <f>IFERROR(_xlfn.PERCENTRANK.INC(Table4[True Rank],_xlfn.XLOOKUP(Table1624[[#This Row],[Name]],Table4[Name],Table4[True Rank],"DNP",0,1)),"DNP")</f>
        <v>0.26600000000000001</v>
      </c>
      <c r="E42" s="26">
        <f>IFERROR(_xlfn.PERCENTRANK.INC(Table9[True Rank],_xlfn.XLOOKUP(Table1624[[#This Row],[Name]],Table9[Name],Table9[True Rank],"DNP",0,1)),"DNP")</f>
        <v>3.4000000000000002E-2</v>
      </c>
      <c r="F42" s="26" t="str">
        <f>IFERROR(_xlfn.PERCENTRANK.INC(Table18[True Rank],_xlfn.XLOOKUP(Table1624[[#This Row],[Name]],Table18[Name],Table18[True Rank],"DNP",0,1)),"DNP")</f>
        <v>DNP</v>
      </c>
      <c r="G42" s="26" t="str">
        <f>IFERROR(_xlfn.PERCENTRANK.INC(Table2[True Rank],_xlfn.XLOOKUP(Table1624[[#This Row],[Name]],Table2[Name],Table2[True Rank],"DNP",0,1)),"DNP")</f>
        <v>DNP</v>
      </c>
      <c r="H42" s="26">
        <f>IFERROR(_xlfn.PERCENTRANK.INC(Table211[True Rank],_xlfn.XLOOKUP(Table1624[[#This Row],[Name]],Table211[Name],Table211[True Rank],"DNP",0,1)),"DNP")</f>
        <v>0.88700000000000001</v>
      </c>
      <c r="I42" s="26" t="str">
        <f>IFERROR(_xlfn.PERCENTRANK.INC(Table21112[True Rank],_xlfn.XLOOKUP(Table1624[[#This Row],[Name]],Table21112[Name],Table21112[True Rank],"DNP",0,1)),"DNP")</f>
        <v>DNP</v>
      </c>
      <c r="J42" s="26">
        <f>IFERROR(_xlfn.PERCENTRANK.INC(Table21112164[True Rank],_xlfn.XLOOKUP(Table1624[[#This Row],[Name]],Table21112164[Name],Table21112164[True Rank],"DNP",0,1)),"DNP")</f>
        <v>0.91</v>
      </c>
      <c r="K42" s="26">
        <f>IFERROR(_xlfn.PERCENTRANK.INC(Table2111216420[True Rank],_xlfn.XLOOKUP(Table1624[[#This Row],[Name]],Table2111216420[Name],Table2111216420[True Rank],"DNP",0,1)),"DNP")</f>
        <v>0.84</v>
      </c>
      <c r="L42" s="26" t="str">
        <f>IFERROR(_xlfn.PERCENTRANK.INC(Table211121642021[True Rank],_xlfn.XLOOKUP(Table1624[[#This Row],[Name]],Table211121642021[Name],Table211121642021[True Rank],"DNP",0,1)),"DNP")</f>
        <v>DNP</v>
      </c>
      <c r="M42" s="26">
        <f>IFERROR(_xlfn.PERCENTRANK.INC(Table21112164202122[True Rank],_xlfn.XLOOKUP(Table1624[[#This Row],[Name]],Table21112164202122[Name],Table21112164202122[True Rank],"DNP",0,1)),"DNP")</f>
        <v>0.59</v>
      </c>
      <c r="N42" s="26" t="str">
        <f>IFERROR(_xlfn.PERCENTRANK.INC(Table2111216420212223[True Rank],_xlfn.XLOOKUP(Table1624[[#This Row],[Name]],Table2111216420212223[Name],Table2111216420212223[True Rank],"DNP",0,1)),"DNP")</f>
        <v>DNP</v>
      </c>
      <c r="O42" s="26" t="str">
        <f>IFERROR(_xlfn.PERCENTRANK.INC(Table211121642021222325[True Rank],_xlfn.XLOOKUP(Table1624[[#This Row],[Name]],Table211121642021222325[Name],Table211121642021222325[True Rank],"DNP",0,1)),"DNP")</f>
        <v>DNP</v>
      </c>
      <c r="P42" s="26" t="str">
        <f>IFERROR(_xlfn.PERCENTRANK.INC(Table21112164202122232534[True Rank],_xlfn.XLOOKUP(Table1624[[#This Row],[Name]],Table21112164202122232534[Name],Table21112164202122232534[True Rank],"DNP",0,1)),"DNP")</f>
        <v>DNP</v>
      </c>
      <c r="Q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2:33">
      <c r="B43" t="str">
        <f>IFERROR(Table5[[#This Row],[Full name]],"")</f>
        <v>Hao Bai</v>
      </c>
      <c r="C43" s="108">
        <f>IFERROR(AVERAGE(Table1624[[#This Row],[September 30, 2025]:[Column18]]),"N/A")</f>
        <v>0.5541666666666667</v>
      </c>
      <c r="D43" s="26" t="str">
        <f>IFERROR(_xlfn.PERCENTRANK.INC(Table4[True Rank],_xlfn.XLOOKUP(Table1624[[#This Row],[Name]],Table4[Name],Table4[True Rank],"DNP",0,1)),"DNP")</f>
        <v>DNP</v>
      </c>
      <c r="E43" s="26" t="str">
        <f>IFERROR(_xlfn.PERCENTRANK.INC(Table9[True Rank],_xlfn.XLOOKUP(Table1624[[#This Row],[Name]],Table9[Name],Table9[True Rank],"DNP",0,1)),"DNP")</f>
        <v>DNP</v>
      </c>
      <c r="F43" s="26" t="str">
        <f>IFERROR(_xlfn.PERCENTRANK.INC(Table18[True Rank],_xlfn.XLOOKUP(Table1624[[#This Row],[Name]],Table18[Name],Table18[True Rank],"DNP",0,1)),"DNP")</f>
        <v>DNP</v>
      </c>
      <c r="G43" s="26" t="str">
        <f>IFERROR(_xlfn.PERCENTRANK.INC(Table2[True Rank],_xlfn.XLOOKUP(Table1624[[#This Row],[Name]],Table2[Name],Table2[True Rank],"DNP",0,1)),"DNP")</f>
        <v>DNP</v>
      </c>
      <c r="H43" s="26">
        <f>IFERROR(_xlfn.PERCENTRANK.INC(Table211[True Rank],_xlfn.XLOOKUP(Table1624[[#This Row],[Name]],Table211[Name],Table211[True Rank],"DNP",0,1)),"DNP")</f>
        <v>0.57699999999999996</v>
      </c>
      <c r="I43" s="26">
        <f>IFERROR(_xlfn.PERCENTRANK.INC(Table21112[True Rank],_xlfn.XLOOKUP(Table1624[[#This Row],[Name]],Table21112[Name],Table21112[True Rank],"DNP",0,1)),"DNP")</f>
        <v>0.44800000000000001</v>
      </c>
      <c r="J43" s="26">
        <f>IFERROR(_xlfn.PERCENTRANK.INC(Table21112164[True Rank],_xlfn.XLOOKUP(Table1624[[#This Row],[Name]],Table21112164[Name],Table21112164[True Rank],"DNP",0,1)),"DNP")</f>
        <v>0.55000000000000004</v>
      </c>
      <c r="K43" s="26">
        <f>IFERROR(_xlfn.PERCENTRANK.INC(Table2111216420[True Rank],_xlfn.XLOOKUP(Table1624[[#This Row],[Name]],Table2111216420[Name],Table2111216420[True Rank],"DNP",0,1)),"DNP")</f>
        <v>0.78700000000000003</v>
      </c>
      <c r="L43" s="26">
        <f>IFERROR(_xlfn.PERCENTRANK.INC(Table211121642021[True Rank],_xlfn.XLOOKUP(Table1624[[#This Row],[Name]],Table211121642021[Name],Table211121642021[True Rank],"DNP",0,1)),"DNP")</f>
        <v>0.82699999999999996</v>
      </c>
      <c r="M43" s="26">
        <f>IFERROR(_xlfn.PERCENTRANK.INC(Table21112164202122[True Rank],_xlfn.XLOOKUP(Table1624[[#This Row],[Name]],Table21112164202122[Name],Table21112164202122[True Rank],"DNP",0,1)),"DNP")</f>
        <v>0.13600000000000001</v>
      </c>
      <c r="N43" s="26" t="str">
        <f>IFERROR(_xlfn.PERCENTRANK.INC(Table2111216420212223[True Rank],_xlfn.XLOOKUP(Table1624[[#This Row],[Name]],Table2111216420212223[Name],Table2111216420212223[True Rank],"DNP",0,1)),"DNP")</f>
        <v>DNP</v>
      </c>
      <c r="O43" s="26" t="str">
        <f>IFERROR(_xlfn.PERCENTRANK.INC(Table211121642021222325[True Rank],_xlfn.XLOOKUP(Table1624[[#This Row],[Name]],Table211121642021222325[Name],Table211121642021222325[True Rank],"DNP",0,1)),"DNP")</f>
        <v>DNP</v>
      </c>
      <c r="P43" s="26" t="str">
        <f>IFERROR(_xlfn.PERCENTRANK.INC(Table21112164202122232534[True Rank],_xlfn.XLOOKUP(Table1624[[#This Row],[Name]],Table21112164202122232534[Name],Table21112164202122232534[True Rank],"DNP",0,1)),"DNP")</f>
        <v>DNP</v>
      </c>
      <c r="Q4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2:33">
      <c r="B44" t="str">
        <f>IFERROR(Table5[[#This Row],[Full name]],"")</f>
        <v>Himaksh Talreja</v>
      </c>
      <c r="C44" s="108">
        <f>IFERROR(AVERAGE(Table1624[[#This Row],[September 30, 2025]:[Column18]]),"N/A")</f>
        <v>0.73299999999999998</v>
      </c>
      <c r="D44" s="26">
        <f>IFERROR(_xlfn.PERCENTRANK.INC(Table4[True Rank],_xlfn.XLOOKUP(Table1624[[#This Row],[Name]],Table4[Name],Table4[True Rank],"DNP",0,1)),"DNP")</f>
        <v>0.40300000000000002</v>
      </c>
      <c r="E44" s="26" t="str">
        <f>IFERROR(_xlfn.PERCENTRANK.INC(Table9[True Rank],_xlfn.XLOOKUP(Table1624[[#This Row],[Name]],Table9[Name],Table9[True Rank],"DNP",0,1)),"DNP")</f>
        <v>DNP</v>
      </c>
      <c r="F44" s="26" t="str">
        <f>IFERROR(_xlfn.PERCENTRANK.INC(Table18[True Rank],_xlfn.XLOOKUP(Table1624[[#This Row],[Name]],Table18[Name],Table18[True Rank],"DNP",0,1)),"DNP")</f>
        <v>DNP</v>
      </c>
      <c r="G44" s="26" t="str">
        <f>IFERROR(_xlfn.PERCENTRANK.INC(Table2[True Rank],_xlfn.XLOOKUP(Table1624[[#This Row],[Name]],Table2[Name],Table2[True Rank],"DNP",0,1)),"DNP")</f>
        <v>DNP</v>
      </c>
      <c r="H44" s="26" t="str">
        <f>IFERROR(_xlfn.PERCENTRANK.INC(Table211[True Rank],_xlfn.XLOOKUP(Table1624[[#This Row],[Name]],Table211[Name],Table211[True Rank],"DNP",0,1)),"DNP")</f>
        <v>DNP</v>
      </c>
      <c r="I44" s="26" t="str">
        <f>IFERROR(_xlfn.PERCENTRANK.INC(Table21112[True Rank],_xlfn.XLOOKUP(Table1624[[#This Row],[Name]],Table21112[Name],Table21112[True Rank],"DNP",0,1)),"DNP")</f>
        <v>DNP</v>
      </c>
      <c r="J44" s="26">
        <f>IFERROR(_xlfn.PERCENTRANK.INC(Table21112164[True Rank],_xlfn.XLOOKUP(Table1624[[#This Row],[Name]],Table21112164[Name],Table21112164[True Rank],"DNP",0,1)),"DNP")</f>
        <v>0.93200000000000005</v>
      </c>
      <c r="K44" s="26" t="str">
        <f>IFERROR(_xlfn.PERCENTRANK.INC(Table2111216420[True Rank],_xlfn.XLOOKUP(Table1624[[#This Row],[Name]],Table2111216420[Name],Table2111216420[True Rank],"DNP",0,1)),"DNP")</f>
        <v>DNP</v>
      </c>
      <c r="L44" s="26" t="str">
        <f>IFERROR(_xlfn.PERCENTRANK.INC(Table211121642021[True Rank],_xlfn.XLOOKUP(Table1624[[#This Row],[Name]],Table211121642021[Name],Table211121642021[True Rank],"DNP",0,1)),"DNP")</f>
        <v>DNP</v>
      </c>
      <c r="M44" s="26" t="str">
        <f>IFERROR(_xlfn.PERCENTRANK.INC(Table21112164202122[True Rank],_xlfn.XLOOKUP(Table1624[[#This Row],[Name]],Table21112164202122[Name],Table21112164202122[True Rank],"DNP",0,1)),"DNP")</f>
        <v>DNP</v>
      </c>
      <c r="N44" s="26">
        <f>IFERROR(_xlfn.PERCENTRANK.INC(Table2111216420212223[True Rank],_xlfn.XLOOKUP(Table1624[[#This Row],[Name]],Table2111216420212223[Name],Table2111216420212223[True Rank],"DNP",0,1)),"DNP")</f>
        <v>0.72499999999999998</v>
      </c>
      <c r="O44" s="26" t="str">
        <f>IFERROR(_xlfn.PERCENTRANK.INC(Table211121642021222325[True Rank],_xlfn.XLOOKUP(Table1624[[#This Row],[Name]],Table211121642021222325[Name],Table211121642021222325[True Rank],"DNP",0,1)),"DNP")</f>
        <v>DNP</v>
      </c>
      <c r="P44" s="26" t="str">
        <f>IFERROR(_xlfn.PERCENTRANK.INC(Table21112164202122232534[True Rank],_xlfn.XLOOKUP(Table1624[[#This Row],[Name]],Table21112164202122232534[Name],Table21112164202122232534[True Rank],"DNP",0,1)),"DNP")</f>
        <v>DNP</v>
      </c>
      <c r="Q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4" s="26">
        <f>IFERROR(_xlfn.PERCENTRANK.INC(Table2111216420212223253435363738[True Rank],_xlfn.XLOOKUP(Table1624[[#This Row],[Name]],Table2111216420212223253435363738[Name],Table2111216420212223253435363738[True Rank],"DNP",0,1)),"DNP")</f>
        <v>0.872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  <row r="45" spans="2:33">
      <c r="B45" t="str">
        <f>IFERROR(Table5[[#This Row],[Full name]],"")</f>
        <v>James Kilfoil</v>
      </c>
      <c r="C45" s="108">
        <f>IFERROR(AVERAGE(Table1624[[#This Row],[September 30, 2025]:[Column18]]),"N/A")</f>
        <v>0.45524999999999999</v>
      </c>
      <c r="D45" s="26">
        <f>IFERROR(_xlfn.PERCENTRANK.INC(Table4[True Rank],_xlfn.XLOOKUP(Table1624[[#This Row],[Name]],Table4[Name],Table4[True Rank],"DNP",0,1)),"DNP")</f>
        <v>4.4999999999999998E-2</v>
      </c>
      <c r="E45" s="26" t="str">
        <f>IFERROR(_xlfn.PERCENTRANK.INC(Table9[True Rank],_xlfn.XLOOKUP(Table1624[[#This Row],[Name]],Table9[Name],Table9[True Rank],"DNP",0,1)),"DNP")</f>
        <v>DNP</v>
      </c>
      <c r="F45" s="26" t="str">
        <f>IFERROR(_xlfn.PERCENTRANK.INC(Table18[True Rank],_xlfn.XLOOKUP(Table1624[[#This Row],[Name]],Table18[Name],Table18[True Rank],"DNP",0,1)),"DNP")</f>
        <v>DNP</v>
      </c>
      <c r="G45" s="26" t="str">
        <f>IFERROR(_xlfn.PERCENTRANK.INC(Table2[True Rank],_xlfn.XLOOKUP(Table1624[[#This Row],[Name]],Table2[Name],Table2[True Rank],"DNP",0,1)),"DNP")</f>
        <v>DNP</v>
      </c>
      <c r="H45" s="26" t="str">
        <f>IFERROR(_xlfn.PERCENTRANK.INC(Table211[True Rank],_xlfn.XLOOKUP(Table1624[[#This Row],[Name]],Table211[Name],Table211[True Rank],"DNP",0,1)),"DNP")</f>
        <v>DNP</v>
      </c>
      <c r="I45" s="26" t="str">
        <f>IFERROR(_xlfn.PERCENTRANK.INC(Table21112[True Rank],_xlfn.XLOOKUP(Table1624[[#This Row],[Name]],Table21112[Name],Table21112[True Rank],"DNP",0,1)),"DNP")</f>
        <v>DNP</v>
      </c>
      <c r="J45" s="26">
        <f>IFERROR(_xlfn.PERCENTRANK.INC(Table21112164[True Rank],_xlfn.XLOOKUP(Table1624[[#This Row],[Name]],Table21112164[Name],Table21112164[True Rank],"DNP",0,1)),"DNP")</f>
        <v>0.51600000000000001</v>
      </c>
      <c r="K45" s="26" t="str">
        <f>IFERROR(_xlfn.PERCENTRANK.INC(Table2111216420[True Rank],_xlfn.XLOOKUP(Table1624[[#This Row],[Name]],Table2111216420[Name],Table2111216420[True Rank],"DNP",0,1)),"DNP")</f>
        <v>DNP</v>
      </c>
      <c r="L45" s="26">
        <f>IFERROR(_xlfn.PERCENTRANK.INC(Table211121642021[True Rank],_xlfn.XLOOKUP(Table1624[[#This Row],[Name]],Table211121642021[Name],Table211121642021[True Rank],"DNP",0,1)),"DNP")</f>
        <v>0.64500000000000002</v>
      </c>
      <c r="M45" s="26" t="str">
        <f>IFERROR(_xlfn.PERCENTRANK.INC(Table21112164202122[True Rank],_xlfn.XLOOKUP(Table1624[[#This Row],[Name]],Table21112164202122[Name],Table21112164202122[True Rank],"DNP",0,1)),"DNP")</f>
        <v>DNP</v>
      </c>
      <c r="N45" s="26">
        <f>IFERROR(_xlfn.PERCENTRANK.INC(Table2111216420212223[True Rank],_xlfn.XLOOKUP(Table1624[[#This Row],[Name]],Table2111216420212223[Name],Table2111216420212223[True Rank],"DNP",0,1)),"DNP")</f>
        <v>0.61499999999999999</v>
      </c>
      <c r="O45" s="26" t="str">
        <f>IFERROR(_xlfn.PERCENTRANK.INC(Table211121642021222325[True Rank],_xlfn.XLOOKUP(Table1624[[#This Row],[Name]],Table211121642021222325[Name],Table211121642021222325[True Rank],"DNP",0,1)),"DNP")</f>
        <v>DNP</v>
      </c>
      <c r="P45" s="26" t="str">
        <f>IFERROR(_xlfn.PERCENTRANK.INC(Table21112164202122232534[True Rank],_xlfn.XLOOKUP(Table1624[[#This Row],[Name]],Table21112164202122232534[Name],Table21112164202122232534[True Rank],"DNP",0,1)),"DNP")</f>
        <v>DNP</v>
      </c>
      <c r="Q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</row>
    <row r="46" spans="2:33">
      <c r="B46" t="str">
        <f>IFERROR(Table5[[#This Row],[Full name]],"")</f>
        <v>Jared Lipski</v>
      </c>
      <c r="C46" s="108">
        <f>IFERROR(AVERAGE(Table1624[[#This Row],[September 30, 2025]:[Column18]]),"N/A")</f>
        <v>0.50812500000000005</v>
      </c>
      <c r="D46" s="26">
        <f>IFERROR(_xlfn.PERCENTRANK.INC(Table4[True Rank],_xlfn.XLOOKUP(Table1624[[#This Row],[Name]],Table4[Name],Table4[True Rank],"DNP",0,1)),"DNP")</f>
        <v>0.46700000000000003</v>
      </c>
      <c r="E46" s="26">
        <f>IFERROR(_xlfn.PERCENTRANK.INC(Table9[True Rank],_xlfn.XLOOKUP(Table1624[[#This Row],[Name]],Table9[Name],Table9[True Rank],"DNP",0,1)),"DNP")</f>
        <v>0.52800000000000002</v>
      </c>
      <c r="F46" s="26" t="str">
        <f>IFERROR(_xlfn.PERCENTRANK.INC(Table18[True Rank],_xlfn.XLOOKUP(Table1624[[#This Row],[Name]],Table18[Name],Table18[True Rank],"DNP",0,1)),"DNP")</f>
        <v>DNP</v>
      </c>
      <c r="G46" s="26" t="str">
        <f>IFERROR(_xlfn.PERCENTRANK.INC(Table2[True Rank],_xlfn.XLOOKUP(Table1624[[#This Row],[Name]],Table2[Name],Table2[True Rank],"DNP",0,1)),"DNP")</f>
        <v>DNP</v>
      </c>
      <c r="H46" s="26" t="str">
        <f>IFERROR(_xlfn.PERCENTRANK.INC(Table211[True Rank],_xlfn.XLOOKUP(Table1624[[#This Row],[Name]],Table211[Name],Table211[True Rank],"DNP",0,1)),"DNP")</f>
        <v>DNP</v>
      </c>
      <c r="I46" s="26">
        <f>IFERROR(_xlfn.PERCENTRANK.INC(Table21112[True Rank],_xlfn.XLOOKUP(Table1624[[#This Row],[Name]],Table21112[Name],Table21112[True Rank],"DNP",0,1)),"DNP")</f>
        <v>0.60199999999999998</v>
      </c>
      <c r="J46" s="26" t="str">
        <f>IFERROR(_xlfn.PERCENTRANK.INC(Table21112164[True Rank],_xlfn.XLOOKUP(Table1624[[#This Row],[Name]],Table21112164[Name],Table21112164[True Rank],"DNP",0,1)),"DNP")</f>
        <v>DNP</v>
      </c>
      <c r="K46" s="26" t="str">
        <f>IFERROR(_xlfn.PERCENTRANK.INC(Table2111216420[True Rank],_xlfn.XLOOKUP(Table1624[[#This Row],[Name]],Table2111216420[Name],Table2111216420[True Rank],"DNP",0,1)),"DNP")</f>
        <v>DNP</v>
      </c>
      <c r="L46" s="26">
        <f>IFERROR(_xlfn.PERCENTRANK.INC(Table211121642021[True Rank],_xlfn.XLOOKUP(Table1624[[#This Row],[Name]],Table211121642021[Name],Table211121642021[True Rank],"DNP",0,1)),"DNP")</f>
        <v>0.72</v>
      </c>
      <c r="M46" s="26" t="str">
        <f>IFERROR(_xlfn.PERCENTRANK.INC(Table21112164202122[True Rank],_xlfn.XLOOKUP(Table1624[[#This Row],[Name]],Table21112164202122[Name],Table21112164202122[True Rank],"DNP",0,1)),"DNP")</f>
        <v>DNP</v>
      </c>
      <c r="N46" s="26">
        <f>IFERROR(_xlfn.PERCENTRANK.INC(Table2111216420212223[True Rank],_xlfn.XLOOKUP(Table1624[[#This Row],[Name]],Table2111216420212223[Name],Table2111216420212223[True Rank],"DNP",0,1)),"DNP")</f>
        <v>0.47199999999999998</v>
      </c>
      <c r="O46" s="26">
        <f>IFERROR(_xlfn.PERCENTRANK.INC(Table211121642021222325[True Rank],_xlfn.XLOOKUP(Table1624[[#This Row],[Name]],Table211121642021222325[Name],Table211121642021222325[True Rank],"DNP",0,1)),"DNP")</f>
        <v>0.38400000000000001</v>
      </c>
      <c r="P46" s="26">
        <f>IFERROR(_xlfn.PERCENTRANK.INC(Table21112164202122232534[True Rank],_xlfn.XLOOKUP(Table1624[[#This Row],[Name]],Table21112164202122232534[Name],Table21112164202122232534[True Rank],"DNP",0,1)),"DNP")</f>
        <v>0.69199999999999995</v>
      </c>
      <c r="Q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6" s="26">
        <f>IFERROR(_xlfn.PERCENTRANK.INC(Table2111216420212223253435363738[True Rank],_xlfn.XLOOKUP(Table1624[[#This Row],[Name]],Table2111216420212223253435363738[Name],Table2111216420212223253435363738[True Rank],"DNP",0,1)),"DNP")</f>
        <v>0.2</v>
      </c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</row>
    <row r="47" spans="2:33">
      <c r="B47" t="str">
        <f>IFERROR(Table5[[#This Row],[Full name]],"")</f>
        <v>Jayden Agarwal</v>
      </c>
      <c r="C47" s="108">
        <f>IFERROR(AVERAGE(Table1624[[#This Row],[September 30, 2025]:[Column18]]),"N/A")</f>
        <v>0.74849999999999994</v>
      </c>
      <c r="D47" s="26" t="str">
        <f>IFERROR(_xlfn.PERCENTRANK.INC(Table4[True Rank],_xlfn.XLOOKUP(Table1624[[#This Row],[Name]],Table4[Name],Table4[True Rank],"DNP",0,1)),"DNP")</f>
        <v>DNP</v>
      </c>
      <c r="E47" s="26">
        <f>IFERROR(_xlfn.PERCENTRANK.INC(Table9[True Rank],_xlfn.XLOOKUP(Table1624[[#This Row],[Name]],Table9[Name],Table9[True Rank],"DNP",0,1)),"DNP")</f>
        <v>0.54</v>
      </c>
      <c r="F47" s="26" t="str">
        <f>IFERROR(_xlfn.PERCENTRANK.INC(Table18[True Rank],_xlfn.XLOOKUP(Table1624[[#This Row],[Name]],Table18[Name],Table18[True Rank],"DNP",0,1)),"DNP")</f>
        <v>DNP</v>
      </c>
      <c r="G47" s="26" t="str">
        <f>IFERROR(_xlfn.PERCENTRANK.INC(Table2[True Rank],_xlfn.XLOOKUP(Table1624[[#This Row],[Name]],Table2[Name],Table2[True Rank],"DNP",0,1)),"DNP")</f>
        <v>DNP</v>
      </c>
      <c r="H47" s="26">
        <f>IFERROR(_xlfn.PERCENTRANK.INC(Table211[True Rank],_xlfn.XLOOKUP(Table1624[[#This Row],[Name]],Table211[Name],Table211[True Rank],"DNP",0,1)),"DNP")</f>
        <v>0.95699999999999996</v>
      </c>
      <c r="I47" s="26" t="str">
        <f>IFERROR(_xlfn.PERCENTRANK.INC(Table21112[True Rank],_xlfn.XLOOKUP(Table1624[[#This Row],[Name]],Table21112[Name],Table21112[True Rank],"DNP",0,1)),"DNP")</f>
        <v>DNP</v>
      </c>
      <c r="J47" s="26" t="str">
        <f>IFERROR(_xlfn.PERCENTRANK.INC(Table21112164[True Rank],_xlfn.XLOOKUP(Table1624[[#This Row],[Name]],Table21112164[Name],Table21112164[True Rank],"DNP",0,1)),"DNP")</f>
        <v>DNP</v>
      </c>
      <c r="K47" s="26" t="str">
        <f>IFERROR(_xlfn.PERCENTRANK.INC(Table2111216420[True Rank],_xlfn.XLOOKUP(Table1624[[#This Row],[Name]],Table2111216420[Name],Table2111216420[True Rank],"DNP",0,1)),"DNP")</f>
        <v>DNP</v>
      </c>
      <c r="L47" s="26" t="str">
        <f>IFERROR(_xlfn.PERCENTRANK.INC(Table211121642021[True Rank],_xlfn.XLOOKUP(Table1624[[#This Row],[Name]],Table211121642021[Name],Table211121642021[True Rank],"DNP",0,1)),"DNP")</f>
        <v>DNP</v>
      </c>
      <c r="M47" s="26" t="str">
        <f>IFERROR(_xlfn.PERCENTRANK.INC(Table21112164202122[True Rank],_xlfn.XLOOKUP(Table1624[[#This Row],[Name]],Table21112164202122[Name],Table21112164202122[True Rank],"DNP",0,1)),"DNP")</f>
        <v>DNP</v>
      </c>
      <c r="N47" s="26" t="str">
        <f>IFERROR(_xlfn.PERCENTRANK.INC(Table2111216420212223[True Rank],_xlfn.XLOOKUP(Table1624[[#This Row],[Name]],Table2111216420212223[Name],Table2111216420212223[True Rank],"DNP",0,1)),"DNP")</f>
        <v>DNP</v>
      </c>
      <c r="O47" s="26" t="str">
        <f>IFERROR(_xlfn.PERCENTRANK.INC(Table211121642021222325[True Rank],_xlfn.XLOOKUP(Table1624[[#This Row],[Name]],Table211121642021222325[Name],Table211121642021222325[True Rank],"DNP",0,1)),"DNP")</f>
        <v>DNP</v>
      </c>
      <c r="P47" s="26" t="str">
        <f>IFERROR(_xlfn.PERCENTRANK.INC(Table21112164202122232534[True Rank],_xlfn.XLOOKUP(Table1624[[#This Row],[Name]],Table21112164202122232534[Name],Table21112164202122232534[True Rank],"DNP",0,1)),"DNP")</f>
        <v>DNP</v>
      </c>
      <c r="Q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</row>
    <row r="48" spans="2:33">
      <c r="B48" t="str">
        <f>IFERROR(Table5[[#This Row],[Full name]],"")</f>
        <v>Marcus Athwal</v>
      </c>
      <c r="C48" s="108">
        <f>IFERROR(AVERAGE(Table1624[[#This Row],[September 30, 2025]:[Column18]]),"N/A")</f>
        <v>0.35235714285714276</v>
      </c>
      <c r="D48" s="26">
        <f>IFERROR(_xlfn.PERCENTRANK.INC(Table4[True Rank],_xlfn.XLOOKUP(Table1624[[#This Row],[Name]],Table4[Name],Table4[True Rank],"DNP",0,1)),"DNP")</f>
        <v>0.33900000000000002</v>
      </c>
      <c r="E48" s="26">
        <f>IFERROR(_xlfn.PERCENTRANK.INC(Table9[True Rank],_xlfn.XLOOKUP(Table1624[[#This Row],[Name]],Table9[Name],Table9[True Rank],"DNP",0,1)),"DNP")</f>
        <v>0.88500000000000001</v>
      </c>
      <c r="F48" s="26">
        <f>IFERROR(_xlfn.PERCENTRANK.INC(Table18[True Rank],_xlfn.XLOOKUP(Table1624[[#This Row],[Name]],Table18[Name],Table18[True Rank],"DNP",0,1)),"DNP")</f>
        <v>0.05</v>
      </c>
      <c r="G48" s="26">
        <f>IFERROR(_xlfn.PERCENTRANK.INC(Table2[True Rank],_xlfn.XLOOKUP(Table1624[[#This Row],[Name]],Table2[Name],Table2[True Rank],"DNP",0,1)),"DNP")</f>
        <v>0.22600000000000001</v>
      </c>
      <c r="H48" s="26" t="str">
        <f>IFERROR(_xlfn.PERCENTRANK.INC(Table211[True Rank],_xlfn.XLOOKUP(Table1624[[#This Row],[Name]],Table211[Name],Table211[True Rank],"DNP",0,1)),"DNP")</f>
        <v>DNP</v>
      </c>
      <c r="I48" s="26">
        <f>IFERROR(_xlfn.PERCENTRANK.INC(Table21112[True Rank],_xlfn.XLOOKUP(Table1624[[#This Row],[Name]],Table21112[Name],Table21112[True Rank],"DNP",0,1)),"DNP")</f>
        <v>0.33300000000000002</v>
      </c>
      <c r="J48" s="26">
        <f>IFERROR(_xlfn.PERCENTRANK.INC(Table21112164[True Rank],_xlfn.XLOOKUP(Table1624[[#This Row],[Name]],Table21112164[Name],Table21112164[True Rank],"DNP",0,1)),"DNP")</f>
        <v>0.13400000000000001</v>
      </c>
      <c r="K48" s="26">
        <f>IFERROR(_xlfn.PERCENTRANK.INC(Table2111216420[True Rank],_xlfn.XLOOKUP(Table1624[[#This Row],[Name]],Table2111216420[Name],Table2111216420[True Rank],"DNP",0,1)),"DNP")</f>
        <v>0.28699999999999998</v>
      </c>
      <c r="L48" s="26" t="str">
        <f>IFERROR(_xlfn.PERCENTRANK.INC(Table211121642021[True Rank],_xlfn.XLOOKUP(Table1624[[#This Row],[Name]],Table211121642021[Name],Table211121642021[True Rank],"DNP",0,1)),"DNP")</f>
        <v>DNP</v>
      </c>
      <c r="M48" s="26" t="str">
        <f>IFERROR(_xlfn.PERCENTRANK.INC(Table21112164202122[True Rank],_xlfn.XLOOKUP(Table1624[[#This Row],[Name]],Table21112164202122[Name],Table21112164202122[True Rank],"DNP",0,1)),"DNP")</f>
        <v>DNP</v>
      </c>
      <c r="N48" s="26">
        <f>IFERROR(_xlfn.PERCENTRANK.INC(Table2111216420212223[True Rank],_xlfn.XLOOKUP(Table1624[[#This Row],[Name]],Table2111216420212223[Name],Table2111216420212223[True Rank],"DNP",0,1)),"DNP")</f>
        <v>0.373</v>
      </c>
      <c r="O48" s="26">
        <f>IFERROR(_xlfn.PERCENTRANK.INC(Table211121642021222325[True Rank],_xlfn.XLOOKUP(Table1624[[#This Row],[Name]],Table211121642021222325[Name],Table211121642021222325[True Rank],"DNP",0,1)),"DNP")</f>
        <v>0.219</v>
      </c>
      <c r="P48" s="26">
        <f>IFERROR(_xlfn.PERCENTRANK.INC(Table21112164202122232534[True Rank],_xlfn.XLOOKUP(Table1624[[#This Row],[Name]],Table21112164202122232534[Name],Table21112164202122232534[True Rank],"DNP",0,1)),"DNP")</f>
        <v>6.5000000000000002E-2</v>
      </c>
      <c r="Q48" s="26">
        <f>IFERROR(_xlfn.PERCENTRANK.INC(Table2111216420212223253435[True Rank],_xlfn.XLOOKUP(Table1624[[#This Row],[Name]],Table2111216420212223253435[Name],Table2111216420212223253435[True Rank],"DNP",0,1)),"DNP")</f>
        <v>0.44</v>
      </c>
      <c r="R48" s="26">
        <f>IFERROR(_xlfn.PERCENTRANK.INC(Table211121642021222325343536[True Rank],_xlfn.XLOOKUP(Table1624[[#This Row],[Name]],Table211121642021222325343536[Name],Table211121642021222325343536[True Rank],"DNP",0,1)),"DNP")</f>
        <v>0.93899999999999995</v>
      </c>
      <c r="S48" s="26">
        <f>IFERROR(_xlfn.PERCENTRANK.INC(Table21112164202122232534353637[True Rank],_xlfn.XLOOKUP(Table1624[[#This Row],[Name]],Table21112164202122232534353637[Name],Table21112164202122232534353637[True Rank],"DNP",0,1)),"DNP")</f>
        <v>0.189</v>
      </c>
      <c r="T48" s="26">
        <f>IFERROR(_xlfn.PERCENTRANK.INC(Table2111216420212223253435363738[True Rank],_xlfn.XLOOKUP(Table1624[[#This Row],[Name]],Table2111216420212223253435363738[Name],Table2111216420212223253435363738[True Rank],"DNP",0,1)),"DNP")</f>
        <v>0.45400000000000001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</row>
    <row r="49" spans="2:33">
      <c r="B49" t="str">
        <f>IFERROR(Table5[[#This Row],[Full name]],"")</f>
        <v>Matthew Pape</v>
      </c>
      <c r="C49" s="108">
        <f>IFERROR(AVERAGE(Table1624[[#This Row],[September 30, 2025]:[Column18]]),"N/A")</f>
        <v>0.45375000000000004</v>
      </c>
      <c r="D49" s="26">
        <f>IFERROR(_xlfn.PERCENTRANK.INC(Table4[True Rank],_xlfn.XLOOKUP(Table1624[[#This Row],[Name]],Table4[Name],Table4[True Rank],"DNP",0,1)),"DNP")</f>
        <v>0.74299999999999999</v>
      </c>
      <c r="E49" s="26">
        <f>IFERROR(_xlfn.PERCENTRANK.INC(Table9[True Rank],_xlfn.XLOOKUP(Table1624[[#This Row],[Name]],Table9[Name],Table9[True Rank],"DNP",0,1)),"DNP")</f>
        <v>0.17199999999999999</v>
      </c>
      <c r="F49" s="26" t="str">
        <f>IFERROR(_xlfn.PERCENTRANK.INC(Table18[True Rank],_xlfn.XLOOKUP(Table1624[[#This Row],[Name]],Table18[Name],Table18[True Rank],"DNP",0,1)),"DNP")</f>
        <v>DNP</v>
      </c>
      <c r="G49" s="26" t="str">
        <f>IFERROR(_xlfn.PERCENTRANK.INC(Table2[True Rank],_xlfn.XLOOKUP(Table1624[[#This Row],[Name]],Table2[Name],Table2[True Rank],"DNP",0,1)),"DNP")</f>
        <v>DNP</v>
      </c>
      <c r="H49" s="26">
        <f>IFERROR(_xlfn.PERCENTRANK.INC(Table211[True Rank],_xlfn.XLOOKUP(Table1624[[#This Row],[Name]],Table211[Name],Table211[True Rank],"DNP",0,1)),"DNP")</f>
        <v>0.45</v>
      </c>
      <c r="I49" s="26" t="str">
        <f>IFERROR(_xlfn.PERCENTRANK.INC(Table21112[True Rank],_xlfn.XLOOKUP(Table1624[[#This Row],[Name]],Table21112[Name],Table21112[True Rank],"DNP",0,1)),"DNP")</f>
        <v>DNP</v>
      </c>
      <c r="J49" s="26">
        <f>IFERROR(_xlfn.PERCENTRANK.INC(Table21112164[True Rank],_xlfn.XLOOKUP(Table1624[[#This Row],[Name]],Table21112164[Name],Table21112164[True Rank],"DNP",0,1)),"DNP")</f>
        <v>0.65100000000000002</v>
      </c>
      <c r="K49" s="26" t="str">
        <f>IFERROR(_xlfn.PERCENTRANK.INC(Table2111216420[True Rank],_xlfn.XLOOKUP(Table1624[[#This Row],[Name]],Table2111216420[Name],Table2111216420[True Rank],"DNP",0,1)),"DNP")</f>
        <v>DNP</v>
      </c>
      <c r="L49" s="26">
        <f>IFERROR(_xlfn.PERCENTRANK.INC(Table211121642021[True Rank],_xlfn.XLOOKUP(Table1624[[#This Row],[Name]],Table211121642021[Name],Table211121642021[True Rank],"DNP",0,1)),"DNP")</f>
        <v>0.91300000000000003</v>
      </c>
      <c r="M49" s="26" t="str">
        <f>IFERROR(_xlfn.PERCENTRANK.INC(Table21112164202122[True Rank],_xlfn.XLOOKUP(Table1624[[#This Row],[Name]],Table21112164202122[Name],Table21112164202122[True Rank],"DNP",0,1)),"DNP")</f>
        <v>DNP</v>
      </c>
      <c r="N49" s="26">
        <f>IFERROR(_xlfn.PERCENTRANK.INC(Table2111216420212223[True Rank],_xlfn.XLOOKUP(Table1624[[#This Row],[Name]],Table2111216420212223[Name],Table2111216420212223[True Rank],"DNP",0,1)),"DNP")</f>
        <v>0.61499999999999999</v>
      </c>
      <c r="O49" s="26">
        <f>IFERROR(_xlfn.PERCENTRANK.INC(Table211121642021222325[True Rank],_xlfn.XLOOKUP(Table1624[[#This Row],[Name]],Table211121642021222325[Name],Table211121642021222325[True Rank],"DNP",0,1)),"DNP")</f>
        <v>0</v>
      </c>
      <c r="P49" s="26" t="str">
        <f>IFERROR(_xlfn.PERCENTRANK.INC(Table21112164202122232534[True Rank],_xlfn.XLOOKUP(Table1624[[#This Row],[Name]],Table21112164202122232534[Name],Table21112164202122232534[True Rank],"DNP",0,1)),"DNP")</f>
        <v>DNP</v>
      </c>
      <c r="Q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49" s="26">
        <f>IFERROR(_xlfn.PERCENTRANK.INC(Table21112164202122232534353637[True Rank],_xlfn.XLOOKUP(Table1624[[#This Row],[Name]],Table21112164202122232534353637[Name],Table21112164202122232534353637[True Rank],"DNP",0,1)),"DNP")</f>
        <v>8.5999999999999993E-2</v>
      </c>
      <c r="T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</row>
    <row r="50" spans="2:33">
      <c r="B50" t="str">
        <f>IFERROR(Table5[[#This Row],[Full name]],"")</f>
        <v>Matthew Fernandes</v>
      </c>
      <c r="C50" s="108">
        <f>IFERROR(AVERAGE(Table1624[[#This Row],[September 30, 2025]:[Column18]]),"N/A")</f>
        <v>0.42288888888888893</v>
      </c>
      <c r="D50" s="26" t="str">
        <f>IFERROR(_xlfn.PERCENTRANK.INC(Table4[True Rank],_xlfn.XLOOKUP(Table1624[[#This Row],[Name]],Table4[Name],Table4[True Rank],"DNP",0,1)),"DNP")</f>
        <v>DNP</v>
      </c>
      <c r="E50" s="26" t="str">
        <f>IFERROR(_xlfn.PERCENTRANK.INC(Table9[True Rank],_xlfn.XLOOKUP(Table1624[[#This Row],[Name]],Table9[Name],Table9[True Rank],"DNP",0,1)),"DNP")</f>
        <v>DNP</v>
      </c>
      <c r="F50" s="26" t="str">
        <f>IFERROR(_xlfn.PERCENTRANK.INC(Table18[True Rank],_xlfn.XLOOKUP(Table1624[[#This Row],[Name]],Table18[Name],Table18[True Rank],"DNP",0,1)),"DNP")</f>
        <v>DNP</v>
      </c>
      <c r="G50" s="26" t="str">
        <f>IFERROR(_xlfn.PERCENTRANK.INC(Table2[True Rank],_xlfn.XLOOKUP(Table1624[[#This Row],[Name]],Table2[Name],Table2[True Rank],"DNP",0,1)),"DNP")</f>
        <v>DNP</v>
      </c>
      <c r="H50" s="26" t="str">
        <f>IFERROR(_xlfn.PERCENTRANK.INC(Table211[True Rank],_xlfn.XLOOKUP(Table1624[[#This Row],[Name]],Table211[Name],Table211[True Rank],"DNP",0,1)),"DNP")</f>
        <v>DNP</v>
      </c>
      <c r="I50" s="26">
        <f>IFERROR(_xlfn.PERCENTRANK.INC(Table21112[True Rank],_xlfn.XLOOKUP(Table1624[[#This Row],[Name]],Table21112[Name],Table21112[True Rank],"DNP",0,1)),"DNP")</f>
        <v>0.33300000000000002</v>
      </c>
      <c r="J50" s="26">
        <f>IFERROR(_xlfn.PERCENTRANK.INC(Table21112164[True Rank],_xlfn.XLOOKUP(Table1624[[#This Row],[Name]],Table21112164[Name],Table21112164[True Rank],"DNP",0,1)),"DNP")</f>
        <v>0</v>
      </c>
      <c r="K50" s="26">
        <f>IFERROR(_xlfn.PERCENTRANK.INC(Table2111216420[True Rank],_xlfn.XLOOKUP(Table1624[[#This Row],[Name]],Table2111216420[Name],Table2111216420[True Rank],"DNP",0,1)),"DNP")</f>
        <v>0.34</v>
      </c>
      <c r="L50" s="26">
        <f>IFERROR(_xlfn.PERCENTRANK.INC(Table211121642021[True Rank],_xlfn.XLOOKUP(Table1624[[#This Row],[Name]],Table211121642021[Name],Table211121642021[True Rank],"DNP",0,1)),"DNP")</f>
        <v>4.2999999999999997E-2</v>
      </c>
      <c r="M50" s="26">
        <f>IFERROR(_xlfn.PERCENTRANK.INC(Table21112164202122[True Rank],_xlfn.XLOOKUP(Table1624[[#This Row],[Name]],Table21112164202122[Name],Table21112164202122[True Rank],"DNP",0,1)),"DNP")</f>
        <v>0.80600000000000005</v>
      </c>
      <c r="N50" s="26">
        <f>IFERROR(_xlfn.PERCENTRANK.INC(Table2111216420212223[True Rank],_xlfn.XLOOKUP(Table1624[[#This Row],[Name]],Table2111216420212223[Name],Table2111216420212223[True Rank],"DNP",0,1)),"DNP")</f>
        <v>0.53800000000000003</v>
      </c>
      <c r="O50" s="26">
        <f>IFERROR(_xlfn.PERCENTRANK.INC(Table211121642021222325[True Rank],_xlfn.XLOOKUP(Table1624[[#This Row],[Name]],Table211121642021222325[Name],Table211121642021222325[True Rank],"DNP",0,1)),"DNP")</f>
        <v>0.47199999999999998</v>
      </c>
      <c r="P50" s="26">
        <f>IFERROR(_xlfn.PERCENTRANK.INC(Table21112164202122232534[True Rank],_xlfn.XLOOKUP(Table1624[[#This Row],[Name]],Table21112164202122232534[Name],Table21112164202122232534[True Rank],"DNP",0,1)),"DNP")</f>
        <v>0.80200000000000005</v>
      </c>
      <c r="Q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0" s="26">
        <f>IFERROR(_xlfn.PERCENTRANK.INC(Table2111216420212223253435363738[True Rank],_xlfn.XLOOKUP(Table1624[[#This Row],[Name]],Table2111216420212223253435363738[Name],Table2111216420212223253435363738[True Rank],"DNP",0,1)),"DNP")</f>
        <v>0.47199999999999998</v>
      </c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</row>
    <row r="51" spans="2:33">
      <c r="B51" t="str">
        <f>IFERROR(Table5[[#This Row],[Full name]],"")</f>
        <v>Medet Kazbek</v>
      </c>
      <c r="C51" s="108">
        <f>IFERROR(AVERAGE(Table1624[[#This Row],[September 30, 2025]:[Column18]]),"N/A")</f>
        <v>0.62780000000000002</v>
      </c>
      <c r="D51" s="26">
        <f>IFERROR(_xlfn.PERCENTRANK.INC(Table4[True Rank],_xlfn.XLOOKUP(Table1624[[#This Row],[Name]],Table4[Name],Table4[True Rank],"DNP",0,1)),"DNP")</f>
        <v>0.44</v>
      </c>
      <c r="E51" s="26" t="str">
        <f>IFERROR(_xlfn.PERCENTRANK.INC(Table9[True Rank],_xlfn.XLOOKUP(Table1624[[#This Row],[Name]],Table9[Name],Table9[True Rank],"DNP",0,1)),"DNP")</f>
        <v>DNP</v>
      </c>
      <c r="F51" s="26">
        <f>IFERROR(_xlfn.PERCENTRANK.INC(Table18[True Rank],_xlfn.XLOOKUP(Table1624[[#This Row],[Name]],Table18[Name],Table18[True Rank],"DNP",0,1)),"DNP")</f>
        <v>0.76700000000000002</v>
      </c>
      <c r="G51" s="26" t="str">
        <f>IFERROR(_xlfn.PERCENTRANK.INC(Table2[True Rank],_xlfn.XLOOKUP(Table1624[[#This Row],[Name]],Table2[Name],Table2[True Rank],"DNP",0,1)),"DNP")</f>
        <v>DNP</v>
      </c>
      <c r="H51" s="26" t="str">
        <f>IFERROR(_xlfn.PERCENTRANK.INC(Table211[True Rank],_xlfn.XLOOKUP(Table1624[[#This Row],[Name]],Table211[Name],Table211[True Rank],"DNP",0,1)),"DNP")</f>
        <v>DNP</v>
      </c>
      <c r="I51" s="26">
        <f>IFERROR(_xlfn.PERCENTRANK.INC(Table21112[True Rank],_xlfn.XLOOKUP(Table1624[[#This Row],[Name]],Table21112[Name],Table21112[True Rank],"DNP",0,1)),"DNP")</f>
        <v>0.24299999999999999</v>
      </c>
      <c r="J51" s="26">
        <f>IFERROR(_xlfn.PERCENTRANK.INC(Table21112164[True Rank],_xlfn.XLOOKUP(Table1624[[#This Row],[Name]],Table21112164[Name],Table21112164[True Rank],"DNP",0,1)),"DNP")</f>
        <v>0.96599999999999997</v>
      </c>
      <c r="K51" s="26">
        <f>IFERROR(_xlfn.PERCENTRANK.INC(Table2111216420[True Rank],_xlfn.XLOOKUP(Table1624[[#This Row],[Name]],Table2111216420[Name],Table2111216420[True Rank],"DNP",0,1)),"DNP")</f>
        <v>0.72299999999999998</v>
      </c>
      <c r="L51" s="26" t="str">
        <f>IFERROR(_xlfn.PERCENTRANK.INC(Table211121642021[True Rank],_xlfn.XLOOKUP(Table1624[[#This Row],[Name]],Table211121642021[Name],Table211121642021[True Rank],"DNP",0,1)),"DNP")</f>
        <v>DNP</v>
      </c>
      <c r="M51" s="26" t="str">
        <f>IFERROR(_xlfn.PERCENTRANK.INC(Table21112164202122[True Rank],_xlfn.XLOOKUP(Table1624[[#This Row],[Name]],Table21112164202122[Name],Table21112164202122[True Rank],"DNP",0,1)),"DNP")</f>
        <v>DNP</v>
      </c>
      <c r="N51" s="26" t="str">
        <f>IFERROR(_xlfn.PERCENTRANK.INC(Table2111216420212223[True Rank],_xlfn.XLOOKUP(Table1624[[#This Row],[Name]],Table2111216420212223[Name],Table2111216420212223[True Rank],"DNP",0,1)),"DNP")</f>
        <v>DNP</v>
      </c>
      <c r="O51" s="26" t="str">
        <f>IFERROR(_xlfn.PERCENTRANK.INC(Table211121642021222325[True Rank],_xlfn.XLOOKUP(Table1624[[#This Row],[Name]],Table211121642021222325[Name],Table211121642021222325[True Rank],"DNP",0,1)),"DNP")</f>
        <v>DNP</v>
      </c>
      <c r="P51" s="26" t="str">
        <f>IFERROR(_xlfn.PERCENTRANK.INC(Table21112164202122232534[True Rank],_xlfn.XLOOKUP(Table1624[[#This Row],[Name]],Table21112164202122232534[Name],Table21112164202122232534[True Rank],"DNP",0,1)),"DNP")</f>
        <v>DNP</v>
      </c>
      <c r="Q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</row>
    <row r="52" spans="2:33">
      <c r="B52" t="str">
        <f>IFERROR(Table5[[#This Row],[Full name]],"")</f>
        <v>Nathan Visentin</v>
      </c>
      <c r="C52" s="108">
        <f>IFERROR(AVERAGE(Table1624[[#This Row],[September 30, 2025]:[Column18]]),"N/A")</f>
        <v>0.40050000000000002</v>
      </c>
      <c r="D52" s="26">
        <f>IFERROR(_xlfn.PERCENTRANK.INC(Table4[True Rank],_xlfn.XLOOKUP(Table1624[[#This Row],[Name]],Table4[Name],Table4[True Rank],"DNP",0,1)),"DNP")</f>
        <v>5.5E-2</v>
      </c>
      <c r="E52" s="26" t="str">
        <f>IFERROR(_xlfn.PERCENTRANK.INC(Table9[True Rank],_xlfn.XLOOKUP(Table1624[[#This Row],[Name]],Table9[Name],Table9[True Rank],"DNP",0,1)),"DNP")</f>
        <v>DNP</v>
      </c>
      <c r="F52" s="26" t="str">
        <f>IFERROR(_xlfn.PERCENTRANK.INC(Table18[True Rank],_xlfn.XLOOKUP(Table1624[[#This Row],[Name]],Table18[Name],Table18[True Rank],"DNP",0,1)),"DNP")</f>
        <v>DNP</v>
      </c>
      <c r="G52" s="26" t="str">
        <f>IFERROR(_xlfn.PERCENTRANK.INC(Table2[True Rank],_xlfn.XLOOKUP(Table1624[[#This Row],[Name]],Table2[Name],Table2[True Rank],"DNP",0,1)),"DNP")</f>
        <v>DNP</v>
      </c>
      <c r="H52" s="26">
        <f>IFERROR(_xlfn.PERCENTRANK.INC(Table211[True Rank],_xlfn.XLOOKUP(Table1624[[#This Row],[Name]],Table211[Name],Table211[True Rank],"DNP",0,1)),"DNP")</f>
        <v>0.746</v>
      </c>
      <c r="I52" s="26" t="str">
        <f>IFERROR(_xlfn.PERCENTRANK.INC(Table21112[True Rank],_xlfn.XLOOKUP(Table1624[[#This Row],[Name]],Table21112[Name],Table21112[True Rank],"DNP",0,1)),"DNP")</f>
        <v>DNP</v>
      </c>
      <c r="J52" s="26" t="str">
        <f>IFERROR(_xlfn.PERCENTRANK.INC(Table21112164[True Rank],_xlfn.XLOOKUP(Table1624[[#This Row],[Name]],Table21112164[Name],Table21112164[True Rank],"DNP",0,1)),"DNP")</f>
        <v>DNP</v>
      </c>
      <c r="K52" s="26" t="str">
        <f>IFERROR(_xlfn.PERCENTRANK.INC(Table2111216420[True Rank],_xlfn.XLOOKUP(Table1624[[#This Row],[Name]],Table2111216420[Name],Table2111216420[True Rank],"DNP",0,1)),"DNP")</f>
        <v>DNP</v>
      </c>
      <c r="L52" s="26" t="str">
        <f>IFERROR(_xlfn.PERCENTRANK.INC(Table211121642021[True Rank],_xlfn.XLOOKUP(Table1624[[#This Row],[Name]],Table211121642021[Name],Table211121642021[True Rank],"DNP",0,1)),"DNP")</f>
        <v>DNP</v>
      </c>
      <c r="M52" s="26" t="str">
        <f>IFERROR(_xlfn.PERCENTRANK.INC(Table21112164202122[True Rank],_xlfn.XLOOKUP(Table1624[[#This Row],[Name]],Table21112164202122[Name],Table21112164202122[True Rank],"DNP",0,1)),"DNP")</f>
        <v>DNP</v>
      </c>
      <c r="N52" s="26" t="str">
        <f>IFERROR(_xlfn.PERCENTRANK.INC(Table2111216420212223[True Rank],_xlfn.XLOOKUP(Table1624[[#This Row],[Name]],Table2111216420212223[Name],Table2111216420212223[True Rank],"DNP",0,1)),"DNP")</f>
        <v>DNP</v>
      </c>
      <c r="O52" s="26" t="str">
        <f>IFERROR(_xlfn.PERCENTRANK.INC(Table211121642021222325[True Rank],_xlfn.XLOOKUP(Table1624[[#This Row],[Name]],Table211121642021222325[Name],Table211121642021222325[True Rank],"DNP",0,1)),"DNP")</f>
        <v>DNP</v>
      </c>
      <c r="P52" s="26" t="str">
        <f>IFERROR(_xlfn.PERCENTRANK.INC(Table21112164202122232534[True Rank],_xlfn.XLOOKUP(Table1624[[#This Row],[Name]],Table21112164202122232534[Name],Table21112164202122232534[True Rank],"DNP",0,1)),"DNP")</f>
        <v>DNP</v>
      </c>
      <c r="Q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</row>
    <row r="53" spans="2:33">
      <c r="B53" t="str">
        <f>IFERROR(Table5[[#This Row],[Full name]],"")</f>
        <v>Noah George</v>
      </c>
      <c r="C53" s="108">
        <f>IFERROR(AVERAGE(Table1624[[#This Row],[September 30, 2025]:[Column18]]),"N/A")</f>
        <v>0.67223076923076919</v>
      </c>
      <c r="D53" s="26">
        <f>IFERROR(_xlfn.PERCENTRANK.INC(Table4[True Rank],_xlfn.XLOOKUP(Table1624[[#This Row],[Name]],Table4[Name],Table4[True Rank],"DNP",0,1)),"DNP")</f>
        <v>0.65100000000000002</v>
      </c>
      <c r="E53" s="26" t="str">
        <f>IFERROR(_xlfn.PERCENTRANK.INC(Table9[True Rank],_xlfn.XLOOKUP(Table1624[[#This Row],[Name]],Table9[Name],Table9[True Rank],"DNP",0,1)),"DNP")</f>
        <v>DNP</v>
      </c>
      <c r="F53" s="26">
        <f>IFERROR(_xlfn.PERCENTRANK.INC(Table18[True Rank],_xlfn.XLOOKUP(Table1624[[#This Row],[Name]],Table18[Name],Table18[True Rank],"DNP",0,1)),"DNP")</f>
        <v>0.84799999999999998</v>
      </c>
      <c r="G53" s="26">
        <f>IFERROR(_xlfn.PERCENTRANK.INC(Table2[True Rank],_xlfn.XLOOKUP(Table1624[[#This Row],[Name]],Table2[Name],Table2[True Rank],"DNP",0,1)),"DNP")</f>
        <v>0.34499999999999997</v>
      </c>
      <c r="H53" s="26">
        <f>IFERROR(_xlfn.PERCENTRANK.INC(Table211[True Rank],_xlfn.XLOOKUP(Table1624[[#This Row],[Name]],Table211[Name],Table211[True Rank],"DNP",0,1)),"DNP")</f>
        <v>0.69</v>
      </c>
      <c r="I53" s="26">
        <f>IFERROR(_xlfn.PERCENTRANK.INC(Table21112[True Rank],_xlfn.XLOOKUP(Table1624[[#This Row],[Name]],Table21112[Name],Table21112[True Rank],"DNP",0,1)),"DNP")</f>
        <v>0.20499999999999999</v>
      </c>
      <c r="J53" s="26">
        <f>IFERROR(_xlfn.PERCENTRANK.INC(Table21112164[True Rank],_xlfn.XLOOKUP(Table1624[[#This Row],[Name]],Table21112164[Name],Table21112164[True Rank],"DNP",0,1)),"DNP")</f>
        <v>0.58399999999999996</v>
      </c>
      <c r="K53" s="26">
        <f>IFERROR(_xlfn.PERCENTRANK.INC(Table2111216420[True Rank],_xlfn.XLOOKUP(Table1624[[#This Row],[Name]],Table2111216420[Name],Table2111216420[True Rank],"DNP",0,1)),"DNP")</f>
        <v>0.72299999999999998</v>
      </c>
      <c r="L53" s="26">
        <f>IFERROR(_xlfn.PERCENTRANK.INC(Table211121642021[True Rank],_xlfn.XLOOKUP(Table1624[[#This Row],[Name]],Table211121642021[Name],Table211121642021[True Rank],"DNP",0,1)),"DNP")</f>
        <v>0.90300000000000002</v>
      </c>
      <c r="M53" s="26">
        <f>IFERROR(_xlfn.PERCENTRANK.INC(Table21112164202122[True Rank],_xlfn.XLOOKUP(Table1624[[#This Row],[Name]],Table21112164202122[Name],Table21112164202122[True Rank],"DNP",0,1)),"DNP")</f>
        <v>0.25</v>
      </c>
      <c r="N53" s="26">
        <f>IFERROR(_xlfn.PERCENTRANK.INC(Table2111216420212223[True Rank],_xlfn.XLOOKUP(Table1624[[#This Row],[Name]],Table2111216420212223[Name],Table2111216420212223[True Rank],"DNP",0,1)),"DNP")</f>
        <v>0.84599999999999997</v>
      </c>
      <c r="O53" s="26">
        <f>IFERROR(_xlfn.PERCENTRANK.INC(Table211121642021222325[True Rank],_xlfn.XLOOKUP(Table1624[[#This Row],[Name]],Table211121642021222325[Name],Table211121642021222325[True Rank],"DNP",0,1)),"DNP")</f>
        <v>0.84599999999999997</v>
      </c>
      <c r="P53" s="26" t="str">
        <f>IFERROR(_xlfn.PERCENTRANK.INC(Table21112164202122232534[True Rank],_xlfn.XLOOKUP(Table1624[[#This Row],[Name]],Table21112164202122232534[Name],Table21112164202122232534[True Rank],"DNP",0,1)),"DNP")</f>
        <v>DNP</v>
      </c>
      <c r="Q53" s="26">
        <f>IFERROR(_xlfn.PERCENTRANK.INC(Table2111216420212223253435[True Rank],_xlfn.XLOOKUP(Table1624[[#This Row],[Name]],Table2111216420212223253435[Name],Table2111216420212223253435[True Rank],"DNP",0,1)),"DNP")</f>
        <v>0.98599999999999999</v>
      </c>
      <c r="R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3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</row>
    <row r="54" spans="2:33">
      <c r="B54" t="str">
        <f>IFERROR(Table5[[#This Row],[Full name]],"")</f>
        <v>Noella Or</v>
      </c>
      <c r="C54" s="108">
        <f>IFERROR(AVERAGE(Table1624[[#This Row],[September 30, 2025]:[Column18]]),"N/A")</f>
        <v>0.33011111111111113</v>
      </c>
      <c r="D54" s="26" t="str">
        <f>IFERROR(_xlfn.PERCENTRANK.INC(Table4[True Rank],_xlfn.XLOOKUP(Table1624[[#This Row],[Name]],Table4[Name],Table4[True Rank],"DNP",0,1)),"DNP")</f>
        <v>DNP</v>
      </c>
      <c r="E54" s="26" t="str">
        <f>IFERROR(_xlfn.PERCENTRANK.INC(Table9[True Rank],_xlfn.XLOOKUP(Table1624[[#This Row],[Name]],Table9[Name],Table9[True Rank],"DNP",0,1)),"DNP")</f>
        <v>DNP</v>
      </c>
      <c r="F54" s="26">
        <f>IFERROR(_xlfn.PERCENTRANK.INC(Table18[True Rank],_xlfn.XLOOKUP(Table1624[[#This Row],[Name]],Table18[Name],Table18[True Rank],"DNP",0,1)),"DNP")</f>
        <v>0.48399999999999999</v>
      </c>
      <c r="G54" s="26" t="str">
        <f>IFERROR(_xlfn.PERCENTRANK.INC(Table2[True Rank],_xlfn.XLOOKUP(Table1624[[#This Row],[Name]],Table2[Name],Table2[True Rank],"DNP",0,1)),"DNP")</f>
        <v>DNP</v>
      </c>
      <c r="H54" s="26" t="str">
        <f>IFERROR(_xlfn.PERCENTRANK.INC(Table211[True Rank],_xlfn.XLOOKUP(Table1624[[#This Row],[Name]],Table211[Name],Table211[True Rank],"DNP",0,1)),"DNP")</f>
        <v>DNP</v>
      </c>
      <c r="I54" s="26">
        <f>IFERROR(_xlfn.PERCENTRANK.INC(Table21112[True Rank],_xlfn.XLOOKUP(Table1624[[#This Row],[Name]],Table21112[Name],Table21112[True Rank],"DNP",0,1)),"DNP")</f>
        <v>0.32</v>
      </c>
      <c r="J54" s="26">
        <f>IFERROR(_xlfn.PERCENTRANK.INC(Table21112164[True Rank],_xlfn.XLOOKUP(Table1624[[#This Row],[Name]],Table21112164[Name],Table21112164[True Rank],"DNP",0,1)),"DNP")</f>
        <v>6.7000000000000004E-2</v>
      </c>
      <c r="K54" s="26">
        <f>IFERROR(_xlfn.PERCENTRANK.INC(Table2111216420[True Rank],_xlfn.XLOOKUP(Table1624[[#This Row],[Name]],Table2111216420[Name],Table2111216420[True Rank],"DNP",0,1)),"DNP")</f>
        <v>0.42499999999999999</v>
      </c>
      <c r="L54" s="26">
        <f>IFERROR(_xlfn.PERCENTRANK.INC(Table211121642021[True Rank],_xlfn.XLOOKUP(Table1624[[#This Row],[Name]],Table211121642021[Name],Table211121642021[True Rank],"DNP",0,1)),"DNP")</f>
        <v>0.40799999999999997</v>
      </c>
      <c r="M54" s="26">
        <f>IFERROR(_xlfn.PERCENTRANK.INC(Table21112164202122[True Rank],_xlfn.XLOOKUP(Table1624[[#This Row],[Name]],Table21112164202122[Name],Table21112164202122[True Rank],"DNP",0,1)),"DNP")</f>
        <v>0.159</v>
      </c>
      <c r="N54" s="26">
        <f>IFERROR(_xlfn.PERCENTRANK.INC(Table2111216420212223[True Rank],_xlfn.XLOOKUP(Table1624[[#This Row],[Name]],Table2111216420212223[Name],Table2111216420212223[True Rank],"DNP",0,1)),"DNP")</f>
        <v>0.67</v>
      </c>
      <c r="O54" s="26">
        <f>IFERROR(_xlfn.PERCENTRANK.INC(Table211121642021222325[True Rank],_xlfn.XLOOKUP(Table1624[[#This Row],[Name]],Table211121642021222325[Name],Table211121642021222325[True Rank],"DNP",0,1)),"DNP")</f>
        <v>0.318</v>
      </c>
      <c r="P54" s="26" t="str">
        <f>IFERROR(_xlfn.PERCENTRANK.INC(Table21112164202122232534[True Rank],_xlfn.XLOOKUP(Table1624[[#This Row],[Name]],Table21112164202122232534[Name],Table21112164202122232534[True Rank],"DNP",0,1)),"DNP")</f>
        <v>DNP</v>
      </c>
      <c r="Q54" s="26">
        <f>IFERROR(_xlfn.PERCENTRANK.INC(Table2111216420212223253435[True Rank],_xlfn.XLOOKUP(Table1624[[#This Row],[Name]],Table2111216420212223253435[Name],Table2111216420212223253435[True Rank],"DNP",0,1)),"DNP")</f>
        <v>0.12</v>
      </c>
      <c r="R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</row>
    <row r="55" spans="2:33">
      <c r="B55" t="str">
        <f>IFERROR(Table5[[#This Row],[Full name]],"")</f>
        <v>Oscar Chen</v>
      </c>
      <c r="C55" s="108">
        <f>IFERROR(AVERAGE(Table1624[[#This Row],[September 30, 2025]:[Column18]]),"N/A")</f>
        <v>0.54937500000000006</v>
      </c>
      <c r="D55" s="26">
        <f>IFERROR(_xlfn.PERCENTRANK.INC(Table4[True Rank],_xlfn.XLOOKUP(Table1624[[#This Row],[Name]],Table4[Name],Table4[True Rank],"DNP",0,1)),"DNP")</f>
        <v>0.78800000000000003</v>
      </c>
      <c r="E55" s="26">
        <f>IFERROR(_xlfn.PERCENTRANK.INC(Table9[True Rank],_xlfn.XLOOKUP(Table1624[[#This Row],[Name]],Table9[Name],Table9[True Rank],"DNP",0,1)),"DNP")</f>
        <v>0.77</v>
      </c>
      <c r="F55" s="26" t="str">
        <f>IFERROR(_xlfn.PERCENTRANK.INC(Table18[True Rank],_xlfn.XLOOKUP(Table1624[[#This Row],[Name]],Table18[Name],Table18[True Rank],"DNP",0,1)),"DNP")</f>
        <v>DNP</v>
      </c>
      <c r="G55" s="26">
        <f>IFERROR(_xlfn.PERCENTRANK.INC(Table2[True Rank],_xlfn.XLOOKUP(Table1624[[#This Row],[Name]],Table2[Name],Table2[True Rank],"DNP",0,1)),"DNP")</f>
        <v>0.42799999999999999</v>
      </c>
      <c r="H55" s="26" t="str">
        <f>IFERROR(_xlfn.PERCENTRANK.INC(Table211[True Rank],_xlfn.XLOOKUP(Table1624[[#This Row],[Name]],Table211[Name],Table211[True Rank],"DNP",0,1)),"DNP")</f>
        <v>DNP</v>
      </c>
      <c r="I55" s="26" t="str">
        <f>IFERROR(_xlfn.PERCENTRANK.INC(Table21112[True Rank],_xlfn.XLOOKUP(Table1624[[#This Row],[Name]],Table21112[Name],Table21112[True Rank],"DNP",0,1)),"DNP")</f>
        <v>DNP</v>
      </c>
      <c r="J55" s="26" t="str">
        <f>IFERROR(_xlfn.PERCENTRANK.INC(Table21112164[True Rank],_xlfn.XLOOKUP(Table1624[[#This Row],[Name]],Table21112164[Name],Table21112164[True Rank],"DNP",0,1)),"DNP")</f>
        <v>DNP</v>
      </c>
      <c r="K55" s="26" t="str">
        <f>IFERROR(_xlfn.PERCENTRANK.INC(Table2111216420[True Rank],_xlfn.XLOOKUP(Table1624[[#This Row],[Name]],Table2111216420[Name],Table2111216420[True Rank],"DNP",0,1)),"DNP")</f>
        <v>DNP</v>
      </c>
      <c r="L55" s="26" t="str">
        <f>IFERROR(_xlfn.PERCENTRANK.INC(Table211121642021[True Rank],_xlfn.XLOOKUP(Table1624[[#This Row],[Name]],Table211121642021[Name],Table211121642021[True Rank],"DNP",0,1)),"DNP")</f>
        <v>DNP</v>
      </c>
      <c r="M55" s="26" t="str">
        <f>IFERROR(_xlfn.PERCENTRANK.INC(Table21112164202122[True Rank],_xlfn.XLOOKUP(Table1624[[#This Row],[Name]],Table21112164202122[Name],Table21112164202122[True Rank],"DNP",0,1)),"DNP")</f>
        <v>DNP</v>
      </c>
      <c r="N55" s="26">
        <f>IFERROR(_xlfn.PERCENTRANK.INC(Table2111216420212223[True Rank],_xlfn.XLOOKUP(Table1624[[#This Row],[Name]],Table2111216420212223[Name],Table2111216420212223[True Rank],"DNP",0,1)),"DNP")</f>
        <v>0.14199999999999999</v>
      </c>
      <c r="O55" s="26">
        <f>IFERROR(_xlfn.PERCENTRANK.INC(Table211121642021222325[True Rank],_xlfn.XLOOKUP(Table1624[[#This Row],[Name]],Table211121642021222325[Name],Table211121642021222325[True Rank],"DNP",0,1)),"DNP")</f>
        <v>0.68100000000000005</v>
      </c>
      <c r="P55" s="26">
        <f>IFERROR(_xlfn.PERCENTRANK.INC(Table21112164202122232534[True Rank],_xlfn.XLOOKUP(Table1624[[#This Row],[Name]],Table21112164202122232534[Name],Table21112164202122232534[True Rank],"DNP",0,1)),"DNP")</f>
        <v>0.35099999999999998</v>
      </c>
      <c r="Q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5" s="26">
        <f>IFERROR(_xlfn.PERCENTRANK.INC(Table21112164202122232534353637[True Rank],_xlfn.XLOOKUP(Table1624[[#This Row],[Name]],Table21112164202122232534353637[Name],Table21112164202122232534353637[True Rank],"DNP",0,1)),"DNP")</f>
        <v>0.67200000000000004</v>
      </c>
      <c r="T55" s="26">
        <f>IFERROR(_xlfn.PERCENTRANK.INC(Table2111216420212223253435363738[True Rank],_xlfn.XLOOKUP(Table1624[[#This Row],[Name]],Table2111216420212223253435363738[Name],Table2111216420212223253435363738[True Rank],"DNP",0,1)),"DNP")</f>
        <v>0.56299999999999994</v>
      </c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</row>
    <row r="56" spans="2:33">
      <c r="B56" t="str">
        <f>IFERROR(Table5[[#This Row],[Full name]],"")</f>
        <v>Pari Shah</v>
      </c>
      <c r="C56" s="108">
        <f>IFERROR(AVERAGE(Table1624[[#This Row],[September 30, 2025]:[Column18]]),"N/A")</f>
        <v>0.50376470588235289</v>
      </c>
      <c r="D56" s="26">
        <f>IFERROR(_xlfn.PERCENTRANK.INC(Table4[True Rank],_xlfn.XLOOKUP(Table1624[[#This Row],[Name]],Table4[Name],Table4[True Rank],"DNP",0,1)),"DNP")</f>
        <v>0.16500000000000001</v>
      </c>
      <c r="E56" s="26">
        <f>IFERROR(_xlfn.PERCENTRANK.INC(Table9[True Rank],_xlfn.XLOOKUP(Table1624[[#This Row],[Name]],Table9[Name],Table9[True Rank],"DNP",0,1)),"DNP")</f>
        <v>0.58599999999999997</v>
      </c>
      <c r="F56" s="26">
        <f>IFERROR(_xlfn.PERCENTRANK.INC(Table18[True Rank],_xlfn.XLOOKUP(Table1624[[#This Row],[Name]],Table18[Name],Table18[True Rank],"DNP",0,1)),"DNP")</f>
        <v>0.55500000000000005</v>
      </c>
      <c r="G56" s="26">
        <f>IFERROR(_xlfn.PERCENTRANK.INC(Table2[True Rank],_xlfn.XLOOKUP(Table1624[[#This Row],[Name]],Table2[Name],Table2[True Rank],"DNP",0,1)),"DNP")</f>
        <v>0.60699999999999998</v>
      </c>
      <c r="H56" s="26">
        <f>IFERROR(_xlfn.PERCENTRANK.INC(Table211[True Rank],_xlfn.XLOOKUP(Table1624[[#This Row],[Name]],Table211[Name],Table211[True Rank],"DNP",0,1)),"DNP")</f>
        <v>0.70399999999999996</v>
      </c>
      <c r="I56" s="26">
        <f>IFERROR(_xlfn.PERCENTRANK.INC(Table21112[True Rank],_xlfn.XLOOKUP(Table1624[[#This Row],[Name]],Table21112[Name],Table21112[True Rank],"DNP",0,1)),"DNP")</f>
        <v>0.82</v>
      </c>
      <c r="J56" s="26">
        <f>IFERROR(_xlfn.PERCENTRANK.INC(Table21112164[True Rank],_xlfn.XLOOKUP(Table1624[[#This Row],[Name]],Table21112164[Name],Table21112164[True Rank],"DNP",0,1)),"DNP")</f>
        <v>0.44900000000000001</v>
      </c>
      <c r="K56" s="26">
        <f>IFERROR(_xlfn.PERCENTRANK.INC(Table2111216420[True Rank],_xlfn.XLOOKUP(Table1624[[#This Row],[Name]],Table2111216420[Name],Table2111216420[True Rank],"DNP",0,1)),"DNP")</f>
        <v>0.57399999999999995</v>
      </c>
      <c r="L56" s="26">
        <f>IFERROR(_xlfn.PERCENTRANK.INC(Table211121642021[True Rank],_xlfn.XLOOKUP(Table1624[[#This Row],[Name]],Table211121642021[Name],Table211121642021[True Rank],"DNP",0,1)),"DNP")</f>
        <v>0.83799999999999997</v>
      </c>
      <c r="M56" s="26">
        <f>IFERROR(_xlfn.PERCENTRANK.INC(Table21112164202122[True Rank],_xlfn.XLOOKUP(Table1624[[#This Row],[Name]],Table21112164202122[Name],Table21112164202122[True Rank],"DNP",0,1)),"DNP")</f>
        <v>0.42</v>
      </c>
      <c r="N56" s="26">
        <f>IFERROR(_xlfn.PERCENTRANK.INC(Table2111216420212223[True Rank],_xlfn.XLOOKUP(Table1624[[#This Row],[Name]],Table2111216420212223[Name],Table2111216420212223[True Rank],"DNP",0,1)),"DNP")</f>
        <v>0.41699999999999998</v>
      </c>
      <c r="O56" s="26">
        <f>IFERROR(_xlfn.PERCENTRANK.INC(Table211121642021222325[True Rank],_xlfn.XLOOKUP(Table1624[[#This Row],[Name]],Table211121642021222325[Name],Table211121642021222325[True Rank],"DNP",0,1)),"DNP")</f>
        <v>0.84599999999999997</v>
      </c>
      <c r="P56" s="26">
        <f>IFERROR(_xlfn.PERCENTRANK.INC(Table21112164202122232534[True Rank],_xlfn.XLOOKUP(Table1624[[#This Row],[Name]],Table21112164202122232534[Name],Table21112164202122232534[True Rank],"DNP",0,1)),"DNP")</f>
        <v>0.26300000000000001</v>
      </c>
      <c r="Q56" s="26">
        <f>IFERROR(_xlfn.PERCENTRANK.INC(Table2111216420212223253435[True Rank],_xlfn.XLOOKUP(Table1624[[#This Row],[Name]],Table2111216420212223253435[Name],Table2111216420212223253435[True Rank],"DNP",0,1)),"DNP")</f>
        <v>1.2999999999999999E-2</v>
      </c>
      <c r="R56" s="26">
        <f>IFERROR(_xlfn.PERCENTRANK.INC(Table211121642021222325343536[True Rank],_xlfn.XLOOKUP(Table1624[[#This Row],[Name]],Table211121642021222325343536[Name],Table211121642021222325343536[True Rank],"DNP",0,1)),"DNP")</f>
        <v>0.65100000000000002</v>
      </c>
      <c r="S56" s="26">
        <f>IFERROR(_xlfn.PERCENTRANK.INC(Table21112164202122232534353637[True Rank],_xlfn.XLOOKUP(Table1624[[#This Row],[Name]],Table21112164202122232534353637[Name],Table21112164202122232534353637[True Rank],"DNP",0,1)),"DNP")</f>
        <v>0.27500000000000002</v>
      </c>
      <c r="T56" s="26">
        <f>IFERROR(_xlfn.PERCENTRANK.INC(Table2111216420212223253435363738[True Rank],_xlfn.XLOOKUP(Table1624[[#This Row],[Name]],Table2111216420212223253435363738[Name],Table2111216420212223253435363738[True Rank],"DNP",0,1)),"DNP")</f>
        <v>0.38100000000000001</v>
      </c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</row>
    <row r="57" spans="2:33">
      <c r="B57" t="str">
        <f>IFERROR(Table5[[#This Row],[Full name]],"")</f>
        <v>Pavel Tsymbalyuk</v>
      </c>
      <c r="C57" s="108">
        <f>IFERROR(AVERAGE(Table1624[[#This Row],[September 30, 2025]:[Column18]]),"N/A")</f>
        <v>0.44500000000000001</v>
      </c>
      <c r="D57" s="26">
        <f>IFERROR(_xlfn.PERCENTRANK.INC(Table4[True Rank],_xlfn.XLOOKUP(Table1624[[#This Row],[Name]],Table4[Name],Table4[True Rank],"DNP",0,1)),"DNP")</f>
        <v>0.78800000000000003</v>
      </c>
      <c r="E57" s="26" t="str">
        <f>IFERROR(_xlfn.PERCENTRANK.INC(Table9[True Rank],_xlfn.XLOOKUP(Table1624[[#This Row],[Name]],Table9[Name],Table9[True Rank],"DNP",0,1)),"DNP")</f>
        <v>DNP</v>
      </c>
      <c r="F57" s="26" t="str">
        <f>IFERROR(_xlfn.PERCENTRANK.INC(Table18[True Rank],_xlfn.XLOOKUP(Table1624[[#This Row],[Name]],Table18[Name],Table18[True Rank],"DNP",0,1)),"DNP")</f>
        <v>DNP</v>
      </c>
      <c r="G57" s="26">
        <f>IFERROR(_xlfn.PERCENTRANK.INC(Table2[True Rank],_xlfn.XLOOKUP(Table1624[[#This Row],[Name]],Table2[Name],Table2[True Rank],"DNP",0,1)),"DNP")</f>
        <v>0.47599999999999998</v>
      </c>
      <c r="H57" s="26" t="str">
        <f>IFERROR(_xlfn.PERCENTRANK.INC(Table211[True Rank],_xlfn.XLOOKUP(Table1624[[#This Row],[Name]],Table211[Name],Table211[True Rank],"DNP",0,1)),"DNP")</f>
        <v>DNP</v>
      </c>
      <c r="I57" s="26">
        <f>IFERROR(_xlfn.PERCENTRANK.INC(Table21112[True Rank],_xlfn.XLOOKUP(Table1624[[#This Row],[Name]],Table21112[Name],Table21112[True Rank],"DNP",0,1)),"DNP")</f>
        <v>0.42299999999999999</v>
      </c>
      <c r="J57" s="26">
        <f>IFERROR(_xlfn.PERCENTRANK.INC(Table21112164[True Rank],_xlfn.XLOOKUP(Table1624[[#This Row],[Name]],Table21112164[Name],Table21112164[True Rank],"DNP",0,1)),"DNP")</f>
        <v>0.20200000000000001</v>
      </c>
      <c r="K57" s="26">
        <f>IFERROR(_xlfn.PERCENTRANK.INC(Table2111216420[True Rank],_xlfn.XLOOKUP(Table1624[[#This Row],[Name]],Table2111216420[Name],Table2111216420[True Rank],"DNP",0,1)),"DNP")</f>
        <v>0.436</v>
      </c>
      <c r="L57" s="26">
        <f>IFERROR(_xlfn.PERCENTRANK.INC(Table211121642021[True Rank],_xlfn.XLOOKUP(Table1624[[#This Row],[Name]],Table211121642021[Name],Table211121642021[True Rank],"DNP",0,1)),"DNP")</f>
        <v>0.65500000000000003</v>
      </c>
      <c r="M57" s="26" t="str">
        <f>IFERROR(_xlfn.PERCENTRANK.INC(Table21112164202122[True Rank],_xlfn.XLOOKUP(Table1624[[#This Row],[Name]],Table21112164202122[Name],Table21112164202122[True Rank],"DNP",0,1)),"DNP")</f>
        <v>DNP</v>
      </c>
      <c r="N57" s="26" t="str">
        <f>IFERROR(_xlfn.PERCENTRANK.INC(Table2111216420212223[True Rank],_xlfn.XLOOKUP(Table1624[[#This Row],[Name]],Table2111216420212223[Name],Table2111216420212223[True Rank],"DNP",0,1)),"DNP")</f>
        <v>DNP</v>
      </c>
      <c r="O57" s="26">
        <f>IFERROR(_xlfn.PERCENTRANK.INC(Table211121642021222325[True Rank],_xlfn.XLOOKUP(Table1624[[#This Row],[Name]],Table211121642021222325[Name],Table211121642021222325[True Rank],"DNP",0,1)),"DNP")</f>
        <v>6.5000000000000002E-2</v>
      </c>
      <c r="P57" s="26">
        <f>IFERROR(_xlfn.PERCENTRANK.INC(Table21112164202122232534[True Rank],_xlfn.XLOOKUP(Table1624[[#This Row],[Name]],Table21112164202122232534[Name],Table21112164202122232534[True Rank],"DNP",0,1)),"DNP")</f>
        <v>0.747</v>
      </c>
      <c r="Q57" s="26">
        <f>IFERROR(_xlfn.PERCENTRANK.INC(Table2111216420212223253435[True Rank],_xlfn.XLOOKUP(Table1624[[#This Row],[Name]],Table2111216420212223253435[Name],Table2111216420212223253435[True Rank],"DNP",0,1)),"DNP")</f>
        <v>0.21299999999999999</v>
      </c>
      <c r="R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</row>
    <row r="58" spans="2:33">
      <c r="B58" t="str">
        <f>IFERROR(Table5[[#This Row],[Full name]],"")</f>
        <v>Priyansh Sharma</v>
      </c>
      <c r="C58" s="108">
        <f>IFERROR(AVERAGE(Table1624[[#This Row],[September 30, 2025]:[Column18]]),"N/A")</f>
        <v>0.61706666666666665</v>
      </c>
      <c r="D58" s="26">
        <f>IFERROR(_xlfn.PERCENTRANK.INC(Table4[True Rank],_xlfn.XLOOKUP(Table1624[[#This Row],[Name]],Table4[Name],Table4[True Rank],"DNP",0,1)),"DNP")</f>
        <v>0.71499999999999997</v>
      </c>
      <c r="E58" s="26">
        <f>IFERROR(_xlfn.PERCENTRANK.INC(Table9[True Rank],_xlfn.XLOOKUP(Table1624[[#This Row],[Name]],Table9[Name],Table9[True Rank],"DNP",0,1)),"DNP")</f>
        <v>0.747</v>
      </c>
      <c r="F58" s="26">
        <f>IFERROR(_xlfn.PERCENTRANK.INC(Table18[True Rank],_xlfn.XLOOKUP(Table1624[[#This Row],[Name]],Table18[Name],Table18[True Rank],"DNP",0,1)),"DNP")</f>
        <v>7.0000000000000007E-2</v>
      </c>
      <c r="G58" s="26">
        <f>IFERROR(_xlfn.PERCENTRANK.INC(Table2[True Rank],_xlfn.XLOOKUP(Table1624[[#This Row],[Name]],Table2[Name],Table2[True Rank],"DNP",0,1)),"DNP")</f>
        <v>8.3000000000000004E-2</v>
      </c>
      <c r="H58" s="26">
        <f>IFERROR(_xlfn.PERCENTRANK.INC(Table211[True Rank],_xlfn.XLOOKUP(Table1624[[#This Row],[Name]],Table211[Name],Table211[True Rank],"DNP",0,1)),"DNP")</f>
        <v>0.81599999999999995</v>
      </c>
      <c r="I58" s="26">
        <f>IFERROR(_xlfn.PERCENTRANK.INC(Table21112[True Rank],_xlfn.XLOOKUP(Table1624[[#This Row],[Name]],Table21112[Name],Table21112[True Rank],"DNP",0,1)),"DNP")</f>
        <v>0.56399999999999995</v>
      </c>
      <c r="J58" s="26">
        <f>IFERROR(_xlfn.PERCENTRANK.INC(Table21112164[True Rank],_xlfn.XLOOKUP(Table1624[[#This Row],[Name]],Table21112164[Name],Table21112164[True Rank],"DNP",0,1)),"DNP")</f>
        <v>0.49399999999999999</v>
      </c>
      <c r="K58" s="26" t="str">
        <f>IFERROR(_xlfn.PERCENTRANK.INC(Table2111216420[True Rank],_xlfn.XLOOKUP(Table1624[[#This Row],[Name]],Table2111216420[Name],Table2111216420[True Rank],"DNP",0,1)),"DNP")</f>
        <v>DNP</v>
      </c>
      <c r="L58" s="26">
        <f>IFERROR(_xlfn.PERCENTRANK.INC(Table211121642021[True Rank],_xlfn.XLOOKUP(Table1624[[#This Row],[Name]],Table211121642021[Name],Table211121642021[True Rank],"DNP",0,1)),"DNP")</f>
        <v>0.65500000000000003</v>
      </c>
      <c r="M58" s="26">
        <f>IFERROR(_xlfn.PERCENTRANK.INC(Table21112164202122[True Rank],_xlfn.XLOOKUP(Table1624[[#This Row],[Name]],Table21112164202122[Name],Table21112164202122[True Rank],"DNP",0,1)),"DNP")</f>
        <v>0.89700000000000002</v>
      </c>
      <c r="N58" s="26" t="str">
        <f>IFERROR(_xlfn.PERCENTRANK.INC(Table2111216420212223[True Rank],_xlfn.XLOOKUP(Table1624[[#This Row],[Name]],Table2111216420212223[Name],Table2111216420212223[True Rank],"DNP",0,1)),"DNP")</f>
        <v>DNP</v>
      </c>
      <c r="O58" s="26">
        <f>IFERROR(_xlfn.PERCENTRANK.INC(Table211121642021222325[True Rank],_xlfn.XLOOKUP(Table1624[[#This Row],[Name]],Table211121642021222325[Name],Table211121642021222325[True Rank],"DNP",0,1)),"DNP")</f>
        <v>0.373</v>
      </c>
      <c r="P58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58" s="26">
        <f>IFERROR(_xlfn.PERCENTRANK.INC(Table2111216420212223253435[True Rank],_xlfn.XLOOKUP(Table1624[[#This Row],[Name]],Table2111216420212223253435[Name],Table2111216420212223253435[True Rank],"DNP",0,1)),"DNP")</f>
        <v>0.16</v>
      </c>
      <c r="R58" s="26">
        <f>IFERROR(_xlfn.PERCENTRANK.INC(Table211121642021222325343536[True Rank],_xlfn.XLOOKUP(Table1624[[#This Row],[Name]],Table211121642021222325343536[Name],Table211121642021222325343536[True Rank],"DNP",0,1)),"DNP")</f>
        <v>1</v>
      </c>
      <c r="S58" s="26">
        <f>IFERROR(_xlfn.PERCENTRANK.INC(Table21112164202122232534353637[True Rank],_xlfn.XLOOKUP(Table1624[[#This Row],[Name]],Table21112164202122232534353637[Name],Table21112164202122232534353637[True Rank],"DNP",0,1)),"DNP")</f>
        <v>0.91300000000000003</v>
      </c>
      <c r="T58" s="26">
        <f>IFERROR(_xlfn.PERCENTRANK.INC(Table2111216420212223253435363738[True Rank],_xlfn.XLOOKUP(Table1624[[#This Row],[Name]],Table2111216420212223253435363738[Name],Table2111216420212223253435363738[True Rank],"DNP",0,1)),"DNP")</f>
        <v>0.94499999999999995</v>
      </c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  <row r="59" spans="2:33">
      <c r="B59" t="str">
        <f>IFERROR(Table5[[#This Row],[Full name]],"")</f>
        <v>Quenifer Lung</v>
      </c>
      <c r="C59" s="108">
        <f>IFERROR(AVERAGE(Table1624[[#This Row],[September 30, 2025]:[Column18]]),"N/A")</f>
        <v>0.70399999999999996</v>
      </c>
      <c r="D59" s="26" t="str">
        <f>IFERROR(_xlfn.PERCENTRANK.INC(Table4[True Rank],_xlfn.XLOOKUP(Table1624[[#This Row],[Name]],Table4[Name],Table4[True Rank],"DNP",0,1)),"DNP")</f>
        <v>DNP</v>
      </c>
      <c r="E59" s="26" t="str">
        <f>IFERROR(_xlfn.PERCENTRANK.INC(Table9[True Rank],_xlfn.XLOOKUP(Table1624[[#This Row],[Name]],Table9[Name],Table9[True Rank],"DNP",0,1)),"DNP")</f>
        <v>DNP</v>
      </c>
      <c r="F59" s="26" t="str">
        <f>IFERROR(_xlfn.PERCENTRANK.INC(Table18[True Rank],_xlfn.XLOOKUP(Table1624[[#This Row],[Name]],Table18[Name],Table18[True Rank],"DNP",0,1)),"DNP")</f>
        <v>DNP</v>
      </c>
      <c r="G59" s="26" t="str">
        <f>IFERROR(_xlfn.PERCENTRANK.INC(Table2[True Rank],_xlfn.XLOOKUP(Table1624[[#This Row],[Name]],Table2[Name],Table2[True Rank],"DNP",0,1)),"DNP")</f>
        <v>DNP</v>
      </c>
      <c r="H59" s="26">
        <f>IFERROR(_xlfn.PERCENTRANK.INC(Table211[True Rank],_xlfn.XLOOKUP(Table1624[[#This Row],[Name]],Table211[Name],Table211[True Rank],"DNP",0,1)),"DNP")</f>
        <v>0.70399999999999996</v>
      </c>
      <c r="I59" s="26" t="str">
        <f>IFERROR(_xlfn.PERCENTRANK.INC(Table21112[True Rank],_xlfn.XLOOKUP(Table1624[[#This Row],[Name]],Table21112[Name],Table21112[True Rank],"DNP",0,1)),"DNP")</f>
        <v>DNP</v>
      </c>
      <c r="J59" s="26" t="str">
        <f>IFERROR(_xlfn.PERCENTRANK.INC(Table21112164[True Rank],_xlfn.XLOOKUP(Table1624[[#This Row],[Name]],Table21112164[Name],Table21112164[True Rank],"DNP",0,1)),"DNP")</f>
        <v>DNP</v>
      </c>
      <c r="K59" s="26" t="str">
        <f>IFERROR(_xlfn.PERCENTRANK.INC(Table2111216420[True Rank],_xlfn.XLOOKUP(Table1624[[#This Row],[Name]],Table2111216420[Name],Table2111216420[True Rank],"DNP",0,1)),"DNP")</f>
        <v>DNP</v>
      </c>
      <c r="L59" s="26" t="str">
        <f>IFERROR(_xlfn.PERCENTRANK.INC(Table211121642021[True Rank],_xlfn.XLOOKUP(Table1624[[#This Row],[Name]],Table211121642021[Name],Table211121642021[True Rank],"DNP",0,1)),"DNP")</f>
        <v>DNP</v>
      </c>
      <c r="M59" s="26" t="str">
        <f>IFERROR(_xlfn.PERCENTRANK.INC(Table21112164202122[True Rank],_xlfn.XLOOKUP(Table1624[[#This Row],[Name]],Table21112164202122[Name],Table21112164202122[True Rank],"DNP",0,1)),"DNP")</f>
        <v>DNP</v>
      </c>
      <c r="N59" s="26" t="str">
        <f>IFERROR(_xlfn.PERCENTRANK.INC(Table2111216420212223[True Rank],_xlfn.XLOOKUP(Table1624[[#This Row],[Name]],Table2111216420212223[Name],Table2111216420212223[True Rank],"DNP",0,1)),"DNP")</f>
        <v>DNP</v>
      </c>
      <c r="O59" s="26" t="str">
        <f>IFERROR(_xlfn.PERCENTRANK.INC(Table211121642021222325[True Rank],_xlfn.XLOOKUP(Table1624[[#This Row],[Name]],Table211121642021222325[Name],Table211121642021222325[True Rank],"DNP",0,1)),"DNP")</f>
        <v>DNP</v>
      </c>
      <c r="P59" s="26" t="str">
        <f>IFERROR(_xlfn.PERCENTRANK.INC(Table21112164202122232534[True Rank],_xlfn.XLOOKUP(Table1624[[#This Row],[Name]],Table21112164202122232534[Name],Table21112164202122232534[True Rank],"DNP",0,1)),"DNP")</f>
        <v>DNP</v>
      </c>
      <c r="Q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</row>
    <row r="60" spans="2:33">
      <c r="B60" t="str">
        <f>IFERROR(Table5[[#This Row],[Full name]],"")</f>
        <v>Rachel Xu</v>
      </c>
      <c r="C60" s="108">
        <f>IFERROR(AVERAGE(Table1624[[#This Row],[September 30, 2025]:[Column18]]),"N/A")</f>
        <v>0.71599999999999997</v>
      </c>
      <c r="D60" s="26" t="str">
        <f>IFERROR(_xlfn.PERCENTRANK.INC(Table4[True Rank],_xlfn.XLOOKUP(Table1624[[#This Row],[Name]],Table4[Name],Table4[True Rank],"DNP",0,1)),"DNP")</f>
        <v>DNP</v>
      </c>
      <c r="E60" s="26" t="str">
        <f>IFERROR(_xlfn.PERCENTRANK.INC(Table9[True Rank],_xlfn.XLOOKUP(Table1624[[#This Row],[Name]],Table9[Name],Table9[True Rank],"DNP",0,1)),"DNP")</f>
        <v>DNP</v>
      </c>
      <c r="F60" s="26" t="str">
        <f>IFERROR(_xlfn.PERCENTRANK.INC(Table18[True Rank],_xlfn.XLOOKUP(Table1624[[#This Row],[Name]],Table18[Name],Table18[True Rank],"DNP",0,1)),"DNP")</f>
        <v>DNP</v>
      </c>
      <c r="G60" s="26" t="str">
        <f>IFERROR(_xlfn.PERCENTRANK.INC(Table2[True Rank],_xlfn.XLOOKUP(Table1624[[#This Row],[Name]],Table2[Name],Table2[True Rank],"DNP",0,1)),"DNP")</f>
        <v>DNP</v>
      </c>
      <c r="H60" s="26" t="str">
        <f>IFERROR(_xlfn.PERCENTRANK.INC(Table211[True Rank],_xlfn.XLOOKUP(Table1624[[#This Row],[Name]],Table211[Name],Table211[True Rank],"DNP",0,1)),"DNP")</f>
        <v>DNP</v>
      </c>
      <c r="I60" s="26" t="str">
        <f>IFERROR(_xlfn.PERCENTRANK.INC(Table21112[True Rank],_xlfn.XLOOKUP(Table1624[[#This Row],[Name]],Table21112[Name],Table21112[True Rank],"DNP",0,1)),"DNP")</f>
        <v>DNP</v>
      </c>
      <c r="J60" s="26" t="str">
        <f>IFERROR(_xlfn.PERCENTRANK.INC(Table21112164[True Rank],_xlfn.XLOOKUP(Table1624[[#This Row],[Name]],Table21112164[Name],Table21112164[True Rank],"DNP",0,1)),"DNP")</f>
        <v>DNP</v>
      </c>
      <c r="K60" s="26">
        <f>IFERROR(_xlfn.PERCENTRANK.INC(Table2111216420[True Rank],_xlfn.XLOOKUP(Table1624[[#This Row],[Name]],Table2111216420[Name],Table2111216420[True Rank],"DNP",0,1)),"DNP")</f>
        <v>0.79700000000000004</v>
      </c>
      <c r="L60" s="26" t="str">
        <f>IFERROR(_xlfn.PERCENTRANK.INC(Table211121642021[True Rank],_xlfn.XLOOKUP(Table1624[[#This Row],[Name]],Table211121642021[Name],Table211121642021[True Rank],"DNP",0,1)),"DNP")</f>
        <v>DNP</v>
      </c>
      <c r="M60" s="26" t="str">
        <f>IFERROR(_xlfn.PERCENTRANK.INC(Table21112164202122[True Rank],_xlfn.XLOOKUP(Table1624[[#This Row],[Name]],Table21112164202122[Name],Table21112164202122[True Rank],"DNP",0,1)),"DNP")</f>
        <v>DNP</v>
      </c>
      <c r="N60" s="26" t="str">
        <f>IFERROR(_xlfn.PERCENTRANK.INC(Table2111216420212223[True Rank],_xlfn.XLOOKUP(Table1624[[#This Row],[Name]],Table2111216420212223[Name],Table2111216420212223[True Rank],"DNP",0,1)),"DNP")</f>
        <v>DNP</v>
      </c>
      <c r="O60" s="26" t="str">
        <f>IFERROR(_xlfn.PERCENTRANK.INC(Table211121642021222325[True Rank],_xlfn.XLOOKUP(Table1624[[#This Row],[Name]],Table211121642021222325[Name],Table211121642021222325[True Rank],"DNP",0,1)),"DNP")</f>
        <v>DNP</v>
      </c>
      <c r="P60" s="26">
        <f>IFERROR(_xlfn.PERCENTRANK.INC(Table21112164202122232534[True Rank],_xlfn.XLOOKUP(Table1624[[#This Row],[Name]],Table21112164202122232534[Name],Table21112164202122232534[True Rank],"DNP",0,1)),"DNP")</f>
        <v>0.56000000000000005</v>
      </c>
      <c r="Q60" s="26">
        <f>IFERROR(_xlfn.PERCENTRANK.INC(Table2111216420212223253435[True Rank],_xlfn.XLOOKUP(Table1624[[#This Row],[Name]],Table2111216420212223253435[Name],Table2111216420212223253435[True Rank],"DNP",0,1)),"DNP")</f>
        <v>0.85299999999999998</v>
      </c>
      <c r="R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0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</row>
    <row r="61" spans="2:33">
      <c r="B61" t="str">
        <f>IFERROR(Table5[[#This Row],[Full name]],"")</f>
        <v>Ray Macaulay</v>
      </c>
      <c r="C61" s="108">
        <f>IFERROR(AVERAGE(Table1624[[#This Row],[September 30, 2025]:[Column18]]),"N/A")</f>
        <v>0.6904285714285715</v>
      </c>
      <c r="D61" s="26">
        <f>IFERROR(_xlfn.PERCENTRANK.INC(Table4[True Rank],_xlfn.XLOOKUP(Table1624[[#This Row],[Name]],Table4[Name],Table4[True Rank],"DNP",0,1)),"DNP")</f>
        <v>0.33900000000000002</v>
      </c>
      <c r="E61" s="26">
        <f>IFERROR(_xlfn.PERCENTRANK.INC(Table9[True Rank],_xlfn.XLOOKUP(Table1624[[#This Row],[Name]],Table9[Name],Table9[True Rank],"DNP",0,1)),"DNP")</f>
        <v>0.60899999999999999</v>
      </c>
      <c r="F61" s="26">
        <f>IFERROR(_xlfn.PERCENTRANK.INC(Table18[True Rank],_xlfn.XLOOKUP(Table1624[[#This Row],[Name]],Table18[Name],Table18[True Rank],"DNP",0,1)),"DNP")</f>
        <v>0.67600000000000005</v>
      </c>
      <c r="G61" s="26">
        <f>IFERROR(_xlfn.PERCENTRANK.INC(Table2[True Rank],_xlfn.XLOOKUP(Table1624[[#This Row],[Name]],Table2[Name],Table2[True Rank],"DNP",0,1)),"DNP")</f>
        <v>0.88</v>
      </c>
      <c r="H61" s="26">
        <f>IFERROR(_xlfn.PERCENTRANK.INC(Table211[True Rank],_xlfn.XLOOKUP(Table1624[[#This Row],[Name]],Table211[Name],Table211[True Rank],"DNP",0,1)),"DNP")</f>
        <v>0.78800000000000003</v>
      </c>
      <c r="I61" s="26" t="str">
        <f>IFERROR(_xlfn.PERCENTRANK.INC(Table21112[True Rank],_xlfn.XLOOKUP(Table1624[[#This Row],[Name]],Table21112[Name],Table21112[True Rank],"DNP",0,1)),"DNP")</f>
        <v>DNP</v>
      </c>
      <c r="J61" s="26" t="str">
        <f>IFERROR(_xlfn.PERCENTRANK.INC(Table21112164[True Rank],_xlfn.XLOOKUP(Table1624[[#This Row],[Name]],Table21112164[Name],Table21112164[True Rank],"DNP",0,1)),"DNP")</f>
        <v>DNP</v>
      </c>
      <c r="K61" s="26" t="str">
        <f>IFERROR(_xlfn.PERCENTRANK.INC(Table2111216420[True Rank],_xlfn.XLOOKUP(Table1624[[#This Row],[Name]],Table2111216420[Name],Table2111216420[True Rank],"DNP",0,1)),"DNP")</f>
        <v>DNP</v>
      </c>
      <c r="L61" s="26">
        <f>IFERROR(_xlfn.PERCENTRANK.INC(Table211121642021[True Rank],_xlfn.XLOOKUP(Table1624[[#This Row],[Name]],Table211121642021[Name],Table211121642021[True Rank],"DNP",0,1)),"DNP")</f>
        <v>0.86</v>
      </c>
      <c r="M61" s="26" t="str">
        <f>IFERROR(_xlfn.PERCENTRANK.INC(Table21112164202122[True Rank],_xlfn.XLOOKUP(Table1624[[#This Row],[Name]],Table21112164202122[Name],Table21112164202122[True Rank],"DNP",0,1)),"DNP")</f>
        <v>DNP</v>
      </c>
      <c r="N61" s="26" t="str">
        <f>IFERROR(_xlfn.PERCENTRANK.INC(Table2111216420212223[True Rank],_xlfn.XLOOKUP(Table1624[[#This Row],[Name]],Table2111216420212223[Name],Table2111216420212223[True Rank],"DNP",0,1)),"DNP")</f>
        <v>DNP</v>
      </c>
      <c r="O61" s="26">
        <f>IFERROR(_xlfn.PERCENTRANK.INC(Table211121642021222325[True Rank],_xlfn.XLOOKUP(Table1624[[#This Row],[Name]],Table211121642021222325[Name],Table211121642021222325[True Rank],"DNP",0,1)),"DNP")</f>
        <v>0.68100000000000005</v>
      </c>
      <c r="P61" s="26" t="str">
        <f>IFERROR(_xlfn.PERCENTRANK.INC(Table21112164202122232534[True Rank],_xlfn.XLOOKUP(Table1624[[#This Row],[Name]],Table21112164202122232534[Name],Table21112164202122232534[True Rank],"DNP",0,1)),"DNP")</f>
        <v>DNP</v>
      </c>
      <c r="Q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</row>
    <row r="62" spans="2:33">
      <c r="B62" t="str">
        <f>IFERROR(Table5[[#This Row],[Full name]],"")</f>
        <v>Richard Pan</v>
      </c>
      <c r="C62" s="108">
        <f>IFERROR(AVERAGE(Table1624[[#This Row],[September 30, 2025]:[Column18]]),"N/A")</f>
        <v>0.47393333333333326</v>
      </c>
      <c r="D62" s="26">
        <f>IFERROR(_xlfn.PERCENTRANK.INC(Table4[True Rank],_xlfn.XLOOKUP(Table1624[[#This Row],[Name]],Table4[Name],Table4[True Rank],"DNP",0,1)),"DNP")</f>
        <v>8.9999999999999993E-3</v>
      </c>
      <c r="E62" s="26" t="str">
        <f>IFERROR(_xlfn.PERCENTRANK.INC(Table9[True Rank],_xlfn.XLOOKUP(Table1624[[#This Row],[Name]],Table9[Name],Table9[True Rank],"DNP",0,1)),"DNP")</f>
        <v>DNP</v>
      </c>
      <c r="F62" s="26">
        <f>IFERROR(_xlfn.PERCENTRANK.INC(Table18[True Rank],_xlfn.XLOOKUP(Table1624[[#This Row],[Name]],Table18[Name],Table18[True Rank],"DNP",0,1)),"DNP")</f>
        <v>0.121</v>
      </c>
      <c r="G62" s="26">
        <f>IFERROR(_xlfn.PERCENTRANK.INC(Table2[True Rank],_xlfn.XLOOKUP(Table1624[[#This Row],[Name]],Table2[Name],Table2[True Rank],"DNP",0,1)),"DNP")</f>
        <v>0.57099999999999995</v>
      </c>
      <c r="H62" s="26">
        <f>IFERROR(_xlfn.PERCENTRANK.INC(Table211[True Rank],_xlfn.XLOOKUP(Table1624[[#This Row],[Name]],Table211[Name],Table211[True Rank],"DNP",0,1)),"DNP")</f>
        <v>0.19700000000000001</v>
      </c>
      <c r="I62" s="26">
        <f>IFERROR(_xlfn.PERCENTRANK.INC(Table21112[True Rank],_xlfn.XLOOKUP(Table1624[[#This Row],[Name]],Table21112[Name],Table21112[True Rank],"DNP",0,1)),"DNP")</f>
        <v>0.29399999999999998</v>
      </c>
      <c r="J62" s="26">
        <f>IFERROR(_xlfn.PERCENTRANK.INC(Table21112164[True Rank],_xlfn.XLOOKUP(Table1624[[#This Row],[Name]],Table21112164[Name],Table21112164[True Rank],"DNP",0,1)),"DNP")</f>
        <v>0.38200000000000001</v>
      </c>
      <c r="K62" s="26">
        <f>IFERROR(_xlfn.PERCENTRANK.INC(Table2111216420[True Rank],_xlfn.XLOOKUP(Table1624[[#This Row],[Name]],Table2111216420[Name],Table2111216420[True Rank],"DNP",0,1)),"DNP")</f>
        <v>0.39300000000000002</v>
      </c>
      <c r="L62" s="26">
        <f>IFERROR(_xlfn.PERCENTRANK.INC(Table211121642021[True Rank],_xlfn.XLOOKUP(Table1624[[#This Row],[Name]],Table211121642021[Name],Table211121642021[True Rank],"DNP",0,1)),"DNP")</f>
        <v>0.30099999999999999</v>
      </c>
      <c r="M62" s="26">
        <f>IFERROR(_xlfn.PERCENTRANK.INC(Table21112164202122[True Rank],_xlfn.XLOOKUP(Table1624[[#This Row],[Name]],Table21112164202122[Name],Table21112164202122[True Rank],"DNP",0,1)),"DNP")</f>
        <v>0.65900000000000003</v>
      </c>
      <c r="N62" s="26">
        <f>IFERROR(_xlfn.PERCENTRANK.INC(Table2111216420212223[True Rank],_xlfn.XLOOKUP(Table1624[[#This Row],[Name]],Table2111216420212223[Name],Table2111216420212223[True Rank],"DNP",0,1)),"DNP")</f>
        <v>0.94499999999999995</v>
      </c>
      <c r="O62" s="26" t="str">
        <f>IFERROR(_xlfn.PERCENTRANK.INC(Table211121642021222325[True Rank],_xlfn.XLOOKUP(Table1624[[#This Row],[Name]],Table211121642021222325[Name],Table211121642021222325[True Rank],"DNP",0,1)),"DNP")</f>
        <v>DNP</v>
      </c>
      <c r="P62" s="26">
        <f>IFERROR(_xlfn.PERCENTRANK.INC(Table21112164202122232534[True Rank],_xlfn.XLOOKUP(Table1624[[#This Row],[Name]],Table21112164202122232534[Name],Table21112164202122232534[True Rank],"DNP",0,1)),"DNP")</f>
        <v>0.61499999999999999</v>
      </c>
      <c r="Q62" s="26">
        <f>IFERROR(_xlfn.PERCENTRANK.INC(Table2111216420212223253435[True Rank],_xlfn.XLOOKUP(Table1624[[#This Row],[Name]],Table2111216420212223253435[Name],Table2111216420212223253435[True Rank],"DNP",0,1)),"DNP")</f>
        <v>0.42599999999999999</v>
      </c>
      <c r="R62" s="26">
        <f>IFERROR(_xlfn.PERCENTRANK.INC(Table211121642021222325343536[True Rank],_xlfn.XLOOKUP(Table1624[[#This Row],[Name]],Table211121642021222325343536[Name],Table211121642021222325343536[True Rank],"DNP",0,1)),"DNP")</f>
        <v>0.75700000000000001</v>
      </c>
      <c r="S62" s="26">
        <f>IFERROR(_xlfn.PERCENTRANK.INC(Table21112164202122232534353637[True Rank],_xlfn.XLOOKUP(Table1624[[#This Row],[Name]],Table21112164202122232534353637[Name],Table21112164202122232534353637[True Rank],"DNP",0,1)),"DNP")</f>
        <v>0.60299999999999998</v>
      </c>
      <c r="T62" s="26">
        <f>IFERROR(_xlfn.PERCENTRANK.INC(Table2111216420212223253435363738[True Rank],_xlfn.XLOOKUP(Table1624[[#This Row],[Name]],Table2111216420212223253435363738[Name],Table2111216420212223253435363738[True Rank],"DNP",0,1)),"DNP")</f>
        <v>0.83599999999999997</v>
      </c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</row>
    <row r="63" spans="2:33">
      <c r="B63" t="str">
        <f>IFERROR(Table5[[#This Row],[Full name]],"")</f>
        <v>Sabrina Vong</v>
      </c>
      <c r="C63" s="108">
        <f>IFERROR(AVERAGE(Table1624[[#This Row],[September 30, 2025]:[Column18]]),"N/A")</f>
        <v>0.46690000000000004</v>
      </c>
      <c r="D63" s="26" t="str">
        <f>IFERROR(_xlfn.PERCENTRANK.INC(Table4[True Rank],_xlfn.XLOOKUP(Table1624[[#This Row],[Name]],Table4[Name],Table4[True Rank],"DNP",0,1)),"DNP")</f>
        <v>DNP</v>
      </c>
      <c r="E63" s="26" t="str">
        <f>IFERROR(_xlfn.PERCENTRANK.INC(Table9[True Rank],_xlfn.XLOOKUP(Table1624[[#This Row],[Name]],Table9[Name],Table9[True Rank],"DNP",0,1)),"DNP")</f>
        <v>DNP</v>
      </c>
      <c r="F63" s="26">
        <f>IFERROR(_xlfn.PERCENTRANK.INC(Table18[True Rank],_xlfn.XLOOKUP(Table1624[[#This Row],[Name]],Table18[Name],Table18[True Rank],"DNP",0,1)),"DNP")</f>
        <v>0.27200000000000002</v>
      </c>
      <c r="G63" s="26" t="str">
        <f>IFERROR(_xlfn.PERCENTRANK.INC(Table2[True Rank],_xlfn.XLOOKUP(Table1624[[#This Row],[Name]],Table2[Name],Table2[True Rank],"DNP",0,1)),"DNP")</f>
        <v>DNP</v>
      </c>
      <c r="H63" s="26">
        <f>IFERROR(_xlfn.PERCENTRANK.INC(Table211[True Rank],_xlfn.XLOOKUP(Table1624[[#This Row],[Name]],Table211[Name],Table211[True Rank],"DNP",0,1)),"DNP")</f>
        <v>0.183</v>
      </c>
      <c r="I63" s="26">
        <f>IFERROR(_xlfn.PERCENTRANK.INC(Table21112[True Rank],_xlfn.XLOOKUP(Table1624[[#This Row],[Name]],Table21112[Name],Table21112[True Rank],"DNP",0,1)),"DNP")</f>
        <v>0.307</v>
      </c>
      <c r="J63" s="26">
        <f>IFERROR(_xlfn.PERCENTRANK.INC(Table21112164[True Rank],_xlfn.XLOOKUP(Table1624[[#This Row],[Name]],Table21112164[Name],Table21112164[True Rank],"DNP",0,1)),"DNP")</f>
        <v>0.58399999999999996</v>
      </c>
      <c r="K63" s="26">
        <f>IFERROR(_xlfn.PERCENTRANK.INC(Table2111216420[True Rank],_xlfn.XLOOKUP(Table1624[[#This Row],[Name]],Table2111216420[Name],Table2111216420[True Rank],"DNP",0,1)),"DNP")</f>
        <v>0.255</v>
      </c>
      <c r="L63" s="26">
        <f>IFERROR(_xlfn.PERCENTRANK.INC(Table211121642021[True Rank],_xlfn.XLOOKUP(Table1624[[#This Row],[Name]],Table211121642021[Name],Table211121642021[True Rank],"DNP",0,1)),"DNP")</f>
        <v>0.84899999999999998</v>
      </c>
      <c r="M63" s="26">
        <f>IFERROR(_xlfn.PERCENTRANK.INC(Table21112164202122[True Rank],_xlfn.XLOOKUP(Table1624[[#This Row],[Name]],Table21112164202122[Name],Table21112164202122[True Rank],"DNP",0,1)),"DNP")</f>
        <v>0.86299999999999999</v>
      </c>
      <c r="N63" s="26">
        <f>IFERROR(_xlfn.PERCENTRANK.INC(Table2111216420212223[True Rank],_xlfn.XLOOKUP(Table1624[[#This Row],[Name]],Table2111216420212223[Name],Table2111216420212223[True Rank],"DNP",0,1)),"DNP")</f>
        <v>0.57099999999999995</v>
      </c>
      <c r="O63" s="26">
        <f>IFERROR(_xlfn.PERCENTRANK.INC(Table211121642021222325[True Rank],_xlfn.XLOOKUP(Table1624[[#This Row],[Name]],Table211121642021222325[Name],Table211121642021222325[True Rank],"DNP",0,1)),"DNP")</f>
        <v>0.439</v>
      </c>
      <c r="P63" s="26" t="str">
        <f>IFERROR(_xlfn.PERCENTRANK.INC(Table21112164202122232534[True Rank],_xlfn.XLOOKUP(Table1624[[#This Row],[Name]],Table21112164202122232534[Name],Table21112164202122232534[True Rank],"DNP",0,1)),"DNP")</f>
        <v>DNP</v>
      </c>
      <c r="Q63" s="26">
        <f>IFERROR(_xlfn.PERCENTRANK.INC(Table2111216420212223253435[True Rank],_xlfn.XLOOKUP(Table1624[[#This Row],[Name]],Table2111216420212223253435[Name],Table2111216420212223253435[True Rank],"DNP",0,1)),"DNP")</f>
        <v>0.34599999999999997</v>
      </c>
      <c r="R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</row>
    <row r="64" spans="2:33">
      <c r="B64" t="str">
        <f>IFERROR(Table5[[#This Row],[Full name]],"")</f>
        <v>Sanjay Snaidero</v>
      </c>
      <c r="C64" s="108">
        <f>IFERROR(AVERAGE(Table1624[[#This Row],[September 30, 2025]:[Column18]]),"N/A")</f>
        <v>0.50800000000000001</v>
      </c>
      <c r="D64" s="26" t="str">
        <f>IFERROR(_xlfn.PERCENTRANK.INC(Table4[True Rank],_xlfn.XLOOKUP(Table1624[[#This Row],[Name]],Table4[Name],Table4[True Rank],"DNP",0,1)),"DNP")</f>
        <v>DNP</v>
      </c>
      <c r="E64" s="26" t="str">
        <f>IFERROR(_xlfn.PERCENTRANK.INC(Table9[True Rank],_xlfn.XLOOKUP(Table1624[[#This Row],[Name]],Table9[Name],Table9[True Rank],"DNP",0,1)),"DNP")</f>
        <v>DNP</v>
      </c>
      <c r="F64" s="26" t="str">
        <f>IFERROR(_xlfn.PERCENTRANK.INC(Table18[True Rank],_xlfn.XLOOKUP(Table1624[[#This Row],[Name]],Table18[Name],Table18[True Rank],"DNP",0,1)),"DNP")</f>
        <v>DNP</v>
      </c>
      <c r="G64" s="26">
        <f>IFERROR(_xlfn.PERCENTRANK.INC(Table2[True Rank],_xlfn.XLOOKUP(Table1624[[#This Row],[Name]],Table2[Name],Table2[True Rank],"DNP",0,1)),"DNP")</f>
        <v>0.61899999999999999</v>
      </c>
      <c r="H64" s="26" t="str">
        <f>IFERROR(_xlfn.PERCENTRANK.INC(Table211[True Rank],_xlfn.XLOOKUP(Table1624[[#This Row],[Name]],Table211[Name],Table211[True Rank],"DNP",0,1)),"DNP")</f>
        <v>DNP</v>
      </c>
      <c r="I64" s="26" t="str">
        <f>IFERROR(_xlfn.PERCENTRANK.INC(Table21112[True Rank],_xlfn.XLOOKUP(Table1624[[#This Row],[Name]],Table21112[Name],Table21112[True Rank],"DNP",0,1)),"DNP")</f>
        <v>DNP</v>
      </c>
      <c r="J64" s="26" t="str">
        <f>IFERROR(_xlfn.PERCENTRANK.INC(Table21112164[True Rank],_xlfn.XLOOKUP(Table1624[[#This Row],[Name]],Table21112164[Name],Table21112164[True Rank],"DNP",0,1)),"DNP")</f>
        <v>DNP</v>
      </c>
      <c r="K64" s="26" t="str">
        <f>IFERROR(_xlfn.PERCENTRANK.INC(Table2111216420[True Rank],_xlfn.XLOOKUP(Table1624[[#This Row],[Name]],Table2111216420[Name],Table2111216420[True Rank],"DNP",0,1)),"DNP")</f>
        <v>DNP</v>
      </c>
      <c r="L64" s="26" t="str">
        <f>IFERROR(_xlfn.PERCENTRANK.INC(Table211121642021[True Rank],_xlfn.XLOOKUP(Table1624[[#This Row],[Name]],Table211121642021[Name],Table211121642021[True Rank],"DNP",0,1)),"DNP")</f>
        <v>DNP</v>
      </c>
      <c r="M64" s="26">
        <f>IFERROR(_xlfn.PERCENTRANK.INC(Table21112164202122[True Rank],_xlfn.XLOOKUP(Table1624[[#This Row],[Name]],Table21112164202122[Name],Table21112164202122[True Rank],"DNP",0,1)),"DNP")</f>
        <v>0.39700000000000002</v>
      </c>
      <c r="N64" s="26" t="str">
        <f>IFERROR(_xlfn.PERCENTRANK.INC(Table2111216420212223[True Rank],_xlfn.XLOOKUP(Table1624[[#This Row],[Name]],Table2111216420212223[Name],Table2111216420212223[True Rank],"DNP",0,1)),"DNP")</f>
        <v>DNP</v>
      </c>
      <c r="O64" s="26" t="str">
        <f>IFERROR(_xlfn.PERCENTRANK.INC(Table211121642021222325[True Rank],_xlfn.XLOOKUP(Table1624[[#This Row],[Name]],Table211121642021222325[Name],Table211121642021222325[True Rank],"DNP",0,1)),"DNP")</f>
        <v>DNP</v>
      </c>
      <c r="P64" s="26" t="str">
        <f>IFERROR(_xlfn.PERCENTRANK.INC(Table21112164202122232534[True Rank],_xlfn.XLOOKUP(Table1624[[#This Row],[Name]],Table21112164202122232534[Name],Table21112164202122232534[True Rank],"DNP",0,1)),"DNP")</f>
        <v>DNP</v>
      </c>
      <c r="Q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</row>
    <row r="65" spans="2:33">
      <c r="B65" t="str">
        <f>IFERROR(Table5[[#This Row],[Full name]],"")</f>
        <v>Sawyer Sanderson</v>
      </c>
      <c r="C65" s="108">
        <f>IFERROR(AVERAGE(Table1624[[#This Row],[September 30, 2025]:[Column18]]),"N/A")</f>
        <v>0.48383333333333334</v>
      </c>
      <c r="D65" s="26">
        <f>IFERROR(_xlfn.PERCENTRANK.INC(Table4[True Rank],_xlfn.XLOOKUP(Table1624[[#This Row],[Name]],Table4[Name],Table4[True Rank],"DNP",0,1)),"DNP")</f>
        <v>0.58699999999999997</v>
      </c>
      <c r="E65" s="26" t="str">
        <f>IFERROR(_xlfn.PERCENTRANK.INC(Table9[True Rank],_xlfn.XLOOKUP(Table1624[[#This Row],[Name]],Table9[Name],Table9[True Rank],"DNP",0,1)),"DNP")</f>
        <v>DNP</v>
      </c>
      <c r="F65" s="26">
        <f>IFERROR(_xlfn.PERCENTRANK.INC(Table18[True Rank],_xlfn.XLOOKUP(Table1624[[#This Row],[Name]],Table18[Name],Table18[True Rank],"DNP",0,1)),"DNP")</f>
        <v>0.252</v>
      </c>
      <c r="G65" s="26">
        <f>IFERROR(_xlfn.PERCENTRANK.INC(Table2[True Rank],_xlfn.XLOOKUP(Table1624[[#This Row],[Name]],Table2[Name],Table2[True Rank],"DNP",0,1)),"DNP")</f>
        <v>0.67800000000000005</v>
      </c>
      <c r="H65" s="26" t="str">
        <f>IFERROR(_xlfn.PERCENTRANK.INC(Table211[True Rank],_xlfn.XLOOKUP(Table1624[[#This Row],[Name]],Table211[Name],Table211[True Rank],"DNP",0,1)),"DNP")</f>
        <v>DNP</v>
      </c>
      <c r="I65" s="26" t="str">
        <f>IFERROR(_xlfn.PERCENTRANK.INC(Table21112[True Rank],_xlfn.XLOOKUP(Table1624[[#This Row],[Name]],Table21112[Name],Table21112[True Rank],"DNP",0,1)),"DNP")</f>
        <v>DNP</v>
      </c>
      <c r="J65" s="26">
        <f>IFERROR(_xlfn.PERCENTRANK.INC(Table21112164[True Rank],_xlfn.XLOOKUP(Table1624[[#This Row],[Name]],Table21112164[Name],Table21112164[True Rank],"DNP",0,1)),"DNP")</f>
        <v>0.35899999999999999</v>
      </c>
      <c r="K65" s="26">
        <f>IFERROR(_xlfn.PERCENTRANK.INC(Table2111216420[True Rank],_xlfn.XLOOKUP(Table1624[[#This Row],[Name]],Table2111216420[Name],Table2111216420[True Rank],"DNP",0,1)),"DNP")</f>
        <v>0.53100000000000003</v>
      </c>
      <c r="L65" s="26">
        <f>IFERROR(_xlfn.PERCENTRANK.INC(Table211121642021[True Rank],_xlfn.XLOOKUP(Table1624[[#This Row],[Name]],Table211121642021[Name],Table211121642021[True Rank],"DNP",0,1)),"DNP")</f>
        <v>0.61199999999999999</v>
      </c>
      <c r="M65" s="26">
        <f>IFERROR(_xlfn.PERCENTRANK.INC(Table21112164202122[True Rank],_xlfn.XLOOKUP(Table1624[[#This Row],[Name]],Table21112164202122[Name],Table21112164202122[True Rank],"DNP",0,1)),"DNP")</f>
        <v>5.6000000000000001E-2</v>
      </c>
      <c r="N65" s="26">
        <f>IFERROR(_xlfn.PERCENTRANK.INC(Table2111216420212223[True Rank],_xlfn.XLOOKUP(Table1624[[#This Row],[Name]],Table2111216420212223[Name],Table2111216420212223[True Rank],"DNP",0,1)),"DNP")</f>
        <v>0.39500000000000002</v>
      </c>
      <c r="O65" s="26">
        <f>IFERROR(_xlfn.PERCENTRANK.INC(Table211121642021222325[True Rank],_xlfn.XLOOKUP(Table1624[[#This Row],[Name]],Table211121642021222325[Name],Table211121642021222325[True Rank],"DNP",0,1)),"DNP")</f>
        <v>0.70299999999999996</v>
      </c>
      <c r="P65" s="26">
        <f>IFERROR(_xlfn.PERCENTRANK.INC(Table21112164202122232534[True Rank],_xlfn.XLOOKUP(Table1624[[#This Row],[Name]],Table21112164202122232534[Name],Table21112164202122232534[True Rank],"DNP",0,1)),"DNP")</f>
        <v>0.58199999999999996</v>
      </c>
      <c r="Q65" s="26">
        <f>IFERROR(_xlfn.PERCENTRANK.INC(Table2111216420212223253435[True Rank],_xlfn.XLOOKUP(Table1624[[#This Row],[Name]],Table2111216420212223253435[Name],Table2111216420212223253435[True Rank],"DNP",0,1)),"DNP")</f>
        <v>0.70599999999999996</v>
      </c>
      <c r="R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5" s="26">
        <f>IFERROR(_xlfn.PERCENTRANK.INC(Table2111216420212223253435363738[True Rank],_xlfn.XLOOKUP(Table1624[[#This Row],[Name]],Table2111216420212223253435363738[Name],Table2111216420212223253435363738[True Rank],"DNP",0,1)),"DNP")</f>
        <v>0.34499999999999997</v>
      </c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</row>
    <row r="66" spans="2:33">
      <c r="B66" t="str">
        <f>IFERROR(Table5[[#This Row],[Full name]],"")</f>
        <v>Verissa Liu</v>
      </c>
      <c r="C66" s="108">
        <f>IFERROR(AVERAGE(Table1624[[#This Row],[September 30, 2025]:[Column18]]),"N/A")</f>
        <v>0.40241176470588236</v>
      </c>
      <c r="D66" s="26">
        <f>IFERROR(_xlfn.PERCENTRANK.INC(Table4[True Rank],_xlfn.XLOOKUP(Table1624[[#This Row],[Name]],Table4[Name],Table4[True Rank],"DNP",0,1)),"DNP")</f>
        <v>0.52200000000000002</v>
      </c>
      <c r="E66" s="26">
        <f>IFERROR(_xlfn.PERCENTRANK.INC(Table9[True Rank],_xlfn.XLOOKUP(Table1624[[#This Row],[Name]],Table9[Name],Table9[True Rank],"DNP",0,1)),"DNP")</f>
        <v>0.34399999999999997</v>
      </c>
      <c r="F66" s="26">
        <f>IFERROR(_xlfn.PERCENTRANK.INC(Table18[True Rank],_xlfn.XLOOKUP(Table1624[[#This Row],[Name]],Table18[Name],Table18[True Rank],"DNP",0,1)),"DNP")</f>
        <v>0.28199999999999997</v>
      </c>
      <c r="G66" s="26">
        <f>IFERROR(_xlfn.PERCENTRANK.INC(Table2[True Rank],_xlfn.XLOOKUP(Table1624[[#This Row],[Name]],Table2[Name],Table2[True Rank],"DNP",0,1)),"DNP")</f>
        <v>0.5</v>
      </c>
      <c r="H66" s="26">
        <f>IFERROR(_xlfn.PERCENTRANK.INC(Table211[True Rank],_xlfn.XLOOKUP(Table1624[[#This Row],[Name]],Table211[Name],Table211[True Rank],"DNP",0,1)),"DNP")</f>
        <v>2.8000000000000001E-2</v>
      </c>
      <c r="I66" s="26">
        <f>IFERROR(_xlfn.PERCENTRANK.INC(Table21112[True Rank],_xlfn.XLOOKUP(Table1624[[#This Row],[Name]],Table21112[Name],Table21112[True Rank],"DNP",0,1)),"DNP")</f>
        <v>0.82</v>
      </c>
      <c r="J66" s="26">
        <f>IFERROR(_xlfn.PERCENTRANK.INC(Table21112164[True Rank],_xlfn.XLOOKUP(Table1624[[#This Row],[Name]],Table21112164[Name],Table21112164[True Rank],"DNP",0,1)),"DNP")</f>
        <v>0.52800000000000002</v>
      </c>
      <c r="K66" s="26">
        <f>IFERROR(_xlfn.PERCENTRANK.INC(Table2111216420[True Rank],_xlfn.XLOOKUP(Table1624[[#This Row],[Name]],Table2111216420[Name],Table2111216420[True Rank],"DNP",0,1)),"DNP")</f>
        <v>0.14799999999999999</v>
      </c>
      <c r="L66" s="26">
        <f>IFERROR(_xlfn.PERCENTRANK.INC(Table211121642021[True Rank],_xlfn.XLOOKUP(Table1624[[#This Row],[Name]],Table211121642021[Name],Table211121642021[True Rank],"DNP",0,1)),"DNP")</f>
        <v>0.27900000000000003</v>
      </c>
      <c r="M66" s="26">
        <f>IFERROR(_xlfn.PERCENTRANK.INC(Table21112164202122[True Rank],_xlfn.XLOOKUP(Table1624[[#This Row],[Name]],Table21112164202122[Name],Table21112164202122[True Rank],"DNP",0,1)),"DNP")</f>
        <v>4.4999999999999998E-2</v>
      </c>
      <c r="N66" s="26">
        <f>IFERROR(_xlfn.PERCENTRANK.INC(Table2111216420212223[True Rank],_xlfn.XLOOKUP(Table1624[[#This Row],[Name]],Table2111216420212223[Name],Table2111216420212223[True Rank],"DNP",0,1)),"DNP")</f>
        <v>0.12</v>
      </c>
      <c r="O66" s="26">
        <f>IFERROR(_xlfn.PERCENTRANK.INC(Table211121642021222325[True Rank],_xlfn.XLOOKUP(Table1624[[#This Row],[Name]],Table211121642021222325[Name],Table211121642021222325[True Rank],"DNP",0,1)),"DNP")</f>
        <v>0.505</v>
      </c>
      <c r="P66" s="26">
        <f>IFERROR(_xlfn.PERCENTRANK.INC(Table21112164202122232534[True Rank],_xlfn.XLOOKUP(Table1624[[#This Row],[Name]],Table21112164202122232534[Name],Table21112164202122232534[True Rank],"DNP",0,1)),"DNP")</f>
        <v>0.36199999999999999</v>
      </c>
      <c r="Q66" s="26">
        <f>IFERROR(_xlfn.PERCENTRANK.INC(Table2111216420212223253435[True Rank],_xlfn.XLOOKUP(Table1624[[#This Row],[Name]],Table2111216420212223253435[Name],Table2111216420212223253435[True Rank],"DNP",0,1)),"DNP")</f>
        <v>0.86599999999999999</v>
      </c>
      <c r="R66" s="26">
        <f>IFERROR(_xlfn.PERCENTRANK.INC(Table211121642021222325343536[True Rank],_xlfn.XLOOKUP(Table1624[[#This Row],[Name]],Table211121642021222325343536[Name],Table211121642021222325343536[True Rank],"DNP",0,1)),"DNP")</f>
        <v>0.80300000000000005</v>
      </c>
      <c r="S66" s="26">
        <f>IFERROR(_xlfn.PERCENTRANK.INC(Table21112164202122232534353637[True Rank],_xlfn.XLOOKUP(Table1624[[#This Row],[Name]],Table21112164202122232534353637[Name],Table21112164202122232534353637[True Rank],"DNP",0,1)),"DNP")</f>
        <v>0.36199999999999999</v>
      </c>
      <c r="T66" s="26">
        <f>IFERROR(_xlfn.PERCENTRANK.INC(Table2111216420212223253435363738[True Rank],_xlfn.XLOOKUP(Table1624[[#This Row],[Name]],Table2111216420212223253435363738[Name],Table2111216420212223253435363738[True Rank],"DNP",0,1)),"DNP")</f>
        <v>0.32700000000000001</v>
      </c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2:33">
      <c r="B67" t="str">
        <f>IFERROR(Table5[[#This Row],[Full name]],"")</f>
        <v>William Mah</v>
      </c>
      <c r="C67" s="108">
        <f>IFERROR(AVERAGE(Table1624[[#This Row],[September 30, 2025]:[Column18]]),"N/A")</f>
        <v>0.73750000000000004</v>
      </c>
      <c r="D67" s="26" t="str">
        <f>IFERROR(_xlfn.PERCENTRANK.INC(Table4[True Rank],_xlfn.XLOOKUP(Table1624[[#This Row],[Name]],Table4[Name],Table4[True Rank],"DNP",0,1)),"DNP")</f>
        <v>DNP</v>
      </c>
      <c r="E67" s="26" t="str">
        <f>IFERROR(_xlfn.PERCENTRANK.INC(Table9[True Rank],_xlfn.XLOOKUP(Table1624[[#This Row],[Name]],Table9[Name],Table9[True Rank],"DNP",0,1)),"DNP")</f>
        <v>DNP</v>
      </c>
      <c r="F67" s="26" t="str">
        <f>IFERROR(_xlfn.PERCENTRANK.INC(Table18[True Rank],_xlfn.XLOOKUP(Table1624[[#This Row],[Name]],Table18[Name],Table18[True Rank],"DNP",0,1)),"DNP")</f>
        <v>DNP</v>
      </c>
      <c r="G67" s="26" t="str">
        <f>IFERROR(_xlfn.PERCENTRANK.INC(Table2[True Rank],_xlfn.XLOOKUP(Table1624[[#This Row],[Name]],Table2[Name],Table2[True Rank],"DNP",0,1)),"DNP")</f>
        <v>DNP</v>
      </c>
      <c r="H67" s="26" t="str">
        <f>IFERROR(_xlfn.PERCENTRANK.INC(Table211[True Rank],_xlfn.XLOOKUP(Table1624[[#This Row],[Name]],Table211[Name],Table211[True Rank],"DNP",0,1)),"DNP")</f>
        <v>DNP</v>
      </c>
      <c r="I67" s="26" t="str">
        <f>IFERROR(_xlfn.PERCENTRANK.INC(Table21112[True Rank],_xlfn.XLOOKUP(Table1624[[#This Row],[Name]],Table21112[Name],Table21112[True Rank],"DNP",0,1)),"DNP")</f>
        <v>DNP</v>
      </c>
      <c r="J67" s="26" t="str">
        <f>IFERROR(_xlfn.PERCENTRANK.INC(Table21112164[True Rank],_xlfn.XLOOKUP(Table1624[[#This Row],[Name]],Table21112164[Name],Table21112164[True Rank],"DNP",0,1)),"DNP")</f>
        <v>DNP</v>
      </c>
      <c r="K67" s="26" t="str">
        <f>IFERROR(_xlfn.PERCENTRANK.INC(Table2111216420[True Rank],_xlfn.XLOOKUP(Table1624[[#This Row],[Name]],Table2111216420[Name],Table2111216420[True Rank],"DNP",0,1)),"DNP")</f>
        <v>DNP</v>
      </c>
      <c r="L67" s="26">
        <f>IFERROR(_xlfn.PERCENTRANK.INC(Table211121642021[True Rank],_xlfn.XLOOKUP(Table1624[[#This Row],[Name]],Table211121642021[Name],Table211121642021[True Rank],"DNP",0,1)),"DNP")</f>
        <v>0.61199999999999999</v>
      </c>
      <c r="M67" s="26" t="str">
        <f>IFERROR(_xlfn.PERCENTRANK.INC(Table21112164202122[True Rank],_xlfn.XLOOKUP(Table1624[[#This Row],[Name]],Table21112164202122[Name],Table21112164202122[True Rank],"DNP",0,1)),"DNP")</f>
        <v>DNP</v>
      </c>
      <c r="N67" s="26" t="str">
        <f>IFERROR(_xlfn.PERCENTRANK.INC(Table2111216420212223[True Rank],_xlfn.XLOOKUP(Table1624[[#This Row],[Name]],Table2111216420212223[Name],Table2111216420212223[True Rank],"DNP",0,1)),"DNP")</f>
        <v>DNP</v>
      </c>
      <c r="O67" s="26" t="str">
        <f>IFERROR(_xlfn.PERCENTRANK.INC(Table211121642021222325[True Rank],_xlfn.XLOOKUP(Table1624[[#This Row],[Name]],Table211121642021222325[Name],Table211121642021222325[True Rank],"DNP",0,1)),"DNP")</f>
        <v>DNP</v>
      </c>
      <c r="P67" s="26" t="str">
        <f>IFERROR(_xlfn.PERCENTRANK.INC(Table21112164202122232534[True Rank],_xlfn.XLOOKUP(Table1624[[#This Row],[Name]],Table21112164202122232534[Name],Table21112164202122232534[True Rank],"DNP",0,1)),"DNP")</f>
        <v>DNP</v>
      </c>
      <c r="Q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7" s="26">
        <f>IFERROR(_xlfn.PERCENTRANK.INC(Table211121642021222325343536[True Rank],_xlfn.XLOOKUP(Table1624[[#This Row],[Name]],Table211121642021222325343536[Name],Table211121642021222325343536[True Rank],"DNP",0,1)),"DNP")</f>
        <v>0.86299999999999999</v>
      </c>
      <c r="S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2:33">
      <c r="B68" t="str">
        <f>IFERROR(Table5[[#This Row],[Full name]],"")</f>
        <v>Zach Brotman</v>
      </c>
      <c r="C68" s="108">
        <f>IFERROR(AVERAGE(Table1624[[#This Row],[September 30, 2025]:[Column18]]),"N/A")</f>
        <v>0.59424999999999994</v>
      </c>
      <c r="D68" s="26" t="str">
        <f>IFERROR(_xlfn.PERCENTRANK.INC(Table4[True Rank],_xlfn.XLOOKUP(Table1624[[#This Row],[Name]],Table4[Name],Table4[True Rank],"DNP",0,1)),"DNP")</f>
        <v>DNP</v>
      </c>
      <c r="E68" s="26" t="str">
        <f>IFERROR(_xlfn.PERCENTRANK.INC(Table9[True Rank],_xlfn.XLOOKUP(Table1624[[#This Row],[Name]],Table9[Name],Table9[True Rank],"DNP",0,1)),"DNP")</f>
        <v>DNP</v>
      </c>
      <c r="F68" s="26">
        <f>IFERROR(_xlfn.PERCENTRANK.INC(Table18[True Rank],_xlfn.XLOOKUP(Table1624[[#This Row],[Name]],Table18[Name],Table18[True Rank],"DNP",0,1)),"DNP")</f>
        <v>0.434</v>
      </c>
      <c r="G68" s="26" t="str">
        <f>IFERROR(_xlfn.PERCENTRANK.INC(Table2[True Rank],_xlfn.XLOOKUP(Table1624[[#This Row],[Name]],Table2[Name],Table2[True Rank],"DNP",0,1)),"DNP")</f>
        <v>DNP</v>
      </c>
      <c r="H68" s="26" t="str">
        <f>IFERROR(_xlfn.PERCENTRANK.INC(Table211[True Rank],_xlfn.XLOOKUP(Table1624[[#This Row],[Name]],Table211[Name],Table211[True Rank],"DNP",0,1)),"DNP")</f>
        <v>DNP</v>
      </c>
      <c r="I68" s="26">
        <f>IFERROR(_xlfn.PERCENTRANK.INC(Table21112[True Rank],_xlfn.XLOOKUP(Table1624[[#This Row],[Name]],Table21112[Name],Table21112[True Rank],"DNP",0,1)),"DNP")</f>
        <v>0.39700000000000002</v>
      </c>
      <c r="J68" s="26" t="str">
        <f>IFERROR(_xlfn.PERCENTRANK.INC(Table21112164[True Rank],_xlfn.XLOOKUP(Table1624[[#This Row],[Name]],Table21112164[Name],Table21112164[True Rank],"DNP",0,1)),"DNP")</f>
        <v>DNP</v>
      </c>
      <c r="K68" s="26" t="str">
        <f>IFERROR(_xlfn.PERCENTRANK.INC(Table2111216420[True Rank],_xlfn.XLOOKUP(Table1624[[#This Row],[Name]],Table2111216420[Name],Table2111216420[True Rank],"DNP",0,1)),"DNP")</f>
        <v>DNP</v>
      </c>
      <c r="L68" s="26" t="str">
        <f>IFERROR(_xlfn.PERCENTRANK.INC(Table211121642021[True Rank],_xlfn.XLOOKUP(Table1624[[#This Row],[Name]],Table211121642021[Name],Table211121642021[True Rank],"DNP",0,1)),"DNP")</f>
        <v>DNP</v>
      </c>
      <c r="M68" s="26">
        <f>IFERROR(_xlfn.PERCENTRANK.INC(Table21112164202122[True Rank],_xlfn.XLOOKUP(Table1624[[#This Row],[Name]],Table21112164202122[Name],Table21112164202122[True Rank],"DNP",0,1)),"DNP")</f>
        <v>0.92</v>
      </c>
      <c r="N68" s="26" t="str">
        <f>IFERROR(_xlfn.PERCENTRANK.INC(Table2111216420212223[True Rank],_xlfn.XLOOKUP(Table1624[[#This Row],[Name]],Table2111216420212223[Name],Table2111216420212223[True Rank],"DNP",0,1)),"DNP")</f>
        <v>DNP</v>
      </c>
      <c r="O68" s="26">
        <f>IFERROR(_xlfn.PERCENTRANK.INC(Table211121642021222325[True Rank],_xlfn.XLOOKUP(Table1624[[#This Row],[Name]],Table211121642021222325[Name],Table211121642021222325[True Rank],"DNP",0,1)),"DNP")</f>
        <v>0.626</v>
      </c>
      <c r="P68" s="26" t="str">
        <f>IFERROR(_xlfn.PERCENTRANK.INC(Table21112164202122232534[True Rank],_xlfn.XLOOKUP(Table1624[[#This Row],[Name]],Table21112164202122232534[Name],Table21112164202122232534[True Rank],"DNP",0,1)),"DNP")</f>
        <v>DNP</v>
      </c>
      <c r="Q6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2:33">
      <c r="B69" t="str">
        <f>IFERROR(Table5[[#This Row],[Full name]],"")</f>
        <v>Zack Hao</v>
      </c>
      <c r="C69" s="108">
        <f>IFERROR(AVERAGE(Table1624[[#This Row],[September 30, 2025]:[Column18]]),"N/A")</f>
        <v>0.52499999999999991</v>
      </c>
      <c r="D69" s="26">
        <f>IFERROR(_xlfn.PERCENTRANK.INC(Table4[True Rank],_xlfn.XLOOKUP(Table1624[[#This Row],[Name]],Table4[Name],Table4[True Rank],"DNP",0,1)),"DNP")</f>
        <v>0.44</v>
      </c>
      <c r="E69" s="26" t="str">
        <f>IFERROR(_xlfn.PERCENTRANK.INC(Table9[True Rank],_xlfn.XLOOKUP(Table1624[[#This Row],[Name]],Table9[Name],Table9[True Rank],"DNP",0,1)),"DNP")</f>
        <v>DNP</v>
      </c>
      <c r="F69" s="26" t="str">
        <f>IFERROR(_xlfn.PERCENTRANK.INC(Table18[True Rank],_xlfn.XLOOKUP(Table1624[[#This Row],[Name]],Table18[Name],Table18[True Rank],"DNP",0,1)),"DNP")</f>
        <v>DNP</v>
      </c>
      <c r="G69" s="26">
        <f>IFERROR(_xlfn.PERCENTRANK.INC(Table2[True Rank],_xlfn.XLOOKUP(Table1624[[#This Row],[Name]],Table2[Name],Table2[True Rank],"DNP",0,1)),"DNP")</f>
        <v>0.64200000000000002</v>
      </c>
      <c r="H69" s="26" t="str">
        <f>IFERROR(_xlfn.PERCENTRANK.INC(Table211[True Rank],_xlfn.XLOOKUP(Table1624[[#This Row],[Name]],Table211[Name],Table211[True Rank],"DNP",0,1)),"DNP")</f>
        <v>DNP</v>
      </c>
      <c r="I69" s="26" t="str">
        <f>IFERROR(_xlfn.PERCENTRANK.INC(Table21112[True Rank],_xlfn.XLOOKUP(Table1624[[#This Row],[Name]],Table21112[Name],Table21112[True Rank],"DNP",0,1)),"DNP")</f>
        <v>DNP</v>
      </c>
      <c r="J69" s="26">
        <f>IFERROR(_xlfn.PERCENTRANK.INC(Table21112164[True Rank],_xlfn.XLOOKUP(Table1624[[#This Row],[Name]],Table21112164[Name],Table21112164[True Rank],"DNP",0,1)),"DNP")</f>
        <v>0.46</v>
      </c>
      <c r="K69" s="26" t="str">
        <f>IFERROR(_xlfn.PERCENTRANK.INC(Table2111216420[True Rank],_xlfn.XLOOKUP(Table1624[[#This Row],[Name]],Table2111216420[Name],Table2111216420[True Rank],"DNP",0,1)),"DNP")</f>
        <v>DNP</v>
      </c>
      <c r="L69" s="26">
        <f>IFERROR(_xlfn.PERCENTRANK.INC(Table211121642021[True Rank],_xlfn.XLOOKUP(Table1624[[#This Row],[Name]],Table211121642021[Name],Table211121642021[True Rank],"DNP",0,1)),"DNP")</f>
        <v>0.54800000000000004</v>
      </c>
      <c r="M69" s="26" t="str">
        <f>IFERROR(_xlfn.PERCENTRANK.INC(Table21112164202122[True Rank],_xlfn.XLOOKUP(Table1624[[#This Row],[Name]],Table21112164202122[Name],Table21112164202122[True Rank],"DNP",0,1)),"DNP")</f>
        <v>DNP</v>
      </c>
      <c r="N69" s="26" t="str">
        <f>IFERROR(_xlfn.PERCENTRANK.INC(Table2111216420212223[True Rank],_xlfn.XLOOKUP(Table1624[[#This Row],[Name]],Table2111216420212223[Name],Table2111216420212223[True Rank],"DNP",0,1)),"DNP")</f>
        <v>DNP</v>
      </c>
      <c r="O69" s="26" t="str">
        <f>IFERROR(_xlfn.PERCENTRANK.INC(Table211121642021222325[True Rank],_xlfn.XLOOKUP(Table1624[[#This Row],[Name]],Table211121642021222325[Name],Table211121642021222325[True Rank],"DNP",0,1)),"DNP")</f>
        <v>DNP</v>
      </c>
      <c r="P69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69" s="26">
        <f>IFERROR(_xlfn.PERCENTRANK.INC(Table2111216420212223253435363738[True Rank],_xlfn.XLOOKUP(Table1624[[#This Row],[Name]],Table2111216420212223253435363738[Name],Table2111216420212223253435363738[True Rank],"DNP",0,1)),"DNP")</f>
        <v>0.23599999999999999</v>
      </c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2:33">
      <c r="B70" t="str">
        <f>IFERROR(Table5[[#This Row],[Full name]],"")</f>
        <v>Aadam Lakhani</v>
      </c>
      <c r="C70" s="108">
        <f>IFERROR(AVERAGE(Table1624[[#This Row],[September 30, 2025]:[Column18]]),"N/A")</f>
        <v>0.75</v>
      </c>
      <c r="D70" s="26" t="str">
        <f>IFERROR(_xlfn.PERCENTRANK.INC(Table4[True Rank],_xlfn.XLOOKUP(Table1624[[#This Row],[Name]],Table4[Name],Table4[True Rank],"DNP",0,1)),"DNP")</f>
        <v>DNP</v>
      </c>
      <c r="E70" s="26" t="str">
        <f>IFERROR(_xlfn.PERCENTRANK.INC(Table9[True Rank],_xlfn.XLOOKUP(Table1624[[#This Row],[Name]],Table9[Name],Table9[True Rank],"DNP",0,1)),"DNP")</f>
        <v>DNP</v>
      </c>
      <c r="F70" s="26" t="str">
        <f>IFERROR(_xlfn.PERCENTRANK.INC(Table18[True Rank],_xlfn.XLOOKUP(Table1624[[#This Row],[Name]],Table18[Name],Table18[True Rank],"DNP",0,1)),"DNP")</f>
        <v>DNP</v>
      </c>
      <c r="G70" s="26">
        <f>IFERROR(_xlfn.PERCENTRANK.INC(Table2[True Rank],_xlfn.XLOOKUP(Table1624[[#This Row],[Name]],Table2[Name],Table2[True Rank],"DNP",0,1)),"DNP")</f>
        <v>0.75</v>
      </c>
      <c r="H70" s="26" t="str">
        <f>IFERROR(_xlfn.PERCENTRANK.INC(Table211[True Rank],_xlfn.XLOOKUP(Table1624[[#This Row],[Name]],Table211[Name],Table211[True Rank],"DNP",0,1)),"DNP")</f>
        <v>DNP</v>
      </c>
      <c r="I70" s="26" t="str">
        <f>IFERROR(_xlfn.PERCENTRANK.INC(Table21112[True Rank],_xlfn.XLOOKUP(Table1624[[#This Row],[Name]],Table21112[Name],Table21112[True Rank],"DNP",0,1)),"DNP")</f>
        <v>DNP</v>
      </c>
      <c r="J70" s="26" t="str">
        <f>IFERROR(_xlfn.PERCENTRANK.INC(Table21112164[True Rank],_xlfn.XLOOKUP(Table1624[[#This Row],[Name]],Table21112164[Name],Table21112164[True Rank],"DNP",0,1)),"DNP")</f>
        <v>DNP</v>
      </c>
      <c r="K70" s="26" t="str">
        <f>IFERROR(_xlfn.PERCENTRANK.INC(Table2111216420[True Rank],_xlfn.XLOOKUP(Table1624[[#This Row],[Name]],Table2111216420[Name],Table2111216420[True Rank],"DNP",0,1)),"DNP")</f>
        <v>DNP</v>
      </c>
      <c r="L70" s="26" t="str">
        <f>IFERROR(_xlfn.PERCENTRANK.INC(Table211121642021[True Rank],_xlfn.XLOOKUP(Table1624[[#This Row],[Name]],Table211121642021[Name],Table211121642021[True Rank],"DNP",0,1)),"DNP")</f>
        <v>DNP</v>
      </c>
      <c r="M70" s="26" t="str">
        <f>IFERROR(_xlfn.PERCENTRANK.INC(Table21112164202122[True Rank],_xlfn.XLOOKUP(Table1624[[#This Row],[Name]],Table21112164202122[Name],Table21112164202122[True Rank],"DNP",0,1)),"DNP")</f>
        <v>DNP</v>
      </c>
      <c r="N70" s="26" t="str">
        <f>IFERROR(_xlfn.PERCENTRANK.INC(Table2111216420212223[True Rank],_xlfn.XLOOKUP(Table1624[[#This Row],[Name]],Table2111216420212223[Name],Table2111216420212223[True Rank],"DNP",0,1)),"DNP")</f>
        <v>DNP</v>
      </c>
      <c r="O70" s="26" t="str">
        <f>IFERROR(_xlfn.PERCENTRANK.INC(Table211121642021222325[True Rank],_xlfn.XLOOKUP(Table1624[[#This Row],[Name]],Table211121642021222325[Name],Table211121642021222325[True Rank],"DNP",0,1)),"DNP")</f>
        <v>DNP</v>
      </c>
      <c r="P70" s="26" t="str">
        <f>IFERROR(_xlfn.PERCENTRANK.INC(Table21112164202122232534[True Rank],_xlfn.XLOOKUP(Table1624[[#This Row],[Name]],Table21112164202122232534[Name],Table21112164202122232534[True Rank],"DNP",0,1)),"DNP")</f>
        <v>DNP</v>
      </c>
      <c r="Q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2:33">
      <c r="B71" t="str">
        <f>IFERROR(Table5[[#This Row],[Full name]],"")</f>
        <v>Aakaash Shankar</v>
      </c>
      <c r="C71" s="108" t="str">
        <f>IFERROR(AVERAGE(Table1624[[#This Row],[September 30, 2025]:[Column18]]),"N/A")</f>
        <v>N/A</v>
      </c>
      <c r="D71" s="26" t="str">
        <f>IFERROR(_xlfn.PERCENTRANK.INC(Table4[True Rank],_xlfn.XLOOKUP(Table1624[[#This Row],[Name]],Table4[Name],Table4[True Rank],"DNP",0,1)),"DNP")</f>
        <v>DNP</v>
      </c>
      <c r="E71" s="26" t="str">
        <f>IFERROR(_xlfn.PERCENTRANK.INC(Table9[True Rank],_xlfn.XLOOKUP(Table1624[[#This Row],[Name]],Table9[Name],Table9[True Rank],"DNP",0,1)),"DNP")</f>
        <v>DNP</v>
      </c>
      <c r="F71" s="26" t="str">
        <f>IFERROR(_xlfn.PERCENTRANK.INC(Table18[True Rank],_xlfn.XLOOKUP(Table1624[[#This Row],[Name]],Table18[Name],Table18[True Rank],"DNP",0,1)),"DNP")</f>
        <v>DNP</v>
      </c>
      <c r="G71" s="26" t="str">
        <f>IFERROR(_xlfn.PERCENTRANK.INC(Table2[True Rank],_xlfn.XLOOKUP(Table1624[[#This Row],[Name]],Table2[Name],Table2[True Rank],"DNP",0,1)),"DNP")</f>
        <v>DNP</v>
      </c>
      <c r="H71" s="26" t="str">
        <f>IFERROR(_xlfn.PERCENTRANK.INC(Table211[True Rank],_xlfn.XLOOKUP(Table1624[[#This Row],[Name]],Table211[Name],Table211[True Rank],"DNP",0,1)),"DNP")</f>
        <v>DNP</v>
      </c>
      <c r="I71" s="26" t="str">
        <f>IFERROR(_xlfn.PERCENTRANK.INC(Table21112[True Rank],_xlfn.XLOOKUP(Table1624[[#This Row],[Name]],Table21112[Name],Table21112[True Rank],"DNP",0,1)),"DNP")</f>
        <v>DNP</v>
      </c>
      <c r="J71" s="26" t="str">
        <f>IFERROR(_xlfn.PERCENTRANK.INC(Table21112164[True Rank],_xlfn.XLOOKUP(Table1624[[#This Row],[Name]],Table21112164[Name],Table21112164[True Rank],"DNP",0,1)),"DNP")</f>
        <v>DNP</v>
      </c>
      <c r="K71" s="26" t="str">
        <f>IFERROR(_xlfn.PERCENTRANK.INC(Table2111216420[True Rank],_xlfn.XLOOKUP(Table1624[[#This Row],[Name]],Table2111216420[Name],Table2111216420[True Rank],"DNP",0,1)),"DNP")</f>
        <v>DNP</v>
      </c>
      <c r="L71" s="26" t="str">
        <f>IFERROR(_xlfn.PERCENTRANK.INC(Table211121642021[True Rank],_xlfn.XLOOKUP(Table1624[[#This Row],[Name]],Table211121642021[Name],Table211121642021[True Rank],"DNP",0,1)),"DNP")</f>
        <v>DNP</v>
      </c>
      <c r="M71" s="26" t="str">
        <f>IFERROR(_xlfn.PERCENTRANK.INC(Table21112164202122[True Rank],_xlfn.XLOOKUP(Table1624[[#This Row],[Name]],Table21112164202122[Name],Table21112164202122[True Rank],"DNP",0,1)),"DNP")</f>
        <v>DNP</v>
      </c>
      <c r="N71" s="26" t="str">
        <f>IFERROR(_xlfn.PERCENTRANK.INC(Table2111216420212223[True Rank],_xlfn.XLOOKUP(Table1624[[#This Row],[Name]],Table2111216420212223[Name],Table2111216420212223[True Rank],"DNP",0,1)),"DNP")</f>
        <v>DNP</v>
      </c>
      <c r="O71" s="26" t="str">
        <f>IFERROR(_xlfn.PERCENTRANK.INC(Table211121642021222325[True Rank],_xlfn.XLOOKUP(Table1624[[#This Row],[Name]],Table211121642021222325[Name],Table211121642021222325[True Rank],"DNP",0,1)),"DNP")</f>
        <v>DNP</v>
      </c>
      <c r="P71" s="26" t="str">
        <f>IFERROR(_xlfn.PERCENTRANK.INC(Table21112164202122232534[True Rank],_xlfn.XLOOKUP(Table1624[[#This Row],[Name]],Table21112164202122232534[Name],Table21112164202122232534[True Rank],"DNP",0,1)),"DNP")</f>
        <v>DNP</v>
      </c>
      <c r="Q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2:33">
      <c r="B72" t="str">
        <f>IFERROR(Table5[[#This Row],[Full name]],"")</f>
        <v>Aaron Hamilton</v>
      </c>
      <c r="C72" s="108">
        <f>IFERROR(AVERAGE(Table1624[[#This Row],[September 30, 2025]:[Column18]]),"N/A")</f>
        <v>0.64060000000000006</v>
      </c>
      <c r="D72" s="26" t="str">
        <f>IFERROR(_xlfn.PERCENTRANK.INC(Table4[True Rank],_xlfn.XLOOKUP(Table1624[[#This Row],[Name]],Table4[Name],Table4[True Rank],"DNP",0,1)),"DNP")</f>
        <v>DNP</v>
      </c>
      <c r="E72" s="26" t="str">
        <f>IFERROR(_xlfn.PERCENTRANK.INC(Table9[True Rank],_xlfn.XLOOKUP(Table1624[[#This Row],[Name]],Table9[Name],Table9[True Rank],"DNP",0,1)),"DNP")</f>
        <v>DNP</v>
      </c>
      <c r="F72" s="26" t="str">
        <f>IFERROR(_xlfn.PERCENTRANK.INC(Table18[True Rank],_xlfn.XLOOKUP(Table1624[[#This Row],[Name]],Table18[Name],Table18[True Rank],"DNP",0,1)),"DNP")</f>
        <v>DNP</v>
      </c>
      <c r="G72" s="26" t="str">
        <f>IFERROR(_xlfn.PERCENTRANK.INC(Table2[True Rank],_xlfn.XLOOKUP(Table1624[[#This Row],[Name]],Table2[Name],Table2[True Rank],"DNP",0,1)),"DNP")</f>
        <v>DNP</v>
      </c>
      <c r="H72" s="26" t="str">
        <f>IFERROR(_xlfn.PERCENTRANK.INC(Table211[True Rank],_xlfn.XLOOKUP(Table1624[[#This Row],[Name]],Table211[Name],Table211[True Rank],"DNP",0,1)),"DNP")</f>
        <v>DNP</v>
      </c>
      <c r="I72" s="26" t="str">
        <f>IFERROR(_xlfn.PERCENTRANK.INC(Table21112[True Rank],_xlfn.XLOOKUP(Table1624[[#This Row],[Name]],Table21112[Name],Table21112[True Rank],"DNP",0,1)),"DNP")</f>
        <v>DNP</v>
      </c>
      <c r="J72" s="26" t="str">
        <f>IFERROR(_xlfn.PERCENTRANK.INC(Table21112164[True Rank],_xlfn.XLOOKUP(Table1624[[#This Row],[Name]],Table21112164[Name],Table21112164[True Rank],"DNP",0,1)),"DNP")</f>
        <v>DNP</v>
      </c>
      <c r="K72" s="26">
        <f>IFERROR(_xlfn.PERCENTRANK.INC(Table2111216420[True Rank],_xlfn.XLOOKUP(Table1624[[#This Row],[Name]],Table2111216420[Name],Table2111216420[True Rank],"DNP",0,1)),"DNP")</f>
        <v>0.89300000000000002</v>
      </c>
      <c r="L72" s="26" t="str">
        <f>IFERROR(_xlfn.PERCENTRANK.INC(Table211121642021[True Rank],_xlfn.XLOOKUP(Table1624[[#This Row],[Name]],Table211121642021[Name],Table211121642021[True Rank],"DNP",0,1)),"DNP")</f>
        <v>DNP</v>
      </c>
      <c r="M72" s="26">
        <f>IFERROR(_xlfn.PERCENTRANK.INC(Table21112164202122[True Rank],_xlfn.XLOOKUP(Table1624[[#This Row],[Name]],Table21112164202122[Name],Table21112164202122[True Rank],"DNP",0,1)),"DNP")</f>
        <v>0.92</v>
      </c>
      <c r="N72" s="26" t="str">
        <f>IFERROR(_xlfn.PERCENTRANK.INC(Table2111216420212223[True Rank],_xlfn.XLOOKUP(Table1624[[#This Row],[Name]],Table2111216420212223[Name],Table2111216420212223[True Rank],"DNP",0,1)),"DNP")</f>
        <v>DNP</v>
      </c>
      <c r="O72" s="26">
        <f>IFERROR(_xlfn.PERCENTRANK.INC(Table211121642021222325[True Rank],_xlfn.XLOOKUP(Table1624[[#This Row],[Name]],Table211121642021222325[Name],Table211121642021222325[True Rank],"DNP",0,1)),"DNP")</f>
        <v>0.65900000000000003</v>
      </c>
      <c r="P72" s="26">
        <f>IFERROR(_xlfn.PERCENTRANK.INC(Table21112164202122232534[True Rank],_xlfn.XLOOKUP(Table1624[[#This Row],[Name]],Table21112164202122232534[Name],Table21112164202122232534[True Rank],"DNP",0,1)),"DNP")</f>
        <v>0.318</v>
      </c>
      <c r="Q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2" s="26">
        <f>IFERROR(_xlfn.PERCENTRANK.INC(Table21112164202122232534353637[True Rank],_xlfn.XLOOKUP(Table1624[[#This Row],[Name]],Table21112164202122232534353637[Name],Table21112164202122232534353637[True Rank],"DNP",0,1)),"DNP")</f>
        <v>0.41299999999999998</v>
      </c>
      <c r="T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2:33">
      <c r="B73" t="str">
        <f>IFERROR(Table5[[#This Row],[Full name]],"")</f>
        <v>Aaron Ye</v>
      </c>
      <c r="C73" s="108">
        <f>IFERROR(AVERAGE(Table1624[[#This Row],[September 30, 2025]:[Column18]]),"N/A")</f>
        <v>0.49766666666666665</v>
      </c>
      <c r="D73" s="26">
        <f>IFERROR(_xlfn.PERCENTRANK.INC(Table4[True Rank],_xlfn.XLOOKUP(Table1624[[#This Row],[Name]],Table4[Name],Table4[True Rank],"DNP",0,1)),"DNP")</f>
        <v>0.68799999999999994</v>
      </c>
      <c r="E73" s="26">
        <f>IFERROR(_xlfn.PERCENTRANK.INC(Table9[True Rank],_xlfn.XLOOKUP(Table1624[[#This Row],[Name]],Table9[Name],Table9[True Rank],"DNP",0,1)),"DNP")</f>
        <v>0.82699999999999996</v>
      </c>
      <c r="F73" s="26">
        <f>IFERROR(_xlfn.PERCENTRANK.INC(Table18[True Rank],_xlfn.XLOOKUP(Table1624[[#This Row],[Name]],Table18[Name],Table18[True Rank],"DNP",0,1)),"DNP")</f>
        <v>0.24199999999999999</v>
      </c>
      <c r="G73" s="26" t="str">
        <f>IFERROR(_xlfn.PERCENTRANK.INC(Table2[True Rank],_xlfn.XLOOKUP(Table1624[[#This Row],[Name]],Table2[Name],Table2[True Rank],"DNP",0,1)),"DNP")</f>
        <v>DNP</v>
      </c>
      <c r="H73" s="26">
        <f>IFERROR(_xlfn.PERCENTRANK.INC(Table211[True Rank],_xlfn.XLOOKUP(Table1624[[#This Row],[Name]],Table211[Name],Table211[True Rank],"DNP",0,1)),"DNP")</f>
        <v>0.94299999999999995</v>
      </c>
      <c r="I73" s="26" t="str">
        <f>IFERROR(_xlfn.PERCENTRANK.INC(Table21112[True Rank],_xlfn.XLOOKUP(Table1624[[#This Row],[Name]],Table21112[Name],Table21112[True Rank],"DNP",0,1)),"DNP")</f>
        <v>DNP</v>
      </c>
      <c r="J73" s="26">
        <f>IFERROR(_xlfn.PERCENTRANK.INC(Table21112164[True Rank],_xlfn.XLOOKUP(Table1624[[#This Row],[Name]],Table21112164[Name],Table21112164[True Rank],"DNP",0,1)),"DNP")</f>
        <v>0.157</v>
      </c>
      <c r="K73" s="26" t="str">
        <f>IFERROR(_xlfn.PERCENTRANK.INC(Table2111216420[True Rank],_xlfn.XLOOKUP(Table1624[[#This Row],[Name]],Table2111216420[Name],Table2111216420[True Rank],"DNP",0,1)),"DNP")</f>
        <v>DNP</v>
      </c>
      <c r="L73" s="26">
        <f>IFERROR(_xlfn.PERCENTRANK.INC(Table211121642021[True Rank],_xlfn.XLOOKUP(Table1624[[#This Row],[Name]],Table211121642021[Name],Table211121642021[True Rank],"DNP",0,1)),"DNP")</f>
        <v>0.129</v>
      </c>
      <c r="M73" s="26" t="str">
        <f>IFERROR(_xlfn.PERCENTRANK.INC(Table21112164202122[True Rank],_xlfn.XLOOKUP(Table1624[[#This Row],[Name]],Table21112164202122[Name],Table21112164202122[True Rank],"DNP",0,1)),"DNP")</f>
        <v>DNP</v>
      </c>
      <c r="N73" s="26" t="str">
        <f>IFERROR(_xlfn.PERCENTRANK.INC(Table2111216420212223[True Rank],_xlfn.XLOOKUP(Table1624[[#This Row],[Name]],Table2111216420212223[Name],Table2111216420212223[True Rank],"DNP",0,1)),"DNP")</f>
        <v>DNP</v>
      </c>
      <c r="O73" s="26" t="str">
        <f>IFERROR(_xlfn.PERCENTRANK.INC(Table211121642021222325[True Rank],_xlfn.XLOOKUP(Table1624[[#This Row],[Name]],Table211121642021222325[Name],Table211121642021222325[True Rank],"DNP",0,1)),"DNP")</f>
        <v>DNP</v>
      </c>
      <c r="P73" s="26" t="str">
        <f>IFERROR(_xlfn.PERCENTRANK.INC(Table21112164202122232534[True Rank],_xlfn.XLOOKUP(Table1624[[#This Row],[Name]],Table21112164202122232534[Name],Table21112164202122232534[True Rank],"DNP",0,1)),"DNP")</f>
        <v>DNP</v>
      </c>
      <c r="Q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2:33">
      <c r="B74" t="str">
        <f>IFERROR(Table5[[#This Row],[Full name]],"")</f>
        <v>Abdullah Imran</v>
      </c>
      <c r="C74" s="108">
        <f>IFERROR(AVERAGE(Table1624[[#This Row],[September 30, 2025]:[Column18]]),"N/A")</f>
        <v>0.36399999999999993</v>
      </c>
      <c r="D74" s="26" t="str">
        <f>IFERROR(_xlfn.PERCENTRANK.INC(Table4[True Rank],_xlfn.XLOOKUP(Table1624[[#This Row],[Name]],Table4[Name],Table4[True Rank],"DNP",0,1)),"DNP")</f>
        <v>DNP</v>
      </c>
      <c r="E74" s="26" t="str">
        <f>IFERROR(_xlfn.PERCENTRANK.INC(Table9[True Rank],_xlfn.XLOOKUP(Table1624[[#This Row],[Name]],Table9[Name],Table9[True Rank],"DNP",0,1)),"DNP")</f>
        <v>DNP</v>
      </c>
      <c r="F74" s="26" t="str">
        <f>IFERROR(_xlfn.PERCENTRANK.INC(Table18[True Rank],_xlfn.XLOOKUP(Table1624[[#This Row],[Name]],Table18[Name],Table18[True Rank],"DNP",0,1)),"DNP")</f>
        <v>DNP</v>
      </c>
      <c r="G74" s="26" t="str">
        <f>IFERROR(_xlfn.PERCENTRANK.INC(Table2[True Rank],_xlfn.XLOOKUP(Table1624[[#This Row],[Name]],Table2[Name],Table2[True Rank],"DNP",0,1)),"DNP")</f>
        <v>DNP</v>
      </c>
      <c r="H74" s="26" t="str">
        <f>IFERROR(_xlfn.PERCENTRANK.INC(Table211[True Rank],_xlfn.XLOOKUP(Table1624[[#This Row],[Name]],Table211[Name],Table211[True Rank],"DNP",0,1)),"DNP")</f>
        <v>DNP</v>
      </c>
      <c r="I74" s="26" t="str">
        <f>IFERROR(_xlfn.PERCENTRANK.INC(Table21112[True Rank],_xlfn.XLOOKUP(Table1624[[#This Row],[Name]],Table21112[Name],Table21112[True Rank],"DNP",0,1)),"DNP")</f>
        <v>DNP</v>
      </c>
      <c r="J74" s="26" t="str">
        <f>IFERROR(_xlfn.PERCENTRANK.INC(Table21112164[True Rank],_xlfn.XLOOKUP(Table1624[[#This Row],[Name]],Table21112164[Name],Table21112164[True Rank],"DNP",0,1)),"DNP")</f>
        <v>DNP</v>
      </c>
      <c r="K74" s="26" t="str">
        <f>IFERROR(_xlfn.PERCENTRANK.INC(Table2111216420[True Rank],_xlfn.XLOOKUP(Table1624[[#This Row],[Name]],Table2111216420[Name],Table2111216420[True Rank],"DNP",0,1)),"DNP")</f>
        <v>DNP</v>
      </c>
      <c r="L74" s="26">
        <f>IFERROR(_xlfn.PERCENTRANK.INC(Table211121642021[True Rank],_xlfn.XLOOKUP(Table1624[[#This Row],[Name]],Table211121642021[Name],Table211121642021[True Rank],"DNP",0,1)),"DNP")</f>
        <v>0.44</v>
      </c>
      <c r="M74" s="26">
        <f>IFERROR(_xlfn.PERCENTRANK.INC(Table21112164202122[True Rank],_xlfn.XLOOKUP(Table1624[[#This Row],[Name]],Table21112164202122[Name],Table21112164202122[True Rank],"DNP",0,1)),"DNP")</f>
        <v>0.47699999999999998</v>
      </c>
      <c r="N74" s="26">
        <f>IFERROR(_xlfn.PERCENTRANK.INC(Table2111216420212223[True Rank],_xlfn.XLOOKUP(Table1624[[#This Row],[Name]],Table2111216420212223[Name],Table2111216420212223[True Rank],"DNP",0,1)),"DNP")</f>
        <v>0.252</v>
      </c>
      <c r="O74" s="26" t="str">
        <f>IFERROR(_xlfn.PERCENTRANK.INC(Table211121642021222325[True Rank],_xlfn.XLOOKUP(Table1624[[#This Row],[Name]],Table211121642021222325[Name],Table211121642021222325[True Rank],"DNP",0,1)),"DNP")</f>
        <v>DNP</v>
      </c>
      <c r="P7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74" s="26">
        <f>IFERROR(_xlfn.PERCENTRANK.INC(Table2111216420212223253435[True Rank],_xlfn.XLOOKUP(Table1624[[#This Row],[Name]],Table2111216420212223253435[Name],Table2111216420212223253435[True Rank],"DNP",0,1)),"DNP")</f>
        <v>0.04</v>
      </c>
      <c r="R74" s="26">
        <f>IFERROR(_xlfn.PERCENTRANK.INC(Table211121642021222325343536[True Rank],_xlfn.XLOOKUP(Table1624[[#This Row],[Name]],Table211121642021222325343536[Name],Table211121642021222325343536[True Rank],"DNP",0,1)),"DNP")</f>
        <v>0.151</v>
      </c>
      <c r="S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2:33">
      <c r="B75" t="str">
        <f>IFERROR(Table5[[#This Row],[Full name]],"")</f>
        <v>Adam Dasilva</v>
      </c>
      <c r="C75" s="108">
        <f>IFERROR(AVERAGE(Table1624[[#This Row],[September 30, 2025]:[Column18]]),"N/A")</f>
        <v>0.16600000000000001</v>
      </c>
      <c r="D75" s="26" t="str">
        <f>IFERROR(_xlfn.PERCENTRANK.INC(Table4[True Rank],_xlfn.XLOOKUP(Table1624[[#This Row],[Name]],Table4[Name],Table4[True Rank],"DNP",0,1)),"DNP")</f>
        <v>DNP</v>
      </c>
      <c r="E75" s="26" t="str">
        <f>IFERROR(_xlfn.PERCENTRANK.INC(Table9[True Rank],_xlfn.XLOOKUP(Table1624[[#This Row],[Name]],Table9[Name],Table9[True Rank],"DNP",0,1)),"DNP")</f>
        <v>DNP</v>
      </c>
      <c r="F75" s="26" t="str">
        <f>IFERROR(_xlfn.PERCENTRANK.INC(Table18[True Rank],_xlfn.XLOOKUP(Table1624[[#This Row],[Name]],Table18[Name],Table18[True Rank],"DNP",0,1)),"DNP")</f>
        <v>DNP</v>
      </c>
      <c r="G75" s="26" t="str">
        <f>IFERROR(_xlfn.PERCENTRANK.INC(Table2[True Rank],_xlfn.XLOOKUP(Table1624[[#This Row],[Name]],Table2[Name],Table2[True Rank],"DNP",0,1)),"DNP")</f>
        <v>DNP</v>
      </c>
      <c r="H75" s="26" t="str">
        <f>IFERROR(_xlfn.PERCENTRANK.INC(Table211[True Rank],_xlfn.XLOOKUP(Table1624[[#This Row],[Name]],Table211[Name],Table211[True Rank],"DNP",0,1)),"DNP")</f>
        <v>DNP</v>
      </c>
      <c r="I75" s="26">
        <f>IFERROR(_xlfn.PERCENTRANK.INC(Table21112[True Rank],_xlfn.XLOOKUP(Table1624[[#This Row],[Name]],Table21112[Name],Table21112[True Rank],"DNP",0,1)),"DNP")</f>
        <v>0.16600000000000001</v>
      </c>
      <c r="J75" s="26" t="str">
        <f>IFERROR(_xlfn.PERCENTRANK.INC(Table21112164[True Rank],_xlfn.XLOOKUP(Table1624[[#This Row],[Name]],Table21112164[Name],Table21112164[True Rank],"DNP",0,1)),"DNP")</f>
        <v>DNP</v>
      </c>
      <c r="K75" s="26" t="str">
        <f>IFERROR(_xlfn.PERCENTRANK.INC(Table2111216420[True Rank],_xlfn.XLOOKUP(Table1624[[#This Row],[Name]],Table2111216420[Name],Table2111216420[True Rank],"DNP",0,1)),"DNP")</f>
        <v>DNP</v>
      </c>
      <c r="L75" s="26" t="str">
        <f>IFERROR(_xlfn.PERCENTRANK.INC(Table211121642021[True Rank],_xlfn.XLOOKUP(Table1624[[#This Row],[Name]],Table211121642021[Name],Table211121642021[True Rank],"DNP",0,1)),"DNP")</f>
        <v>DNP</v>
      </c>
      <c r="M75" s="26" t="str">
        <f>IFERROR(_xlfn.PERCENTRANK.INC(Table21112164202122[True Rank],_xlfn.XLOOKUP(Table1624[[#This Row],[Name]],Table21112164202122[Name],Table21112164202122[True Rank],"DNP",0,1)),"DNP")</f>
        <v>DNP</v>
      </c>
      <c r="N75" s="26" t="str">
        <f>IFERROR(_xlfn.PERCENTRANK.INC(Table2111216420212223[True Rank],_xlfn.XLOOKUP(Table1624[[#This Row],[Name]],Table2111216420212223[Name],Table2111216420212223[True Rank],"DNP",0,1)),"DNP")</f>
        <v>DNP</v>
      </c>
      <c r="O75" s="26" t="str">
        <f>IFERROR(_xlfn.PERCENTRANK.INC(Table211121642021222325[True Rank],_xlfn.XLOOKUP(Table1624[[#This Row],[Name]],Table211121642021222325[Name],Table211121642021222325[True Rank],"DNP",0,1)),"DNP")</f>
        <v>DNP</v>
      </c>
      <c r="P75" s="26" t="str">
        <f>IFERROR(_xlfn.PERCENTRANK.INC(Table21112164202122232534[True Rank],_xlfn.XLOOKUP(Table1624[[#This Row],[Name]],Table21112164202122232534[Name],Table21112164202122232534[True Rank],"DNP",0,1)),"DNP")</f>
        <v>DNP</v>
      </c>
      <c r="Q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2:33">
      <c r="B76" t="str">
        <f>IFERROR(Table5[[#This Row],[Full name]],"")</f>
        <v>Adrian Liu</v>
      </c>
      <c r="C76" s="108">
        <f>IFERROR(AVERAGE(Table1624[[#This Row],[September 30, 2025]:[Column18]]),"N/A")</f>
        <v>0.38666666666666671</v>
      </c>
      <c r="D76" s="26" t="str">
        <f>IFERROR(_xlfn.PERCENTRANK.INC(Table4[True Rank],_xlfn.XLOOKUP(Table1624[[#This Row],[Name]],Table4[Name],Table4[True Rank],"DNP",0,1)),"DNP")</f>
        <v>DNP</v>
      </c>
      <c r="E76" s="26" t="str">
        <f>IFERROR(_xlfn.PERCENTRANK.INC(Table9[True Rank],_xlfn.XLOOKUP(Table1624[[#This Row],[Name]],Table9[Name],Table9[True Rank],"DNP",0,1)),"DNP")</f>
        <v>DNP</v>
      </c>
      <c r="F76" s="26" t="str">
        <f>IFERROR(_xlfn.PERCENTRANK.INC(Table18[True Rank],_xlfn.XLOOKUP(Table1624[[#This Row],[Name]],Table18[Name],Table18[True Rank],"DNP",0,1)),"DNP")</f>
        <v>DNP</v>
      </c>
      <c r="G76" s="26" t="str">
        <f>IFERROR(_xlfn.PERCENTRANK.INC(Table2[True Rank],_xlfn.XLOOKUP(Table1624[[#This Row],[Name]],Table2[Name],Table2[True Rank],"DNP",0,1)),"DNP")</f>
        <v>DNP</v>
      </c>
      <c r="H76" s="26" t="str">
        <f>IFERROR(_xlfn.PERCENTRANK.INC(Table211[True Rank],_xlfn.XLOOKUP(Table1624[[#This Row],[Name]],Table211[Name],Table211[True Rank],"DNP",0,1)),"DNP")</f>
        <v>DNP</v>
      </c>
      <c r="I76" s="26" t="str">
        <f>IFERROR(_xlfn.PERCENTRANK.INC(Table21112[True Rank],_xlfn.XLOOKUP(Table1624[[#This Row],[Name]],Table21112[Name],Table21112[True Rank],"DNP",0,1)),"DNP")</f>
        <v>DNP</v>
      </c>
      <c r="J76" s="26">
        <f>IFERROR(_xlfn.PERCENTRANK.INC(Table21112164[True Rank],_xlfn.XLOOKUP(Table1624[[#This Row],[Name]],Table21112164[Name],Table21112164[True Rank],"DNP",0,1)),"DNP")</f>
        <v>2.1999999999999999E-2</v>
      </c>
      <c r="K76" s="26">
        <f>IFERROR(_xlfn.PERCENTRANK.INC(Table2111216420[True Rank],_xlfn.XLOOKUP(Table1624[[#This Row],[Name]],Table2111216420[Name],Table2111216420[True Rank],"DNP",0,1)),"DNP")</f>
        <v>0.35099999999999998</v>
      </c>
      <c r="L76" s="26" t="str">
        <f>IFERROR(_xlfn.PERCENTRANK.INC(Table211121642021[True Rank],_xlfn.XLOOKUP(Table1624[[#This Row],[Name]],Table211121642021[Name],Table211121642021[True Rank],"DNP",0,1)),"DNP")</f>
        <v>DNP</v>
      </c>
      <c r="M76" s="26" t="str">
        <f>IFERROR(_xlfn.PERCENTRANK.INC(Table21112164202122[True Rank],_xlfn.XLOOKUP(Table1624[[#This Row],[Name]],Table21112164202122[Name],Table21112164202122[True Rank],"DNP",0,1)),"DNP")</f>
        <v>DNP</v>
      </c>
      <c r="N76" s="26" t="str">
        <f>IFERROR(_xlfn.PERCENTRANK.INC(Table2111216420212223[True Rank],_xlfn.XLOOKUP(Table1624[[#This Row],[Name]],Table2111216420212223[Name],Table2111216420212223[True Rank],"DNP",0,1)),"DNP")</f>
        <v>DNP</v>
      </c>
      <c r="O76" s="26" t="str">
        <f>IFERROR(_xlfn.PERCENTRANK.INC(Table211121642021222325[True Rank],_xlfn.XLOOKUP(Table1624[[#This Row],[Name]],Table211121642021222325[Name],Table211121642021222325[True Rank],"DNP",0,1)),"DNP")</f>
        <v>DNP</v>
      </c>
      <c r="P76" s="26" t="str">
        <f>IFERROR(_xlfn.PERCENTRANK.INC(Table21112164202122232534[True Rank],_xlfn.XLOOKUP(Table1624[[#This Row],[Name]],Table21112164202122232534[Name],Table21112164202122232534[True Rank],"DNP",0,1)),"DNP")</f>
        <v>DNP</v>
      </c>
      <c r="Q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6" s="26">
        <f>IFERROR(_xlfn.PERCENTRANK.INC(Table211121642021222325343536[True Rank],_xlfn.XLOOKUP(Table1624[[#This Row],[Name]],Table211121642021222325343536[Name],Table211121642021222325343536[True Rank],"DNP",0,1)),"DNP")</f>
        <v>0.78700000000000003</v>
      </c>
      <c r="S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2:33">
      <c r="B77" t="str">
        <f>IFERROR(Table5[[#This Row],[Full name]],"")</f>
        <v>Adrien Soupa</v>
      </c>
      <c r="C77" s="108">
        <f>IFERROR(AVERAGE(Table1624[[#This Row],[September 30, 2025]:[Column18]]),"N/A")</f>
        <v>0.79300000000000004</v>
      </c>
      <c r="D77" s="26" t="str">
        <f>IFERROR(_xlfn.PERCENTRANK.INC(Table4[True Rank],_xlfn.XLOOKUP(Table1624[[#This Row],[Name]],Table4[Name],Table4[True Rank],"DNP",0,1)),"DNP")</f>
        <v>DNP</v>
      </c>
      <c r="E77" s="26" t="str">
        <f>IFERROR(_xlfn.PERCENTRANK.INC(Table9[True Rank],_xlfn.XLOOKUP(Table1624[[#This Row],[Name]],Table9[Name],Table9[True Rank],"DNP",0,1)),"DNP")</f>
        <v>DNP</v>
      </c>
      <c r="F77" s="26" t="str">
        <f>IFERROR(_xlfn.PERCENTRANK.INC(Table18[True Rank],_xlfn.XLOOKUP(Table1624[[#This Row],[Name]],Table18[Name],Table18[True Rank],"DNP",0,1)),"DNP")</f>
        <v>DNP</v>
      </c>
      <c r="G77" s="26" t="str">
        <f>IFERROR(_xlfn.PERCENTRANK.INC(Table2[True Rank],_xlfn.XLOOKUP(Table1624[[#This Row],[Name]],Table2[Name],Table2[True Rank],"DNP",0,1)),"DNP")</f>
        <v>DNP</v>
      </c>
      <c r="H77" s="26" t="str">
        <f>IFERROR(_xlfn.PERCENTRANK.INC(Table211[True Rank],_xlfn.XLOOKUP(Table1624[[#This Row],[Name]],Table211[Name],Table211[True Rank],"DNP",0,1)),"DNP")</f>
        <v>DNP</v>
      </c>
      <c r="I77" s="26" t="str">
        <f>IFERROR(_xlfn.PERCENTRANK.INC(Table21112[True Rank],_xlfn.XLOOKUP(Table1624[[#This Row],[Name]],Table21112[Name],Table21112[True Rank],"DNP",0,1)),"DNP")</f>
        <v>DNP</v>
      </c>
      <c r="J77" s="26" t="str">
        <f>IFERROR(_xlfn.PERCENTRANK.INC(Table21112164[True Rank],_xlfn.XLOOKUP(Table1624[[#This Row],[Name]],Table21112164[Name],Table21112164[True Rank],"DNP",0,1)),"DNP")</f>
        <v>DNP</v>
      </c>
      <c r="K77" s="26" t="str">
        <f>IFERROR(_xlfn.PERCENTRANK.INC(Table2111216420[True Rank],_xlfn.XLOOKUP(Table1624[[#This Row],[Name]],Table2111216420[Name],Table2111216420[True Rank],"DNP",0,1)),"DNP")</f>
        <v>DNP</v>
      </c>
      <c r="L77" s="26" t="str">
        <f>IFERROR(_xlfn.PERCENTRANK.INC(Table211121642021[True Rank],_xlfn.XLOOKUP(Table1624[[#This Row],[Name]],Table211121642021[Name],Table211121642021[True Rank],"DNP",0,1)),"DNP")</f>
        <v>DNP</v>
      </c>
      <c r="M77" s="26" t="str">
        <f>IFERROR(_xlfn.PERCENTRANK.INC(Table21112164202122[True Rank],_xlfn.XLOOKUP(Table1624[[#This Row],[Name]],Table21112164202122[Name],Table21112164202122[True Rank],"DNP",0,1)),"DNP")</f>
        <v>DNP</v>
      </c>
      <c r="N77" s="26" t="str">
        <f>IFERROR(_xlfn.PERCENTRANK.INC(Table2111216420212223[True Rank],_xlfn.XLOOKUP(Table1624[[#This Row],[Name]],Table2111216420212223[Name],Table2111216420212223[True Rank],"DNP",0,1)),"DNP")</f>
        <v>DNP</v>
      </c>
      <c r="O77" s="26" t="str">
        <f>IFERROR(_xlfn.PERCENTRANK.INC(Table211121642021222325[True Rank],_xlfn.XLOOKUP(Table1624[[#This Row],[Name]],Table211121642021222325[Name],Table211121642021222325[True Rank],"DNP",0,1)),"DNP")</f>
        <v>DNP</v>
      </c>
      <c r="P77" s="26" t="str">
        <f>IFERROR(_xlfn.PERCENTRANK.INC(Table21112164202122232534[True Rank],_xlfn.XLOOKUP(Table1624[[#This Row],[Name]],Table21112164202122232534[Name],Table21112164202122232534[True Rank],"DNP",0,1)),"DNP")</f>
        <v>DNP</v>
      </c>
      <c r="Q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7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2:33">
      <c r="B78" t="str">
        <f>IFERROR(Table5[[#This Row],[Full name]],"")</f>
        <v>Ahmed Mohammed</v>
      </c>
      <c r="C78" s="108">
        <f>IFERROR(AVERAGE(Table1624[[#This Row],[September 30, 2025]:[Column18]]),"N/A")</f>
        <v>0.81699999999999995</v>
      </c>
      <c r="D78" s="26" t="str">
        <f>IFERROR(_xlfn.PERCENTRANK.INC(Table4[True Rank],_xlfn.XLOOKUP(Table1624[[#This Row],[Name]],Table4[Name],Table4[True Rank],"DNP",0,1)),"DNP")</f>
        <v>DNP</v>
      </c>
      <c r="E78" s="26" t="str">
        <f>IFERROR(_xlfn.PERCENTRANK.INC(Table9[True Rank],_xlfn.XLOOKUP(Table1624[[#This Row],[Name]],Table9[Name],Table9[True Rank],"DNP",0,1)),"DNP")</f>
        <v>DNP</v>
      </c>
      <c r="F78" s="26">
        <f>IFERROR(_xlfn.PERCENTRANK.INC(Table18[True Rank],_xlfn.XLOOKUP(Table1624[[#This Row],[Name]],Table18[Name],Table18[True Rank],"DNP",0,1)),"DNP")</f>
        <v>0.84799999999999998</v>
      </c>
      <c r="G78" s="26" t="str">
        <f>IFERROR(_xlfn.PERCENTRANK.INC(Table2[True Rank],_xlfn.XLOOKUP(Table1624[[#This Row],[Name]],Table2[Name],Table2[True Rank],"DNP",0,1)),"DNP")</f>
        <v>DNP</v>
      </c>
      <c r="H78" s="26" t="str">
        <f>IFERROR(_xlfn.PERCENTRANK.INC(Table211[True Rank],_xlfn.XLOOKUP(Table1624[[#This Row],[Name]],Table211[Name],Table211[True Rank],"DNP",0,1)),"DNP")</f>
        <v>DNP</v>
      </c>
      <c r="I78" s="26" t="str">
        <f>IFERROR(_xlfn.PERCENTRANK.INC(Table21112[True Rank],_xlfn.XLOOKUP(Table1624[[#This Row],[Name]],Table21112[Name],Table21112[True Rank],"DNP",0,1)),"DNP")</f>
        <v>DNP</v>
      </c>
      <c r="J78" s="26">
        <f>IFERROR(_xlfn.PERCENTRANK.INC(Table21112164[True Rank],_xlfn.XLOOKUP(Table1624[[#This Row],[Name]],Table21112164[Name],Table21112164[True Rank],"DNP",0,1)),"DNP")</f>
        <v>0.78600000000000003</v>
      </c>
      <c r="K78" s="26" t="str">
        <f>IFERROR(_xlfn.PERCENTRANK.INC(Table2111216420[True Rank],_xlfn.XLOOKUP(Table1624[[#This Row],[Name]],Table2111216420[Name],Table2111216420[True Rank],"DNP",0,1)),"DNP")</f>
        <v>DNP</v>
      </c>
      <c r="L78" s="26" t="str">
        <f>IFERROR(_xlfn.PERCENTRANK.INC(Table211121642021[True Rank],_xlfn.XLOOKUP(Table1624[[#This Row],[Name]],Table211121642021[Name],Table211121642021[True Rank],"DNP",0,1)),"DNP")</f>
        <v>DNP</v>
      </c>
      <c r="M78" s="26" t="str">
        <f>IFERROR(_xlfn.PERCENTRANK.INC(Table21112164202122[True Rank],_xlfn.XLOOKUP(Table1624[[#This Row],[Name]],Table21112164202122[Name],Table21112164202122[True Rank],"DNP",0,1)),"DNP")</f>
        <v>DNP</v>
      </c>
      <c r="N78" s="26" t="str">
        <f>IFERROR(_xlfn.PERCENTRANK.INC(Table2111216420212223[True Rank],_xlfn.XLOOKUP(Table1624[[#This Row],[Name]],Table2111216420212223[Name],Table2111216420212223[True Rank],"DNP",0,1)),"DNP")</f>
        <v>DNP</v>
      </c>
      <c r="O78" s="26" t="str">
        <f>IFERROR(_xlfn.PERCENTRANK.INC(Table211121642021222325[True Rank],_xlfn.XLOOKUP(Table1624[[#This Row],[Name]],Table211121642021222325[Name],Table211121642021222325[True Rank],"DNP",0,1)),"DNP")</f>
        <v>DNP</v>
      </c>
      <c r="P78" s="26" t="str">
        <f>IFERROR(_xlfn.PERCENTRANK.INC(Table21112164202122232534[True Rank],_xlfn.XLOOKUP(Table1624[[#This Row],[Name]],Table21112164202122232534[Name],Table21112164202122232534[True Rank],"DNP",0,1)),"DNP")</f>
        <v>DNP</v>
      </c>
      <c r="Q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2:33">
      <c r="B79" t="str">
        <f>IFERROR(Table5[[#This Row],[Full name]],"")</f>
        <v>Aiden Gertler</v>
      </c>
      <c r="C79" s="108" t="str">
        <f>IFERROR(AVERAGE(Table1624[[#This Row],[September 30, 2025]:[Column18]]),"N/A")</f>
        <v>N/A</v>
      </c>
      <c r="D79" s="26" t="str">
        <f>IFERROR(_xlfn.PERCENTRANK.INC(Table4[True Rank],_xlfn.XLOOKUP(Table1624[[#This Row],[Name]],Table4[Name],Table4[True Rank],"DNP",0,1)),"DNP")</f>
        <v>DNP</v>
      </c>
      <c r="E79" s="26" t="str">
        <f>IFERROR(_xlfn.PERCENTRANK.INC(Table9[True Rank],_xlfn.XLOOKUP(Table1624[[#This Row],[Name]],Table9[Name],Table9[True Rank],"DNP",0,1)),"DNP")</f>
        <v>DNP</v>
      </c>
      <c r="F79" s="26" t="str">
        <f>IFERROR(_xlfn.PERCENTRANK.INC(Table18[True Rank],_xlfn.XLOOKUP(Table1624[[#This Row],[Name]],Table18[Name],Table18[True Rank],"DNP",0,1)),"DNP")</f>
        <v>DNP</v>
      </c>
      <c r="G79" s="26" t="str">
        <f>IFERROR(_xlfn.PERCENTRANK.INC(Table2[True Rank],_xlfn.XLOOKUP(Table1624[[#This Row],[Name]],Table2[Name],Table2[True Rank],"DNP",0,1)),"DNP")</f>
        <v>DNP</v>
      </c>
      <c r="H79" s="26" t="str">
        <f>IFERROR(_xlfn.PERCENTRANK.INC(Table211[True Rank],_xlfn.XLOOKUP(Table1624[[#This Row],[Name]],Table211[Name],Table211[True Rank],"DNP",0,1)),"DNP")</f>
        <v>DNP</v>
      </c>
      <c r="I79" s="26" t="str">
        <f>IFERROR(_xlfn.PERCENTRANK.INC(Table21112[True Rank],_xlfn.XLOOKUP(Table1624[[#This Row],[Name]],Table21112[Name],Table21112[True Rank],"DNP",0,1)),"DNP")</f>
        <v>DNP</v>
      </c>
      <c r="J79" s="26" t="str">
        <f>IFERROR(_xlfn.PERCENTRANK.INC(Table21112164[True Rank],_xlfn.XLOOKUP(Table1624[[#This Row],[Name]],Table21112164[Name],Table21112164[True Rank],"DNP",0,1)),"DNP")</f>
        <v>DNP</v>
      </c>
      <c r="K79" s="26" t="str">
        <f>IFERROR(_xlfn.PERCENTRANK.INC(Table2111216420[True Rank],_xlfn.XLOOKUP(Table1624[[#This Row],[Name]],Table2111216420[Name],Table2111216420[True Rank],"DNP",0,1)),"DNP")</f>
        <v>DNP</v>
      </c>
      <c r="L79" s="26" t="str">
        <f>IFERROR(_xlfn.PERCENTRANK.INC(Table211121642021[True Rank],_xlfn.XLOOKUP(Table1624[[#This Row],[Name]],Table211121642021[Name],Table211121642021[True Rank],"DNP",0,1)),"DNP")</f>
        <v>DNP</v>
      </c>
      <c r="M79" s="26" t="str">
        <f>IFERROR(_xlfn.PERCENTRANK.INC(Table21112164202122[True Rank],_xlfn.XLOOKUP(Table1624[[#This Row],[Name]],Table21112164202122[Name],Table21112164202122[True Rank],"DNP",0,1)),"DNP")</f>
        <v>DNP</v>
      </c>
      <c r="N79" s="26" t="str">
        <f>IFERROR(_xlfn.PERCENTRANK.INC(Table2111216420212223[True Rank],_xlfn.XLOOKUP(Table1624[[#This Row],[Name]],Table2111216420212223[Name],Table2111216420212223[True Rank],"DNP",0,1)),"DNP")</f>
        <v>DNP</v>
      </c>
      <c r="O79" s="26" t="str">
        <f>IFERROR(_xlfn.PERCENTRANK.INC(Table211121642021222325[True Rank],_xlfn.XLOOKUP(Table1624[[#This Row],[Name]],Table211121642021222325[Name],Table211121642021222325[True Rank],"DNP",0,1)),"DNP")</f>
        <v>DNP</v>
      </c>
      <c r="P79" s="26" t="str">
        <f>IFERROR(_xlfn.PERCENTRANK.INC(Table21112164202122232534[True Rank],_xlfn.XLOOKUP(Table1624[[#This Row],[Name]],Table21112164202122232534[Name],Table21112164202122232534[True Rank],"DNP",0,1)),"DNP")</f>
        <v>DNP</v>
      </c>
      <c r="Q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2:33">
      <c r="B80" t="str">
        <f>IFERROR(Table5[[#This Row],[Full name]],"")</f>
        <v>Ajai Lingenfelter</v>
      </c>
      <c r="C80" s="108" t="str">
        <f>IFERROR(AVERAGE(Table1624[[#This Row],[September 30, 2025]:[Column18]]),"N/A")</f>
        <v>N/A</v>
      </c>
      <c r="D80" s="26" t="str">
        <f>IFERROR(_xlfn.PERCENTRANK.INC(Table4[True Rank],_xlfn.XLOOKUP(Table1624[[#This Row],[Name]],Table4[Name],Table4[True Rank],"DNP",0,1)),"DNP")</f>
        <v>DNP</v>
      </c>
      <c r="E80" s="26" t="str">
        <f>IFERROR(_xlfn.PERCENTRANK.INC(Table9[True Rank],_xlfn.XLOOKUP(Table1624[[#This Row],[Name]],Table9[Name],Table9[True Rank],"DNP",0,1)),"DNP")</f>
        <v>DNP</v>
      </c>
      <c r="F80" s="26" t="str">
        <f>IFERROR(_xlfn.PERCENTRANK.INC(Table18[True Rank],_xlfn.XLOOKUP(Table1624[[#This Row],[Name]],Table18[Name],Table18[True Rank],"DNP",0,1)),"DNP")</f>
        <v>DNP</v>
      </c>
      <c r="G80" s="26" t="str">
        <f>IFERROR(_xlfn.PERCENTRANK.INC(Table2[True Rank],_xlfn.XLOOKUP(Table1624[[#This Row],[Name]],Table2[Name],Table2[True Rank],"DNP",0,1)),"DNP")</f>
        <v>DNP</v>
      </c>
      <c r="H80" s="26" t="str">
        <f>IFERROR(_xlfn.PERCENTRANK.INC(Table211[True Rank],_xlfn.XLOOKUP(Table1624[[#This Row],[Name]],Table211[Name],Table211[True Rank],"DNP",0,1)),"DNP")</f>
        <v>DNP</v>
      </c>
      <c r="I80" s="26" t="str">
        <f>IFERROR(_xlfn.PERCENTRANK.INC(Table21112[True Rank],_xlfn.XLOOKUP(Table1624[[#This Row],[Name]],Table21112[Name],Table21112[True Rank],"DNP",0,1)),"DNP")</f>
        <v>DNP</v>
      </c>
      <c r="J80" s="26" t="str">
        <f>IFERROR(_xlfn.PERCENTRANK.INC(Table21112164[True Rank],_xlfn.XLOOKUP(Table1624[[#This Row],[Name]],Table21112164[Name],Table21112164[True Rank],"DNP",0,1)),"DNP")</f>
        <v>DNP</v>
      </c>
      <c r="K80" s="26" t="str">
        <f>IFERROR(_xlfn.PERCENTRANK.INC(Table2111216420[True Rank],_xlfn.XLOOKUP(Table1624[[#This Row],[Name]],Table2111216420[Name],Table2111216420[True Rank],"DNP",0,1)),"DNP")</f>
        <v>DNP</v>
      </c>
      <c r="L80" s="26" t="str">
        <f>IFERROR(_xlfn.PERCENTRANK.INC(Table211121642021[True Rank],_xlfn.XLOOKUP(Table1624[[#This Row],[Name]],Table211121642021[Name],Table211121642021[True Rank],"DNP",0,1)),"DNP")</f>
        <v>DNP</v>
      </c>
      <c r="M80" s="26" t="str">
        <f>IFERROR(_xlfn.PERCENTRANK.INC(Table21112164202122[True Rank],_xlfn.XLOOKUP(Table1624[[#This Row],[Name]],Table21112164202122[Name],Table21112164202122[True Rank],"DNP",0,1)),"DNP")</f>
        <v>DNP</v>
      </c>
      <c r="N80" s="26" t="str">
        <f>IFERROR(_xlfn.PERCENTRANK.INC(Table2111216420212223[True Rank],_xlfn.XLOOKUP(Table1624[[#This Row],[Name]],Table2111216420212223[Name],Table2111216420212223[True Rank],"DNP",0,1)),"DNP")</f>
        <v>DNP</v>
      </c>
      <c r="O80" s="26" t="str">
        <f>IFERROR(_xlfn.PERCENTRANK.INC(Table211121642021222325[True Rank],_xlfn.XLOOKUP(Table1624[[#This Row],[Name]],Table211121642021222325[Name],Table211121642021222325[True Rank],"DNP",0,1)),"DNP")</f>
        <v>DNP</v>
      </c>
      <c r="P80" s="26" t="str">
        <f>IFERROR(_xlfn.PERCENTRANK.INC(Table21112164202122232534[True Rank],_xlfn.XLOOKUP(Table1624[[#This Row],[Name]],Table21112164202122232534[Name],Table21112164202122232534[True Rank],"DNP",0,1)),"DNP")</f>
        <v>DNP</v>
      </c>
      <c r="Q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2:33">
      <c r="B81" t="str">
        <f>IFERROR(Table5[[#This Row],[Full name]],"")</f>
        <v>Alan Long</v>
      </c>
      <c r="C81" s="108">
        <f>IFERROR(AVERAGE(Table1624[[#This Row],[September 30, 2025]:[Column18]]),"N/A")</f>
        <v>0.52049999999999996</v>
      </c>
      <c r="D81" s="26">
        <f>IFERROR(_xlfn.PERCENTRANK.INC(Table4[True Rank],_xlfn.XLOOKUP(Table1624[[#This Row],[Name]],Table4[Name],Table4[True Rank],"DNP",0,1)),"DNP")</f>
        <v>0.78800000000000003</v>
      </c>
      <c r="E81" s="26" t="str">
        <f>IFERROR(_xlfn.PERCENTRANK.INC(Table9[True Rank],_xlfn.XLOOKUP(Table1624[[#This Row],[Name]],Table9[Name],Table9[True Rank],"DNP",0,1)),"DNP")</f>
        <v>DNP</v>
      </c>
      <c r="F81" s="26" t="str">
        <f>IFERROR(_xlfn.PERCENTRANK.INC(Table18[True Rank],_xlfn.XLOOKUP(Table1624[[#This Row],[Name]],Table18[Name],Table18[True Rank],"DNP",0,1)),"DNP")</f>
        <v>DNP</v>
      </c>
      <c r="G81" s="26" t="str">
        <f>IFERROR(_xlfn.PERCENTRANK.INC(Table2[True Rank],_xlfn.XLOOKUP(Table1624[[#This Row],[Name]],Table2[Name],Table2[True Rank],"DNP",0,1)),"DNP")</f>
        <v>DNP</v>
      </c>
      <c r="H81" s="26">
        <f>IFERROR(_xlfn.PERCENTRANK.INC(Table211[True Rank],_xlfn.XLOOKUP(Table1624[[#This Row],[Name]],Table211[Name],Table211[True Rank],"DNP",0,1)),"DNP")</f>
        <v>0.253</v>
      </c>
      <c r="I81" s="26" t="str">
        <f>IFERROR(_xlfn.PERCENTRANK.INC(Table21112[True Rank],_xlfn.XLOOKUP(Table1624[[#This Row],[Name]],Table21112[Name],Table21112[True Rank],"DNP",0,1)),"DNP")</f>
        <v>DNP</v>
      </c>
      <c r="J81" s="26" t="str">
        <f>IFERROR(_xlfn.PERCENTRANK.INC(Table21112164[True Rank],_xlfn.XLOOKUP(Table1624[[#This Row],[Name]],Table21112164[Name],Table21112164[True Rank],"DNP",0,1)),"DNP")</f>
        <v>DNP</v>
      </c>
      <c r="K81" s="26" t="str">
        <f>IFERROR(_xlfn.PERCENTRANK.INC(Table2111216420[True Rank],_xlfn.XLOOKUP(Table1624[[#This Row],[Name]],Table2111216420[Name],Table2111216420[True Rank],"DNP",0,1)),"DNP")</f>
        <v>DNP</v>
      </c>
      <c r="L81" s="26" t="str">
        <f>IFERROR(_xlfn.PERCENTRANK.INC(Table211121642021[True Rank],_xlfn.XLOOKUP(Table1624[[#This Row],[Name]],Table211121642021[Name],Table211121642021[True Rank],"DNP",0,1)),"DNP")</f>
        <v>DNP</v>
      </c>
      <c r="M81" s="26" t="str">
        <f>IFERROR(_xlfn.PERCENTRANK.INC(Table21112164202122[True Rank],_xlfn.XLOOKUP(Table1624[[#This Row],[Name]],Table21112164202122[Name],Table21112164202122[True Rank],"DNP",0,1)),"DNP")</f>
        <v>DNP</v>
      </c>
      <c r="N81" s="26" t="str">
        <f>IFERROR(_xlfn.PERCENTRANK.INC(Table2111216420212223[True Rank],_xlfn.XLOOKUP(Table1624[[#This Row],[Name]],Table2111216420212223[Name],Table2111216420212223[True Rank],"DNP",0,1)),"DNP")</f>
        <v>DNP</v>
      </c>
      <c r="O81" s="26" t="str">
        <f>IFERROR(_xlfn.PERCENTRANK.INC(Table211121642021222325[True Rank],_xlfn.XLOOKUP(Table1624[[#This Row],[Name]],Table211121642021222325[Name],Table211121642021222325[True Rank],"DNP",0,1)),"DNP")</f>
        <v>DNP</v>
      </c>
      <c r="P81" s="26" t="str">
        <f>IFERROR(_xlfn.PERCENTRANK.INC(Table21112164202122232534[True Rank],_xlfn.XLOOKUP(Table1624[[#This Row],[Name]],Table21112164202122232534[Name],Table21112164202122232534[True Rank],"DNP",0,1)),"DNP")</f>
        <v>DNP</v>
      </c>
      <c r="Q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2:33">
      <c r="B82" t="str">
        <f>IFERROR(Table5[[#This Row],[Full name]],"")</f>
        <v>Alex Fan-Lun</v>
      </c>
      <c r="C82" s="108">
        <f>IFERROR(AVERAGE(Table1624[[#This Row],[September 30, 2025]:[Column18]]),"N/A")</f>
        <v>0.77300000000000002</v>
      </c>
      <c r="D82" s="26" t="str">
        <f>IFERROR(_xlfn.PERCENTRANK.INC(Table4[True Rank],_xlfn.XLOOKUP(Table1624[[#This Row],[Name]],Table4[Name],Table4[True Rank],"DNP",0,1)),"DNP")</f>
        <v>DNP</v>
      </c>
      <c r="E82" s="26" t="str">
        <f>IFERROR(_xlfn.PERCENTRANK.INC(Table9[True Rank],_xlfn.XLOOKUP(Table1624[[#This Row],[Name]],Table9[Name],Table9[True Rank],"DNP",0,1)),"DNP")</f>
        <v>DNP</v>
      </c>
      <c r="F82" s="26" t="str">
        <f>IFERROR(_xlfn.PERCENTRANK.INC(Table18[True Rank],_xlfn.XLOOKUP(Table1624[[#This Row],[Name]],Table18[Name],Table18[True Rank],"DNP",0,1)),"DNP")</f>
        <v>DNP</v>
      </c>
      <c r="G82" s="26">
        <f>IFERROR(_xlfn.PERCENTRANK.INC(Table2[True Rank],_xlfn.XLOOKUP(Table1624[[#This Row],[Name]],Table2[Name],Table2[True Rank],"DNP",0,1)),"DNP")</f>
        <v>0.77300000000000002</v>
      </c>
      <c r="H82" s="26" t="str">
        <f>IFERROR(_xlfn.PERCENTRANK.INC(Table211[True Rank],_xlfn.XLOOKUP(Table1624[[#This Row],[Name]],Table211[Name],Table211[True Rank],"DNP",0,1)),"DNP")</f>
        <v>DNP</v>
      </c>
      <c r="I82" s="26" t="str">
        <f>IFERROR(_xlfn.PERCENTRANK.INC(Table21112[True Rank],_xlfn.XLOOKUP(Table1624[[#This Row],[Name]],Table21112[Name],Table21112[True Rank],"DNP",0,1)),"DNP")</f>
        <v>DNP</v>
      </c>
      <c r="J82" s="26" t="str">
        <f>IFERROR(_xlfn.PERCENTRANK.INC(Table21112164[True Rank],_xlfn.XLOOKUP(Table1624[[#This Row],[Name]],Table21112164[Name],Table21112164[True Rank],"DNP",0,1)),"DNP")</f>
        <v>DNP</v>
      </c>
      <c r="K82" s="26" t="str">
        <f>IFERROR(_xlfn.PERCENTRANK.INC(Table2111216420[True Rank],_xlfn.XLOOKUP(Table1624[[#This Row],[Name]],Table2111216420[Name],Table2111216420[True Rank],"DNP",0,1)),"DNP")</f>
        <v>DNP</v>
      </c>
      <c r="L82" s="26" t="str">
        <f>IFERROR(_xlfn.PERCENTRANK.INC(Table211121642021[True Rank],_xlfn.XLOOKUP(Table1624[[#This Row],[Name]],Table211121642021[Name],Table211121642021[True Rank],"DNP",0,1)),"DNP")</f>
        <v>DNP</v>
      </c>
      <c r="M82" s="26" t="str">
        <f>IFERROR(_xlfn.PERCENTRANK.INC(Table21112164202122[True Rank],_xlfn.XLOOKUP(Table1624[[#This Row],[Name]],Table21112164202122[Name],Table21112164202122[True Rank],"DNP",0,1)),"DNP")</f>
        <v>DNP</v>
      </c>
      <c r="N82" s="26" t="str">
        <f>IFERROR(_xlfn.PERCENTRANK.INC(Table2111216420212223[True Rank],_xlfn.XLOOKUP(Table1624[[#This Row],[Name]],Table2111216420212223[Name],Table2111216420212223[True Rank],"DNP",0,1)),"DNP")</f>
        <v>DNP</v>
      </c>
      <c r="O82" s="26" t="str">
        <f>IFERROR(_xlfn.PERCENTRANK.INC(Table211121642021222325[True Rank],_xlfn.XLOOKUP(Table1624[[#This Row],[Name]],Table211121642021222325[Name],Table211121642021222325[True Rank],"DNP",0,1)),"DNP")</f>
        <v>DNP</v>
      </c>
      <c r="P82" s="26" t="str">
        <f>IFERROR(_xlfn.PERCENTRANK.INC(Table21112164202122232534[True Rank],_xlfn.XLOOKUP(Table1624[[#This Row],[Name]],Table21112164202122232534[Name],Table21112164202122232534[True Rank],"DNP",0,1)),"DNP")</f>
        <v>DNP</v>
      </c>
      <c r="Q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 spans="2:33">
      <c r="B83" t="str">
        <f>IFERROR(Table5[[#This Row],[Full name]],"")</f>
        <v>Alex Xiao</v>
      </c>
      <c r="C83" s="108">
        <f>IFERROR(AVERAGE(Table1624[[#This Row],[September 30, 2025]:[Column18]]),"N/A")</f>
        <v>0.38233333333333336</v>
      </c>
      <c r="D83" s="26" t="str">
        <f>IFERROR(_xlfn.PERCENTRANK.INC(Table4[True Rank],_xlfn.XLOOKUP(Table1624[[#This Row],[Name]],Table4[Name],Table4[True Rank],"DNP",0,1)),"DNP")</f>
        <v>DNP</v>
      </c>
      <c r="E83" s="26">
        <f>IFERROR(_xlfn.PERCENTRANK.INC(Table9[True Rank],_xlfn.XLOOKUP(Table1624[[#This Row],[Name]],Table9[Name],Table9[True Rank],"DNP",0,1)),"DNP")</f>
        <v>0.379</v>
      </c>
      <c r="F83" s="26" t="str">
        <f>IFERROR(_xlfn.PERCENTRANK.INC(Table18[True Rank],_xlfn.XLOOKUP(Table1624[[#This Row],[Name]],Table18[Name],Table18[True Rank],"DNP",0,1)),"DNP")</f>
        <v>DNP</v>
      </c>
      <c r="G83" s="26" t="str">
        <f>IFERROR(_xlfn.PERCENTRANK.INC(Table2[True Rank],_xlfn.XLOOKUP(Table1624[[#This Row],[Name]],Table2[Name],Table2[True Rank],"DNP",0,1)),"DNP")</f>
        <v>DNP</v>
      </c>
      <c r="H83" s="26" t="str">
        <f>IFERROR(_xlfn.PERCENTRANK.INC(Table211[True Rank],_xlfn.XLOOKUP(Table1624[[#This Row],[Name]],Table211[Name],Table211[True Rank],"DNP",0,1)),"DNP")</f>
        <v>DNP</v>
      </c>
      <c r="I83" s="26" t="str">
        <f>IFERROR(_xlfn.PERCENTRANK.INC(Table21112[True Rank],_xlfn.XLOOKUP(Table1624[[#This Row],[Name]],Table21112[Name],Table21112[True Rank],"DNP",0,1)),"DNP")</f>
        <v>DNP</v>
      </c>
      <c r="J83" s="26" t="str">
        <f>IFERROR(_xlfn.PERCENTRANK.INC(Table21112164[True Rank],_xlfn.XLOOKUP(Table1624[[#This Row],[Name]],Table21112164[Name],Table21112164[True Rank],"DNP",0,1)),"DNP")</f>
        <v>DNP</v>
      </c>
      <c r="K83" s="26" t="str">
        <f>IFERROR(_xlfn.PERCENTRANK.INC(Table2111216420[True Rank],_xlfn.XLOOKUP(Table1624[[#This Row],[Name]],Table2111216420[Name],Table2111216420[True Rank],"DNP",0,1)),"DNP")</f>
        <v>DNP</v>
      </c>
      <c r="L83" s="26" t="str">
        <f>IFERROR(_xlfn.PERCENTRANK.INC(Table211121642021[True Rank],_xlfn.XLOOKUP(Table1624[[#This Row],[Name]],Table211121642021[Name],Table211121642021[True Rank],"DNP",0,1)),"DNP")</f>
        <v>DNP</v>
      </c>
      <c r="M83" s="26" t="str">
        <f>IFERROR(_xlfn.PERCENTRANK.INC(Table21112164202122[True Rank],_xlfn.XLOOKUP(Table1624[[#This Row],[Name]],Table21112164202122[Name],Table21112164202122[True Rank],"DNP",0,1)),"DNP")</f>
        <v>DNP</v>
      </c>
      <c r="N83" s="26">
        <f>IFERROR(_xlfn.PERCENTRANK.INC(Table2111216420212223[True Rank],_xlfn.XLOOKUP(Table1624[[#This Row],[Name]],Table2111216420212223[Name],Table2111216420212223[True Rank],"DNP",0,1)),"DNP")</f>
        <v>0.35099999999999998</v>
      </c>
      <c r="O83" s="26" t="str">
        <f>IFERROR(_xlfn.PERCENTRANK.INC(Table211121642021222325[True Rank],_xlfn.XLOOKUP(Table1624[[#This Row],[Name]],Table211121642021222325[Name],Table211121642021222325[True Rank],"DNP",0,1)),"DNP")</f>
        <v>DNP</v>
      </c>
      <c r="P83" s="26">
        <f>IFERROR(_xlfn.PERCENTRANK.INC(Table21112164202122232534[True Rank],_xlfn.XLOOKUP(Table1624[[#This Row],[Name]],Table21112164202122232534[Name],Table21112164202122232534[True Rank],"DNP",0,1)),"DNP")</f>
        <v>0.41699999999999998</v>
      </c>
      <c r="Q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2:33">
      <c r="B84" t="str">
        <f>IFERROR(Table5[[#This Row],[Full name]],"")</f>
        <v>Alex Nguyen</v>
      </c>
      <c r="C84" s="108">
        <f>IFERROR(AVERAGE(Table1624[[#This Row],[September 30, 2025]:[Column18]]),"N/A")</f>
        <v>0.48450000000000004</v>
      </c>
      <c r="D84" s="26" t="str">
        <f>IFERROR(_xlfn.PERCENTRANK.INC(Table4[True Rank],_xlfn.XLOOKUP(Table1624[[#This Row],[Name]],Table4[Name],Table4[True Rank],"DNP",0,1)),"DNP")</f>
        <v>DNP</v>
      </c>
      <c r="E84" s="26" t="str">
        <f>IFERROR(_xlfn.PERCENTRANK.INC(Table9[True Rank],_xlfn.XLOOKUP(Table1624[[#This Row],[Name]],Table9[Name],Table9[True Rank],"DNP",0,1)),"DNP")</f>
        <v>DNP</v>
      </c>
      <c r="F84" s="26" t="str">
        <f>IFERROR(_xlfn.PERCENTRANK.INC(Table18[True Rank],_xlfn.XLOOKUP(Table1624[[#This Row],[Name]],Table18[Name],Table18[True Rank],"DNP",0,1)),"DNP")</f>
        <v>DNP</v>
      </c>
      <c r="G84" s="26" t="str">
        <f>IFERROR(_xlfn.PERCENTRANK.INC(Table2[True Rank],_xlfn.XLOOKUP(Table1624[[#This Row],[Name]],Table2[Name],Table2[True Rank],"DNP",0,1)),"DNP")</f>
        <v>DNP</v>
      </c>
      <c r="H84" s="26" t="str">
        <f>IFERROR(_xlfn.PERCENTRANK.INC(Table211[True Rank],_xlfn.XLOOKUP(Table1624[[#This Row],[Name]],Table211[Name],Table211[True Rank],"DNP",0,1)),"DNP")</f>
        <v>DNP</v>
      </c>
      <c r="I84" s="26" t="str">
        <f>IFERROR(_xlfn.PERCENTRANK.INC(Table21112[True Rank],_xlfn.XLOOKUP(Table1624[[#This Row],[Name]],Table21112[Name],Table21112[True Rank],"DNP",0,1)),"DNP")</f>
        <v>DNP</v>
      </c>
      <c r="J84" s="26" t="str">
        <f>IFERROR(_xlfn.PERCENTRANK.INC(Table21112164[True Rank],_xlfn.XLOOKUP(Table1624[[#This Row],[Name]],Table21112164[Name],Table21112164[True Rank],"DNP",0,1)),"DNP")</f>
        <v>DNP</v>
      </c>
      <c r="K84" s="26" t="str">
        <f>IFERROR(_xlfn.PERCENTRANK.INC(Table2111216420[True Rank],_xlfn.XLOOKUP(Table1624[[#This Row],[Name]],Table2111216420[Name],Table2111216420[True Rank],"DNP",0,1)),"DNP")</f>
        <v>DNP</v>
      </c>
      <c r="L84" s="26" t="str">
        <f>IFERROR(_xlfn.PERCENTRANK.INC(Table211121642021[True Rank],_xlfn.XLOOKUP(Table1624[[#This Row],[Name]],Table211121642021[Name],Table211121642021[True Rank],"DNP",0,1)),"DNP")</f>
        <v>DNP</v>
      </c>
      <c r="M84" s="26" t="str">
        <f>IFERROR(_xlfn.PERCENTRANK.INC(Table21112164202122[True Rank],_xlfn.XLOOKUP(Table1624[[#This Row],[Name]],Table21112164202122[Name],Table21112164202122[True Rank],"DNP",0,1)),"DNP")</f>
        <v>DNP</v>
      </c>
      <c r="N84" s="26" t="str">
        <f>IFERROR(_xlfn.PERCENTRANK.INC(Table2111216420212223[True Rank],_xlfn.XLOOKUP(Table1624[[#This Row],[Name]],Table2111216420212223[Name],Table2111216420212223[True Rank],"DNP",0,1)),"DNP")</f>
        <v>DNP</v>
      </c>
      <c r="O84" s="26">
        <f>IFERROR(_xlfn.PERCENTRANK.INC(Table211121642021222325[True Rank],_xlfn.XLOOKUP(Table1624[[#This Row],[Name]],Table211121642021222325[Name],Table211121642021222325[True Rank],"DNP",0,1)),"DNP")</f>
        <v>4.2999999999999997E-2</v>
      </c>
      <c r="P84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4" s="26">
        <f>IFERROR(_xlfn.PERCENTRANK.INC(Table211121642021222325343536[True Rank],_xlfn.XLOOKUP(Table1624[[#This Row],[Name]],Table211121642021222325343536[Name],Table211121642021222325343536[True Rank],"DNP",0,1)),"DNP")</f>
        <v>0.621</v>
      </c>
      <c r="S84" s="26">
        <f>IFERROR(_xlfn.PERCENTRANK.INC(Table21112164202122232534353637[True Rank],_xlfn.XLOOKUP(Table1624[[#This Row],[Name]],Table21112164202122232534353637[Name],Table21112164202122232534353637[True Rank],"DNP",0,1)),"DNP")</f>
        <v>0.63700000000000001</v>
      </c>
      <c r="T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 spans="2:33">
      <c r="B85" t="str">
        <f>IFERROR(Table5[[#This Row],[Full name]],"")</f>
        <v>Alex Xu</v>
      </c>
      <c r="C85" s="108">
        <f>IFERROR(AVERAGE(Table1624[[#This Row],[September 30, 2025]:[Column18]]),"N/A")</f>
        <v>0.83149999999999991</v>
      </c>
      <c r="D85" s="26" t="str">
        <f>IFERROR(_xlfn.PERCENTRANK.INC(Table4[True Rank],_xlfn.XLOOKUP(Table1624[[#This Row],[Name]],Table4[Name],Table4[True Rank],"DNP",0,1)),"DNP")</f>
        <v>DNP</v>
      </c>
      <c r="E85" s="26" t="str">
        <f>IFERROR(_xlfn.PERCENTRANK.INC(Table9[True Rank],_xlfn.XLOOKUP(Table1624[[#This Row],[Name]],Table9[Name],Table9[True Rank],"DNP",0,1)),"DNP")</f>
        <v>DNP</v>
      </c>
      <c r="F85" s="26" t="str">
        <f>IFERROR(_xlfn.PERCENTRANK.INC(Table18[True Rank],_xlfn.XLOOKUP(Table1624[[#This Row],[Name]],Table18[Name],Table18[True Rank],"DNP",0,1)),"DNP")</f>
        <v>DNP</v>
      </c>
      <c r="G85" s="26" t="str">
        <f>IFERROR(_xlfn.PERCENTRANK.INC(Table2[True Rank],_xlfn.XLOOKUP(Table1624[[#This Row],[Name]],Table2[Name],Table2[True Rank],"DNP",0,1)),"DNP")</f>
        <v>DNP</v>
      </c>
      <c r="H85" s="26" t="str">
        <f>IFERROR(_xlfn.PERCENTRANK.INC(Table211[True Rank],_xlfn.XLOOKUP(Table1624[[#This Row],[Name]],Table211[Name],Table211[True Rank],"DNP",0,1)),"DNP")</f>
        <v>DNP</v>
      </c>
      <c r="I85" s="26" t="str">
        <f>IFERROR(_xlfn.PERCENTRANK.INC(Table21112[True Rank],_xlfn.XLOOKUP(Table1624[[#This Row],[Name]],Table21112[Name],Table21112[True Rank],"DNP",0,1)),"DNP")</f>
        <v>DNP</v>
      </c>
      <c r="J85" s="26" t="str">
        <f>IFERROR(_xlfn.PERCENTRANK.INC(Table21112164[True Rank],_xlfn.XLOOKUP(Table1624[[#This Row],[Name]],Table21112164[Name],Table21112164[True Rank],"DNP",0,1)),"DNP")</f>
        <v>DNP</v>
      </c>
      <c r="K85" s="26" t="str">
        <f>IFERROR(_xlfn.PERCENTRANK.INC(Table2111216420[True Rank],_xlfn.XLOOKUP(Table1624[[#This Row],[Name]],Table2111216420[Name],Table2111216420[True Rank],"DNP",0,1)),"DNP")</f>
        <v>DNP</v>
      </c>
      <c r="L85" s="26" t="str">
        <f>IFERROR(_xlfn.PERCENTRANK.INC(Table211121642021[True Rank],_xlfn.XLOOKUP(Table1624[[#This Row],[Name]],Table211121642021[Name],Table211121642021[True Rank],"DNP",0,1)),"DNP")</f>
        <v>DNP</v>
      </c>
      <c r="M85" s="26" t="str">
        <f>IFERROR(_xlfn.PERCENTRANK.INC(Table21112164202122[True Rank],_xlfn.XLOOKUP(Table1624[[#This Row],[Name]],Table21112164202122[Name],Table21112164202122[True Rank],"DNP",0,1)),"DNP")</f>
        <v>DNP</v>
      </c>
      <c r="N85" s="26" t="str">
        <f>IFERROR(_xlfn.PERCENTRANK.INC(Table2111216420212223[True Rank],_xlfn.XLOOKUP(Table1624[[#This Row],[Name]],Table2111216420212223[Name],Table2111216420212223[True Rank],"DNP",0,1)),"DNP")</f>
        <v>DNP</v>
      </c>
      <c r="O85" s="26" t="str">
        <f>IFERROR(_xlfn.PERCENTRANK.INC(Table211121642021222325[True Rank],_xlfn.XLOOKUP(Table1624[[#This Row],[Name]],Table211121642021222325[Name],Table211121642021222325[True Rank],"DNP",0,1)),"DNP")</f>
        <v>DNP</v>
      </c>
      <c r="P85" s="26">
        <f>IFERROR(_xlfn.PERCENTRANK.INC(Table21112164202122232534[True Rank],_xlfn.XLOOKUP(Table1624[[#This Row],[Name]],Table21112164202122232534[Name],Table21112164202122232534[True Rank],"DNP",0,1)),"DNP")</f>
        <v>0.70299999999999996</v>
      </c>
      <c r="Q85" s="26">
        <f>IFERROR(_xlfn.PERCENTRANK.INC(Table2111216420212223253435[True Rank],_xlfn.XLOOKUP(Table1624[[#This Row],[Name]],Table2111216420212223253435[Name],Table2111216420212223253435[True Rank],"DNP",0,1)),"DNP")</f>
        <v>0.96</v>
      </c>
      <c r="R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 spans="2:33">
      <c r="B86" t="str">
        <f>IFERROR(Table5[[#This Row],[Full name]],"")</f>
        <v>Alex Yu</v>
      </c>
      <c r="C86" s="108">
        <f>IFERROR(AVERAGE(Table1624[[#This Row],[September 30, 2025]:[Column18]]),"N/A")</f>
        <v>0.26600000000000001</v>
      </c>
      <c r="D86" s="26" t="str">
        <f>IFERROR(_xlfn.PERCENTRANK.INC(Table4[True Rank],_xlfn.XLOOKUP(Table1624[[#This Row],[Name]],Table4[Name],Table4[True Rank],"DNP",0,1)),"DNP")</f>
        <v>DNP</v>
      </c>
      <c r="E86" s="26" t="str">
        <f>IFERROR(_xlfn.PERCENTRANK.INC(Table9[True Rank],_xlfn.XLOOKUP(Table1624[[#This Row],[Name]],Table9[Name],Table9[True Rank],"DNP",0,1)),"DNP")</f>
        <v>DNP</v>
      </c>
      <c r="F86" s="26" t="str">
        <f>IFERROR(_xlfn.PERCENTRANK.INC(Table18[True Rank],_xlfn.XLOOKUP(Table1624[[#This Row],[Name]],Table18[Name],Table18[True Rank],"DNP",0,1)),"DNP")</f>
        <v>DNP</v>
      </c>
      <c r="G86" s="26" t="str">
        <f>IFERROR(_xlfn.PERCENTRANK.INC(Table2[True Rank],_xlfn.XLOOKUP(Table1624[[#This Row],[Name]],Table2[Name],Table2[True Rank],"DNP",0,1)),"DNP")</f>
        <v>DNP</v>
      </c>
      <c r="H86" s="26" t="str">
        <f>IFERROR(_xlfn.PERCENTRANK.INC(Table211[True Rank],_xlfn.XLOOKUP(Table1624[[#This Row],[Name]],Table211[Name],Table211[True Rank],"DNP",0,1)),"DNP")</f>
        <v>DNP</v>
      </c>
      <c r="I86" s="26" t="str">
        <f>IFERROR(_xlfn.PERCENTRANK.INC(Table21112[True Rank],_xlfn.XLOOKUP(Table1624[[#This Row],[Name]],Table21112[Name],Table21112[True Rank],"DNP",0,1)),"DNP")</f>
        <v>DNP</v>
      </c>
      <c r="J86" s="26" t="str">
        <f>IFERROR(_xlfn.PERCENTRANK.INC(Table21112164[True Rank],_xlfn.XLOOKUP(Table1624[[#This Row],[Name]],Table21112164[Name],Table21112164[True Rank],"DNP",0,1)),"DNP")</f>
        <v>DNP</v>
      </c>
      <c r="K86" s="26" t="str">
        <f>IFERROR(_xlfn.PERCENTRANK.INC(Table2111216420[True Rank],_xlfn.XLOOKUP(Table1624[[#This Row],[Name]],Table2111216420[Name],Table2111216420[True Rank],"DNP",0,1)),"DNP")</f>
        <v>DNP</v>
      </c>
      <c r="L86" s="26" t="str">
        <f>IFERROR(_xlfn.PERCENTRANK.INC(Table211121642021[True Rank],_xlfn.XLOOKUP(Table1624[[#This Row],[Name]],Table211121642021[Name],Table211121642021[True Rank],"DNP",0,1)),"DNP")</f>
        <v>DNP</v>
      </c>
      <c r="M86" s="26" t="str">
        <f>IFERROR(_xlfn.PERCENTRANK.INC(Table21112164202122[True Rank],_xlfn.XLOOKUP(Table1624[[#This Row],[Name]],Table21112164202122[Name],Table21112164202122[True Rank],"DNP",0,1)),"DNP")</f>
        <v>DNP</v>
      </c>
      <c r="N86" s="26" t="str">
        <f>IFERROR(_xlfn.PERCENTRANK.INC(Table2111216420212223[True Rank],_xlfn.XLOOKUP(Table1624[[#This Row],[Name]],Table2111216420212223[Name],Table2111216420212223[True Rank],"DNP",0,1)),"DNP")</f>
        <v>DNP</v>
      </c>
      <c r="O86" s="26" t="str">
        <f>IFERROR(_xlfn.PERCENTRANK.INC(Table211121642021222325[True Rank],_xlfn.XLOOKUP(Table1624[[#This Row],[Name]],Table211121642021222325[Name],Table211121642021222325[True Rank],"DNP",0,1)),"DNP")</f>
        <v>DNP</v>
      </c>
      <c r="P86" s="26" t="str">
        <f>IFERROR(_xlfn.PERCENTRANK.INC(Table21112164202122232534[True Rank],_xlfn.XLOOKUP(Table1624[[#This Row],[Name]],Table21112164202122232534[Name],Table21112164202122232534[True Rank],"DNP",0,1)),"DNP")</f>
        <v>DNP</v>
      </c>
      <c r="Q86" s="26">
        <f>IFERROR(_xlfn.PERCENTRANK.INC(Table2111216420212223253435[True Rank],_xlfn.XLOOKUP(Table1624[[#This Row],[Name]],Table2111216420212223253435[Name],Table2111216420212223253435[True Rank],"DNP",0,1)),"DNP")</f>
        <v>0.26600000000000001</v>
      </c>
      <c r="R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 spans="2:33">
      <c r="B87" t="str">
        <f>IFERROR(Table5[[#This Row],[Full name]],"")</f>
        <v>Alexander Kowalski</v>
      </c>
      <c r="C87" s="108">
        <f>IFERROR(AVERAGE(Table1624[[#This Row],[September 30, 2025]:[Column18]]),"N/A")</f>
        <v>0.50844444444444437</v>
      </c>
      <c r="D87" s="26" t="str">
        <f>IFERROR(_xlfn.PERCENTRANK.INC(Table4[True Rank],_xlfn.XLOOKUP(Table1624[[#This Row],[Name]],Table4[Name],Table4[True Rank],"DNP",0,1)),"DNP")</f>
        <v>DNP</v>
      </c>
      <c r="E87" s="26">
        <f>IFERROR(_xlfn.PERCENTRANK.INC(Table9[True Rank],_xlfn.XLOOKUP(Table1624[[#This Row],[Name]],Table9[Name],Table9[True Rank],"DNP",0,1)),"DNP")</f>
        <v>0.47099999999999997</v>
      </c>
      <c r="F87" s="26" t="str">
        <f>IFERROR(_xlfn.PERCENTRANK.INC(Table18[True Rank],_xlfn.XLOOKUP(Table1624[[#This Row],[Name]],Table18[Name],Table18[True Rank],"DNP",0,1)),"DNP")</f>
        <v>DNP</v>
      </c>
      <c r="G87" s="26" t="str">
        <f>IFERROR(_xlfn.PERCENTRANK.INC(Table2[True Rank],_xlfn.XLOOKUP(Table1624[[#This Row],[Name]],Table2[Name],Table2[True Rank],"DNP",0,1)),"DNP")</f>
        <v>DNP</v>
      </c>
      <c r="H87" s="26">
        <f>IFERROR(_xlfn.PERCENTRANK.INC(Table211[True Rank],_xlfn.XLOOKUP(Table1624[[#This Row],[Name]],Table211[Name],Table211[True Rank],"DNP",0,1)),"DNP")</f>
        <v>0.76</v>
      </c>
      <c r="I87" s="26" t="str">
        <f>IFERROR(_xlfn.PERCENTRANK.INC(Table21112[True Rank],_xlfn.XLOOKUP(Table1624[[#This Row],[Name]],Table21112[Name],Table21112[True Rank],"DNP",0,1)),"DNP")</f>
        <v>DNP</v>
      </c>
      <c r="J87" s="26">
        <f>IFERROR(_xlfn.PERCENTRANK.INC(Table21112164[True Rank],_xlfn.XLOOKUP(Table1624[[#This Row],[Name]],Table21112164[Name],Table21112164[True Rank],"DNP",0,1)),"DNP")</f>
        <v>0.34799999999999998</v>
      </c>
      <c r="K87" s="26">
        <f>IFERROR(_xlfn.PERCENTRANK.INC(Table2111216420[True Rank],_xlfn.XLOOKUP(Table1624[[#This Row],[Name]],Table2111216420[Name],Table2111216420[True Rank],"DNP",0,1)),"DNP")</f>
        <v>0.85099999999999998</v>
      </c>
      <c r="L87" s="26">
        <f>IFERROR(_xlfn.PERCENTRANK.INC(Table211121642021[True Rank],_xlfn.XLOOKUP(Table1624[[#This Row],[Name]],Table211121642021[Name],Table211121642021[True Rank],"DNP",0,1)),"DNP")</f>
        <v>2.1000000000000001E-2</v>
      </c>
      <c r="M87" s="26" t="str">
        <f>IFERROR(_xlfn.PERCENTRANK.INC(Table21112164202122[True Rank],_xlfn.XLOOKUP(Table1624[[#This Row],[Name]],Table21112164202122[Name],Table21112164202122[True Rank],"DNP",0,1)),"DNP")</f>
        <v>DNP</v>
      </c>
      <c r="N87" s="26">
        <f>IFERROR(_xlfn.PERCENTRANK.INC(Table2111216420212223[True Rank],_xlfn.XLOOKUP(Table1624[[#This Row],[Name]],Table2111216420212223[Name],Table2111216420212223[True Rank],"DNP",0,1)),"DNP")</f>
        <v>0.73599999999999999</v>
      </c>
      <c r="O87" s="26">
        <f>IFERROR(_xlfn.PERCENTRANK.INC(Table211121642021222325[True Rank],_xlfn.XLOOKUP(Table1624[[#This Row],[Name]],Table211121642021222325[Name],Table211121642021222325[True Rank],"DNP",0,1)),"DNP")</f>
        <v>0.76900000000000002</v>
      </c>
      <c r="P87" s="26" t="str">
        <f>IFERROR(_xlfn.PERCENTRANK.INC(Table21112164202122232534[True Rank],_xlfn.XLOOKUP(Table1624[[#This Row],[Name]],Table21112164202122232534[Name],Table21112164202122232534[True Rank],"DNP",0,1)),"DNP")</f>
        <v>DNP</v>
      </c>
      <c r="Q87" s="26">
        <f>IFERROR(_xlfn.PERCENTRANK.INC(Table2111216420212223253435[True Rank],_xlfn.XLOOKUP(Table1624[[#This Row],[Name]],Table2111216420212223253435[Name],Table2111216420212223253435[True Rank],"DNP",0,1)),"DNP")</f>
        <v>0.56000000000000005</v>
      </c>
      <c r="R87" s="26">
        <f>IFERROR(_xlfn.PERCENTRANK.INC(Table211121642021222325343536[True Rank],_xlfn.XLOOKUP(Table1624[[#This Row],[Name]],Table211121642021222325343536[Name],Table211121642021222325343536[True Rank],"DNP",0,1)),"DNP")</f>
        <v>0.06</v>
      </c>
      <c r="S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 spans="2:33">
      <c r="B88" t="str">
        <f>IFERROR(Table5[[#This Row],[Full name]],"")</f>
        <v>Alexander Musarai</v>
      </c>
      <c r="C88" s="108">
        <f>IFERROR(AVERAGE(Table1624[[#This Row],[September 30, 2025]:[Column18]]),"N/A")</f>
        <v>0.44589999999999996</v>
      </c>
      <c r="D88" s="26">
        <f>IFERROR(_xlfn.PERCENTRANK.INC(Table4[True Rank],_xlfn.XLOOKUP(Table1624[[#This Row],[Name]],Table4[Name],Table4[True Rank],"DNP",0,1)),"DNP")</f>
        <v>0.48599999999999999</v>
      </c>
      <c r="E88" s="26">
        <f>IFERROR(_xlfn.PERCENTRANK.INC(Table9[True Rank],_xlfn.XLOOKUP(Table1624[[#This Row],[Name]],Table9[Name],Table9[True Rank],"DNP",0,1)),"DNP")</f>
        <v>0.379</v>
      </c>
      <c r="F88" s="26" t="str">
        <f>IFERROR(_xlfn.PERCENTRANK.INC(Table18[True Rank],_xlfn.XLOOKUP(Table1624[[#This Row],[Name]],Table18[Name],Table18[True Rank],"DNP",0,1)),"DNP")</f>
        <v>DNP</v>
      </c>
      <c r="G88" s="26" t="str">
        <f>IFERROR(_xlfn.PERCENTRANK.INC(Table2[True Rank],_xlfn.XLOOKUP(Table1624[[#This Row],[Name]],Table2[Name],Table2[True Rank],"DNP",0,1)),"DNP")</f>
        <v>DNP</v>
      </c>
      <c r="H88" s="26" t="str">
        <f>IFERROR(_xlfn.PERCENTRANK.INC(Table211[True Rank],_xlfn.XLOOKUP(Table1624[[#This Row],[Name]],Table211[Name],Table211[True Rank],"DNP",0,1)),"DNP")</f>
        <v>DNP</v>
      </c>
      <c r="I88" s="26" t="str">
        <f>IFERROR(_xlfn.PERCENTRANK.INC(Table21112[True Rank],_xlfn.XLOOKUP(Table1624[[#This Row],[Name]],Table21112[Name],Table21112[True Rank],"DNP",0,1)),"DNP")</f>
        <v>DNP</v>
      </c>
      <c r="J88" s="26" t="str">
        <f>IFERROR(_xlfn.PERCENTRANK.INC(Table21112164[True Rank],_xlfn.XLOOKUP(Table1624[[#This Row],[Name]],Table21112164[Name],Table21112164[True Rank],"DNP",0,1)),"DNP")</f>
        <v>DNP</v>
      </c>
      <c r="K88" s="26" t="str">
        <f>IFERROR(_xlfn.PERCENTRANK.INC(Table2111216420[True Rank],_xlfn.XLOOKUP(Table1624[[#This Row],[Name]],Table2111216420[Name],Table2111216420[True Rank],"DNP",0,1)),"DNP")</f>
        <v>DNP</v>
      </c>
      <c r="L88" s="26" t="str">
        <f>IFERROR(_xlfn.PERCENTRANK.INC(Table211121642021[True Rank],_xlfn.XLOOKUP(Table1624[[#This Row],[Name]],Table211121642021[Name],Table211121642021[True Rank],"DNP",0,1)),"DNP")</f>
        <v>DNP</v>
      </c>
      <c r="M88" s="26">
        <f>IFERROR(_xlfn.PERCENTRANK.INC(Table21112164202122[True Rank],_xlfn.XLOOKUP(Table1624[[#This Row],[Name]],Table21112164202122[Name],Table21112164202122[True Rank],"DNP",0,1)),"DNP")</f>
        <v>0.51100000000000001</v>
      </c>
      <c r="N88" s="26">
        <f>IFERROR(_xlfn.PERCENTRANK.INC(Table2111216420212223[True Rank],_xlfn.XLOOKUP(Table1624[[#This Row],[Name]],Table2111216420212223[Name],Table2111216420212223[True Rank],"DNP",0,1)),"DNP")</f>
        <v>0.52700000000000002</v>
      </c>
      <c r="O88" s="26">
        <f>IFERROR(_xlfn.PERCENTRANK.INC(Table211121642021222325[True Rank],_xlfn.XLOOKUP(Table1624[[#This Row],[Name]],Table211121642021222325[Name],Table211121642021222325[True Rank],"DNP",0,1)),"DNP")</f>
        <v>0.13100000000000001</v>
      </c>
      <c r="P88" s="26">
        <f>IFERROR(_xlfn.PERCENTRANK.INC(Table21112164202122232534[True Rank],_xlfn.XLOOKUP(Table1624[[#This Row],[Name]],Table21112164202122232534[Name],Table21112164202122232534[True Rank],"DNP",0,1)),"DNP")</f>
        <v>0.252</v>
      </c>
      <c r="Q88" s="26">
        <f>IFERROR(_xlfn.PERCENTRANK.INC(Table2111216420212223253435[True Rank],_xlfn.XLOOKUP(Table1624[[#This Row],[Name]],Table2111216420212223253435[Name],Table2111216420212223253435[True Rank],"DNP",0,1)),"DNP")</f>
        <v>0.6</v>
      </c>
      <c r="R88" s="26">
        <f>IFERROR(_xlfn.PERCENTRANK.INC(Table211121642021222325343536[True Rank],_xlfn.XLOOKUP(Table1624[[#This Row],[Name]],Table211121642021222325343536[Name],Table211121642021222325343536[True Rank],"DNP",0,1)),"DNP")</f>
        <v>0.318</v>
      </c>
      <c r="S88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88" s="26">
        <f>IFERROR(_xlfn.PERCENTRANK.INC(Table2111216420212223253435363738[True Rank],_xlfn.XLOOKUP(Table1624[[#This Row],[Name]],Table2111216420212223253435363738[Name],Table2111216420212223253435363738[True Rank],"DNP",0,1)),"DNP")</f>
        <v>0.28999999999999998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 spans="2:33">
      <c r="B89" t="str">
        <f>IFERROR(Table5[[#This Row],[Full name]],"")</f>
        <v>Alexander Li</v>
      </c>
      <c r="C89" s="108">
        <f>IFERROR(AVERAGE(Table1624[[#This Row],[September 30, 2025]:[Column18]]),"N/A")</f>
        <v>0.83499999999999996</v>
      </c>
      <c r="D89" s="26" t="str">
        <f>IFERROR(_xlfn.PERCENTRANK.INC(Table4[True Rank],_xlfn.XLOOKUP(Table1624[[#This Row],[Name]],Table4[Name],Table4[True Rank],"DNP",0,1)),"DNP")</f>
        <v>DNP</v>
      </c>
      <c r="E89" s="26" t="str">
        <f>IFERROR(_xlfn.PERCENTRANK.INC(Table9[True Rank],_xlfn.XLOOKUP(Table1624[[#This Row],[Name]],Table9[Name],Table9[True Rank],"DNP",0,1)),"DNP")</f>
        <v>DNP</v>
      </c>
      <c r="F89" s="26" t="str">
        <f>IFERROR(_xlfn.PERCENTRANK.INC(Table18[True Rank],_xlfn.XLOOKUP(Table1624[[#This Row],[Name]],Table18[Name],Table18[True Rank],"DNP",0,1)),"DNP")</f>
        <v>DNP</v>
      </c>
      <c r="G89" s="26" t="str">
        <f>IFERROR(_xlfn.PERCENTRANK.INC(Table2[True Rank],_xlfn.XLOOKUP(Table1624[[#This Row],[Name]],Table2[Name],Table2[True Rank],"DNP",0,1)),"DNP")</f>
        <v>DNP</v>
      </c>
      <c r="H89" s="26" t="str">
        <f>IFERROR(_xlfn.PERCENTRANK.INC(Table211[True Rank],_xlfn.XLOOKUP(Table1624[[#This Row],[Name]],Table211[Name],Table211[True Rank],"DNP",0,1)),"DNP")</f>
        <v>DNP</v>
      </c>
      <c r="I89" s="26" t="str">
        <f>IFERROR(_xlfn.PERCENTRANK.INC(Table21112[True Rank],_xlfn.XLOOKUP(Table1624[[#This Row],[Name]],Table21112[Name],Table21112[True Rank],"DNP",0,1)),"DNP")</f>
        <v>DNP</v>
      </c>
      <c r="J89" s="26" t="str">
        <f>IFERROR(_xlfn.PERCENTRANK.INC(Table21112164[True Rank],_xlfn.XLOOKUP(Table1624[[#This Row],[Name]],Table21112164[Name],Table21112164[True Rank],"DNP",0,1)),"DNP")</f>
        <v>DNP</v>
      </c>
      <c r="K89" s="26" t="str">
        <f>IFERROR(_xlfn.PERCENTRANK.INC(Table2111216420[True Rank],_xlfn.XLOOKUP(Table1624[[#This Row],[Name]],Table2111216420[Name],Table2111216420[True Rank],"DNP",0,1)),"DNP")</f>
        <v>DNP</v>
      </c>
      <c r="L89" s="26" t="str">
        <f>IFERROR(_xlfn.PERCENTRANK.INC(Table211121642021[True Rank],_xlfn.XLOOKUP(Table1624[[#This Row],[Name]],Table211121642021[Name],Table211121642021[True Rank],"DNP",0,1)),"DNP")</f>
        <v>DNP</v>
      </c>
      <c r="M89" s="26" t="str">
        <f>IFERROR(_xlfn.PERCENTRANK.INC(Table21112164202122[True Rank],_xlfn.XLOOKUP(Table1624[[#This Row],[Name]],Table21112164202122[Name],Table21112164202122[True Rank],"DNP",0,1)),"DNP")</f>
        <v>DNP</v>
      </c>
      <c r="N89" s="26" t="str">
        <f>IFERROR(_xlfn.PERCENTRANK.INC(Table2111216420212223[True Rank],_xlfn.XLOOKUP(Table1624[[#This Row],[Name]],Table2111216420212223[Name],Table2111216420212223[True Rank],"DNP",0,1)),"DNP")</f>
        <v>DNP</v>
      </c>
      <c r="O89" s="26">
        <f>IFERROR(_xlfn.PERCENTRANK.INC(Table211121642021222325[True Rank],_xlfn.XLOOKUP(Table1624[[#This Row],[Name]],Table211121642021222325[Name],Table211121642021222325[True Rank],"DNP",0,1)),"DNP")</f>
        <v>0.83499999999999996</v>
      </c>
      <c r="P89" s="26" t="str">
        <f>IFERROR(_xlfn.PERCENTRANK.INC(Table21112164202122232534[True Rank],_xlfn.XLOOKUP(Table1624[[#This Row],[Name]],Table21112164202122232534[Name],Table21112164202122232534[True Rank],"DNP",0,1)),"DNP")</f>
        <v>DNP</v>
      </c>
      <c r="Q8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2:33">
      <c r="B90" t="str">
        <f>IFERROR(Table5[[#This Row],[Full name]],"")</f>
        <v>Ali Akinci</v>
      </c>
      <c r="C90" s="108">
        <f>IFERROR(AVERAGE(Table1624[[#This Row],[September 30, 2025]:[Column18]]),"N/A")</f>
        <v>0.29699999999999999</v>
      </c>
      <c r="D90" s="26" t="str">
        <f>IFERROR(_xlfn.PERCENTRANK.INC(Table4[True Rank],_xlfn.XLOOKUP(Table1624[[#This Row],[Name]],Table4[Name],Table4[True Rank],"DNP",0,1)),"DNP")</f>
        <v>DNP</v>
      </c>
      <c r="E90" s="26" t="str">
        <f>IFERROR(_xlfn.PERCENTRANK.INC(Table9[True Rank],_xlfn.XLOOKUP(Table1624[[#This Row],[Name]],Table9[Name],Table9[True Rank],"DNP",0,1)),"DNP")</f>
        <v>DNP</v>
      </c>
      <c r="F90" s="26" t="str">
        <f>IFERROR(_xlfn.PERCENTRANK.INC(Table18[True Rank],_xlfn.XLOOKUP(Table1624[[#This Row],[Name]],Table18[Name],Table18[True Rank],"DNP",0,1)),"DNP")</f>
        <v>DNP</v>
      </c>
      <c r="G90" s="26" t="str">
        <f>IFERROR(_xlfn.PERCENTRANK.INC(Table2[True Rank],_xlfn.XLOOKUP(Table1624[[#This Row],[Name]],Table2[Name],Table2[True Rank],"DNP",0,1)),"DNP")</f>
        <v>DNP</v>
      </c>
      <c r="H90" s="26" t="str">
        <f>IFERROR(_xlfn.PERCENTRANK.INC(Table211[True Rank],_xlfn.XLOOKUP(Table1624[[#This Row],[Name]],Table211[Name],Table211[True Rank],"DNP",0,1)),"DNP")</f>
        <v>DNP</v>
      </c>
      <c r="I90" s="26" t="str">
        <f>IFERROR(_xlfn.PERCENTRANK.INC(Table21112[True Rank],_xlfn.XLOOKUP(Table1624[[#This Row],[Name]],Table21112[Name],Table21112[True Rank],"DNP",0,1)),"DNP")</f>
        <v>DNP</v>
      </c>
      <c r="J90" s="26" t="str">
        <f>IFERROR(_xlfn.PERCENTRANK.INC(Table21112164[True Rank],_xlfn.XLOOKUP(Table1624[[#This Row],[Name]],Table21112164[Name],Table21112164[True Rank],"DNP",0,1)),"DNP")</f>
        <v>DNP</v>
      </c>
      <c r="K90" s="26">
        <f>IFERROR(_xlfn.PERCENTRANK.INC(Table2111216420[True Rank],_xlfn.XLOOKUP(Table1624[[#This Row],[Name]],Table2111216420[Name],Table2111216420[True Rank],"DNP",0,1)),"DNP")</f>
        <v>0.29699999999999999</v>
      </c>
      <c r="L90" s="26" t="str">
        <f>IFERROR(_xlfn.PERCENTRANK.INC(Table211121642021[True Rank],_xlfn.XLOOKUP(Table1624[[#This Row],[Name]],Table211121642021[Name],Table211121642021[True Rank],"DNP",0,1)),"DNP")</f>
        <v>DNP</v>
      </c>
      <c r="M90" s="26" t="str">
        <f>IFERROR(_xlfn.PERCENTRANK.INC(Table21112164202122[True Rank],_xlfn.XLOOKUP(Table1624[[#This Row],[Name]],Table21112164202122[Name],Table21112164202122[True Rank],"DNP",0,1)),"DNP")</f>
        <v>DNP</v>
      </c>
      <c r="N90" s="26" t="str">
        <f>IFERROR(_xlfn.PERCENTRANK.INC(Table2111216420212223[True Rank],_xlfn.XLOOKUP(Table1624[[#This Row],[Name]],Table2111216420212223[Name],Table2111216420212223[True Rank],"DNP",0,1)),"DNP")</f>
        <v>DNP</v>
      </c>
      <c r="O90" s="26" t="str">
        <f>IFERROR(_xlfn.PERCENTRANK.INC(Table211121642021222325[True Rank],_xlfn.XLOOKUP(Table1624[[#This Row],[Name]],Table211121642021222325[Name],Table211121642021222325[True Rank],"DNP",0,1)),"DNP")</f>
        <v>DNP</v>
      </c>
      <c r="P90" s="26" t="str">
        <f>IFERROR(_xlfn.PERCENTRANK.INC(Table21112164202122232534[True Rank],_xlfn.XLOOKUP(Table1624[[#This Row],[Name]],Table21112164202122232534[Name],Table21112164202122232534[True Rank],"DNP",0,1)),"DNP")</f>
        <v>DNP</v>
      </c>
      <c r="Q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 spans="2:33">
      <c r="B91" t="str">
        <f>IFERROR(Table5[[#This Row],[Full name]],"")</f>
        <v>Ali Issa</v>
      </c>
      <c r="C91" s="108">
        <f>IFERROR(AVERAGE(Table1624[[#This Row],[September 30, 2025]:[Column18]]),"N/A")</f>
        <v>0.78800000000000003</v>
      </c>
      <c r="D91" s="26">
        <f>IFERROR(_xlfn.PERCENTRANK.INC(Table4[True Rank],_xlfn.XLOOKUP(Table1624[[#This Row],[Name]],Table4[Name],Table4[True Rank],"DNP",0,1)),"DNP")</f>
        <v>0.78800000000000003</v>
      </c>
      <c r="E91" s="26" t="str">
        <f>IFERROR(_xlfn.PERCENTRANK.INC(Table9[True Rank],_xlfn.XLOOKUP(Table1624[[#This Row],[Name]],Table9[Name],Table9[True Rank],"DNP",0,1)),"DNP")</f>
        <v>DNP</v>
      </c>
      <c r="F91" s="26" t="str">
        <f>IFERROR(_xlfn.PERCENTRANK.INC(Table18[True Rank],_xlfn.XLOOKUP(Table1624[[#This Row],[Name]],Table18[Name],Table18[True Rank],"DNP",0,1)),"DNP")</f>
        <v>DNP</v>
      </c>
      <c r="G91" s="26" t="str">
        <f>IFERROR(_xlfn.PERCENTRANK.INC(Table2[True Rank],_xlfn.XLOOKUP(Table1624[[#This Row],[Name]],Table2[Name],Table2[True Rank],"DNP",0,1)),"DNP")</f>
        <v>DNP</v>
      </c>
      <c r="H91" s="26" t="str">
        <f>IFERROR(_xlfn.PERCENTRANK.INC(Table211[True Rank],_xlfn.XLOOKUP(Table1624[[#This Row],[Name]],Table211[Name],Table211[True Rank],"DNP",0,1)),"DNP")</f>
        <v>DNP</v>
      </c>
      <c r="I91" s="26" t="str">
        <f>IFERROR(_xlfn.PERCENTRANK.INC(Table21112[True Rank],_xlfn.XLOOKUP(Table1624[[#This Row],[Name]],Table21112[Name],Table21112[True Rank],"DNP",0,1)),"DNP")</f>
        <v>DNP</v>
      </c>
      <c r="J91" s="26" t="str">
        <f>IFERROR(_xlfn.PERCENTRANK.INC(Table21112164[True Rank],_xlfn.XLOOKUP(Table1624[[#This Row],[Name]],Table21112164[Name],Table21112164[True Rank],"DNP",0,1)),"DNP")</f>
        <v>DNP</v>
      </c>
      <c r="K91" s="26" t="str">
        <f>IFERROR(_xlfn.PERCENTRANK.INC(Table2111216420[True Rank],_xlfn.XLOOKUP(Table1624[[#This Row],[Name]],Table2111216420[Name],Table2111216420[True Rank],"DNP",0,1)),"DNP")</f>
        <v>DNP</v>
      </c>
      <c r="L91" s="26" t="str">
        <f>IFERROR(_xlfn.PERCENTRANK.INC(Table211121642021[True Rank],_xlfn.XLOOKUP(Table1624[[#This Row],[Name]],Table211121642021[Name],Table211121642021[True Rank],"DNP",0,1)),"DNP")</f>
        <v>DNP</v>
      </c>
      <c r="M91" s="26" t="str">
        <f>IFERROR(_xlfn.PERCENTRANK.INC(Table21112164202122[True Rank],_xlfn.XLOOKUP(Table1624[[#This Row],[Name]],Table21112164202122[Name],Table21112164202122[True Rank],"DNP",0,1)),"DNP")</f>
        <v>DNP</v>
      </c>
      <c r="N91" s="26" t="str">
        <f>IFERROR(_xlfn.PERCENTRANK.INC(Table2111216420212223[True Rank],_xlfn.XLOOKUP(Table1624[[#This Row],[Name]],Table2111216420212223[Name],Table2111216420212223[True Rank],"DNP",0,1)),"DNP")</f>
        <v>DNP</v>
      </c>
      <c r="O91" s="26" t="str">
        <f>IFERROR(_xlfn.PERCENTRANK.INC(Table211121642021222325[True Rank],_xlfn.XLOOKUP(Table1624[[#This Row],[Name]],Table211121642021222325[Name],Table211121642021222325[True Rank],"DNP",0,1)),"DNP")</f>
        <v>DNP</v>
      </c>
      <c r="P91" s="26" t="str">
        <f>IFERROR(_xlfn.PERCENTRANK.INC(Table21112164202122232534[True Rank],_xlfn.XLOOKUP(Table1624[[#This Row],[Name]],Table21112164202122232534[Name],Table21112164202122232534[True Rank],"DNP",0,1)),"DNP")</f>
        <v>DNP</v>
      </c>
      <c r="Q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 spans="2:33">
      <c r="B92" t="str">
        <f>IFERROR(Table5[[#This Row],[Full name]],"")</f>
        <v>Aliran Kadashev</v>
      </c>
      <c r="C92" s="108">
        <f>IFERROR(AVERAGE(Table1624[[#This Row],[September 30, 2025]:[Column18]]),"N/A")</f>
        <v>0.47950000000000004</v>
      </c>
      <c r="D92" s="26" t="str">
        <f>IFERROR(_xlfn.PERCENTRANK.INC(Table4[True Rank],_xlfn.XLOOKUP(Table1624[[#This Row],[Name]],Table4[Name],Table4[True Rank],"DNP",0,1)),"DNP")</f>
        <v>DNP</v>
      </c>
      <c r="E92" s="26">
        <f>IFERROR(_xlfn.PERCENTRANK.INC(Table9[True Rank],_xlfn.XLOOKUP(Table1624[[#This Row],[Name]],Table9[Name],Table9[True Rank],"DNP",0,1)),"DNP")</f>
        <v>0.90800000000000003</v>
      </c>
      <c r="F92" s="26">
        <f>IFERROR(_xlfn.PERCENTRANK.INC(Table18[True Rank],_xlfn.XLOOKUP(Table1624[[#This Row],[Name]],Table18[Name],Table18[True Rank],"DNP",0,1)),"DNP")</f>
        <v>0.72699999999999998</v>
      </c>
      <c r="G92" s="26" t="str">
        <f>IFERROR(_xlfn.PERCENTRANK.INC(Table2[True Rank],_xlfn.XLOOKUP(Table1624[[#This Row],[Name]],Table2[Name],Table2[True Rank],"DNP",0,1)),"DNP")</f>
        <v>DNP</v>
      </c>
      <c r="H92" s="26">
        <f>IFERROR(_xlfn.PERCENTRANK.INC(Table211[True Rank],_xlfn.XLOOKUP(Table1624[[#This Row],[Name]],Table211[Name],Table211[True Rank],"DNP",0,1)),"DNP")</f>
        <v>0.50700000000000001</v>
      </c>
      <c r="I92" s="26">
        <f>IFERROR(_xlfn.PERCENTRANK.INC(Table21112[True Rank],_xlfn.XLOOKUP(Table1624[[#This Row],[Name]],Table21112[Name],Table21112[True Rank],"DNP",0,1)),"DNP")</f>
        <v>5.0999999999999997E-2</v>
      </c>
      <c r="J92" s="26" t="str">
        <f>IFERROR(_xlfn.PERCENTRANK.INC(Table21112164[True Rank],_xlfn.XLOOKUP(Table1624[[#This Row],[Name]],Table21112164[Name],Table21112164[True Rank],"DNP",0,1)),"DNP")</f>
        <v>DNP</v>
      </c>
      <c r="K92" s="26" t="str">
        <f>IFERROR(_xlfn.PERCENTRANK.INC(Table2111216420[True Rank],_xlfn.XLOOKUP(Table1624[[#This Row],[Name]],Table2111216420[Name],Table2111216420[True Rank],"DNP",0,1)),"DNP")</f>
        <v>DNP</v>
      </c>
      <c r="L92" s="26">
        <f>IFERROR(_xlfn.PERCENTRANK.INC(Table211121642021[True Rank],_xlfn.XLOOKUP(Table1624[[#This Row],[Name]],Table211121642021[Name],Table211121642021[True Rank],"DNP",0,1)),"DNP")</f>
        <v>0.61199999999999999</v>
      </c>
      <c r="M92" s="26" t="str">
        <f>IFERROR(_xlfn.PERCENTRANK.INC(Table21112164202122[True Rank],_xlfn.XLOOKUP(Table1624[[#This Row],[Name]],Table21112164202122[Name],Table21112164202122[True Rank],"DNP",0,1)),"DNP")</f>
        <v>DNP</v>
      </c>
      <c r="N92" s="26" t="str">
        <f>IFERROR(_xlfn.PERCENTRANK.INC(Table2111216420212223[True Rank],_xlfn.XLOOKUP(Table1624[[#This Row],[Name]],Table2111216420212223[Name],Table2111216420212223[True Rank],"DNP",0,1)),"DNP")</f>
        <v>DNP</v>
      </c>
      <c r="O92" s="26" t="str">
        <f>IFERROR(_xlfn.PERCENTRANK.INC(Table211121642021222325[True Rank],_xlfn.XLOOKUP(Table1624[[#This Row],[Name]],Table211121642021222325[Name],Table211121642021222325[True Rank],"DNP",0,1)),"DNP")</f>
        <v>DNP</v>
      </c>
      <c r="P92" s="26" t="str">
        <f>IFERROR(_xlfn.PERCENTRANK.INC(Table21112164202122232534[True Rank],_xlfn.XLOOKUP(Table1624[[#This Row],[Name]],Table21112164202122232534[Name],Table21112164202122232534[True Rank],"DNP",0,1)),"DNP")</f>
        <v>DNP</v>
      </c>
      <c r="Q9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2" s="26">
        <f>IFERROR(_xlfn.PERCENTRANK.INC(Table2111216420212223253435363738[True Rank],_xlfn.XLOOKUP(Table1624[[#This Row],[Name]],Table2111216420212223253435363738[Name],Table2111216420212223253435363738[True Rank],"DNP",0,1)),"DNP")</f>
        <v>7.1999999999999995E-2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 spans="2:33">
      <c r="B93" t="str">
        <f>IFERROR(Table5[[#This Row],[Full name]],"")</f>
        <v>Allen Li</v>
      </c>
      <c r="C93" s="108">
        <f>IFERROR(AVERAGE(Table1624[[#This Row],[September 30, 2025]:[Column18]]),"N/A")</f>
        <v>0.38400000000000001</v>
      </c>
      <c r="D93" s="26" t="str">
        <f>IFERROR(_xlfn.PERCENTRANK.INC(Table4[True Rank],_xlfn.XLOOKUP(Table1624[[#This Row],[Name]],Table4[Name],Table4[True Rank],"DNP",0,1)),"DNP")</f>
        <v>DNP</v>
      </c>
      <c r="E93" s="26" t="str">
        <f>IFERROR(_xlfn.PERCENTRANK.INC(Table9[True Rank],_xlfn.XLOOKUP(Table1624[[#This Row],[Name]],Table9[Name],Table9[True Rank],"DNP",0,1)),"DNP")</f>
        <v>DNP</v>
      </c>
      <c r="F93" s="26" t="str">
        <f>IFERROR(_xlfn.PERCENTRANK.INC(Table18[True Rank],_xlfn.XLOOKUP(Table1624[[#This Row],[Name]],Table18[Name],Table18[True Rank],"DNP",0,1)),"DNP")</f>
        <v>DNP</v>
      </c>
      <c r="G93" s="26" t="str">
        <f>IFERROR(_xlfn.PERCENTRANK.INC(Table2[True Rank],_xlfn.XLOOKUP(Table1624[[#This Row],[Name]],Table2[Name],Table2[True Rank],"DNP",0,1)),"DNP")</f>
        <v>DNP</v>
      </c>
      <c r="H93" s="26" t="str">
        <f>IFERROR(_xlfn.PERCENTRANK.INC(Table211[True Rank],_xlfn.XLOOKUP(Table1624[[#This Row],[Name]],Table211[Name],Table211[True Rank],"DNP",0,1)),"DNP")</f>
        <v>DNP</v>
      </c>
      <c r="I93" s="26" t="str">
        <f>IFERROR(_xlfn.PERCENTRANK.INC(Table21112[True Rank],_xlfn.XLOOKUP(Table1624[[#This Row],[Name]],Table21112[Name],Table21112[True Rank],"DNP",0,1)),"DNP")</f>
        <v>DNP</v>
      </c>
      <c r="J93" s="26" t="str">
        <f>IFERROR(_xlfn.PERCENTRANK.INC(Table21112164[True Rank],_xlfn.XLOOKUP(Table1624[[#This Row],[Name]],Table21112164[Name],Table21112164[True Rank],"DNP",0,1)),"DNP")</f>
        <v>DNP</v>
      </c>
      <c r="K93" s="26" t="str">
        <f>IFERROR(_xlfn.PERCENTRANK.INC(Table2111216420[True Rank],_xlfn.XLOOKUP(Table1624[[#This Row],[Name]],Table2111216420[Name],Table2111216420[True Rank],"DNP",0,1)),"DNP")</f>
        <v>DNP</v>
      </c>
      <c r="L93" s="26" t="str">
        <f>IFERROR(_xlfn.PERCENTRANK.INC(Table211121642021[True Rank],_xlfn.XLOOKUP(Table1624[[#This Row],[Name]],Table211121642021[Name],Table211121642021[True Rank],"DNP",0,1)),"DNP")</f>
        <v>DNP</v>
      </c>
      <c r="M93" s="26" t="str">
        <f>IFERROR(_xlfn.PERCENTRANK.INC(Table21112164202122[True Rank],_xlfn.XLOOKUP(Table1624[[#This Row],[Name]],Table21112164202122[Name],Table21112164202122[True Rank],"DNP",0,1)),"DNP")</f>
        <v>DNP</v>
      </c>
      <c r="N93" s="26" t="str">
        <f>IFERROR(_xlfn.PERCENTRANK.INC(Table2111216420212223[True Rank],_xlfn.XLOOKUP(Table1624[[#This Row],[Name]],Table2111216420212223[Name],Table2111216420212223[True Rank],"DNP",0,1)),"DNP")</f>
        <v>DNP</v>
      </c>
      <c r="O93" s="26">
        <f>IFERROR(_xlfn.PERCENTRANK.INC(Table211121642021222325[True Rank],_xlfn.XLOOKUP(Table1624[[#This Row],[Name]],Table211121642021222325[Name],Table211121642021222325[True Rank],"DNP",0,1)),"DNP")</f>
        <v>0.38400000000000001</v>
      </c>
      <c r="P93" s="26" t="str">
        <f>IFERROR(_xlfn.PERCENTRANK.INC(Table21112164202122232534[True Rank],_xlfn.XLOOKUP(Table1624[[#This Row],[Name]],Table21112164202122232534[Name],Table21112164202122232534[True Rank],"DNP",0,1)),"DNP")</f>
        <v>DNP</v>
      </c>
      <c r="Q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2:33">
      <c r="B94" t="str">
        <f>IFERROR(Table5[[#This Row],[Full name]],"")</f>
        <v>Amal Sathees</v>
      </c>
      <c r="C94" s="108">
        <f>IFERROR(AVERAGE(Table1624[[#This Row],[September 30, 2025]:[Column18]]),"N/A")</f>
        <v>0.75071428571428578</v>
      </c>
      <c r="D94" s="26" t="str">
        <f>IFERROR(_xlfn.PERCENTRANK.INC(Table4[True Rank],_xlfn.XLOOKUP(Table1624[[#This Row],[Name]],Table4[Name],Table4[True Rank],"DNP",0,1)),"DNP")</f>
        <v>DNP</v>
      </c>
      <c r="E94" s="26" t="str">
        <f>IFERROR(_xlfn.PERCENTRANK.INC(Table9[True Rank],_xlfn.XLOOKUP(Table1624[[#This Row],[Name]],Table9[Name],Table9[True Rank],"DNP",0,1)),"DNP")</f>
        <v>DNP</v>
      </c>
      <c r="F94" s="26" t="str">
        <f>IFERROR(_xlfn.PERCENTRANK.INC(Table18[True Rank],_xlfn.XLOOKUP(Table1624[[#This Row],[Name]],Table18[Name],Table18[True Rank],"DNP",0,1)),"DNP")</f>
        <v>DNP</v>
      </c>
      <c r="G94" s="26" t="str">
        <f>IFERROR(_xlfn.PERCENTRANK.INC(Table2[True Rank],_xlfn.XLOOKUP(Table1624[[#This Row],[Name]],Table2[Name],Table2[True Rank],"DNP",0,1)),"DNP")</f>
        <v>DNP</v>
      </c>
      <c r="H94" s="26" t="str">
        <f>IFERROR(_xlfn.PERCENTRANK.INC(Table211[True Rank],_xlfn.XLOOKUP(Table1624[[#This Row],[Name]],Table211[Name],Table211[True Rank],"DNP",0,1)),"DNP")</f>
        <v>DNP</v>
      </c>
      <c r="I94" s="26" t="str">
        <f>IFERROR(_xlfn.PERCENTRANK.INC(Table21112[True Rank],_xlfn.XLOOKUP(Table1624[[#This Row],[Name]],Table21112[Name],Table21112[True Rank],"DNP",0,1)),"DNP")</f>
        <v>DNP</v>
      </c>
      <c r="J94" s="26" t="str">
        <f>IFERROR(_xlfn.PERCENTRANK.INC(Table21112164[True Rank],_xlfn.XLOOKUP(Table1624[[#This Row],[Name]],Table21112164[Name],Table21112164[True Rank],"DNP",0,1)),"DNP")</f>
        <v>DNP</v>
      </c>
      <c r="K94" s="26">
        <f>IFERROR(_xlfn.PERCENTRANK.INC(Table2111216420[True Rank],_xlfn.XLOOKUP(Table1624[[#This Row],[Name]],Table2111216420[Name],Table2111216420[True Rank],"DNP",0,1)),"DNP")</f>
        <v>0.89300000000000002</v>
      </c>
      <c r="L94" s="26">
        <f>IFERROR(_xlfn.PERCENTRANK.INC(Table211121642021[True Rank],_xlfn.XLOOKUP(Table1624[[#This Row],[Name]],Table211121642021[Name],Table211121642021[True Rank],"DNP",0,1)),"DNP")</f>
        <v>0.94599999999999995</v>
      </c>
      <c r="M94" s="26">
        <f>IFERROR(_xlfn.PERCENTRANK.INC(Table21112164202122[True Rank],_xlfn.XLOOKUP(Table1624[[#This Row],[Name]],Table21112164202122[Name],Table21112164202122[True Rank],"DNP",0,1)),"DNP")</f>
        <v>0.92</v>
      </c>
      <c r="N94" s="26">
        <f>IFERROR(_xlfn.PERCENTRANK.INC(Table2111216420212223[True Rank],_xlfn.XLOOKUP(Table1624[[#This Row],[Name]],Table2111216420212223[Name],Table2111216420212223[True Rank],"DNP",0,1)),"DNP")</f>
        <v>0.80200000000000005</v>
      </c>
      <c r="O94" s="26">
        <f>IFERROR(_xlfn.PERCENTRANK.INC(Table211121642021222325[True Rank],_xlfn.XLOOKUP(Table1624[[#This Row],[Name]],Table211121642021222325[Name],Table211121642021222325[True Rank],"DNP",0,1)),"DNP")</f>
        <v>0.56000000000000005</v>
      </c>
      <c r="P94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4" s="26">
        <f>IFERROR(_xlfn.PERCENTRANK.INC(Table2111216420212223253435363738[True Rank],_xlfn.XLOOKUP(Table1624[[#This Row],[Name]],Table2111216420212223253435363738[Name],Table2111216420212223253435363738[True Rank],"DNP",0,1)),"DNP")</f>
        <v>0.61799999999999999</v>
      </c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 spans="2:33">
      <c r="B95" t="str">
        <f>IFERROR(Table5[[#This Row],[Full name]],"")</f>
        <v>Amar Aggarwal</v>
      </c>
      <c r="C95" s="108">
        <f>IFERROR(AVERAGE(Table1624[[#This Row],[September 30, 2025]:[Column18]]),"N/A")</f>
        <v>0.5056666666666666</v>
      </c>
      <c r="D95" s="26" t="str">
        <f>IFERROR(_xlfn.PERCENTRANK.INC(Table4[True Rank],_xlfn.XLOOKUP(Table1624[[#This Row],[Name]],Table4[Name],Table4[True Rank],"DNP",0,1)),"DNP")</f>
        <v>DNP</v>
      </c>
      <c r="E95" s="26" t="str">
        <f>IFERROR(_xlfn.PERCENTRANK.INC(Table9[True Rank],_xlfn.XLOOKUP(Table1624[[#This Row],[Name]],Table9[Name],Table9[True Rank],"DNP",0,1)),"DNP")</f>
        <v>DNP</v>
      </c>
      <c r="F95" s="26" t="str">
        <f>IFERROR(_xlfn.PERCENTRANK.INC(Table18[True Rank],_xlfn.XLOOKUP(Table1624[[#This Row],[Name]],Table18[Name],Table18[True Rank],"DNP",0,1)),"DNP")</f>
        <v>DNP</v>
      </c>
      <c r="G95" s="26" t="str">
        <f>IFERROR(_xlfn.PERCENTRANK.INC(Table2[True Rank],_xlfn.XLOOKUP(Table1624[[#This Row],[Name]],Table2[Name],Table2[True Rank],"DNP",0,1)),"DNP")</f>
        <v>DNP</v>
      </c>
      <c r="H95" s="26" t="str">
        <f>IFERROR(_xlfn.PERCENTRANK.INC(Table211[True Rank],_xlfn.XLOOKUP(Table1624[[#This Row],[Name]],Table211[Name],Table211[True Rank],"DNP",0,1)),"DNP")</f>
        <v>DNP</v>
      </c>
      <c r="I95" s="26" t="str">
        <f>IFERROR(_xlfn.PERCENTRANK.INC(Table21112[True Rank],_xlfn.XLOOKUP(Table1624[[#This Row],[Name]],Table21112[Name],Table21112[True Rank],"DNP",0,1)),"DNP")</f>
        <v>DNP</v>
      </c>
      <c r="J95" s="26" t="str">
        <f>IFERROR(_xlfn.PERCENTRANK.INC(Table21112164[True Rank],_xlfn.XLOOKUP(Table1624[[#This Row],[Name]],Table21112164[Name],Table21112164[True Rank],"DNP",0,1)),"DNP")</f>
        <v>DNP</v>
      </c>
      <c r="K95" s="26" t="str">
        <f>IFERROR(_xlfn.PERCENTRANK.INC(Table2111216420[True Rank],_xlfn.XLOOKUP(Table1624[[#This Row],[Name]],Table2111216420[Name],Table2111216420[True Rank],"DNP",0,1)),"DNP")</f>
        <v>DNP</v>
      </c>
      <c r="L95" s="26">
        <f>IFERROR(_xlfn.PERCENTRANK.INC(Table211121642021[True Rank],_xlfn.XLOOKUP(Table1624[[#This Row],[Name]],Table211121642021[Name],Table211121642021[True Rank],"DNP",0,1)),"DNP")</f>
        <v>0.36499999999999999</v>
      </c>
      <c r="M95" s="26">
        <f>IFERROR(_xlfn.PERCENTRANK.INC(Table21112164202122[True Rank],_xlfn.XLOOKUP(Table1624[[#This Row],[Name]],Table21112164202122[Name],Table21112164202122[True Rank],"DNP",0,1)),"DNP")</f>
        <v>0.625</v>
      </c>
      <c r="N95" s="26" t="str">
        <f>IFERROR(_xlfn.PERCENTRANK.INC(Table2111216420212223[True Rank],_xlfn.XLOOKUP(Table1624[[#This Row],[Name]],Table2111216420212223[Name],Table2111216420212223[True Rank],"DNP",0,1)),"DNP")</f>
        <v>DNP</v>
      </c>
      <c r="O95" s="26">
        <f>IFERROR(_xlfn.PERCENTRANK.INC(Table211121642021222325[True Rank],_xlfn.XLOOKUP(Table1624[[#This Row],[Name]],Table211121642021222325[Name],Table211121642021222325[True Rank],"DNP",0,1)),"DNP")</f>
        <v>0.52700000000000002</v>
      </c>
      <c r="P95" s="26" t="str">
        <f>IFERROR(_xlfn.PERCENTRANK.INC(Table21112164202122232534[True Rank],_xlfn.XLOOKUP(Table1624[[#This Row],[Name]],Table21112164202122232534[Name],Table21112164202122232534[True Rank],"DNP",0,1)),"DNP")</f>
        <v>DNP</v>
      </c>
      <c r="Q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 spans="2:33">
      <c r="B96" t="str">
        <f>IFERROR(Table5[[#This Row],[Full name]],"")</f>
        <v>Anas Ahmet</v>
      </c>
      <c r="C96" s="108">
        <f>IFERROR(AVERAGE(Table1624[[#This Row],[September 30, 2025]:[Column18]]),"N/A")</f>
        <v>0.71199999999999997</v>
      </c>
      <c r="D96" s="26" t="str">
        <f>IFERROR(_xlfn.PERCENTRANK.INC(Table4[True Rank],_xlfn.XLOOKUP(Table1624[[#This Row],[Name]],Table4[Name],Table4[True Rank],"DNP",0,1)),"DNP")</f>
        <v>DNP</v>
      </c>
      <c r="E96" s="26" t="str">
        <f>IFERROR(_xlfn.PERCENTRANK.INC(Table9[True Rank],_xlfn.XLOOKUP(Table1624[[#This Row],[Name]],Table9[Name],Table9[True Rank],"DNP",0,1)),"DNP")</f>
        <v>DNP</v>
      </c>
      <c r="F96" s="26" t="str">
        <f>IFERROR(_xlfn.PERCENTRANK.INC(Table18[True Rank],_xlfn.XLOOKUP(Table1624[[#This Row],[Name]],Table18[Name],Table18[True Rank],"DNP",0,1)),"DNP")</f>
        <v>DNP</v>
      </c>
      <c r="G96" s="26" t="str">
        <f>IFERROR(_xlfn.PERCENTRANK.INC(Table2[True Rank],_xlfn.XLOOKUP(Table1624[[#This Row],[Name]],Table2[Name],Table2[True Rank],"DNP",0,1)),"DNP")</f>
        <v>DNP</v>
      </c>
      <c r="H96" s="26" t="str">
        <f>IFERROR(_xlfn.PERCENTRANK.INC(Table211[True Rank],_xlfn.XLOOKUP(Table1624[[#This Row],[Name]],Table211[Name],Table211[True Rank],"DNP",0,1)),"DNP")</f>
        <v>DNP</v>
      </c>
      <c r="I96" s="26" t="str">
        <f>IFERROR(_xlfn.PERCENTRANK.INC(Table21112[True Rank],_xlfn.XLOOKUP(Table1624[[#This Row],[Name]],Table21112[Name],Table21112[True Rank],"DNP",0,1)),"DNP")</f>
        <v>DNP</v>
      </c>
      <c r="J96" s="26" t="str">
        <f>IFERROR(_xlfn.PERCENTRANK.INC(Table21112164[True Rank],_xlfn.XLOOKUP(Table1624[[#This Row],[Name]],Table21112164[Name],Table21112164[True Rank],"DNP",0,1)),"DNP")</f>
        <v>DNP</v>
      </c>
      <c r="K96" s="26">
        <f>IFERROR(_xlfn.PERCENTRANK.INC(Table2111216420[True Rank],_xlfn.XLOOKUP(Table1624[[#This Row],[Name]],Table2111216420[Name],Table2111216420[True Rank],"DNP",0,1)),"DNP")</f>
        <v>0.71199999999999997</v>
      </c>
      <c r="L96" s="26" t="str">
        <f>IFERROR(_xlfn.PERCENTRANK.INC(Table211121642021[True Rank],_xlfn.XLOOKUP(Table1624[[#This Row],[Name]],Table211121642021[Name],Table211121642021[True Rank],"DNP",0,1)),"DNP")</f>
        <v>DNP</v>
      </c>
      <c r="M96" s="26" t="str">
        <f>IFERROR(_xlfn.PERCENTRANK.INC(Table21112164202122[True Rank],_xlfn.XLOOKUP(Table1624[[#This Row],[Name]],Table21112164202122[Name],Table21112164202122[True Rank],"DNP",0,1)),"DNP")</f>
        <v>DNP</v>
      </c>
      <c r="N96" s="26" t="str">
        <f>IFERROR(_xlfn.PERCENTRANK.INC(Table2111216420212223[True Rank],_xlfn.XLOOKUP(Table1624[[#This Row],[Name]],Table2111216420212223[Name],Table2111216420212223[True Rank],"DNP",0,1)),"DNP")</f>
        <v>DNP</v>
      </c>
      <c r="O96" s="26" t="str">
        <f>IFERROR(_xlfn.PERCENTRANK.INC(Table211121642021222325[True Rank],_xlfn.XLOOKUP(Table1624[[#This Row],[Name]],Table211121642021222325[Name],Table211121642021222325[True Rank],"DNP",0,1)),"DNP")</f>
        <v>DNP</v>
      </c>
      <c r="P96" s="26" t="str">
        <f>IFERROR(_xlfn.PERCENTRANK.INC(Table21112164202122232534[True Rank],_xlfn.XLOOKUP(Table1624[[#This Row],[Name]],Table21112164202122232534[Name],Table21112164202122232534[True Rank],"DNP",0,1)),"DNP")</f>
        <v>DNP</v>
      </c>
      <c r="Q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 spans="2:33">
      <c r="B97" t="str">
        <f>IFERROR(Table5[[#This Row],[Full name]],"")</f>
        <v>Andres Pedreros</v>
      </c>
      <c r="C97" s="108">
        <f>IFERROR(AVERAGE(Table1624[[#This Row],[September 30, 2025]:[Column18]]),"N/A")</f>
        <v>0.12</v>
      </c>
      <c r="D97" s="26" t="str">
        <f>IFERROR(_xlfn.PERCENTRANK.INC(Table4[True Rank],_xlfn.XLOOKUP(Table1624[[#This Row],[Name]],Table4[Name],Table4[True Rank],"DNP",0,1)),"DNP")</f>
        <v>DNP</v>
      </c>
      <c r="E97" s="26" t="str">
        <f>IFERROR(_xlfn.PERCENTRANK.INC(Table9[True Rank],_xlfn.XLOOKUP(Table1624[[#This Row],[Name]],Table9[Name],Table9[True Rank],"DNP",0,1)),"DNP")</f>
        <v>DNP</v>
      </c>
      <c r="F97" s="26" t="str">
        <f>IFERROR(_xlfn.PERCENTRANK.INC(Table18[True Rank],_xlfn.XLOOKUP(Table1624[[#This Row],[Name]],Table18[Name],Table18[True Rank],"DNP",0,1)),"DNP")</f>
        <v>DNP</v>
      </c>
      <c r="G97" s="26" t="str">
        <f>IFERROR(_xlfn.PERCENTRANK.INC(Table2[True Rank],_xlfn.XLOOKUP(Table1624[[#This Row],[Name]],Table2[Name],Table2[True Rank],"DNP",0,1)),"DNP")</f>
        <v>DNP</v>
      </c>
      <c r="H97" s="26" t="str">
        <f>IFERROR(_xlfn.PERCENTRANK.INC(Table211[True Rank],_xlfn.XLOOKUP(Table1624[[#This Row],[Name]],Table211[Name],Table211[True Rank],"DNP",0,1)),"DNP")</f>
        <v>DNP</v>
      </c>
      <c r="I97" s="26" t="str">
        <f>IFERROR(_xlfn.PERCENTRANK.INC(Table21112[True Rank],_xlfn.XLOOKUP(Table1624[[#This Row],[Name]],Table21112[Name],Table21112[True Rank],"DNP",0,1)),"DNP")</f>
        <v>DNP</v>
      </c>
      <c r="J97" s="26" t="str">
        <f>IFERROR(_xlfn.PERCENTRANK.INC(Table21112164[True Rank],_xlfn.XLOOKUP(Table1624[[#This Row],[Name]],Table21112164[Name],Table21112164[True Rank],"DNP",0,1)),"DNP")</f>
        <v>DNP</v>
      </c>
      <c r="K97" s="26" t="str">
        <f>IFERROR(_xlfn.PERCENTRANK.INC(Table2111216420[True Rank],_xlfn.XLOOKUP(Table1624[[#This Row],[Name]],Table2111216420[Name],Table2111216420[True Rank],"DNP",0,1)),"DNP")</f>
        <v>DNP</v>
      </c>
      <c r="L97" s="26" t="str">
        <f>IFERROR(_xlfn.PERCENTRANK.INC(Table211121642021[True Rank],_xlfn.XLOOKUP(Table1624[[#This Row],[Name]],Table211121642021[Name],Table211121642021[True Rank],"DNP",0,1)),"DNP")</f>
        <v>DNP</v>
      </c>
      <c r="M97" s="26" t="str">
        <f>IFERROR(_xlfn.PERCENTRANK.INC(Table21112164202122[True Rank],_xlfn.XLOOKUP(Table1624[[#This Row],[Name]],Table21112164202122[Name],Table21112164202122[True Rank],"DNP",0,1)),"DNP")</f>
        <v>DNP</v>
      </c>
      <c r="N97" s="26" t="str">
        <f>IFERROR(_xlfn.PERCENTRANK.INC(Table2111216420212223[True Rank],_xlfn.XLOOKUP(Table1624[[#This Row],[Name]],Table2111216420212223[Name],Table2111216420212223[True Rank],"DNP",0,1)),"DNP")</f>
        <v>DNP</v>
      </c>
      <c r="O97" s="26">
        <f>IFERROR(_xlfn.PERCENTRANK.INC(Table211121642021222325[True Rank],_xlfn.XLOOKUP(Table1624[[#This Row],[Name]],Table211121642021222325[Name],Table211121642021222325[True Rank],"DNP",0,1)),"DNP")</f>
        <v>0.12</v>
      </c>
      <c r="P97" s="26" t="str">
        <f>IFERROR(_xlfn.PERCENTRANK.INC(Table21112164202122232534[True Rank],_xlfn.XLOOKUP(Table1624[[#This Row],[Name]],Table21112164202122232534[Name],Table21112164202122232534[True Rank],"DNP",0,1)),"DNP")</f>
        <v>DNP</v>
      </c>
      <c r="Q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 spans="2:33">
      <c r="B98" t="str">
        <f>IFERROR(Table5[[#This Row],[Full name]],"")</f>
        <v>Andrew Liu</v>
      </c>
      <c r="C98" s="108">
        <f>IFERROR(AVERAGE(Table1624[[#This Row],[September 30, 2025]:[Column18]]),"N/A")</f>
        <v>0.38912500000000005</v>
      </c>
      <c r="D98" s="26" t="str">
        <f>IFERROR(_xlfn.PERCENTRANK.INC(Table4[True Rank],_xlfn.XLOOKUP(Table1624[[#This Row],[Name]],Table4[Name],Table4[True Rank],"DNP",0,1)),"DNP")</f>
        <v>DNP</v>
      </c>
      <c r="E98" s="26" t="str">
        <f>IFERROR(_xlfn.PERCENTRANK.INC(Table9[True Rank],_xlfn.XLOOKUP(Table1624[[#This Row],[Name]],Table9[Name],Table9[True Rank],"DNP",0,1)),"DNP")</f>
        <v>DNP</v>
      </c>
      <c r="F98" s="26">
        <f>IFERROR(_xlfn.PERCENTRANK.INC(Table18[True Rank],_xlfn.XLOOKUP(Table1624[[#This Row],[Name]],Table18[Name],Table18[True Rank],"DNP",0,1)),"DNP")</f>
        <v>0.52500000000000002</v>
      </c>
      <c r="G98" s="26">
        <f>IFERROR(_xlfn.PERCENTRANK.INC(Table2[True Rank],_xlfn.XLOOKUP(Table1624[[#This Row],[Name]],Table2[Name],Table2[True Rank],"DNP",0,1)),"DNP")</f>
        <v>0.36899999999999999</v>
      </c>
      <c r="H98" s="26" t="str">
        <f>IFERROR(_xlfn.PERCENTRANK.INC(Table211[True Rank],_xlfn.XLOOKUP(Table1624[[#This Row],[Name]],Table211[Name],Table211[True Rank],"DNP",0,1)),"DNP")</f>
        <v>DNP</v>
      </c>
      <c r="I98" s="26">
        <f>IFERROR(_xlfn.PERCENTRANK.INC(Table21112[True Rank],_xlfn.XLOOKUP(Table1624[[#This Row],[Name]],Table21112[Name],Table21112[True Rank],"DNP",0,1)),"DNP")</f>
        <v>0.38400000000000001</v>
      </c>
      <c r="J98" s="26" t="str">
        <f>IFERROR(_xlfn.PERCENTRANK.INC(Table21112164[True Rank],_xlfn.XLOOKUP(Table1624[[#This Row],[Name]],Table21112164[Name],Table21112164[True Rank],"DNP",0,1)),"DNP")</f>
        <v>DNP</v>
      </c>
      <c r="K98" s="26" t="str">
        <f>IFERROR(_xlfn.PERCENTRANK.INC(Table2111216420[True Rank],_xlfn.XLOOKUP(Table1624[[#This Row],[Name]],Table2111216420[Name],Table2111216420[True Rank],"DNP",0,1)),"DNP")</f>
        <v>DNP</v>
      </c>
      <c r="L98" s="26" t="str">
        <f>IFERROR(_xlfn.PERCENTRANK.INC(Table211121642021[True Rank],_xlfn.XLOOKUP(Table1624[[#This Row],[Name]],Table211121642021[Name],Table211121642021[True Rank],"DNP",0,1)),"DNP")</f>
        <v>DNP</v>
      </c>
      <c r="M98" s="26" t="str">
        <f>IFERROR(_xlfn.PERCENTRANK.INC(Table21112164202122[True Rank],_xlfn.XLOOKUP(Table1624[[#This Row],[Name]],Table21112164202122[Name],Table21112164202122[True Rank],"DNP",0,1)),"DNP")</f>
        <v>DNP</v>
      </c>
      <c r="N98" s="26" t="str">
        <f>IFERROR(_xlfn.PERCENTRANK.INC(Table2111216420212223[True Rank],_xlfn.XLOOKUP(Table1624[[#This Row],[Name]],Table2111216420212223[Name],Table2111216420212223[True Rank],"DNP",0,1)),"DNP")</f>
        <v>DNP</v>
      </c>
      <c r="O98" s="26">
        <f>IFERROR(_xlfn.PERCENTRANK.INC(Table211121642021222325[True Rank],_xlfn.XLOOKUP(Table1624[[#This Row],[Name]],Table211121642021222325[Name],Table211121642021222325[True Rank],"DNP",0,1)),"DNP")</f>
        <v>9.8000000000000004E-2</v>
      </c>
      <c r="P98" s="26">
        <f>IFERROR(_xlfn.PERCENTRANK.INC(Table21112164202122232534[True Rank],_xlfn.XLOOKUP(Table1624[[#This Row],[Name]],Table21112164202122232534[Name],Table21112164202122232534[True Rank],"DNP",0,1)),"DNP")</f>
        <v>0.51600000000000001</v>
      </c>
      <c r="Q98" s="26">
        <f>IFERROR(_xlfn.PERCENTRANK.INC(Table2111216420212223253435[True Rank],_xlfn.XLOOKUP(Table1624[[#This Row],[Name]],Table2111216420212223253435[Name],Table2111216420212223253435[True Rank],"DNP",0,1)),"DNP")</f>
        <v>0.90600000000000003</v>
      </c>
      <c r="R98" s="26">
        <f>IFERROR(_xlfn.PERCENTRANK.INC(Table211121642021222325343536[True Rank],_xlfn.XLOOKUP(Table1624[[#This Row],[Name]],Table211121642021222325343536[Name],Table211121642021222325343536[True Rank],"DNP",0,1)),"DNP")</f>
        <v>0.21199999999999999</v>
      </c>
      <c r="S98" s="26">
        <f>IFERROR(_xlfn.PERCENTRANK.INC(Table21112164202122232534353637[True Rank],_xlfn.XLOOKUP(Table1624[[#This Row],[Name]],Table21112164202122232534353637[Name],Table21112164202122232534353637[True Rank],"DNP",0,1)),"DNP")</f>
        <v>0.10299999999999999</v>
      </c>
      <c r="T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 spans="2:33">
      <c r="B99" t="str">
        <f>IFERROR(Table5[[#This Row],[Full name]],"")</f>
        <v>Anil Maharaj</v>
      </c>
      <c r="C99" s="108">
        <f>IFERROR(AVERAGE(Table1624[[#This Row],[September 30, 2025]:[Column18]]),"N/A")</f>
        <v>0.67600000000000005</v>
      </c>
      <c r="D99" s="26" t="str">
        <f>IFERROR(_xlfn.PERCENTRANK.INC(Table4[True Rank],_xlfn.XLOOKUP(Table1624[[#This Row],[Name]],Table4[Name],Table4[True Rank],"DNP",0,1)),"DNP")</f>
        <v>DNP</v>
      </c>
      <c r="E99" s="26" t="str">
        <f>IFERROR(_xlfn.PERCENTRANK.INC(Table9[True Rank],_xlfn.XLOOKUP(Table1624[[#This Row],[Name]],Table9[Name],Table9[True Rank],"DNP",0,1)),"DNP")</f>
        <v>DNP</v>
      </c>
      <c r="F99" s="26">
        <f>IFERROR(_xlfn.PERCENTRANK.INC(Table18[True Rank],_xlfn.XLOOKUP(Table1624[[#This Row],[Name]],Table18[Name],Table18[True Rank],"DNP",0,1)),"DNP")</f>
        <v>0.67600000000000005</v>
      </c>
      <c r="G99" s="26" t="str">
        <f>IFERROR(_xlfn.PERCENTRANK.INC(Table2[True Rank],_xlfn.XLOOKUP(Table1624[[#This Row],[Name]],Table2[Name],Table2[True Rank],"DNP",0,1)),"DNP")</f>
        <v>DNP</v>
      </c>
      <c r="H99" s="26" t="str">
        <f>IFERROR(_xlfn.PERCENTRANK.INC(Table211[True Rank],_xlfn.XLOOKUP(Table1624[[#This Row],[Name]],Table211[Name],Table211[True Rank],"DNP",0,1)),"DNP")</f>
        <v>DNP</v>
      </c>
      <c r="I99" s="26" t="str">
        <f>IFERROR(_xlfn.PERCENTRANK.INC(Table21112[True Rank],_xlfn.XLOOKUP(Table1624[[#This Row],[Name]],Table21112[Name],Table21112[True Rank],"DNP",0,1)),"DNP")</f>
        <v>DNP</v>
      </c>
      <c r="J99" s="26" t="str">
        <f>IFERROR(_xlfn.PERCENTRANK.INC(Table21112164[True Rank],_xlfn.XLOOKUP(Table1624[[#This Row],[Name]],Table21112164[Name],Table21112164[True Rank],"DNP",0,1)),"DNP")</f>
        <v>DNP</v>
      </c>
      <c r="K99" s="26" t="str">
        <f>IFERROR(_xlfn.PERCENTRANK.INC(Table2111216420[True Rank],_xlfn.XLOOKUP(Table1624[[#This Row],[Name]],Table2111216420[Name],Table2111216420[True Rank],"DNP",0,1)),"DNP")</f>
        <v>DNP</v>
      </c>
      <c r="L99" s="26" t="str">
        <f>IFERROR(_xlfn.PERCENTRANK.INC(Table211121642021[True Rank],_xlfn.XLOOKUP(Table1624[[#This Row],[Name]],Table211121642021[Name],Table211121642021[True Rank],"DNP",0,1)),"DNP")</f>
        <v>DNP</v>
      </c>
      <c r="M99" s="26" t="str">
        <f>IFERROR(_xlfn.PERCENTRANK.INC(Table21112164202122[True Rank],_xlfn.XLOOKUP(Table1624[[#This Row],[Name]],Table21112164202122[Name],Table21112164202122[True Rank],"DNP",0,1)),"DNP")</f>
        <v>DNP</v>
      </c>
      <c r="N99" s="26" t="str">
        <f>IFERROR(_xlfn.PERCENTRANK.INC(Table2111216420212223[True Rank],_xlfn.XLOOKUP(Table1624[[#This Row],[Name]],Table2111216420212223[Name],Table2111216420212223[True Rank],"DNP",0,1)),"DNP")</f>
        <v>DNP</v>
      </c>
      <c r="O99" s="26" t="str">
        <f>IFERROR(_xlfn.PERCENTRANK.INC(Table211121642021222325[True Rank],_xlfn.XLOOKUP(Table1624[[#This Row],[Name]],Table211121642021222325[Name],Table211121642021222325[True Rank],"DNP",0,1)),"DNP")</f>
        <v>DNP</v>
      </c>
      <c r="P99" s="26" t="str">
        <f>IFERROR(_xlfn.PERCENTRANK.INC(Table21112164202122232534[True Rank],_xlfn.XLOOKUP(Table1624[[#This Row],[Name]],Table21112164202122232534[Name],Table21112164202122232534[True Rank],"DNP",0,1)),"DNP")</f>
        <v>DNP</v>
      </c>
      <c r="Q9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9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9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2:33">
      <c r="B100" t="str">
        <f>IFERROR(Table5[[#This Row],[Full name]],"")</f>
        <v>Anthony Braccio</v>
      </c>
      <c r="C100" s="108">
        <f>IFERROR(AVERAGE(Table1624[[#This Row],[September 30, 2025]:[Column18]]),"N/A")</f>
        <v>0.38800000000000007</v>
      </c>
      <c r="D100" s="26" t="str">
        <f>IFERROR(_xlfn.PERCENTRANK.INC(Table4[True Rank],_xlfn.XLOOKUP(Table1624[[#This Row],[Name]],Table4[Name],Table4[True Rank],"DNP",0,1)),"DNP")</f>
        <v>DNP</v>
      </c>
      <c r="E100" s="26" t="str">
        <f>IFERROR(_xlfn.PERCENTRANK.INC(Table9[True Rank],_xlfn.XLOOKUP(Table1624[[#This Row],[Name]],Table9[Name],Table9[True Rank],"DNP",0,1)),"DNP")</f>
        <v>DNP</v>
      </c>
      <c r="F100" s="26" t="str">
        <f>IFERROR(_xlfn.PERCENTRANK.INC(Table18[True Rank],_xlfn.XLOOKUP(Table1624[[#This Row],[Name]],Table18[Name],Table18[True Rank],"DNP",0,1)),"DNP")</f>
        <v>DNP</v>
      </c>
      <c r="G100" s="26" t="str">
        <f>IFERROR(_xlfn.PERCENTRANK.INC(Table2[True Rank],_xlfn.XLOOKUP(Table1624[[#This Row],[Name]],Table2[Name],Table2[True Rank],"DNP",0,1)),"DNP")</f>
        <v>DNP</v>
      </c>
      <c r="H100" s="26">
        <f>IFERROR(_xlfn.PERCENTRANK.INC(Table211[True Rank],_xlfn.XLOOKUP(Table1624[[#This Row],[Name]],Table211[Name],Table211[True Rank],"DNP",0,1)),"DNP")</f>
        <v>8.4000000000000005E-2</v>
      </c>
      <c r="I100" s="26">
        <f>IFERROR(_xlfn.PERCENTRANK.INC(Table21112[True Rank],_xlfn.XLOOKUP(Table1624[[#This Row],[Name]],Table21112[Name],Table21112[True Rank],"DNP",0,1)),"DNP")</f>
        <v>0.371</v>
      </c>
      <c r="J100" s="26">
        <f>IFERROR(_xlfn.PERCENTRANK.INC(Table21112164[True Rank],_xlfn.XLOOKUP(Table1624[[#This Row],[Name]],Table21112164[Name],Table21112164[True Rank],"DNP",0,1)),"DNP")</f>
        <v>0.26900000000000002</v>
      </c>
      <c r="K100" s="26">
        <f>IFERROR(_xlfn.PERCENTRANK.INC(Table2111216420[True Rank],_xlfn.XLOOKUP(Table1624[[#This Row],[Name]],Table2111216420[Name],Table2111216420[True Rank],"DNP",0,1)),"DNP")</f>
        <v>0.39300000000000002</v>
      </c>
      <c r="L100" s="26">
        <f>IFERROR(_xlfn.PERCENTRANK.INC(Table211121642021[True Rank],_xlfn.XLOOKUP(Table1624[[#This Row],[Name]],Table211121642021[Name],Table211121642021[True Rank],"DNP",0,1)),"DNP")</f>
        <v>0.67700000000000005</v>
      </c>
      <c r="M100" s="26">
        <f>IFERROR(_xlfn.PERCENTRANK.INC(Table21112164202122[True Rank],_xlfn.XLOOKUP(Table1624[[#This Row],[Name]],Table21112164202122[Name],Table21112164202122[True Rank],"DNP",0,1)),"DNP")</f>
        <v>0.10199999999999999</v>
      </c>
      <c r="N100" s="26">
        <f>IFERROR(_xlfn.PERCENTRANK.INC(Table2111216420212223[True Rank],_xlfn.XLOOKUP(Table1624[[#This Row],[Name]],Table2111216420212223[Name],Table2111216420212223[True Rank],"DNP",0,1)),"DNP")</f>
        <v>0.53800000000000003</v>
      </c>
      <c r="O100" s="26" t="str">
        <f>IFERROR(_xlfn.PERCENTRANK.INC(Table211121642021222325[True Rank],_xlfn.XLOOKUP(Table1624[[#This Row],[Name]],Table211121642021222325[Name],Table211121642021222325[True Rank],"DNP",0,1)),"DNP")</f>
        <v>DNP</v>
      </c>
      <c r="P100" s="26">
        <f>IFERROR(_xlfn.PERCENTRANK.INC(Table21112164202122232534[True Rank],_xlfn.XLOOKUP(Table1624[[#This Row],[Name]],Table21112164202122232534[Name],Table21112164202122232534[True Rank],"DNP",0,1)),"DNP")</f>
        <v>0.28499999999999998</v>
      </c>
      <c r="Q100" s="26">
        <f>IFERROR(_xlfn.PERCENTRANK.INC(Table2111216420212223253435[True Rank],_xlfn.XLOOKUP(Table1624[[#This Row],[Name]],Table2111216420212223253435[Name],Table2111216420212223253435[True Rank],"DNP",0,1)),"DNP")</f>
        <v>0.77300000000000002</v>
      </c>
      <c r="R10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 spans="2:33">
      <c r="B101" t="str">
        <f>IFERROR(Table5[[#This Row],[Full name]],"")</f>
        <v>Anthony Di Pasquale</v>
      </c>
      <c r="C101" s="108">
        <f>IFERROR(AVERAGE(Table1624[[#This Row],[September 30, 2025]:[Column18]]),"N/A")</f>
        <v>0.64633333333333332</v>
      </c>
      <c r="D101" s="26" t="str">
        <f>IFERROR(_xlfn.PERCENTRANK.INC(Table4[True Rank],_xlfn.XLOOKUP(Table1624[[#This Row],[Name]],Table4[Name],Table4[True Rank],"DNP",0,1)),"DNP")</f>
        <v>DNP</v>
      </c>
      <c r="E101" s="26" t="str">
        <f>IFERROR(_xlfn.PERCENTRANK.INC(Table9[True Rank],_xlfn.XLOOKUP(Table1624[[#This Row],[Name]],Table9[Name],Table9[True Rank],"DNP",0,1)),"DNP")</f>
        <v>DNP</v>
      </c>
      <c r="F101" s="26">
        <f>IFERROR(_xlfn.PERCENTRANK.INC(Table18[True Rank],_xlfn.XLOOKUP(Table1624[[#This Row],[Name]],Table18[Name],Table18[True Rank],"DNP",0,1)),"DNP")</f>
        <v>0.59499999999999997</v>
      </c>
      <c r="G101" s="26">
        <f>IFERROR(_xlfn.PERCENTRANK.INC(Table2[True Rank],_xlfn.XLOOKUP(Table1624[[#This Row],[Name]],Table2[Name],Table2[True Rank],"DNP",0,1)),"DNP")</f>
        <v>0.79700000000000004</v>
      </c>
      <c r="H101" s="26" t="str">
        <f>IFERROR(_xlfn.PERCENTRANK.INC(Table211[True Rank],_xlfn.XLOOKUP(Table1624[[#This Row],[Name]],Table211[Name],Table211[True Rank],"DNP",0,1)),"DNP")</f>
        <v>DNP</v>
      </c>
      <c r="I101" s="26" t="str">
        <f>IFERROR(_xlfn.PERCENTRANK.INC(Table21112[True Rank],_xlfn.XLOOKUP(Table1624[[#This Row],[Name]],Table21112[Name],Table21112[True Rank],"DNP",0,1)),"DNP")</f>
        <v>DNP</v>
      </c>
      <c r="J101" s="26" t="str">
        <f>IFERROR(_xlfn.PERCENTRANK.INC(Table21112164[True Rank],_xlfn.XLOOKUP(Table1624[[#This Row],[Name]],Table21112164[Name],Table21112164[True Rank],"DNP",0,1)),"DNP")</f>
        <v>DNP</v>
      </c>
      <c r="K101" s="26">
        <f>IFERROR(_xlfn.PERCENTRANK.INC(Table2111216420[True Rank],_xlfn.XLOOKUP(Table1624[[#This Row],[Name]],Table2111216420[Name],Table2111216420[True Rank],"DNP",0,1)),"DNP")</f>
        <v>0.74399999999999999</v>
      </c>
      <c r="L101" s="26">
        <f>IFERROR(_xlfn.PERCENTRANK.INC(Table211121642021[True Rank],_xlfn.XLOOKUP(Table1624[[#This Row],[Name]],Table211121642021[Name],Table211121642021[True Rank],"DNP",0,1)),"DNP")</f>
        <v>0.47299999999999998</v>
      </c>
      <c r="M101" s="26" t="str">
        <f>IFERROR(_xlfn.PERCENTRANK.INC(Table21112164202122[True Rank],_xlfn.XLOOKUP(Table1624[[#This Row],[Name]],Table21112164202122[Name],Table21112164202122[True Rank],"DNP",0,1)),"DNP")</f>
        <v>DNP</v>
      </c>
      <c r="N101" s="26" t="str">
        <f>IFERROR(_xlfn.PERCENTRANK.INC(Table2111216420212223[True Rank],_xlfn.XLOOKUP(Table1624[[#This Row],[Name]],Table2111216420212223[Name],Table2111216420212223[True Rank],"DNP",0,1)),"DNP")</f>
        <v>DNP</v>
      </c>
      <c r="O101" s="26" t="str">
        <f>IFERROR(_xlfn.PERCENTRANK.INC(Table211121642021222325[True Rank],_xlfn.XLOOKUP(Table1624[[#This Row],[Name]],Table211121642021222325[Name],Table211121642021222325[True Rank],"DNP",0,1)),"DNP")</f>
        <v>DNP</v>
      </c>
      <c r="P101" s="26" t="str">
        <f>IFERROR(_xlfn.PERCENTRANK.INC(Table21112164202122232534[True Rank],_xlfn.XLOOKUP(Table1624[[#This Row],[Name]],Table21112164202122232534[Name],Table21112164202122232534[True Rank],"DNP",0,1)),"DNP")</f>
        <v>DNP</v>
      </c>
      <c r="Q10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1" s="26">
        <f>IFERROR(_xlfn.PERCENTRANK.INC(Table21112164202122232534353637[True Rank],_xlfn.XLOOKUP(Table1624[[#This Row],[Name]],Table21112164202122232534353637[Name],Table21112164202122232534353637[True Rank],"DNP",0,1)),"DNP")</f>
        <v>0.379</v>
      </c>
      <c r="T101" s="26">
        <f>IFERROR(_xlfn.PERCENTRANK.INC(Table2111216420212223253435363738[True Rank],_xlfn.XLOOKUP(Table1624[[#This Row],[Name]],Table2111216420212223253435363738[Name],Table2111216420212223253435363738[True Rank],"DNP",0,1)),"DNP")</f>
        <v>0.89</v>
      </c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 spans="2:33">
      <c r="B102" t="str">
        <f>IFERROR(Table5[[#This Row],[Full name]],"")</f>
        <v>Anush Subasan</v>
      </c>
      <c r="C102" s="108">
        <f>IFERROR(AVERAGE(Table1624[[#This Row],[September 30, 2025]:[Column18]]),"N/A")</f>
        <v>0.70050000000000001</v>
      </c>
      <c r="D102" s="26" t="str">
        <f>IFERROR(_xlfn.PERCENTRANK.INC(Table4[True Rank],_xlfn.XLOOKUP(Table1624[[#This Row],[Name]],Table4[Name],Table4[True Rank],"DNP",0,1)),"DNP")</f>
        <v>DNP</v>
      </c>
      <c r="E102" s="26" t="str">
        <f>IFERROR(_xlfn.PERCENTRANK.INC(Table9[True Rank],_xlfn.XLOOKUP(Table1624[[#This Row],[Name]],Table9[Name],Table9[True Rank],"DNP",0,1)),"DNP")</f>
        <v>DNP</v>
      </c>
      <c r="F102" s="26" t="str">
        <f>IFERROR(_xlfn.PERCENTRANK.INC(Table18[True Rank],_xlfn.XLOOKUP(Table1624[[#This Row],[Name]],Table18[Name],Table18[True Rank],"DNP",0,1)),"DNP")</f>
        <v>DNP</v>
      </c>
      <c r="G102" s="26">
        <f>IFERROR(_xlfn.PERCENTRANK.INC(Table2[True Rank],_xlfn.XLOOKUP(Table1624[[#This Row],[Name]],Table2[Name],Table2[True Rank],"DNP",0,1)),"DNP")</f>
        <v>0.88</v>
      </c>
      <c r="H102" s="26">
        <f>IFERROR(_xlfn.PERCENTRANK.INC(Table211[True Rank],_xlfn.XLOOKUP(Table1624[[#This Row],[Name]],Table211[Name],Table211[True Rank],"DNP",0,1)),"DNP")</f>
        <v>0.52100000000000002</v>
      </c>
      <c r="I102" s="26" t="str">
        <f>IFERROR(_xlfn.PERCENTRANK.INC(Table21112[True Rank],_xlfn.XLOOKUP(Table1624[[#This Row],[Name]],Table21112[Name],Table21112[True Rank],"DNP",0,1)),"DNP")</f>
        <v>DNP</v>
      </c>
      <c r="J102" s="26" t="str">
        <f>IFERROR(_xlfn.PERCENTRANK.INC(Table21112164[True Rank],_xlfn.XLOOKUP(Table1624[[#This Row],[Name]],Table21112164[Name],Table21112164[True Rank],"DNP",0,1)),"DNP")</f>
        <v>DNP</v>
      </c>
      <c r="K102" s="26" t="str">
        <f>IFERROR(_xlfn.PERCENTRANK.INC(Table2111216420[True Rank],_xlfn.XLOOKUP(Table1624[[#This Row],[Name]],Table2111216420[Name],Table2111216420[True Rank],"DNP",0,1)),"DNP")</f>
        <v>DNP</v>
      </c>
      <c r="L102" s="26" t="str">
        <f>IFERROR(_xlfn.PERCENTRANK.INC(Table211121642021[True Rank],_xlfn.XLOOKUP(Table1624[[#This Row],[Name]],Table211121642021[Name],Table211121642021[True Rank],"DNP",0,1)),"DNP")</f>
        <v>DNP</v>
      </c>
      <c r="M102" s="26" t="str">
        <f>IFERROR(_xlfn.PERCENTRANK.INC(Table21112164202122[True Rank],_xlfn.XLOOKUP(Table1624[[#This Row],[Name]],Table21112164202122[Name],Table21112164202122[True Rank],"DNP",0,1)),"DNP")</f>
        <v>DNP</v>
      </c>
      <c r="N102" s="26" t="str">
        <f>IFERROR(_xlfn.PERCENTRANK.INC(Table2111216420212223[True Rank],_xlfn.XLOOKUP(Table1624[[#This Row],[Name]],Table2111216420212223[Name],Table2111216420212223[True Rank],"DNP",0,1)),"DNP")</f>
        <v>DNP</v>
      </c>
      <c r="O102" s="26" t="str">
        <f>IFERROR(_xlfn.PERCENTRANK.INC(Table211121642021222325[True Rank],_xlfn.XLOOKUP(Table1624[[#This Row],[Name]],Table211121642021222325[Name],Table211121642021222325[True Rank],"DNP",0,1)),"DNP")</f>
        <v>DNP</v>
      </c>
      <c r="P102" s="26" t="str">
        <f>IFERROR(_xlfn.PERCENTRANK.INC(Table21112164202122232534[True Rank],_xlfn.XLOOKUP(Table1624[[#This Row],[Name]],Table21112164202122232534[Name],Table21112164202122232534[True Rank],"DNP",0,1)),"DNP")</f>
        <v>DNP</v>
      </c>
      <c r="Q1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 spans="2:33">
      <c r="B103" t="str">
        <f>IFERROR(Table5[[#This Row],[Full name]],"")</f>
        <v>Arad Farrahi</v>
      </c>
      <c r="C103" s="108">
        <f>IFERROR(AVERAGE(Table1624[[#This Row],[September 30, 2025]:[Column18]]),"N/A")</f>
        <v>0.71450000000000002</v>
      </c>
      <c r="D103" s="26" t="str">
        <f>IFERROR(_xlfn.PERCENTRANK.INC(Table4[True Rank],_xlfn.XLOOKUP(Table1624[[#This Row],[Name]],Table4[Name],Table4[True Rank],"DNP",0,1)),"DNP")</f>
        <v>DNP</v>
      </c>
      <c r="E103" s="26" t="str">
        <f>IFERROR(_xlfn.PERCENTRANK.INC(Table9[True Rank],_xlfn.XLOOKUP(Table1624[[#This Row],[Name]],Table9[Name],Table9[True Rank],"DNP",0,1)),"DNP")</f>
        <v>DNP</v>
      </c>
      <c r="F103" s="26" t="str">
        <f>IFERROR(_xlfn.PERCENTRANK.INC(Table18[True Rank],_xlfn.XLOOKUP(Table1624[[#This Row],[Name]],Table18[Name],Table18[True Rank],"DNP",0,1)),"DNP")</f>
        <v>DNP</v>
      </c>
      <c r="G103" s="26">
        <f>IFERROR(_xlfn.PERCENTRANK.INC(Table2[True Rank],_xlfn.XLOOKUP(Table1624[[#This Row],[Name]],Table2[Name],Table2[True Rank],"DNP",0,1)),"DNP")</f>
        <v>0.88</v>
      </c>
      <c r="H103" s="26" t="str">
        <f>IFERROR(_xlfn.PERCENTRANK.INC(Table211[True Rank],_xlfn.XLOOKUP(Table1624[[#This Row],[Name]],Table211[Name],Table211[True Rank],"DNP",0,1)),"DNP")</f>
        <v>DNP</v>
      </c>
      <c r="I103" s="26" t="str">
        <f>IFERROR(_xlfn.PERCENTRANK.INC(Table21112[True Rank],_xlfn.XLOOKUP(Table1624[[#This Row],[Name]],Table21112[Name],Table21112[True Rank],"DNP",0,1)),"DNP")</f>
        <v>DNP</v>
      </c>
      <c r="J103" s="26" t="str">
        <f>IFERROR(_xlfn.PERCENTRANK.INC(Table21112164[True Rank],_xlfn.XLOOKUP(Table1624[[#This Row],[Name]],Table21112164[Name],Table21112164[True Rank],"DNP",0,1)),"DNP")</f>
        <v>DNP</v>
      </c>
      <c r="K103" s="26" t="str">
        <f>IFERROR(_xlfn.PERCENTRANK.INC(Table2111216420[True Rank],_xlfn.XLOOKUP(Table1624[[#This Row],[Name]],Table2111216420[Name],Table2111216420[True Rank],"DNP",0,1)),"DNP")</f>
        <v>DNP</v>
      </c>
      <c r="L103" s="26" t="str">
        <f>IFERROR(_xlfn.PERCENTRANK.INC(Table211121642021[True Rank],_xlfn.XLOOKUP(Table1624[[#This Row],[Name]],Table211121642021[Name],Table211121642021[True Rank],"DNP",0,1)),"DNP")</f>
        <v>DNP</v>
      </c>
      <c r="M103" s="26" t="str">
        <f>IFERROR(_xlfn.PERCENTRANK.INC(Table21112164202122[True Rank],_xlfn.XLOOKUP(Table1624[[#This Row],[Name]],Table21112164202122[Name],Table21112164202122[True Rank],"DNP",0,1)),"DNP")</f>
        <v>DNP</v>
      </c>
      <c r="N103" s="26" t="str">
        <f>IFERROR(_xlfn.PERCENTRANK.INC(Table2111216420212223[True Rank],_xlfn.XLOOKUP(Table1624[[#This Row],[Name]],Table2111216420212223[Name],Table2111216420212223[True Rank],"DNP",0,1)),"DNP")</f>
        <v>DNP</v>
      </c>
      <c r="O103" s="26">
        <f>IFERROR(_xlfn.PERCENTRANK.INC(Table211121642021222325[True Rank],_xlfn.XLOOKUP(Table1624[[#This Row],[Name]],Table211121642021222325[Name],Table211121642021222325[True Rank],"DNP",0,1)),"DNP")</f>
        <v>0.54900000000000004</v>
      </c>
      <c r="P103" s="26" t="str">
        <f>IFERROR(_xlfn.PERCENTRANK.INC(Table21112164202122232534[True Rank],_xlfn.XLOOKUP(Table1624[[#This Row],[Name]],Table21112164202122232534[Name],Table21112164202122232534[True Rank],"DNP",0,1)),"DNP")</f>
        <v>DNP</v>
      </c>
      <c r="Q10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 spans="2:33">
      <c r="B104" t="str">
        <f>IFERROR(Table5[[#This Row],[Full name]],"")</f>
        <v>Arad Sahebjamei</v>
      </c>
      <c r="C104" s="108">
        <f>IFERROR(AVERAGE(Table1624[[#This Row],[September 30, 2025]:[Column18]]),"N/A")</f>
        <v>0.54500000000000004</v>
      </c>
      <c r="D104" s="26" t="str">
        <f>IFERROR(_xlfn.PERCENTRANK.INC(Table4[True Rank],_xlfn.XLOOKUP(Table1624[[#This Row],[Name]],Table4[Name],Table4[True Rank],"DNP",0,1)),"DNP")</f>
        <v>DNP</v>
      </c>
      <c r="E104" s="26" t="str">
        <f>IFERROR(_xlfn.PERCENTRANK.INC(Table9[True Rank],_xlfn.XLOOKUP(Table1624[[#This Row],[Name]],Table9[Name],Table9[True Rank],"DNP",0,1)),"DNP")</f>
        <v>DNP</v>
      </c>
      <c r="F104" s="26" t="str">
        <f>IFERROR(_xlfn.PERCENTRANK.INC(Table18[True Rank],_xlfn.XLOOKUP(Table1624[[#This Row],[Name]],Table18[Name],Table18[True Rank],"DNP",0,1)),"DNP")</f>
        <v>DNP</v>
      </c>
      <c r="G104" s="26" t="str">
        <f>IFERROR(_xlfn.PERCENTRANK.INC(Table2[True Rank],_xlfn.XLOOKUP(Table1624[[#This Row],[Name]],Table2[Name],Table2[True Rank],"DNP",0,1)),"DNP")</f>
        <v>DNP</v>
      </c>
      <c r="H104" s="26" t="str">
        <f>IFERROR(_xlfn.PERCENTRANK.INC(Table211[True Rank],_xlfn.XLOOKUP(Table1624[[#This Row],[Name]],Table211[Name],Table211[True Rank],"DNP",0,1)),"DNP")</f>
        <v>DNP</v>
      </c>
      <c r="I104" s="26" t="str">
        <f>IFERROR(_xlfn.PERCENTRANK.INC(Table21112[True Rank],_xlfn.XLOOKUP(Table1624[[#This Row],[Name]],Table21112[Name],Table21112[True Rank],"DNP",0,1)),"DNP")</f>
        <v>DNP</v>
      </c>
      <c r="J104" s="26" t="str">
        <f>IFERROR(_xlfn.PERCENTRANK.INC(Table21112164[True Rank],_xlfn.XLOOKUP(Table1624[[#This Row],[Name]],Table21112164[Name],Table21112164[True Rank],"DNP",0,1)),"DNP")</f>
        <v>DNP</v>
      </c>
      <c r="K104" s="26" t="str">
        <f>IFERROR(_xlfn.PERCENTRANK.INC(Table2111216420[True Rank],_xlfn.XLOOKUP(Table1624[[#This Row],[Name]],Table2111216420[Name],Table2111216420[True Rank],"DNP",0,1)),"DNP")</f>
        <v>DNP</v>
      </c>
      <c r="L104" s="26" t="str">
        <f>IFERROR(_xlfn.PERCENTRANK.INC(Table211121642021[True Rank],_xlfn.XLOOKUP(Table1624[[#This Row],[Name]],Table211121642021[Name],Table211121642021[True Rank],"DNP",0,1)),"DNP")</f>
        <v>DNP</v>
      </c>
      <c r="M104" s="26">
        <f>IFERROR(_xlfn.PERCENTRANK.INC(Table21112164202122[True Rank],_xlfn.XLOOKUP(Table1624[[#This Row],[Name]],Table21112164202122[Name],Table21112164202122[True Rank],"DNP",0,1)),"DNP")</f>
        <v>0.54500000000000004</v>
      </c>
      <c r="N104" s="26" t="str">
        <f>IFERROR(_xlfn.PERCENTRANK.INC(Table2111216420212223[True Rank],_xlfn.XLOOKUP(Table1624[[#This Row],[Name]],Table2111216420212223[Name],Table2111216420212223[True Rank],"DNP",0,1)),"DNP")</f>
        <v>DNP</v>
      </c>
      <c r="O104" s="26" t="str">
        <f>IFERROR(_xlfn.PERCENTRANK.INC(Table211121642021222325[True Rank],_xlfn.XLOOKUP(Table1624[[#This Row],[Name]],Table211121642021222325[Name],Table211121642021222325[True Rank],"DNP",0,1)),"DNP")</f>
        <v>DNP</v>
      </c>
      <c r="P104" s="26" t="str">
        <f>IFERROR(_xlfn.PERCENTRANK.INC(Table21112164202122232534[True Rank],_xlfn.XLOOKUP(Table1624[[#This Row],[Name]],Table21112164202122232534[Name],Table21112164202122232534[True Rank],"DNP",0,1)),"DNP")</f>
        <v>DNP</v>
      </c>
      <c r="Q1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 spans="2:33">
      <c r="B105" t="str">
        <f>IFERROR(Table5[[#This Row],[Full name]],"")</f>
        <v>Ari Citak</v>
      </c>
      <c r="C105" s="108">
        <f>IFERROR(AVERAGE(Table1624[[#This Row],[September 30, 2025]:[Column18]]),"N/A")</f>
        <v>0.24099999999999999</v>
      </c>
      <c r="D105" s="26" t="str">
        <f>IFERROR(_xlfn.PERCENTRANK.INC(Table4[True Rank],_xlfn.XLOOKUP(Table1624[[#This Row],[Name]],Table4[Name],Table4[True Rank],"DNP",0,1)),"DNP")</f>
        <v>DNP</v>
      </c>
      <c r="E105" s="26">
        <f>IFERROR(_xlfn.PERCENTRANK.INC(Table9[True Rank],_xlfn.XLOOKUP(Table1624[[#This Row],[Name]],Table9[Name],Table9[True Rank],"DNP",0,1)),"DNP")</f>
        <v>0.24099999999999999</v>
      </c>
      <c r="F105" s="26" t="str">
        <f>IFERROR(_xlfn.PERCENTRANK.INC(Table18[True Rank],_xlfn.XLOOKUP(Table1624[[#This Row],[Name]],Table18[Name],Table18[True Rank],"DNP",0,1)),"DNP")</f>
        <v>DNP</v>
      </c>
      <c r="G105" s="26" t="str">
        <f>IFERROR(_xlfn.PERCENTRANK.INC(Table2[True Rank],_xlfn.XLOOKUP(Table1624[[#This Row],[Name]],Table2[Name],Table2[True Rank],"DNP",0,1)),"DNP")</f>
        <v>DNP</v>
      </c>
      <c r="H105" s="26" t="str">
        <f>IFERROR(_xlfn.PERCENTRANK.INC(Table211[True Rank],_xlfn.XLOOKUP(Table1624[[#This Row],[Name]],Table211[Name],Table211[True Rank],"DNP",0,1)),"DNP")</f>
        <v>DNP</v>
      </c>
      <c r="I105" s="26" t="str">
        <f>IFERROR(_xlfn.PERCENTRANK.INC(Table21112[True Rank],_xlfn.XLOOKUP(Table1624[[#This Row],[Name]],Table21112[Name],Table21112[True Rank],"DNP",0,1)),"DNP")</f>
        <v>DNP</v>
      </c>
      <c r="J105" s="26" t="str">
        <f>IFERROR(_xlfn.PERCENTRANK.INC(Table21112164[True Rank],_xlfn.XLOOKUP(Table1624[[#This Row],[Name]],Table21112164[Name],Table21112164[True Rank],"DNP",0,1)),"DNP")</f>
        <v>DNP</v>
      </c>
      <c r="K105" s="26" t="str">
        <f>IFERROR(_xlfn.PERCENTRANK.INC(Table2111216420[True Rank],_xlfn.XLOOKUP(Table1624[[#This Row],[Name]],Table2111216420[Name],Table2111216420[True Rank],"DNP",0,1)),"DNP")</f>
        <v>DNP</v>
      </c>
      <c r="L105" s="26" t="str">
        <f>IFERROR(_xlfn.PERCENTRANK.INC(Table211121642021[True Rank],_xlfn.XLOOKUP(Table1624[[#This Row],[Name]],Table211121642021[Name],Table211121642021[True Rank],"DNP",0,1)),"DNP")</f>
        <v>DNP</v>
      </c>
      <c r="M105" s="26" t="str">
        <f>IFERROR(_xlfn.PERCENTRANK.INC(Table21112164202122[True Rank],_xlfn.XLOOKUP(Table1624[[#This Row],[Name]],Table21112164202122[Name],Table21112164202122[True Rank],"DNP",0,1)),"DNP")</f>
        <v>DNP</v>
      </c>
      <c r="N105" s="26" t="str">
        <f>IFERROR(_xlfn.PERCENTRANK.INC(Table2111216420212223[True Rank],_xlfn.XLOOKUP(Table1624[[#This Row],[Name]],Table2111216420212223[Name],Table2111216420212223[True Rank],"DNP",0,1)),"DNP")</f>
        <v>DNP</v>
      </c>
      <c r="O105" s="26" t="str">
        <f>IFERROR(_xlfn.PERCENTRANK.INC(Table211121642021222325[True Rank],_xlfn.XLOOKUP(Table1624[[#This Row],[Name]],Table211121642021222325[Name],Table211121642021222325[True Rank],"DNP",0,1)),"DNP")</f>
        <v>DNP</v>
      </c>
      <c r="P105" s="26" t="str">
        <f>IFERROR(_xlfn.PERCENTRANK.INC(Table21112164202122232534[True Rank],_xlfn.XLOOKUP(Table1624[[#This Row],[Name]],Table21112164202122232534[Name],Table21112164202122232534[True Rank],"DNP",0,1)),"DNP")</f>
        <v>DNP</v>
      </c>
      <c r="Q10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 spans="2:33">
      <c r="B106" t="str">
        <f>IFERROR(Table5[[#This Row],[Full name]],"")</f>
        <v>Arianna Tan</v>
      </c>
      <c r="C106" s="108" t="str">
        <f>IFERROR(AVERAGE(Table1624[[#This Row],[September 30, 2025]:[Column18]]),"N/A")</f>
        <v>N/A</v>
      </c>
      <c r="D106" s="26" t="str">
        <f>IFERROR(_xlfn.PERCENTRANK.INC(Table4[True Rank],_xlfn.XLOOKUP(Table1624[[#This Row],[Name]],Table4[Name],Table4[True Rank],"DNP",0,1)),"DNP")</f>
        <v>DNP</v>
      </c>
      <c r="E106" s="26" t="str">
        <f>IFERROR(_xlfn.PERCENTRANK.INC(Table9[True Rank],_xlfn.XLOOKUP(Table1624[[#This Row],[Name]],Table9[Name],Table9[True Rank],"DNP",0,1)),"DNP")</f>
        <v>DNP</v>
      </c>
      <c r="F106" s="26" t="str">
        <f>IFERROR(_xlfn.PERCENTRANK.INC(Table18[True Rank],_xlfn.XLOOKUP(Table1624[[#This Row],[Name]],Table18[Name],Table18[True Rank],"DNP",0,1)),"DNP")</f>
        <v>DNP</v>
      </c>
      <c r="G106" s="26" t="str">
        <f>IFERROR(_xlfn.PERCENTRANK.INC(Table2[True Rank],_xlfn.XLOOKUP(Table1624[[#This Row],[Name]],Table2[Name],Table2[True Rank],"DNP",0,1)),"DNP")</f>
        <v>DNP</v>
      </c>
      <c r="H106" s="26" t="str">
        <f>IFERROR(_xlfn.PERCENTRANK.INC(Table211[True Rank],_xlfn.XLOOKUP(Table1624[[#This Row],[Name]],Table211[Name],Table211[True Rank],"DNP",0,1)),"DNP")</f>
        <v>DNP</v>
      </c>
      <c r="I106" s="26" t="str">
        <f>IFERROR(_xlfn.PERCENTRANK.INC(Table21112[True Rank],_xlfn.XLOOKUP(Table1624[[#This Row],[Name]],Table21112[Name],Table21112[True Rank],"DNP",0,1)),"DNP")</f>
        <v>DNP</v>
      </c>
      <c r="J106" s="26" t="str">
        <f>IFERROR(_xlfn.PERCENTRANK.INC(Table21112164[True Rank],_xlfn.XLOOKUP(Table1624[[#This Row],[Name]],Table21112164[Name],Table21112164[True Rank],"DNP",0,1)),"DNP")</f>
        <v>DNP</v>
      </c>
      <c r="K106" s="26" t="str">
        <f>IFERROR(_xlfn.PERCENTRANK.INC(Table2111216420[True Rank],_xlfn.XLOOKUP(Table1624[[#This Row],[Name]],Table2111216420[Name],Table2111216420[True Rank],"DNP",0,1)),"DNP")</f>
        <v>DNP</v>
      </c>
      <c r="L106" s="26" t="str">
        <f>IFERROR(_xlfn.PERCENTRANK.INC(Table211121642021[True Rank],_xlfn.XLOOKUP(Table1624[[#This Row],[Name]],Table211121642021[Name],Table211121642021[True Rank],"DNP",0,1)),"DNP")</f>
        <v>DNP</v>
      </c>
      <c r="M106" s="26" t="str">
        <f>IFERROR(_xlfn.PERCENTRANK.INC(Table21112164202122[True Rank],_xlfn.XLOOKUP(Table1624[[#This Row],[Name]],Table21112164202122[Name],Table21112164202122[True Rank],"DNP",0,1)),"DNP")</f>
        <v>DNP</v>
      </c>
      <c r="N106" s="26" t="str">
        <f>IFERROR(_xlfn.PERCENTRANK.INC(Table2111216420212223[True Rank],_xlfn.XLOOKUP(Table1624[[#This Row],[Name]],Table2111216420212223[Name],Table2111216420212223[True Rank],"DNP",0,1)),"DNP")</f>
        <v>DNP</v>
      </c>
      <c r="O106" s="26" t="str">
        <f>IFERROR(_xlfn.PERCENTRANK.INC(Table211121642021222325[True Rank],_xlfn.XLOOKUP(Table1624[[#This Row],[Name]],Table211121642021222325[Name],Table211121642021222325[True Rank],"DNP",0,1)),"DNP")</f>
        <v>DNP</v>
      </c>
      <c r="P106" s="26" t="str">
        <f>IFERROR(_xlfn.PERCENTRANK.INC(Table21112164202122232534[True Rank],_xlfn.XLOOKUP(Table1624[[#This Row],[Name]],Table21112164202122232534[Name],Table21112164202122232534[True Rank],"DNP",0,1)),"DNP")</f>
        <v>DNP</v>
      </c>
      <c r="Q10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 spans="2:33">
      <c r="B107" t="str">
        <f>IFERROR(Table5[[#This Row],[Full name]],"")</f>
        <v>Arion Mestanovski</v>
      </c>
      <c r="C107" s="108">
        <f>IFERROR(AVERAGE(Table1624[[#This Row],[September 30, 2025]:[Column18]]),"N/A")</f>
        <v>0.61599999999999999</v>
      </c>
      <c r="D107" s="26" t="str">
        <f>IFERROR(_xlfn.PERCENTRANK.INC(Table4[True Rank],_xlfn.XLOOKUP(Table1624[[#This Row],[Name]],Table4[Name],Table4[True Rank],"DNP",0,1)),"DNP")</f>
        <v>DNP</v>
      </c>
      <c r="E107" s="26" t="str">
        <f>IFERROR(_xlfn.PERCENTRANK.INC(Table9[True Rank],_xlfn.XLOOKUP(Table1624[[#This Row],[Name]],Table9[Name],Table9[True Rank],"DNP",0,1)),"DNP")</f>
        <v>DNP</v>
      </c>
      <c r="F107" s="26">
        <f>IFERROR(_xlfn.PERCENTRANK.INC(Table18[True Rank],_xlfn.XLOOKUP(Table1624[[#This Row],[Name]],Table18[Name],Table18[True Rank],"DNP",0,1)),"DNP")</f>
        <v>0.61599999999999999</v>
      </c>
      <c r="G107" s="26" t="str">
        <f>IFERROR(_xlfn.PERCENTRANK.INC(Table2[True Rank],_xlfn.XLOOKUP(Table1624[[#This Row],[Name]],Table2[Name],Table2[True Rank],"DNP",0,1)),"DNP")</f>
        <v>DNP</v>
      </c>
      <c r="H107" s="26" t="str">
        <f>IFERROR(_xlfn.PERCENTRANK.INC(Table211[True Rank],_xlfn.XLOOKUP(Table1624[[#This Row],[Name]],Table211[Name],Table211[True Rank],"DNP",0,1)),"DNP")</f>
        <v>DNP</v>
      </c>
      <c r="I107" s="26" t="str">
        <f>IFERROR(_xlfn.PERCENTRANK.INC(Table21112[True Rank],_xlfn.XLOOKUP(Table1624[[#This Row],[Name]],Table21112[Name],Table21112[True Rank],"DNP",0,1)),"DNP")</f>
        <v>DNP</v>
      </c>
      <c r="J107" s="26" t="str">
        <f>IFERROR(_xlfn.PERCENTRANK.INC(Table21112164[True Rank],_xlfn.XLOOKUP(Table1624[[#This Row],[Name]],Table21112164[Name],Table21112164[True Rank],"DNP",0,1)),"DNP")</f>
        <v>DNP</v>
      </c>
      <c r="K107" s="26" t="str">
        <f>IFERROR(_xlfn.PERCENTRANK.INC(Table2111216420[True Rank],_xlfn.XLOOKUP(Table1624[[#This Row],[Name]],Table2111216420[Name],Table2111216420[True Rank],"DNP",0,1)),"DNP")</f>
        <v>DNP</v>
      </c>
      <c r="L107" s="26" t="str">
        <f>IFERROR(_xlfn.PERCENTRANK.INC(Table211121642021[True Rank],_xlfn.XLOOKUP(Table1624[[#This Row],[Name]],Table211121642021[Name],Table211121642021[True Rank],"DNP",0,1)),"DNP")</f>
        <v>DNP</v>
      </c>
      <c r="M107" s="26" t="str">
        <f>IFERROR(_xlfn.PERCENTRANK.INC(Table21112164202122[True Rank],_xlfn.XLOOKUP(Table1624[[#This Row],[Name]],Table21112164202122[Name],Table21112164202122[True Rank],"DNP",0,1)),"DNP")</f>
        <v>DNP</v>
      </c>
      <c r="N107" s="26" t="str">
        <f>IFERROR(_xlfn.PERCENTRANK.INC(Table2111216420212223[True Rank],_xlfn.XLOOKUP(Table1624[[#This Row],[Name]],Table2111216420212223[Name],Table2111216420212223[True Rank],"DNP",0,1)),"DNP")</f>
        <v>DNP</v>
      </c>
      <c r="O107" s="26" t="str">
        <f>IFERROR(_xlfn.PERCENTRANK.INC(Table211121642021222325[True Rank],_xlfn.XLOOKUP(Table1624[[#This Row],[Name]],Table211121642021222325[Name],Table211121642021222325[True Rank],"DNP",0,1)),"DNP")</f>
        <v>DNP</v>
      </c>
      <c r="P107" s="26" t="str">
        <f>IFERROR(_xlfn.PERCENTRANK.INC(Table21112164202122232534[True Rank],_xlfn.XLOOKUP(Table1624[[#This Row],[Name]],Table21112164202122232534[Name],Table21112164202122232534[True Rank],"DNP",0,1)),"DNP")</f>
        <v>DNP</v>
      </c>
      <c r="Q1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 spans="2:33">
      <c r="B108" t="str">
        <f>IFERROR(Table5[[#This Row],[Full name]],"")</f>
        <v>Arthur Schneider</v>
      </c>
      <c r="C108" s="108">
        <f>IFERROR(AVERAGE(Table1624[[#This Row],[September 30, 2025]:[Column18]]),"N/A")</f>
        <v>0.94499999999999995</v>
      </c>
      <c r="D108" s="26" t="str">
        <f>IFERROR(_xlfn.PERCENTRANK.INC(Table4[True Rank],_xlfn.XLOOKUP(Table1624[[#This Row],[Name]],Table4[Name],Table4[True Rank],"DNP",0,1)),"DNP")</f>
        <v>DNP</v>
      </c>
      <c r="E108" s="26" t="str">
        <f>IFERROR(_xlfn.PERCENTRANK.INC(Table9[True Rank],_xlfn.XLOOKUP(Table1624[[#This Row],[Name]],Table9[Name],Table9[True Rank],"DNP",0,1)),"DNP")</f>
        <v>DNP</v>
      </c>
      <c r="F108" s="26" t="str">
        <f>IFERROR(_xlfn.PERCENTRANK.INC(Table18[True Rank],_xlfn.XLOOKUP(Table1624[[#This Row],[Name]],Table18[Name],Table18[True Rank],"DNP",0,1)),"DNP")</f>
        <v>DNP</v>
      </c>
      <c r="G108" s="26" t="str">
        <f>IFERROR(_xlfn.PERCENTRANK.INC(Table2[True Rank],_xlfn.XLOOKUP(Table1624[[#This Row],[Name]],Table2[Name],Table2[True Rank],"DNP",0,1)),"DNP")</f>
        <v>DNP</v>
      </c>
      <c r="H108" s="26" t="str">
        <f>IFERROR(_xlfn.PERCENTRANK.INC(Table211[True Rank],_xlfn.XLOOKUP(Table1624[[#This Row],[Name]],Table211[Name],Table211[True Rank],"DNP",0,1)),"DNP")</f>
        <v>DNP</v>
      </c>
      <c r="I108" s="26" t="str">
        <f>IFERROR(_xlfn.PERCENTRANK.INC(Table21112[True Rank],_xlfn.XLOOKUP(Table1624[[#This Row],[Name]],Table21112[Name],Table21112[True Rank],"DNP",0,1)),"DNP")</f>
        <v>DNP</v>
      </c>
      <c r="J108" s="26" t="str">
        <f>IFERROR(_xlfn.PERCENTRANK.INC(Table21112164[True Rank],_xlfn.XLOOKUP(Table1624[[#This Row],[Name]],Table21112164[Name],Table21112164[True Rank],"DNP",0,1)),"DNP")</f>
        <v>DNP</v>
      </c>
      <c r="K108" s="26" t="str">
        <f>IFERROR(_xlfn.PERCENTRANK.INC(Table2111216420[True Rank],_xlfn.XLOOKUP(Table1624[[#This Row],[Name]],Table2111216420[Name],Table2111216420[True Rank],"DNP",0,1)),"DNP")</f>
        <v>DNP</v>
      </c>
      <c r="L108" s="26" t="str">
        <f>IFERROR(_xlfn.PERCENTRANK.INC(Table211121642021[True Rank],_xlfn.XLOOKUP(Table1624[[#This Row],[Name]],Table211121642021[Name],Table211121642021[True Rank],"DNP",0,1)),"DNP")</f>
        <v>DNP</v>
      </c>
      <c r="M108" s="26" t="str">
        <f>IFERROR(_xlfn.PERCENTRANK.INC(Table21112164202122[True Rank],_xlfn.XLOOKUP(Table1624[[#This Row],[Name]],Table21112164202122[Name],Table21112164202122[True Rank],"DNP",0,1)),"DNP")</f>
        <v>DNP</v>
      </c>
      <c r="N108" s="26" t="str">
        <f>IFERROR(_xlfn.PERCENTRANK.INC(Table2111216420212223[True Rank],_xlfn.XLOOKUP(Table1624[[#This Row],[Name]],Table2111216420212223[Name],Table2111216420212223[True Rank],"DNP",0,1)),"DNP")</f>
        <v>DNP</v>
      </c>
      <c r="O108" s="26">
        <f>IFERROR(_xlfn.PERCENTRANK.INC(Table211121642021222325[True Rank],_xlfn.XLOOKUP(Table1624[[#This Row],[Name]],Table211121642021222325[Name],Table211121642021222325[True Rank],"DNP",0,1)),"DNP")</f>
        <v>0.94499999999999995</v>
      </c>
      <c r="P108" s="26" t="str">
        <f>IFERROR(_xlfn.PERCENTRANK.INC(Table21112164202122232534[True Rank],_xlfn.XLOOKUP(Table1624[[#This Row],[Name]],Table21112164202122232534[Name],Table21112164202122232534[True Rank],"DNP",0,1)),"DNP")</f>
        <v>DNP</v>
      </c>
      <c r="Q10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 spans="2:33">
      <c r="B109" t="str">
        <f>IFERROR(Table5[[#This Row],[Full name]],"")</f>
        <v>Ashley Shanthikumar</v>
      </c>
      <c r="C109" s="108">
        <f>IFERROR(AVERAGE(Table1624[[#This Row],[September 30, 2025]:[Column18]]),"N/A")</f>
        <v>0.62824999999999998</v>
      </c>
      <c r="D109" s="26" t="str">
        <f>IFERROR(_xlfn.PERCENTRANK.INC(Table4[True Rank],_xlfn.XLOOKUP(Table1624[[#This Row],[Name]],Table4[Name],Table4[True Rank],"DNP",0,1)),"DNP")</f>
        <v>DNP</v>
      </c>
      <c r="E109" s="26" t="str">
        <f>IFERROR(_xlfn.PERCENTRANK.INC(Table9[True Rank],_xlfn.XLOOKUP(Table1624[[#This Row],[Name]],Table9[Name],Table9[True Rank],"DNP",0,1)),"DNP")</f>
        <v>DNP</v>
      </c>
      <c r="F109" s="26">
        <f>IFERROR(_xlfn.PERCENTRANK.INC(Table18[True Rank],_xlfn.XLOOKUP(Table1624[[#This Row],[Name]],Table18[Name],Table18[True Rank],"DNP",0,1)),"DNP")</f>
        <v>0.76700000000000002</v>
      </c>
      <c r="G109" s="26" t="str">
        <f>IFERROR(_xlfn.PERCENTRANK.INC(Table2[True Rank],_xlfn.XLOOKUP(Table1624[[#This Row],[Name]],Table2[Name],Table2[True Rank],"DNP",0,1)),"DNP")</f>
        <v>DNP</v>
      </c>
      <c r="H109" s="26" t="str">
        <f>IFERROR(_xlfn.PERCENTRANK.INC(Table211[True Rank],_xlfn.XLOOKUP(Table1624[[#This Row],[Name]],Table211[Name],Table211[True Rank],"DNP",0,1)),"DNP")</f>
        <v>DNP</v>
      </c>
      <c r="I109" s="26" t="str">
        <f>IFERROR(_xlfn.PERCENTRANK.INC(Table21112[True Rank],_xlfn.XLOOKUP(Table1624[[#This Row],[Name]],Table21112[Name],Table21112[True Rank],"DNP",0,1)),"DNP")</f>
        <v>DNP</v>
      </c>
      <c r="J109" s="26">
        <f>IFERROR(_xlfn.PERCENTRANK.INC(Table21112164[True Rank],_xlfn.XLOOKUP(Table1624[[#This Row],[Name]],Table21112164[Name],Table21112164[True Rank],"DNP",0,1)),"DNP")</f>
        <v>0.52800000000000002</v>
      </c>
      <c r="K109" s="26">
        <f>IFERROR(_xlfn.PERCENTRANK.INC(Table2111216420[True Rank],_xlfn.XLOOKUP(Table1624[[#This Row],[Name]],Table2111216420[Name],Table2111216420[True Rank],"DNP",0,1)),"DNP")</f>
        <v>0.45700000000000002</v>
      </c>
      <c r="L109" s="26" t="str">
        <f>IFERROR(_xlfn.PERCENTRANK.INC(Table211121642021[True Rank],_xlfn.XLOOKUP(Table1624[[#This Row],[Name]],Table211121642021[Name],Table211121642021[True Rank],"DNP",0,1)),"DNP")</f>
        <v>DNP</v>
      </c>
      <c r="M109" s="26">
        <f>IFERROR(_xlfn.PERCENTRANK.INC(Table21112164202122[True Rank],_xlfn.XLOOKUP(Table1624[[#This Row],[Name]],Table21112164202122[Name],Table21112164202122[True Rank],"DNP",0,1)),"DNP")</f>
        <v>0.76100000000000001</v>
      </c>
      <c r="N109" s="26" t="str">
        <f>IFERROR(_xlfn.PERCENTRANK.INC(Table2111216420212223[True Rank],_xlfn.XLOOKUP(Table1624[[#This Row],[Name]],Table2111216420212223[Name],Table2111216420212223[True Rank],"DNP",0,1)),"DNP")</f>
        <v>DNP</v>
      </c>
      <c r="O109" s="26" t="str">
        <f>IFERROR(_xlfn.PERCENTRANK.INC(Table211121642021222325[True Rank],_xlfn.XLOOKUP(Table1624[[#This Row],[Name]],Table211121642021222325[Name],Table211121642021222325[True Rank],"DNP",0,1)),"DNP")</f>
        <v>DNP</v>
      </c>
      <c r="P109" s="26" t="str">
        <f>IFERROR(_xlfn.PERCENTRANK.INC(Table21112164202122232534[True Rank],_xlfn.XLOOKUP(Table1624[[#This Row],[Name]],Table21112164202122232534[Name],Table21112164202122232534[True Rank],"DNP",0,1)),"DNP")</f>
        <v>DNP</v>
      </c>
      <c r="Q1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  <row r="110" spans="2:33">
      <c r="B110" t="str">
        <f>IFERROR(Table5[[#This Row],[Full name]],"")</f>
        <v>Athan Kang</v>
      </c>
      <c r="C110" s="108">
        <f>IFERROR(AVERAGE(Table1624[[#This Row],[September 30, 2025]:[Column18]]),"N/A")</f>
        <v>0.63600000000000001</v>
      </c>
      <c r="D110" s="26" t="str">
        <f>IFERROR(_xlfn.PERCENTRANK.INC(Table4[True Rank],_xlfn.XLOOKUP(Table1624[[#This Row],[Name]],Table4[Name],Table4[True Rank],"DNP",0,1)),"DNP")</f>
        <v>DNP</v>
      </c>
      <c r="E110" s="26" t="str">
        <f>IFERROR(_xlfn.PERCENTRANK.INC(Table9[True Rank],_xlfn.XLOOKUP(Table1624[[#This Row],[Name]],Table9[Name],Table9[True Rank],"DNP",0,1)),"DNP")</f>
        <v>DNP</v>
      </c>
      <c r="F110" s="26">
        <f>IFERROR(_xlfn.PERCENTRANK.INC(Table18[True Rank],_xlfn.XLOOKUP(Table1624[[#This Row],[Name]],Table18[Name],Table18[True Rank],"DNP",0,1)),"DNP")</f>
        <v>0.63600000000000001</v>
      </c>
      <c r="G110" s="26" t="str">
        <f>IFERROR(_xlfn.PERCENTRANK.INC(Table2[True Rank],_xlfn.XLOOKUP(Table1624[[#This Row],[Name]],Table2[Name],Table2[True Rank],"DNP",0,1)),"DNP")</f>
        <v>DNP</v>
      </c>
      <c r="H110" s="26" t="str">
        <f>IFERROR(_xlfn.PERCENTRANK.INC(Table211[True Rank],_xlfn.XLOOKUP(Table1624[[#This Row],[Name]],Table211[Name],Table211[True Rank],"DNP",0,1)),"DNP")</f>
        <v>DNP</v>
      </c>
      <c r="I110" s="26" t="str">
        <f>IFERROR(_xlfn.PERCENTRANK.INC(Table21112[True Rank],_xlfn.XLOOKUP(Table1624[[#This Row],[Name]],Table21112[Name],Table21112[True Rank],"DNP",0,1)),"DNP")</f>
        <v>DNP</v>
      </c>
      <c r="J110" s="26" t="str">
        <f>IFERROR(_xlfn.PERCENTRANK.INC(Table21112164[True Rank],_xlfn.XLOOKUP(Table1624[[#This Row],[Name]],Table21112164[Name],Table21112164[True Rank],"DNP",0,1)),"DNP")</f>
        <v>DNP</v>
      </c>
      <c r="K110" s="26" t="str">
        <f>IFERROR(_xlfn.PERCENTRANK.INC(Table2111216420[True Rank],_xlfn.XLOOKUP(Table1624[[#This Row],[Name]],Table2111216420[Name],Table2111216420[True Rank],"DNP",0,1)),"DNP")</f>
        <v>DNP</v>
      </c>
      <c r="L110" s="26" t="str">
        <f>IFERROR(_xlfn.PERCENTRANK.INC(Table211121642021[True Rank],_xlfn.XLOOKUP(Table1624[[#This Row],[Name]],Table211121642021[Name],Table211121642021[True Rank],"DNP",0,1)),"DNP")</f>
        <v>DNP</v>
      </c>
      <c r="M110" s="26" t="str">
        <f>IFERROR(_xlfn.PERCENTRANK.INC(Table21112164202122[True Rank],_xlfn.XLOOKUP(Table1624[[#This Row],[Name]],Table21112164202122[Name],Table21112164202122[True Rank],"DNP",0,1)),"DNP")</f>
        <v>DNP</v>
      </c>
      <c r="N110" s="26" t="str">
        <f>IFERROR(_xlfn.PERCENTRANK.INC(Table2111216420212223[True Rank],_xlfn.XLOOKUP(Table1624[[#This Row],[Name]],Table2111216420212223[Name],Table2111216420212223[True Rank],"DNP",0,1)),"DNP")</f>
        <v>DNP</v>
      </c>
      <c r="O110" s="26" t="str">
        <f>IFERROR(_xlfn.PERCENTRANK.INC(Table211121642021222325[True Rank],_xlfn.XLOOKUP(Table1624[[#This Row],[Name]],Table211121642021222325[Name],Table211121642021222325[True Rank],"DNP",0,1)),"DNP")</f>
        <v>DNP</v>
      </c>
      <c r="P110" s="26" t="str">
        <f>IFERROR(_xlfn.PERCENTRANK.INC(Table21112164202122232534[True Rank],_xlfn.XLOOKUP(Table1624[[#This Row],[Name]],Table21112164202122232534[Name],Table21112164202122232534[True Rank],"DNP",0,1)),"DNP")</f>
        <v>DNP</v>
      </c>
      <c r="Q1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 spans="2:33">
      <c r="B111" t="str">
        <f>IFERROR(Table5[[#This Row],[Full name]],"")</f>
        <v>Ayham Noor</v>
      </c>
      <c r="C111" s="108">
        <f>IFERROR(AVERAGE(Table1624[[#This Row],[September 30, 2025]:[Column18]]),"N/A")</f>
        <v>0.60550000000000004</v>
      </c>
      <c r="D111" s="26" t="str">
        <f>IFERROR(_xlfn.PERCENTRANK.INC(Table4[True Rank],_xlfn.XLOOKUP(Table1624[[#This Row],[Name]],Table4[Name],Table4[True Rank],"DNP",0,1)),"DNP")</f>
        <v>DNP</v>
      </c>
      <c r="E111" s="26">
        <f>IFERROR(_xlfn.PERCENTRANK.INC(Table9[True Rank],_xlfn.XLOOKUP(Table1624[[#This Row],[Name]],Table9[Name],Table9[True Rank],"DNP",0,1)),"DNP")</f>
        <v>0.90800000000000003</v>
      </c>
      <c r="F111" s="26">
        <f>IFERROR(_xlfn.PERCENTRANK.INC(Table18[True Rank],_xlfn.XLOOKUP(Table1624[[#This Row],[Name]],Table18[Name],Table18[True Rank],"DNP",0,1)),"DNP")</f>
        <v>0.30299999999999999</v>
      </c>
      <c r="G111" s="26" t="str">
        <f>IFERROR(_xlfn.PERCENTRANK.INC(Table2[True Rank],_xlfn.XLOOKUP(Table1624[[#This Row],[Name]],Table2[Name],Table2[True Rank],"DNP",0,1)),"DNP")</f>
        <v>DNP</v>
      </c>
      <c r="H111" s="26" t="str">
        <f>IFERROR(_xlfn.PERCENTRANK.INC(Table211[True Rank],_xlfn.XLOOKUP(Table1624[[#This Row],[Name]],Table211[Name],Table211[True Rank],"DNP",0,1)),"DNP")</f>
        <v>DNP</v>
      </c>
      <c r="I111" s="26" t="str">
        <f>IFERROR(_xlfn.PERCENTRANK.INC(Table21112[True Rank],_xlfn.XLOOKUP(Table1624[[#This Row],[Name]],Table21112[Name],Table21112[True Rank],"DNP",0,1)),"DNP")</f>
        <v>DNP</v>
      </c>
      <c r="J111" s="26" t="str">
        <f>IFERROR(_xlfn.PERCENTRANK.INC(Table21112164[True Rank],_xlfn.XLOOKUP(Table1624[[#This Row],[Name]],Table21112164[Name],Table21112164[True Rank],"DNP",0,1)),"DNP")</f>
        <v>DNP</v>
      </c>
      <c r="K111" s="26" t="str">
        <f>IFERROR(_xlfn.PERCENTRANK.INC(Table2111216420[True Rank],_xlfn.XLOOKUP(Table1624[[#This Row],[Name]],Table2111216420[Name],Table2111216420[True Rank],"DNP",0,1)),"DNP")</f>
        <v>DNP</v>
      </c>
      <c r="L111" s="26" t="str">
        <f>IFERROR(_xlfn.PERCENTRANK.INC(Table211121642021[True Rank],_xlfn.XLOOKUP(Table1624[[#This Row],[Name]],Table211121642021[Name],Table211121642021[True Rank],"DNP",0,1)),"DNP")</f>
        <v>DNP</v>
      </c>
      <c r="M111" s="26" t="str">
        <f>IFERROR(_xlfn.PERCENTRANK.INC(Table21112164202122[True Rank],_xlfn.XLOOKUP(Table1624[[#This Row],[Name]],Table21112164202122[Name],Table21112164202122[True Rank],"DNP",0,1)),"DNP")</f>
        <v>DNP</v>
      </c>
      <c r="N111" s="26" t="str">
        <f>IFERROR(_xlfn.PERCENTRANK.INC(Table2111216420212223[True Rank],_xlfn.XLOOKUP(Table1624[[#This Row],[Name]],Table2111216420212223[Name],Table2111216420212223[True Rank],"DNP",0,1)),"DNP")</f>
        <v>DNP</v>
      </c>
      <c r="O111" s="26" t="str">
        <f>IFERROR(_xlfn.PERCENTRANK.INC(Table211121642021222325[True Rank],_xlfn.XLOOKUP(Table1624[[#This Row],[Name]],Table211121642021222325[Name],Table211121642021222325[True Rank],"DNP",0,1)),"DNP")</f>
        <v>DNP</v>
      </c>
      <c r="P111" s="26" t="str">
        <f>IFERROR(_xlfn.PERCENTRANK.INC(Table21112164202122232534[True Rank],_xlfn.XLOOKUP(Table1624[[#This Row],[Name]],Table21112164202122232534[Name],Table21112164202122232534[True Rank],"DNP",0,1)),"DNP")</f>
        <v>DNP</v>
      </c>
      <c r="Q1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</row>
    <row r="112" spans="2:33">
      <c r="B112" t="str">
        <f>IFERROR(Table5[[#This Row],[Full name]],"")</f>
        <v>Balthazar Plat</v>
      </c>
      <c r="C112" s="108">
        <f>IFERROR(AVERAGE(Table1624[[#This Row],[September 30, 2025]:[Column18]]),"N/A")</f>
        <v>0.81299999999999994</v>
      </c>
      <c r="D112" s="26" t="str">
        <f>IFERROR(_xlfn.PERCENTRANK.INC(Table4[True Rank],_xlfn.XLOOKUP(Table1624[[#This Row],[Name]],Table4[Name],Table4[True Rank],"DNP",0,1)),"DNP")</f>
        <v>DNP</v>
      </c>
      <c r="E112" s="26" t="str">
        <f>IFERROR(_xlfn.PERCENTRANK.INC(Table9[True Rank],_xlfn.XLOOKUP(Table1624[[#This Row],[Name]],Table9[Name],Table9[True Rank],"DNP",0,1)),"DNP")</f>
        <v>DNP</v>
      </c>
      <c r="F112" s="26" t="str">
        <f>IFERROR(_xlfn.PERCENTRANK.INC(Table18[True Rank],_xlfn.XLOOKUP(Table1624[[#This Row],[Name]],Table18[Name],Table18[True Rank],"DNP",0,1)),"DNP")</f>
        <v>DNP</v>
      </c>
      <c r="G112" s="26" t="str">
        <f>IFERROR(_xlfn.PERCENTRANK.INC(Table2[True Rank],_xlfn.XLOOKUP(Table1624[[#This Row],[Name]],Table2[Name],Table2[True Rank],"DNP",0,1)),"DNP")</f>
        <v>DNP</v>
      </c>
      <c r="H112" s="26" t="str">
        <f>IFERROR(_xlfn.PERCENTRANK.INC(Table211[True Rank],_xlfn.XLOOKUP(Table1624[[#This Row],[Name]],Table211[Name],Table211[True Rank],"DNP",0,1)),"DNP")</f>
        <v>DNP</v>
      </c>
      <c r="I112" s="26" t="str">
        <f>IFERROR(_xlfn.PERCENTRANK.INC(Table21112[True Rank],_xlfn.XLOOKUP(Table1624[[#This Row],[Name]],Table21112[Name],Table21112[True Rank],"DNP",0,1)),"DNP")</f>
        <v>DNP</v>
      </c>
      <c r="J112" s="26" t="str">
        <f>IFERROR(_xlfn.PERCENTRANK.INC(Table21112164[True Rank],_xlfn.XLOOKUP(Table1624[[#This Row],[Name]],Table21112164[Name],Table21112164[True Rank],"DNP",0,1)),"DNP")</f>
        <v>DNP</v>
      </c>
      <c r="K112" s="26" t="str">
        <f>IFERROR(_xlfn.PERCENTRANK.INC(Table2111216420[True Rank],_xlfn.XLOOKUP(Table1624[[#This Row],[Name]],Table2111216420[Name],Table2111216420[True Rank],"DNP",0,1)),"DNP")</f>
        <v>DNP</v>
      </c>
      <c r="L112" s="26" t="str">
        <f>IFERROR(_xlfn.PERCENTRANK.INC(Table211121642021[True Rank],_xlfn.XLOOKUP(Table1624[[#This Row],[Name]],Table211121642021[Name],Table211121642021[True Rank],"DNP",0,1)),"DNP")</f>
        <v>DNP</v>
      </c>
      <c r="M112" s="26" t="str">
        <f>IFERROR(_xlfn.PERCENTRANK.INC(Table21112164202122[True Rank],_xlfn.XLOOKUP(Table1624[[#This Row],[Name]],Table21112164202122[Name],Table21112164202122[True Rank],"DNP",0,1)),"DNP")</f>
        <v>DNP</v>
      </c>
      <c r="N112" s="26">
        <f>IFERROR(_xlfn.PERCENTRANK.INC(Table2111216420212223[True Rank],_xlfn.XLOOKUP(Table1624[[#This Row],[Name]],Table2111216420212223[Name],Table2111216420212223[True Rank],"DNP",0,1)),"DNP")</f>
        <v>0.81299999999999994</v>
      </c>
      <c r="O112" s="26" t="str">
        <f>IFERROR(_xlfn.PERCENTRANK.INC(Table211121642021222325[True Rank],_xlfn.XLOOKUP(Table1624[[#This Row],[Name]],Table211121642021222325[Name],Table211121642021222325[True Rank],"DNP",0,1)),"DNP")</f>
        <v>DNP</v>
      </c>
      <c r="P112" s="26" t="str">
        <f>IFERROR(_xlfn.PERCENTRANK.INC(Table21112164202122232534[True Rank],_xlfn.XLOOKUP(Table1624[[#This Row],[Name]],Table21112164202122232534[Name],Table21112164202122232534[True Rank],"DNP",0,1)),"DNP")</f>
        <v>DNP</v>
      </c>
      <c r="Q1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 spans="2:33">
      <c r="B113" t="str">
        <f>IFERROR(Table5[[#This Row],[Full name]],"")</f>
        <v>Barron Diao</v>
      </c>
      <c r="C113" s="108">
        <f>IFERROR(AVERAGE(Table1624[[#This Row],[September 30, 2025]:[Column18]]),"N/A")</f>
        <v>0.97899999999999998</v>
      </c>
      <c r="D113" s="26" t="str">
        <f>IFERROR(_xlfn.PERCENTRANK.INC(Table4[True Rank],_xlfn.XLOOKUP(Table1624[[#This Row],[Name]],Table4[Name],Table4[True Rank],"DNP",0,1)),"DNP")</f>
        <v>DNP</v>
      </c>
      <c r="E113" s="26" t="str">
        <f>IFERROR(_xlfn.PERCENTRANK.INC(Table9[True Rank],_xlfn.XLOOKUP(Table1624[[#This Row],[Name]],Table9[Name],Table9[True Rank],"DNP",0,1)),"DNP")</f>
        <v>DNP</v>
      </c>
      <c r="F113" s="26">
        <f>IFERROR(_xlfn.PERCENTRANK.INC(Table18[True Rank],_xlfn.XLOOKUP(Table1624[[#This Row],[Name]],Table18[Name],Table18[True Rank],"DNP",0,1)),"DNP")</f>
        <v>0.97899999999999998</v>
      </c>
      <c r="G113" s="26" t="str">
        <f>IFERROR(_xlfn.PERCENTRANK.INC(Table2[True Rank],_xlfn.XLOOKUP(Table1624[[#This Row],[Name]],Table2[Name],Table2[True Rank],"DNP",0,1)),"DNP")</f>
        <v>DNP</v>
      </c>
      <c r="H113" s="26" t="str">
        <f>IFERROR(_xlfn.PERCENTRANK.INC(Table211[True Rank],_xlfn.XLOOKUP(Table1624[[#This Row],[Name]],Table211[Name],Table211[True Rank],"DNP",0,1)),"DNP")</f>
        <v>DNP</v>
      </c>
      <c r="I113" s="26" t="str">
        <f>IFERROR(_xlfn.PERCENTRANK.INC(Table21112[True Rank],_xlfn.XLOOKUP(Table1624[[#This Row],[Name]],Table21112[Name],Table21112[True Rank],"DNP",0,1)),"DNP")</f>
        <v>DNP</v>
      </c>
      <c r="J113" s="26" t="str">
        <f>IFERROR(_xlfn.PERCENTRANK.INC(Table21112164[True Rank],_xlfn.XLOOKUP(Table1624[[#This Row],[Name]],Table21112164[Name],Table21112164[True Rank],"DNP",0,1)),"DNP")</f>
        <v>DNP</v>
      </c>
      <c r="K113" s="26" t="str">
        <f>IFERROR(_xlfn.PERCENTRANK.INC(Table2111216420[True Rank],_xlfn.XLOOKUP(Table1624[[#This Row],[Name]],Table2111216420[Name],Table2111216420[True Rank],"DNP",0,1)),"DNP")</f>
        <v>DNP</v>
      </c>
      <c r="L113" s="26" t="str">
        <f>IFERROR(_xlfn.PERCENTRANK.INC(Table211121642021[True Rank],_xlfn.XLOOKUP(Table1624[[#This Row],[Name]],Table211121642021[Name],Table211121642021[True Rank],"DNP",0,1)),"DNP")</f>
        <v>DNP</v>
      </c>
      <c r="M113" s="26" t="str">
        <f>IFERROR(_xlfn.PERCENTRANK.INC(Table21112164202122[True Rank],_xlfn.XLOOKUP(Table1624[[#This Row],[Name]],Table21112164202122[Name],Table21112164202122[True Rank],"DNP",0,1)),"DNP")</f>
        <v>DNP</v>
      </c>
      <c r="N113" s="26" t="str">
        <f>IFERROR(_xlfn.PERCENTRANK.INC(Table2111216420212223[True Rank],_xlfn.XLOOKUP(Table1624[[#This Row],[Name]],Table2111216420212223[Name],Table2111216420212223[True Rank],"DNP",0,1)),"DNP")</f>
        <v>DNP</v>
      </c>
      <c r="O113" s="26" t="str">
        <f>IFERROR(_xlfn.PERCENTRANK.INC(Table211121642021222325[True Rank],_xlfn.XLOOKUP(Table1624[[#This Row],[Name]],Table211121642021222325[Name],Table211121642021222325[True Rank],"DNP",0,1)),"DNP")</f>
        <v>DNP</v>
      </c>
      <c r="P113" s="26" t="str">
        <f>IFERROR(_xlfn.PERCENTRANK.INC(Table21112164202122232534[True Rank],_xlfn.XLOOKUP(Table1624[[#This Row],[Name]],Table21112164202122232534[Name],Table21112164202122232534[True Rank],"DNP",0,1)),"DNP")</f>
        <v>DNP</v>
      </c>
      <c r="Q1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</row>
    <row r="114" spans="2:33">
      <c r="B114" t="str">
        <f>IFERROR(Table5[[#This Row],[Full name]],"")</f>
        <v>Ben Goldstein</v>
      </c>
      <c r="C114" s="108">
        <f>IFERROR(AVERAGE(Table1624[[#This Row],[September 30, 2025]:[Column18]]),"N/A")</f>
        <v>0.59050000000000002</v>
      </c>
      <c r="D114" s="26">
        <f>IFERROR(_xlfn.PERCENTRANK.INC(Table4[True Rank],_xlfn.XLOOKUP(Table1624[[#This Row],[Name]],Table4[Name],Table4[True Rank],"DNP",0,1)),"DNP")</f>
        <v>0.78800000000000003</v>
      </c>
      <c r="E114" s="26" t="str">
        <f>IFERROR(_xlfn.PERCENTRANK.INC(Table9[True Rank],_xlfn.XLOOKUP(Table1624[[#This Row],[Name]],Table9[Name],Table9[True Rank],"DNP",0,1)),"DNP")</f>
        <v>DNP</v>
      </c>
      <c r="F114" s="26">
        <f>IFERROR(_xlfn.PERCENTRANK.INC(Table18[True Rank],_xlfn.XLOOKUP(Table1624[[#This Row],[Name]],Table18[Name],Table18[True Rank],"DNP",0,1)),"DNP")</f>
        <v>0.39300000000000002</v>
      </c>
      <c r="G114" s="26" t="str">
        <f>IFERROR(_xlfn.PERCENTRANK.INC(Table2[True Rank],_xlfn.XLOOKUP(Table1624[[#This Row],[Name]],Table2[Name],Table2[True Rank],"DNP",0,1)),"DNP")</f>
        <v>DNP</v>
      </c>
      <c r="H114" s="26" t="str">
        <f>IFERROR(_xlfn.PERCENTRANK.INC(Table211[True Rank],_xlfn.XLOOKUP(Table1624[[#This Row],[Name]],Table211[Name],Table211[True Rank],"DNP",0,1)),"DNP")</f>
        <v>DNP</v>
      </c>
      <c r="I114" s="26" t="str">
        <f>IFERROR(_xlfn.PERCENTRANK.INC(Table21112[True Rank],_xlfn.XLOOKUP(Table1624[[#This Row],[Name]],Table21112[Name],Table21112[True Rank],"DNP",0,1)),"DNP")</f>
        <v>DNP</v>
      </c>
      <c r="J114" s="26" t="str">
        <f>IFERROR(_xlfn.PERCENTRANK.INC(Table21112164[True Rank],_xlfn.XLOOKUP(Table1624[[#This Row],[Name]],Table21112164[Name],Table21112164[True Rank],"DNP",0,1)),"DNP")</f>
        <v>DNP</v>
      </c>
      <c r="K114" s="26" t="str">
        <f>IFERROR(_xlfn.PERCENTRANK.INC(Table2111216420[True Rank],_xlfn.XLOOKUP(Table1624[[#This Row],[Name]],Table2111216420[Name],Table2111216420[True Rank],"DNP",0,1)),"DNP")</f>
        <v>DNP</v>
      </c>
      <c r="L114" s="26" t="str">
        <f>IFERROR(_xlfn.PERCENTRANK.INC(Table211121642021[True Rank],_xlfn.XLOOKUP(Table1624[[#This Row],[Name]],Table211121642021[Name],Table211121642021[True Rank],"DNP",0,1)),"DNP")</f>
        <v>DNP</v>
      </c>
      <c r="M114" s="26" t="str">
        <f>IFERROR(_xlfn.PERCENTRANK.INC(Table21112164202122[True Rank],_xlfn.XLOOKUP(Table1624[[#This Row],[Name]],Table21112164202122[Name],Table21112164202122[True Rank],"DNP",0,1)),"DNP")</f>
        <v>DNP</v>
      </c>
      <c r="N114" s="26" t="str">
        <f>IFERROR(_xlfn.PERCENTRANK.INC(Table2111216420212223[True Rank],_xlfn.XLOOKUP(Table1624[[#This Row],[Name]],Table2111216420212223[Name],Table2111216420212223[True Rank],"DNP",0,1)),"DNP")</f>
        <v>DNP</v>
      </c>
      <c r="O114" s="26" t="str">
        <f>IFERROR(_xlfn.PERCENTRANK.INC(Table211121642021222325[True Rank],_xlfn.XLOOKUP(Table1624[[#This Row],[Name]],Table211121642021222325[Name],Table211121642021222325[True Rank],"DNP",0,1)),"DNP")</f>
        <v>DNP</v>
      </c>
      <c r="P114" s="26" t="str">
        <f>IFERROR(_xlfn.PERCENTRANK.INC(Table21112164202122232534[True Rank],_xlfn.XLOOKUP(Table1624[[#This Row],[Name]],Table21112164202122232534[Name],Table21112164202122232534[True Rank],"DNP",0,1)),"DNP")</f>
        <v>DNP</v>
      </c>
      <c r="Q1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 spans="2:33">
      <c r="B115" t="str">
        <f>IFERROR(Table5[[#This Row],[Full name]],"")</f>
        <v>Ben Murphy</v>
      </c>
      <c r="C115" s="108" t="str">
        <f>IFERROR(AVERAGE(Table1624[[#This Row],[September 30, 2025]:[Column18]]),"N/A")</f>
        <v>N/A</v>
      </c>
      <c r="D115" s="26" t="str">
        <f>IFERROR(_xlfn.PERCENTRANK.INC(Table4[True Rank],_xlfn.XLOOKUP(Table1624[[#This Row],[Name]],Table4[Name],Table4[True Rank],"DNP",0,1)),"DNP")</f>
        <v>DNP</v>
      </c>
      <c r="E115" s="26" t="str">
        <f>IFERROR(_xlfn.PERCENTRANK.INC(Table9[True Rank],_xlfn.XLOOKUP(Table1624[[#This Row],[Name]],Table9[Name],Table9[True Rank],"DNP",0,1)),"DNP")</f>
        <v>DNP</v>
      </c>
      <c r="F115" s="26" t="str">
        <f>IFERROR(_xlfn.PERCENTRANK.INC(Table18[True Rank],_xlfn.XLOOKUP(Table1624[[#This Row],[Name]],Table18[Name],Table18[True Rank],"DNP",0,1)),"DNP")</f>
        <v>DNP</v>
      </c>
      <c r="G115" s="26" t="str">
        <f>IFERROR(_xlfn.PERCENTRANK.INC(Table2[True Rank],_xlfn.XLOOKUP(Table1624[[#This Row],[Name]],Table2[Name],Table2[True Rank],"DNP",0,1)),"DNP")</f>
        <v>DNP</v>
      </c>
      <c r="H115" s="26" t="str">
        <f>IFERROR(_xlfn.PERCENTRANK.INC(Table211[True Rank],_xlfn.XLOOKUP(Table1624[[#This Row],[Name]],Table211[Name],Table211[True Rank],"DNP",0,1)),"DNP")</f>
        <v>DNP</v>
      </c>
      <c r="I115" s="26" t="str">
        <f>IFERROR(_xlfn.PERCENTRANK.INC(Table21112[True Rank],_xlfn.XLOOKUP(Table1624[[#This Row],[Name]],Table21112[Name],Table21112[True Rank],"DNP",0,1)),"DNP")</f>
        <v>DNP</v>
      </c>
      <c r="J115" s="26" t="str">
        <f>IFERROR(_xlfn.PERCENTRANK.INC(Table21112164[True Rank],_xlfn.XLOOKUP(Table1624[[#This Row],[Name]],Table21112164[Name],Table21112164[True Rank],"DNP",0,1)),"DNP")</f>
        <v>DNP</v>
      </c>
      <c r="K115" s="26" t="str">
        <f>IFERROR(_xlfn.PERCENTRANK.INC(Table2111216420[True Rank],_xlfn.XLOOKUP(Table1624[[#This Row],[Name]],Table2111216420[Name],Table2111216420[True Rank],"DNP",0,1)),"DNP")</f>
        <v>DNP</v>
      </c>
      <c r="L115" s="26" t="str">
        <f>IFERROR(_xlfn.PERCENTRANK.INC(Table211121642021[True Rank],_xlfn.XLOOKUP(Table1624[[#This Row],[Name]],Table211121642021[Name],Table211121642021[True Rank],"DNP",0,1)),"DNP")</f>
        <v>DNP</v>
      </c>
      <c r="M115" s="26" t="str">
        <f>IFERROR(_xlfn.PERCENTRANK.INC(Table21112164202122[True Rank],_xlfn.XLOOKUP(Table1624[[#This Row],[Name]],Table21112164202122[Name],Table21112164202122[True Rank],"DNP",0,1)),"DNP")</f>
        <v>DNP</v>
      </c>
      <c r="N115" s="26" t="str">
        <f>IFERROR(_xlfn.PERCENTRANK.INC(Table2111216420212223[True Rank],_xlfn.XLOOKUP(Table1624[[#This Row],[Name]],Table2111216420212223[Name],Table2111216420212223[True Rank],"DNP",0,1)),"DNP")</f>
        <v>DNP</v>
      </c>
      <c r="O115" s="26" t="str">
        <f>IFERROR(_xlfn.PERCENTRANK.INC(Table211121642021222325[True Rank],_xlfn.XLOOKUP(Table1624[[#This Row],[Name]],Table211121642021222325[Name],Table211121642021222325[True Rank],"DNP",0,1)),"DNP")</f>
        <v>DNP</v>
      </c>
      <c r="P115" s="26" t="str">
        <f>IFERROR(_xlfn.PERCENTRANK.INC(Table21112164202122232534[True Rank],_xlfn.XLOOKUP(Table1624[[#This Row],[Name]],Table21112164202122232534[Name],Table21112164202122232534[True Rank],"DNP",0,1)),"DNP")</f>
        <v>DNP</v>
      </c>
      <c r="Q1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</row>
    <row r="116" spans="2:33">
      <c r="B116" t="str">
        <f>IFERROR(Table5[[#This Row],[Full name]],"")</f>
        <v>Benjamin Gorospe</v>
      </c>
      <c r="C116" s="108">
        <f>IFERROR(AVERAGE(Table1624[[#This Row],[September 30, 2025]:[Column18]]),"N/A")</f>
        <v>0.90800000000000003</v>
      </c>
      <c r="D116" s="26" t="str">
        <f>IFERROR(_xlfn.PERCENTRANK.INC(Table4[True Rank],_xlfn.XLOOKUP(Table1624[[#This Row],[Name]],Table4[Name],Table4[True Rank],"DNP",0,1)),"DNP")</f>
        <v>DNP</v>
      </c>
      <c r="E116" s="26">
        <f>IFERROR(_xlfn.PERCENTRANK.INC(Table9[True Rank],_xlfn.XLOOKUP(Table1624[[#This Row],[Name]],Table9[Name],Table9[True Rank],"DNP",0,1)),"DNP")</f>
        <v>0.90800000000000003</v>
      </c>
      <c r="F116" s="26" t="str">
        <f>IFERROR(_xlfn.PERCENTRANK.INC(Table18[True Rank],_xlfn.XLOOKUP(Table1624[[#This Row],[Name]],Table18[Name],Table18[True Rank],"DNP",0,1)),"DNP")</f>
        <v>DNP</v>
      </c>
      <c r="G116" s="26" t="str">
        <f>IFERROR(_xlfn.PERCENTRANK.INC(Table2[True Rank],_xlfn.XLOOKUP(Table1624[[#This Row],[Name]],Table2[Name],Table2[True Rank],"DNP",0,1)),"DNP")</f>
        <v>DNP</v>
      </c>
      <c r="H116" s="26" t="str">
        <f>IFERROR(_xlfn.PERCENTRANK.INC(Table211[True Rank],_xlfn.XLOOKUP(Table1624[[#This Row],[Name]],Table211[Name],Table211[True Rank],"DNP",0,1)),"DNP")</f>
        <v>DNP</v>
      </c>
      <c r="I116" s="26" t="str">
        <f>IFERROR(_xlfn.PERCENTRANK.INC(Table21112[True Rank],_xlfn.XLOOKUP(Table1624[[#This Row],[Name]],Table21112[Name],Table21112[True Rank],"DNP",0,1)),"DNP")</f>
        <v>DNP</v>
      </c>
      <c r="J116" s="26" t="str">
        <f>IFERROR(_xlfn.PERCENTRANK.INC(Table21112164[True Rank],_xlfn.XLOOKUP(Table1624[[#This Row],[Name]],Table21112164[Name],Table21112164[True Rank],"DNP",0,1)),"DNP")</f>
        <v>DNP</v>
      </c>
      <c r="K116" s="26" t="str">
        <f>IFERROR(_xlfn.PERCENTRANK.INC(Table2111216420[True Rank],_xlfn.XLOOKUP(Table1624[[#This Row],[Name]],Table2111216420[Name],Table2111216420[True Rank],"DNP",0,1)),"DNP")</f>
        <v>DNP</v>
      </c>
      <c r="L116" s="26" t="str">
        <f>IFERROR(_xlfn.PERCENTRANK.INC(Table211121642021[True Rank],_xlfn.XLOOKUP(Table1624[[#This Row],[Name]],Table211121642021[Name],Table211121642021[True Rank],"DNP",0,1)),"DNP")</f>
        <v>DNP</v>
      </c>
      <c r="M116" s="26" t="str">
        <f>IFERROR(_xlfn.PERCENTRANK.INC(Table21112164202122[True Rank],_xlfn.XLOOKUP(Table1624[[#This Row],[Name]],Table21112164202122[Name],Table21112164202122[True Rank],"DNP",0,1)),"DNP")</f>
        <v>DNP</v>
      </c>
      <c r="N116" s="26" t="str">
        <f>IFERROR(_xlfn.PERCENTRANK.INC(Table2111216420212223[True Rank],_xlfn.XLOOKUP(Table1624[[#This Row],[Name]],Table2111216420212223[Name],Table2111216420212223[True Rank],"DNP",0,1)),"DNP")</f>
        <v>DNP</v>
      </c>
      <c r="O116" s="26" t="str">
        <f>IFERROR(_xlfn.PERCENTRANK.INC(Table211121642021222325[True Rank],_xlfn.XLOOKUP(Table1624[[#This Row],[Name]],Table211121642021222325[Name],Table211121642021222325[True Rank],"DNP",0,1)),"DNP")</f>
        <v>DNP</v>
      </c>
      <c r="P116" s="26" t="str">
        <f>IFERROR(_xlfn.PERCENTRANK.INC(Table21112164202122232534[True Rank],_xlfn.XLOOKUP(Table1624[[#This Row],[Name]],Table21112164202122232534[Name],Table21112164202122232534[True Rank],"DNP",0,1)),"DNP")</f>
        <v>DNP</v>
      </c>
      <c r="Q1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 spans="2:33">
      <c r="B117" t="str">
        <f>IFERROR(Table5[[#This Row],[Full name]],"")</f>
        <v>Benjamin Le Brun</v>
      </c>
      <c r="C117" s="108" t="str">
        <f>IFERROR(AVERAGE(Table1624[[#This Row],[September 30, 2025]:[Column18]]),"N/A")</f>
        <v>N/A</v>
      </c>
      <c r="D117" s="26" t="str">
        <f>IFERROR(_xlfn.PERCENTRANK.INC(Table4[True Rank],_xlfn.XLOOKUP(Table1624[[#This Row],[Name]],Table4[Name],Table4[True Rank],"DNP",0,1)),"DNP")</f>
        <v>DNP</v>
      </c>
      <c r="E117" s="26" t="str">
        <f>IFERROR(_xlfn.PERCENTRANK.INC(Table9[True Rank],_xlfn.XLOOKUP(Table1624[[#This Row],[Name]],Table9[Name],Table9[True Rank],"DNP",0,1)),"DNP")</f>
        <v>DNP</v>
      </c>
      <c r="F117" s="26" t="str">
        <f>IFERROR(_xlfn.PERCENTRANK.INC(Table18[True Rank],_xlfn.XLOOKUP(Table1624[[#This Row],[Name]],Table18[Name],Table18[True Rank],"DNP",0,1)),"DNP")</f>
        <v>DNP</v>
      </c>
      <c r="G117" s="26" t="str">
        <f>IFERROR(_xlfn.PERCENTRANK.INC(Table2[True Rank],_xlfn.XLOOKUP(Table1624[[#This Row],[Name]],Table2[Name],Table2[True Rank],"DNP",0,1)),"DNP")</f>
        <v>DNP</v>
      </c>
      <c r="H117" s="26" t="str">
        <f>IFERROR(_xlfn.PERCENTRANK.INC(Table211[True Rank],_xlfn.XLOOKUP(Table1624[[#This Row],[Name]],Table211[Name],Table211[True Rank],"DNP",0,1)),"DNP")</f>
        <v>DNP</v>
      </c>
      <c r="I117" s="26" t="str">
        <f>IFERROR(_xlfn.PERCENTRANK.INC(Table21112[True Rank],_xlfn.XLOOKUP(Table1624[[#This Row],[Name]],Table21112[Name],Table21112[True Rank],"DNP",0,1)),"DNP")</f>
        <v>DNP</v>
      </c>
      <c r="J117" s="26" t="str">
        <f>IFERROR(_xlfn.PERCENTRANK.INC(Table21112164[True Rank],_xlfn.XLOOKUP(Table1624[[#This Row],[Name]],Table21112164[Name],Table21112164[True Rank],"DNP",0,1)),"DNP")</f>
        <v>DNP</v>
      </c>
      <c r="K117" s="26" t="str">
        <f>IFERROR(_xlfn.PERCENTRANK.INC(Table2111216420[True Rank],_xlfn.XLOOKUP(Table1624[[#This Row],[Name]],Table2111216420[Name],Table2111216420[True Rank],"DNP",0,1)),"DNP")</f>
        <v>DNP</v>
      </c>
      <c r="L117" s="26" t="str">
        <f>IFERROR(_xlfn.PERCENTRANK.INC(Table211121642021[True Rank],_xlfn.XLOOKUP(Table1624[[#This Row],[Name]],Table211121642021[Name],Table211121642021[True Rank],"DNP",0,1)),"DNP")</f>
        <v>DNP</v>
      </c>
      <c r="M117" s="26" t="str">
        <f>IFERROR(_xlfn.PERCENTRANK.INC(Table21112164202122[True Rank],_xlfn.XLOOKUP(Table1624[[#This Row],[Name]],Table21112164202122[Name],Table21112164202122[True Rank],"DNP",0,1)),"DNP")</f>
        <v>DNP</v>
      </c>
      <c r="N117" s="26" t="str">
        <f>IFERROR(_xlfn.PERCENTRANK.INC(Table2111216420212223[True Rank],_xlfn.XLOOKUP(Table1624[[#This Row],[Name]],Table2111216420212223[Name],Table2111216420212223[True Rank],"DNP",0,1)),"DNP")</f>
        <v>DNP</v>
      </c>
      <c r="O117" s="26" t="str">
        <f>IFERROR(_xlfn.PERCENTRANK.INC(Table211121642021222325[True Rank],_xlfn.XLOOKUP(Table1624[[#This Row],[Name]],Table211121642021222325[Name],Table211121642021222325[True Rank],"DNP",0,1)),"DNP")</f>
        <v>DNP</v>
      </c>
      <c r="P117" s="26" t="str">
        <f>IFERROR(_xlfn.PERCENTRANK.INC(Table21112164202122232534[True Rank],_xlfn.XLOOKUP(Table1624[[#This Row],[Name]],Table21112164202122232534[Name],Table21112164202122232534[True Rank],"DNP",0,1)),"DNP")</f>
        <v>DNP</v>
      </c>
      <c r="Q1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</row>
    <row r="118" spans="2:33">
      <c r="B118" t="str">
        <f>IFERROR(Table5[[#This Row],[Full name]],"")</f>
        <v>Benjamin Namayandeh</v>
      </c>
      <c r="C118" s="108">
        <f>IFERROR(AVERAGE(Table1624[[#This Row],[September 30, 2025]:[Column18]]),"N/A")</f>
        <v>0.92</v>
      </c>
      <c r="D118" s="26" t="str">
        <f>IFERROR(_xlfn.PERCENTRANK.INC(Table4[True Rank],_xlfn.XLOOKUP(Table1624[[#This Row],[Name]],Table4[Name],Table4[True Rank],"DNP",0,1)),"DNP")</f>
        <v>DNP</v>
      </c>
      <c r="E118" s="26" t="str">
        <f>IFERROR(_xlfn.PERCENTRANK.INC(Table9[True Rank],_xlfn.XLOOKUP(Table1624[[#This Row],[Name]],Table9[Name],Table9[True Rank],"DNP",0,1)),"DNP")</f>
        <v>DNP</v>
      </c>
      <c r="F118" s="26" t="str">
        <f>IFERROR(_xlfn.PERCENTRANK.INC(Table18[True Rank],_xlfn.XLOOKUP(Table1624[[#This Row],[Name]],Table18[Name],Table18[True Rank],"DNP",0,1)),"DNP")</f>
        <v>DNP</v>
      </c>
      <c r="G118" s="26" t="str">
        <f>IFERROR(_xlfn.PERCENTRANK.INC(Table2[True Rank],_xlfn.XLOOKUP(Table1624[[#This Row],[Name]],Table2[Name],Table2[True Rank],"DNP",0,1)),"DNP")</f>
        <v>DNP</v>
      </c>
      <c r="H118" s="26" t="str">
        <f>IFERROR(_xlfn.PERCENTRANK.INC(Table211[True Rank],_xlfn.XLOOKUP(Table1624[[#This Row],[Name]],Table211[Name],Table211[True Rank],"DNP",0,1)),"DNP")</f>
        <v>DNP</v>
      </c>
      <c r="I118" s="26" t="str">
        <f>IFERROR(_xlfn.PERCENTRANK.INC(Table21112[True Rank],_xlfn.XLOOKUP(Table1624[[#This Row],[Name]],Table21112[Name],Table21112[True Rank],"DNP",0,1)),"DNP")</f>
        <v>DNP</v>
      </c>
      <c r="J118" s="26" t="str">
        <f>IFERROR(_xlfn.PERCENTRANK.INC(Table21112164[True Rank],_xlfn.XLOOKUP(Table1624[[#This Row],[Name]],Table21112164[Name],Table21112164[True Rank],"DNP",0,1)),"DNP")</f>
        <v>DNP</v>
      </c>
      <c r="K118" s="26" t="str">
        <f>IFERROR(_xlfn.PERCENTRANK.INC(Table2111216420[True Rank],_xlfn.XLOOKUP(Table1624[[#This Row],[Name]],Table2111216420[Name],Table2111216420[True Rank],"DNP",0,1)),"DNP")</f>
        <v>DNP</v>
      </c>
      <c r="L118" s="26" t="str">
        <f>IFERROR(_xlfn.PERCENTRANK.INC(Table211121642021[True Rank],_xlfn.XLOOKUP(Table1624[[#This Row],[Name]],Table211121642021[Name],Table211121642021[True Rank],"DNP",0,1)),"DNP")</f>
        <v>DNP</v>
      </c>
      <c r="M118" s="26">
        <f>IFERROR(_xlfn.PERCENTRANK.INC(Table21112164202122[True Rank],_xlfn.XLOOKUP(Table1624[[#This Row],[Name]],Table21112164202122[Name],Table21112164202122[True Rank],"DNP",0,1)),"DNP")</f>
        <v>0.92</v>
      </c>
      <c r="N118" s="26" t="str">
        <f>IFERROR(_xlfn.PERCENTRANK.INC(Table2111216420212223[True Rank],_xlfn.XLOOKUP(Table1624[[#This Row],[Name]],Table2111216420212223[Name],Table2111216420212223[True Rank],"DNP",0,1)),"DNP")</f>
        <v>DNP</v>
      </c>
      <c r="O118" s="26" t="str">
        <f>IFERROR(_xlfn.PERCENTRANK.INC(Table211121642021222325[True Rank],_xlfn.XLOOKUP(Table1624[[#This Row],[Name]],Table211121642021222325[Name],Table211121642021222325[True Rank],"DNP",0,1)),"DNP")</f>
        <v>DNP</v>
      </c>
      <c r="P118" s="26" t="str">
        <f>IFERROR(_xlfn.PERCENTRANK.INC(Table21112164202122232534[True Rank],_xlfn.XLOOKUP(Table1624[[#This Row],[Name]],Table21112164202122232534[Name],Table21112164202122232534[True Rank],"DNP",0,1)),"DNP")</f>
        <v>DNP</v>
      </c>
      <c r="Q1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</row>
    <row r="119" spans="2:33">
      <c r="B119" t="str">
        <f>IFERROR(Table5[[#This Row],[Full name]],"")</f>
        <v>Benjamin Zheng</v>
      </c>
      <c r="C119" s="108">
        <f>IFERROR(AVERAGE(Table1624[[#This Row],[September 30, 2025]:[Column18]]),"N/A")</f>
        <v>0.40633333333333338</v>
      </c>
      <c r="D119" s="26">
        <f>IFERROR(_xlfn.PERCENTRANK.INC(Table4[True Rank],_xlfn.XLOOKUP(Table1624[[#This Row],[Name]],Table4[Name],Table4[True Rank],"DNP",0,1)),"DNP")</f>
        <v>0.28399999999999997</v>
      </c>
      <c r="E119" s="26" t="str">
        <f>IFERROR(_xlfn.PERCENTRANK.INC(Table9[True Rank],_xlfn.XLOOKUP(Table1624[[#This Row],[Name]],Table9[Name],Table9[True Rank],"DNP",0,1)),"DNP")</f>
        <v>DNP</v>
      </c>
      <c r="F119" s="26" t="str">
        <f>IFERROR(_xlfn.PERCENTRANK.INC(Table18[True Rank],_xlfn.XLOOKUP(Table1624[[#This Row],[Name]],Table18[Name],Table18[True Rank],"DNP",0,1)),"DNP")</f>
        <v>DNP</v>
      </c>
      <c r="G119" s="26" t="str">
        <f>IFERROR(_xlfn.PERCENTRANK.INC(Table2[True Rank],_xlfn.XLOOKUP(Table1624[[#This Row],[Name]],Table2[Name],Table2[True Rank],"DNP",0,1)),"DNP")</f>
        <v>DNP</v>
      </c>
      <c r="H119" s="26" t="str">
        <f>IFERROR(_xlfn.PERCENTRANK.INC(Table211[True Rank],_xlfn.XLOOKUP(Table1624[[#This Row],[Name]],Table211[Name],Table211[True Rank],"DNP",0,1)),"DNP")</f>
        <v>DNP</v>
      </c>
      <c r="I119" s="26" t="str">
        <f>IFERROR(_xlfn.PERCENTRANK.INC(Table21112[True Rank],_xlfn.XLOOKUP(Table1624[[#This Row],[Name]],Table21112[Name],Table21112[True Rank],"DNP",0,1)),"DNP")</f>
        <v>DNP</v>
      </c>
      <c r="J119" s="26" t="str">
        <f>IFERROR(_xlfn.PERCENTRANK.INC(Table21112164[True Rank],_xlfn.XLOOKUP(Table1624[[#This Row],[Name]],Table21112164[Name],Table21112164[True Rank],"DNP",0,1)),"DNP")</f>
        <v>DNP</v>
      </c>
      <c r="K119" s="26">
        <f>IFERROR(_xlfn.PERCENTRANK.INC(Table2111216420[True Rank],_xlfn.XLOOKUP(Table1624[[#This Row],[Name]],Table2111216420[Name],Table2111216420[True Rank],"DNP",0,1)),"DNP")</f>
        <v>0.27600000000000002</v>
      </c>
      <c r="L119" s="26">
        <f>IFERROR(_xlfn.PERCENTRANK.INC(Table211121642021[True Rank],_xlfn.XLOOKUP(Table1624[[#This Row],[Name]],Table211121642021[Name],Table211121642021[True Rank],"DNP",0,1)),"DNP")</f>
        <v>0.76300000000000001</v>
      </c>
      <c r="M119" s="26">
        <f>IFERROR(_xlfn.PERCENTRANK.INC(Table21112164202122[True Rank],_xlfn.XLOOKUP(Table1624[[#This Row],[Name]],Table21112164202122[Name],Table21112164202122[True Rank],"DNP",0,1)),"DNP")</f>
        <v>0.61299999999999999</v>
      </c>
      <c r="N119" s="26">
        <f>IFERROR(_xlfn.PERCENTRANK.INC(Table2111216420212223[True Rank],_xlfn.XLOOKUP(Table1624[[#This Row],[Name]],Table2111216420212223[Name],Table2111216420212223[True Rank],"DNP",0,1)),"DNP")</f>
        <v>5.3999999999999999E-2</v>
      </c>
      <c r="O119" s="26" t="str">
        <f>IFERROR(_xlfn.PERCENTRANK.INC(Table211121642021222325[True Rank],_xlfn.XLOOKUP(Table1624[[#This Row],[Name]],Table211121642021222325[Name],Table211121642021222325[True Rank],"DNP",0,1)),"DNP")</f>
        <v>DNP</v>
      </c>
      <c r="P119" s="26" t="str">
        <f>IFERROR(_xlfn.PERCENTRANK.INC(Table21112164202122232534[True Rank],_xlfn.XLOOKUP(Table1624[[#This Row],[Name]],Table21112164202122232534[Name],Table21112164202122232534[True Rank],"DNP",0,1)),"DNP")</f>
        <v>DNP</v>
      </c>
      <c r="Q1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19" s="26">
        <f>IFERROR(_xlfn.PERCENTRANK.INC(Table21112164202122232534353637[True Rank],_xlfn.XLOOKUP(Table1624[[#This Row],[Name]],Table21112164202122232534353637[Name],Table21112164202122232534353637[True Rank],"DNP",0,1)),"DNP")</f>
        <v>0.44800000000000001</v>
      </c>
      <c r="T1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</row>
    <row r="120" spans="2:33">
      <c r="B120" t="str">
        <f>IFERROR(Table5[[#This Row],[Full name]],"")</f>
        <v>Bhargav Kandlakuti</v>
      </c>
      <c r="C120" s="108">
        <f>IFERROR(AVERAGE(Table1624[[#This Row],[September 30, 2025]:[Column18]]),"N/A")</f>
        <v>0.58466666666666667</v>
      </c>
      <c r="D120" s="26" t="str">
        <f>IFERROR(_xlfn.PERCENTRANK.INC(Table4[True Rank],_xlfn.XLOOKUP(Table1624[[#This Row],[Name]],Table4[Name],Table4[True Rank],"DNP",0,1)),"DNP")</f>
        <v>DNP</v>
      </c>
      <c r="E120" s="26" t="str">
        <f>IFERROR(_xlfn.PERCENTRANK.INC(Table9[True Rank],_xlfn.XLOOKUP(Table1624[[#This Row],[Name]],Table9[Name],Table9[True Rank],"DNP",0,1)),"DNP")</f>
        <v>DNP</v>
      </c>
      <c r="F120" s="26" t="str">
        <f>IFERROR(_xlfn.PERCENTRANK.INC(Table18[True Rank],_xlfn.XLOOKUP(Table1624[[#This Row],[Name]],Table18[Name],Table18[True Rank],"DNP",0,1)),"DNP")</f>
        <v>DNP</v>
      </c>
      <c r="G120" s="26" t="str">
        <f>IFERROR(_xlfn.PERCENTRANK.INC(Table2[True Rank],_xlfn.XLOOKUP(Table1624[[#This Row],[Name]],Table2[Name],Table2[True Rank],"DNP",0,1)),"DNP")</f>
        <v>DNP</v>
      </c>
      <c r="H120" s="26">
        <f>IFERROR(_xlfn.PERCENTRANK.INC(Table211[True Rank],_xlfn.XLOOKUP(Table1624[[#This Row],[Name]],Table211[Name],Table211[True Rank],"DNP",0,1)),"DNP")</f>
        <v>0.61899999999999999</v>
      </c>
      <c r="I120" s="26">
        <f>IFERROR(_xlfn.PERCENTRANK.INC(Table21112[True Rank],_xlfn.XLOOKUP(Table1624[[#This Row],[Name]],Table21112[Name],Table21112[True Rank],"DNP",0,1)),"DNP")</f>
        <v>0.92300000000000004</v>
      </c>
      <c r="J120" s="26" t="str">
        <f>IFERROR(_xlfn.PERCENTRANK.INC(Table21112164[True Rank],_xlfn.XLOOKUP(Table1624[[#This Row],[Name]],Table21112164[Name],Table21112164[True Rank],"DNP",0,1)),"DNP")</f>
        <v>DNP</v>
      </c>
      <c r="K120" s="26" t="str">
        <f>IFERROR(_xlfn.PERCENTRANK.INC(Table2111216420[True Rank],_xlfn.XLOOKUP(Table1624[[#This Row],[Name]],Table2111216420[Name],Table2111216420[True Rank],"DNP",0,1)),"DNP")</f>
        <v>DNP</v>
      </c>
      <c r="L120" s="26" t="str">
        <f>IFERROR(_xlfn.PERCENTRANK.INC(Table211121642021[True Rank],_xlfn.XLOOKUP(Table1624[[#This Row],[Name]],Table211121642021[Name],Table211121642021[True Rank],"DNP",0,1)),"DNP")</f>
        <v>DNP</v>
      </c>
      <c r="M120" s="26">
        <f>IFERROR(_xlfn.PERCENTRANK.INC(Table21112164202122[True Rank],_xlfn.XLOOKUP(Table1624[[#This Row],[Name]],Table21112164202122[Name],Table21112164202122[True Rank],"DNP",0,1)),"DNP")</f>
        <v>0.09</v>
      </c>
      <c r="N120" s="26" t="str">
        <f>IFERROR(_xlfn.PERCENTRANK.INC(Table2111216420212223[True Rank],_xlfn.XLOOKUP(Table1624[[#This Row],[Name]],Table2111216420212223[Name],Table2111216420212223[True Rank],"DNP",0,1)),"DNP")</f>
        <v>DNP</v>
      </c>
      <c r="O120" s="26" t="str">
        <f>IFERROR(_xlfn.PERCENTRANK.INC(Table211121642021222325[True Rank],_xlfn.XLOOKUP(Table1624[[#This Row],[Name]],Table211121642021222325[Name],Table211121642021222325[True Rank],"DNP",0,1)),"DNP")</f>
        <v>DNP</v>
      </c>
      <c r="P120" s="26" t="str">
        <f>IFERROR(_xlfn.PERCENTRANK.INC(Table21112164202122232534[True Rank],_xlfn.XLOOKUP(Table1624[[#This Row],[Name]],Table21112164202122232534[Name],Table21112164202122232534[True Rank],"DNP",0,1)),"DNP")</f>
        <v>DNP</v>
      </c>
      <c r="Q120" s="26">
        <f>IFERROR(_xlfn.PERCENTRANK.INC(Table2111216420212223253435[True Rank],_xlfn.XLOOKUP(Table1624[[#This Row],[Name]],Table2111216420212223253435[Name],Table2111216420212223253435[True Rank],"DNP",0,1)),"DNP")</f>
        <v>0.66600000000000004</v>
      </c>
      <c r="R120" s="26">
        <f>IFERROR(_xlfn.PERCENTRANK.INC(Table211121642021222325343536[True Rank],_xlfn.XLOOKUP(Table1624[[#This Row],[Name]],Table211121642021222325343536[Name],Table211121642021222325343536[True Rank],"DNP",0,1)),"DNP")</f>
        <v>0.34799999999999998</v>
      </c>
      <c r="S120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1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</row>
    <row r="121" spans="2:33">
      <c r="B121" t="str">
        <f>IFERROR(Table5[[#This Row],[Full name]],"")</f>
        <v>Bilal Hachem</v>
      </c>
      <c r="C121" s="108">
        <f>IFERROR(AVERAGE(Table1624[[#This Row],[September 30, 2025]:[Column18]]),"N/A")</f>
        <v>0.51300000000000001</v>
      </c>
      <c r="D121" s="26">
        <f>IFERROR(_xlfn.PERCENTRANK.INC(Table4[True Rank],_xlfn.XLOOKUP(Table1624[[#This Row],[Name]],Table4[Name],Table4[True Rank],"DNP",0,1)),"DNP")</f>
        <v>0.51300000000000001</v>
      </c>
      <c r="E121" s="26" t="str">
        <f>IFERROR(_xlfn.PERCENTRANK.INC(Table9[True Rank],_xlfn.XLOOKUP(Table1624[[#This Row],[Name]],Table9[Name],Table9[True Rank],"DNP",0,1)),"DNP")</f>
        <v>DNP</v>
      </c>
      <c r="F121" s="26" t="str">
        <f>IFERROR(_xlfn.PERCENTRANK.INC(Table18[True Rank],_xlfn.XLOOKUP(Table1624[[#This Row],[Name]],Table18[Name],Table18[True Rank],"DNP",0,1)),"DNP")</f>
        <v>DNP</v>
      </c>
      <c r="G121" s="26" t="str">
        <f>IFERROR(_xlfn.PERCENTRANK.INC(Table2[True Rank],_xlfn.XLOOKUP(Table1624[[#This Row],[Name]],Table2[Name],Table2[True Rank],"DNP",0,1)),"DNP")</f>
        <v>DNP</v>
      </c>
      <c r="H121" s="26" t="str">
        <f>IFERROR(_xlfn.PERCENTRANK.INC(Table211[True Rank],_xlfn.XLOOKUP(Table1624[[#This Row],[Name]],Table211[Name],Table211[True Rank],"DNP",0,1)),"DNP")</f>
        <v>DNP</v>
      </c>
      <c r="I121" s="26" t="str">
        <f>IFERROR(_xlfn.PERCENTRANK.INC(Table21112[True Rank],_xlfn.XLOOKUP(Table1624[[#This Row],[Name]],Table21112[Name],Table21112[True Rank],"DNP",0,1)),"DNP")</f>
        <v>DNP</v>
      </c>
      <c r="J121" s="26" t="str">
        <f>IFERROR(_xlfn.PERCENTRANK.INC(Table21112164[True Rank],_xlfn.XLOOKUP(Table1624[[#This Row],[Name]],Table21112164[Name],Table21112164[True Rank],"DNP",0,1)),"DNP")</f>
        <v>DNP</v>
      </c>
      <c r="K121" s="26" t="str">
        <f>IFERROR(_xlfn.PERCENTRANK.INC(Table2111216420[True Rank],_xlfn.XLOOKUP(Table1624[[#This Row],[Name]],Table2111216420[Name],Table2111216420[True Rank],"DNP",0,1)),"DNP")</f>
        <v>DNP</v>
      </c>
      <c r="L121" s="26" t="str">
        <f>IFERROR(_xlfn.PERCENTRANK.INC(Table211121642021[True Rank],_xlfn.XLOOKUP(Table1624[[#This Row],[Name]],Table211121642021[Name],Table211121642021[True Rank],"DNP",0,1)),"DNP")</f>
        <v>DNP</v>
      </c>
      <c r="M121" s="26" t="str">
        <f>IFERROR(_xlfn.PERCENTRANK.INC(Table21112164202122[True Rank],_xlfn.XLOOKUP(Table1624[[#This Row],[Name]],Table21112164202122[Name],Table21112164202122[True Rank],"DNP",0,1)),"DNP")</f>
        <v>DNP</v>
      </c>
      <c r="N121" s="26" t="str">
        <f>IFERROR(_xlfn.PERCENTRANK.INC(Table2111216420212223[True Rank],_xlfn.XLOOKUP(Table1624[[#This Row],[Name]],Table2111216420212223[Name],Table2111216420212223[True Rank],"DNP",0,1)),"DNP")</f>
        <v>DNP</v>
      </c>
      <c r="O121" s="26" t="str">
        <f>IFERROR(_xlfn.PERCENTRANK.INC(Table211121642021222325[True Rank],_xlfn.XLOOKUP(Table1624[[#This Row],[Name]],Table211121642021222325[Name],Table211121642021222325[True Rank],"DNP",0,1)),"DNP")</f>
        <v>DNP</v>
      </c>
      <c r="P121" s="26" t="str">
        <f>IFERROR(_xlfn.PERCENTRANK.INC(Table21112164202122232534[True Rank],_xlfn.XLOOKUP(Table1624[[#This Row],[Name]],Table21112164202122232534[Name],Table21112164202122232534[True Rank],"DNP",0,1)),"DNP")</f>
        <v>DNP</v>
      </c>
      <c r="Q1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</row>
    <row r="122" spans="2:33">
      <c r="B122" t="str">
        <f>IFERROR(Table5[[#This Row],[Full name]],"")</f>
        <v>Brandon Roy</v>
      </c>
      <c r="C122" s="108">
        <f>IFERROR(AVERAGE(Table1624[[#This Row],[September 30, 2025]:[Column18]]),"N/A")</f>
        <v>0.88200000000000001</v>
      </c>
      <c r="D122" s="26" t="str">
        <f>IFERROR(_xlfn.PERCENTRANK.INC(Table4[True Rank],_xlfn.XLOOKUP(Table1624[[#This Row],[Name]],Table4[Name],Table4[True Rank],"DNP",0,1)),"DNP")</f>
        <v>DNP</v>
      </c>
      <c r="E122" s="26" t="str">
        <f>IFERROR(_xlfn.PERCENTRANK.INC(Table9[True Rank],_xlfn.XLOOKUP(Table1624[[#This Row],[Name]],Table9[Name],Table9[True Rank],"DNP",0,1)),"DNP")</f>
        <v>DNP</v>
      </c>
      <c r="F122" s="26" t="str">
        <f>IFERROR(_xlfn.PERCENTRANK.INC(Table18[True Rank],_xlfn.XLOOKUP(Table1624[[#This Row],[Name]],Table18[Name],Table18[True Rank],"DNP",0,1)),"DNP")</f>
        <v>DNP</v>
      </c>
      <c r="G122" s="26">
        <f>IFERROR(_xlfn.PERCENTRANK.INC(Table2[True Rank],_xlfn.XLOOKUP(Table1624[[#This Row],[Name]],Table2[Name],Table2[True Rank],"DNP",0,1)),"DNP")</f>
        <v>0.88</v>
      </c>
      <c r="H122" s="26">
        <f>IFERROR(_xlfn.PERCENTRANK.INC(Table211[True Rank],_xlfn.XLOOKUP(Table1624[[#This Row],[Name]],Table211[Name],Table211[True Rank],"DNP",0,1)),"DNP")</f>
        <v>0.873</v>
      </c>
      <c r="I122" s="26" t="str">
        <f>IFERROR(_xlfn.PERCENTRANK.INC(Table21112[True Rank],_xlfn.XLOOKUP(Table1624[[#This Row],[Name]],Table21112[Name],Table21112[True Rank],"DNP",0,1)),"DNP")</f>
        <v>DNP</v>
      </c>
      <c r="J122" s="26" t="str">
        <f>IFERROR(_xlfn.PERCENTRANK.INC(Table21112164[True Rank],_xlfn.XLOOKUP(Table1624[[#This Row],[Name]],Table21112164[Name],Table21112164[True Rank],"DNP",0,1)),"DNP")</f>
        <v>DNP</v>
      </c>
      <c r="K122" s="26">
        <f>IFERROR(_xlfn.PERCENTRANK.INC(Table2111216420[True Rank],_xlfn.XLOOKUP(Table1624[[#This Row],[Name]],Table2111216420[Name],Table2111216420[True Rank],"DNP",0,1)),"DNP")</f>
        <v>0.89300000000000002</v>
      </c>
      <c r="L122" s="26" t="str">
        <f>IFERROR(_xlfn.PERCENTRANK.INC(Table211121642021[True Rank],_xlfn.XLOOKUP(Table1624[[#This Row],[Name]],Table211121642021[Name],Table211121642021[True Rank],"DNP",0,1)),"DNP")</f>
        <v>DNP</v>
      </c>
      <c r="M122" s="26" t="str">
        <f>IFERROR(_xlfn.PERCENTRANK.INC(Table21112164202122[True Rank],_xlfn.XLOOKUP(Table1624[[#This Row],[Name]],Table21112164202122[Name],Table21112164202122[True Rank],"DNP",0,1)),"DNP")</f>
        <v>DNP</v>
      </c>
      <c r="N122" s="26" t="str">
        <f>IFERROR(_xlfn.PERCENTRANK.INC(Table2111216420212223[True Rank],_xlfn.XLOOKUP(Table1624[[#This Row],[Name]],Table2111216420212223[Name],Table2111216420212223[True Rank],"DNP",0,1)),"DNP")</f>
        <v>DNP</v>
      </c>
      <c r="O122" s="26" t="str">
        <f>IFERROR(_xlfn.PERCENTRANK.INC(Table211121642021222325[True Rank],_xlfn.XLOOKUP(Table1624[[#This Row],[Name]],Table211121642021222325[Name],Table211121642021222325[True Rank],"DNP",0,1)),"DNP")</f>
        <v>DNP</v>
      </c>
      <c r="P122" s="26" t="str">
        <f>IFERROR(_xlfn.PERCENTRANK.INC(Table21112164202122232534[True Rank],_xlfn.XLOOKUP(Table1624[[#This Row],[Name]],Table21112164202122232534[Name],Table21112164202122232534[True Rank],"DNP",0,1)),"DNP")</f>
        <v>DNP</v>
      </c>
      <c r="Q1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</row>
    <row r="123" spans="2:33">
      <c r="B123" t="str">
        <f>IFERROR(Table5[[#This Row],[Full name]],"")</f>
        <v>Brayden Nykamp</v>
      </c>
      <c r="C123" s="108">
        <f>IFERROR(AVERAGE(Table1624[[#This Row],[September 30, 2025]:[Column18]]),"N/A")</f>
        <v>0.8</v>
      </c>
      <c r="D123" s="26" t="str">
        <f>IFERROR(_xlfn.PERCENTRANK.INC(Table4[True Rank],_xlfn.XLOOKUP(Table1624[[#This Row],[Name]],Table4[Name],Table4[True Rank],"DNP",0,1)),"DNP")</f>
        <v>DNP</v>
      </c>
      <c r="E123" s="26" t="str">
        <f>IFERROR(_xlfn.PERCENTRANK.INC(Table9[True Rank],_xlfn.XLOOKUP(Table1624[[#This Row],[Name]],Table9[Name],Table9[True Rank],"DNP",0,1)),"DNP")</f>
        <v>DNP</v>
      </c>
      <c r="F123" s="26" t="str">
        <f>IFERROR(_xlfn.PERCENTRANK.INC(Table18[True Rank],_xlfn.XLOOKUP(Table1624[[#This Row],[Name]],Table18[Name],Table18[True Rank],"DNP",0,1)),"DNP")</f>
        <v>DNP</v>
      </c>
      <c r="G123" s="26" t="str">
        <f>IFERROR(_xlfn.PERCENTRANK.INC(Table2[True Rank],_xlfn.XLOOKUP(Table1624[[#This Row],[Name]],Table2[Name],Table2[True Rank],"DNP",0,1)),"DNP")</f>
        <v>DNP</v>
      </c>
      <c r="H123" s="26" t="str">
        <f>IFERROR(_xlfn.PERCENTRANK.INC(Table211[True Rank],_xlfn.XLOOKUP(Table1624[[#This Row],[Name]],Table211[Name],Table211[True Rank],"DNP",0,1)),"DNP")</f>
        <v>DNP</v>
      </c>
      <c r="I123" s="26" t="str">
        <f>IFERROR(_xlfn.PERCENTRANK.INC(Table21112[True Rank],_xlfn.XLOOKUP(Table1624[[#This Row],[Name]],Table21112[Name],Table21112[True Rank],"DNP",0,1)),"DNP")</f>
        <v>DNP</v>
      </c>
      <c r="J123" s="26" t="str">
        <f>IFERROR(_xlfn.PERCENTRANK.INC(Table21112164[True Rank],_xlfn.XLOOKUP(Table1624[[#This Row],[Name]],Table21112164[Name],Table21112164[True Rank],"DNP",0,1)),"DNP")</f>
        <v>DNP</v>
      </c>
      <c r="K123" s="26" t="str">
        <f>IFERROR(_xlfn.PERCENTRANK.INC(Table2111216420[True Rank],_xlfn.XLOOKUP(Table1624[[#This Row],[Name]],Table2111216420[Name],Table2111216420[True Rank],"DNP",0,1)),"DNP")</f>
        <v>DNP</v>
      </c>
      <c r="L123" s="26" t="str">
        <f>IFERROR(_xlfn.PERCENTRANK.INC(Table211121642021[True Rank],_xlfn.XLOOKUP(Table1624[[#This Row],[Name]],Table211121642021[Name],Table211121642021[True Rank],"DNP",0,1)),"DNP")</f>
        <v>DNP</v>
      </c>
      <c r="M123" s="26" t="str">
        <f>IFERROR(_xlfn.PERCENTRANK.INC(Table21112164202122[True Rank],_xlfn.XLOOKUP(Table1624[[#This Row],[Name]],Table21112164202122[Name],Table21112164202122[True Rank],"DNP",0,1)),"DNP")</f>
        <v>DNP</v>
      </c>
      <c r="N123" s="26" t="str">
        <f>IFERROR(_xlfn.PERCENTRANK.INC(Table2111216420212223[True Rank],_xlfn.XLOOKUP(Table1624[[#This Row],[Name]],Table2111216420212223[Name],Table2111216420212223[True Rank],"DNP",0,1)),"DNP")</f>
        <v>DNP</v>
      </c>
      <c r="O123" s="26" t="str">
        <f>IFERROR(_xlfn.PERCENTRANK.INC(Table211121642021222325[True Rank],_xlfn.XLOOKUP(Table1624[[#This Row],[Name]],Table211121642021222325[Name],Table211121642021222325[True Rank],"DNP",0,1)),"DNP")</f>
        <v>DNP</v>
      </c>
      <c r="P123" s="26" t="str">
        <f>IFERROR(_xlfn.PERCENTRANK.INC(Table21112164202122232534[True Rank],_xlfn.XLOOKUP(Table1624[[#This Row],[Name]],Table21112164202122232534[Name],Table21112164202122232534[True Rank],"DNP",0,1)),"DNP")</f>
        <v>DNP</v>
      </c>
      <c r="Q1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3" s="26">
        <f>IFERROR(_xlfn.PERCENTRANK.INC(Table2111216420212223253435363738[True Rank],_xlfn.XLOOKUP(Table1624[[#This Row],[Name]],Table2111216420212223253435363738[Name],Table2111216420212223253435363738[True Rank],"DNP",0,1)),"DNP")</f>
        <v>0.8</v>
      </c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</row>
    <row r="124" spans="2:33">
      <c r="B124" t="str">
        <f>IFERROR(Table5[[#This Row],[Full name]],"")</f>
        <v>Bryce Ector</v>
      </c>
      <c r="C124" s="108">
        <f>IFERROR(AVERAGE(Table1624[[#This Row],[September 30, 2025]:[Column18]]),"N/A")</f>
        <v>0.90800000000000003</v>
      </c>
      <c r="D124" s="26" t="str">
        <f>IFERROR(_xlfn.PERCENTRANK.INC(Table4[True Rank],_xlfn.XLOOKUP(Table1624[[#This Row],[Name]],Table4[Name],Table4[True Rank],"DNP",0,1)),"DNP")</f>
        <v>DNP</v>
      </c>
      <c r="E124" s="26">
        <f>IFERROR(_xlfn.PERCENTRANK.INC(Table9[True Rank],_xlfn.XLOOKUP(Table1624[[#This Row],[Name]],Table9[Name],Table9[True Rank],"DNP",0,1)),"DNP")</f>
        <v>0.90800000000000003</v>
      </c>
      <c r="F124" s="26" t="str">
        <f>IFERROR(_xlfn.PERCENTRANK.INC(Table18[True Rank],_xlfn.XLOOKUP(Table1624[[#This Row],[Name]],Table18[Name],Table18[True Rank],"DNP",0,1)),"DNP")</f>
        <v>DNP</v>
      </c>
      <c r="G124" s="26" t="str">
        <f>IFERROR(_xlfn.PERCENTRANK.INC(Table2[True Rank],_xlfn.XLOOKUP(Table1624[[#This Row],[Name]],Table2[Name],Table2[True Rank],"DNP",0,1)),"DNP")</f>
        <v>DNP</v>
      </c>
      <c r="H124" s="26" t="str">
        <f>IFERROR(_xlfn.PERCENTRANK.INC(Table211[True Rank],_xlfn.XLOOKUP(Table1624[[#This Row],[Name]],Table211[Name],Table211[True Rank],"DNP",0,1)),"DNP")</f>
        <v>DNP</v>
      </c>
      <c r="I124" s="26" t="str">
        <f>IFERROR(_xlfn.PERCENTRANK.INC(Table21112[True Rank],_xlfn.XLOOKUP(Table1624[[#This Row],[Name]],Table21112[Name],Table21112[True Rank],"DNP",0,1)),"DNP")</f>
        <v>DNP</v>
      </c>
      <c r="J124" s="26" t="str">
        <f>IFERROR(_xlfn.PERCENTRANK.INC(Table21112164[True Rank],_xlfn.XLOOKUP(Table1624[[#This Row],[Name]],Table21112164[Name],Table21112164[True Rank],"DNP",0,1)),"DNP")</f>
        <v>DNP</v>
      </c>
      <c r="K124" s="26" t="str">
        <f>IFERROR(_xlfn.PERCENTRANK.INC(Table2111216420[True Rank],_xlfn.XLOOKUP(Table1624[[#This Row],[Name]],Table2111216420[Name],Table2111216420[True Rank],"DNP",0,1)),"DNP")</f>
        <v>DNP</v>
      </c>
      <c r="L124" s="26" t="str">
        <f>IFERROR(_xlfn.PERCENTRANK.INC(Table211121642021[True Rank],_xlfn.XLOOKUP(Table1624[[#This Row],[Name]],Table211121642021[Name],Table211121642021[True Rank],"DNP",0,1)),"DNP")</f>
        <v>DNP</v>
      </c>
      <c r="M124" s="26" t="str">
        <f>IFERROR(_xlfn.PERCENTRANK.INC(Table21112164202122[True Rank],_xlfn.XLOOKUP(Table1624[[#This Row],[Name]],Table21112164202122[Name],Table21112164202122[True Rank],"DNP",0,1)),"DNP")</f>
        <v>DNP</v>
      </c>
      <c r="N124" s="26" t="str">
        <f>IFERROR(_xlfn.PERCENTRANK.INC(Table2111216420212223[True Rank],_xlfn.XLOOKUP(Table1624[[#This Row],[Name]],Table2111216420212223[Name],Table2111216420212223[True Rank],"DNP",0,1)),"DNP")</f>
        <v>DNP</v>
      </c>
      <c r="O124" s="26" t="str">
        <f>IFERROR(_xlfn.PERCENTRANK.INC(Table211121642021222325[True Rank],_xlfn.XLOOKUP(Table1624[[#This Row],[Name]],Table211121642021222325[Name],Table211121642021222325[True Rank],"DNP",0,1)),"DNP")</f>
        <v>DNP</v>
      </c>
      <c r="P124" s="26" t="str">
        <f>IFERROR(_xlfn.PERCENTRANK.INC(Table21112164202122232534[True Rank],_xlfn.XLOOKUP(Table1624[[#This Row],[Name]],Table21112164202122232534[Name],Table21112164202122232534[True Rank],"DNP",0,1)),"DNP")</f>
        <v>DNP</v>
      </c>
      <c r="Q12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</row>
    <row r="125" spans="2:33">
      <c r="B125" t="str">
        <f>IFERROR(Table5[[#This Row],[Full name]],"")</f>
        <v>Bupa Zhang</v>
      </c>
      <c r="C125" s="108">
        <f>IFERROR(AVERAGE(Table1624[[#This Row],[September 30, 2025]:[Column18]]),"N/A")</f>
        <v>0.57099999999999995</v>
      </c>
      <c r="D125" s="26" t="str">
        <f>IFERROR(_xlfn.PERCENTRANK.INC(Table4[True Rank],_xlfn.XLOOKUP(Table1624[[#This Row],[Name]],Table4[Name],Table4[True Rank],"DNP",0,1)),"DNP")</f>
        <v>DNP</v>
      </c>
      <c r="E125" s="26" t="str">
        <f>IFERROR(_xlfn.PERCENTRANK.INC(Table9[True Rank],_xlfn.XLOOKUP(Table1624[[#This Row],[Name]],Table9[Name],Table9[True Rank],"DNP",0,1)),"DNP")</f>
        <v>DNP</v>
      </c>
      <c r="F125" s="26" t="str">
        <f>IFERROR(_xlfn.PERCENTRANK.INC(Table18[True Rank],_xlfn.XLOOKUP(Table1624[[#This Row],[Name]],Table18[Name],Table18[True Rank],"DNP",0,1)),"DNP")</f>
        <v>DNP</v>
      </c>
      <c r="G125" s="26">
        <f>IFERROR(_xlfn.PERCENTRANK.INC(Table2[True Rank],_xlfn.XLOOKUP(Table1624[[#This Row],[Name]],Table2[Name],Table2[True Rank],"DNP",0,1)),"DNP")</f>
        <v>0.57099999999999995</v>
      </c>
      <c r="H125" s="26" t="str">
        <f>IFERROR(_xlfn.PERCENTRANK.INC(Table211[True Rank],_xlfn.XLOOKUP(Table1624[[#This Row],[Name]],Table211[Name],Table211[True Rank],"DNP",0,1)),"DNP")</f>
        <v>DNP</v>
      </c>
      <c r="I125" s="26" t="str">
        <f>IFERROR(_xlfn.PERCENTRANK.INC(Table21112[True Rank],_xlfn.XLOOKUP(Table1624[[#This Row],[Name]],Table21112[Name],Table21112[True Rank],"DNP",0,1)),"DNP")</f>
        <v>DNP</v>
      </c>
      <c r="J125" s="26" t="str">
        <f>IFERROR(_xlfn.PERCENTRANK.INC(Table21112164[True Rank],_xlfn.XLOOKUP(Table1624[[#This Row],[Name]],Table21112164[Name],Table21112164[True Rank],"DNP",0,1)),"DNP")</f>
        <v>DNP</v>
      </c>
      <c r="K125" s="26" t="str">
        <f>IFERROR(_xlfn.PERCENTRANK.INC(Table2111216420[True Rank],_xlfn.XLOOKUP(Table1624[[#This Row],[Name]],Table2111216420[Name],Table2111216420[True Rank],"DNP",0,1)),"DNP")</f>
        <v>DNP</v>
      </c>
      <c r="L125" s="26" t="str">
        <f>IFERROR(_xlfn.PERCENTRANK.INC(Table211121642021[True Rank],_xlfn.XLOOKUP(Table1624[[#This Row],[Name]],Table211121642021[Name],Table211121642021[True Rank],"DNP",0,1)),"DNP")</f>
        <v>DNP</v>
      </c>
      <c r="M125" s="26" t="str">
        <f>IFERROR(_xlfn.PERCENTRANK.INC(Table21112164202122[True Rank],_xlfn.XLOOKUP(Table1624[[#This Row],[Name]],Table21112164202122[Name],Table21112164202122[True Rank],"DNP",0,1)),"DNP")</f>
        <v>DNP</v>
      </c>
      <c r="N125" s="26" t="str">
        <f>IFERROR(_xlfn.PERCENTRANK.INC(Table2111216420212223[True Rank],_xlfn.XLOOKUP(Table1624[[#This Row],[Name]],Table2111216420212223[Name],Table2111216420212223[True Rank],"DNP",0,1)),"DNP")</f>
        <v>DNP</v>
      </c>
      <c r="O125" s="26" t="str">
        <f>IFERROR(_xlfn.PERCENTRANK.INC(Table211121642021222325[True Rank],_xlfn.XLOOKUP(Table1624[[#This Row],[Name]],Table211121642021222325[Name],Table211121642021222325[True Rank],"DNP",0,1)),"DNP")</f>
        <v>DNP</v>
      </c>
      <c r="P125" s="26" t="str">
        <f>IFERROR(_xlfn.PERCENTRANK.INC(Table21112164202122232534[True Rank],_xlfn.XLOOKUP(Table1624[[#This Row],[Name]],Table21112164202122232534[Name],Table21112164202122232534[True Rank],"DNP",0,1)),"DNP")</f>
        <v>DNP</v>
      </c>
      <c r="Q12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</row>
    <row r="126" spans="2:33">
      <c r="B126" t="str">
        <f>IFERROR(Table5[[#This Row],[Full name]],"")</f>
        <v>Cameron Tran</v>
      </c>
      <c r="C126" s="108" t="str">
        <f>IFERROR(AVERAGE(Table1624[[#This Row],[September 30, 2025]:[Column18]]),"N/A")</f>
        <v>N/A</v>
      </c>
      <c r="D126" s="26" t="str">
        <f>IFERROR(_xlfn.PERCENTRANK.INC(Table4[True Rank],_xlfn.XLOOKUP(Table1624[[#This Row],[Name]],Table4[Name],Table4[True Rank],"DNP",0,1)),"DNP")</f>
        <v>DNP</v>
      </c>
      <c r="E126" s="26" t="str">
        <f>IFERROR(_xlfn.PERCENTRANK.INC(Table9[True Rank],_xlfn.XLOOKUP(Table1624[[#This Row],[Name]],Table9[Name],Table9[True Rank],"DNP",0,1)),"DNP")</f>
        <v>DNP</v>
      </c>
      <c r="F126" s="26" t="str">
        <f>IFERROR(_xlfn.PERCENTRANK.INC(Table18[True Rank],_xlfn.XLOOKUP(Table1624[[#This Row],[Name]],Table18[Name],Table18[True Rank],"DNP",0,1)),"DNP")</f>
        <v>DNP</v>
      </c>
      <c r="G126" s="26" t="str">
        <f>IFERROR(_xlfn.PERCENTRANK.INC(Table2[True Rank],_xlfn.XLOOKUP(Table1624[[#This Row],[Name]],Table2[Name],Table2[True Rank],"DNP",0,1)),"DNP")</f>
        <v>DNP</v>
      </c>
      <c r="H126" s="26" t="str">
        <f>IFERROR(_xlfn.PERCENTRANK.INC(Table211[True Rank],_xlfn.XLOOKUP(Table1624[[#This Row],[Name]],Table211[Name],Table211[True Rank],"DNP",0,1)),"DNP")</f>
        <v>DNP</v>
      </c>
      <c r="I126" s="26" t="str">
        <f>IFERROR(_xlfn.PERCENTRANK.INC(Table21112[True Rank],_xlfn.XLOOKUP(Table1624[[#This Row],[Name]],Table21112[Name],Table21112[True Rank],"DNP",0,1)),"DNP")</f>
        <v>DNP</v>
      </c>
      <c r="J126" s="26" t="str">
        <f>IFERROR(_xlfn.PERCENTRANK.INC(Table21112164[True Rank],_xlfn.XLOOKUP(Table1624[[#This Row],[Name]],Table21112164[Name],Table21112164[True Rank],"DNP",0,1)),"DNP")</f>
        <v>DNP</v>
      </c>
      <c r="K126" s="26" t="str">
        <f>IFERROR(_xlfn.PERCENTRANK.INC(Table2111216420[True Rank],_xlfn.XLOOKUP(Table1624[[#This Row],[Name]],Table2111216420[Name],Table2111216420[True Rank],"DNP",0,1)),"DNP")</f>
        <v>DNP</v>
      </c>
      <c r="L126" s="26" t="str">
        <f>IFERROR(_xlfn.PERCENTRANK.INC(Table211121642021[True Rank],_xlfn.XLOOKUP(Table1624[[#This Row],[Name]],Table211121642021[Name],Table211121642021[True Rank],"DNP",0,1)),"DNP")</f>
        <v>DNP</v>
      </c>
      <c r="M126" s="26" t="str">
        <f>IFERROR(_xlfn.PERCENTRANK.INC(Table21112164202122[True Rank],_xlfn.XLOOKUP(Table1624[[#This Row],[Name]],Table21112164202122[Name],Table21112164202122[True Rank],"DNP",0,1)),"DNP")</f>
        <v>DNP</v>
      </c>
      <c r="N126" s="26" t="str">
        <f>IFERROR(_xlfn.PERCENTRANK.INC(Table2111216420212223[True Rank],_xlfn.XLOOKUP(Table1624[[#This Row],[Name]],Table2111216420212223[Name],Table2111216420212223[True Rank],"DNP",0,1)),"DNP")</f>
        <v>DNP</v>
      </c>
      <c r="O126" s="26" t="str">
        <f>IFERROR(_xlfn.PERCENTRANK.INC(Table211121642021222325[True Rank],_xlfn.XLOOKUP(Table1624[[#This Row],[Name]],Table211121642021222325[Name],Table211121642021222325[True Rank],"DNP",0,1)),"DNP")</f>
        <v>DNP</v>
      </c>
      <c r="P126" s="26" t="str">
        <f>IFERROR(_xlfn.PERCENTRANK.INC(Table21112164202122232534[True Rank],_xlfn.XLOOKUP(Table1624[[#This Row],[Name]],Table21112164202122232534[Name],Table21112164202122232534[True Rank],"DNP",0,1)),"DNP")</f>
        <v>DNP</v>
      </c>
      <c r="Q1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</row>
    <row r="127" spans="2:33">
      <c r="B127" t="str">
        <f>IFERROR(Table5[[#This Row],[Full name]],"")</f>
        <v>Cameron Minol</v>
      </c>
      <c r="C127" s="108">
        <f>IFERROR(AVERAGE(Table1624[[#This Row],[September 30, 2025]:[Column18]]),"N/A")</f>
        <v>0.24099999999999999</v>
      </c>
      <c r="D127" s="26" t="str">
        <f>IFERROR(_xlfn.PERCENTRANK.INC(Table4[True Rank],_xlfn.XLOOKUP(Table1624[[#This Row],[Name]],Table4[Name],Table4[True Rank],"DNP",0,1)),"DNP")</f>
        <v>DNP</v>
      </c>
      <c r="E127" s="26" t="str">
        <f>IFERROR(_xlfn.PERCENTRANK.INC(Table9[True Rank],_xlfn.XLOOKUP(Table1624[[#This Row],[Name]],Table9[Name],Table9[True Rank],"DNP",0,1)),"DNP")</f>
        <v>DNP</v>
      </c>
      <c r="F127" s="26" t="str">
        <f>IFERROR(_xlfn.PERCENTRANK.INC(Table18[True Rank],_xlfn.XLOOKUP(Table1624[[#This Row],[Name]],Table18[Name],Table18[True Rank],"DNP",0,1)),"DNP")</f>
        <v>DNP</v>
      </c>
      <c r="G127" s="26" t="str">
        <f>IFERROR(_xlfn.PERCENTRANK.INC(Table2[True Rank],_xlfn.XLOOKUP(Table1624[[#This Row],[Name]],Table2[Name],Table2[True Rank],"DNP",0,1)),"DNP")</f>
        <v>DNP</v>
      </c>
      <c r="H127" s="26" t="str">
        <f>IFERROR(_xlfn.PERCENTRANK.INC(Table211[True Rank],_xlfn.XLOOKUP(Table1624[[#This Row],[Name]],Table211[Name],Table211[True Rank],"DNP",0,1)),"DNP")</f>
        <v>DNP</v>
      </c>
      <c r="I127" s="26" t="str">
        <f>IFERROR(_xlfn.PERCENTRANK.INC(Table21112[True Rank],_xlfn.XLOOKUP(Table1624[[#This Row],[Name]],Table21112[Name],Table21112[True Rank],"DNP",0,1)),"DNP")</f>
        <v>DNP</v>
      </c>
      <c r="J127" s="26" t="str">
        <f>IFERROR(_xlfn.PERCENTRANK.INC(Table21112164[True Rank],_xlfn.XLOOKUP(Table1624[[#This Row],[Name]],Table21112164[Name],Table21112164[True Rank],"DNP",0,1)),"DNP")</f>
        <v>DNP</v>
      </c>
      <c r="K127" s="26" t="str">
        <f>IFERROR(_xlfn.PERCENTRANK.INC(Table2111216420[True Rank],_xlfn.XLOOKUP(Table1624[[#This Row],[Name]],Table2111216420[Name],Table2111216420[True Rank],"DNP",0,1)),"DNP")</f>
        <v>DNP</v>
      </c>
      <c r="L127" s="26" t="str">
        <f>IFERROR(_xlfn.PERCENTRANK.INC(Table211121642021[True Rank],_xlfn.XLOOKUP(Table1624[[#This Row],[Name]],Table211121642021[Name],Table211121642021[True Rank],"DNP",0,1)),"DNP")</f>
        <v>DNP</v>
      </c>
      <c r="M127" s="26" t="str">
        <f>IFERROR(_xlfn.PERCENTRANK.INC(Table21112164202122[True Rank],_xlfn.XLOOKUP(Table1624[[#This Row],[Name]],Table21112164202122[Name],Table21112164202122[True Rank],"DNP",0,1)),"DNP")</f>
        <v>DNP</v>
      </c>
      <c r="N127" s="26" t="str">
        <f>IFERROR(_xlfn.PERCENTRANK.INC(Table2111216420212223[True Rank],_xlfn.XLOOKUP(Table1624[[#This Row],[Name]],Table2111216420212223[Name],Table2111216420212223[True Rank],"DNP",0,1)),"DNP")</f>
        <v>DNP</v>
      </c>
      <c r="O127" s="26" t="str">
        <f>IFERROR(_xlfn.PERCENTRANK.INC(Table211121642021222325[True Rank],_xlfn.XLOOKUP(Table1624[[#This Row],[Name]],Table211121642021222325[Name],Table211121642021222325[True Rank],"DNP",0,1)),"DNP")</f>
        <v>DNP</v>
      </c>
      <c r="P127" s="26" t="str">
        <f>IFERROR(_xlfn.PERCENTRANK.INC(Table21112164202122232534[True Rank],_xlfn.XLOOKUP(Table1624[[#This Row],[Name]],Table21112164202122232534[Name],Table21112164202122232534[True Rank],"DNP",0,1)),"DNP")</f>
        <v>DNP</v>
      </c>
      <c r="Q1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7" s="26">
        <f>IFERROR(_xlfn.PERCENTRANK.INC(Table21112164202122232534353637[True Rank],_xlfn.XLOOKUP(Table1624[[#This Row],[Name]],Table21112164202122232534353637[Name],Table21112164202122232534353637[True Rank],"DNP",0,1)),"DNP")</f>
        <v>0.24099999999999999</v>
      </c>
      <c r="T1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</row>
    <row r="128" spans="2:33">
      <c r="B128" t="str">
        <f>IFERROR(Table5[[#This Row],[Full name]],"")</f>
        <v>Carter Hollingsworth</v>
      </c>
      <c r="C128" s="108">
        <f>IFERROR(AVERAGE(Table1624[[#This Row],[September 30, 2025]:[Column18]]),"N/A")</f>
        <v>0.30399999999999999</v>
      </c>
      <c r="D128" s="26" t="str">
        <f>IFERROR(_xlfn.PERCENTRANK.INC(Table4[True Rank],_xlfn.XLOOKUP(Table1624[[#This Row],[Name]],Table4[Name],Table4[True Rank],"DNP",0,1)),"DNP")</f>
        <v>DNP</v>
      </c>
      <c r="E128" s="26" t="str">
        <f>IFERROR(_xlfn.PERCENTRANK.INC(Table9[True Rank],_xlfn.XLOOKUP(Table1624[[#This Row],[Name]],Table9[Name],Table9[True Rank],"DNP",0,1)),"DNP")</f>
        <v>DNP</v>
      </c>
      <c r="F128" s="26" t="str">
        <f>IFERROR(_xlfn.PERCENTRANK.INC(Table18[True Rank],_xlfn.XLOOKUP(Table1624[[#This Row],[Name]],Table18[Name],Table18[True Rank],"DNP",0,1)),"DNP")</f>
        <v>DNP</v>
      </c>
      <c r="G128" s="26" t="str">
        <f>IFERROR(_xlfn.PERCENTRANK.INC(Table2[True Rank],_xlfn.XLOOKUP(Table1624[[#This Row],[Name]],Table2[Name],Table2[True Rank],"DNP",0,1)),"DNP")</f>
        <v>DNP</v>
      </c>
      <c r="H128" s="26" t="str">
        <f>IFERROR(_xlfn.PERCENTRANK.INC(Table211[True Rank],_xlfn.XLOOKUP(Table1624[[#This Row],[Name]],Table211[Name],Table211[True Rank],"DNP",0,1)),"DNP")</f>
        <v>DNP</v>
      </c>
      <c r="I128" s="26" t="str">
        <f>IFERROR(_xlfn.PERCENTRANK.INC(Table21112[True Rank],_xlfn.XLOOKUP(Table1624[[#This Row],[Name]],Table21112[Name],Table21112[True Rank],"DNP",0,1)),"DNP")</f>
        <v>DNP</v>
      </c>
      <c r="J128" s="26" t="str">
        <f>IFERROR(_xlfn.PERCENTRANK.INC(Table21112164[True Rank],_xlfn.XLOOKUP(Table1624[[#This Row],[Name]],Table21112164[Name],Table21112164[True Rank],"DNP",0,1)),"DNP")</f>
        <v>DNP</v>
      </c>
      <c r="K128" s="26" t="str">
        <f>IFERROR(_xlfn.PERCENTRANK.INC(Table2111216420[True Rank],_xlfn.XLOOKUP(Table1624[[#This Row],[Name]],Table2111216420[Name],Table2111216420[True Rank],"DNP",0,1)),"DNP")</f>
        <v>DNP</v>
      </c>
      <c r="L128" s="26" t="str">
        <f>IFERROR(_xlfn.PERCENTRANK.INC(Table211121642021[True Rank],_xlfn.XLOOKUP(Table1624[[#This Row],[Name]],Table211121642021[Name],Table211121642021[True Rank],"DNP",0,1)),"DNP")</f>
        <v>DNP</v>
      </c>
      <c r="M128" s="26" t="str">
        <f>IFERROR(_xlfn.PERCENTRANK.INC(Table21112164202122[True Rank],_xlfn.XLOOKUP(Table1624[[#This Row],[Name]],Table21112164202122[Name],Table21112164202122[True Rank],"DNP",0,1)),"DNP")</f>
        <v>DNP</v>
      </c>
      <c r="N128" s="26" t="str">
        <f>IFERROR(_xlfn.PERCENTRANK.INC(Table2111216420212223[True Rank],_xlfn.XLOOKUP(Table1624[[#This Row],[Name]],Table2111216420212223[Name],Table2111216420212223[True Rank],"DNP",0,1)),"DNP")</f>
        <v>DNP</v>
      </c>
      <c r="O128" s="26" t="str">
        <f>IFERROR(_xlfn.PERCENTRANK.INC(Table211121642021222325[True Rank],_xlfn.XLOOKUP(Table1624[[#This Row],[Name]],Table211121642021222325[Name],Table211121642021222325[True Rank],"DNP",0,1)),"DNP")</f>
        <v>DNP</v>
      </c>
      <c r="P128" s="26" t="str">
        <f>IFERROR(_xlfn.PERCENTRANK.INC(Table21112164202122232534[True Rank],_xlfn.XLOOKUP(Table1624[[#This Row],[Name]],Table21112164202122232534[Name],Table21112164202122232534[True Rank],"DNP",0,1)),"DNP")</f>
        <v>DNP</v>
      </c>
      <c r="Q128" s="26">
        <f>IFERROR(_xlfn.PERCENTRANK.INC(Table2111216420212223253435[True Rank],_xlfn.XLOOKUP(Table1624[[#This Row],[Name]],Table2111216420212223253435[Name],Table2111216420212223253435[True Rank],"DNP",0,1)),"DNP")</f>
        <v>9.2999999999999999E-2</v>
      </c>
      <c r="R128" s="26">
        <f>IFERROR(_xlfn.PERCENTRANK.INC(Table211121642021222325343536[True Rank],_xlfn.XLOOKUP(Table1624[[#This Row],[Name]],Table211121642021222325343536[Name],Table211121642021222325343536[True Rank],"DNP",0,1)),"DNP")</f>
        <v>0.51500000000000001</v>
      </c>
      <c r="S1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</row>
    <row r="129" spans="2:33">
      <c r="B129" t="str">
        <f>IFERROR(Table5[[#This Row],[Full name]],"")</f>
        <v>Charlie Kernaghan</v>
      </c>
      <c r="C129" s="108">
        <f>IFERROR(AVERAGE(Table1624[[#This Row],[September 30, 2025]:[Column18]]),"N/A")</f>
        <v>0.52825</v>
      </c>
      <c r="D129" s="26" t="str">
        <f>IFERROR(_xlfn.PERCENTRANK.INC(Table4[True Rank],_xlfn.XLOOKUP(Table1624[[#This Row],[Name]],Table4[Name],Table4[True Rank],"DNP",0,1)),"DNP")</f>
        <v>DNP</v>
      </c>
      <c r="E129" s="26">
        <f>IFERROR(_xlfn.PERCENTRANK.INC(Table9[True Rank],_xlfn.XLOOKUP(Table1624[[#This Row],[Name]],Table9[Name],Table9[True Rank],"DNP",0,1)),"DNP")</f>
        <v>0.63200000000000001</v>
      </c>
      <c r="F129" s="26" t="str">
        <f>IFERROR(_xlfn.PERCENTRANK.INC(Table18[True Rank],_xlfn.XLOOKUP(Table1624[[#This Row],[Name]],Table18[Name],Table18[True Rank],"DNP",0,1)),"DNP")</f>
        <v>DNP</v>
      </c>
      <c r="G129" s="26">
        <f>IFERROR(_xlfn.PERCENTRANK.INC(Table2[True Rank],_xlfn.XLOOKUP(Table1624[[#This Row],[Name]],Table2[Name],Table2[True Rank],"DNP",0,1)),"DNP")</f>
        <v>0.44</v>
      </c>
      <c r="H129" s="26" t="str">
        <f>IFERROR(_xlfn.PERCENTRANK.INC(Table211[True Rank],_xlfn.XLOOKUP(Table1624[[#This Row],[Name]],Table211[Name],Table211[True Rank],"DNP",0,1)),"DNP")</f>
        <v>DNP</v>
      </c>
      <c r="I129" s="26" t="str">
        <f>IFERROR(_xlfn.PERCENTRANK.INC(Table21112[True Rank],_xlfn.XLOOKUP(Table1624[[#This Row],[Name]],Table21112[Name],Table21112[True Rank],"DNP",0,1)),"DNP")</f>
        <v>DNP</v>
      </c>
      <c r="J129" s="26">
        <f>IFERROR(_xlfn.PERCENTRANK.INC(Table21112164[True Rank],_xlfn.XLOOKUP(Table1624[[#This Row],[Name]],Table21112164[Name],Table21112164[True Rank],"DNP",0,1)),"DNP")</f>
        <v>0.40400000000000003</v>
      </c>
      <c r="K129" s="26" t="str">
        <f>IFERROR(_xlfn.PERCENTRANK.INC(Table2111216420[True Rank],_xlfn.XLOOKUP(Table1624[[#This Row],[Name]],Table2111216420[Name],Table2111216420[True Rank],"DNP",0,1)),"DNP")</f>
        <v>DNP</v>
      </c>
      <c r="L129" s="26" t="str">
        <f>IFERROR(_xlfn.PERCENTRANK.INC(Table211121642021[True Rank],_xlfn.XLOOKUP(Table1624[[#This Row],[Name]],Table211121642021[Name],Table211121642021[True Rank],"DNP",0,1)),"DNP")</f>
        <v>DNP</v>
      </c>
      <c r="M129" s="26" t="str">
        <f>IFERROR(_xlfn.PERCENTRANK.INC(Table21112164202122[True Rank],_xlfn.XLOOKUP(Table1624[[#This Row],[Name]],Table21112164202122[Name],Table21112164202122[True Rank],"DNP",0,1)),"DNP")</f>
        <v>DNP</v>
      </c>
      <c r="N129" s="26">
        <f>IFERROR(_xlfn.PERCENTRANK.INC(Table2111216420212223[True Rank],_xlfn.XLOOKUP(Table1624[[#This Row],[Name]],Table2111216420212223[Name],Table2111216420212223[True Rank],"DNP",0,1)),"DNP")</f>
        <v>0.63700000000000001</v>
      </c>
      <c r="O129" s="26" t="str">
        <f>IFERROR(_xlfn.PERCENTRANK.INC(Table211121642021222325[True Rank],_xlfn.XLOOKUP(Table1624[[#This Row],[Name]],Table211121642021222325[Name],Table211121642021222325[True Rank],"DNP",0,1)),"DNP")</f>
        <v>DNP</v>
      </c>
      <c r="P129" s="26" t="str">
        <f>IFERROR(_xlfn.PERCENTRANK.INC(Table21112164202122232534[True Rank],_xlfn.XLOOKUP(Table1624[[#This Row],[Name]],Table21112164202122232534[Name],Table21112164202122232534[True Rank],"DNP",0,1)),"DNP")</f>
        <v>DNP</v>
      </c>
      <c r="Q1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</row>
    <row r="130" spans="2:33">
      <c r="B130" t="str">
        <f>IFERROR(Table5[[#This Row],[Full name]],"")</f>
        <v>Charlie Fry</v>
      </c>
      <c r="C130" s="108">
        <f>IFERROR(AVERAGE(Table1624[[#This Row],[September 30, 2025]:[Column18]]),"N/A")</f>
        <v>0.90800000000000003</v>
      </c>
      <c r="D130" s="26" t="str">
        <f>IFERROR(_xlfn.PERCENTRANK.INC(Table4[True Rank],_xlfn.XLOOKUP(Table1624[[#This Row],[Name]],Table4[Name],Table4[True Rank],"DNP",0,1)),"DNP")</f>
        <v>DNP</v>
      </c>
      <c r="E130" s="26">
        <f>IFERROR(_xlfn.PERCENTRANK.INC(Table9[True Rank],_xlfn.XLOOKUP(Table1624[[#This Row],[Name]],Table9[Name],Table9[True Rank],"DNP",0,1)),"DNP")</f>
        <v>0.90800000000000003</v>
      </c>
      <c r="F130" s="26" t="str">
        <f>IFERROR(_xlfn.PERCENTRANK.INC(Table18[True Rank],_xlfn.XLOOKUP(Table1624[[#This Row],[Name]],Table18[Name],Table18[True Rank],"DNP",0,1)),"DNP")</f>
        <v>DNP</v>
      </c>
      <c r="G130" s="26" t="str">
        <f>IFERROR(_xlfn.PERCENTRANK.INC(Table2[True Rank],_xlfn.XLOOKUP(Table1624[[#This Row],[Name]],Table2[Name],Table2[True Rank],"DNP",0,1)),"DNP")</f>
        <v>DNP</v>
      </c>
      <c r="H130" s="26" t="str">
        <f>IFERROR(_xlfn.PERCENTRANK.INC(Table211[True Rank],_xlfn.XLOOKUP(Table1624[[#This Row],[Name]],Table211[Name],Table211[True Rank],"DNP",0,1)),"DNP")</f>
        <v>DNP</v>
      </c>
      <c r="I130" s="26" t="str">
        <f>IFERROR(_xlfn.PERCENTRANK.INC(Table21112[True Rank],_xlfn.XLOOKUP(Table1624[[#This Row],[Name]],Table21112[Name],Table21112[True Rank],"DNP",0,1)),"DNP")</f>
        <v>DNP</v>
      </c>
      <c r="J130" s="26" t="str">
        <f>IFERROR(_xlfn.PERCENTRANK.INC(Table21112164[True Rank],_xlfn.XLOOKUP(Table1624[[#This Row],[Name]],Table21112164[Name],Table21112164[True Rank],"DNP",0,1)),"DNP")</f>
        <v>DNP</v>
      </c>
      <c r="K130" s="26" t="str">
        <f>IFERROR(_xlfn.PERCENTRANK.INC(Table2111216420[True Rank],_xlfn.XLOOKUP(Table1624[[#This Row],[Name]],Table2111216420[Name],Table2111216420[True Rank],"DNP",0,1)),"DNP")</f>
        <v>DNP</v>
      </c>
      <c r="L130" s="26" t="str">
        <f>IFERROR(_xlfn.PERCENTRANK.INC(Table211121642021[True Rank],_xlfn.XLOOKUP(Table1624[[#This Row],[Name]],Table211121642021[Name],Table211121642021[True Rank],"DNP",0,1)),"DNP")</f>
        <v>DNP</v>
      </c>
      <c r="M130" s="26" t="str">
        <f>IFERROR(_xlfn.PERCENTRANK.INC(Table21112164202122[True Rank],_xlfn.XLOOKUP(Table1624[[#This Row],[Name]],Table21112164202122[Name],Table21112164202122[True Rank],"DNP",0,1)),"DNP")</f>
        <v>DNP</v>
      </c>
      <c r="N130" s="26" t="str">
        <f>IFERROR(_xlfn.PERCENTRANK.INC(Table2111216420212223[True Rank],_xlfn.XLOOKUP(Table1624[[#This Row],[Name]],Table2111216420212223[Name],Table2111216420212223[True Rank],"DNP",0,1)),"DNP")</f>
        <v>DNP</v>
      </c>
      <c r="O130" s="26" t="str">
        <f>IFERROR(_xlfn.PERCENTRANK.INC(Table211121642021222325[True Rank],_xlfn.XLOOKUP(Table1624[[#This Row],[Name]],Table211121642021222325[Name],Table211121642021222325[True Rank],"DNP",0,1)),"DNP")</f>
        <v>DNP</v>
      </c>
      <c r="P130" s="26" t="str">
        <f>IFERROR(_xlfn.PERCENTRANK.INC(Table21112164202122232534[True Rank],_xlfn.XLOOKUP(Table1624[[#This Row],[Name]],Table21112164202122232534[Name],Table21112164202122232534[True Rank],"DNP",0,1)),"DNP")</f>
        <v>DNP</v>
      </c>
      <c r="Q13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 spans="2:33">
      <c r="B131" t="str">
        <f>IFERROR(Table5[[#This Row],[Full name]],"")</f>
        <v>Chris Kim</v>
      </c>
      <c r="C131" s="108">
        <f>IFERROR(AVERAGE(Table1624[[#This Row],[September 30, 2025]:[Column18]]),"N/A")</f>
        <v>0.33087500000000003</v>
      </c>
      <c r="D131" s="26" t="str">
        <f>IFERROR(_xlfn.PERCENTRANK.INC(Table4[True Rank],_xlfn.XLOOKUP(Table1624[[#This Row],[Name]],Table4[Name],Table4[True Rank],"DNP",0,1)),"DNP")</f>
        <v>DNP</v>
      </c>
      <c r="E131" s="26" t="str">
        <f>IFERROR(_xlfn.PERCENTRANK.INC(Table9[True Rank],_xlfn.XLOOKUP(Table1624[[#This Row],[Name]],Table9[Name],Table9[True Rank],"DNP",0,1)),"DNP")</f>
        <v>DNP</v>
      </c>
      <c r="F131" s="26">
        <f>IFERROR(_xlfn.PERCENTRANK.INC(Table18[True Rank],_xlfn.XLOOKUP(Table1624[[#This Row],[Name]],Table18[Name],Table18[True Rank],"DNP",0,1)),"DNP")</f>
        <v>0.505</v>
      </c>
      <c r="G131" s="26" t="str">
        <f>IFERROR(_xlfn.PERCENTRANK.INC(Table2[True Rank],_xlfn.XLOOKUP(Table1624[[#This Row],[Name]],Table2[Name],Table2[True Rank],"DNP",0,1)),"DNP")</f>
        <v>DNP</v>
      </c>
      <c r="H131" s="26">
        <f>IFERROR(_xlfn.PERCENTRANK.INC(Table211[True Rank],_xlfn.XLOOKUP(Table1624[[#This Row],[Name]],Table211[Name],Table211[True Rank],"DNP",0,1)),"DNP")</f>
        <v>0.47799999999999998</v>
      </c>
      <c r="I131" s="26">
        <f>IFERROR(_xlfn.PERCENTRANK.INC(Table21112[True Rank],_xlfn.XLOOKUP(Table1624[[#This Row],[Name]],Table21112[Name],Table21112[True Rank],"DNP",0,1)),"DNP")</f>
        <v>3.7999999999999999E-2</v>
      </c>
      <c r="J131" s="26">
        <f>IFERROR(_xlfn.PERCENTRANK.INC(Table21112164[True Rank],_xlfn.XLOOKUP(Table1624[[#This Row],[Name]],Table21112164[Name],Table21112164[True Rank],"DNP",0,1)),"DNP")</f>
        <v>0.58399999999999996</v>
      </c>
      <c r="K131" s="26" t="str">
        <f>IFERROR(_xlfn.PERCENTRANK.INC(Table2111216420[True Rank],_xlfn.XLOOKUP(Table1624[[#This Row],[Name]],Table2111216420[Name],Table2111216420[True Rank],"DNP",0,1)),"DNP")</f>
        <v>DNP</v>
      </c>
      <c r="L131" s="26">
        <f>IFERROR(_xlfn.PERCENTRANK.INC(Table211121642021[True Rank],_xlfn.XLOOKUP(Table1624[[#This Row],[Name]],Table211121642021[Name],Table211121642021[True Rank],"DNP",0,1)),"DNP")</f>
        <v>0.49399999999999999</v>
      </c>
      <c r="M131" s="26" t="str">
        <f>IFERROR(_xlfn.PERCENTRANK.INC(Table21112164202122[True Rank],_xlfn.XLOOKUP(Table1624[[#This Row],[Name]],Table21112164202122[Name],Table21112164202122[True Rank],"DNP",0,1)),"DNP")</f>
        <v>DNP</v>
      </c>
      <c r="N131" s="26" t="str">
        <f>IFERROR(_xlfn.PERCENTRANK.INC(Table2111216420212223[True Rank],_xlfn.XLOOKUP(Table1624[[#This Row],[Name]],Table2111216420212223[Name],Table2111216420212223[True Rank],"DNP",0,1)),"DNP")</f>
        <v>DNP</v>
      </c>
      <c r="O131" s="26">
        <f>IFERROR(_xlfn.PERCENTRANK.INC(Table211121642021222325[True Rank],_xlfn.XLOOKUP(Table1624[[#This Row],[Name]],Table211121642021222325[Name],Table211121642021222325[True Rank],"DNP",0,1)),"DNP")</f>
        <v>2.1000000000000001E-2</v>
      </c>
      <c r="P131" s="26">
        <f>IFERROR(_xlfn.PERCENTRANK.INC(Table21112164202122232534[True Rank],_xlfn.XLOOKUP(Table1624[[#This Row],[Name]],Table21112164202122232534[Name],Table21112164202122232534[True Rank],"DNP",0,1)),"DNP")</f>
        <v>0</v>
      </c>
      <c r="Q1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1" s="26">
        <f>IFERROR(_xlfn.PERCENTRANK.INC(Table2111216420212223253435363738[True Rank],_xlfn.XLOOKUP(Table1624[[#This Row],[Name]],Table2111216420212223253435363738[Name],Table2111216420212223253435363738[True Rank],"DNP",0,1)),"DNP")</f>
        <v>0.52700000000000002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 spans="2:33">
      <c r="B132" t="str">
        <f>IFERROR(Table5[[#This Row],[Full name]],"")</f>
        <v>Christopher Grieve</v>
      </c>
      <c r="C132" s="108" t="str">
        <f>IFERROR(AVERAGE(Table1624[[#This Row],[September 30, 2025]:[Column18]]),"N/A")</f>
        <v>N/A</v>
      </c>
      <c r="D132" s="26" t="str">
        <f>IFERROR(_xlfn.PERCENTRANK.INC(Table4[True Rank],_xlfn.XLOOKUP(Table1624[[#This Row],[Name]],Table4[Name],Table4[True Rank],"DNP",0,1)),"DNP")</f>
        <v>DNP</v>
      </c>
      <c r="E132" s="26" t="str">
        <f>IFERROR(_xlfn.PERCENTRANK.INC(Table9[True Rank],_xlfn.XLOOKUP(Table1624[[#This Row],[Name]],Table9[Name],Table9[True Rank],"DNP",0,1)),"DNP")</f>
        <v>DNP</v>
      </c>
      <c r="F132" s="26" t="str">
        <f>IFERROR(_xlfn.PERCENTRANK.INC(Table18[True Rank],_xlfn.XLOOKUP(Table1624[[#This Row],[Name]],Table18[Name],Table18[True Rank],"DNP",0,1)),"DNP")</f>
        <v>DNP</v>
      </c>
      <c r="G132" s="26" t="str">
        <f>IFERROR(_xlfn.PERCENTRANK.INC(Table2[True Rank],_xlfn.XLOOKUP(Table1624[[#This Row],[Name]],Table2[Name],Table2[True Rank],"DNP",0,1)),"DNP")</f>
        <v>DNP</v>
      </c>
      <c r="H132" s="26" t="str">
        <f>IFERROR(_xlfn.PERCENTRANK.INC(Table211[True Rank],_xlfn.XLOOKUP(Table1624[[#This Row],[Name]],Table211[Name],Table211[True Rank],"DNP",0,1)),"DNP")</f>
        <v>DNP</v>
      </c>
      <c r="I132" s="26" t="str">
        <f>IFERROR(_xlfn.PERCENTRANK.INC(Table21112[True Rank],_xlfn.XLOOKUP(Table1624[[#This Row],[Name]],Table21112[Name],Table21112[True Rank],"DNP",0,1)),"DNP")</f>
        <v>DNP</v>
      </c>
      <c r="J132" s="26" t="str">
        <f>IFERROR(_xlfn.PERCENTRANK.INC(Table21112164[True Rank],_xlfn.XLOOKUP(Table1624[[#This Row],[Name]],Table21112164[Name],Table21112164[True Rank],"DNP",0,1)),"DNP")</f>
        <v>DNP</v>
      </c>
      <c r="K132" s="26" t="str">
        <f>IFERROR(_xlfn.PERCENTRANK.INC(Table2111216420[True Rank],_xlfn.XLOOKUP(Table1624[[#This Row],[Name]],Table2111216420[Name],Table2111216420[True Rank],"DNP",0,1)),"DNP")</f>
        <v>DNP</v>
      </c>
      <c r="L132" s="26" t="str">
        <f>IFERROR(_xlfn.PERCENTRANK.INC(Table211121642021[True Rank],_xlfn.XLOOKUP(Table1624[[#This Row],[Name]],Table211121642021[Name],Table211121642021[True Rank],"DNP",0,1)),"DNP")</f>
        <v>DNP</v>
      </c>
      <c r="M132" s="26" t="str">
        <f>IFERROR(_xlfn.PERCENTRANK.INC(Table21112164202122[True Rank],_xlfn.XLOOKUP(Table1624[[#This Row],[Name]],Table21112164202122[Name],Table21112164202122[True Rank],"DNP",0,1)),"DNP")</f>
        <v>DNP</v>
      </c>
      <c r="N132" s="26" t="str">
        <f>IFERROR(_xlfn.PERCENTRANK.INC(Table2111216420212223[True Rank],_xlfn.XLOOKUP(Table1624[[#This Row],[Name]],Table2111216420212223[Name],Table2111216420212223[True Rank],"DNP",0,1)),"DNP")</f>
        <v>DNP</v>
      </c>
      <c r="O132" s="26" t="str">
        <f>IFERROR(_xlfn.PERCENTRANK.INC(Table211121642021222325[True Rank],_xlfn.XLOOKUP(Table1624[[#This Row],[Name]],Table211121642021222325[Name],Table211121642021222325[True Rank],"DNP",0,1)),"DNP")</f>
        <v>DNP</v>
      </c>
      <c r="P132" s="26" t="str">
        <f>IFERROR(_xlfn.PERCENTRANK.INC(Table21112164202122232534[True Rank],_xlfn.XLOOKUP(Table1624[[#This Row],[Name]],Table21112164202122232534[Name],Table21112164202122232534[True Rank],"DNP",0,1)),"DNP")</f>
        <v>DNP</v>
      </c>
      <c r="Q13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 spans="2:33">
      <c r="B133" t="str">
        <f>IFERROR(Table5[[#This Row],[Full name]],"")</f>
        <v>Clara Chen</v>
      </c>
      <c r="C133" s="108">
        <f>IFERROR(AVERAGE(Table1624[[#This Row],[September 30, 2025]:[Column18]]),"N/A")</f>
        <v>0.77949999999999997</v>
      </c>
      <c r="D133" s="26" t="str">
        <f>IFERROR(_xlfn.PERCENTRANK.INC(Table4[True Rank],_xlfn.XLOOKUP(Table1624[[#This Row],[Name]],Table4[Name],Table4[True Rank],"DNP",0,1)),"DNP")</f>
        <v>DNP</v>
      </c>
      <c r="E133" s="26" t="str">
        <f>IFERROR(_xlfn.PERCENTRANK.INC(Table9[True Rank],_xlfn.XLOOKUP(Table1624[[#This Row],[Name]],Table9[Name],Table9[True Rank],"DNP",0,1)),"DNP")</f>
        <v>DNP</v>
      </c>
      <c r="F133" s="26" t="str">
        <f>IFERROR(_xlfn.PERCENTRANK.INC(Table18[True Rank],_xlfn.XLOOKUP(Table1624[[#This Row],[Name]],Table18[Name],Table18[True Rank],"DNP",0,1)),"DNP")</f>
        <v>DNP</v>
      </c>
      <c r="G133" s="26" t="str">
        <f>IFERROR(_xlfn.PERCENTRANK.INC(Table2[True Rank],_xlfn.XLOOKUP(Table1624[[#This Row],[Name]],Table2[Name],Table2[True Rank],"DNP",0,1)),"DNP")</f>
        <v>DNP</v>
      </c>
      <c r="H133" s="26" t="str">
        <f>IFERROR(_xlfn.PERCENTRANK.INC(Table211[True Rank],_xlfn.XLOOKUP(Table1624[[#This Row],[Name]],Table211[Name],Table211[True Rank],"DNP",0,1)),"DNP")</f>
        <v>DNP</v>
      </c>
      <c r="I133" s="26" t="str">
        <f>IFERROR(_xlfn.PERCENTRANK.INC(Table21112[True Rank],_xlfn.XLOOKUP(Table1624[[#This Row],[Name]],Table21112[Name],Table21112[True Rank],"DNP",0,1)),"DNP")</f>
        <v>DNP</v>
      </c>
      <c r="J133" s="26">
        <f>IFERROR(_xlfn.PERCENTRANK.INC(Table21112164[True Rank],_xlfn.XLOOKUP(Table1624[[#This Row],[Name]],Table21112164[Name],Table21112164[True Rank],"DNP",0,1)),"DNP")</f>
        <v>0.69599999999999995</v>
      </c>
      <c r="K133" s="26" t="str">
        <f>IFERROR(_xlfn.PERCENTRANK.INC(Table2111216420[True Rank],_xlfn.XLOOKUP(Table1624[[#This Row],[Name]],Table2111216420[Name],Table2111216420[True Rank],"DNP",0,1)),"DNP")</f>
        <v>DNP</v>
      </c>
      <c r="L133" s="26" t="str">
        <f>IFERROR(_xlfn.PERCENTRANK.INC(Table211121642021[True Rank],_xlfn.XLOOKUP(Table1624[[#This Row],[Name]],Table211121642021[Name],Table211121642021[True Rank],"DNP",0,1)),"DNP")</f>
        <v>DNP</v>
      </c>
      <c r="M133" s="26" t="str">
        <f>IFERROR(_xlfn.PERCENTRANK.INC(Table21112164202122[True Rank],_xlfn.XLOOKUP(Table1624[[#This Row],[Name]],Table21112164202122[Name],Table21112164202122[True Rank],"DNP",0,1)),"DNP")</f>
        <v>DNP</v>
      </c>
      <c r="N133" s="26" t="str">
        <f>IFERROR(_xlfn.PERCENTRANK.INC(Table2111216420212223[True Rank],_xlfn.XLOOKUP(Table1624[[#This Row],[Name]],Table2111216420212223[Name],Table2111216420212223[True Rank],"DNP",0,1)),"DNP")</f>
        <v>DNP</v>
      </c>
      <c r="O133" s="26" t="str">
        <f>IFERROR(_xlfn.PERCENTRANK.INC(Table211121642021222325[True Rank],_xlfn.XLOOKUP(Table1624[[#This Row],[Name]],Table211121642021222325[Name],Table211121642021222325[True Rank],"DNP",0,1)),"DNP")</f>
        <v>DNP</v>
      </c>
      <c r="P133" s="26" t="str">
        <f>IFERROR(_xlfn.PERCENTRANK.INC(Table21112164202122232534[True Rank],_xlfn.XLOOKUP(Table1624[[#This Row],[Name]],Table21112164202122232534[Name],Table21112164202122232534[True Rank],"DNP",0,1)),"DNP")</f>
        <v>DNP</v>
      </c>
      <c r="Q1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3" s="26">
        <f>IFERROR(_xlfn.PERCENTRANK.INC(Table211121642021222325343536[True Rank],_xlfn.XLOOKUP(Table1624[[#This Row],[Name]],Table211121642021222325343536[Name],Table211121642021222325343536[True Rank],"DNP",0,1)),"DNP")</f>
        <v>0.86299999999999999</v>
      </c>
      <c r="S1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 spans="2:33">
      <c r="B134" t="str">
        <f>IFERROR(Table5[[#This Row],[Full name]],"")</f>
        <v>Connor Hung</v>
      </c>
      <c r="C134" s="108" t="str">
        <f>IFERROR(AVERAGE(Table1624[[#This Row],[September 30, 2025]:[Column18]]),"N/A")</f>
        <v>N/A</v>
      </c>
      <c r="D134" s="26" t="str">
        <f>IFERROR(_xlfn.PERCENTRANK.INC(Table4[True Rank],_xlfn.XLOOKUP(Table1624[[#This Row],[Name]],Table4[Name],Table4[True Rank],"DNP",0,1)),"DNP")</f>
        <v>DNP</v>
      </c>
      <c r="E134" s="26" t="str">
        <f>IFERROR(_xlfn.PERCENTRANK.INC(Table9[True Rank],_xlfn.XLOOKUP(Table1624[[#This Row],[Name]],Table9[Name],Table9[True Rank],"DNP",0,1)),"DNP")</f>
        <v>DNP</v>
      </c>
      <c r="F134" s="26" t="str">
        <f>IFERROR(_xlfn.PERCENTRANK.INC(Table18[True Rank],_xlfn.XLOOKUP(Table1624[[#This Row],[Name]],Table18[Name],Table18[True Rank],"DNP",0,1)),"DNP")</f>
        <v>DNP</v>
      </c>
      <c r="G134" s="26" t="str">
        <f>IFERROR(_xlfn.PERCENTRANK.INC(Table2[True Rank],_xlfn.XLOOKUP(Table1624[[#This Row],[Name]],Table2[Name],Table2[True Rank],"DNP",0,1)),"DNP")</f>
        <v>DNP</v>
      </c>
      <c r="H134" s="26" t="str">
        <f>IFERROR(_xlfn.PERCENTRANK.INC(Table211[True Rank],_xlfn.XLOOKUP(Table1624[[#This Row],[Name]],Table211[Name],Table211[True Rank],"DNP",0,1)),"DNP")</f>
        <v>DNP</v>
      </c>
      <c r="I134" s="26" t="str">
        <f>IFERROR(_xlfn.PERCENTRANK.INC(Table21112[True Rank],_xlfn.XLOOKUP(Table1624[[#This Row],[Name]],Table21112[Name],Table21112[True Rank],"DNP",0,1)),"DNP")</f>
        <v>DNP</v>
      </c>
      <c r="J134" s="26" t="str">
        <f>IFERROR(_xlfn.PERCENTRANK.INC(Table21112164[True Rank],_xlfn.XLOOKUP(Table1624[[#This Row],[Name]],Table21112164[Name],Table21112164[True Rank],"DNP",0,1)),"DNP")</f>
        <v>DNP</v>
      </c>
      <c r="K134" s="26" t="str">
        <f>IFERROR(_xlfn.PERCENTRANK.INC(Table2111216420[True Rank],_xlfn.XLOOKUP(Table1624[[#This Row],[Name]],Table2111216420[Name],Table2111216420[True Rank],"DNP",0,1)),"DNP")</f>
        <v>DNP</v>
      </c>
      <c r="L134" s="26" t="str">
        <f>IFERROR(_xlfn.PERCENTRANK.INC(Table211121642021[True Rank],_xlfn.XLOOKUP(Table1624[[#This Row],[Name]],Table211121642021[Name],Table211121642021[True Rank],"DNP",0,1)),"DNP")</f>
        <v>DNP</v>
      </c>
      <c r="M134" s="26" t="str">
        <f>IFERROR(_xlfn.PERCENTRANK.INC(Table21112164202122[True Rank],_xlfn.XLOOKUP(Table1624[[#This Row],[Name]],Table21112164202122[Name],Table21112164202122[True Rank],"DNP",0,1)),"DNP")</f>
        <v>DNP</v>
      </c>
      <c r="N134" s="26" t="str">
        <f>IFERROR(_xlfn.PERCENTRANK.INC(Table2111216420212223[True Rank],_xlfn.XLOOKUP(Table1624[[#This Row],[Name]],Table2111216420212223[Name],Table2111216420212223[True Rank],"DNP",0,1)),"DNP")</f>
        <v>DNP</v>
      </c>
      <c r="O134" s="26" t="str">
        <f>IFERROR(_xlfn.PERCENTRANK.INC(Table211121642021222325[True Rank],_xlfn.XLOOKUP(Table1624[[#This Row],[Name]],Table211121642021222325[Name],Table211121642021222325[True Rank],"DNP",0,1)),"DNP")</f>
        <v>DNP</v>
      </c>
      <c r="P134" s="26" t="str">
        <f>IFERROR(_xlfn.PERCENTRANK.INC(Table21112164202122232534[True Rank],_xlfn.XLOOKUP(Table1624[[#This Row],[Name]],Table21112164202122232534[Name],Table21112164202122232534[True Rank],"DNP",0,1)),"DNP")</f>
        <v>DNP</v>
      </c>
      <c r="Q13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 spans="2:33">
      <c r="B135" t="str">
        <f>IFERROR(Table5[[#This Row],[Full name]],"")</f>
        <v>Curtis Elve</v>
      </c>
      <c r="C135" s="108">
        <f>IFERROR(AVERAGE(Table1624[[#This Row],[September 30, 2025]:[Column18]]),"N/A")</f>
        <v>0.39649999999999996</v>
      </c>
      <c r="D135" s="26" t="str">
        <f>IFERROR(_xlfn.PERCENTRANK.INC(Table4[True Rank],_xlfn.XLOOKUP(Table1624[[#This Row],[Name]],Table4[Name],Table4[True Rank],"DNP",0,1)),"DNP")</f>
        <v>DNP</v>
      </c>
      <c r="E135" s="26" t="str">
        <f>IFERROR(_xlfn.PERCENTRANK.INC(Table9[True Rank],_xlfn.XLOOKUP(Table1624[[#This Row],[Name]],Table9[Name],Table9[True Rank],"DNP",0,1)),"DNP")</f>
        <v>DNP</v>
      </c>
      <c r="F135" s="26" t="str">
        <f>IFERROR(_xlfn.PERCENTRANK.INC(Table18[True Rank],_xlfn.XLOOKUP(Table1624[[#This Row],[Name]],Table18[Name],Table18[True Rank],"DNP",0,1)),"DNP")</f>
        <v>DNP</v>
      </c>
      <c r="G135" s="26" t="str">
        <f>IFERROR(_xlfn.PERCENTRANK.INC(Table2[True Rank],_xlfn.XLOOKUP(Table1624[[#This Row],[Name]],Table2[Name],Table2[True Rank],"DNP",0,1)),"DNP")</f>
        <v>DNP</v>
      </c>
      <c r="H135" s="26" t="str">
        <f>IFERROR(_xlfn.PERCENTRANK.INC(Table211[True Rank],_xlfn.XLOOKUP(Table1624[[#This Row],[Name]],Table211[Name],Table211[True Rank],"DNP",0,1)),"DNP")</f>
        <v>DNP</v>
      </c>
      <c r="I135" s="26" t="str">
        <f>IFERROR(_xlfn.PERCENTRANK.INC(Table21112[True Rank],_xlfn.XLOOKUP(Table1624[[#This Row],[Name]],Table21112[Name],Table21112[True Rank],"DNP",0,1)),"DNP")</f>
        <v>DNP</v>
      </c>
      <c r="J135" s="26" t="str">
        <f>IFERROR(_xlfn.PERCENTRANK.INC(Table21112164[True Rank],_xlfn.XLOOKUP(Table1624[[#This Row],[Name]],Table21112164[Name],Table21112164[True Rank],"DNP",0,1)),"DNP")</f>
        <v>DNP</v>
      </c>
      <c r="K135" s="26" t="str">
        <f>IFERROR(_xlfn.PERCENTRANK.INC(Table2111216420[True Rank],_xlfn.XLOOKUP(Table1624[[#This Row],[Name]],Table2111216420[Name],Table2111216420[True Rank],"DNP",0,1)),"DNP")</f>
        <v>DNP</v>
      </c>
      <c r="L135" s="26" t="str">
        <f>IFERROR(_xlfn.PERCENTRANK.INC(Table211121642021[True Rank],_xlfn.XLOOKUP(Table1624[[#This Row],[Name]],Table211121642021[Name],Table211121642021[True Rank],"DNP",0,1)),"DNP")</f>
        <v>DNP</v>
      </c>
      <c r="M135" s="26" t="str">
        <f>IFERROR(_xlfn.PERCENTRANK.INC(Table21112164202122[True Rank],_xlfn.XLOOKUP(Table1624[[#This Row],[Name]],Table21112164202122[Name],Table21112164202122[True Rank],"DNP",0,1)),"DNP")</f>
        <v>DNP</v>
      </c>
      <c r="N135" s="26" t="str">
        <f>IFERROR(_xlfn.PERCENTRANK.INC(Table2111216420212223[True Rank],_xlfn.XLOOKUP(Table1624[[#This Row],[Name]],Table2111216420212223[Name],Table2111216420212223[True Rank],"DNP",0,1)),"DNP")</f>
        <v>DNP</v>
      </c>
      <c r="O135" s="26">
        <f>IFERROR(_xlfn.PERCENTRANK.INC(Table211121642021222325[True Rank],_xlfn.XLOOKUP(Table1624[[#This Row],[Name]],Table211121642021222325[Name],Table211121642021222325[True Rank],"DNP",0,1)),"DNP")</f>
        <v>0.94499999999999995</v>
      </c>
      <c r="P135" s="26" t="str">
        <f>IFERROR(_xlfn.PERCENTRANK.INC(Table21112164202122232534[True Rank],_xlfn.XLOOKUP(Table1624[[#This Row],[Name]],Table21112164202122232534[Name],Table21112164202122232534[True Rank],"DNP",0,1)),"DNP")</f>
        <v>DNP</v>
      </c>
      <c r="Q1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5" s="26">
        <f>IFERROR(_xlfn.PERCENTRANK.INC(Table211121642021222325343536[True Rank],_xlfn.XLOOKUP(Table1624[[#This Row],[Name]],Table211121642021222325343536[Name],Table211121642021222325343536[True Rank],"DNP",0,1)),"DNP")</f>
        <v>1.4999999999999999E-2</v>
      </c>
      <c r="S135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135" s="26">
        <f>IFERROR(_xlfn.PERCENTRANK.INC(Table2111216420212223253435363738[True Rank],_xlfn.XLOOKUP(Table1624[[#This Row],[Name]],Table2111216420212223253435363738[Name],Table2111216420212223253435363738[True Rank],"DNP",0,1)),"DNP")</f>
        <v>0.109</v>
      </c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 spans="2:33">
      <c r="B136" t="str">
        <f>IFERROR(Table5[[#This Row],[Full name]],"")</f>
        <v>Dami Oyefeso</v>
      </c>
      <c r="C136" s="108">
        <f>IFERROR(AVERAGE(Table1624[[#This Row],[September 30, 2025]:[Column18]]),"N/A")</f>
        <v>0.23300000000000001</v>
      </c>
      <c r="D136" s="26" t="str">
        <f>IFERROR(_xlfn.PERCENTRANK.INC(Table4[True Rank],_xlfn.XLOOKUP(Table1624[[#This Row],[Name]],Table4[Name],Table4[True Rank],"DNP",0,1)),"DNP")</f>
        <v>DNP</v>
      </c>
      <c r="E136" s="26">
        <f>IFERROR(_xlfn.PERCENTRANK.INC(Table9[True Rank],_xlfn.XLOOKUP(Table1624[[#This Row],[Name]],Table9[Name],Table9[True Rank],"DNP",0,1)),"DNP")</f>
        <v>0.40200000000000002</v>
      </c>
      <c r="F136" s="26" t="str">
        <f>IFERROR(_xlfn.PERCENTRANK.INC(Table18[True Rank],_xlfn.XLOOKUP(Table1624[[#This Row],[Name]],Table18[Name],Table18[True Rank],"DNP",0,1)),"DNP")</f>
        <v>DNP</v>
      </c>
      <c r="G136" s="26" t="str">
        <f>IFERROR(_xlfn.PERCENTRANK.INC(Table2[True Rank],_xlfn.XLOOKUP(Table1624[[#This Row],[Name]],Table2[Name],Table2[True Rank],"DNP",0,1)),"DNP")</f>
        <v>DNP</v>
      </c>
      <c r="H136" s="26" t="str">
        <f>IFERROR(_xlfn.PERCENTRANK.INC(Table211[True Rank],_xlfn.XLOOKUP(Table1624[[#This Row],[Name]],Table211[Name],Table211[True Rank],"DNP",0,1)),"DNP")</f>
        <v>DNP</v>
      </c>
      <c r="I136" s="26">
        <f>IFERROR(_xlfn.PERCENTRANK.INC(Table21112[True Rank],_xlfn.XLOOKUP(Table1624[[#This Row],[Name]],Table21112[Name],Table21112[True Rank],"DNP",0,1)),"DNP")</f>
        <v>6.4000000000000001E-2</v>
      </c>
      <c r="J136" s="26" t="str">
        <f>IFERROR(_xlfn.PERCENTRANK.INC(Table21112164[True Rank],_xlfn.XLOOKUP(Table1624[[#This Row],[Name]],Table21112164[Name],Table21112164[True Rank],"DNP",0,1)),"DNP")</f>
        <v>DNP</v>
      </c>
      <c r="K136" s="26" t="str">
        <f>IFERROR(_xlfn.PERCENTRANK.INC(Table2111216420[True Rank],_xlfn.XLOOKUP(Table1624[[#This Row],[Name]],Table2111216420[Name],Table2111216420[True Rank],"DNP",0,1)),"DNP")</f>
        <v>DNP</v>
      </c>
      <c r="L136" s="26" t="str">
        <f>IFERROR(_xlfn.PERCENTRANK.INC(Table211121642021[True Rank],_xlfn.XLOOKUP(Table1624[[#This Row],[Name]],Table211121642021[Name],Table211121642021[True Rank],"DNP",0,1)),"DNP")</f>
        <v>DNP</v>
      </c>
      <c r="M136" s="26" t="str">
        <f>IFERROR(_xlfn.PERCENTRANK.INC(Table21112164202122[True Rank],_xlfn.XLOOKUP(Table1624[[#This Row],[Name]],Table21112164202122[Name],Table21112164202122[True Rank],"DNP",0,1)),"DNP")</f>
        <v>DNP</v>
      </c>
      <c r="N136" s="26" t="str">
        <f>IFERROR(_xlfn.PERCENTRANK.INC(Table2111216420212223[True Rank],_xlfn.XLOOKUP(Table1624[[#This Row],[Name]],Table2111216420212223[Name],Table2111216420212223[True Rank],"DNP",0,1)),"DNP")</f>
        <v>DNP</v>
      </c>
      <c r="O136" s="26" t="str">
        <f>IFERROR(_xlfn.PERCENTRANK.INC(Table211121642021222325[True Rank],_xlfn.XLOOKUP(Table1624[[#This Row],[Name]],Table211121642021222325[Name],Table211121642021222325[True Rank],"DNP",0,1)),"DNP")</f>
        <v>DNP</v>
      </c>
      <c r="P136" s="26" t="str">
        <f>IFERROR(_xlfn.PERCENTRANK.INC(Table21112164202122232534[True Rank],_xlfn.XLOOKUP(Table1624[[#This Row],[Name]],Table21112164202122232534[Name],Table21112164202122232534[True Rank],"DNP",0,1)),"DNP")</f>
        <v>DNP</v>
      </c>
      <c r="Q13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spans="2:33">
      <c r="B137" t="str">
        <f>IFERROR(Table5[[#This Row],[Full name]],"")</f>
        <v xml:space="preserve">Dan De Leary </v>
      </c>
      <c r="C137" s="108">
        <f>IFERROR(AVERAGE(Table1624[[#This Row],[September 30, 2025]:[Column18]]),"N/A")</f>
        <v>0.33806666666666668</v>
      </c>
      <c r="D137" s="26" t="str">
        <f>IFERROR(_xlfn.PERCENTRANK.INC(Table4[True Rank],_xlfn.XLOOKUP(Table1624[[#This Row],[Name]],Table4[Name],Table4[True Rank],"DNP",0,1)),"DNP")</f>
        <v>DNP</v>
      </c>
      <c r="E137" s="26" t="str">
        <f>IFERROR(_xlfn.PERCENTRANK.INC(Table9[True Rank],_xlfn.XLOOKUP(Table1624[[#This Row],[Name]],Table9[Name],Table9[True Rank],"DNP",0,1)),"DNP")</f>
        <v>DNP</v>
      </c>
      <c r="F137" s="26">
        <f>IFERROR(_xlfn.PERCENTRANK.INC(Table18[True Rank],_xlfn.XLOOKUP(Table1624[[#This Row],[Name]],Table18[Name],Table18[True Rank],"DNP",0,1)),"DNP")</f>
        <v>0.09</v>
      </c>
      <c r="G137" s="26">
        <f>IFERROR(_xlfn.PERCENTRANK.INC(Table2[True Rank],_xlfn.XLOOKUP(Table1624[[#This Row],[Name]],Table2[Name],Table2[True Rank],"DNP",0,1)),"DNP")</f>
        <v>0.13</v>
      </c>
      <c r="H137" s="26">
        <f>IFERROR(_xlfn.PERCENTRANK.INC(Table211[True Rank],_xlfn.XLOOKUP(Table1624[[#This Row],[Name]],Table211[Name],Table211[True Rank],"DNP",0,1)),"DNP")</f>
        <v>7.0000000000000007E-2</v>
      </c>
      <c r="I137" s="26">
        <f>IFERROR(_xlfn.PERCENTRANK.INC(Table21112[True Rank],_xlfn.XLOOKUP(Table1624[[#This Row],[Name]],Table21112[Name],Table21112[True Rank],"DNP",0,1)),"DNP")</f>
        <v>0.14099999999999999</v>
      </c>
      <c r="J137" s="26">
        <f>IFERROR(_xlfn.PERCENTRANK.INC(Table21112164[True Rank],_xlfn.XLOOKUP(Table1624[[#This Row],[Name]],Table21112164[Name],Table21112164[True Rank],"DNP",0,1)),"DNP")</f>
        <v>4.3999999999999997E-2</v>
      </c>
      <c r="K137" s="26">
        <f>IFERROR(_xlfn.PERCENTRANK.INC(Table2111216420[True Rank],_xlfn.XLOOKUP(Table1624[[#This Row],[Name]],Table2111216420[Name],Table2111216420[True Rank],"DNP",0,1)),"DNP")</f>
        <v>0.17</v>
      </c>
      <c r="L137" s="26">
        <f>IFERROR(_xlfn.PERCENTRANK.INC(Table211121642021[True Rank],_xlfn.XLOOKUP(Table1624[[#This Row],[Name]],Table211121642021[Name],Table211121642021[True Rank],"DNP",0,1)),"DNP")</f>
        <v>0.27900000000000003</v>
      </c>
      <c r="M137" s="26">
        <f>IFERROR(_xlfn.PERCENTRANK.INC(Table21112164202122[True Rank],_xlfn.XLOOKUP(Table1624[[#This Row],[Name]],Table21112164202122[Name],Table21112164202122[True Rank],"DNP",0,1)),"DNP")</f>
        <v>0.51100000000000001</v>
      </c>
      <c r="N137" s="26">
        <f>IFERROR(_xlfn.PERCENTRANK.INC(Table2111216420212223[True Rank],_xlfn.XLOOKUP(Table1624[[#This Row],[Name]],Table2111216420212223[Name],Table2111216420212223[True Rank],"DNP",0,1)),"DNP")</f>
        <v>0.67</v>
      </c>
      <c r="O137" s="26">
        <f>IFERROR(_xlfn.PERCENTRANK.INC(Table211121642021222325[True Rank],_xlfn.XLOOKUP(Table1624[[#This Row],[Name]],Table211121642021222325[Name],Table211121642021222325[True Rank],"DNP",0,1)),"DNP")</f>
        <v>0.60399999999999998</v>
      </c>
      <c r="P137" s="26">
        <f>IFERROR(_xlfn.PERCENTRANK.INC(Table21112164202122232534[True Rank],_xlfn.XLOOKUP(Table1624[[#This Row],[Name]],Table21112164202122232534[Name],Table21112164202122232534[True Rank],"DNP",0,1)),"DNP")</f>
        <v>0.47199999999999998</v>
      </c>
      <c r="Q137" s="26">
        <f>IFERROR(_xlfn.PERCENTRANK.INC(Table2111216420212223253435[True Rank],_xlfn.XLOOKUP(Table1624[[#This Row],[Name]],Table2111216420212223253435[Name],Table2111216420212223253435[True Rank],"DNP",0,1)),"DNP")</f>
        <v>0.16</v>
      </c>
      <c r="R137" s="26">
        <f>IFERROR(_xlfn.PERCENTRANK.INC(Table211121642021222325343536[True Rank],_xlfn.XLOOKUP(Table1624[[#This Row],[Name]],Table211121642021222325343536[Name],Table211121642021222325343536[True Rank],"DNP",0,1)),"DNP")</f>
        <v>0.66600000000000004</v>
      </c>
      <c r="S137" s="26">
        <f>IFERROR(_xlfn.PERCENTRANK.INC(Table21112164202122232534353637[True Rank],_xlfn.XLOOKUP(Table1624[[#This Row],[Name]],Table21112164202122232534353637[Name],Table21112164202122232534353637[True Rank],"DNP",0,1)),"DNP")</f>
        <v>0.155</v>
      </c>
      <c r="T137" s="26">
        <f>IFERROR(_xlfn.PERCENTRANK.INC(Table2111216420212223253435363738[True Rank],_xlfn.XLOOKUP(Table1624[[#This Row],[Name]],Table2111216420212223253435363738[Name],Table2111216420212223253435363738[True Rank],"DNP",0,1)),"DNP")</f>
        <v>0.90900000000000003</v>
      </c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spans="2:33">
      <c r="B138" t="str">
        <f>IFERROR(Table5[[#This Row],[Full name]],"")</f>
        <v>Dan Qiai</v>
      </c>
      <c r="C138" s="108" t="str">
        <f>IFERROR(AVERAGE(Table1624[[#This Row],[September 30, 2025]:[Column18]]),"N/A")</f>
        <v>N/A</v>
      </c>
      <c r="D138" s="26" t="str">
        <f>IFERROR(_xlfn.PERCENTRANK.INC(Table4[True Rank],_xlfn.XLOOKUP(Table1624[[#This Row],[Name]],Table4[Name],Table4[True Rank],"DNP",0,1)),"DNP")</f>
        <v>DNP</v>
      </c>
      <c r="E138" s="26" t="str">
        <f>IFERROR(_xlfn.PERCENTRANK.INC(Table9[True Rank],_xlfn.XLOOKUP(Table1624[[#This Row],[Name]],Table9[Name],Table9[True Rank],"DNP",0,1)),"DNP")</f>
        <v>DNP</v>
      </c>
      <c r="F138" s="26" t="str">
        <f>IFERROR(_xlfn.PERCENTRANK.INC(Table18[True Rank],_xlfn.XLOOKUP(Table1624[[#This Row],[Name]],Table18[Name],Table18[True Rank],"DNP",0,1)),"DNP")</f>
        <v>DNP</v>
      </c>
      <c r="G138" s="26" t="str">
        <f>IFERROR(_xlfn.PERCENTRANK.INC(Table2[True Rank],_xlfn.XLOOKUP(Table1624[[#This Row],[Name]],Table2[Name],Table2[True Rank],"DNP",0,1)),"DNP")</f>
        <v>DNP</v>
      </c>
      <c r="H138" s="26" t="str">
        <f>IFERROR(_xlfn.PERCENTRANK.INC(Table211[True Rank],_xlfn.XLOOKUP(Table1624[[#This Row],[Name]],Table211[Name],Table211[True Rank],"DNP",0,1)),"DNP")</f>
        <v>DNP</v>
      </c>
      <c r="I138" s="26" t="str">
        <f>IFERROR(_xlfn.PERCENTRANK.INC(Table21112[True Rank],_xlfn.XLOOKUP(Table1624[[#This Row],[Name]],Table21112[Name],Table21112[True Rank],"DNP",0,1)),"DNP")</f>
        <v>DNP</v>
      </c>
      <c r="J138" s="26" t="str">
        <f>IFERROR(_xlfn.PERCENTRANK.INC(Table21112164[True Rank],_xlfn.XLOOKUP(Table1624[[#This Row],[Name]],Table21112164[Name],Table21112164[True Rank],"DNP",0,1)),"DNP")</f>
        <v>DNP</v>
      </c>
      <c r="K138" s="26" t="str">
        <f>IFERROR(_xlfn.PERCENTRANK.INC(Table2111216420[True Rank],_xlfn.XLOOKUP(Table1624[[#This Row],[Name]],Table2111216420[Name],Table2111216420[True Rank],"DNP",0,1)),"DNP")</f>
        <v>DNP</v>
      </c>
      <c r="L138" s="26" t="str">
        <f>IFERROR(_xlfn.PERCENTRANK.INC(Table211121642021[True Rank],_xlfn.XLOOKUP(Table1624[[#This Row],[Name]],Table211121642021[Name],Table211121642021[True Rank],"DNP",0,1)),"DNP")</f>
        <v>DNP</v>
      </c>
      <c r="M138" s="26" t="str">
        <f>IFERROR(_xlfn.PERCENTRANK.INC(Table21112164202122[True Rank],_xlfn.XLOOKUP(Table1624[[#This Row],[Name]],Table21112164202122[Name],Table21112164202122[True Rank],"DNP",0,1)),"DNP")</f>
        <v>DNP</v>
      </c>
      <c r="N138" s="26" t="str">
        <f>IFERROR(_xlfn.PERCENTRANK.INC(Table2111216420212223[True Rank],_xlfn.XLOOKUP(Table1624[[#This Row],[Name]],Table2111216420212223[Name],Table2111216420212223[True Rank],"DNP",0,1)),"DNP")</f>
        <v>DNP</v>
      </c>
      <c r="O138" s="26" t="str">
        <f>IFERROR(_xlfn.PERCENTRANK.INC(Table211121642021222325[True Rank],_xlfn.XLOOKUP(Table1624[[#This Row],[Name]],Table211121642021222325[Name],Table211121642021222325[True Rank],"DNP",0,1)),"DNP")</f>
        <v>DNP</v>
      </c>
      <c r="P138" s="26" t="str">
        <f>IFERROR(_xlfn.PERCENTRANK.INC(Table21112164202122232534[True Rank],_xlfn.XLOOKUP(Table1624[[#This Row],[Name]],Table21112164202122232534[Name],Table21112164202122232534[True Rank],"DNP",0,1)),"DNP")</f>
        <v>DNP</v>
      </c>
      <c r="Q1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 spans="2:33">
      <c r="B139" t="str">
        <f>IFERROR(Table5[[#This Row],[Full name]],"")</f>
        <v>Dan Qiao</v>
      </c>
      <c r="C139" s="108">
        <f>IFERROR(AVERAGE(Table1624[[#This Row],[September 30, 2025]:[Column18]]),"N/A")</f>
        <v>0.191</v>
      </c>
      <c r="D139" s="26" t="str">
        <f>IFERROR(_xlfn.PERCENTRANK.INC(Table4[True Rank],_xlfn.XLOOKUP(Table1624[[#This Row],[Name]],Table4[Name],Table4[True Rank],"DNP",0,1)),"DNP")</f>
        <v>DNP</v>
      </c>
      <c r="E139" s="26" t="str">
        <f>IFERROR(_xlfn.PERCENTRANK.INC(Table9[True Rank],_xlfn.XLOOKUP(Table1624[[#This Row],[Name]],Table9[Name],Table9[True Rank],"DNP",0,1)),"DNP")</f>
        <v>DNP</v>
      </c>
      <c r="F139" s="26">
        <f>IFERROR(_xlfn.PERCENTRANK.INC(Table18[True Rank],_xlfn.XLOOKUP(Table1624[[#This Row],[Name]],Table18[Name],Table18[True Rank],"DNP",0,1)),"DNP")</f>
        <v>0.191</v>
      </c>
      <c r="G139" s="26" t="str">
        <f>IFERROR(_xlfn.PERCENTRANK.INC(Table2[True Rank],_xlfn.XLOOKUP(Table1624[[#This Row],[Name]],Table2[Name],Table2[True Rank],"DNP",0,1)),"DNP")</f>
        <v>DNP</v>
      </c>
      <c r="H139" s="26" t="str">
        <f>IFERROR(_xlfn.PERCENTRANK.INC(Table211[True Rank],_xlfn.XLOOKUP(Table1624[[#This Row],[Name]],Table211[Name],Table211[True Rank],"DNP",0,1)),"DNP")</f>
        <v>DNP</v>
      </c>
      <c r="I139" s="26" t="str">
        <f>IFERROR(_xlfn.PERCENTRANK.INC(Table21112[True Rank],_xlfn.XLOOKUP(Table1624[[#This Row],[Name]],Table21112[Name],Table21112[True Rank],"DNP",0,1)),"DNP")</f>
        <v>DNP</v>
      </c>
      <c r="J139" s="26" t="str">
        <f>IFERROR(_xlfn.PERCENTRANK.INC(Table21112164[True Rank],_xlfn.XLOOKUP(Table1624[[#This Row],[Name]],Table21112164[Name],Table21112164[True Rank],"DNP",0,1)),"DNP")</f>
        <v>DNP</v>
      </c>
      <c r="K139" s="26" t="str">
        <f>IFERROR(_xlfn.PERCENTRANK.INC(Table2111216420[True Rank],_xlfn.XLOOKUP(Table1624[[#This Row],[Name]],Table2111216420[Name],Table2111216420[True Rank],"DNP",0,1)),"DNP")</f>
        <v>DNP</v>
      </c>
      <c r="L139" s="26" t="str">
        <f>IFERROR(_xlfn.PERCENTRANK.INC(Table211121642021[True Rank],_xlfn.XLOOKUP(Table1624[[#This Row],[Name]],Table211121642021[Name],Table211121642021[True Rank],"DNP",0,1)),"DNP")</f>
        <v>DNP</v>
      </c>
      <c r="M139" s="26" t="str">
        <f>IFERROR(_xlfn.PERCENTRANK.INC(Table21112164202122[True Rank],_xlfn.XLOOKUP(Table1624[[#This Row],[Name]],Table21112164202122[Name],Table21112164202122[True Rank],"DNP",0,1)),"DNP")</f>
        <v>DNP</v>
      </c>
      <c r="N139" s="26" t="str">
        <f>IFERROR(_xlfn.PERCENTRANK.INC(Table2111216420212223[True Rank],_xlfn.XLOOKUP(Table1624[[#This Row],[Name]],Table2111216420212223[Name],Table2111216420212223[True Rank],"DNP",0,1)),"DNP")</f>
        <v>DNP</v>
      </c>
      <c r="O139" s="26" t="str">
        <f>IFERROR(_xlfn.PERCENTRANK.INC(Table211121642021222325[True Rank],_xlfn.XLOOKUP(Table1624[[#This Row],[Name]],Table211121642021222325[Name],Table211121642021222325[True Rank],"DNP",0,1)),"DNP")</f>
        <v>DNP</v>
      </c>
      <c r="P139" s="26" t="str">
        <f>IFERROR(_xlfn.PERCENTRANK.INC(Table21112164202122232534[True Rank],_xlfn.XLOOKUP(Table1624[[#This Row],[Name]],Table21112164202122232534[Name],Table21112164202122232534[True Rank],"DNP",0,1)),"DNP")</f>
        <v>DNP</v>
      </c>
      <c r="Q13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3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3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spans="2:33">
      <c r="B140" t="str">
        <f>IFERROR(Table5[[#This Row],[Full name]],"")</f>
        <v>Daniel Li</v>
      </c>
      <c r="C140" s="108">
        <f>IFERROR(AVERAGE(Table1624[[#This Row],[September 30, 2025]:[Column18]]),"N/A")</f>
        <v>0.37400000000000005</v>
      </c>
      <c r="D140" s="26">
        <f>IFERROR(_xlfn.PERCENTRANK.INC(Table4[True Rank],_xlfn.XLOOKUP(Table1624[[#This Row],[Name]],Table4[Name],Table4[True Rank],"DNP",0,1)),"DNP")</f>
        <v>2.7E-2</v>
      </c>
      <c r="E140" s="26">
        <f>IFERROR(_xlfn.PERCENTRANK.INC(Table9[True Rank],_xlfn.XLOOKUP(Table1624[[#This Row],[Name]],Table9[Name],Table9[True Rank],"DNP",0,1)),"DNP")</f>
        <v>2.1999999999999999E-2</v>
      </c>
      <c r="F140" s="26">
        <f>IFERROR(_xlfn.PERCENTRANK.INC(Table18[True Rank],_xlfn.XLOOKUP(Table1624[[#This Row],[Name]],Table18[Name],Table18[True Rank],"DNP",0,1)),"DNP")</f>
        <v>0.59499999999999997</v>
      </c>
      <c r="G140" s="26">
        <f>IFERROR(_xlfn.PERCENTRANK.INC(Table2[True Rank],_xlfn.XLOOKUP(Table1624[[#This Row],[Name]],Table2[Name],Table2[True Rank],"DNP",0,1)),"DNP")</f>
        <v>0.39200000000000002</v>
      </c>
      <c r="H140" s="26">
        <f>IFERROR(_xlfn.PERCENTRANK.INC(Table211[True Rank],_xlfn.XLOOKUP(Table1624[[#This Row],[Name]],Table211[Name],Table211[True Rank],"DNP",0,1)),"DNP")</f>
        <v>0.112</v>
      </c>
      <c r="I140" s="26">
        <f>IFERROR(_xlfn.PERCENTRANK.INC(Table21112[True Rank],_xlfn.XLOOKUP(Table1624[[#This Row],[Name]],Table21112[Name],Table21112[True Rank],"DNP",0,1)),"DNP")</f>
        <v>0.69199999999999995</v>
      </c>
      <c r="J140" s="26" t="str">
        <f>IFERROR(_xlfn.PERCENTRANK.INC(Table21112164[True Rank],_xlfn.XLOOKUP(Table1624[[#This Row],[Name]],Table21112164[Name],Table21112164[True Rank],"DNP",0,1)),"DNP")</f>
        <v>DNP</v>
      </c>
      <c r="K140" s="26">
        <f>IFERROR(_xlfn.PERCENTRANK.INC(Table2111216420[True Rank],_xlfn.XLOOKUP(Table1624[[#This Row],[Name]],Table2111216420[Name],Table2111216420[True Rank],"DNP",0,1)),"DNP")</f>
        <v>0.46800000000000003</v>
      </c>
      <c r="L140" s="26">
        <f>IFERROR(_xlfn.PERCENTRANK.INC(Table211121642021[True Rank],_xlfn.XLOOKUP(Table1624[[#This Row],[Name]],Table211121642021[Name],Table211121642021[True Rank],"DNP",0,1)),"DNP")</f>
        <v>0.55900000000000005</v>
      </c>
      <c r="M140" s="26">
        <f>IFERROR(_xlfn.PERCENTRANK.INC(Table21112164202122[True Rank],_xlfn.XLOOKUP(Table1624[[#This Row],[Name]],Table21112164202122[Name],Table21112164202122[True Rank],"DNP",0,1)),"DNP")</f>
        <v>0.53400000000000003</v>
      </c>
      <c r="N140" s="26">
        <f>IFERROR(_xlfn.PERCENTRANK.INC(Table2111216420212223[True Rank],_xlfn.XLOOKUP(Table1624[[#This Row],[Name]],Table2111216420212223[Name],Table2111216420212223[True Rank],"DNP",0,1)),"DNP")</f>
        <v>0.95599999999999996</v>
      </c>
      <c r="O140" s="26">
        <f>IFERROR(_xlfn.PERCENTRANK.INC(Table211121642021222325[True Rank],_xlfn.XLOOKUP(Table1624[[#This Row],[Name]],Table211121642021222325[Name],Table211121642021222325[True Rank],"DNP",0,1)),"DNP")</f>
        <v>0.36199999999999999</v>
      </c>
      <c r="P140" s="26">
        <f>IFERROR(_xlfn.PERCENTRANK.INC(Table21112164202122232534[True Rank],_xlfn.XLOOKUP(Table1624[[#This Row],[Name]],Table21112164202122232534[Name],Table21112164202122232534[True Rank],"DNP",0,1)),"DNP")</f>
        <v>0.219</v>
      </c>
      <c r="Q140" s="26">
        <f>IFERROR(_xlfn.PERCENTRANK.INC(Table2111216420212223253435[True Rank],_xlfn.XLOOKUP(Table1624[[#This Row],[Name]],Table2111216420212223253435[Name],Table2111216420212223253435[True Rank],"DNP",0,1)),"DNP")</f>
        <v>5.2999999999999999E-2</v>
      </c>
      <c r="R14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0" s="26">
        <f>IFERROR(_xlfn.PERCENTRANK.INC(Table21112164202122232534353637[True Rank],_xlfn.XLOOKUP(Table1624[[#This Row],[Name]],Table21112164202122232534353637[Name],Table21112164202122232534353637[True Rank],"DNP",0,1)),"DNP")</f>
        <v>0.31</v>
      </c>
      <c r="T140" s="26">
        <f>IFERROR(_xlfn.PERCENTRANK.INC(Table2111216420212223253435363738[True Rank],_xlfn.XLOOKUP(Table1624[[#This Row],[Name]],Table2111216420212223253435363738[Name],Table2111216420212223253435363738[True Rank],"DNP",0,1)),"DNP")</f>
        <v>0.309</v>
      </c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 spans="2:33">
      <c r="B141" t="str">
        <f>IFERROR(Table5[[#This Row],[Full name]],"")</f>
        <v>Daniel Musoni</v>
      </c>
      <c r="C141" s="108">
        <f>IFERROR(AVERAGE(Table1624[[#This Row],[September 30, 2025]:[Column18]]),"N/A")</f>
        <v>0.48644444444444446</v>
      </c>
      <c r="D141" s="26">
        <f>IFERROR(_xlfn.PERCENTRANK.INC(Table4[True Rank],_xlfn.XLOOKUP(Table1624[[#This Row],[Name]],Table4[Name],Table4[True Rank],"DNP",0,1)),"DNP")</f>
        <v>0.56799999999999995</v>
      </c>
      <c r="E141" s="26">
        <f>IFERROR(_xlfn.PERCENTRANK.INC(Table9[True Rank],_xlfn.XLOOKUP(Table1624[[#This Row],[Name]],Table9[Name],Table9[True Rank],"DNP",0,1)),"DNP")</f>
        <v>0.48199999999999998</v>
      </c>
      <c r="F141" s="26">
        <f>IFERROR(_xlfn.PERCENTRANK.INC(Table18[True Rank],_xlfn.XLOOKUP(Table1624[[#This Row],[Name]],Table18[Name],Table18[True Rank],"DNP",0,1)),"DNP")</f>
        <v>0.52500000000000002</v>
      </c>
      <c r="G141" s="26">
        <f>IFERROR(_xlfn.PERCENTRANK.INC(Table2[True Rank],_xlfn.XLOOKUP(Table1624[[#This Row],[Name]],Table2[Name],Table2[True Rank],"DNP",0,1)),"DNP")</f>
        <v>0</v>
      </c>
      <c r="H141" s="26" t="str">
        <f>IFERROR(_xlfn.PERCENTRANK.INC(Table211[True Rank],_xlfn.XLOOKUP(Table1624[[#This Row],[Name]],Table211[Name],Table211[True Rank],"DNP",0,1)),"DNP")</f>
        <v>DNP</v>
      </c>
      <c r="I141" s="26">
        <f>IFERROR(_xlfn.PERCENTRANK.INC(Table21112[True Rank],_xlfn.XLOOKUP(Table1624[[#This Row],[Name]],Table21112[Name],Table21112[True Rank],"DNP",0,1)),"DNP")</f>
        <v>0.17899999999999999</v>
      </c>
      <c r="J141" s="26">
        <f>IFERROR(_xlfn.PERCENTRANK.INC(Table21112164[True Rank],_xlfn.XLOOKUP(Table1624[[#This Row],[Name]],Table21112164[Name],Table21112164[True Rank],"DNP",0,1)),"DNP")</f>
        <v>0.40400000000000003</v>
      </c>
      <c r="K141" s="26" t="str">
        <f>IFERROR(_xlfn.PERCENTRANK.INC(Table2111216420[True Rank],_xlfn.XLOOKUP(Table1624[[#This Row],[Name]],Table2111216420[Name],Table2111216420[True Rank],"DNP",0,1)),"DNP")</f>
        <v>DNP</v>
      </c>
      <c r="L141" s="26" t="str">
        <f>IFERROR(_xlfn.PERCENTRANK.INC(Table211121642021[True Rank],_xlfn.XLOOKUP(Table1624[[#This Row],[Name]],Table211121642021[Name],Table211121642021[True Rank],"DNP",0,1)),"DNP")</f>
        <v>DNP</v>
      </c>
      <c r="M141" s="26" t="str">
        <f>IFERROR(_xlfn.PERCENTRANK.INC(Table21112164202122[True Rank],_xlfn.XLOOKUP(Table1624[[#This Row],[Name]],Table21112164202122[Name],Table21112164202122[True Rank],"DNP",0,1)),"DNP")</f>
        <v>DNP</v>
      </c>
      <c r="N141" s="26">
        <f>IFERROR(_xlfn.PERCENTRANK.INC(Table2111216420212223[True Rank],_xlfn.XLOOKUP(Table1624[[#This Row],[Name]],Table2111216420212223[Name],Table2111216420212223[True Rank],"DNP",0,1)),"DNP")</f>
        <v>0.79100000000000004</v>
      </c>
      <c r="O141" s="26" t="str">
        <f>IFERROR(_xlfn.PERCENTRANK.INC(Table211121642021222325[True Rank],_xlfn.XLOOKUP(Table1624[[#This Row],[Name]],Table211121642021222325[Name],Table211121642021222325[True Rank],"DNP",0,1)),"DNP")</f>
        <v>DNP</v>
      </c>
      <c r="P141" s="26" t="str">
        <f>IFERROR(_xlfn.PERCENTRANK.INC(Table21112164202122232534[True Rank],_xlfn.XLOOKUP(Table1624[[#This Row],[Name]],Table21112164202122232534[Name],Table21112164202122232534[True Rank],"DNP",0,1)),"DNP")</f>
        <v>DNP</v>
      </c>
      <c r="Q141" s="26">
        <f>IFERROR(_xlfn.PERCENTRANK.INC(Table2111216420212223253435[True Rank],_xlfn.XLOOKUP(Table1624[[#This Row],[Name]],Table2111216420212223253435[Name],Table2111216420212223253435[True Rank],"DNP",0,1)),"DNP")</f>
        <v>0.73299999999999998</v>
      </c>
      <c r="R141" s="26">
        <f>IFERROR(_xlfn.PERCENTRANK.INC(Table211121642021222325343536[True Rank],_xlfn.XLOOKUP(Table1624[[#This Row],[Name]],Table211121642021222325343536[Name],Table211121642021222325343536[True Rank],"DNP",0,1)),"DNP")</f>
        <v>0.69599999999999995</v>
      </c>
      <c r="S1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 spans="2:33">
      <c r="B142" t="str">
        <f>IFERROR(Table5[[#This Row],[Full name]],"")</f>
        <v>Daniel Solesa</v>
      </c>
      <c r="C142" s="108">
        <f>IFERROR(AVERAGE(Table1624[[#This Row],[September 30, 2025]:[Column18]]),"N/A")</f>
        <v>0.17</v>
      </c>
      <c r="D142" s="26" t="str">
        <f>IFERROR(_xlfn.PERCENTRANK.INC(Table4[True Rank],_xlfn.XLOOKUP(Table1624[[#This Row],[Name]],Table4[Name],Table4[True Rank],"DNP",0,1)),"DNP")</f>
        <v>DNP</v>
      </c>
      <c r="E142" s="26" t="str">
        <f>IFERROR(_xlfn.PERCENTRANK.INC(Table9[True Rank],_xlfn.XLOOKUP(Table1624[[#This Row],[Name]],Table9[Name],Table9[True Rank],"DNP",0,1)),"DNP")</f>
        <v>DNP</v>
      </c>
      <c r="F142" s="26" t="str">
        <f>IFERROR(_xlfn.PERCENTRANK.INC(Table18[True Rank],_xlfn.XLOOKUP(Table1624[[#This Row],[Name]],Table18[Name],Table18[True Rank],"DNP",0,1)),"DNP")</f>
        <v>DNP</v>
      </c>
      <c r="G142" s="26" t="str">
        <f>IFERROR(_xlfn.PERCENTRANK.INC(Table2[True Rank],_xlfn.XLOOKUP(Table1624[[#This Row],[Name]],Table2[Name],Table2[True Rank],"DNP",0,1)),"DNP")</f>
        <v>DNP</v>
      </c>
      <c r="H142" s="26" t="str">
        <f>IFERROR(_xlfn.PERCENTRANK.INC(Table211[True Rank],_xlfn.XLOOKUP(Table1624[[#This Row],[Name]],Table211[Name],Table211[True Rank],"DNP",0,1)),"DNP")</f>
        <v>DNP</v>
      </c>
      <c r="I142" s="26" t="str">
        <f>IFERROR(_xlfn.PERCENTRANK.INC(Table21112[True Rank],_xlfn.XLOOKUP(Table1624[[#This Row],[Name]],Table21112[Name],Table21112[True Rank],"DNP",0,1)),"DNP")</f>
        <v>DNP</v>
      </c>
      <c r="J142" s="26" t="str">
        <f>IFERROR(_xlfn.PERCENTRANK.INC(Table21112164[True Rank],_xlfn.XLOOKUP(Table1624[[#This Row],[Name]],Table21112164[Name],Table21112164[True Rank],"DNP",0,1)),"DNP")</f>
        <v>DNP</v>
      </c>
      <c r="K142" s="26" t="str">
        <f>IFERROR(_xlfn.PERCENTRANK.INC(Table2111216420[True Rank],_xlfn.XLOOKUP(Table1624[[#This Row],[Name]],Table2111216420[Name],Table2111216420[True Rank],"DNP",0,1)),"DNP")</f>
        <v>DNP</v>
      </c>
      <c r="L142" s="26" t="str">
        <f>IFERROR(_xlfn.PERCENTRANK.INC(Table211121642021[True Rank],_xlfn.XLOOKUP(Table1624[[#This Row],[Name]],Table211121642021[Name],Table211121642021[True Rank],"DNP",0,1)),"DNP")</f>
        <v>DNP</v>
      </c>
      <c r="M142" s="26">
        <f>IFERROR(_xlfn.PERCENTRANK.INC(Table21112164202122[True Rank],_xlfn.XLOOKUP(Table1624[[#This Row],[Name]],Table21112164202122[Name],Table21112164202122[True Rank],"DNP",0,1)),"DNP")</f>
        <v>0.17</v>
      </c>
      <c r="N142" s="26" t="str">
        <f>IFERROR(_xlfn.PERCENTRANK.INC(Table2111216420212223[True Rank],_xlfn.XLOOKUP(Table1624[[#This Row],[Name]],Table2111216420212223[Name],Table2111216420212223[True Rank],"DNP",0,1)),"DNP")</f>
        <v>DNP</v>
      </c>
      <c r="O142" s="26" t="str">
        <f>IFERROR(_xlfn.PERCENTRANK.INC(Table211121642021222325[True Rank],_xlfn.XLOOKUP(Table1624[[#This Row],[Name]],Table211121642021222325[Name],Table211121642021222325[True Rank],"DNP",0,1)),"DNP")</f>
        <v>DNP</v>
      </c>
      <c r="P142" s="26" t="str">
        <f>IFERROR(_xlfn.PERCENTRANK.INC(Table21112164202122232534[True Rank],_xlfn.XLOOKUP(Table1624[[#This Row],[Name]],Table21112164202122232534[Name],Table21112164202122232534[True Rank],"DNP",0,1)),"DNP")</f>
        <v>DNP</v>
      </c>
      <c r="Q1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 spans="2:33">
      <c r="B143" t="str">
        <f>IFERROR(Table5[[#This Row],[Full name]],"")</f>
        <v>Daniel Zheng</v>
      </c>
      <c r="C143" s="108">
        <f>IFERROR(AVERAGE(Table1624[[#This Row],[September 30, 2025]:[Column18]]),"N/A")</f>
        <v>0.53375000000000006</v>
      </c>
      <c r="D143" s="26" t="str">
        <f>IFERROR(_xlfn.PERCENTRANK.INC(Table4[True Rank],_xlfn.XLOOKUP(Table1624[[#This Row],[Name]],Table4[Name],Table4[True Rank],"DNP",0,1)),"DNP")</f>
        <v>DNP</v>
      </c>
      <c r="E143" s="26" t="str">
        <f>IFERROR(_xlfn.PERCENTRANK.INC(Table9[True Rank],_xlfn.XLOOKUP(Table1624[[#This Row],[Name]],Table9[Name],Table9[True Rank],"DNP",0,1)),"DNP")</f>
        <v>DNP</v>
      </c>
      <c r="F143" s="26" t="str">
        <f>IFERROR(_xlfn.PERCENTRANK.INC(Table18[True Rank],_xlfn.XLOOKUP(Table1624[[#This Row],[Name]],Table18[Name],Table18[True Rank],"DNP",0,1)),"DNP")</f>
        <v>DNP</v>
      </c>
      <c r="G143" s="26">
        <f>IFERROR(_xlfn.PERCENTRANK.INC(Table2[True Rank],_xlfn.XLOOKUP(Table1624[[#This Row],[Name]],Table2[Name],Table2[True Rank],"DNP",0,1)),"DNP")</f>
        <v>0.88</v>
      </c>
      <c r="H143" s="26" t="str">
        <f>IFERROR(_xlfn.PERCENTRANK.INC(Table211[True Rank],_xlfn.XLOOKUP(Table1624[[#This Row],[Name]],Table211[Name],Table211[True Rank],"DNP",0,1)),"DNP")</f>
        <v>DNP</v>
      </c>
      <c r="I143" s="26" t="str">
        <f>IFERROR(_xlfn.PERCENTRANK.INC(Table21112[True Rank],_xlfn.XLOOKUP(Table1624[[#This Row],[Name]],Table21112[Name],Table21112[True Rank],"DNP",0,1)),"DNP")</f>
        <v>DNP</v>
      </c>
      <c r="J143" s="26" t="str">
        <f>IFERROR(_xlfn.PERCENTRANK.INC(Table21112164[True Rank],_xlfn.XLOOKUP(Table1624[[#This Row],[Name]],Table21112164[Name],Table21112164[True Rank],"DNP",0,1)),"DNP")</f>
        <v>DNP</v>
      </c>
      <c r="K143" s="26">
        <f>IFERROR(_xlfn.PERCENTRANK.INC(Table2111216420[True Rank],_xlfn.XLOOKUP(Table1624[[#This Row],[Name]],Table2111216420[Name],Table2111216420[True Rank],"DNP",0,1)),"DNP")</f>
        <v>3.1E-2</v>
      </c>
      <c r="L143" s="26" t="str">
        <f>IFERROR(_xlfn.PERCENTRANK.INC(Table211121642021[True Rank],_xlfn.XLOOKUP(Table1624[[#This Row],[Name]],Table211121642021[Name],Table211121642021[True Rank],"DNP",0,1)),"DNP")</f>
        <v>DNP</v>
      </c>
      <c r="M143" s="26" t="str">
        <f>IFERROR(_xlfn.PERCENTRANK.INC(Table21112164202122[True Rank],_xlfn.XLOOKUP(Table1624[[#This Row],[Name]],Table21112164202122[Name],Table21112164202122[True Rank],"DNP",0,1)),"DNP")</f>
        <v>DNP</v>
      </c>
      <c r="N143" s="26">
        <f>IFERROR(_xlfn.PERCENTRANK.INC(Table2111216420212223[True Rank],_xlfn.XLOOKUP(Table1624[[#This Row],[Name]],Table2111216420212223[Name],Table2111216420212223[True Rank],"DNP",0,1)),"DNP")</f>
        <v>0.40600000000000003</v>
      </c>
      <c r="O143" s="26">
        <f>IFERROR(_xlfn.PERCENTRANK.INC(Table211121642021222325[True Rank],_xlfn.XLOOKUP(Table1624[[#This Row],[Name]],Table211121642021222325[Name],Table211121642021222325[True Rank],"DNP",0,1)),"DNP")</f>
        <v>0.76900000000000002</v>
      </c>
      <c r="P143" s="26">
        <f>IFERROR(_xlfn.PERCENTRANK.INC(Table21112164202122232534[True Rank],_xlfn.XLOOKUP(Table1624[[#This Row],[Name]],Table21112164202122232534[Name],Table21112164202122232534[True Rank],"DNP",0,1)),"DNP")</f>
        <v>0.219</v>
      </c>
      <c r="Q143" s="26">
        <f>IFERROR(_xlfn.PERCENTRANK.INC(Table2111216420212223253435[True Rank],_xlfn.XLOOKUP(Table1624[[#This Row],[Name]],Table2111216420212223253435[Name],Table2111216420212223253435[True Rank],"DNP",0,1)),"DNP")</f>
        <v>0.54600000000000004</v>
      </c>
      <c r="R143" s="26">
        <f>IFERROR(_xlfn.PERCENTRANK.INC(Table211121642021222325343536[True Rank],_xlfn.XLOOKUP(Table1624[[#This Row],[Name]],Table211121642021222325343536[Name],Table211121642021222325343536[True Rank],"DNP",0,1)),"DNP")</f>
        <v>0.57499999999999996</v>
      </c>
      <c r="S143" s="26">
        <f>IFERROR(_xlfn.PERCENTRANK.INC(Table21112164202122232534353637[True Rank],_xlfn.XLOOKUP(Table1624[[#This Row],[Name]],Table21112164202122232534353637[Name],Table21112164202122232534353637[True Rank],"DNP",0,1)),"DNP")</f>
        <v>0.84399999999999997</v>
      </c>
      <c r="T1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spans="2:33">
      <c r="B144" t="str">
        <f>IFERROR(Table5[[#This Row],[Full name]],"")</f>
        <v>Dara Shokouhian</v>
      </c>
      <c r="C144" s="108">
        <f>IFERROR(AVERAGE(Table1624[[#This Row],[September 30, 2025]:[Column18]]),"N/A")</f>
        <v>0.32300000000000001</v>
      </c>
      <c r="D144" s="26" t="str">
        <f>IFERROR(_xlfn.PERCENTRANK.INC(Table4[True Rank],_xlfn.XLOOKUP(Table1624[[#This Row],[Name]],Table4[Name],Table4[True Rank],"DNP",0,1)),"DNP")</f>
        <v>DNP</v>
      </c>
      <c r="E144" s="26" t="str">
        <f>IFERROR(_xlfn.PERCENTRANK.INC(Table9[True Rank],_xlfn.XLOOKUP(Table1624[[#This Row],[Name]],Table9[Name],Table9[True Rank],"DNP",0,1)),"DNP")</f>
        <v>DNP</v>
      </c>
      <c r="F144" s="26" t="str">
        <f>IFERROR(_xlfn.PERCENTRANK.INC(Table18[True Rank],_xlfn.XLOOKUP(Table1624[[#This Row],[Name]],Table18[Name],Table18[True Rank],"DNP",0,1)),"DNP")</f>
        <v>DNP</v>
      </c>
      <c r="G144" s="26" t="str">
        <f>IFERROR(_xlfn.PERCENTRANK.INC(Table2[True Rank],_xlfn.XLOOKUP(Table1624[[#This Row],[Name]],Table2[Name],Table2[True Rank],"DNP",0,1)),"DNP")</f>
        <v>DNP</v>
      </c>
      <c r="H144" s="26">
        <f>IFERROR(_xlfn.PERCENTRANK.INC(Table211[True Rank],_xlfn.XLOOKUP(Table1624[[#This Row],[Name]],Table211[Name],Table211[True Rank],"DNP",0,1)),"DNP")</f>
        <v>0.32300000000000001</v>
      </c>
      <c r="I144" s="26" t="str">
        <f>IFERROR(_xlfn.PERCENTRANK.INC(Table21112[True Rank],_xlfn.XLOOKUP(Table1624[[#This Row],[Name]],Table21112[Name],Table21112[True Rank],"DNP",0,1)),"DNP")</f>
        <v>DNP</v>
      </c>
      <c r="J144" s="26" t="str">
        <f>IFERROR(_xlfn.PERCENTRANK.INC(Table21112164[True Rank],_xlfn.XLOOKUP(Table1624[[#This Row],[Name]],Table21112164[Name],Table21112164[True Rank],"DNP",0,1)),"DNP")</f>
        <v>DNP</v>
      </c>
      <c r="K144" s="26" t="str">
        <f>IFERROR(_xlfn.PERCENTRANK.INC(Table2111216420[True Rank],_xlfn.XLOOKUP(Table1624[[#This Row],[Name]],Table2111216420[Name],Table2111216420[True Rank],"DNP",0,1)),"DNP")</f>
        <v>DNP</v>
      </c>
      <c r="L144" s="26" t="str">
        <f>IFERROR(_xlfn.PERCENTRANK.INC(Table211121642021[True Rank],_xlfn.XLOOKUP(Table1624[[#This Row],[Name]],Table211121642021[Name],Table211121642021[True Rank],"DNP",0,1)),"DNP")</f>
        <v>DNP</v>
      </c>
      <c r="M144" s="26" t="str">
        <f>IFERROR(_xlfn.PERCENTRANK.INC(Table21112164202122[True Rank],_xlfn.XLOOKUP(Table1624[[#This Row],[Name]],Table21112164202122[Name],Table21112164202122[True Rank],"DNP",0,1)),"DNP")</f>
        <v>DNP</v>
      </c>
      <c r="N144" s="26" t="str">
        <f>IFERROR(_xlfn.PERCENTRANK.INC(Table2111216420212223[True Rank],_xlfn.XLOOKUP(Table1624[[#This Row],[Name]],Table2111216420212223[Name],Table2111216420212223[True Rank],"DNP",0,1)),"DNP")</f>
        <v>DNP</v>
      </c>
      <c r="O144" s="26" t="str">
        <f>IFERROR(_xlfn.PERCENTRANK.INC(Table211121642021222325[True Rank],_xlfn.XLOOKUP(Table1624[[#This Row],[Name]],Table211121642021222325[Name],Table211121642021222325[True Rank],"DNP",0,1)),"DNP")</f>
        <v>DNP</v>
      </c>
      <c r="P144" s="26" t="str">
        <f>IFERROR(_xlfn.PERCENTRANK.INC(Table21112164202122232534[True Rank],_xlfn.XLOOKUP(Table1624[[#This Row],[Name]],Table21112164202122232534[Name],Table21112164202122232534[True Rank],"DNP",0,1)),"DNP")</f>
        <v>DNP</v>
      </c>
      <c r="Q1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spans="2:33">
      <c r="B145" t="str">
        <f>IFERROR(Table5[[#This Row],[Full name]],"")</f>
        <v>David Fuentes</v>
      </c>
      <c r="C145" s="108">
        <f>IFERROR(AVERAGE(Table1624[[#This Row],[September 30, 2025]:[Column18]]),"N/A")</f>
        <v>0.72133333333333327</v>
      </c>
      <c r="D145" s="26" t="str">
        <f>IFERROR(_xlfn.PERCENTRANK.INC(Table4[True Rank],_xlfn.XLOOKUP(Table1624[[#This Row],[Name]],Table4[Name],Table4[True Rank],"DNP",0,1)),"DNP")</f>
        <v>DNP</v>
      </c>
      <c r="E145" s="26" t="str">
        <f>IFERROR(_xlfn.PERCENTRANK.INC(Table9[True Rank],_xlfn.XLOOKUP(Table1624[[#This Row],[Name]],Table9[Name],Table9[True Rank],"DNP",0,1)),"DNP")</f>
        <v>DNP</v>
      </c>
      <c r="F145" s="26" t="str">
        <f>IFERROR(_xlfn.PERCENTRANK.INC(Table18[True Rank],_xlfn.XLOOKUP(Table1624[[#This Row],[Name]],Table18[Name],Table18[True Rank],"DNP",0,1)),"DNP")</f>
        <v>DNP</v>
      </c>
      <c r="G145" s="26" t="str">
        <f>IFERROR(_xlfn.PERCENTRANK.INC(Table2[True Rank],_xlfn.XLOOKUP(Table1624[[#This Row],[Name]],Table2[Name],Table2[True Rank],"DNP",0,1)),"DNP")</f>
        <v>DNP</v>
      </c>
      <c r="H145" s="26" t="str">
        <f>IFERROR(_xlfn.PERCENTRANK.INC(Table211[True Rank],_xlfn.XLOOKUP(Table1624[[#This Row],[Name]],Table211[Name],Table211[True Rank],"DNP",0,1)),"DNP")</f>
        <v>DNP</v>
      </c>
      <c r="I145" s="26" t="str">
        <f>IFERROR(_xlfn.PERCENTRANK.INC(Table21112[True Rank],_xlfn.XLOOKUP(Table1624[[#This Row],[Name]],Table21112[Name],Table21112[True Rank],"DNP",0,1)),"DNP")</f>
        <v>DNP</v>
      </c>
      <c r="J145" s="26" t="str">
        <f>IFERROR(_xlfn.PERCENTRANK.INC(Table21112164[True Rank],_xlfn.XLOOKUP(Table1624[[#This Row],[Name]],Table21112164[Name],Table21112164[True Rank],"DNP",0,1)),"DNP")</f>
        <v>DNP</v>
      </c>
      <c r="K145" s="26" t="str">
        <f>IFERROR(_xlfn.PERCENTRANK.INC(Table2111216420[True Rank],_xlfn.XLOOKUP(Table1624[[#This Row],[Name]],Table2111216420[Name],Table2111216420[True Rank],"DNP",0,1)),"DNP")</f>
        <v>DNP</v>
      </c>
      <c r="L145" s="26" t="str">
        <f>IFERROR(_xlfn.PERCENTRANK.INC(Table211121642021[True Rank],_xlfn.XLOOKUP(Table1624[[#This Row],[Name]],Table211121642021[Name],Table211121642021[True Rank],"DNP",0,1)),"DNP")</f>
        <v>DNP</v>
      </c>
      <c r="M145" s="26" t="str">
        <f>IFERROR(_xlfn.PERCENTRANK.INC(Table21112164202122[True Rank],_xlfn.XLOOKUP(Table1624[[#This Row],[Name]],Table21112164202122[Name],Table21112164202122[True Rank],"DNP",0,1)),"DNP")</f>
        <v>DNP</v>
      </c>
      <c r="N145" s="26">
        <f>IFERROR(_xlfn.PERCENTRANK.INC(Table2111216420212223[True Rank],_xlfn.XLOOKUP(Table1624[[#This Row],[Name]],Table2111216420212223[Name],Table2111216420212223[True Rank],"DNP",0,1)),"DNP")</f>
        <v>0.90100000000000002</v>
      </c>
      <c r="O145" s="26">
        <f>IFERROR(_xlfn.PERCENTRANK.INC(Table211121642021222325[True Rank],_xlfn.XLOOKUP(Table1624[[#This Row],[Name]],Table211121642021222325[Name],Table211121642021222325[True Rank],"DNP",0,1)),"DNP")</f>
        <v>0.89</v>
      </c>
      <c r="P145" s="26">
        <f>IFERROR(_xlfn.PERCENTRANK.INC(Table21112164202122232534[True Rank],_xlfn.XLOOKUP(Table1624[[#This Row],[Name]],Table21112164202122232534[Name],Table21112164202122232534[True Rank],"DNP",0,1)),"DNP")</f>
        <v>0.373</v>
      </c>
      <c r="Q1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spans="2:33">
      <c r="B146" t="str">
        <f>IFERROR(Table5[[#This Row],[Full name]],"")</f>
        <v>Dehou Kong</v>
      </c>
      <c r="C146" s="108">
        <f>IFERROR(AVERAGE(Table1624[[#This Row],[September 30, 2025]:[Column18]]),"N/A")</f>
        <v>0.90133333333333321</v>
      </c>
      <c r="D146" s="26">
        <f>IFERROR(_xlfn.PERCENTRANK.INC(Table4[True Rank],_xlfn.XLOOKUP(Table1624[[#This Row],[Name]],Table4[Name],Table4[True Rank],"DNP",0,1)),"DNP")</f>
        <v>0.78800000000000003</v>
      </c>
      <c r="E146" s="26" t="str">
        <f>IFERROR(_xlfn.PERCENTRANK.INC(Table9[True Rank],_xlfn.XLOOKUP(Table1624[[#This Row],[Name]],Table9[Name],Table9[True Rank],"DNP",0,1)),"DNP")</f>
        <v>DNP</v>
      </c>
      <c r="F146" s="26">
        <f>IFERROR(_xlfn.PERCENTRANK.INC(Table18[True Rank],_xlfn.XLOOKUP(Table1624[[#This Row],[Name]],Table18[Name],Table18[True Rank],"DNP",0,1)),"DNP")</f>
        <v>0.93899999999999995</v>
      </c>
      <c r="G146" s="26" t="str">
        <f>IFERROR(_xlfn.PERCENTRANK.INC(Table2[True Rank],_xlfn.XLOOKUP(Table1624[[#This Row],[Name]],Table2[Name],Table2[True Rank],"DNP",0,1)),"DNP")</f>
        <v>DNP</v>
      </c>
      <c r="H146" s="26" t="str">
        <f>IFERROR(_xlfn.PERCENTRANK.INC(Table211[True Rank],_xlfn.XLOOKUP(Table1624[[#This Row],[Name]],Table211[Name],Table211[True Rank],"DNP",0,1)),"DNP")</f>
        <v>DNP</v>
      </c>
      <c r="I146" s="26" t="str">
        <f>IFERROR(_xlfn.PERCENTRANK.INC(Table21112[True Rank],_xlfn.XLOOKUP(Table1624[[#This Row],[Name]],Table21112[Name],Table21112[True Rank],"DNP",0,1)),"DNP")</f>
        <v>DNP</v>
      </c>
      <c r="J146" s="26">
        <f>IFERROR(_xlfn.PERCENTRANK.INC(Table21112164[True Rank],_xlfn.XLOOKUP(Table1624[[#This Row],[Name]],Table21112164[Name],Table21112164[True Rank],"DNP",0,1)),"DNP")</f>
        <v>0.97699999999999998</v>
      </c>
      <c r="K146" s="26" t="str">
        <f>IFERROR(_xlfn.PERCENTRANK.INC(Table2111216420[True Rank],_xlfn.XLOOKUP(Table1624[[#This Row],[Name]],Table2111216420[Name],Table2111216420[True Rank],"DNP",0,1)),"DNP")</f>
        <v>DNP</v>
      </c>
      <c r="L146" s="26" t="str">
        <f>IFERROR(_xlfn.PERCENTRANK.INC(Table211121642021[True Rank],_xlfn.XLOOKUP(Table1624[[#This Row],[Name]],Table211121642021[Name],Table211121642021[True Rank],"DNP",0,1)),"DNP")</f>
        <v>DNP</v>
      </c>
      <c r="M146" s="26" t="str">
        <f>IFERROR(_xlfn.PERCENTRANK.INC(Table21112164202122[True Rank],_xlfn.XLOOKUP(Table1624[[#This Row],[Name]],Table21112164202122[Name],Table21112164202122[True Rank],"DNP",0,1)),"DNP")</f>
        <v>DNP</v>
      </c>
      <c r="N146" s="26" t="str">
        <f>IFERROR(_xlfn.PERCENTRANK.INC(Table2111216420212223[True Rank],_xlfn.XLOOKUP(Table1624[[#This Row],[Name]],Table2111216420212223[Name],Table2111216420212223[True Rank],"DNP",0,1)),"DNP")</f>
        <v>DNP</v>
      </c>
      <c r="O146" s="26" t="str">
        <f>IFERROR(_xlfn.PERCENTRANK.INC(Table211121642021222325[True Rank],_xlfn.XLOOKUP(Table1624[[#This Row],[Name]],Table211121642021222325[Name],Table211121642021222325[True Rank],"DNP",0,1)),"DNP")</f>
        <v>DNP</v>
      </c>
      <c r="P146" s="26" t="str">
        <f>IFERROR(_xlfn.PERCENTRANK.INC(Table21112164202122232534[True Rank],_xlfn.XLOOKUP(Table1624[[#This Row],[Name]],Table21112164202122232534[Name],Table21112164202122232534[True Rank],"DNP",0,1)),"DNP")</f>
        <v>DNP</v>
      </c>
      <c r="Q1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spans="2:33">
      <c r="B147" t="str">
        <f>IFERROR(Table5[[#This Row],[Full name]],"")</f>
        <v>Deniz Shelica</v>
      </c>
      <c r="C147" s="108">
        <f>IFERROR(AVERAGE(Table1624[[#This Row],[September 30, 2025]:[Column18]]),"N/A")</f>
        <v>0.79300000000000004</v>
      </c>
      <c r="D147" s="26" t="str">
        <f>IFERROR(_xlfn.PERCENTRANK.INC(Table4[True Rank],_xlfn.XLOOKUP(Table1624[[#This Row],[Name]],Table4[Name],Table4[True Rank],"DNP",0,1)),"DNP")</f>
        <v>DNP</v>
      </c>
      <c r="E147" s="26" t="str">
        <f>IFERROR(_xlfn.PERCENTRANK.INC(Table9[True Rank],_xlfn.XLOOKUP(Table1624[[#This Row],[Name]],Table9[Name],Table9[True Rank],"DNP",0,1)),"DNP")</f>
        <v>DNP</v>
      </c>
      <c r="F147" s="26" t="str">
        <f>IFERROR(_xlfn.PERCENTRANK.INC(Table18[True Rank],_xlfn.XLOOKUP(Table1624[[#This Row],[Name]],Table18[Name],Table18[True Rank],"DNP",0,1)),"DNP")</f>
        <v>DNP</v>
      </c>
      <c r="G147" s="26" t="str">
        <f>IFERROR(_xlfn.PERCENTRANK.INC(Table2[True Rank],_xlfn.XLOOKUP(Table1624[[#This Row],[Name]],Table2[Name],Table2[True Rank],"DNP",0,1)),"DNP")</f>
        <v>DNP</v>
      </c>
      <c r="H147" s="26" t="str">
        <f>IFERROR(_xlfn.PERCENTRANK.INC(Table211[True Rank],_xlfn.XLOOKUP(Table1624[[#This Row],[Name]],Table211[Name],Table211[True Rank],"DNP",0,1)),"DNP")</f>
        <v>DNP</v>
      </c>
      <c r="I147" s="26" t="str">
        <f>IFERROR(_xlfn.PERCENTRANK.INC(Table21112[True Rank],_xlfn.XLOOKUP(Table1624[[#This Row],[Name]],Table21112[Name],Table21112[True Rank],"DNP",0,1)),"DNP")</f>
        <v>DNP</v>
      </c>
      <c r="J147" s="26" t="str">
        <f>IFERROR(_xlfn.PERCENTRANK.INC(Table21112164[True Rank],_xlfn.XLOOKUP(Table1624[[#This Row],[Name]],Table21112164[Name],Table21112164[True Rank],"DNP",0,1)),"DNP")</f>
        <v>DNP</v>
      </c>
      <c r="K147" s="26" t="str">
        <f>IFERROR(_xlfn.PERCENTRANK.INC(Table2111216420[True Rank],_xlfn.XLOOKUP(Table1624[[#This Row],[Name]],Table2111216420[Name],Table2111216420[True Rank],"DNP",0,1)),"DNP")</f>
        <v>DNP</v>
      </c>
      <c r="L147" s="26" t="str">
        <f>IFERROR(_xlfn.PERCENTRANK.INC(Table211121642021[True Rank],_xlfn.XLOOKUP(Table1624[[#This Row],[Name]],Table211121642021[Name],Table211121642021[True Rank],"DNP",0,1)),"DNP")</f>
        <v>DNP</v>
      </c>
      <c r="M147" s="26" t="str">
        <f>IFERROR(_xlfn.PERCENTRANK.INC(Table21112164202122[True Rank],_xlfn.XLOOKUP(Table1624[[#This Row],[Name]],Table21112164202122[Name],Table21112164202122[True Rank],"DNP",0,1)),"DNP")</f>
        <v>DNP</v>
      </c>
      <c r="N147" s="26" t="str">
        <f>IFERROR(_xlfn.PERCENTRANK.INC(Table2111216420212223[True Rank],_xlfn.XLOOKUP(Table1624[[#This Row],[Name]],Table2111216420212223[Name],Table2111216420212223[True Rank],"DNP",0,1)),"DNP")</f>
        <v>DNP</v>
      </c>
      <c r="O147" s="26" t="str">
        <f>IFERROR(_xlfn.PERCENTRANK.INC(Table211121642021222325[True Rank],_xlfn.XLOOKUP(Table1624[[#This Row],[Name]],Table211121642021222325[Name],Table211121642021222325[True Rank],"DNP",0,1)),"DNP")</f>
        <v>DNP</v>
      </c>
      <c r="P147" s="26" t="str">
        <f>IFERROR(_xlfn.PERCENTRANK.INC(Table21112164202122232534[True Rank],_xlfn.XLOOKUP(Table1624[[#This Row],[Name]],Table21112164202122232534[Name],Table21112164202122232534[True Rank],"DNP",0,1)),"DNP")</f>
        <v>DNP</v>
      </c>
      <c r="Q1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7" s="26">
        <f>IFERROR(_xlfn.PERCENTRANK.INC(Table21112164202122232534353637[True Rank],_xlfn.XLOOKUP(Table1624[[#This Row],[Name]],Table21112164202122232534353637[Name],Table21112164202122232534353637[True Rank],"DNP",0,1)),"DNP")</f>
        <v>0.79300000000000004</v>
      </c>
      <c r="T1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 spans="2:33">
      <c r="B148" t="str">
        <f>IFERROR(Table5[[#This Row],[Full name]],"")</f>
        <v>Dipraman Ghosh</v>
      </c>
      <c r="C148" s="108">
        <f>IFERROR(AVERAGE(Table1624[[#This Row],[September 30, 2025]:[Column18]]),"N/A")</f>
        <v>0.25240000000000001</v>
      </c>
      <c r="D148" s="26" t="str">
        <f>IFERROR(_xlfn.PERCENTRANK.INC(Table4[True Rank],_xlfn.XLOOKUP(Table1624[[#This Row],[Name]],Table4[Name],Table4[True Rank],"DNP",0,1)),"DNP")</f>
        <v>DNP</v>
      </c>
      <c r="E148" s="26" t="str">
        <f>IFERROR(_xlfn.PERCENTRANK.INC(Table9[True Rank],_xlfn.XLOOKUP(Table1624[[#This Row],[Name]],Table9[Name],Table9[True Rank],"DNP",0,1)),"DNP")</f>
        <v>DNP</v>
      </c>
      <c r="F148" s="26" t="str">
        <f>IFERROR(_xlfn.PERCENTRANK.INC(Table18[True Rank],_xlfn.XLOOKUP(Table1624[[#This Row],[Name]],Table18[Name],Table18[True Rank],"DNP",0,1)),"DNP")</f>
        <v>DNP</v>
      </c>
      <c r="G148" s="26" t="str">
        <f>IFERROR(_xlfn.PERCENTRANK.INC(Table2[True Rank],_xlfn.XLOOKUP(Table1624[[#This Row],[Name]],Table2[Name],Table2[True Rank],"DNP",0,1)),"DNP")</f>
        <v>DNP</v>
      </c>
      <c r="H148" s="26" t="str">
        <f>IFERROR(_xlfn.PERCENTRANK.INC(Table211[True Rank],_xlfn.XLOOKUP(Table1624[[#This Row],[Name]],Table211[Name],Table211[True Rank],"DNP",0,1)),"DNP")</f>
        <v>DNP</v>
      </c>
      <c r="I148" s="26" t="str">
        <f>IFERROR(_xlfn.PERCENTRANK.INC(Table21112[True Rank],_xlfn.XLOOKUP(Table1624[[#This Row],[Name]],Table21112[Name],Table21112[True Rank],"DNP",0,1)),"DNP")</f>
        <v>DNP</v>
      </c>
      <c r="J148" s="26" t="str">
        <f>IFERROR(_xlfn.PERCENTRANK.INC(Table21112164[True Rank],_xlfn.XLOOKUP(Table1624[[#This Row],[Name]],Table21112164[Name],Table21112164[True Rank],"DNP",0,1)),"DNP")</f>
        <v>DNP</v>
      </c>
      <c r="K148" s="26" t="str">
        <f>IFERROR(_xlfn.PERCENTRANK.INC(Table2111216420[True Rank],_xlfn.XLOOKUP(Table1624[[#This Row],[Name]],Table2111216420[Name],Table2111216420[True Rank],"DNP",0,1)),"DNP")</f>
        <v>DNP</v>
      </c>
      <c r="L148" s="26" t="str">
        <f>IFERROR(_xlfn.PERCENTRANK.INC(Table211121642021[True Rank],_xlfn.XLOOKUP(Table1624[[#This Row],[Name]],Table211121642021[Name],Table211121642021[True Rank],"DNP",0,1)),"DNP")</f>
        <v>DNP</v>
      </c>
      <c r="M148" s="26" t="str">
        <f>IFERROR(_xlfn.PERCENTRANK.INC(Table21112164202122[True Rank],_xlfn.XLOOKUP(Table1624[[#This Row],[Name]],Table21112164202122[Name],Table21112164202122[True Rank],"DNP",0,1)),"DNP")</f>
        <v>DNP</v>
      </c>
      <c r="N148" s="26">
        <f>IFERROR(_xlfn.PERCENTRANK.INC(Table2111216420212223[True Rank],_xlfn.XLOOKUP(Table1624[[#This Row],[Name]],Table2111216420212223[Name],Table2111216420212223[True Rank],"DNP",0,1)),"DNP")</f>
        <v>0</v>
      </c>
      <c r="O148" s="26">
        <f>IFERROR(_xlfn.PERCENTRANK.INC(Table211121642021222325[True Rank],_xlfn.XLOOKUP(Table1624[[#This Row],[Name]],Table211121642021222325[Name],Table211121642021222325[True Rank],"DNP",0,1)),"DNP")</f>
        <v>0.109</v>
      </c>
      <c r="P148" s="26">
        <f>IFERROR(_xlfn.PERCENTRANK.INC(Table21112164202122232534[True Rank],_xlfn.XLOOKUP(Table1624[[#This Row],[Name]],Table21112164202122232534[Name],Table21112164202122232534[True Rank],"DNP",0,1)),"DNP")</f>
        <v>0.39500000000000002</v>
      </c>
      <c r="Q148" s="26">
        <f>IFERROR(_xlfn.PERCENTRANK.INC(Table2111216420212223253435[True Rank],_xlfn.XLOOKUP(Table1624[[#This Row],[Name]],Table2111216420212223253435[Name],Table2111216420212223253435[True Rank],"DNP",0,1)),"DNP")</f>
        <v>0</v>
      </c>
      <c r="R1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8" s="26">
        <f>IFERROR(_xlfn.PERCENTRANK.INC(Table21112164202122232534353637[True Rank],_xlfn.XLOOKUP(Table1624[[#This Row],[Name]],Table21112164202122232534353637[Name],Table21112164202122232534353637[True Rank],"DNP",0,1)),"DNP")</f>
        <v>0.75800000000000001</v>
      </c>
      <c r="T1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 spans="2:33">
      <c r="B149" t="str">
        <f>IFERROR(Table5[[#This Row],[Full name]],"")</f>
        <v>Dominic Chiera</v>
      </c>
      <c r="C149" s="108">
        <f>IFERROR(AVERAGE(Table1624[[#This Row],[September 30, 2025]:[Column18]]),"N/A")</f>
        <v>0.42176923076923073</v>
      </c>
      <c r="D149" s="26">
        <f>IFERROR(_xlfn.PERCENTRANK.INC(Table4[True Rank],_xlfn.XLOOKUP(Table1624[[#This Row],[Name]],Table4[Name],Table4[True Rank],"DNP",0,1)),"DNP")</f>
        <v>0.183</v>
      </c>
      <c r="E149" s="26">
        <f>IFERROR(_xlfn.PERCENTRANK.INC(Table9[True Rank],_xlfn.XLOOKUP(Table1624[[#This Row],[Name]],Table9[Name],Table9[True Rank],"DNP",0,1)),"DNP")</f>
        <v>0.42499999999999999</v>
      </c>
      <c r="F149" s="26">
        <f>IFERROR(_xlfn.PERCENTRANK.INC(Table18[True Rank],_xlfn.XLOOKUP(Table1624[[#This Row],[Name]],Table18[Name],Table18[True Rank],"DNP",0,1)),"DNP")</f>
        <v>0.67600000000000005</v>
      </c>
      <c r="G149" s="26">
        <f>IFERROR(_xlfn.PERCENTRANK.INC(Table2[True Rank],_xlfn.XLOOKUP(Table1624[[#This Row],[Name]],Table2[Name],Table2[True Rank],"DNP",0,1)),"DNP")</f>
        <v>0.64200000000000002</v>
      </c>
      <c r="H149" s="26">
        <f>IFERROR(_xlfn.PERCENTRANK.INC(Table211[True Rank],_xlfn.XLOOKUP(Table1624[[#This Row],[Name]],Table211[Name],Table211[True Rank],"DNP",0,1)),"DNP")</f>
        <v>0.19700000000000001</v>
      </c>
      <c r="I149" s="26" t="str">
        <f>IFERROR(_xlfn.PERCENTRANK.INC(Table21112[True Rank],_xlfn.XLOOKUP(Table1624[[#This Row],[Name]],Table21112[Name],Table21112[True Rank],"DNP",0,1)),"DNP")</f>
        <v>DNP</v>
      </c>
      <c r="J149" s="26">
        <f>IFERROR(_xlfn.PERCENTRANK.INC(Table21112164[True Rank],_xlfn.XLOOKUP(Table1624[[#This Row],[Name]],Table21112164[Name],Table21112164[True Rank],"DNP",0,1)),"DNP")</f>
        <v>0.157</v>
      </c>
      <c r="K149" s="26">
        <f>IFERROR(_xlfn.PERCENTRANK.INC(Table2111216420[True Rank],_xlfn.XLOOKUP(Table1624[[#This Row],[Name]],Table2111216420[Name],Table2111216420[True Rank],"DNP",0,1)),"DNP")</f>
        <v>0.47799999999999998</v>
      </c>
      <c r="L149" s="26">
        <f>IFERROR(_xlfn.PERCENTRANK.INC(Table211121642021[True Rank],_xlfn.XLOOKUP(Table1624[[#This Row],[Name]],Table211121642021[Name],Table211121642021[True Rank],"DNP",0,1)),"DNP")</f>
        <v>0.51600000000000001</v>
      </c>
      <c r="M149" s="26" t="str">
        <f>IFERROR(_xlfn.PERCENTRANK.INC(Table21112164202122[True Rank],_xlfn.XLOOKUP(Table1624[[#This Row],[Name]],Table21112164202122[Name],Table21112164202122[True Rank],"DNP",0,1)),"DNP")</f>
        <v>DNP</v>
      </c>
      <c r="N149" s="26">
        <f>IFERROR(_xlfn.PERCENTRANK.INC(Table2111216420212223[True Rank],_xlfn.XLOOKUP(Table1624[[#This Row],[Name]],Table2111216420212223[Name],Table2111216420212223[True Rank],"DNP",0,1)),"DNP")</f>
        <v>0.38400000000000001</v>
      </c>
      <c r="O149" s="26">
        <f>IFERROR(_xlfn.PERCENTRANK.INC(Table211121642021222325[True Rank],_xlfn.XLOOKUP(Table1624[[#This Row],[Name]],Table211121642021222325[Name],Table211121642021222325[True Rank],"DNP",0,1)),"DNP")</f>
        <v>0.64800000000000002</v>
      </c>
      <c r="P149" s="26">
        <f>IFERROR(_xlfn.PERCENTRANK.INC(Table21112164202122232534[True Rank],_xlfn.XLOOKUP(Table1624[[#This Row],[Name]],Table21112164202122232534[Name],Table21112164202122232534[True Rank],"DNP",0,1)),"DNP")</f>
        <v>0.48299999999999998</v>
      </c>
      <c r="Q1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49" s="26">
        <f>IFERROR(_xlfn.PERCENTRANK.INC(Table21112164202122232534353637[True Rank],_xlfn.XLOOKUP(Table1624[[#This Row],[Name]],Table21112164202122232534353637[Name],Table21112164202122232534353637[True Rank],"DNP",0,1)),"DNP")</f>
        <v>0.25800000000000001</v>
      </c>
      <c r="T149" s="26">
        <f>IFERROR(_xlfn.PERCENTRANK.INC(Table2111216420212223253435363738[True Rank],_xlfn.XLOOKUP(Table1624[[#This Row],[Name]],Table2111216420212223253435363738[Name],Table2111216420212223253435363738[True Rank],"DNP",0,1)),"DNP")</f>
        <v>0.436</v>
      </c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 spans="2:33">
      <c r="B150" t="str">
        <f>IFERROR(Table5[[#This Row],[Full name]],"")</f>
        <v>Dominik Nowakowski</v>
      </c>
      <c r="C150" s="108">
        <f>IFERROR(AVERAGE(Table1624[[#This Row],[September 30, 2025]:[Column18]]),"N/A")</f>
        <v>0.63600000000000001</v>
      </c>
      <c r="D150" s="26" t="str">
        <f>IFERROR(_xlfn.PERCENTRANK.INC(Table4[True Rank],_xlfn.XLOOKUP(Table1624[[#This Row],[Name]],Table4[Name],Table4[True Rank],"DNP",0,1)),"DNP")</f>
        <v>DNP</v>
      </c>
      <c r="E150" s="26" t="str">
        <f>IFERROR(_xlfn.PERCENTRANK.INC(Table9[True Rank],_xlfn.XLOOKUP(Table1624[[#This Row],[Name]],Table9[Name],Table9[True Rank],"DNP",0,1)),"DNP")</f>
        <v>DNP</v>
      </c>
      <c r="F150" s="26" t="str">
        <f>IFERROR(_xlfn.PERCENTRANK.INC(Table18[True Rank],_xlfn.XLOOKUP(Table1624[[#This Row],[Name]],Table18[Name],Table18[True Rank],"DNP",0,1)),"DNP")</f>
        <v>DNP</v>
      </c>
      <c r="G150" s="26" t="str">
        <f>IFERROR(_xlfn.PERCENTRANK.INC(Table2[True Rank],_xlfn.XLOOKUP(Table1624[[#This Row],[Name]],Table2[Name],Table2[True Rank],"DNP",0,1)),"DNP")</f>
        <v>DNP</v>
      </c>
      <c r="H150" s="26" t="str">
        <f>IFERROR(_xlfn.PERCENTRANK.INC(Table211[True Rank],_xlfn.XLOOKUP(Table1624[[#This Row],[Name]],Table211[Name],Table211[True Rank],"DNP",0,1)),"DNP")</f>
        <v>DNP</v>
      </c>
      <c r="I150" s="26" t="str">
        <f>IFERROR(_xlfn.PERCENTRANK.INC(Table21112[True Rank],_xlfn.XLOOKUP(Table1624[[#This Row],[Name]],Table21112[Name],Table21112[True Rank],"DNP",0,1)),"DNP")</f>
        <v>DNP</v>
      </c>
      <c r="J150" s="26" t="str">
        <f>IFERROR(_xlfn.PERCENTRANK.INC(Table21112164[True Rank],_xlfn.XLOOKUP(Table1624[[#This Row],[Name]],Table21112164[Name],Table21112164[True Rank],"DNP",0,1)),"DNP")</f>
        <v>DNP</v>
      </c>
      <c r="K150" s="26" t="str">
        <f>IFERROR(_xlfn.PERCENTRANK.INC(Table2111216420[True Rank],_xlfn.XLOOKUP(Table1624[[#This Row],[Name]],Table2111216420[Name],Table2111216420[True Rank],"DNP",0,1)),"DNP")</f>
        <v>DNP</v>
      </c>
      <c r="L150" s="26" t="str">
        <f>IFERROR(_xlfn.PERCENTRANK.INC(Table211121642021[True Rank],_xlfn.XLOOKUP(Table1624[[#This Row],[Name]],Table211121642021[Name],Table211121642021[True Rank],"DNP",0,1)),"DNP")</f>
        <v>DNP</v>
      </c>
      <c r="M150" s="26">
        <f>IFERROR(_xlfn.PERCENTRANK.INC(Table21112164202122[True Rank],_xlfn.XLOOKUP(Table1624[[#This Row],[Name]],Table21112164202122[Name],Table21112164202122[True Rank],"DNP",0,1)),"DNP")</f>
        <v>0.63600000000000001</v>
      </c>
      <c r="N150" s="26" t="str">
        <f>IFERROR(_xlfn.PERCENTRANK.INC(Table2111216420212223[True Rank],_xlfn.XLOOKUP(Table1624[[#This Row],[Name]],Table2111216420212223[Name],Table2111216420212223[True Rank],"DNP",0,1)),"DNP")</f>
        <v>DNP</v>
      </c>
      <c r="O150" s="26" t="str">
        <f>IFERROR(_xlfn.PERCENTRANK.INC(Table211121642021222325[True Rank],_xlfn.XLOOKUP(Table1624[[#This Row],[Name]],Table211121642021222325[Name],Table211121642021222325[True Rank],"DNP",0,1)),"DNP")</f>
        <v>DNP</v>
      </c>
      <c r="P150" s="26" t="str">
        <f>IFERROR(_xlfn.PERCENTRANK.INC(Table21112164202122232534[True Rank],_xlfn.XLOOKUP(Table1624[[#This Row],[Name]],Table21112164202122232534[Name],Table21112164202122232534[True Rank],"DNP",0,1)),"DNP")</f>
        <v>DNP</v>
      </c>
      <c r="Q1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 spans="2:33">
      <c r="B151" t="str">
        <f>IFERROR(Table5[[#This Row],[Full name]],"")</f>
        <v>Echo Bao</v>
      </c>
      <c r="C151" s="108" t="str">
        <f>IFERROR(AVERAGE(Table1624[[#This Row],[September 30, 2025]:[Column18]]),"N/A")</f>
        <v>N/A</v>
      </c>
      <c r="D151" s="26" t="str">
        <f>IFERROR(_xlfn.PERCENTRANK.INC(Table4[True Rank],_xlfn.XLOOKUP(Table1624[[#This Row],[Name]],Table4[Name],Table4[True Rank],"DNP",0,1)),"DNP")</f>
        <v>DNP</v>
      </c>
      <c r="E151" s="26" t="str">
        <f>IFERROR(_xlfn.PERCENTRANK.INC(Table9[True Rank],_xlfn.XLOOKUP(Table1624[[#This Row],[Name]],Table9[Name],Table9[True Rank],"DNP",0,1)),"DNP")</f>
        <v>DNP</v>
      </c>
      <c r="F151" s="26" t="str">
        <f>IFERROR(_xlfn.PERCENTRANK.INC(Table18[True Rank],_xlfn.XLOOKUP(Table1624[[#This Row],[Name]],Table18[Name],Table18[True Rank],"DNP",0,1)),"DNP")</f>
        <v>DNP</v>
      </c>
      <c r="G151" s="26" t="str">
        <f>IFERROR(_xlfn.PERCENTRANK.INC(Table2[True Rank],_xlfn.XLOOKUP(Table1624[[#This Row],[Name]],Table2[Name],Table2[True Rank],"DNP",0,1)),"DNP")</f>
        <v>DNP</v>
      </c>
      <c r="H151" s="26" t="str">
        <f>IFERROR(_xlfn.PERCENTRANK.INC(Table211[True Rank],_xlfn.XLOOKUP(Table1624[[#This Row],[Name]],Table211[Name],Table211[True Rank],"DNP",0,1)),"DNP")</f>
        <v>DNP</v>
      </c>
      <c r="I151" s="26" t="str">
        <f>IFERROR(_xlfn.PERCENTRANK.INC(Table21112[True Rank],_xlfn.XLOOKUP(Table1624[[#This Row],[Name]],Table21112[Name],Table21112[True Rank],"DNP",0,1)),"DNP")</f>
        <v>DNP</v>
      </c>
      <c r="J151" s="26" t="str">
        <f>IFERROR(_xlfn.PERCENTRANK.INC(Table21112164[True Rank],_xlfn.XLOOKUP(Table1624[[#This Row],[Name]],Table21112164[Name],Table21112164[True Rank],"DNP",0,1)),"DNP")</f>
        <v>DNP</v>
      </c>
      <c r="K151" s="26" t="str">
        <f>IFERROR(_xlfn.PERCENTRANK.INC(Table2111216420[True Rank],_xlfn.XLOOKUP(Table1624[[#This Row],[Name]],Table2111216420[Name],Table2111216420[True Rank],"DNP",0,1)),"DNP")</f>
        <v>DNP</v>
      </c>
      <c r="L151" s="26" t="str">
        <f>IFERROR(_xlfn.PERCENTRANK.INC(Table211121642021[True Rank],_xlfn.XLOOKUP(Table1624[[#This Row],[Name]],Table211121642021[Name],Table211121642021[True Rank],"DNP",0,1)),"DNP")</f>
        <v>DNP</v>
      </c>
      <c r="M151" s="26" t="str">
        <f>IFERROR(_xlfn.PERCENTRANK.INC(Table21112164202122[True Rank],_xlfn.XLOOKUP(Table1624[[#This Row],[Name]],Table21112164202122[Name],Table21112164202122[True Rank],"DNP",0,1)),"DNP")</f>
        <v>DNP</v>
      </c>
      <c r="N151" s="26" t="str">
        <f>IFERROR(_xlfn.PERCENTRANK.INC(Table2111216420212223[True Rank],_xlfn.XLOOKUP(Table1624[[#This Row],[Name]],Table2111216420212223[Name],Table2111216420212223[True Rank],"DNP",0,1)),"DNP")</f>
        <v>DNP</v>
      </c>
      <c r="O151" s="26" t="str">
        <f>IFERROR(_xlfn.PERCENTRANK.INC(Table211121642021222325[True Rank],_xlfn.XLOOKUP(Table1624[[#This Row],[Name]],Table211121642021222325[Name],Table211121642021222325[True Rank],"DNP",0,1)),"DNP")</f>
        <v>DNP</v>
      </c>
      <c r="P151" s="26" t="str">
        <f>IFERROR(_xlfn.PERCENTRANK.INC(Table21112164202122232534[True Rank],_xlfn.XLOOKUP(Table1624[[#This Row],[Name]],Table21112164202122232534[Name],Table21112164202122232534[True Rank],"DNP",0,1)),"DNP")</f>
        <v>DNP</v>
      </c>
      <c r="Q1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 spans="2:33">
      <c r="B152" t="str">
        <f>IFERROR(Table5[[#This Row],[Full name]],"")</f>
        <v>Edison Li</v>
      </c>
      <c r="C152" s="108">
        <f>IFERROR(AVERAGE(Table1624[[#This Row],[September 30, 2025]:[Column18]]),"N/A")</f>
        <v>0.34100000000000003</v>
      </c>
      <c r="D152" s="26">
        <f>IFERROR(_xlfn.PERCENTRANK.INC(Table4[True Rank],_xlfn.XLOOKUP(Table1624[[#This Row],[Name]],Table4[Name],Table4[True Rank],"DNP",0,1)),"DNP")</f>
        <v>0.30199999999999999</v>
      </c>
      <c r="E152" s="26" t="str">
        <f>IFERROR(_xlfn.PERCENTRANK.INC(Table9[True Rank],_xlfn.XLOOKUP(Table1624[[#This Row],[Name]],Table9[Name],Table9[True Rank],"DNP",0,1)),"DNP")</f>
        <v>DNP</v>
      </c>
      <c r="F152" s="26">
        <f>IFERROR(_xlfn.PERCENTRANK.INC(Table18[True Rank],_xlfn.XLOOKUP(Table1624[[#This Row],[Name]],Table18[Name],Table18[True Rank],"DNP",0,1)),"DNP")</f>
        <v>0</v>
      </c>
      <c r="G152" s="26" t="str">
        <f>IFERROR(_xlfn.PERCENTRANK.INC(Table2[True Rank],_xlfn.XLOOKUP(Table1624[[#This Row],[Name]],Table2[Name],Table2[True Rank],"DNP",0,1)),"DNP")</f>
        <v>DNP</v>
      </c>
      <c r="H152" s="26">
        <f>IFERROR(_xlfn.PERCENTRANK.INC(Table211[True Rank],_xlfn.XLOOKUP(Table1624[[#This Row],[Name]],Table211[Name],Table211[True Rank],"DNP",0,1)),"DNP")</f>
        <v>0.32300000000000001</v>
      </c>
      <c r="I152" s="26" t="str">
        <f>IFERROR(_xlfn.PERCENTRANK.INC(Table21112[True Rank],_xlfn.XLOOKUP(Table1624[[#This Row],[Name]],Table21112[Name],Table21112[True Rank],"DNP",0,1)),"DNP")</f>
        <v>DNP</v>
      </c>
      <c r="J152" s="26">
        <f>IFERROR(_xlfn.PERCENTRANK.INC(Table21112164[True Rank],_xlfn.XLOOKUP(Table1624[[#This Row],[Name]],Table21112164[Name],Table21112164[True Rank],"DNP",0,1)),"DNP")</f>
        <v>0.13400000000000001</v>
      </c>
      <c r="K152" s="26" t="str">
        <f>IFERROR(_xlfn.PERCENTRANK.INC(Table2111216420[True Rank],_xlfn.XLOOKUP(Table1624[[#This Row],[Name]],Table2111216420[Name],Table2111216420[True Rank],"DNP",0,1)),"DNP")</f>
        <v>DNP</v>
      </c>
      <c r="L152" s="26">
        <f>IFERROR(_xlfn.PERCENTRANK.INC(Table211121642021[True Rank],_xlfn.XLOOKUP(Table1624[[#This Row],[Name]],Table211121642021[Name],Table211121642021[True Rank],"DNP",0,1)),"DNP")</f>
        <v>0.94599999999999995</v>
      </c>
      <c r="M152" s="26" t="str">
        <f>IFERROR(_xlfn.PERCENTRANK.INC(Table21112164202122[True Rank],_xlfn.XLOOKUP(Table1624[[#This Row],[Name]],Table21112164202122[Name],Table21112164202122[True Rank],"DNP",0,1)),"DNP")</f>
        <v>DNP</v>
      </c>
      <c r="N152" s="26" t="str">
        <f>IFERROR(_xlfn.PERCENTRANK.INC(Table2111216420212223[True Rank],_xlfn.XLOOKUP(Table1624[[#This Row],[Name]],Table2111216420212223[Name],Table2111216420212223[True Rank],"DNP",0,1)),"DNP")</f>
        <v>DNP</v>
      </c>
      <c r="O152" s="26" t="str">
        <f>IFERROR(_xlfn.PERCENTRANK.INC(Table211121642021222325[True Rank],_xlfn.XLOOKUP(Table1624[[#This Row],[Name]],Table211121642021222325[Name],Table211121642021222325[True Rank],"DNP",0,1)),"DNP")</f>
        <v>DNP</v>
      </c>
      <c r="P152" s="26" t="str">
        <f>IFERROR(_xlfn.PERCENTRANK.INC(Table21112164202122232534[True Rank],_xlfn.XLOOKUP(Table1624[[#This Row],[Name]],Table21112164202122232534[Name],Table21112164202122232534[True Rank],"DNP",0,1)),"DNP")</f>
        <v>DNP</v>
      </c>
      <c r="Q1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 spans="2:33">
      <c r="B153" t="str">
        <f>IFERROR(Table5[[#This Row],[Full name]],"")</f>
        <v>Edward Yang</v>
      </c>
      <c r="C153" s="108">
        <f>IFERROR(AVERAGE(Table1624[[#This Row],[September 30, 2025]:[Column18]]),"N/A")</f>
        <v>0.67700000000000005</v>
      </c>
      <c r="D153" s="26" t="str">
        <f>IFERROR(_xlfn.PERCENTRANK.INC(Table4[True Rank],_xlfn.XLOOKUP(Table1624[[#This Row],[Name]],Table4[Name],Table4[True Rank],"DNP",0,1)),"DNP")</f>
        <v>DNP</v>
      </c>
      <c r="E153" s="26" t="str">
        <f>IFERROR(_xlfn.PERCENTRANK.INC(Table9[True Rank],_xlfn.XLOOKUP(Table1624[[#This Row],[Name]],Table9[Name],Table9[True Rank],"DNP",0,1)),"DNP")</f>
        <v>DNP</v>
      </c>
      <c r="F153" s="26" t="str">
        <f>IFERROR(_xlfn.PERCENTRANK.INC(Table18[True Rank],_xlfn.XLOOKUP(Table1624[[#This Row],[Name]],Table18[Name],Table18[True Rank],"DNP",0,1)),"DNP")</f>
        <v>DNP</v>
      </c>
      <c r="G153" s="26" t="str">
        <f>IFERROR(_xlfn.PERCENTRANK.INC(Table2[True Rank],_xlfn.XLOOKUP(Table1624[[#This Row],[Name]],Table2[Name],Table2[True Rank],"DNP",0,1)),"DNP")</f>
        <v>DNP</v>
      </c>
      <c r="H153" s="26" t="str">
        <f>IFERROR(_xlfn.PERCENTRANK.INC(Table211[True Rank],_xlfn.XLOOKUP(Table1624[[#This Row],[Name]],Table211[Name],Table211[True Rank],"DNP",0,1)),"DNP")</f>
        <v>DNP</v>
      </c>
      <c r="I153" s="26" t="str">
        <f>IFERROR(_xlfn.PERCENTRANK.INC(Table21112[True Rank],_xlfn.XLOOKUP(Table1624[[#This Row],[Name]],Table21112[Name],Table21112[True Rank],"DNP",0,1)),"DNP")</f>
        <v>DNP</v>
      </c>
      <c r="J153" s="26" t="str">
        <f>IFERROR(_xlfn.PERCENTRANK.INC(Table21112164[True Rank],_xlfn.XLOOKUP(Table1624[[#This Row],[Name]],Table21112164[Name],Table21112164[True Rank],"DNP",0,1)),"DNP")</f>
        <v>DNP</v>
      </c>
      <c r="K153" s="26" t="str">
        <f>IFERROR(_xlfn.PERCENTRANK.INC(Table2111216420[True Rank],_xlfn.XLOOKUP(Table1624[[#This Row],[Name]],Table2111216420[Name],Table2111216420[True Rank],"DNP",0,1)),"DNP")</f>
        <v>DNP</v>
      </c>
      <c r="L153" s="26">
        <f>IFERROR(_xlfn.PERCENTRANK.INC(Table211121642021[True Rank],_xlfn.XLOOKUP(Table1624[[#This Row],[Name]],Table211121642021[Name],Table211121642021[True Rank],"DNP",0,1)),"DNP")</f>
        <v>0.67700000000000005</v>
      </c>
      <c r="M153" s="26" t="str">
        <f>IFERROR(_xlfn.PERCENTRANK.INC(Table21112164202122[True Rank],_xlfn.XLOOKUP(Table1624[[#This Row],[Name]],Table21112164202122[Name],Table21112164202122[True Rank],"DNP",0,1)),"DNP")</f>
        <v>DNP</v>
      </c>
      <c r="N153" s="26" t="str">
        <f>IFERROR(_xlfn.PERCENTRANK.INC(Table2111216420212223[True Rank],_xlfn.XLOOKUP(Table1624[[#This Row],[Name]],Table2111216420212223[Name],Table2111216420212223[True Rank],"DNP",0,1)),"DNP")</f>
        <v>DNP</v>
      </c>
      <c r="O153" s="26" t="str">
        <f>IFERROR(_xlfn.PERCENTRANK.INC(Table211121642021222325[True Rank],_xlfn.XLOOKUP(Table1624[[#This Row],[Name]],Table211121642021222325[Name],Table211121642021222325[True Rank],"DNP",0,1)),"DNP")</f>
        <v>DNP</v>
      </c>
      <c r="P153" s="26" t="str">
        <f>IFERROR(_xlfn.PERCENTRANK.INC(Table21112164202122232534[True Rank],_xlfn.XLOOKUP(Table1624[[#This Row],[Name]],Table21112164202122232534[Name],Table21112164202122232534[True Rank],"DNP",0,1)),"DNP")</f>
        <v>DNP</v>
      </c>
      <c r="Q15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 spans="2:33">
      <c r="B154" t="str">
        <f>IFERROR(Table5[[#This Row],[Full name]],"")</f>
        <v>Eesa Huq</v>
      </c>
      <c r="C154" s="108" t="str">
        <f>IFERROR(AVERAGE(Table1624[[#This Row],[September 30, 2025]:[Column18]]),"N/A")</f>
        <v>N/A</v>
      </c>
      <c r="D154" s="26" t="str">
        <f>IFERROR(_xlfn.PERCENTRANK.INC(Table4[True Rank],_xlfn.XLOOKUP(Table1624[[#This Row],[Name]],Table4[Name],Table4[True Rank],"DNP",0,1)),"DNP")</f>
        <v>DNP</v>
      </c>
      <c r="E154" s="26" t="str">
        <f>IFERROR(_xlfn.PERCENTRANK.INC(Table9[True Rank],_xlfn.XLOOKUP(Table1624[[#This Row],[Name]],Table9[Name],Table9[True Rank],"DNP",0,1)),"DNP")</f>
        <v>DNP</v>
      </c>
      <c r="F154" s="26" t="str">
        <f>IFERROR(_xlfn.PERCENTRANK.INC(Table18[True Rank],_xlfn.XLOOKUP(Table1624[[#This Row],[Name]],Table18[Name],Table18[True Rank],"DNP",0,1)),"DNP")</f>
        <v>DNP</v>
      </c>
      <c r="G154" s="26" t="str">
        <f>IFERROR(_xlfn.PERCENTRANK.INC(Table2[True Rank],_xlfn.XLOOKUP(Table1624[[#This Row],[Name]],Table2[Name],Table2[True Rank],"DNP",0,1)),"DNP")</f>
        <v>DNP</v>
      </c>
      <c r="H154" s="26" t="str">
        <f>IFERROR(_xlfn.PERCENTRANK.INC(Table211[True Rank],_xlfn.XLOOKUP(Table1624[[#This Row],[Name]],Table211[Name],Table211[True Rank],"DNP",0,1)),"DNP")</f>
        <v>DNP</v>
      </c>
      <c r="I154" s="26" t="str">
        <f>IFERROR(_xlfn.PERCENTRANK.INC(Table21112[True Rank],_xlfn.XLOOKUP(Table1624[[#This Row],[Name]],Table21112[Name],Table21112[True Rank],"DNP",0,1)),"DNP")</f>
        <v>DNP</v>
      </c>
      <c r="J154" s="26" t="str">
        <f>IFERROR(_xlfn.PERCENTRANK.INC(Table21112164[True Rank],_xlfn.XLOOKUP(Table1624[[#This Row],[Name]],Table21112164[Name],Table21112164[True Rank],"DNP",0,1)),"DNP")</f>
        <v>DNP</v>
      </c>
      <c r="K154" s="26" t="str">
        <f>IFERROR(_xlfn.PERCENTRANK.INC(Table2111216420[True Rank],_xlfn.XLOOKUP(Table1624[[#This Row],[Name]],Table2111216420[Name],Table2111216420[True Rank],"DNP",0,1)),"DNP")</f>
        <v>DNP</v>
      </c>
      <c r="L154" s="26" t="str">
        <f>IFERROR(_xlfn.PERCENTRANK.INC(Table211121642021[True Rank],_xlfn.XLOOKUP(Table1624[[#This Row],[Name]],Table211121642021[Name],Table211121642021[True Rank],"DNP",0,1)),"DNP")</f>
        <v>DNP</v>
      </c>
      <c r="M154" s="26" t="str">
        <f>IFERROR(_xlfn.PERCENTRANK.INC(Table21112164202122[True Rank],_xlfn.XLOOKUP(Table1624[[#This Row],[Name]],Table21112164202122[Name],Table21112164202122[True Rank],"DNP",0,1)),"DNP")</f>
        <v>DNP</v>
      </c>
      <c r="N154" s="26" t="str">
        <f>IFERROR(_xlfn.PERCENTRANK.INC(Table2111216420212223[True Rank],_xlfn.XLOOKUP(Table1624[[#This Row],[Name]],Table2111216420212223[Name],Table2111216420212223[True Rank],"DNP",0,1)),"DNP")</f>
        <v>DNP</v>
      </c>
      <c r="O154" s="26" t="str">
        <f>IFERROR(_xlfn.PERCENTRANK.INC(Table211121642021222325[True Rank],_xlfn.XLOOKUP(Table1624[[#This Row],[Name]],Table211121642021222325[Name],Table211121642021222325[True Rank],"DNP",0,1)),"DNP")</f>
        <v>DNP</v>
      </c>
      <c r="P154" s="26" t="str">
        <f>IFERROR(_xlfn.PERCENTRANK.INC(Table21112164202122232534[True Rank],_xlfn.XLOOKUP(Table1624[[#This Row],[Name]],Table21112164202122232534[Name],Table21112164202122232534[True Rank],"DNP",0,1)),"DNP")</f>
        <v>DNP</v>
      </c>
      <c r="Q1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 spans="2:33">
      <c r="B155" t="str">
        <f>IFERROR(Table5[[#This Row],[Full name]],"")</f>
        <v>Elbrus Gadmaliyev</v>
      </c>
      <c r="C155" s="108">
        <f>IFERROR(AVERAGE(Table1624[[#This Row],[September 30, 2025]:[Column18]]),"N/A")</f>
        <v>0.82399999999999995</v>
      </c>
      <c r="D155" s="26" t="str">
        <f>IFERROR(_xlfn.PERCENTRANK.INC(Table4[True Rank],_xlfn.XLOOKUP(Table1624[[#This Row],[Name]],Table4[Name],Table4[True Rank],"DNP",0,1)),"DNP")</f>
        <v>DNP</v>
      </c>
      <c r="E155" s="26" t="str">
        <f>IFERROR(_xlfn.PERCENTRANK.INC(Table9[True Rank],_xlfn.XLOOKUP(Table1624[[#This Row],[Name]],Table9[Name],Table9[True Rank],"DNP",0,1)),"DNP")</f>
        <v>DNP</v>
      </c>
      <c r="F155" s="26" t="str">
        <f>IFERROR(_xlfn.PERCENTRANK.INC(Table18[True Rank],_xlfn.XLOOKUP(Table1624[[#This Row],[Name]],Table18[Name],Table18[True Rank],"DNP",0,1)),"DNP")</f>
        <v>DNP</v>
      </c>
      <c r="G155" s="26" t="str">
        <f>IFERROR(_xlfn.PERCENTRANK.INC(Table2[True Rank],_xlfn.XLOOKUP(Table1624[[#This Row],[Name]],Table2[Name],Table2[True Rank],"DNP",0,1)),"DNP")</f>
        <v>DNP</v>
      </c>
      <c r="H155" s="26" t="str">
        <f>IFERROR(_xlfn.PERCENTRANK.INC(Table211[True Rank],_xlfn.XLOOKUP(Table1624[[#This Row],[Name]],Table211[Name],Table211[True Rank],"DNP",0,1)),"DNP")</f>
        <v>DNP</v>
      </c>
      <c r="I155" s="26" t="str">
        <f>IFERROR(_xlfn.PERCENTRANK.INC(Table21112[True Rank],_xlfn.XLOOKUP(Table1624[[#This Row],[Name]],Table21112[Name],Table21112[True Rank],"DNP",0,1)),"DNP")</f>
        <v>DNP</v>
      </c>
      <c r="J155" s="26" t="str">
        <f>IFERROR(_xlfn.PERCENTRANK.INC(Table21112164[True Rank],_xlfn.XLOOKUP(Table1624[[#This Row],[Name]],Table21112164[Name],Table21112164[True Rank],"DNP",0,1)),"DNP")</f>
        <v>DNP</v>
      </c>
      <c r="K155" s="26" t="str">
        <f>IFERROR(_xlfn.PERCENTRANK.INC(Table2111216420[True Rank],_xlfn.XLOOKUP(Table1624[[#This Row],[Name]],Table2111216420[Name],Table2111216420[True Rank],"DNP",0,1)),"DNP")</f>
        <v>DNP</v>
      </c>
      <c r="L155" s="26" t="str">
        <f>IFERROR(_xlfn.PERCENTRANK.INC(Table211121642021[True Rank],_xlfn.XLOOKUP(Table1624[[#This Row],[Name]],Table211121642021[Name],Table211121642021[True Rank],"DNP",0,1)),"DNP")</f>
        <v>DNP</v>
      </c>
      <c r="M155" s="26" t="str">
        <f>IFERROR(_xlfn.PERCENTRANK.INC(Table21112164202122[True Rank],_xlfn.XLOOKUP(Table1624[[#This Row],[Name]],Table21112164202122[Name],Table21112164202122[True Rank],"DNP",0,1)),"DNP")</f>
        <v>DNP</v>
      </c>
      <c r="N155" s="26" t="str">
        <f>IFERROR(_xlfn.PERCENTRANK.INC(Table2111216420212223[True Rank],_xlfn.XLOOKUP(Table1624[[#This Row],[Name]],Table2111216420212223[Name],Table2111216420212223[True Rank],"DNP",0,1)),"DNP")</f>
        <v>DNP</v>
      </c>
      <c r="O155" s="26" t="str">
        <f>IFERROR(_xlfn.PERCENTRANK.INC(Table211121642021222325[True Rank],_xlfn.XLOOKUP(Table1624[[#This Row],[Name]],Table211121642021222325[Name],Table211121642021222325[True Rank],"DNP",0,1)),"DNP")</f>
        <v>DNP</v>
      </c>
      <c r="P155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 spans="2:33">
      <c r="B156" t="str">
        <f>IFERROR(Table5[[#This Row],[Full name]],"")</f>
        <v>Emma Scott</v>
      </c>
      <c r="C156" s="108">
        <f>IFERROR(AVERAGE(Table1624[[#This Row],[September 30, 2025]:[Column18]]),"N/A")</f>
        <v>0.25750000000000001</v>
      </c>
      <c r="D156" s="26" t="str">
        <f>IFERROR(_xlfn.PERCENTRANK.INC(Table4[True Rank],_xlfn.XLOOKUP(Table1624[[#This Row],[Name]],Table4[Name],Table4[True Rank],"DNP",0,1)),"DNP")</f>
        <v>DNP</v>
      </c>
      <c r="E156" s="26" t="str">
        <f>IFERROR(_xlfn.PERCENTRANK.INC(Table9[True Rank],_xlfn.XLOOKUP(Table1624[[#This Row],[Name]],Table9[Name],Table9[True Rank],"DNP",0,1)),"DNP")</f>
        <v>DNP</v>
      </c>
      <c r="F156" s="26" t="str">
        <f>IFERROR(_xlfn.PERCENTRANK.INC(Table18[True Rank],_xlfn.XLOOKUP(Table1624[[#This Row],[Name]],Table18[Name],Table18[True Rank],"DNP",0,1)),"DNP")</f>
        <v>DNP</v>
      </c>
      <c r="G156" s="26" t="str">
        <f>IFERROR(_xlfn.PERCENTRANK.INC(Table2[True Rank],_xlfn.XLOOKUP(Table1624[[#This Row],[Name]],Table2[Name],Table2[True Rank],"DNP",0,1)),"DNP")</f>
        <v>DNP</v>
      </c>
      <c r="H156" s="26" t="str">
        <f>IFERROR(_xlfn.PERCENTRANK.INC(Table211[True Rank],_xlfn.XLOOKUP(Table1624[[#This Row],[Name]],Table211[Name],Table211[True Rank],"DNP",0,1)),"DNP")</f>
        <v>DNP</v>
      </c>
      <c r="I156" s="26" t="str">
        <f>IFERROR(_xlfn.PERCENTRANK.INC(Table21112[True Rank],_xlfn.XLOOKUP(Table1624[[#This Row],[Name]],Table21112[Name],Table21112[True Rank],"DNP",0,1)),"DNP")</f>
        <v>DNP</v>
      </c>
      <c r="J156" s="26" t="str">
        <f>IFERROR(_xlfn.PERCENTRANK.INC(Table21112164[True Rank],_xlfn.XLOOKUP(Table1624[[#This Row],[Name]],Table21112164[Name],Table21112164[True Rank],"DNP",0,1)),"DNP")</f>
        <v>DNP</v>
      </c>
      <c r="K156" s="26" t="str">
        <f>IFERROR(_xlfn.PERCENTRANK.INC(Table2111216420[True Rank],_xlfn.XLOOKUP(Table1624[[#This Row],[Name]],Table2111216420[Name],Table2111216420[True Rank],"DNP",0,1)),"DNP")</f>
        <v>DNP</v>
      </c>
      <c r="L156" s="26" t="str">
        <f>IFERROR(_xlfn.PERCENTRANK.INC(Table211121642021[True Rank],_xlfn.XLOOKUP(Table1624[[#This Row],[Name]],Table211121642021[Name],Table211121642021[True Rank],"DNP",0,1)),"DNP")</f>
        <v>DNP</v>
      </c>
      <c r="M156" s="26" t="str">
        <f>IFERROR(_xlfn.PERCENTRANK.INC(Table21112164202122[True Rank],_xlfn.XLOOKUP(Table1624[[#This Row],[Name]],Table21112164202122[Name],Table21112164202122[True Rank],"DNP",0,1)),"DNP")</f>
        <v>DNP</v>
      </c>
      <c r="N156" s="26">
        <f>IFERROR(_xlfn.PERCENTRANK.INC(Table2111216420212223[True Rank],_xlfn.XLOOKUP(Table1624[[#This Row],[Name]],Table2111216420212223[Name],Table2111216420212223[True Rank],"DNP",0,1)),"DNP")</f>
        <v>0.307</v>
      </c>
      <c r="O156" s="26" t="str">
        <f>IFERROR(_xlfn.PERCENTRANK.INC(Table211121642021222325[True Rank],_xlfn.XLOOKUP(Table1624[[#This Row],[Name]],Table211121642021222325[Name],Table211121642021222325[True Rank],"DNP",0,1)),"DNP")</f>
        <v>DNP</v>
      </c>
      <c r="P156" s="26">
        <f>IFERROR(_xlfn.PERCENTRANK.INC(Table21112164202122232534[True Rank],_xlfn.XLOOKUP(Table1624[[#This Row],[Name]],Table21112164202122232534[Name],Table21112164202122232534[True Rank],"DNP",0,1)),"DNP")</f>
        <v>0.20799999999999999</v>
      </c>
      <c r="Q15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 spans="2:33">
      <c r="B157" t="str">
        <f>IFERROR(Table5[[#This Row],[Full name]],"")</f>
        <v>Emre Gulyurt</v>
      </c>
      <c r="C157" s="108" t="str">
        <f>IFERROR(AVERAGE(Table1624[[#This Row],[September 30, 2025]:[Column18]]),"N/A")</f>
        <v>N/A</v>
      </c>
      <c r="D157" s="26" t="str">
        <f>IFERROR(_xlfn.PERCENTRANK.INC(Table4[True Rank],_xlfn.XLOOKUP(Table1624[[#This Row],[Name]],Table4[Name],Table4[True Rank],"DNP",0,1)),"DNP")</f>
        <v>DNP</v>
      </c>
      <c r="E157" s="26" t="str">
        <f>IFERROR(_xlfn.PERCENTRANK.INC(Table9[True Rank],_xlfn.XLOOKUP(Table1624[[#This Row],[Name]],Table9[Name],Table9[True Rank],"DNP",0,1)),"DNP")</f>
        <v>DNP</v>
      </c>
      <c r="F157" s="26" t="str">
        <f>IFERROR(_xlfn.PERCENTRANK.INC(Table18[True Rank],_xlfn.XLOOKUP(Table1624[[#This Row],[Name]],Table18[Name],Table18[True Rank],"DNP",0,1)),"DNP")</f>
        <v>DNP</v>
      </c>
      <c r="G157" s="26" t="str">
        <f>IFERROR(_xlfn.PERCENTRANK.INC(Table2[True Rank],_xlfn.XLOOKUP(Table1624[[#This Row],[Name]],Table2[Name],Table2[True Rank],"DNP",0,1)),"DNP")</f>
        <v>DNP</v>
      </c>
      <c r="H157" s="26" t="str">
        <f>IFERROR(_xlfn.PERCENTRANK.INC(Table211[True Rank],_xlfn.XLOOKUP(Table1624[[#This Row],[Name]],Table211[Name],Table211[True Rank],"DNP",0,1)),"DNP")</f>
        <v>DNP</v>
      </c>
      <c r="I157" s="26" t="str">
        <f>IFERROR(_xlfn.PERCENTRANK.INC(Table21112[True Rank],_xlfn.XLOOKUP(Table1624[[#This Row],[Name]],Table21112[Name],Table21112[True Rank],"DNP",0,1)),"DNP")</f>
        <v>DNP</v>
      </c>
      <c r="J157" s="26" t="str">
        <f>IFERROR(_xlfn.PERCENTRANK.INC(Table21112164[True Rank],_xlfn.XLOOKUP(Table1624[[#This Row],[Name]],Table21112164[Name],Table21112164[True Rank],"DNP",0,1)),"DNP")</f>
        <v>DNP</v>
      </c>
      <c r="K157" s="26" t="str">
        <f>IFERROR(_xlfn.PERCENTRANK.INC(Table2111216420[True Rank],_xlfn.XLOOKUP(Table1624[[#This Row],[Name]],Table2111216420[Name],Table2111216420[True Rank],"DNP",0,1)),"DNP")</f>
        <v>DNP</v>
      </c>
      <c r="L157" s="26" t="str">
        <f>IFERROR(_xlfn.PERCENTRANK.INC(Table211121642021[True Rank],_xlfn.XLOOKUP(Table1624[[#This Row],[Name]],Table211121642021[Name],Table211121642021[True Rank],"DNP",0,1)),"DNP")</f>
        <v>DNP</v>
      </c>
      <c r="M157" s="26" t="str">
        <f>IFERROR(_xlfn.PERCENTRANK.INC(Table21112164202122[True Rank],_xlfn.XLOOKUP(Table1624[[#This Row],[Name]],Table21112164202122[Name],Table21112164202122[True Rank],"DNP",0,1)),"DNP")</f>
        <v>DNP</v>
      </c>
      <c r="N157" s="26" t="str">
        <f>IFERROR(_xlfn.PERCENTRANK.INC(Table2111216420212223[True Rank],_xlfn.XLOOKUP(Table1624[[#This Row],[Name]],Table2111216420212223[Name],Table2111216420212223[True Rank],"DNP",0,1)),"DNP")</f>
        <v>DNP</v>
      </c>
      <c r="O157" s="26" t="str">
        <f>IFERROR(_xlfn.PERCENTRANK.INC(Table211121642021222325[True Rank],_xlfn.XLOOKUP(Table1624[[#This Row],[Name]],Table211121642021222325[Name],Table211121642021222325[True Rank],"DNP",0,1)),"DNP")</f>
        <v>DNP</v>
      </c>
      <c r="P157" s="26" t="str">
        <f>IFERROR(_xlfn.PERCENTRANK.INC(Table21112164202122232534[True Rank],_xlfn.XLOOKUP(Table1624[[#This Row],[Name]],Table21112164202122232534[Name],Table21112164202122232534[True Rank],"DNP",0,1)),"DNP")</f>
        <v>DNP</v>
      </c>
      <c r="Q1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 spans="2:33">
      <c r="B158" t="str">
        <f>IFERROR(Table5[[#This Row],[Full name]],"")</f>
        <v>Erfan Zarenia</v>
      </c>
      <c r="C158" s="108">
        <f>IFERROR(AVERAGE(Table1624[[#This Row],[September 30, 2025]:[Column18]]),"N/A")</f>
        <v>0.51133333333333331</v>
      </c>
      <c r="D158" s="26" t="str">
        <f>IFERROR(_xlfn.PERCENTRANK.INC(Table4[True Rank],_xlfn.XLOOKUP(Table1624[[#This Row],[Name]],Table4[Name],Table4[True Rank],"DNP",0,1)),"DNP")</f>
        <v>DNP</v>
      </c>
      <c r="E158" s="26">
        <f>IFERROR(_xlfn.PERCENTRANK.INC(Table9[True Rank],_xlfn.XLOOKUP(Table1624[[#This Row],[Name]],Table9[Name],Table9[True Rank],"DNP",0,1)),"DNP")</f>
        <v>0.78100000000000003</v>
      </c>
      <c r="F158" s="26">
        <f>IFERROR(_xlfn.PERCENTRANK.INC(Table18[True Rank],_xlfn.XLOOKUP(Table1624[[#This Row],[Name]],Table18[Name],Table18[True Rank],"DNP",0,1)),"DNP")</f>
        <v>0.64600000000000002</v>
      </c>
      <c r="G158" s="26" t="str">
        <f>IFERROR(_xlfn.PERCENTRANK.INC(Table2[True Rank],_xlfn.XLOOKUP(Table1624[[#This Row],[Name]],Table2[Name],Table2[True Rank],"DNP",0,1)),"DNP")</f>
        <v>DNP</v>
      </c>
      <c r="H158" s="26" t="str">
        <f>IFERROR(_xlfn.PERCENTRANK.INC(Table211[True Rank],_xlfn.XLOOKUP(Table1624[[#This Row],[Name]],Table211[Name],Table211[True Rank],"DNP",0,1)),"DNP")</f>
        <v>DNP</v>
      </c>
      <c r="I158" s="26" t="str">
        <f>IFERROR(_xlfn.PERCENTRANK.INC(Table21112[True Rank],_xlfn.XLOOKUP(Table1624[[#This Row],[Name]],Table21112[Name],Table21112[True Rank],"DNP",0,1)),"DNP")</f>
        <v>DNP</v>
      </c>
      <c r="J158" s="26" t="str">
        <f>IFERROR(_xlfn.PERCENTRANK.INC(Table21112164[True Rank],_xlfn.XLOOKUP(Table1624[[#This Row],[Name]],Table21112164[Name],Table21112164[True Rank],"DNP",0,1)),"DNP")</f>
        <v>DNP</v>
      </c>
      <c r="K158" s="26" t="str">
        <f>IFERROR(_xlfn.PERCENTRANK.INC(Table2111216420[True Rank],_xlfn.XLOOKUP(Table1624[[#This Row],[Name]],Table2111216420[Name],Table2111216420[True Rank],"DNP",0,1)),"DNP")</f>
        <v>DNP</v>
      </c>
      <c r="L158" s="26" t="str">
        <f>IFERROR(_xlfn.PERCENTRANK.INC(Table211121642021[True Rank],_xlfn.XLOOKUP(Table1624[[#This Row],[Name]],Table211121642021[Name],Table211121642021[True Rank],"DNP",0,1)),"DNP")</f>
        <v>DNP</v>
      </c>
      <c r="M158" s="26">
        <f>IFERROR(_xlfn.PERCENTRANK.INC(Table21112164202122[True Rank],_xlfn.XLOOKUP(Table1624[[#This Row],[Name]],Table21112164202122[Name],Table21112164202122[True Rank],"DNP",0,1)),"DNP")</f>
        <v>0.5</v>
      </c>
      <c r="N158" s="26">
        <f>IFERROR(_xlfn.PERCENTRANK.INC(Table2111216420212223[True Rank],_xlfn.XLOOKUP(Table1624[[#This Row],[Name]],Table2111216420212223[Name],Table2111216420212223[True Rank],"DNP",0,1)),"DNP")</f>
        <v>0.41699999999999998</v>
      </c>
      <c r="O158" s="26">
        <f>IFERROR(_xlfn.PERCENTRANK.INC(Table211121642021222325[True Rank],_xlfn.XLOOKUP(Table1624[[#This Row],[Name]],Table211121642021222325[Name],Table211121642021222325[True Rank],"DNP",0,1)),"DNP")</f>
        <v>8.6999999999999994E-2</v>
      </c>
      <c r="P158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15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 spans="2:33">
      <c r="B159" t="str">
        <f>IFERROR(Table5[[#This Row],[Full name]],"")</f>
        <v>Eric Song</v>
      </c>
      <c r="C159" s="108">
        <f>IFERROR(AVERAGE(Table1624[[#This Row],[September 30, 2025]:[Column18]]),"N/A")</f>
        <v>0.43958333333333338</v>
      </c>
      <c r="D159" s="26">
        <f>IFERROR(_xlfn.PERCENTRANK.INC(Table4[True Rank],_xlfn.XLOOKUP(Table1624[[#This Row],[Name]],Table4[Name],Table4[True Rank],"DNP",0,1)),"DNP")</f>
        <v>0.78800000000000003</v>
      </c>
      <c r="E159" s="26">
        <f>IFERROR(_xlfn.PERCENTRANK.INC(Table9[True Rank],_xlfn.XLOOKUP(Table1624[[#This Row],[Name]],Table9[Name],Table9[True Rank],"DNP",0,1)),"DNP")</f>
        <v>0.26400000000000001</v>
      </c>
      <c r="F159" s="26">
        <f>IFERROR(_xlfn.PERCENTRANK.INC(Table18[True Rank],_xlfn.XLOOKUP(Table1624[[#This Row],[Name]],Table18[Name],Table18[True Rank],"DNP",0,1)),"DNP")</f>
        <v>0.14099999999999999</v>
      </c>
      <c r="G159" s="26">
        <f>IFERROR(_xlfn.PERCENTRANK.INC(Table2[True Rank],_xlfn.XLOOKUP(Table1624[[#This Row],[Name]],Table2[Name],Table2[True Rank],"DNP",0,1)),"DNP")</f>
        <v>0.51100000000000001</v>
      </c>
      <c r="H159" s="26" t="str">
        <f>IFERROR(_xlfn.PERCENTRANK.INC(Table211[True Rank],_xlfn.XLOOKUP(Table1624[[#This Row],[Name]],Table211[Name],Table211[True Rank],"DNP",0,1)),"DNP")</f>
        <v>DNP</v>
      </c>
      <c r="I159" s="26">
        <f>IFERROR(_xlfn.PERCENTRANK.INC(Table21112[True Rank],_xlfn.XLOOKUP(Table1624[[#This Row],[Name]],Table21112[Name],Table21112[True Rank],"DNP",0,1)),"DNP")</f>
        <v>0.75600000000000001</v>
      </c>
      <c r="J159" s="26">
        <f>IFERROR(_xlfn.PERCENTRANK.INC(Table21112164[True Rank],_xlfn.XLOOKUP(Table1624[[#This Row],[Name]],Table21112164[Name],Table21112164[True Rank],"DNP",0,1)),"DNP")</f>
        <v>3.3000000000000002E-2</v>
      </c>
      <c r="K159" s="26">
        <f>IFERROR(_xlfn.PERCENTRANK.INC(Table2111216420[True Rank],_xlfn.XLOOKUP(Table1624[[#This Row],[Name]],Table2111216420[Name],Table2111216420[True Rank],"DNP",0,1)),"DNP")</f>
        <v>0</v>
      </c>
      <c r="L159" s="26">
        <f>IFERROR(_xlfn.PERCENTRANK.INC(Table211121642021[True Rank],_xlfn.XLOOKUP(Table1624[[#This Row],[Name]],Table211121642021[Name],Table211121642021[True Rank],"DNP",0,1)),"DNP")</f>
        <v>0.72</v>
      </c>
      <c r="M159" s="26">
        <f>IFERROR(_xlfn.PERCENTRANK.INC(Table21112164202122[True Rank],_xlfn.XLOOKUP(Table1624[[#This Row],[Name]],Table21112164202122[Name],Table21112164202122[True Rank],"DNP",0,1)),"DNP")</f>
        <v>0.27200000000000002</v>
      </c>
      <c r="N159" s="26">
        <f>IFERROR(_xlfn.PERCENTRANK.INC(Table2111216420212223[True Rank],_xlfn.XLOOKUP(Table1624[[#This Row],[Name]],Table2111216420212223[Name],Table2111216420212223[True Rank],"DNP",0,1)),"DNP")</f>
        <v>0.109</v>
      </c>
      <c r="O159" s="26">
        <f>IFERROR(_xlfn.PERCENTRANK.INC(Table211121642021222325[True Rank],_xlfn.XLOOKUP(Table1624[[#This Row],[Name]],Table211121642021222325[Name],Table211121642021222325[True Rank],"DNP",0,1)),"DNP")</f>
        <v>0.91200000000000003</v>
      </c>
      <c r="P159" s="26">
        <f>IFERROR(_xlfn.PERCENTRANK.INC(Table21112164202122232534[True Rank],_xlfn.XLOOKUP(Table1624[[#This Row],[Name]],Table21112164202122232534[Name],Table21112164202122232534[True Rank],"DNP",0,1)),"DNP")</f>
        <v>0.76900000000000002</v>
      </c>
      <c r="Q1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 spans="2:33">
      <c r="B160" t="str">
        <f>IFERROR(Table5[[#This Row],[Full name]],"")</f>
        <v>Ethan Zhao</v>
      </c>
      <c r="C160" s="108">
        <f>IFERROR(AVERAGE(Table1624[[#This Row],[September 30, 2025]:[Column18]]),"N/A")</f>
        <v>0.27400000000000002</v>
      </c>
      <c r="D160" s="26" t="str">
        <f>IFERROR(_xlfn.PERCENTRANK.INC(Table4[True Rank],_xlfn.XLOOKUP(Table1624[[#This Row],[Name]],Table4[Name],Table4[True Rank],"DNP",0,1)),"DNP")</f>
        <v>DNP</v>
      </c>
      <c r="E160" s="26" t="str">
        <f>IFERROR(_xlfn.PERCENTRANK.INC(Table9[True Rank],_xlfn.XLOOKUP(Table1624[[#This Row],[Name]],Table9[Name],Table9[True Rank],"DNP",0,1)),"DNP")</f>
        <v>DNP</v>
      </c>
      <c r="F160" s="26" t="str">
        <f>IFERROR(_xlfn.PERCENTRANK.INC(Table18[True Rank],_xlfn.XLOOKUP(Table1624[[#This Row],[Name]],Table18[Name],Table18[True Rank],"DNP",0,1)),"DNP")</f>
        <v>DNP</v>
      </c>
      <c r="G160" s="26" t="str">
        <f>IFERROR(_xlfn.PERCENTRANK.INC(Table2[True Rank],_xlfn.XLOOKUP(Table1624[[#This Row],[Name]],Table2[Name],Table2[True Rank],"DNP",0,1)),"DNP")</f>
        <v>DNP</v>
      </c>
      <c r="H160" s="26" t="str">
        <f>IFERROR(_xlfn.PERCENTRANK.INC(Table211[True Rank],_xlfn.XLOOKUP(Table1624[[#This Row],[Name]],Table211[Name],Table211[True Rank],"DNP",0,1)),"DNP")</f>
        <v>DNP</v>
      </c>
      <c r="I160" s="26" t="str">
        <f>IFERROR(_xlfn.PERCENTRANK.INC(Table21112[True Rank],_xlfn.XLOOKUP(Table1624[[#This Row],[Name]],Table21112[Name],Table21112[True Rank],"DNP",0,1)),"DNP")</f>
        <v>DNP</v>
      </c>
      <c r="J160" s="26" t="str">
        <f>IFERROR(_xlfn.PERCENTRANK.INC(Table21112164[True Rank],_xlfn.XLOOKUP(Table1624[[#This Row],[Name]],Table21112164[Name],Table21112164[True Rank],"DNP",0,1)),"DNP")</f>
        <v>DNP</v>
      </c>
      <c r="K160" s="26" t="str">
        <f>IFERROR(_xlfn.PERCENTRANK.INC(Table2111216420[True Rank],_xlfn.XLOOKUP(Table1624[[#This Row],[Name]],Table2111216420[Name],Table2111216420[True Rank],"DNP",0,1)),"DNP")</f>
        <v>DNP</v>
      </c>
      <c r="L160" s="26" t="str">
        <f>IFERROR(_xlfn.PERCENTRANK.INC(Table211121642021[True Rank],_xlfn.XLOOKUP(Table1624[[#This Row],[Name]],Table211121642021[Name],Table211121642021[True Rank],"DNP",0,1)),"DNP")</f>
        <v>DNP</v>
      </c>
      <c r="M160" s="26" t="str">
        <f>IFERROR(_xlfn.PERCENTRANK.INC(Table21112164202122[True Rank],_xlfn.XLOOKUP(Table1624[[#This Row],[Name]],Table21112164202122[Name],Table21112164202122[True Rank],"DNP",0,1)),"DNP")</f>
        <v>DNP</v>
      </c>
      <c r="N160" s="26">
        <f>IFERROR(_xlfn.PERCENTRANK.INC(Table2111216420212223[True Rank],_xlfn.XLOOKUP(Table1624[[#This Row],[Name]],Table2111216420212223[Name],Table2111216420212223[True Rank],"DNP",0,1)),"DNP")</f>
        <v>0.27400000000000002</v>
      </c>
      <c r="O160" s="26" t="str">
        <f>IFERROR(_xlfn.PERCENTRANK.INC(Table211121642021222325[True Rank],_xlfn.XLOOKUP(Table1624[[#This Row],[Name]],Table211121642021222325[Name],Table211121642021222325[True Rank],"DNP",0,1)),"DNP")</f>
        <v>DNP</v>
      </c>
      <c r="P160" s="26" t="str">
        <f>IFERROR(_xlfn.PERCENTRANK.INC(Table21112164202122232534[True Rank],_xlfn.XLOOKUP(Table1624[[#This Row],[Name]],Table21112164202122232534[Name],Table21112164202122232534[True Rank],"DNP",0,1)),"DNP")</f>
        <v>DNP</v>
      </c>
      <c r="Q1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 spans="2:33">
      <c r="B161" t="str">
        <f>IFERROR(Table5[[#This Row],[Full name]],"")</f>
        <v>Ethan Schmidt</v>
      </c>
      <c r="C161" s="108">
        <f>IFERROR(AVERAGE(Table1624[[#This Row],[September 30, 2025]:[Column18]]),"N/A")</f>
        <v>0.20599999999999999</v>
      </c>
      <c r="D161" s="26" t="str">
        <f>IFERROR(_xlfn.PERCENTRANK.INC(Table4[True Rank],_xlfn.XLOOKUP(Table1624[[#This Row],[Name]],Table4[Name],Table4[True Rank],"DNP",0,1)),"DNP")</f>
        <v>DNP</v>
      </c>
      <c r="E161" s="26" t="str">
        <f>IFERROR(_xlfn.PERCENTRANK.INC(Table9[True Rank],_xlfn.XLOOKUP(Table1624[[#This Row],[Name]],Table9[Name],Table9[True Rank],"DNP",0,1)),"DNP")</f>
        <v>DNP</v>
      </c>
      <c r="F161" s="26" t="str">
        <f>IFERROR(_xlfn.PERCENTRANK.INC(Table18[True Rank],_xlfn.XLOOKUP(Table1624[[#This Row],[Name]],Table18[Name],Table18[True Rank],"DNP",0,1)),"DNP")</f>
        <v>DNP</v>
      </c>
      <c r="G161" s="26" t="str">
        <f>IFERROR(_xlfn.PERCENTRANK.INC(Table2[True Rank],_xlfn.XLOOKUP(Table1624[[#This Row],[Name]],Table2[Name],Table2[True Rank],"DNP",0,1)),"DNP")</f>
        <v>DNP</v>
      </c>
      <c r="H161" s="26" t="str">
        <f>IFERROR(_xlfn.PERCENTRANK.INC(Table211[True Rank],_xlfn.XLOOKUP(Table1624[[#This Row],[Name]],Table211[Name],Table211[True Rank],"DNP",0,1)),"DNP")</f>
        <v>DNP</v>
      </c>
      <c r="I161" s="26" t="str">
        <f>IFERROR(_xlfn.PERCENTRANK.INC(Table21112[True Rank],_xlfn.XLOOKUP(Table1624[[#This Row],[Name]],Table21112[Name],Table21112[True Rank],"DNP",0,1)),"DNP")</f>
        <v>DNP</v>
      </c>
      <c r="J161" s="26" t="str">
        <f>IFERROR(_xlfn.PERCENTRANK.INC(Table21112164[True Rank],_xlfn.XLOOKUP(Table1624[[#This Row],[Name]],Table21112164[Name],Table21112164[True Rank],"DNP",0,1)),"DNP")</f>
        <v>DNP</v>
      </c>
      <c r="K161" s="26" t="str">
        <f>IFERROR(_xlfn.PERCENTRANK.INC(Table2111216420[True Rank],_xlfn.XLOOKUP(Table1624[[#This Row],[Name]],Table2111216420[Name],Table2111216420[True Rank],"DNP",0,1)),"DNP")</f>
        <v>DNP</v>
      </c>
      <c r="L161" s="26" t="str">
        <f>IFERROR(_xlfn.PERCENTRANK.INC(Table211121642021[True Rank],_xlfn.XLOOKUP(Table1624[[#This Row],[Name]],Table211121642021[Name],Table211121642021[True Rank],"DNP",0,1)),"DNP")</f>
        <v>DNP</v>
      </c>
      <c r="M161" s="26" t="str">
        <f>IFERROR(_xlfn.PERCENTRANK.INC(Table21112164202122[True Rank],_xlfn.XLOOKUP(Table1624[[#This Row],[Name]],Table21112164202122[Name],Table21112164202122[True Rank],"DNP",0,1)),"DNP")</f>
        <v>DNP</v>
      </c>
      <c r="N161" s="26" t="str">
        <f>IFERROR(_xlfn.PERCENTRANK.INC(Table2111216420212223[True Rank],_xlfn.XLOOKUP(Table1624[[#This Row],[Name]],Table2111216420212223[Name],Table2111216420212223[True Rank],"DNP",0,1)),"DNP")</f>
        <v>DNP</v>
      </c>
      <c r="O161" s="26" t="str">
        <f>IFERROR(_xlfn.PERCENTRANK.INC(Table211121642021222325[True Rank],_xlfn.XLOOKUP(Table1624[[#This Row],[Name]],Table211121642021222325[Name],Table211121642021222325[True Rank],"DNP",0,1)),"DNP")</f>
        <v>DNP</v>
      </c>
      <c r="P161" s="26" t="str">
        <f>IFERROR(_xlfn.PERCENTRANK.INC(Table21112164202122232534[True Rank],_xlfn.XLOOKUP(Table1624[[#This Row],[Name]],Table21112164202122232534[Name],Table21112164202122232534[True Rank],"DNP",0,1)),"DNP")</f>
        <v>DNP</v>
      </c>
      <c r="Q1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1" s="26">
        <f>IFERROR(_xlfn.PERCENTRANK.INC(Table21112164202122232534353637[True Rank],_xlfn.XLOOKUP(Table1624[[#This Row],[Name]],Table21112164202122232534353637[Name],Table21112164202122232534353637[True Rank],"DNP",0,1)),"DNP")</f>
        <v>0.20599999999999999</v>
      </c>
      <c r="T1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 spans="2:33">
      <c r="B162" t="str">
        <f>IFERROR(Table5[[#This Row],[Full name]],"")</f>
        <v>Evan Sahadeo</v>
      </c>
      <c r="C162" s="108">
        <f>IFERROR(AVERAGE(Table1624[[#This Row],[September 30, 2025]:[Column18]]),"N/A")</f>
        <v>0.35299999999999998</v>
      </c>
      <c r="D162" s="26" t="str">
        <f>IFERROR(_xlfn.PERCENTRANK.INC(Table4[True Rank],_xlfn.XLOOKUP(Table1624[[#This Row],[Name]],Table4[Name],Table4[True Rank],"DNP",0,1)),"DNP")</f>
        <v>DNP</v>
      </c>
      <c r="E162" s="26" t="str">
        <f>IFERROR(_xlfn.PERCENTRANK.INC(Table9[True Rank],_xlfn.XLOOKUP(Table1624[[#This Row],[Name]],Table9[Name],Table9[True Rank],"DNP",0,1)),"DNP")</f>
        <v>DNP</v>
      </c>
      <c r="F162" s="26">
        <f>IFERROR(_xlfn.PERCENTRANK.INC(Table18[True Rank],_xlfn.XLOOKUP(Table1624[[#This Row],[Name]],Table18[Name],Table18[True Rank],"DNP",0,1)),"DNP")</f>
        <v>0.35299999999999998</v>
      </c>
      <c r="G162" s="26" t="str">
        <f>IFERROR(_xlfn.PERCENTRANK.INC(Table2[True Rank],_xlfn.XLOOKUP(Table1624[[#This Row],[Name]],Table2[Name],Table2[True Rank],"DNP",0,1)),"DNP")</f>
        <v>DNP</v>
      </c>
      <c r="H162" s="26" t="str">
        <f>IFERROR(_xlfn.PERCENTRANK.INC(Table211[True Rank],_xlfn.XLOOKUP(Table1624[[#This Row],[Name]],Table211[Name],Table211[True Rank],"DNP",0,1)),"DNP")</f>
        <v>DNP</v>
      </c>
      <c r="I162" s="26" t="str">
        <f>IFERROR(_xlfn.PERCENTRANK.INC(Table21112[True Rank],_xlfn.XLOOKUP(Table1624[[#This Row],[Name]],Table21112[Name],Table21112[True Rank],"DNP",0,1)),"DNP")</f>
        <v>DNP</v>
      </c>
      <c r="J162" s="26" t="str">
        <f>IFERROR(_xlfn.PERCENTRANK.INC(Table21112164[True Rank],_xlfn.XLOOKUP(Table1624[[#This Row],[Name]],Table21112164[Name],Table21112164[True Rank],"DNP",0,1)),"DNP")</f>
        <v>DNP</v>
      </c>
      <c r="K162" s="26" t="str">
        <f>IFERROR(_xlfn.PERCENTRANK.INC(Table2111216420[True Rank],_xlfn.XLOOKUP(Table1624[[#This Row],[Name]],Table2111216420[Name],Table2111216420[True Rank],"DNP",0,1)),"DNP")</f>
        <v>DNP</v>
      </c>
      <c r="L162" s="26" t="str">
        <f>IFERROR(_xlfn.PERCENTRANK.INC(Table211121642021[True Rank],_xlfn.XLOOKUP(Table1624[[#This Row],[Name]],Table211121642021[Name],Table211121642021[True Rank],"DNP",0,1)),"DNP")</f>
        <v>DNP</v>
      </c>
      <c r="M162" s="26" t="str">
        <f>IFERROR(_xlfn.PERCENTRANK.INC(Table21112164202122[True Rank],_xlfn.XLOOKUP(Table1624[[#This Row],[Name]],Table21112164202122[Name],Table21112164202122[True Rank],"DNP",0,1)),"DNP")</f>
        <v>DNP</v>
      </c>
      <c r="N162" s="26" t="str">
        <f>IFERROR(_xlfn.PERCENTRANK.INC(Table2111216420212223[True Rank],_xlfn.XLOOKUP(Table1624[[#This Row],[Name]],Table2111216420212223[Name],Table2111216420212223[True Rank],"DNP",0,1)),"DNP")</f>
        <v>DNP</v>
      </c>
      <c r="O162" s="26" t="str">
        <f>IFERROR(_xlfn.PERCENTRANK.INC(Table211121642021222325[True Rank],_xlfn.XLOOKUP(Table1624[[#This Row],[Name]],Table211121642021222325[Name],Table211121642021222325[True Rank],"DNP",0,1)),"DNP")</f>
        <v>DNP</v>
      </c>
      <c r="P162" s="26" t="str">
        <f>IFERROR(_xlfn.PERCENTRANK.INC(Table21112164202122232534[True Rank],_xlfn.XLOOKUP(Table1624[[#This Row],[Name]],Table21112164202122232534[Name],Table21112164202122232534[True Rank],"DNP",0,1)),"DNP")</f>
        <v>DNP</v>
      </c>
      <c r="Q16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 spans="2:33">
      <c r="B163" t="str">
        <f>IFERROR(Table5[[#This Row],[Full name]],"")</f>
        <v>Evelyn Zhang</v>
      </c>
      <c r="C163" s="108">
        <f>IFERROR(AVERAGE(Table1624[[#This Row],[September 30, 2025]:[Column18]]),"N/A")</f>
        <v>0.53349999999999997</v>
      </c>
      <c r="D163" s="26">
        <f>IFERROR(_xlfn.PERCENTRANK.INC(Table4[True Rank],_xlfn.XLOOKUP(Table1624[[#This Row],[Name]],Table4[Name],Table4[True Rank],"DNP",0,1)),"DNP")</f>
        <v>0.504</v>
      </c>
      <c r="E163" s="26">
        <f>IFERROR(_xlfn.PERCENTRANK.INC(Table9[True Rank],_xlfn.XLOOKUP(Table1624[[#This Row],[Name]],Table9[Name],Table9[True Rank],"DNP",0,1)),"DNP")</f>
        <v>0.56299999999999994</v>
      </c>
      <c r="F163" s="26" t="str">
        <f>IFERROR(_xlfn.PERCENTRANK.INC(Table18[True Rank],_xlfn.XLOOKUP(Table1624[[#This Row],[Name]],Table18[Name],Table18[True Rank],"DNP",0,1)),"DNP")</f>
        <v>DNP</v>
      </c>
      <c r="G163" s="26" t="str">
        <f>IFERROR(_xlfn.PERCENTRANK.INC(Table2[True Rank],_xlfn.XLOOKUP(Table1624[[#This Row],[Name]],Table2[Name],Table2[True Rank],"DNP",0,1)),"DNP")</f>
        <v>DNP</v>
      </c>
      <c r="H163" s="26" t="str">
        <f>IFERROR(_xlfn.PERCENTRANK.INC(Table211[True Rank],_xlfn.XLOOKUP(Table1624[[#This Row],[Name]],Table211[Name],Table211[True Rank],"DNP",0,1)),"DNP")</f>
        <v>DNP</v>
      </c>
      <c r="I163" s="26" t="str">
        <f>IFERROR(_xlfn.PERCENTRANK.INC(Table21112[True Rank],_xlfn.XLOOKUP(Table1624[[#This Row],[Name]],Table21112[Name],Table21112[True Rank],"DNP",0,1)),"DNP")</f>
        <v>DNP</v>
      </c>
      <c r="J163" s="26" t="str">
        <f>IFERROR(_xlfn.PERCENTRANK.INC(Table21112164[True Rank],_xlfn.XLOOKUP(Table1624[[#This Row],[Name]],Table21112164[Name],Table21112164[True Rank],"DNP",0,1)),"DNP")</f>
        <v>DNP</v>
      </c>
      <c r="K163" s="26" t="str">
        <f>IFERROR(_xlfn.PERCENTRANK.INC(Table2111216420[True Rank],_xlfn.XLOOKUP(Table1624[[#This Row],[Name]],Table2111216420[Name],Table2111216420[True Rank],"DNP",0,1)),"DNP")</f>
        <v>DNP</v>
      </c>
      <c r="L163" s="26" t="str">
        <f>IFERROR(_xlfn.PERCENTRANK.INC(Table211121642021[True Rank],_xlfn.XLOOKUP(Table1624[[#This Row],[Name]],Table211121642021[Name],Table211121642021[True Rank],"DNP",0,1)),"DNP")</f>
        <v>DNP</v>
      </c>
      <c r="M163" s="26" t="str">
        <f>IFERROR(_xlfn.PERCENTRANK.INC(Table21112164202122[True Rank],_xlfn.XLOOKUP(Table1624[[#This Row],[Name]],Table21112164202122[Name],Table21112164202122[True Rank],"DNP",0,1)),"DNP")</f>
        <v>DNP</v>
      </c>
      <c r="N163" s="26" t="str">
        <f>IFERROR(_xlfn.PERCENTRANK.INC(Table2111216420212223[True Rank],_xlfn.XLOOKUP(Table1624[[#This Row],[Name]],Table2111216420212223[Name],Table2111216420212223[True Rank],"DNP",0,1)),"DNP")</f>
        <v>DNP</v>
      </c>
      <c r="O163" s="26" t="str">
        <f>IFERROR(_xlfn.PERCENTRANK.INC(Table211121642021222325[True Rank],_xlfn.XLOOKUP(Table1624[[#This Row],[Name]],Table211121642021222325[Name],Table211121642021222325[True Rank],"DNP",0,1)),"DNP")</f>
        <v>DNP</v>
      </c>
      <c r="P163" s="26" t="str">
        <f>IFERROR(_xlfn.PERCENTRANK.INC(Table21112164202122232534[True Rank],_xlfn.XLOOKUP(Table1624[[#This Row],[Name]],Table21112164202122232534[Name],Table21112164202122232534[True Rank],"DNP",0,1)),"DNP")</f>
        <v>DNP</v>
      </c>
      <c r="Q1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 spans="2:33">
      <c r="B164" t="str">
        <f>IFERROR(Table5[[#This Row],[Full name]],"")</f>
        <v>Everett McEwen</v>
      </c>
      <c r="C164" s="108">
        <f>IFERROR(AVERAGE(Table1624[[#This Row],[September 30, 2025]:[Column18]]),"N/A")</f>
        <v>0.96299999999999997</v>
      </c>
      <c r="D164" s="26" t="str">
        <f>IFERROR(_xlfn.PERCENTRANK.INC(Table4[True Rank],_xlfn.XLOOKUP(Table1624[[#This Row],[Name]],Table4[Name],Table4[True Rank],"DNP",0,1)),"DNP")</f>
        <v>DNP</v>
      </c>
      <c r="E164" s="26" t="str">
        <f>IFERROR(_xlfn.PERCENTRANK.INC(Table9[True Rank],_xlfn.XLOOKUP(Table1624[[#This Row],[Name]],Table9[Name],Table9[True Rank],"DNP",0,1)),"DNP")</f>
        <v>DNP</v>
      </c>
      <c r="F164" s="26" t="str">
        <f>IFERROR(_xlfn.PERCENTRANK.INC(Table18[True Rank],_xlfn.XLOOKUP(Table1624[[#This Row],[Name]],Table18[Name],Table18[True Rank],"DNP",0,1)),"DNP")</f>
        <v>DNP</v>
      </c>
      <c r="G164" s="26" t="str">
        <f>IFERROR(_xlfn.PERCENTRANK.INC(Table2[True Rank],_xlfn.XLOOKUP(Table1624[[#This Row],[Name]],Table2[Name],Table2[True Rank],"DNP",0,1)),"DNP")</f>
        <v>DNP</v>
      </c>
      <c r="H164" s="26" t="str">
        <f>IFERROR(_xlfn.PERCENTRANK.INC(Table211[True Rank],_xlfn.XLOOKUP(Table1624[[#This Row],[Name]],Table211[Name],Table211[True Rank],"DNP",0,1)),"DNP")</f>
        <v>DNP</v>
      </c>
      <c r="I164" s="26" t="str">
        <f>IFERROR(_xlfn.PERCENTRANK.INC(Table21112[True Rank],_xlfn.XLOOKUP(Table1624[[#This Row],[Name]],Table21112[Name],Table21112[True Rank],"DNP",0,1)),"DNP")</f>
        <v>DNP</v>
      </c>
      <c r="J164" s="26" t="str">
        <f>IFERROR(_xlfn.PERCENTRANK.INC(Table21112164[True Rank],_xlfn.XLOOKUP(Table1624[[#This Row],[Name]],Table21112164[Name],Table21112164[True Rank],"DNP",0,1)),"DNP")</f>
        <v>DNP</v>
      </c>
      <c r="K164" s="26" t="str">
        <f>IFERROR(_xlfn.PERCENTRANK.INC(Table2111216420[True Rank],_xlfn.XLOOKUP(Table1624[[#This Row],[Name]],Table2111216420[Name],Table2111216420[True Rank],"DNP",0,1)),"DNP")</f>
        <v>DNP</v>
      </c>
      <c r="L164" s="26" t="str">
        <f>IFERROR(_xlfn.PERCENTRANK.INC(Table211121642021[True Rank],_xlfn.XLOOKUP(Table1624[[#This Row],[Name]],Table211121642021[Name],Table211121642021[True Rank],"DNP",0,1)),"DNP")</f>
        <v>DNP</v>
      </c>
      <c r="M164" s="26" t="str">
        <f>IFERROR(_xlfn.PERCENTRANK.INC(Table21112164202122[True Rank],_xlfn.XLOOKUP(Table1624[[#This Row],[Name]],Table21112164202122[Name],Table21112164202122[True Rank],"DNP",0,1)),"DNP")</f>
        <v>DNP</v>
      </c>
      <c r="N164" s="26" t="str">
        <f>IFERROR(_xlfn.PERCENTRANK.INC(Table2111216420212223[True Rank],_xlfn.XLOOKUP(Table1624[[#This Row],[Name]],Table2111216420212223[Name],Table2111216420212223[True Rank],"DNP",0,1)),"DNP")</f>
        <v>DNP</v>
      </c>
      <c r="O164" s="26" t="str">
        <f>IFERROR(_xlfn.PERCENTRANK.INC(Table211121642021222325[True Rank],_xlfn.XLOOKUP(Table1624[[#This Row],[Name]],Table211121642021222325[Name],Table211121642021222325[True Rank],"DNP",0,1)),"DNP")</f>
        <v>DNP</v>
      </c>
      <c r="P164" s="26" t="str">
        <f>IFERROR(_xlfn.PERCENTRANK.INC(Table21112164202122232534[True Rank],_xlfn.XLOOKUP(Table1624[[#This Row],[Name]],Table21112164202122232534[Name],Table21112164202122232534[True Rank],"DNP",0,1)),"DNP")</f>
        <v>DNP</v>
      </c>
      <c r="Q1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4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 spans="2:33">
      <c r="B165" t="str">
        <f>IFERROR(Table5[[#This Row],[Full name]],"")</f>
        <v>Ewan Reid</v>
      </c>
      <c r="C165" s="108">
        <f>IFERROR(AVERAGE(Table1624[[#This Row],[September 30, 2025]:[Column18]]),"N/A")</f>
        <v>0.84499999999999997</v>
      </c>
      <c r="D165" s="26" t="str">
        <f>IFERROR(_xlfn.PERCENTRANK.INC(Table4[True Rank],_xlfn.XLOOKUP(Table1624[[#This Row],[Name]],Table4[Name],Table4[True Rank],"DNP",0,1)),"DNP")</f>
        <v>DNP</v>
      </c>
      <c r="E165" s="26" t="str">
        <f>IFERROR(_xlfn.PERCENTRANK.INC(Table9[True Rank],_xlfn.XLOOKUP(Table1624[[#This Row],[Name]],Table9[Name],Table9[True Rank],"DNP",0,1)),"DNP")</f>
        <v>DNP</v>
      </c>
      <c r="F165" s="26" t="str">
        <f>IFERROR(_xlfn.PERCENTRANK.INC(Table18[True Rank],_xlfn.XLOOKUP(Table1624[[#This Row],[Name]],Table18[Name],Table18[True Rank],"DNP",0,1)),"DNP")</f>
        <v>DNP</v>
      </c>
      <c r="G165" s="26">
        <f>IFERROR(_xlfn.PERCENTRANK.INC(Table2[True Rank],_xlfn.XLOOKUP(Table1624[[#This Row],[Name]],Table2[Name],Table2[True Rank],"DNP",0,1)),"DNP")</f>
        <v>0.84499999999999997</v>
      </c>
      <c r="H165" s="26" t="str">
        <f>IFERROR(_xlfn.PERCENTRANK.INC(Table211[True Rank],_xlfn.XLOOKUP(Table1624[[#This Row],[Name]],Table211[Name],Table211[True Rank],"DNP",0,1)),"DNP")</f>
        <v>DNP</v>
      </c>
      <c r="I165" s="26" t="str">
        <f>IFERROR(_xlfn.PERCENTRANK.INC(Table21112[True Rank],_xlfn.XLOOKUP(Table1624[[#This Row],[Name]],Table21112[Name],Table21112[True Rank],"DNP",0,1)),"DNP")</f>
        <v>DNP</v>
      </c>
      <c r="J165" s="26" t="str">
        <f>IFERROR(_xlfn.PERCENTRANK.INC(Table21112164[True Rank],_xlfn.XLOOKUP(Table1624[[#This Row],[Name]],Table21112164[Name],Table21112164[True Rank],"DNP",0,1)),"DNP")</f>
        <v>DNP</v>
      </c>
      <c r="K165" s="26" t="str">
        <f>IFERROR(_xlfn.PERCENTRANK.INC(Table2111216420[True Rank],_xlfn.XLOOKUP(Table1624[[#This Row],[Name]],Table2111216420[Name],Table2111216420[True Rank],"DNP",0,1)),"DNP")</f>
        <v>DNP</v>
      </c>
      <c r="L165" s="26" t="str">
        <f>IFERROR(_xlfn.PERCENTRANK.INC(Table211121642021[True Rank],_xlfn.XLOOKUP(Table1624[[#This Row],[Name]],Table211121642021[Name],Table211121642021[True Rank],"DNP",0,1)),"DNP")</f>
        <v>DNP</v>
      </c>
      <c r="M165" s="26" t="str">
        <f>IFERROR(_xlfn.PERCENTRANK.INC(Table21112164202122[True Rank],_xlfn.XLOOKUP(Table1624[[#This Row],[Name]],Table21112164202122[Name],Table21112164202122[True Rank],"DNP",0,1)),"DNP")</f>
        <v>DNP</v>
      </c>
      <c r="N165" s="26" t="str">
        <f>IFERROR(_xlfn.PERCENTRANK.INC(Table2111216420212223[True Rank],_xlfn.XLOOKUP(Table1624[[#This Row],[Name]],Table2111216420212223[Name],Table2111216420212223[True Rank],"DNP",0,1)),"DNP")</f>
        <v>DNP</v>
      </c>
      <c r="O165" s="26" t="str">
        <f>IFERROR(_xlfn.PERCENTRANK.INC(Table211121642021222325[True Rank],_xlfn.XLOOKUP(Table1624[[#This Row],[Name]],Table211121642021222325[Name],Table211121642021222325[True Rank],"DNP",0,1)),"DNP")</f>
        <v>DNP</v>
      </c>
      <c r="P165" s="26" t="str">
        <f>IFERROR(_xlfn.PERCENTRANK.INC(Table21112164202122232534[True Rank],_xlfn.XLOOKUP(Table1624[[#This Row],[Name]],Table21112164202122232534[Name],Table21112164202122232534[True Rank],"DNP",0,1)),"DNP")</f>
        <v>DNP</v>
      </c>
      <c r="Q1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 spans="2:33">
      <c r="B166" t="str">
        <f>IFERROR(Table5[[#This Row],[Full name]],"")</f>
        <v>Gabe Mclellan</v>
      </c>
      <c r="C166" s="108">
        <f>IFERROR(AVERAGE(Table1624[[#This Row],[September 30, 2025]:[Column18]]),"N/A")</f>
        <v>0.56279999999999997</v>
      </c>
      <c r="D166" s="26" t="str">
        <f>IFERROR(_xlfn.PERCENTRANK.INC(Table4[True Rank],_xlfn.XLOOKUP(Table1624[[#This Row],[Name]],Table4[Name],Table4[True Rank],"DNP",0,1)),"DNP")</f>
        <v>DNP</v>
      </c>
      <c r="E166" s="26">
        <f>IFERROR(_xlfn.PERCENTRANK.INC(Table9[True Rank],_xlfn.XLOOKUP(Table1624[[#This Row],[Name]],Table9[Name],Table9[True Rank],"DNP",0,1)),"DNP")</f>
        <v>0</v>
      </c>
      <c r="F166" s="26" t="str">
        <f>IFERROR(_xlfn.PERCENTRANK.INC(Table18[True Rank],_xlfn.XLOOKUP(Table1624[[#This Row],[Name]],Table18[Name],Table18[True Rank],"DNP",0,1)),"DNP")</f>
        <v>DNP</v>
      </c>
      <c r="G166" s="26">
        <f>IFERROR(_xlfn.PERCENTRANK.INC(Table2[True Rank],_xlfn.XLOOKUP(Table1624[[#This Row],[Name]],Table2[Name],Table2[True Rank],"DNP",0,1)),"DNP")</f>
        <v>0.88</v>
      </c>
      <c r="H166" s="26" t="str">
        <f>IFERROR(_xlfn.PERCENTRANK.INC(Table211[True Rank],_xlfn.XLOOKUP(Table1624[[#This Row],[Name]],Table211[Name],Table211[True Rank],"DNP",0,1)),"DNP")</f>
        <v>DNP</v>
      </c>
      <c r="I166" s="26">
        <f>IFERROR(_xlfn.PERCENTRANK.INC(Table21112[True Rank],_xlfn.XLOOKUP(Table1624[[#This Row],[Name]],Table21112[Name],Table21112[True Rank],"DNP",0,1)),"DNP")</f>
        <v>0.89700000000000002</v>
      </c>
      <c r="J166" s="26" t="str">
        <f>IFERROR(_xlfn.PERCENTRANK.INC(Table21112164[True Rank],_xlfn.XLOOKUP(Table1624[[#This Row],[Name]],Table21112164[Name],Table21112164[True Rank],"DNP",0,1)),"DNP")</f>
        <v>DNP</v>
      </c>
      <c r="K166" s="26" t="str">
        <f>IFERROR(_xlfn.PERCENTRANK.INC(Table2111216420[True Rank],_xlfn.XLOOKUP(Table1624[[#This Row],[Name]],Table2111216420[Name],Table2111216420[True Rank],"DNP",0,1)),"DNP")</f>
        <v>DNP</v>
      </c>
      <c r="L166" s="26">
        <f>IFERROR(_xlfn.PERCENTRANK.INC(Table211121642021[True Rank],_xlfn.XLOOKUP(Table1624[[#This Row],[Name]],Table211121642021[Name],Table211121642021[True Rank],"DNP",0,1)),"DNP")</f>
        <v>0.45100000000000001</v>
      </c>
      <c r="M166" s="26" t="str">
        <f>IFERROR(_xlfn.PERCENTRANK.INC(Table21112164202122[True Rank],_xlfn.XLOOKUP(Table1624[[#This Row],[Name]],Table21112164202122[Name],Table21112164202122[True Rank],"DNP",0,1)),"DNP")</f>
        <v>DNP</v>
      </c>
      <c r="N166" s="26" t="str">
        <f>IFERROR(_xlfn.PERCENTRANK.INC(Table2111216420212223[True Rank],_xlfn.XLOOKUP(Table1624[[#This Row],[Name]],Table2111216420212223[Name],Table2111216420212223[True Rank],"DNP",0,1)),"DNP")</f>
        <v>DNP</v>
      </c>
      <c r="O166" s="26" t="str">
        <f>IFERROR(_xlfn.PERCENTRANK.INC(Table211121642021222325[True Rank],_xlfn.XLOOKUP(Table1624[[#This Row],[Name]],Table211121642021222325[Name],Table211121642021222325[True Rank],"DNP",0,1)),"DNP")</f>
        <v>DNP</v>
      </c>
      <c r="P166" s="26" t="str">
        <f>IFERROR(_xlfn.PERCENTRANK.INC(Table21112164202122232534[True Rank],_xlfn.XLOOKUP(Table1624[[#This Row],[Name]],Table21112164202122232534[Name],Table21112164202122232534[True Rank],"DNP",0,1)),"DNP")</f>
        <v>DNP</v>
      </c>
      <c r="Q166" s="26">
        <f>IFERROR(_xlfn.PERCENTRANK.INC(Table2111216420212223253435[True Rank],_xlfn.XLOOKUP(Table1624[[#This Row],[Name]],Table2111216420212223253435[Name],Table2111216420212223253435[True Rank],"DNP",0,1)),"DNP")</f>
        <v>0.58599999999999997</v>
      </c>
      <c r="R1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 spans="2:33">
      <c r="B167" t="str">
        <f>IFERROR(Table5[[#This Row],[Full name]],"")</f>
        <v>Gabriel Casiero</v>
      </c>
      <c r="C167" s="108" t="str">
        <f>IFERROR(AVERAGE(Table1624[[#This Row],[September 30, 2025]:[Column18]]),"N/A")</f>
        <v>N/A</v>
      </c>
      <c r="D167" s="26" t="str">
        <f>IFERROR(_xlfn.PERCENTRANK.INC(Table4[True Rank],_xlfn.XLOOKUP(Table1624[[#This Row],[Name]],Table4[Name],Table4[True Rank],"DNP",0,1)),"DNP")</f>
        <v>DNP</v>
      </c>
      <c r="E167" s="26" t="str">
        <f>IFERROR(_xlfn.PERCENTRANK.INC(Table9[True Rank],_xlfn.XLOOKUP(Table1624[[#This Row],[Name]],Table9[Name],Table9[True Rank],"DNP",0,1)),"DNP")</f>
        <v>DNP</v>
      </c>
      <c r="F167" s="26" t="str">
        <f>IFERROR(_xlfn.PERCENTRANK.INC(Table18[True Rank],_xlfn.XLOOKUP(Table1624[[#This Row],[Name]],Table18[Name],Table18[True Rank],"DNP",0,1)),"DNP")</f>
        <v>DNP</v>
      </c>
      <c r="G167" s="26" t="str">
        <f>IFERROR(_xlfn.PERCENTRANK.INC(Table2[True Rank],_xlfn.XLOOKUP(Table1624[[#This Row],[Name]],Table2[Name],Table2[True Rank],"DNP",0,1)),"DNP")</f>
        <v>DNP</v>
      </c>
      <c r="H167" s="26" t="str">
        <f>IFERROR(_xlfn.PERCENTRANK.INC(Table211[True Rank],_xlfn.XLOOKUP(Table1624[[#This Row],[Name]],Table211[Name],Table211[True Rank],"DNP",0,1)),"DNP")</f>
        <v>DNP</v>
      </c>
      <c r="I167" s="26" t="str">
        <f>IFERROR(_xlfn.PERCENTRANK.INC(Table21112[True Rank],_xlfn.XLOOKUP(Table1624[[#This Row],[Name]],Table21112[Name],Table21112[True Rank],"DNP",0,1)),"DNP")</f>
        <v>DNP</v>
      </c>
      <c r="J167" s="26" t="str">
        <f>IFERROR(_xlfn.PERCENTRANK.INC(Table21112164[True Rank],_xlfn.XLOOKUP(Table1624[[#This Row],[Name]],Table21112164[Name],Table21112164[True Rank],"DNP",0,1)),"DNP")</f>
        <v>DNP</v>
      </c>
      <c r="K167" s="26" t="str">
        <f>IFERROR(_xlfn.PERCENTRANK.INC(Table2111216420[True Rank],_xlfn.XLOOKUP(Table1624[[#This Row],[Name]],Table2111216420[Name],Table2111216420[True Rank],"DNP",0,1)),"DNP")</f>
        <v>DNP</v>
      </c>
      <c r="L167" s="26" t="str">
        <f>IFERROR(_xlfn.PERCENTRANK.INC(Table211121642021[True Rank],_xlfn.XLOOKUP(Table1624[[#This Row],[Name]],Table211121642021[Name],Table211121642021[True Rank],"DNP",0,1)),"DNP")</f>
        <v>DNP</v>
      </c>
      <c r="M167" s="26" t="str">
        <f>IFERROR(_xlfn.PERCENTRANK.INC(Table21112164202122[True Rank],_xlfn.XLOOKUP(Table1624[[#This Row],[Name]],Table21112164202122[Name],Table21112164202122[True Rank],"DNP",0,1)),"DNP")</f>
        <v>DNP</v>
      </c>
      <c r="N167" s="26" t="str">
        <f>IFERROR(_xlfn.PERCENTRANK.INC(Table2111216420212223[True Rank],_xlfn.XLOOKUP(Table1624[[#This Row],[Name]],Table2111216420212223[Name],Table2111216420212223[True Rank],"DNP",0,1)),"DNP")</f>
        <v>DNP</v>
      </c>
      <c r="O167" s="26" t="str">
        <f>IFERROR(_xlfn.PERCENTRANK.INC(Table211121642021222325[True Rank],_xlfn.XLOOKUP(Table1624[[#This Row],[Name]],Table211121642021222325[Name],Table211121642021222325[True Rank],"DNP",0,1)),"DNP")</f>
        <v>DNP</v>
      </c>
      <c r="P167" s="26" t="str">
        <f>IFERROR(_xlfn.PERCENTRANK.INC(Table21112164202122232534[True Rank],_xlfn.XLOOKUP(Table1624[[#This Row],[Name]],Table21112164202122232534[Name],Table21112164202122232534[True Rank],"DNP",0,1)),"DNP")</f>
        <v>DNP</v>
      </c>
      <c r="Q1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 spans="2:33">
      <c r="B168" t="str">
        <f>IFERROR(Table5[[#This Row],[Full name]],"")</f>
        <v>Gary Chung</v>
      </c>
      <c r="C168" s="108">
        <f>IFERROR(AVERAGE(Table1624[[#This Row],[September 30, 2025]:[Column18]]),"N/A")</f>
        <v>0.36133333333333334</v>
      </c>
      <c r="D168" s="26" t="str">
        <f>IFERROR(_xlfn.PERCENTRANK.INC(Table4[True Rank],_xlfn.XLOOKUP(Table1624[[#This Row],[Name]],Table4[Name],Table4[True Rank],"DNP",0,1)),"DNP")</f>
        <v>DNP</v>
      </c>
      <c r="E168" s="26" t="str">
        <f>IFERROR(_xlfn.PERCENTRANK.INC(Table9[True Rank],_xlfn.XLOOKUP(Table1624[[#This Row],[Name]],Table9[Name],Table9[True Rank],"DNP",0,1)),"DNP")</f>
        <v>DNP</v>
      </c>
      <c r="F168" s="26" t="str">
        <f>IFERROR(_xlfn.PERCENTRANK.INC(Table18[True Rank],_xlfn.XLOOKUP(Table1624[[#This Row],[Name]],Table18[Name],Table18[True Rank],"DNP",0,1)),"DNP")</f>
        <v>DNP</v>
      </c>
      <c r="G168" s="26" t="str">
        <f>IFERROR(_xlfn.PERCENTRANK.INC(Table2[True Rank],_xlfn.XLOOKUP(Table1624[[#This Row],[Name]],Table2[Name],Table2[True Rank],"DNP",0,1)),"DNP")</f>
        <v>DNP</v>
      </c>
      <c r="H168" s="26" t="str">
        <f>IFERROR(_xlfn.PERCENTRANK.INC(Table211[True Rank],_xlfn.XLOOKUP(Table1624[[#This Row],[Name]],Table211[Name],Table211[True Rank],"DNP",0,1)),"DNP")</f>
        <v>DNP</v>
      </c>
      <c r="I168" s="26" t="str">
        <f>IFERROR(_xlfn.PERCENTRANK.INC(Table21112[True Rank],_xlfn.XLOOKUP(Table1624[[#This Row],[Name]],Table21112[Name],Table21112[True Rank],"DNP",0,1)),"DNP")</f>
        <v>DNP</v>
      </c>
      <c r="J168" s="26" t="str">
        <f>IFERROR(_xlfn.PERCENTRANK.INC(Table21112164[True Rank],_xlfn.XLOOKUP(Table1624[[#This Row],[Name]],Table21112164[Name],Table21112164[True Rank],"DNP",0,1)),"DNP")</f>
        <v>DNP</v>
      </c>
      <c r="K168" s="26" t="str">
        <f>IFERROR(_xlfn.PERCENTRANK.INC(Table2111216420[True Rank],_xlfn.XLOOKUP(Table1624[[#This Row],[Name]],Table2111216420[Name],Table2111216420[True Rank],"DNP",0,1)),"DNP")</f>
        <v>DNP</v>
      </c>
      <c r="L168" s="26">
        <f>IFERROR(_xlfn.PERCENTRANK.INC(Table211121642021[True Rank],_xlfn.XLOOKUP(Table1624[[#This Row],[Name]],Table211121642021[Name],Table211121642021[True Rank],"DNP",0,1)),"DNP")</f>
        <v>9.6000000000000002E-2</v>
      </c>
      <c r="M168" s="26" t="str">
        <f>IFERROR(_xlfn.PERCENTRANK.INC(Table21112164202122[True Rank],_xlfn.XLOOKUP(Table1624[[#This Row],[Name]],Table21112164202122[Name],Table21112164202122[True Rank],"DNP",0,1)),"DNP")</f>
        <v>DNP</v>
      </c>
      <c r="N168" s="26">
        <f>IFERROR(_xlfn.PERCENTRANK.INC(Table2111216420212223[True Rank],_xlfn.XLOOKUP(Table1624[[#This Row],[Name]],Table2111216420212223[Name],Table2111216420212223[True Rank],"DNP",0,1)),"DNP")</f>
        <v>0.95599999999999996</v>
      </c>
      <c r="O168" s="26">
        <f>IFERROR(_xlfn.PERCENTRANK.INC(Table211121642021222325[True Rank],_xlfn.XLOOKUP(Table1624[[#This Row],[Name]],Table211121642021222325[Name],Table211121642021222325[True Rank],"DNP",0,1)),"DNP")</f>
        <v>3.2000000000000001E-2</v>
      </c>
      <c r="P168" s="26" t="str">
        <f>IFERROR(_xlfn.PERCENTRANK.INC(Table21112164202122232534[True Rank],_xlfn.XLOOKUP(Table1624[[#This Row],[Name]],Table21112164202122232534[Name],Table21112164202122232534[True Rank],"DNP",0,1)),"DNP")</f>
        <v>DNP</v>
      </c>
      <c r="Q16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 spans="2:33">
      <c r="B169" t="str">
        <f>IFERROR(Table5[[#This Row],[Full name]],"")</f>
        <v>Gavin Nichols</v>
      </c>
      <c r="C169" s="108" t="str">
        <f>IFERROR(AVERAGE(Table1624[[#This Row],[September 30, 2025]:[Column18]]),"N/A")</f>
        <v>N/A</v>
      </c>
      <c r="D169" s="26" t="str">
        <f>IFERROR(_xlfn.PERCENTRANK.INC(Table4[True Rank],_xlfn.XLOOKUP(Table1624[[#This Row],[Name]],Table4[Name],Table4[True Rank],"DNP",0,1)),"DNP")</f>
        <v>DNP</v>
      </c>
      <c r="E169" s="26" t="str">
        <f>IFERROR(_xlfn.PERCENTRANK.INC(Table9[True Rank],_xlfn.XLOOKUP(Table1624[[#This Row],[Name]],Table9[Name],Table9[True Rank],"DNP",0,1)),"DNP")</f>
        <v>DNP</v>
      </c>
      <c r="F169" s="26" t="str">
        <f>IFERROR(_xlfn.PERCENTRANK.INC(Table18[True Rank],_xlfn.XLOOKUP(Table1624[[#This Row],[Name]],Table18[Name],Table18[True Rank],"DNP",0,1)),"DNP")</f>
        <v>DNP</v>
      </c>
      <c r="G169" s="26" t="str">
        <f>IFERROR(_xlfn.PERCENTRANK.INC(Table2[True Rank],_xlfn.XLOOKUP(Table1624[[#This Row],[Name]],Table2[Name],Table2[True Rank],"DNP",0,1)),"DNP")</f>
        <v>DNP</v>
      </c>
      <c r="H169" s="26" t="str">
        <f>IFERROR(_xlfn.PERCENTRANK.INC(Table211[True Rank],_xlfn.XLOOKUP(Table1624[[#This Row],[Name]],Table211[Name],Table211[True Rank],"DNP",0,1)),"DNP")</f>
        <v>DNP</v>
      </c>
      <c r="I169" s="26" t="str">
        <f>IFERROR(_xlfn.PERCENTRANK.INC(Table21112[True Rank],_xlfn.XLOOKUP(Table1624[[#This Row],[Name]],Table21112[Name],Table21112[True Rank],"DNP",0,1)),"DNP")</f>
        <v>DNP</v>
      </c>
      <c r="J169" s="26" t="str">
        <f>IFERROR(_xlfn.PERCENTRANK.INC(Table21112164[True Rank],_xlfn.XLOOKUP(Table1624[[#This Row],[Name]],Table21112164[Name],Table21112164[True Rank],"DNP",0,1)),"DNP")</f>
        <v>DNP</v>
      </c>
      <c r="K169" s="26" t="str">
        <f>IFERROR(_xlfn.PERCENTRANK.INC(Table2111216420[True Rank],_xlfn.XLOOKUP(Table1624[[#This Row],[Name]],Table2111216420[Name],Table2111216420[True Rank],"DNP",0,1)),"DNP")</f>
        <v>DNP</v>
      </c>
      <c r="L169" s="26" t="str">
        <f>IFERROR(_xlfn.PERCENTRANK.INC(Table211121642021[True Rank],_xlfn.XLOOKUP(Table1624[[#This Row],[Name]],Table211121642021[Name],Table211121642021[True Rank],"DNP",0,1)),"DNP")</f>
        <v>DNP</v>
      </c>
      <c r="M169" s="26" t="str">
        <f>IFERROR(_xlfn.PERCENTRANK.INC(Table21112164202122[True Rank],_xlfn.XLOOKUP(Table1624[[#This Row],[Name]],Table21112164202122[Name],Table21112164202122[True Rank],"DNP",0,1)),"DNP")</f>
        <v>DNP</v>
      </c>
      <c r="N169" s="26" t="str">
        <f>IFERROR(_xlfn.PERCENTRANK.INC(Table2111216420212223[True Rank],_xlfn.XLOOKUP(Table1624[[#This Row],[Name]],Table2111216420212223[Name],Table2111216420212223[True Rank],"DNP",0,1)),"DNP")</f>
        <v>DNP</v>
      </c>
      <c r="O169" s="26" t="str">
        <f>IFERROR(_xlfn.PERCENTRANK.INC(Table211121642021222325[True Rank],_xlfn.XLOOKUP(Table1624[[#This Row],[Name]],Table211121642021222325[Name],Table211121642021222325[True Rank],"DNP",0,1)),"DNP")</f>
        <v>DNP</v>
      </c>
      <c r="P169" s="26" t="str">
        <f>IFERROR(_xlfn.PERCENTRANK.INC(Table21112164202122232534[True Rank],_xlfn.XLOOKUP(Table1624[[#This Row],[Name]],Table21112164202122232534[Name],Table21112164202122232534[True Rank],"DNP",0,1)),"DNP")</f>
        <v>DNP</v>
      </c>
      <c r="Q1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 spans="2:33">
      <c r="B170" t="str">
        <f>IFERROR(Table5[[#This Row],[Full name]],"")</f>
        <v>George Florea</v>
      </c>
      <c r="C170" s="108" t="str">
        <f>IFERROR(AVERAGE(Table1624[[#This Row],[September 30, 2025]:[Column18]]),"N/A")</f>
        <v>N/A</v>
      </c>
      <c r="D170" s="26" t="str">
        <f>IFERROR(_xlfn.PERCENTRANK.INC(Table4[True Rank],_xlfn.XLOOKUP(Table1624[[#This Row],[Name]],Table4[Name],Table4[True Rank],"DNP",0,1)),"DNP")</f>
        <v>DNP</v>
      </c>
      <c r="E170" s="26" t="str">
        <f>IFERROR(_xlfn.PERCENTRANK.INC(Table9[True Rank],_xlfn.XLOOKUP(Table1624[[#This Row],[Name]],Table9[Name],Table9[True Rank],"DNP",0,1)),"DNP")</f>
        <v>DNP</v>
      </c>
      <c r="F170" s="26" t="str">
        <f>IFERROR(_xlfn.PERCENTRANK.INC(Table18[True Rank],_xlfn.XLOOKUP(Table1624[[#This Row],[Name]],Table18[Name],Table18[True Rank],"DNP",0,1)),"DNP")</f>
        <v>DNP</v>
      </c>
      <c r="G170" s="26" t="str">
        <f>IFERROR(_xlfn.PERCENTRANK.INC(Table2[True Rank],_xlfn.XLOOKUP(Table1624[[#This Row],[Name]],Table2[Name],Table2[True Rank],"DNP",0,1)),"DNP")</f>
        <v>DNP</v>
      </c>
      <c r="H170" s="26" t="str">
        <f>IFERROR(_xlfn.PERCENTRANK.INC(Table211[True Rank],_xlfn.XLOOKUP(Table1624[[#This Row],[Name]],Table211[Name],Table211[True Rank],"DNP",0,1)),"DNP")</f>
        <v>DNP</v>
      </c>
      <c r="I170" s="26" t="str">
        <f>IFERROR(_xlfn.PERCENTRANK.INC(Table21112[True Rank],_xlfn.XLOOKUP(Table1624[[#This Row],[Name]],Table21112[Name],Table21112[True Rank],"DNP",0,1)),"DNP")</f>
        <v>DNP</v>
      </c>
      <c r="J170" s="26" t="str">
        <f>IFERROR(_xlfn.PERCENTRANK.INC(Table21112164[True Rank],_xlfn.XLOOKUP(Table1624[[#This Row],[Name]],Table21112164[Name],Table21112164[True Rank],"DNP",0,1)),"DNP")</f>
        <v>DNP</v>
      </c>
      <c r="K170" s="26" t="str">
        <f>IFERROR(_xlfn.PERCENTRANK.INC(Table2111216420[True Rank],_xlfn.XLOOKUP(Table1624[[#This Row],[Name]],Table2111216420[Name],Table2111216420[True Rank],"DNP",0,1)),"DNP")</f>
        <v>DNP</v>
      </c>
      <c r="L170" s="26" t="str">
        <f>IFERROR(_xlfn.PERCENTRANK.INC(Table211121642021[True Rank],_xlfn.XLOOKUP(Table1624[[#This Row],[Name]],Table211121642021[Name],Table211121642021[True Rank],"DNP",0,1)),"DNP")</f>
        <v>DNP</v>
      </c>
      <c r="M170" s="26" t="str">
        <f>IFERROR(_xlfn.PERCENTRANK.INC(Table21112164202122[True Rank],_xlfn.XLOOKUP(Table1624[[#This Row],[Name]],Table21112164202122[Name],Table21112164202122[True Rank],"DNP",0,1)),"DNP")</f>
        <v>DNP</v>
      </c>
      <c r="N170" s="26" t="str">
        <f>IFERROR(_xlfn.PERCENTRANK.INC(Table2111216420212223[True Rank],_xlfn.XLOOKUP(Table1624[[#This Row],[Name]],Table2111216420212223[Name],Table2111216420212223[True Rank],"DNP",0,1)),"DNP")</f>
        <v>DNP</v>
      </c>
      <c r="O170" s="26" t="str">
        <f>IFERROR(_xlfn.PERCENTRANK.INC(Table211121642021222325[True Rank],_xlfn.XLOOKUP(Table1624[[#This Row],[Name]],Table211121642021222325[Name],Table211121642021222325[True Rank],"DNP",0,1)),"DNP")</f>
        <v>DNP</v>
      </c>
      <c r="P170" s="26" t="str">
        <f>IFERROR(_xlfn.PERCENTRANK.INC(Table21112164202122232534[True Rank],_xlfn.XLOOKUP(Table1624[[#This Row],[Name]],Table21112164202122232534[Name],Table21112164202122232534[True Rank],"DNP",0,1)),"DNP")</f>
        <v>DNP</v>
      </c>
      <c r="Q1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 spans="2:33">
      <c r="B171" t="str">
        <f>IFERROR(Table5[[#This Row],[Full name]],"")</f>
        <v>Grayson Adams</v>
      </c>
      <c r="C171" s="108">
        <f>IFERROR(AVERAGE(Table1624[[#This Row],[September 30, 2025]:[Column18]]),"N/A")</f>
        <v>0.50049999999999994</v>
      </c>
      <c r="D171" s="26" t="str">
        <f>IFERROR(_xlfn.PERCENTRANK.INC(Table4[True Rank],_xlfn.XLOOKUP(Table1624[[#This Row],[Name]],Table4[Name],Table4[True Rank],"DNP",0,1)),"DNP")</f>
        <v>DNP</v>
      </c>
      <c r="E171" s="26" t="str">
        <f>IFERROR(_xlfn.PERCENTRANK.INC(Table9[True Rank],_xlfn.XLOOKUP(Table1624[[#This Row],[Name]],Table9[Name],Table9[True Rank],"DNP",0,1)),"DNP")</f>
        <v>DNP</v>
      </c>
      <c r="F171" s="26" t="str">
        <f>IFERROR(_xlfn.PERCENTRANK.INC(Table18[True Rank],_xlfn.XLOOKUP(Table1624[[#This Row],[Name]],Table18[Name],Table18[True Rank],"DNP",0,1)),"DNP")</f>
        <v>DNP</v>
      </c>
      <c r="G171" s="26" t="str">
        <f>IFERROR(_xlfn.PERCENTRANK.INC(Table2[True Rank],_xlfn.XLOOKUP(Table1624[[#This Row],[Name]],Table2[Name],Table2[True Rank],"DNP",0,1)),"DNP")</f>
        <v>DNP</v>
      </c>
      <c r="H171" s="26" t="str">
        <f>IFERROR(_xlfn.PERCENTRANK.INC(Table211[True Rank],_xlfn.XLOOKUP(Table1624[[#This Row],[Name]],Table211[Name],Table211[True Rank],"DNP",0,1)),"DNP")</f>
        <v>DNP</v>
      </c>
      <c r="I171" s="26" t="str">
        <f>IFERROR(_xlfn.PERCENTRANK.INC(Table21112[True Rank],_xlfn.XLOOKUP(Table1624[[#This Row],[Name]],Table21112[Name],Table21112[True Rank],"DNP",0,1)),"DNP")</f>
        <v>DNP</v>
      </c>
      <c r="J171" s="26" t="str">
        <f>IFERROR(_xlfn.PERCENTRANK.INC(Table21112164[True Rank],_xlfn.XLOOKUP(Table1624[[#This Row],[Name]],Table21112164[Name],Table21112164[True Rank],"DNP",0,1)),"DNP")</f>
        <v>DNP</v>
      </c>
      <c r="K171" s="26" t="str">
        <f>IFERROR(_xlfn.PERCENTRANK.INC(Table2111216420[True Rank],_xlfn.XLOOKUP(Table1624[[#This Row],[Name]],Table2111216420[Name],Table2111216420[True Rank],"DNP",0,1)),"DNP")</f>
        <v>DNP</v>
      </c>
      <c r="L171" s="26" t="str">
        <f>IFERROR(_xlfn.PERCENTRANK.INC(Table211121642021[True Rank],_xlfn.XLOOKUP(Table1624[[#This Row],[Name]],Table211121642021[Name],Table211121642021[True Rank],"DNP",0,1)),"DNP")</f>
        <v>DNP</v>
      </c>
      <c r="M171" s="26" t="str">
        <f>IFERROR(_xlfn.PERCENTRANK.INC(Table21112164202122[True Rank],_xlfn.XLOOKUP(Table1624[[#This Row],[Name]],Table21112164202122[Name],Table21112164202122[True Rank],"DNP",0,1)),"DNP")</f>
        <v>DNP</v>
      </c>
      <c r="N171" s="26">
        <f>IFERROR(_xlfn.PERCENTRANK.INC(Table2111216420212223[True Rank],_xlfn.XLOOKUP(Table1624[[#This Row],[Name]],Table2111216420212223[Name],Table2111216420212223[True Rank],"DNP",0,1)),"DNP")</f>
        <v>0.71399999999999997</v>
      </c>
      <c r="O171" s="26" t="str">
        <f>IFERROR(_xlfn.PERCENTRANK.INC(Table211121642021222325[True Rank],_xlfn.XLOOKUP(Table1624[[#This Row],[Name]],Table211121642021222325[Name],Table211121642021222325[True Rank],"DNP",0,1)),"DNP")</f>
        <v>DNP</v>
      </c>
      <c r="P171" s="26" t="str">
        <f>IFERROR(_xlfn.PERCENTRANK.INC(Table21112164202122232534[True Rank],_xlfn.XLOOKUP(Table1624[[#This Row],[Name]],Table21112164202122232534[Name],Table21112164202122232534[True Rank],"DNP",0,1)),"DNP")</f>
        <v>DNP</v>
      </c>
      <c r="Q1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1" s="26">
        <f>IFERROR(_xlfn.PERCENTRANK.INC(Table211121642021222325343536[True Rank],_xlfn.XLOOKUP(Table1624[[#This Row],[Name]],Table211121642021222325343536[Name],Table211121642021222325343536[True Rank],"DNP",0,1)),"DNP")</f>
        <v>0.28699999999999998</v>
      </c>
      <c r="S1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 spans="2:33">
      <c r="B172" t="str">
        <f>IFERROR(Table5[[#This Row],[Full name]],"")</f>
        <v>Hafsah Sikandar</v>
      </c>
      <c r="C172" s="108">
        <f>IFERROR(AVERAGE(Table1624[[#This Row],[September 30, 2025]:[Column18]]),"N/A")</f>
        <v>0.84799999999999998</v>
      </c>
      <c r="D172" s="26" t="str">
        <f>IFERROR(_xlfn.PERCENTRANK.INC(Table4[True Rank],_xlfn.XLOOKUP(Table1624[[#This Row],[Name]],Table4[Name],Table4[True Rank],"DNP",0,1)),"DNP")</f>
        <v>DNP</v>
      </c>
      <c r="E172" s="26" t="str">
        <f>IFERROR(_xlfn.PERCENTRANK.INC(Table9[True Rank],_xlfn.XLOOKUP(Table1624[[#This Row],[Name]],Table9[Name],Table9[True Rank],"DNP",0,1)),"DNP")</f>
        <v>DNP</v>
      </c>
      <c r="F172" s="26" t="str">
        <f>IFERROR(_xlfn.PERCENTRANK.INC(Table18[True Rank],_xlfn.XLOOKUP(Table1624[[#This Row],[Name]],Table18[Name],Table18[True Rank],"DNP",0,1)),"DNP")</f>
        <v>DNP</v>
      </c>
      <c r="G172" s="26" t="str">
        <f>IFERROR(_xlfn.PERCENTRANK.INC(Table2[True Rank],_xlfn.XLOOKUP(Table1624[[#This Row],[Name]],Table2[Name],Table2[True Rank],"DNP",0,1)),"DNP")</f>
        <v>DNP</v>
      </c>
      <c r="H172" s="26" t="str">
        <f>IFERROR(_xlfn.PERCENTRANK.INC(Table211[True Rank],_xlfn.XLOOKUP(Table1624[[#This Row],[Name]],Table211[Name],Table211[True Rank],"DNP",0,1)),"DNP")</f>
        <v>DNP</v>
      </c>
      <c r="I172" s="26" t="str">
        <f>IFERROR(_xlfn.PERCENTRANK.INC(Table21112[True Rank],_xlfn.XLOOKUP(Table1624[[#This Row],[Name]],Table21112[Name],Table21112[True Rank],"DNP",0,1)),"DNP")</f>
        <v>DNP</v>
      </c>
      <c r="J172" s="26" t="str">
        <f>IFERROR(_xlfn.PERCENTRANK.INC(Table21112164[True Rank],_xlfn.XLOOKUP(Table1624[[#This Row],[Name]],Table21112164[Name],Table21112164[True Rank],"DNP",0,1)),"DNP")</f>
        <v>DNP</v>
      </c>
      <c r="K172" s="26" t="str">
        <f>IFERROR(_xlfn.PERCENTRANK.INC(Table2111216420[True Rank],_xlfn.XLOOKUP(Table1624[[#This Row],[Name]],Table2111216420[Name],Table2111216420[True Rank],"DNP",0,1)),"DNP")</f>
        <v>DNP</v>
      </c>
      <c r="L172" s="26" t="str">
        <f>IFERROR(_xlfn.PERCENTRANK.INC(Table211121642021[True Rank],_xlfn.XLOOKUP(Table1624[[#This Row],[Name]],Table211121642021[Name],Table211121642021[True Rank],"DNP",0,1)),"DNP")</f>
        <v>DNP</v>
      </c>
      <c r="M172" s="26" t="str">
        <f>IFERROR(_xlfn.PERCENTRANK.INC(Table21112164202122[True Rank],_xlfn.XLOOKUP(Table1624[[#This Row],[Name]],Table21112164202122[Name],Table21112164202122[True Rank],"DNP",0,1)),"DNP")</f>
        <v>DNP</v>
      </c>
      <c r="N172" s="26" t="str">
        <f>IFERROR(_xlfn.PERCENTRANK.INC(Table2111216420212223[True Rank],_xlfn.XLOOKUP(Table1624[[#This Row],[Name]],Table2111216420212223[Name],Table2111216420212223[True Rank],"DNP",0,1)),"DNP")</f>
        <v>DNP</v>
      </c>
      <c r="O172" s="26" t="str">
        <f>IFERROR(_xlfn.PERCENTRANK.INC(Table211121642021222325[True Rank],_xlfn.XLOOKUP(Table1624[[#This Row],[Name]],Table211121642021222325[Name],Table211121642021222325[True Rank],"DNP",0,1)),"DNP")</f>
        <v>DNP</v>
      </c>
      <c r="P172" s="26" t="str">
        <f>IFERROR(_xlfn.PERCENTRANK.INC(Table21112164202122232534[True Rank],_xlfn.XLOOKUP(Table1624[[#This Row],[Name]],Table21112164202122232534[Name],Table21112164202122232534[True Rank],"DNP",0,1)),"DNP")</f>
        <v>DNP</v>
      </c>
      <c r="Q1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2" s="26">
        <f>IFERROR(_xlfn.PERCENTRANK.INC(Table211121642021222325343536[True Rank],_xlfn.XLOOKUP(Table1624[[#This Row],[Name]],Table211121642021222325343536[Name],Table211121642021222325343536[True Rank],"DNP",0,1)),"DNP")</f>
        <v>0.84799999999999998</v>
      </c>
      <c r="S1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 spans="2:33">
      <c r="B173" t="str">
        <f>IFERROR(Table5[[#This Row],[Full name]],"")</f>
        <v>Hamza Khamissa</v>
      </c>
      <c r="C173" s="108">
        <f>IFERROR(AVERAGE(Table1624[[#This Row],[September 30, 2025]:[Column18]]),"N/A")</f>
        <v>0.39319999999999999</v>
      </c>
      <c r="D173" s="26">
        <f>IFERROR(_xlfn.PERCENTRANK.INC(Table4[True Rank],_xlfn.XLOOKUP(Table1624[[#This Row],[Name]],Table4[Name],Table4[True Rank],"DNP",0,1)),"DNP")</f>
        <v>0.21099999999999999</v>
      </c>
      <c r="E173" s="26" t="str">
        <f>IFERROR(_xlfn.PERCENTRANK.INC(Table9[True Rank],_xlfn.XLOOKUP(Table1624[[#This Row],[Name]],Table9[Name],Table9[True Rank],"DNP",0,1)),"DNP")</f>
        <v>DNP</v>
      </c>
      <c r="F173" s="26">
        <f>IFERROR(_xlfn.PERCENTRANK.INC(Table18[True Rank],_xlfn.XLOOKUP(Table1624[[#This Row],[Name]],Table18[Name],Table18[True Rank],"DNP",0,1)),"DNP")</f>
        <v>0.92900000000000005</v>
      </c>
      <c r="G173" s="26">
        <f>IFERROR(_xlfn.PERCENTRANK.INC(Table2[True Rank],_xlfn.XLOOKUP(Table1624[[#This Row],[Name]],Table2[Name],Table2[True Rank],"DNP",0,1)),"DNP")</f>
        <v>0.32100000000000001</v>
      </c>
      <c r="H173" s="26" t="str">
        <f>IFERROR(_xlfn.PERCENTRANK.INC(Table211[True Rank],_xlfn.XLOOKUP(Table1624[[#This Row],[Name]],Table211[Name],Table211[True Rank],"DNP",0,1)),"DNP")</f>
        <v>DNP</v>
      </c>
      <c r="I173" s="26" t="str">
        <f>IFERROR(_xlfn.PERCENTRANK.INC(Table21112[True Rank],_xlfn.XLOOKUP(Table1624[[#This Row],[Name]],Table21112[Name],Table21112[True Rank],"DNP",0,1)),"DNP")</f>
        <v>DNP</v>
      </c>
      <c r="J173" s="26">
        <f>IFERROR(_xlfn.PERCENTRANK.INC(Table21112164[True Rank],_xlfn.XLOOKUP(Table1624[[#This Row],[Name]],Table21112164[Name],Table21112164[True Rank],"DNP",0,1)),"DNP")</f>
        <v>0.32500000000000001</v>
      </c>
      <c r="K173" s="26">
        <f>IFERROR(_xlfn.PERCENTRANK.INC(Table2111216420[True Rank],_xlfn.XLOOKUP(Table1624[[#This Row],[Name]],Table2111216420[Name],Table2111216420[True Rank],"DNP",0,1)),"DNP")</f>
        <v>0.18</v>
      </c>
      <c r="L173" s="26" t="str">
        <f>IFERROR(_xlfn.PERCENTRANK.INC(Table211121642021[True Rank],_xlfn.XLOOKUP(Table1624[[#This Row],[Name]],Table211121642021[Name],Table211121642021[True Rank],"DNP",0,1)),"DNP")</f>
        <v>DNP</v>
      </c>
      <c r="M173" s="26" t="str">
        <f>IFERROR(_xlfn.PERCENTRANK.INC(Table21112164202122[True Rank],_xlfn.XLOOKUP(Table1624[[#This Row],[Name]],Table21112164202122[Name],Table21112164202122[True Rank],"DNP",0,1)),"DNP")</f>
        <v>DNP</v>
      </c>
      <c r="N173" s="26" t="str">
        <f>IFERROR(_xlfn.PERCENTRANK.INC(Table2111216420212223[True Rank],_xlfn.XLOOKUP(Table1624[[#This Row],[Name]],Table2111216420212223[Name],Table2111216420212223[True Rank],"DNP",0,1)),"DNP")</f>
        <v>DNP</v>
      </c>
      <c r="O173" s="26" t="str">
        <f>IFERROR(_xlfn.PERCENTRANK.INC(Table211121642021222325[True Rank],_xlfn.XLOOKUP(Table1624[[#This Row],[Name]],Table211121642021222325[Name],Table211121642021222325[True Rank],"DNP",0,1)),"DNP")</f>
        <v>DNP</v>
      </c>
      <c r="P173" s="26" t="str">
        <f>IFERROR(_xlfn.PERCENTRANK.INC(Table21112164202122232534[True Rank],_xlfn.XLOOKUP(Table1624[[#This Row],[Name]],Table21112164202122232534[Name],Table21112164202122232534[True Rank],"DNP",0,1)),"DNP")</f>
        <v>DNP</v>
      </c>
      <c r="Q1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 spans="2:33">
      <c r="B174" t="str">
        <f>IFERROR(Table5[[#This Row],[Full name]],"")</f>
        <v>Haoyi Wang</v>
      </c>
      <c r="C174" s="108" t="str">
        <f>IFERROR(AVERAGE(Table1624[[#This Row],[September 30, 2025]:[Column18]]),"N/A")</f>
        <v>N/A</v>
      </c>
      <c r="D174" s="26" t="str">
        <f>IFERROR(_xlfn.PERCENTRANK.INC(Table4[True Rank],_xlfn.XLOOKUP(Table1624[[#This Row],[Name]],Table4[Name],Table4[True Rank],"DNP",0,1)),"DNP")</f>
        <v>DNP</v>
      </c>
      <c r="E174" s="26" t="str">
        <f>IFERROR(_xlfn.PERCENTRANK.INC(Table9[True Rank],_xlfn.XLOOKUP(Table1624[[#This Row],[Name]],Table9[Name],Table9[True Rank],"DNP",0,1)),"DNP")</f>
        <v>DNP</v>
      </c>
      <c r="F174" s="26" t="str">
        <f>IFERROR(_xlfn.PERCENTRANK.INC(Table18[True Rank],_xlfn.XLOOKUP(Table1624[[#This Row],[Name]],Table18[Name],Table18[True Rank],"DNP",0,1)),"DNP")</f>
        <v>DNP</v>
      </c>
      <c r="G174" s="26" t="str">
        <f>IFERROR(_xlfn.PERCENTRANK.INC(Table2[True Rank],_xlfn.XLOOKUP(Table1624[[#This Row],[Name]],Table2[Name],Table2[True Rank],"DNP",0,1)),"DNP")</f>
        <v>DNP</v>
      </c>
      <c r="H174" s="26" t="str">
        <f>IFERROR(_xlfn.PERCENTRANK.INC(Table211[True Rank],_xlfn.XLOOKUP(Table1624[[#This Row],[Name]],Table211[Name],Table211[True Rank],"DNP",0,1)),"DNP")</f>
        <v>DNP</v>
      </c>
      <c r="I174" s="26" t="str">
        <f>IFERROR(_xlfn.PERCENTRANK.INC(Table21112[True Rank],_xlfn.XLOOKUP(Table1624[[#This Row],[Name]],Table21112[Name],Table21112[True Rank],"DNP",0,1)),"DNP")</f>
        <v>DNP</v>
      </c>
      <c r="J174" s="26" t="str">
        <f>IFERROR(_xlfn.PERCENTRANK.INC(Table21112164[True Rank],_xlfn.XLOOKUP(Table1624[[#This Row],[Name]],Table21112164[Name],Table21112164[True Rank],"DNP",0,1)),"DNP")</f>
        <v>DNP</v>
      </c>
      <c r="K174" s="26" t="str">
        <f>IFERROR(_xlfn.PERCENTRANK.INC(Table2111216420[True Rank],_xlfn.XLOOKUP(Table1624[[#This Row],[Name]],Table2111216420[Name],Table2111216420[True Rank],"DNP",0,1)),"DNP")</f>
        <v>DNP</v>
      </c>
      <c r="L174" s="26" t="str">
        <f>IFERROR(_xlfn.PERCENTRANK.INC(Table211121642021[True Rank],_xlfn.XLOOKUP(Table1624[[#This Row],[Name]],Table211121642021[Name],Table211121642021[True Rank],"DNP",0,1)),"DNP")</f>
        <v>DNP</v>
      </c>
      <c r="M174" s="26" t="str">
        <f>IFERROR(_xlfn.PERCENTRANK.INC(Table21112164202122[True Rank],_xlfn.XLOOKUP(Table1624[[#This Row],[Name]],Table21112164202122[Name],Table21112164202122[True Rank],"DNP",0,1)),"DNP")</f>
        <v>DNP</v>
      </c>
      <c r="N174" s="26" t="str">
        <f>IFERROR(_xlfn.PERCENTRANK.INC(Table2111216420212223[True Rank],_xlfn.XLOOKUP(Table1624[[#This Row],[Name]],Table2111216420212223[Name],Table2111216420212223[True Rank],"DNP",0,1)),"DNP")</f>
        <v>DNP</v>
      </c>
      <c r="O174" s="26" t="str">
        <f>IFERROR(_xlfn.PERCENTRANK.INC(Table211121642021222325[True Rank],_xlfn.XLOOKUP(Table1624[[#This Row],[Name]],Table211121642021222325[Name],Table211121642021222325[True Rank],"DNP",0,1)),"DNP")</f>
        <v>DNP</v>
      </c>
      <c r="P174" s="26" t="str">
        <f>IFERROR(_xlfn.PERCENTRANK.INC(Table21112164202122232534[True Rank],_xlfn.XLOOKUP(Table1624[[#This Row],[Name]],Table21112164202122232534[Name],Table21112164202122232534[True Rank],"DNP",0,1)),"DNP")</f>
        <v>DNP</v>
      </c>
      <c r="Q1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 spans="2:33">
      <c r="B175" t="str">
        <f>IFERROR(Table5[[#This Row],[Full name]],"")</f>
        <v>Harold Zhang</v>
      </c>
      <c r="C175" s="108">
        <f>IFERROR(AVERAGE(Table1624[[#This Row],[September 30, 2025]:[Column18]]),"N/A")</f>
        <v>0.49371428571428566</v>
      </c>
      <c r="D175" s="26" t="str">
        <f>IFERROR(_xlfn.PERCENTRANK.INC(Table4[True Rank],_xlfn.XLOOKUP(Table1624[[#This Row],[Name]],Table4[Name],Table4[True Rank],"DNP",0,1)),"DNP")</f>
        <v>DNP</v>
      </c>
      <c r="E175" s="26" t="str">
        <f>IFERROR(_xlfn.PERCENTRANK.INC(Table9[True Rank],_xlfn.XLOOKUP(Table1624[[#This Row],[Name]],Table9[Name],Table9[True Rank],"DNP",0,1)),"DNP")</f>
        <v>DNP</v>
      </c>
      <c r="F175" s="26" t="str">
        <f>IFERROR(_xlfn.PERCENTRANK.INC(Table18[True Rank],_xlfn.XLOOKUP(Table1624[[#This Row],[Name]],Table18[Name],Table18[True Rank],"DNP",0,1)),"DNP")</f>
        <v>DNP</v>
      </c>
      <c r="G175" s="26" t="str">
        <f>IFERROR(_xlfn.PERCENTRANK.INC(Table2[True Rank],_xlfn.XLOOKUP(Table1624[[#This Row],[Name]],Table2[Name],Table2[True Rank],"DNP",0,1)),"DNP")</f>
        <v>DNP</v>
      </c>
      <c r="H175" s="26">
        <f>IFERROR(_xlfn.PERCENTRANK.INC(Table211[True Rank],_xlfn.XLOOKUP(Table1624[[#This Row],[Name]],Table211[Name],Table211[True Rank],"DNP",0,1)),"DNP")</f>
        <v>0.35199999999999998</v>
      </c>
      <c r="I175" s="26">
        <f>IFERROR(_xlfn.PERCENTRANK.INC(Table21112[True Rank],_xlfn.XLOOKUP(Table1624[[#This Row],[Name]],Table21112[Name],Table21112[True Rank],"DNP",0,1)),"DNP")</f>
        <v>0.73</v>
      </c>
      <c r="J175" s="26">
        <f>IFERROR(_xlfn.PERCENTRANK.INC(Table21112164[True Rank],_xlfn.XLOOKUP(Table1624[[#This Row],[Name]],Table21112164[Name],Table21112164[True Rank],"DNP",0,1)),"DNP")</f>
        <v>0.247</v>
      </c>
      <c r="K175" s="26">
        <f>IFERROR(_xlfn.PERCENTRANK.INC(Table2111216420[True Rank],_xlfn.XLOOKUP(Table1624[[#This Row],[Name]],Table2111216420[Name],Table2111216420[True Rank],"DNP",0,1)),"DNP")</f>
        <v>0.35099999999999998</v>
      </c>
      <c r="L175" s="26" t="str">
        <f>IFERROR(_xlfn.PERCENTRANK.INC(Table211121642021[True Rank],_xlfn.XLOOKUP(Table1624[[#This Row],[Name]],Table211121642021[Name],Table211121642021[True Rank],"DNP",0,1)),"DNP")</f>
        <v>DNP</v>
      </c>
      <c r="M175" s="26">
        <f>IFERROR(_xlfn.PERCENTRANK.INC(Table21112164202122[True Rank],_xlfn.XLOOKUP(Table1624[[#This Row],[Name]],Table21112164202122[Name],Table21112164202122[True Rank],"DNP",0,1)),"DNP")</f>
        <v>0.73799999999999999</v>
      </c>
      <c r="N175" s="26" t="str">
        <f>IFERROR(_xlfn.PERCENTRANK.INC(Table2111216420212223[True Rank],_xlfn.XLOOKUP(Table1624[[#This Row],[Name]],Table2111216420212223[Name],Table2111216420212223[True Rank],"DNP",0,1)),"DNP")</f>
        <v>DNP</v>
      </c>
      <c r="O175" s="26">
        <f>IFERROR(_xlfn.PERCENTRANK.INC(Table211121642021222325[True Rank],_xlfn.XLOOKUP(Table1624[[#This Row],[Name]],Table211121642021222325[Name],Table211121642021222325[True Rank],"DNP",0,1)),"DNP")</f>
        <v>0.29599999999999999</v>
      </c>
      <c r="P175" s="26" t="str">
        <f>IFERROR(_xlfn.PERCENTRANK.INC(Table21112164202122232534[True Rank],_xlfn.XLOOKUP(Table1624[[#This Row],[Name]],Table21112164202122232534[Name],Table21112164202122232534[True Rank],"DNP",0,1)),"DNP")</f>
        <v>DNP</v>
      </c>
      <c r="Q1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5" s="26">
        <f>IFERROR(_xlfn.PERCENTRANK.INC(Table211121642021222325343536[True Rank],_xlfn.XLOOKUP(Table1624[[#This Row],[Name]],Table211121642021222325343536[Name],Table211121642021222325343536[True Rank],"DNP",0,1)),"DNP")</f>
        <v>0.74199999999999999</v>
      </c>
      <c r="S1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 spans="2:33">
      <c r="B176" t="str">
        <f>IFERROR(Table5[[#This Row],[Full name]],"")</f>
        <v>Haroun Elamin</v>
      </c>
      <c r="C176" s="108">
        <f>IFERROR(AVERAGE(Table1624[[#This Row],[September 30, 2025]:[Column18]]),"N/A")</f>
        <v>0.63300000000000001</v>
      </c>
      <c r="D176" s="26" t="str">
        <f>IFERROR(_xlfn.PERCENTRANK.INC(Table4[True Rank],_xlfn.XLOOKUP(Table1624[[#This Row],[Name]],Table4[Name],Table4[True Rank],"DNP",0,1)),"DNP")</f>
        <v>DNP</v>
      </c>
      <c r="E176" s="26" t="str">
        <f>IFERROR(_xlfn.PERCENTRANK.INC(Table9[True Rank],_xlfn.XLOOKUP(Table1624[[#This Row],[Name]],Table9[Name],Table9[True Rank],"DNP",0,1)),"DNP")</f>
        <v>DNP</v>
      </c>
      <c r="F176" s="26" t="str">
        <f>IFERROR(_xlfn.PERCENTRANK.INC(Table18[True Rank],_xlfn.XLOOKUP(Table1624[[#This Row],[Name]],Table18[Name],Table18[True Rank],"DNP",0,1)),"DNP")</f>
        <v>DNP</v>
      </c>
      <c r="G176" s="26" t="str">
        <f>IFERROR(_xlfn.PERCENTRANK.INC(Table2[True Rank],_xlfn.XLOOKUP(Table1624[[#This Row],[Name]],Table2[Name],Table2[True Rank],"DNP",0,1)),"DNP")</f>
        <v>DNP</v>
      </c>
      <c r="H176" s="26">
        <f>IFERROR(_xlfn.PERCENTRANK.INC(Table211[True Rank],_xlfn.XLOOKUP(Table1624[[#This Row],[Name]],Table211[Name],Table211[True Rank],"DNP",0,1)),"DNP")</f>
        <v>0.63300000000000001</v>
      </c>
      <c r="I176" s="26" t="str">
        <f>IFERROR(_xlfn.PERCENTRANK.INC(Table21112[True Rank],_xlfn.XLOOKUP(Table1624[[#This Row],[Name]],Table21112[Name],Table21112[True Rank],"DNP",0,1)),"DNP")</f>
        <v>DNP</v>
      </c>
      <c r="J176" s="26" t="str">
        <f>IFERROR(_xlfn.PERCENTRANK.INC(Table21112164[True Rank],_xlfn.XLOOKUP(Table1624[[#This Row],[Name]],Table21112164[Name],Table21112164[True Rank],"DNP",0,1)),"DNP")</f>
        <v>DNP</v>
      </c>
      <c r="K176" s="26" t="str">
        <f>IFERROR(_xlfn.PERCENTRANK.INC(Table2111216420[True Rank],_xlfn.XLOOKUP(Table1624[[#This Row],[Name]],Table2111216420[Name],Table2111216420[True Rank],"DNP",0,1)),"DNP")</f>
        <v>DNP</v>
      </c>
      <c r="L176" s="26" t="str">
        <f>IFERROR(_xlfn.PERCENTRANK.INC(Table211121642021[True Rank],_xlfn.XLOOKUP(Table1624[[#This Row],[Name]],Table211121642021[Name],Table211121642021[True Rank],"DNP",0,1)),"DNP")</f>
        <v>DNP</v>
      </c>
      <c r="M176" s="26" t="str">
        <f>IFERROR(_xlfn.PERCENTRANK.INC(Table21112164202122[True Rank],_xlfn.XLOOKUP(Table1624[[#This Row],[Name]],Table21112164202122[Name],Table21112164202122[True Rank],"DNP",0,1)),"DNP")</f>
        <v>DNP</v>
      </c>
      <c r="N176" s="26" t="str">
        <f>IFERROR(_xlfn.PERCENTRANK.INC(Table2111216420212223[True Rank],_xlfn.XLOOKUP(Table1624[[#This Row],[Name]],Table2111216420212223[Name],Table2111216420212223[True Rank],"DNP",0,1)),"DNP")</f>
        <v>DNP</v>
      </c>
      <c r="O176" s="26" t="str">
        <f>IFERROR(_xlfn.PERCENTRANK.INC(Table211121642021222325[True Rank],_xlfn.XLOOKUP(Table1624[[#This Row],[Name]],Table211121642021222325[Name],Table211121642021222325[True Rank],"DNP",0,1)),"DNP")</f>
        <v>DNP</v>
      </c>
      <c r="P176" s="26" t="str">
        <f>IFERROR(_xlfn.PERCENTRANK.INC(Table21112164202122232534[True Rank],_xlfn.XLOOKUP(Table1624[[#This Row],[Name]],Table21112164202122232534[Name],Table21112164202122232534[True Rank],"DNP",0,1)),"DNP")</f>
        <v>DNP</v>
      </c>
      <c r="Q1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 spans="2:33">
      <c r="B177" t="str">
        <f>IFERROR(Table5[[#This Row],[Full name]],"")</f>
        <v>Hatim Adamjee</v>
      </c>
      <c r="C177" s="108">
        <f>IFERROR(AVERAGE(Table1624[[#This Row],[September 30, 2025]:[Column18]]),"N/A")</f>
        <v>0.48856249999999996</v>
      </c>
      <c r="D177" s="26">
        <f>IFERROR(_xlfn.PERCENTRANK.INC(Table4[True Rank],_xlfn.XLOOKUP(Table1624[[#This Row],[Name]],Table4[Name],Table4[True Rank],"DNP",0,1)),"DNP")</f>
        <v>0.22</v>
      </c>
      <c r="E177" s="26">
        <f>IFERROR(_xlfn.PERCENTRANK.INC(Table9[True Rank],_xlfn.XLOOKUP(Table1624[[#This Row],[Name]],Table9[Name],Table9[True Rank],"DNP",0,1)),"DNP")</f>
        <v>0.90800000000000003</v>
      </c>
      <c r="F177" s="26">
        <f>IFERROR(_xlfn.PERCENTRANK.INC(Table18[True Rank],_xlfn.XLOOKUP(Table1624[[#This Row],[Name]],Table18[Name],Table18[True Rank],"DNP",0,1)),"DNP")</f>
        <v>0.82799999999999996</v>
      </c>
      <c r="G177" s="26">
        <f>IFERROR(_xlfn.PERCENTRANK.INC(Table2[True Rank],_xlfn.XLOOKUP(Table1624[[#This Row],[Name]],Table2[Name],Table2[True Rank],"DNP",0,1)),"DNP")</f>
        <v>0.41599999999999998</v>
      </c>
      <c r="H177" s="26">
        <f>IFERROR(_xlfn.PERCENTRANK.INC(Table211[True Rank],_xlfn.XLOOKUP(Table1624[[#This Row],[Name]],Table211[Name],Table211[True Rank],"DNP",0,1)),"DNP")</f>
        <v>0.73199999999999998</v>
      </c>
      <c r="I177" s="26">
        <f>IFERROR(_xlfn.PERCENTRANK.INC(Table21112[True Rank],_xlfn.XLOOKUP(Table1624[[#This Row],[Name]],Table21112[Name],Table21112[True Rank],"DNP",0,1)),"DNP")</f>
        <v>0.51200000000000001</v>
      </c>
      <c r="J177" s="26">
        <f>IFERROR(_xlfn.PERCENTRANK.INC(Table21112164[True Rank],_xlfn.XLOOKUP(Table1624[[#This Row],[Name]],Table21112164[Name],Table21112164[True Rank],"DNP",0,1)),"DNP")</f>
        <v>0.73</v>
      </c>
      <c r="K177" s="26">
        <f>IFERROR(_xlfn.PERCENTRANK.INC(Table2111216420[True Rank],_xlfn.XLOOKUP(Table1624[[#This Row],[Name]],Table2111216420[Name],Table2111216420[True Rank],"DNP",0,1)),"DNP")</f>
        <v>5.2999999999999999E-2</v>
      </c>
      <c r="L177" s="26">
        <f>IFERROR(_xlfn.PERCENTRANK.INC(Table211121642021[True Rank],_xlfn.XLOOKUP(Table1624[[#This Row],[Name]],Table211121642021[Name],Table211121642021[True Rank],"DNP",0,1)),"DNP")</f>
        <v>0.247</v>
      </c>
      <c r="M177" s="26">
        <f>IFERROR(_xlfn.PERCENTRANK.INC(Table21112164202122[True Rank],_xlfn.XLOOKUP(Table1624[[#This Row],[Name]],Table21112164202122[Name],Table21112164202122[True Rank],"DNP",0,1)),"DNP")</f>
        <v>0.34</v>
      </c>
      <c r="N177" s="26">
        <f>IFERROR(_xlfn.PERCENTRANK.INC(Table2111216420212223[True Rank],_xlfn.XLOOKUP(Table1624[[#This Row],[Name]],Table2111216420212223[Name],Table2111216420212223[True Rank],"DNP",0,1)),"DNP")</f>
        <v>7.5999999999999998E-2</v>
      </c>
      <c r="O177" s="26">
        <f>IFERROR(_xlfn.PERCENTRANK.INC(Table211121642021222325[True Rank],_xlfn.XLOOKUP(Table1624[[#This Row],[Name]],Table211121642021222325[Name],Table211121642021222325[True Rank],"DNP",0,1)),"DNP")</f>
        <v>0.76900000000000002</v>
      </c>
      <c r="P177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77" s="26">
        <f>IFERROR(_xlfn.PERCENTRANK.INC(Table2111216420212223253435[True Rank],_xlfn.XLOOKUP(Table1624[[#This Row],[Name]],Table2111216420212223253435[Name],Table2111216420212223253435[True Rank],"DNP",0,1)),"DNP")</f>
        <v>0.6</v>
      </c>
      <c r="R1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7" s="26">
        <f>IFERROR(_xlfn.PERCENTRANK.INC(Table21112164202122232534353637[True Rank],_xlfn.XLOOKUP(Table1624[[#This Row],[Name]],Table21112164202122232534353637[Name],Table21112164202122232534353637[True Rank],"DNP",0,1)),"DNP")</f>
        <v>1.7000000000000001E-2</v>
      </c>
      <c r="T177" s="26">
        <f>IFERROR(_xlfn.PERCENTRANK.INC(Table2111216420212223253435363738[True Rank],_xlfn.XLOOKUP(Table1624[[#This Row],[Name]],Table2111216420212223253435363738[Name],Table2111216420212223253435363738[True Rank],"DNP",0,1)),"DNP")</f>
        <v>0.54500000000000004</v>
      </c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 spans="2:33">
      <c r="B178" t="str">
        <f>IFERROR(Table5[[#This Row],[Full name]],"")</f>
        <v>Hiram Lee</v>
      </c>
      <c r="C178" s="108">
        <f>IFERROR(AVERAGE(Table1624[[#This Row],[September 30, 2025]:[Column18]]),"N/A")</f>
        <v>0.29000000000000004</v>
      </c>
      <c r="D178" s="26">
        <f>IFERROR(_xlfn.PERCENTRANK.INC(Table4[True Rank],_xlfn.XLOOKUP(Table1624[[#This Row],[Name]],Table4[Name],Table4[True Rank],"DNP",0,1)),"DNP")</f>
        <v>0.38500000000000001</v>
      </c>
      <c r="E178" s="26">
        <f>IFERROR(_xlfn.PERCENTRANK.INC(Table9[True Rank],_xlfn.XLOOKUP(Table1624[[#This Row],[Name]],Table9[Name],Table9[True Rank],"DNP",0,1)),"DNP")</f>
        <v>0.19500000000000001</v>
      </c>
      <c r="F178" s="26" t="str">
        <f>IFERROR(_xlfn.PERCENTRANK.INC(Table18[True Rank],_xlfn.XLOOKUP(Table1624[[#This Row],[Name]],Table18[Name],Table18[True Rank],"DNP",0,1)),"DNP")</f>
        <v>DNP</v>
      </c>
      <c r="G178" s="26" t="str">
        <f>IFERROR(_xlfn.PERCENTRANK.INC(Table2[True Rank],_xlfn.XLOOKUP(Table1624[[#This Row],[Name]],Table2[Name],Table2[True Rank],"DNP",0,1)),"DNP")</f>
        <v>DNP</v>
      </c>
      <c r="H178" s="26" t="str">
        <f>IFERROR(_xlfn.PERCENTRANK.INC(Table211[True Rank],_xlfn.XLOOKUP(Table1624[[#This Row],[Name]],Table211[Name],Table211[True Rank],"DNP",0,1)),"DNP")</f>
        <v>DNP</v>
      </c>
      <c r="I178" s="26" t="str">
        <f>IFERROR(_xlfn.PERCENTRANK.INC(Table21112[True Rank],_xlfn.XLOOKUP(Table1624[[#This Row],[Name]],Table21112[Name],Table21112[True Rank],"DNP",0,1)),"DNP")</f>
        <v>DNP</v>
      </c>
      <c r="J178" s="26" t="str">
        <f>IFERROR(_xlfn.PERCENTRANK.INC(Table21112164[True Rank],_xlfn.XLOOKUP(Table1624[[#This Row],[Name]],Table21112164[Name],Table21112164[True Rank],"DNP",0,1)),"DNP")</f>
        <v>DNP</v>
      </c>
      <c r="K178" s="26" t="str">
        <f>IFERROR(_xlfn.PERCENTRANK.INC(Table2111216420[True Rank],_xlfn.XLOOKUP(Table1624[[#This Row],[Name]],Table2111216420[Name],Table2111216420[True Rank],"DNP",0,1)),"DNP")</f>
        <v>DNP</v>
      </c>
      <c r="L178" s="26" t="str">
        <f>IFERROR(_xlfn.PERCENTRANK.INC(Table211121642021[True Rank],_xlfn.XLOOKUP(Table1624[[#This Row],[Name]],Table211121642021[Name],Table211121642021[True Rank],"DNP",0,1)),"DNP")</f>
        <v>DNP</v>
      </c>
      <c r="M178" s="26" t="str">
        <f>IFERROR(_xlfn.PERCENTRANK.INC(Table21112164202122[True Rank],_xlfn.XLOOKUP(Table1624[[#This Row],[Name]],Table21112164202122[Name],Table21112164202122[True Rank],"DNP",0,1)),"DNP")</f>
        <v>DNP</v>
      </c>
      <c r="N178" s="26" t="str">
        <f>IFERROR(_xlfn.PERCENTRANK.INC(Table2111216420212223[True Rank],_xlfn.XLOOKUP(Table1624[[#This Row],[Name]],Table2111216420212223[Name],Table2111216420212223[True Rank],"DNP",0,1)),"DNP")</f>
        <v>DNP</v>
      </c>
      <c r="O178" s="26" t="str">
        <f>IFERROR(_xlfn.PERCENTRANK.INC(Table211121642021222325[True Rank],_xlfn.XLOOKUP(Table1624[[#This Row],[Name]],Table211121642021222325[Name],Table211121642021222325[True Rank],"DNP",0,1)),"DNP")</f>
        <v>DNP</v>
      </c>
      <c r="P178" s="26" t="str">
        <f>IFERROR(_xlfn.PERCENTRANK.INC(Table21112164202122232534[True Rank],_xlfn.XLOOKUP(Table1624[[#This Row],[Name]],Table21112164202122232534[Name],Table21112164202122232534[True Rank],"DNP",0,1)),"DNP")</f>
        <v>DNP</v>
      </c>
      <c r="Q1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 spans="2:33">
      <c r="B179" t="str">
        <f>IFERROR(Table5[[#This Row],[Full name]],"")</f>
        <v>Hooman Nozari</v>
      </c>
      <c r="C179" s="108">
        <f>IFERROR(AVERAGE(Table1624[[#This Row],[September 30, 2025]:[Column18]]),"N/A")</f>
        <v>0.29199999999999998</v>
      </c>
      <c r="D179" s="26" t="str">
        <f>IFERROR(_xlfn.PERCENTRANK.INC(Table4[True Rank],_xlfn.XLOOKUP(Table1624[[#This Row],[Name]],Table4[Name],Table4[True Rank],"DNP",0,1)),"DNP")</f>
        <v>DNP</v>
      </c>
      <c r="E179" s="26" t="str">
        <f>IFERROR(_xlfn.PERCENTRANK.INC(Table9[True Rank],_xlfn.XLOOKUP(Table1624[[#This Row],[Name]],Table9[Name],Table9[True Rank],"DNP",0,1)),"DNP")</f>
        <v>DNP</v>
      </c>
      <c r="F179" s="26">
        <f>IFERROR(_xlfn.PERCENTRANK.INC(Table18[True Rank],_xlfn.XLOOKUP(Table1624[[#This Row],[Name]],Table18[Name],Table18[True Rank],"DNP",0,1)),"DNP")</f>
        <v>0.03</v>
      </c>
      <c r="G179" s="26">
        <f>IFERROR(_xlfn.PERCENTRANK.INC(Table2[True Rank],_xlfn.XLOOKUP(Table1624[[#This Row],[Name]],Table2[Name],Table2[True Rank],"DNP",0,1)),"DNP")</f>
        <v>0.46400000000000002</v>
      </c>
      <c r="H179" s="26">
        <f>IFERROR(_xlfn.PERCENTRANK.INC(Table211[True Rank],_xlfn.XLOOKUP(Table1624[[#This Row],[Name]],Table211[Name],Table211[True Rank],"DNP",0,1)),"DNP")</f>
        <v>0.56299999999999994</v>
      </c>
      <c r="I179" s="26">
        <f>IFERROR(_xlfn.PERCENTRANK.INC(Table21112[True Rank],_xlfn.XLOOKUP(Table1624[[#This Row],[Name]],Table21112[Name],Table21112[True Rank],"DNP",0,1)),"DNP")</f>
        <v>8.8999999999999996E-2</v>
      </c>
      <c r="J179" s="26">
        <f>IFERROR(_xlfn.PERCENTRANK.INC(Table21112164[True Rank],_xlfn.XLOOKUP(Table1624[[#This Row],[Name]],Table21112164[Name],Table21112164[True Rank],"DNP",0,1)),"DNP")</f>
        <v>0.314</v>
      </c>
      <c r="K179" s="26" t="str">
        <f>IFERROR(_xlfn.PERCENTRANK.INC(Table2111216420[True Rank],_xlfn.XLOOKUP(Table1624[[#This Row],[Name]],Table2111216420[Name],Table2111216420[True Rank],"DNP",0,1)),"DNP")</f>
        <v>DNP</v>
      </c>
      <c r="L179" s="26" t="str">
        <f>IFERROR(_xlfn.PERCENTRANK.INC(Table211121642021[True Rank],_xlfn.XLOOKUP(Table1624[[#This Row],[Name]],Table211121642021[Name],Table211121642021[True Rank],"DNP",0,1)),"DNP")</f>
        <v>DNP</v>
      </c>
      <c r="M179" s="26" t="str">
        <f>IFERROR(_xlfn.PERCENTRANK.INC(Table21112164202122[True Rank],_xlfn.XLOOKUP(Table1624[[#This Row],[Name]],Table21112164202122[Name],Table21112164202122[True Rank],"DNP",0,1)),"DNP")</f>
        <v>DNP</v>
      </c>
      <c r="N179" s="26" t="str">
        <f>IFERROR(_xlfn.PERCENTRANK.INC(Table2111216420212223[True Rank],_xlfn.XLOOKUP(Table1624[[#This Row],[Name]],Table2111216420212223[Name],Table2111216420212223[True Rank],"DNP",0,1)),"DNP")</f>
        <v>DNP</v>
      </c>
      <c r="O179" s="26" t="str">
        <f>IFERROR(_xlfn.PERCENTRANK.INC(Table211121642021222325[True Rank],_xlfn.XLOOKUP(Table1624[[#This Row],[Name]],Table211121642021222325[Name],Table211121642021222325[True Rank],"DNP",0,1)),"DNP")</f>
        <v>DNP</v>
      </c>
      <c r="P179" s="26" t="str">
        <f>IFERROR(_xlfn.PERCENTRANK.INC(Table21112164202122232534[True Rank],_xlfn.XLOOKUP(Table1624[[#This Row],[Name]],Table21112164202122232534[Name],Table21112164202122232534[True Rank],"DNP",0,1)),"DNP")</f>
        <v>DNP</v>
      </c>
      <c r="Q1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 spans="2:33">
      <c r="B180" t="str">
        <f>IFERROR(Table5[[#This Row],[Full name]],"")</f>
        <v>Ian Imrie</v>
      </c>
      <c r="C180" s="108">
        <f>IFERROR(AVERAGE(Table1624[[#This Row],[September 30, 2025]:[Column18]]),"N/A")</f>
        <v>0.49223076923076914</v>
      </c>
      <c r="D180" s="26">
        <f>IFERROR(_xlfn.PERCENTRANK.INC(Table4[True Rank],_xlfn.XLOOKUP(Table1624[[#This Row],[Name]],Table4[Name],Table4[True Rank],"DNP",0,1)),"DNP")</f>
        <v>0.247</v>
      </c>
      <c r="E180" s="26">
        <f>IFERROR(_xlfn.PERCENTRANK.INC(Table9[True Rank],_xlfn.XLOOKUP(Table1624[[#This Row],[Name]],Table9[Name],Table9[True Rank],"DNP",0,1)),"DNP")</f>
        <v>0.80400000000000005</v>
      </c>
      <c r="F180" s="26">
        <f>IFERROR(_xlfn.PERCENTRANK.INC(Table18[True Rank],_xlfn.XLOOKUP(Table1624[[#This Row],[Name]],Table18[Name],Table18[True Rank],"DNP",0,1)),"DNP")</f>
        <v>0.10100000000000001</v>
      </c>
      <c r="G180" s="26">
        <f>IFERROR(_xlfn.PERCENTRANK.INC(Table2[True Rank],_xlfn.XLOOKUP(Table1624[[#This Row],[Name]],Table2[Name],Table2[True Rank],"DNP",0,1)),"DNP")</f>
        <v>0.67800000000000005</v>
      </c>
      <c r="H180" s="26">
        <f>IFERROR(_xlfn.PERCENTRANK.INC(Table211[True Rank],_xlfn.XLOOKUP(Table1624[[#This Row],[Name]],Table211[Name],Table211[True Rank],"DNP",0,1)),"DNP")</f>
        <v>0.126</v>
      </c>
      <c r="I180" s="26">
        <f>IFERROR(_xlfn.PERCENTRANK.INC(Table21112[True Rank],_xlfn.XLOOKUP(Table1624[[#This Row],[Name]],Table21112[Name],Table21112[True Rank],"DNP",0,1)),"DNP")</f>
        <v>0</v>
      </c>
      <c r="J180" s="26">
        <f>IFERROR(_xlfn.PERCENTRANK.INC(Table21112164[True Rank],_xlfn.XLOOKUP(Table1624[[#This Row],[Name]],Table21112164[Name],Table21112164[True Rank],"DNP",0,1)),"DNP")</f>
        <v>0.94299999999999995</v>
      </c>
      <c r="K180" s="26">
        <f>IFERROR(_xlfn.PERCENTRANK.INC(Table2111216420[True Rank],_xlfn.XLOOKUP(Table1624[[#This Row],[Name]],Table2111216420[Name],Table2111216420[True Rank],"DNP",0,1)),"DNP")</f>
        <v>0.191</v>
      </c>
      <c r="L180" s="26" t="str">
        <f>IFERROR(_xlfn.PERCENTRANK.INC(Table211121642021[True Rank],_xlfn.XLOOKUP(Table1624[[#This Row],[Name]],Table211121642021[Name],Table211121642021[True Rank],"DNP",0,1)),"DNP")</f>
        <v>DNP</v>
      </c>
      <c r="M180" s="26">
        <f>IFERROR(_xlfn.PERCENTRANK.INC(Table21112164202122[True Rank],_xlfn.XLOOKUP(Table1624[[#This Row],[Name]],Table21112164202122[Name],Table21112164202122[True Rank],"DNP",0,1)),"DNP")</f>
        <v>0.85199999999999998</v>
      </c>
      <c r="N180" s="26" t="str">
        <f>IFERROR(_xlfn.PERCENTRANK.INC(Table2111216420212223[True Rank],_xlfn.XLOOKUP(Table1624[[#This Row],[Name]],Table2111216420212223[Name],Table2111216420212223[True Rank],"DNP",0,1)),"DNP")</f>
        <v>DNP</v>
      </c>
      <c r="O180" s="26">
        <f>IFERROR(_xlfn.PERCENTRANK.INC(Table211121642021222325[True Rank],_xlfn.XLOOKUP(Table1624[[#This Row],[Name]],Table211121642021222325[Name],Table211121642021222325[True Rank],"DNP",0,1)),"DNP")</f>
        <v>0.28499999999999998</v>
      </c>
      <c r="P180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0" s="26">
        <f>IFERROR(_xlfn.PERCENTRANK.INC(Table211121642021222325343536[True Rank],_xlfn.XLOOKUP(Table1624[[#This Row],[Name]],Table211121642021222325343536[Name],Table211121642021222325343536[True Rank],"DNP",0,1)),"DNP")</f>
        <v>0.71199999999999997</v>
      </c>
      <c r="S1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0" s="26">
        <f>IFERROR(_xlfn.PERCENTRANK.INC(Table2111216420212223253435363738[True Rank],_xlfn.XLOOKUP(Table1624[[#This Row],[Name]],Table2111216420212223253435363738[Name],Table2111216420212223253435363738[True Rank],"DNP",0,1)),"DNP")</f>
        <v>0.63600000000000001</v>
      </c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 spans="2:33">
      <c r="B181" t="str">
        <f>IFERROR(Table5[[#This Row],[Full name]],"")</f>
        <v>Ian Johnson</v>
      </c>
      <c r="C181" s="108" t="str">
        <f>IFERROR(AVERAGE(Table1624[[#This Row],[September 30, 2025]:[Column18]]),"N/A")</f>
        <v>N/A</v>
      </c>
      <c r="D181" s="26" t="str">
        <f>IFERROR(_xlfn.PERCENTRANK.INC(Table4[True Rank],_xlfn.XLOOKUP(Table1624[[#This Row],[Name]],Table4[Name],Table4[True Rank],"DNP",0,1)),"DNP")</f>
        <v>DNP</v>
      </c>
      <c r="E181" s="26" t="str">
        <f>IFERROR(_xlfn.PERCENTRANK.INC(Table9[True Rank],_xlfn.XLOOKUP(Table1624[[#This Row],[Name]],Table9[Name],Table9[True Rank],"DNP",0,1)),"DNP")</f>
        <v>DNP</v>
      </c>
      <c r="F181" s="26" t="str">
        <f>IFERROR(_xlfn.PERCENTRANK.INC(Table18[True Rank],_xlfn.XLOOKUP(Table1624[[#This Row],[Name]],Table18[Name],Table18[True Rank],"DNP",0,1)),"DNP")</f>
        <v>DNP</v>
      </c>
      <c r="G181" s="26" t="str">
        <f>IFERROR(_xlfn.PERCENTRANK.INC(Table2[True Rank],_xlfn.XLOOKUP(Table1624[[#This Row],[Name]],Table2[Name],Table2[True Rank],"DNP",0,1)),"DNP")</f>
        <v>DNP</v>
      </c>
      <c r="H181" s="26" t="str">
        <f>IFERROR(_xlfn.PERCENTRANK.INC(Table211[True Rank],_xlfn.XLOOKUP(Table1624[[#This Row],[Name]],Table211[Name],Table211[True Rank],"DNP",0,1)),"DNP")</f>
        <v>DNP</v>
      </c>
      <c r="I181" s="26" t="str">
        <f>IFERROR(_xlfn.PERCENTRANK.INC(Table21112[True Rank],_xlfn.XLOOKUP(Table1624[[#This Row],[Name]],Table21112[Name],Table21112[True Rank],"DNP",0,1)),"DNP")</f>
        <v>DNP</v>
      </c>
      <c r="J181" s="26" t="str">
        <f>IFERROR(_xlfn.PERCENTRANK.INC(Table21112164[True Rank],_xlfn.XLOOKUP(Table1624[[#This Row],[Name]],Table21112164[Name],Table21112164[True Rank],"DNP",0,1)),"DNP")</f>
        <v>DNP</v>
      </c>
      <c r="K181" s="26" t="str">
        <f>IFERROR(_xlfn.PERCENTRANK.INC(Table2111216420[True Rank],_xlfn.XLOOKUP(Table1624[[#This Row],[Name]],Table2111216420[Name],Table2111216420[True Rank],"DNP",0,1)),"DNP")</f>
        <v>DNP</v>
      </c>
      <c r="L181" s="26" t="str">
        <f>IFERROR(_xlfn.PERCENTRANK.INC(Table211121642021[True Rank],_xlfn.XLOOKUP(Table1624[[#This Row],[Name]],Table211121642021[Name],Table211121642021[True Rank],"DNP",0,1)),"DNP")</f>
        <v>DNP</v>
      </c>
      <c r="M181" s="26" t="str">
        <f>IFERROR(_xlfn.PERCENTRANK.INC(Table21112164202122[True Rank],_xlfn.XLOOKUP(Table1624[[#This Row],[Name]],Table21112164202122[Name],Table21112164202122[True Rank],"DNP",0,1)),"DNP")</f>
        <v>DNP</v>
      </c>
      <c r="N181" s="26" t="str">
        <f>IFERROR(_xlfn.PERCENTRANK.INC(Table2111216420212223[True Rank],_xlfn.XLOOKUP(Table1624[[#This Row],[Name]],Table2111216420212223[Name],Table2111216420212223[True Rank],"DNP",0,1)),"DNP")</f>
        <v>DNP</v>
      </c>
      <c r="O181" s="26" t="str">
        <f>IFERROR(_xlfn.PERCENTRANK.INC(Table211121642021222325[True Rank],_xlfn.XLOOKUP(Table1624[[#This Row],[Name]],Table211121642021222325[Name],Table211121642021222325[True Rank],"DNP",0,1)),"DNP")</f>
        <v>DNP</v>
      </c>
      <c r="P181" s="26" t="str">
        <f>IFERROR(_xlfn.PERCENTRANK.INC(Table21112164202122232534[True Rank],_xlfn.XLOOKUP(Table1624[[#This Row],[Name]],Table21112164202122232534[Name],Table21112164202122232534[True Rank],"DNP",0,1)),"DNP")</f>
        <v>DNP</v>
      </c>
      <c r="Q1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 spans="2:33">
      <c r="B182" t="str">
        <f>IFERROR(Table5[[#This Row],[Full name]],"")</f>
        <v>Ilya Beuermann</v>
      </c>
      <c r="C182" s="108">
        <f>IFERROR(AVERAGE(Table1624[[#This Row],[September 30, 2025]:[Column18]]),"N/A")</f>
        <v>0.55164705882352938</v>
      </c>
      <c r="D182" s="26">
        <f>IFERROR(_xlfn.PERCENTRANK.INC(Table4[True Rank],_xlfn.XLOOKUP(Table1624[[#This Row],[Name]],Table4[Name],Table4[True Rank],"DNP",0,1)),"DNP")</f>
        <v>0.41199999999999998</v>
      </c>
      <c r="E182" s="26">
        <f>IFERROR(_xlfn.PERCENTRANK.INC(Table9[True Rank],_xlfn.XLOOKUP(Table1624[[#This Row],[Name]],Table9[Name],Table9[True Rank],"DNP",0,1)),"DNP")</f>
        <v>0.436</v>
      </c>
      <c r="F182" s="26">
        <f>IFERROR(_xlfn.PERCENTRANK.INC(Table18[True Rank],_xlfn.XLOOKUP(Table1624[[#This Row],[Name]],Table18[Name],Table18[True Rank],"DNP",0,1)),"DNP")</f>
        <v>0.91900000000000004</v>
      </c>
      <c r="G182" s="26">
        <f>IFERROR(_xlfn.PERCENTRANK.INC(Table2[True Rank],_xlfn.XLOOKUP(Table1624[[#This Row],[Name]],Table2[Name],Table2[True Rank],"DNP",0,1)),"DNP")</f>
        <v>0.214</v>
      </c>
      <c r="H182" s="26">
        <f>IFERROR(_xlfn.PERCENTRANK.INC(Table211[True Rank],_xlfn.XLOOKUP(Table1624[[#This Row],[Name]],Table211[Name],Table211[True Rank],"DNP",0,1)),"DNP")</f>
        <v>0.46400000000000002</v>
      </c>
      <c r="I182" s="26">
        <f>IFERROR(_xlfn.PERCENTRANK.INC(Table21112[True Rank],_xlfn.XLOOKUP(Table1624[[#This Row],[Name]],Table21112[Name],Table21112[True Rank],"DNP",0,1)),"DNP")</f>
        <v>0.39700000000000002</v>
      </c>
      <c r="J182" s="26">
        <f>IFERROR(_xlfn.PERCENTRANK.INC(Table21112164[True Rank],_xlfn.XLOOKUP(Table1624[[#This Row],[Name]],Table21112164[Name],Table21112164[True Rank],"DNP",0,1)),"DNP")</f>
        <v>0.95499999999999996</v>
      </c>
      <c r="K182" s="26">
        <f>IFERROR(_xlfn.PERCENTRANK.INC(Table2111216420[True Rank],_xlfn.XLOOKUP(Table1624[[#This Row],[Name]],Table2111216420[Name],Table2111216420[True Rank],"DNP",0,1)),"DNP")</f>
        <v>0.11700000000000001</v>
      </c>
      <c r="L182" s="26">
        <f>IFERROR(_xlfn.PERCENTRANK.INC(Table211121642021[True Rank],_xlfn.XLOOKUP(Table1624[[#This Row],[Name]],Table211121642021[Name],Table211121642021[True Rank],"DNP",0,1)),"DNP")</f>
        <v>0.88100000000000001</v>
      </c>
      <c r="M182" s="26">
        <f>IFERROR(_xlfn.PERCENTRANK.INC(Table21112164202122[True Rank],_xlfn.XLOOKUP(Table1624[[#This Row],[Name]],Table21112164202122[Name],Table21112164202122[True Rank],"DNP",0,1)),"DNP")</f>
        <v>0.26100000000000001</v>
      </c>
      <c r="N182" s="26">
        <f>IFERROR(_xlfn.PERCENTRANK.INC(Table2111216420212223[True Rank],_xlfn.XLOOKUP(Table1624[[#This Row],[Name]],Table2111216420212223[Name],Table2111216420212223[True Rank],"DNP",0,1)),"DNP")</f>
        <v>0.63700000000000001</v>
      </c>
      <c r="O182" s="26">
        <f>IFERROR(_xlfn.PERCENTRANK.INC(Table211121642021222325[True Rank],_xlfn.XLOOKUP(Table1624[[#This Row],[Name]],Table211121642021222325[Name],Table211121642021222325[True Rank],"DNP",0,1)),"DNP")</f>
        <v>0.252</v>
      </c>
      <c r="P182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2" s="26">
        <f>IFERROR(_xlfn.PERCENTRANK.INC(Table2111216420212223253435[True Rank],_xlfn.XLOOKUP(Table1624[[#This Row],[Name]],Table2111216420212223253435[Name],Table2111216420212223253435[True Rank],"DNP",0,1)),"DNP")</f>
        <v>0.93300000000000005</v>
      </c>
      <c r="R182" s="26">
        <f>IFERROR(_xlfn.PERCENTRANK.INC(Table211121642021222325343536[True Rank],_xlfn.XLOOKUP(Table1624[[#This Row],[Name]],Table211121642021222325343536[Name],Table211121642021222325343536[True Rank],"DNP",0,1)),"DNP")</f>
        <v>0.54500000000000004</v>
      </c>
      <c r="S182" s="26">
        <f>IFERROR(_xlfn.PERCENTRANK.INC(Table21112164202122232534353637[True Rank],_xlfn.XLOOKUP(Table1624[[#This Row],[Name]],Table21112164202122232534353637[Name],Table21112164202122232534353637[True Rank],"DNP",0,1)),"DNP")</f>
        <v>0.56799999999999995</v>
      </c>
      <c r="T182" s="26">
        <f>IFERROR(_xlfn.PERCENTRANK.INC(Table2111216420212223253435363738[True Rank],_xlfn.XLOOKUP(Table1624[[#This Row],[Name]],Table2111216420212223253435363738[Name],Table2111216420212223253435363738[True Rank],"DNP",0,1)),"DNP")</f>
        <v>0.56299999999999994</v>
      </c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 spans="2:33">
      <c r="B183" t="str">
        <f>IFERROR(Table5[[#This Row],[Full name]],"")</f>
        <v>Ivan Zhou</v>
      </c>
      <c r="C183" s="108">
        <f>IFERROR(AVERAGE(Table1624[[#This Row],[September 30, 2025]:[Column18]]),"N/A")</f>
        <v>0.97899999999999998</v>
      </c>
      <c r="D183" s="26" t="str">
        <f>IFERROR(_xlfn.PERCENTRANK.INC(Table4[True Rank],_xlfn.XLOOKUP(Table1624[[#This Row],[Name]],Table4[Name],Table4[True Rank],"DNP",0,1)),"DNP")</f>
        <v>DNP</v>
      </c>
      <c r="E183" s="26" t="str">
        <f>IFERROR(_xlfn.PERCENTRANK.INC(Table9[True Rank],_xlfn.XLOOKUP(Table1624[[#This Row],[Name]],Table9[Name],Table9[True Rank],"DNP",0,1)),"DNP")</f>
        <v>DNP</v>
      </c>
      <c r="F183" s="26">
        <f>IFERROR(_xlfn.PERCENTRANK.INC(Table18[True Rank],_xlfn.XLOOKUP(Table1624[[#This Row],[Name]],Table18[Name],Table18[True Rank],"DNP",0,1)),"DNP")</f>
        <v>0.97899999999999998</v>
      </c>
      <c r="G183" s="26" t="str">
        <f>IFERROR(_xlfn.PERCENTRANK.INC(Table2[True Rank],_xlfn.XLOOKUP(Table1624[[#This Row],[Name]],Table2[Name],Table2[True Rank],"DNP",0,1)),"DNP")</f>
        <v>DNP</v>
      </c>
      <c r="H183" s="26" t="str">
        <f>IFERROR(_xlfn.PERCENTRANK.INC(Table211[True Rank],_xlfn.XLOOKUP(Table1624[[#This Row],[Name]],Table211[Name],Table211[True Rank],"DNP",0,1)),"DNP")</f>
        <v>DNP</v>
      </c>
      <c r="I183" s="26" t="str">
        <f>IFERROR(_xlfn.PERCENTRANK.INC(Table21112[True Rank],_xlfn.XLOOKUP(Table1624[[#This Row],[Name]],Table21112[Name],Table21112[True Rank],"DNP",0,1)),"DNP")</f>
        <v>DNP</v>
      </c>
      <c r="J183" s="26" t="str">
        <f>IFERROR(_xlfn.PERCENTRANK.INC(Table21112164[True Rank],_xlfn.XLOOKUP(Table1624[[#This Row],[Name]],Table21112164[Name],Table21112164[True Rank],"DNP",0,1)),"DNP")</f>
        <v>DNP</v>
      </c>
      <c r="K183" s="26" t="str">
        <f>IFERROR(_xlfn.PERCENTRANK.INC(Table2111216420[True Rank],_xlfn.XLOOKUP(Table1624[[#This Row],[Name]],Table2111216420[Name],Table2111216420[True Rank],"DNP",0,1)),"DNP")</f>
        <v>DNP</v>
      </c>
      <c r="L183" s="26" t="str">
        <f>IFERROR(_xlfn.PERCENTRANK.INC(Table211121642021[True Rank],_xlfn.XLOOKUP(Table1624[[#This Row],[Name]],Table211121642021[Name],Table211121642021[True Rank],"DNP",0,1)),"DNP")</f>
        <v>DNP</v>
      </c>
      <c r="M183" s="26" t="str">
        <f>IFERROR(_xlfn.PERCENTRANK.INC(Table21112164202122[True Rank],_xlfn.XLOOKUP(Table1624[[#This Row],[Name]],Table21112164202122[Name],Table21112164202122[True Rank],"DNP",0,1)),"DNP")</f>
        <v>DNP</v>
      </c>
      <c r="N183" s="26" t="str">
        <f>IFERROR(_xlfn.PERCENTRANK.INC(Table2111216420212223[True Rank],_xlfn.XLOOKUP(Table1624[[#This Row],[Name]],Table2111216420212223[Name],Table2111216420212223[True Rank],"DNP",0,1)),"DNP")</f>
        <v>DNP</v>
      </c>
      <c r="O183" s="26" t="str">
        <f>IFERROR(_xlfn.PERCENTRANK.INC(Table211121642021222325[True Rank],_xlfn.XLOOKUP(Table1624[[#This Row],[Name]],Table211121642021222325[Name],Table211121642021222325[True Rank],"DNP",0,1)),"DNP")</f>
        <v>DNP</v>
      </c>
      <c r="P183" s="26" t="str">
        <f>IFERROR(_xlfn.PERCENTRANK.INC(Table21112164202122232534[True Rank],_xlfn.XLOOKUP(Table1624[[#This Row],[Name]],Table21112164202122232534[Name],Table21112164202122232534[True Rank],"DNP",0,1)),"DNP")</f>
        <v>DNP</v>
      </c>
      <c r="Q1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 spans="2:33">
      <c r="B184" t="str">
        <f>IFERROR(Table5[[#This Row],[Full name]],"")</f>
        <v>Jack Watson</v>
      </c>
      <c r="C184" s="108">
        <f>IFERROR(AVERAGE(Table1624[[#This Row],[September 30, 2025]:[Column18]]),"N/A")</f>
        <v>0.80162500000000003</v>
      </c>
      <c r="D184" s="26">
        <f>IFERROR(_xlfn.PERCENTRANK.INC(Table4[True Rank],_xlfn.XLOOKUP(Table1624[[#This Row],[Name]],Table4[Name],Table4[True Rank],"DNP",0,1)),"DNP")</f>
        <v>0.28399999999999997</v>
      </c>
      <c r="E184" s="26" t="str">
        <f>IFERROR(_xlfn.PERCENTRANK.INC(Table9[True Rank],_xlfn.XLOOKUP(Table1624[[#This Row],[Name]],Table9[Name],Table9[True Rank],"DNP",0,1)),"DNP")</f>
        <v>DNP</v>
      </c>
      <c r="F184" s="26" t="str">
        <f>IFERROR(_xlfn.PERCENTRANK.INC(Table18[True Rank],_xlfn.XLOOKUP(Table1624[[#This Row],[Name]],Table18[Name],Table18[True Rank],"DNP",0,1)),"DNP")</f>
        <v>DNP</v>
      </c>
      <c r="G184" s="26" t="str">
        <f>IFERROR(_xlfn.PERCENTRANK.INC(Table2[True Rank],_xlfn.XLOOKUP(Table1624[[#This Row],[Name]],Table2[Name],Table2[True Rank],"DNP",0,1)),"DNP")</f>
        <v>DNP</v>
      </c>
      <c r="H184" s="26" t="str">
        <f>IFERROR(_xlfn.PERCENTRANK.INC(Table211[True Rank],_xlfn.XLOOKUP(Table1624[[#This Row],[Name]],Table211[Name],Table211[True Rank],"DNP",0,1)),"DNP")</f>
        <v>DNP</v>
      </c>
      <c r="I184" s="26">
        <f>IFERROR(_xlfn.PERCENTRANK.INC(Table21112[True Rank],_xlfn.XLOOKUP(Table1624[[#This Row],[Name]],Table21112[Name],Table21112[True Rank],"DNP",0,1)),"DNP")</f>
        <v>0.79400000000000004</v>
      </c>
      <c r="J184" s="26">
        <f>IFERROR(_xlfn.PERCENTRANK.INC(Table21112164[True Rank],_xlfn.XLOOKUP(Table1624[[#This Row],[Name]],Table21112164[Name],Table21112164[True Rank],"DNP",0,1)),"DNP")</f>
        <v>0.97699999999999998</v>
      </c>
      <c r="K184" s="26">
        <f>IFERROR(_xlfn.PERCENTRANK.INC(Table2111216420[True Rank],_xlfn.XLOOKUP(Table1624[[#This Row],[Name]],Table2111216420[Name],Table2111216420[True Rank],"DNP",0,1)),"DNP")</f>
        <v>0.89300000000000002</v>
      </c>
      <c r="L184" s="26">
        <f>IFERROR(_xlfn.PERCENTRANK.INC(Table211121642021[True Rank],_xlfn.XLOOKUP(Table1624[[#This Row],[Name]],Table211121642021[Name],Table211121642021[True Rank],"DNP",0,1)),"DNP")</f>
        <v>0.94599999999999995</v>
      </c>
      <c r="M184" s="26">
        <f>IFERROR(_xlfn.PERCENTRANK.INC(Table21112164202122[True Rank],_xlfn.XLOOKUP(Table1624[[#This Row],[Name]],Table21112164202122[Name],Table21112164202122[True Rank],"DNP",0,1)),"DNP")</f>
        <v>0.92</v>
      </c>
      <c r="N184" s="26" t="str">
        <f>IFERROR(_xlfn.PERCENTRANK.INC(Table2111216420212223[True Rank],_xlfn.XLOOKUP(Table1624[[#This Row],[Name]],Table2111216420212223[Name],Table2111216420212223[True Rank],"DNP",0,1)),"DNP")</f>
        <v>DNP</v>
      </c>
      <c r="O184" s="26" t="str">
        <f>IFERROR(_xlfn.PERCENTRANK.INC(Table211121642021222325[True Rank],_xlfn.XLOOKUP(Table1624[[#This Row],[Name]],Table211121642021222325[Name],Table211121642021222325[True Rank],"DNP",0,1)),"DNP")</f>
        <v>DNP</v>
      </c>
      <c r="P18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1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4" s="26">
        <f>IFERROR(_xlfn.PERCENTRANK.INC(Table21112164202122232534353637[True Rank],_xlfn.XLOOKUP(Table1624[[#This Row],[Name]],Table21112164202122232534353637[Name],Table21112164202122232534353637[True Rank],"DNP",0,1)),"DNP")</f>
        <v>0.77500000000000002</v>
      </c>
      <c r="T1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 spans="2:33">
      <c r="B185" t="str">
        <f>IFERROR(Table5[[#This Row],[Full name]],"")</f>
        <v>Jacob Bailey</v>
      </c>
      <c r="C185" s="108" t="str">
        <f>IFERROR(AVERAGE(Table1624[[#This Row],[September 30, 2025]:[Column18]]),"N/A")</f>
        <v>N/A</v>
      </c>
      <c r="D185" s="26" t="str">
        <f>IFERROR(_xlfn.PERCENTRANK.INC(Table4[True Rank],_xlfn.XLOOKUP(Table1624[[#This Row],[Name]],Table4[Name],Table4[True Rank],"DNP",0,1)),"DNP")</f>
        <v>DNP</v>
      </c>
      <c r="E185" s="26" t="str">
        <f>IFERROR(_xlfn.PERCENTRANK.INC(Table9[True Rank],_xlfn.XLOOKUP(Table1624[[#This Row],[Name]],Table9[Name],Table9[True Rank],"DNP",0,1)),"DNP")</f>
        <v>DNP</v>
      </c>
      <c r="F185" s="26" t="str">
        <f>IFERROR(_xlfn.PERCENTRANK.INC(Table18[True Rank],_xlfn.XLOOKUP(Table1624[[#This Row],[Name]],Table18[Name],Table18[True Rank],"DNP",0,1)),"DNP")</f>
        <v>DNP</v>
      </c>
      <c r="G185" s="26" t="str">
        <f>IFERROR(_xlfn.PERCENTRANK.INC(Table2[True Rank],_xlfn.XLOOKUP(Table1624[[#This Row],[Name]],Table2[Name],Table2[True Rank],"DNP",0,1)),"DNP")</f>
        <v>DNP</v>
      </c>
      <c r="H185" s="26" t="str">
        <f>IFERROR(_xlfn.PERCENTRANK.INC(Table211[True Rank],_xlfn.XLOOKUP(Table1624[[#This Row],[Name]],Table211[Name],Table211[True Rank],"DNP",0,1)),"DNP")</f>
        <v>DNP</v>
      </c>
      <c r="I185" s="26" t="str">
        <f>IFERROR(_xlfn.PERCENTRANK.INC(Table21112[True Rank],_xlfn.XLOOKUP(Table1624[[#This Row],[Name]],Table21112[Name],Table21112[True Rank],"DNP",0,1)),"DNP")</f>
        <v>DNP</v>
      </c>
      <c r="J185" s="26" t="str">
        <f>IFERROR(_xlfn.PERCENTRANK.INC(Table21112164[True Rank],_xlfn.XLOOKUP(Table1624[[#This Row],[Name]],Table21112164[Name],Table21112164[True Rank],"DNP",0,1)),"DNP")</f>
        <v>DNP</v>
      </c>
      <c r="K185" s="26" t="str">
        <f>IFERROR(_xlfn.PERCENTRANK.INC(Table2111216420[True Rank],_xlfn.XLOOKUP(Table1624[[#This Row],[Name]],Table2111216420[Name],Table2111216420[True Rank],"DNP",0,1)),"DNP")</f>
        <v>DNP</v>
      </c>
      <c r="L185" s="26" t="str">
        <f>IFERROR(_xlfn.PERCENTRANK.INC(Table211121642021[True Rank],_xlfn.XLOOKUP(Table1624[[#This Row],[Name]],Table211121642021[Name],Table211121642021[True Rank],"DNP",0,1)),"DNP")</f>
        <v>DNP</v>
      </c>
      <c r="M185" s="26" t="str">
        <f>IFERROR(_xlfn.PERCENTRANK.INC(Table21112164202122[True Rank],_xlfn.XLOOKUP(Table1624[[#This Row],[Name]],Table21112164202122[Name],Table21112164202122[True Rank],"DNP",0,1)),"DNP")</f>
        <v>DNP</v>
      </c>
      <c r="N185" s="26" t="str">
        <f>IFERROR(_xlfn.PERCENTRANK.INC(Table2111216420212223[True Rank],_xlfn.XLOOKUP(Table1624[[#This Row],[Name]],Table2111216420212223[Name],Table2111216420212223[True Rank],"DNP",0,1)),"DNP")</f>
        <v>DNP</v>
      </c>
      <c r="O185" s="26" t="str">
        <f>IFERROR(_xlfn.PERCENTRANK.INC(Table211121642021222325[True Rank],_xlfn.XLOOKUP(Table1624[[#This Row],[Name]],Table211121642021222325[Name],Table211121642021222325[True Rank],"DNP",0,1)),"DNP")</f>
        <v>DNP</v>
      </c>
      <c r="P185" s="26" t="str">
        <f>IFERROR(_xlfn.PERCENTRANK.INC(Table21112164202122232534[True Rank],_xlfn.XLOOKUP(Table1624[[#This Row],[Name]],Table21112164202122232534[Name],Table21112164202122232534[True Rank],"DNP",0,1)),"DNP")</f>
        <v>DNP</v>
      </c>
      <c r="Q1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 spans="2:33">
      <c r="B186" t="str">
        <f>IFERROR(Table5[[#This Row],[Full name]],"")</f>
        <v>Jacob Crowley</v>
      </c>
      <c r="C186" s="108" t="str">
        <f>IFERROR(AVERAGE(Table1624[[#This Row],[September 30, 2025]:[Column18]]),"N/A")</f>
        <v>N/A</v>
      </c>
      <c r="D186" s="26" t="str">
        <f>IFERROR(_xlfn.PERCENTRANK.INC(Table4[True Rank],_xlfn.XLOOKUP(Table1624[[#This Row],[Name]],Table4[Name],Table4[True Rank],"DNP",0,1)),"DNP")</f>
        <v>DNP</v>
      </c>
      <c r="E186" s="26" t="str">
        <f>IFERROR(_xlfn.PERCENTRANK.INC(Table9[True Rank],_xlfn.XLOOKUP(Table1624[[#This Row],[Name]],Table9[Name],Table9[True Rank],"DNP",0,1)),"DNP")</f>
        <v>DNP</v>
      </c>
      <c r="F186" s="26" t="str">
        <f>IFERROR(_xlfn.PERCENTRANK.INC(Table18[True Rank],_xlfn.XLOOKUP(Table1624[[#This Row],[Name]],Table18[Name],Table18[True Rank],"DNP",0,1)),"DNP")</f>
        <v>DNP</v>
      </c>
      <c r="G186" s="26" t="str">
        <f>IFERROR(_xlfn.PERCENTRANK.INC(Table2[True Rank],_xlfn.XLOOKUP(Table1624[[#This Row],[Name]],Table2[Name],Table2[True Rank],"DNP",0,1)),"DNP")</f>
        <v>DNP</v>
      </c>
      <c r="H186" s="26" t="str">
        <f>IFERROR(_xlfn.PERCENTRANK.INC(Table211[True Rank],_xlfn.XLOOKUP(Table1624[[#This Row],[Name]],Table211[Name],Table211[True Rank],"DNP",0,1)),"DNP")</f>
        <v>DNP</v>
      </c>
      <c r="I186" s="26" t="str">
        <f>IFERROR(_xlfn.PERCENTRANK.INC(Table21112[True Rank],_xlfn.XLOOKUP(Table1624[[#This Row],[Name]],Table21112[Name],Table21112[True Rank],"DNP",0,1)),"DNP")</f>
        <v>DNP</v>
      </c>
      <c r="J186" s="26" t="str">
        <f>IFERROR(_xlfn.PERCENTRANK.INC(Table21112164[True Rank],_xlfn.XLOOKUP(Table1624[[#This Row],[Name]],Table21112164[Name],Table21112164[True Rank],"DNP",0,1)),"DNP")</f>
        <v>DNP</v>
      </c>
      <c r="K186" s="26" t="str">
        <f>IFERROR(_xlfn.PERCENTRANK.INC(Table2111216420[True Rank],_xlfn.XLOOKUP(Table1624[[#This Row],[Name]],Table2111216420[Name],Table2111216420[True Rank],"DNP",0,1)),"DNP")</f>
        <v>DNP</v>
      </c>
      <c r="L186" s="26" t="str">
        <f>IFERROR(_xlfn.PERCENTRANK.INC(Table211121642021[True Rank],_xlfn.XLOOKUP(Table1624[[#This Row],[Name]],Table211121642021[Name],Table211121642021[True Rank],"DNP",0,1)),"DNP")</f>
        <v>DNP</v>
      </c>
      <c r="M186" s="26" t="str">
        <f>IFERROR(_xlfn.PERCENTRANK.INC(Table21112164202122[True Rank],_xlfn.XLOOKUP(Table1624[[#This Row],[Name]],Table21112164202122[Name],Table21112164202122[True Rank],"DNP",0,1)),"DNP")</f>
        <v>DNP</v>
      </c>
      <c r="N186" s="26" t="str">
        <f>IFERROR(_xlfn.PERCENTRANK.INC(Table2111216420212223[True Rank],_xlfn.XLOOKUP(Table1624[[#This Row],[Name]],Table2111216420212223[Name],Table2111216420212223[True Rank],"DNP",0,1)),"DNP")</f>
        <v>DNP</v>
      </c>
      <c r="O186" s="26" t="str">
        <f>IFERROR(_xlfn.PERCENTRANK.INC(Table211121642021222325[True Rank],_xlfn.XLOOKUP(Table1624[[#This Row],[Name]],Table211121642021222325[Name],Table211121642021222325[True Rank],"DNP",0,1)),"DNP")</f>
        <v>DNP</v>
      </c>
      <c r="P186" s="26" t="str">
        <f>IFERROR(_xlfn.PERCENTRANK.INC(Table21112164202122232534[True Rank],_xlfn.XLOOKUP(Table1624[[#This Row],[Name]],Table21112164202122232534[Name],Table21112164202122232534[True Rank],"DNP",0,1)),"DNP")</f>
        <v>DNP</v>
      </c>
      <c r="Q18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spans="2:33">
      <c r="B187" t="str">
        <f>IFERROR(Table5[[#This Row],[Full name]],"")</f>
        <v>Jacob Dusza</v>
      </c>
      <c r="C187" s="108">
        <f>IFERROR(AVERAGE(Table1624[[#This Row],[September 30, 2025]:[Column18]]),"N/A")</f>
        <v>0.33274999999999999</v>
      </c>
      <c r="D187" s="26" t="str">
        <f>IFERROR(_xlfn.PERCENTRANK.INC(Table4[True Rank],_xlfn.XLOOKUP(Table1624[[#This Row],[Name]],Table4[Name],Table4[True Rank],"DNP",0,1)),"DNP")</f>
        <v>DNP</v>
      </c>
      <c r="E187" s="26" t="str">
        <f>IFERROR(_xlfn.PERCENTRANK.INC(Table9[True Rank],_xlfn.XLOOKUP(Table1624[[#This Row],[Name]],Table9[Name],Table9[True Rank],"DNP",0,1)),"DNP")</f>
        <v>DNP</v>
      </c>
      <c r="F187" s="26" t="str">
        <f>IFERROR(_xlfn.PERCENTRANK.INC(Table18[True Rank],_xlfn.XLOOKUP(Table1624[[#This Row],[Name]],Table18[Name],Table18[True Rank],"DNP",0,1)),"DNP")</f>
        <v>DNP</v>
      </c>
      <c r="G187" s="26" t="str">
        <f>IFERROR(_xlfn.PERCENTRANK.INC(Table2[True Rank],_xlfn.XLOOKUP(Table1624[[#This Row],[Name]],Table2[Name],Table2[True Rank],"DNP",0,1)),"DNP")</f>
        <v>DNP</v>
      </c>
      <c r="H187" s="26" t="str">
        <f>IFERROR(_xlfn.PERCENTRANK.INC(Table211[True Rank],_xlfn.XLOOKUP(Table1624[[#This Row],[Name]],Table211[Name],Table211[True Rank],"DNP",0,1)),"DNP")</f>
        <v>DNP</v>
      </c>
      <c r="I187" s="26" t="str">
        <f>IFERROR(_xlfn.PERCENTRANK.INC(Table21112[True Rank],_xlfn.XLOOKUP(Table1624[[#This Row],[Name]],Table21112[Name],Table21112[True Rank],"DNP",0,1)),"DNP")</f>
        <v>DNP</v>
      </c>
      <c r="J187" s="26" t="str">
        <f>IFERROR(_xlfn.PERCENTRANK.INC(Table21112164[True Rank],_xlfn.XLOOKUP(Table1624[[#This Row],[Name]],Table21112164[Name],Table21112164[True Rank],"DNP",0,1)),"DNP")</f>
        <v>DNP</v>
      </c>
      <c r="K187" s="26" t="str">
        <f>IFERROR(_xlfn.PERCENTRANK.INC(Table2111216420[True Rank],_xlfn.XLOOKUP(Table1624[[#This Row],[Name]],Table2111216420[Name],Table2111216420[True Rank],"DNP",0,1)),"DNP")</f>
        <v>DNP</v>
      </c>
      <c r="L187" s="26" t="str">
        <f>IFERROR(_xlfn.PERCENTRANK.INC(Table211121642021[True Rank],_xlfn.XLOOKUP(Table1624[[#This Row],[Name]],Table211121642021[Name],Table211121642021[True Rank],"DNP",0,1)),"DNP")</f>
        <v>DNP</v>
      </c>
      <c r="M187" s="26" t="str">
        <f>IFERROR(_xlfn.PERCENTRANK.INC(Table21112164202122[True Rank],_xlfn.XLOOKUP(Table1624[[#This Row],[Name]],Table21112164202122[Name],Table21112164202122[True Rank],"DNP",0,1)),"DNP")</f>
        <v>DNP</v>
      </c>
      <c r="N187" s="26">
        <f>IFERROR(_xlfn.PERCENTRANK.INC(Table2111216420212223[True Rank],_xlfn.XLOOKUP(Table1624[[#This Row],[Name]],Table2111216420212223[Name],Table2111216420212223[True Rank],"DNP",0,1)),"DNP")</f>
        <v>0.47199999999999998</v>
      </c>
      <c r="O187" s="26">
        <f>IFERROR(_xlfn.PERCENTRANK.INC(Table211121642021222325[True Rank],_xlfn.XLOOKUP(Table1624[[#This Row],[Name]],Table211121642021222325[Name],Table211121642021222325[True Rank],"DNP",0,1)),"DNP")</f>
        <v>0.318</v>
      </c>
      <c r="P187" s="26">
        <f>IFERROR(_xlfn.PERCENTRANK.INC(Table21112164202122232534[True Rank],_xlfn.XLOOKUP(Table1624[[#This Row],[Name]],Table21112164202122232534[Name],Table21112164202122232534[True Rank],"DNP",0,1)),"DNP")</f>
        <v>2.1000000000000001E-2</v>
      </c>
      <c r="Q187" s="26">
        <f>IFERROR(_xlfn.PERCENTRANK.INC(Table2111216420212223253435[True Rank],_xlfn.XLOOKUP(Table1624[[#This Row],[Name]],Table2111216420212223253435[Name],Table2111216420212223253435[True Rank],"DNP",0,1)),"DNP")</f>
        <v>0.52</v>
      </c>
      <c r="R1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 spans="2:33">
      <c r="B188" t="str">
        <f>IFERROR(Table5[[#This Row],[Full name]],"")</f>
        <v>Jaebin Shin</v>
      </c>
      <c r="C188" s="108">
        <f>IFERROR(AVERAGE(Table1624[[#This Row],[September 30, 2025]:[Column18]]),"N/A")</f>
        <v>0.47899999999999993</v>
      </c>
      <c r="D188" s="26" t="str">
        <f>IFERROR(_xlfn.PERCENTRANK.INC(Table4[True Rank],_xlfn.XLOOKUP(Table1624[[#This Row],[Name]],Table4[Name],Table4[True Rank],"DNP",0,1)),"DNP")</f>
        <v>DNP</v>
      </c>
      <c r="E188" s="26" t="str">
        <f>IFERROR(_xlfn.PERCENTRANK.INC(Table9[True Rank],_xlfn.XLOOKUP(Table1624[[#This Row],[Name]],Table9[Name],Table9[True Rank],"DNP",0,1)),"DNP")</f>
        <v>DNP</v>
      </c>
      <c r="F188" s="26" t="str">
        <f>IFERROR(_xlfn.PERCENTRANK.INC(Table18[True Rank],_xlfn.XLOOKUP(Table1624[[#This Row],[Name]],Table18[Name],Table18[True Rank],"DNP",0,1)),"DNP")</f>
        <v>DNP</v>
      </c>
      <c r="G188" s="26" t="str">
        <f>IFERROR(_xlfn.PERCENTRANK.INC(Table2[True Rank],_xlfn.XLOOKUP(Table1624[[#This Row],[Name]],Table2[Name],Table2[True Rank],"DNP",0,1)),"DNP")</f>
        <v>DNP</v>
      </c>
      <c r="H188" s="26" t="str">
        <f>IFERROR(_xlfn.PERCENTRANK.INC(Table211[True Rank],_xlfn.XLOOKUP(Table1624[[#This Row],[Name]],Table211[Name],Table211[True Rank],"DNP",0,1)),"DNP")</f>
        <v>DNP</v>
      </c>
      <c r="I188" s="26">
        <f>IFERROR(_xlfn.PERCENTRANK.INC(Table21112[True Rank],_xlfn.XLOOKUP(Table1624[[#This Row],[Name]],Table21112[Name],Table21112[True Rank],"DNP",0,1)),"DNP")</f>
        <v>0.47399999999999998</v>
      </c>
      <c r="J188" s="26" t="str">
        <f>IFERROR(_xlfn.PERCENTRANK.INC(Table21112164[True Rank],_xlfn.XLOOKUP(Table1624[[#This Row],[Name]],Table21112164[Name],Table21112164[True Rank],"DNP",0,1)),"DNP")</f>
        <v>DNP</v>
      </c>
      <c r="K188" s="26">
        <f>IFERROR(_xlfn.PERCENTRANK.INC(Table2111216420[True Rank],_xlfn.XLOOKUP(Table1624[[#This Row],[Name]],Table2111216420[Name],Table2111216420[True Rank],"DNP",0,1)),"DNP")</f>
        <v>0.26500000000000001</v>
      </c>
      <c r="L188" s="26">
        <f>IFERROR(_xlfn.PERCENTRANK.INC(Table211121642021[True Rank],_xlfn.XLOOKUP(Table1624[[#This Row],[Name]],Table211121642021[Name],Table211121642021[True Rank],"DNP",0,1)),"DNP")</f>
        <v>0.69799999999999995</v>
      </c>
      <c r="M188" s="26" t="str">
        <f>IFERROR(_xlfn.PERCENTRANK.INC(Table21112164202122[True Rank],_xlfn.XLOOKUP(Table1624[[#This Row],[Name]],Table21112164202122[Name],Table21112164202122[True Rank],"DNP",0,1)),"DNP")</f>
        <v>DNP</v>
      </c>
      <c r="N188" s="26" t="str">
        <f>IFERROR(_xlfn.PERCENTRANK.INC(Table2111216420212223[True Rank],_xlfn.XLOOKUP(Table1624[[#This Row],[Name]],Table2111216420212223[Name],Table2111216420212223[True Rank],"DNP",0,1)),"DNP")</f>
        <v>DNP</v>
      </c>
      <c r="O188" s="26" t="str">
        <f>IFERROR(_xlfn.PERCENTRANK.INC(Table211121642021222325[True Rank],_xlfn.XLOOKUP(Table1624[[#This Row],[Name]],Table211121642021222325[Name],Table211121642021222325[True Rank],"DNP",0,1)),"DNP")</f>
        <v>DNP</v>
      </c>
      <c r="P188" s="26" t="str">
        <f>IFERROR(_xlfn.PERCENTRANK.INC(Table21112164202122232534[True Rank],_xlfn.XLOOKUP(Table1624[[#This Row],[Name]],Table21112164202122232534[Name],Table21112164202122232534[True Rank],"DNP",0,1)),"DNP")</f>
        <v>DNP</v>
      </c>
      <c r="Q1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 spans="2:33">
      <c r="B189" t="str">
        <f>IFERROR(Table5[[#This Row],[Full name]],"")</f>
        <v>Jahangir Abdullayev</v>
      </c>
      <c r="C189" s="108">
        <f>IFERROR(AVERAGE(Table1624[[#This Row],[September 30, 2025]:[Column18]]),"N/A")</f>
        <v>0.62419999999999987</v>
      </c>
      <c r="D189" s="26">
        <f>IFERROR(_xlfn.PERCENTRANK.INC(Table4[True Rank],_xlfn.XLOOKUP(Table1624[[#This Row],[Name]],Table4[Name],Table4[True Rank],"DNP",0,1)),"DNP")</f>
        <v>0.752</v>
      </c>
      <c r="E189" s="26">
        <f>IFERROR(_xlfn.PERCENTRANK.INC(Table9[True Rank],_xlfn.XLOOKUP(Table1624[[#This Row],[Name]],Table9[Name],Table9[True Rank],"DNP",0,1)),"DNP")</f>
        <v>0.62</v>
      </c>
      <c r="F189" s="26" t="str">
        <f>IFERROR(_xlfn.PERCENTRANK.INC(Table18[True Rank],_xlfn.XLOOKUP(Table1624[[#This Row],[Name]],Table18[Name],Table18[True Rank],"DNP",0,1)),"DNP")</f>
        <v>DNP</v>
      </c>
      <c r="G189" s="26">
        <f>IFERROR(_xlfn.PERCENTRANK.INC(Table2[True Rank],_xlfn.XLOOKUP(Table1624[[#This Row],[Name]],Table2[Name],Table2[True Rank],"DNP",0,1)),"DNP")</f>
        <v>0.25</v>
      </c>
      <c r="H189" s="26" t="str">
        <f>IFERROR(_xlfn.PERCENTRANK.INC(Table211[True Rank],_xlfn.XLOOKUP(Table1624[[#This Row],[Name]],Table211[Name],Table211[True Rank],"DNP",0,1)),"DNP")</f>
        <v>DNP</v>
      </c>
      <c r="I189" s="26" t="str">
        <f>IFERROR(_xlfn.PERCENTRANK.INC(Table21112[True Rank],_xlfn.XLOOKUP(Table1624[[#This Row],[Name]],Table21112[Name],Table21112[True Rank],"DNP",0,1)),"DNP")</f>
        <v>DNP</v>
      </c>
      <c r="J189" s="26" t="str">
        <f>IFERROR(_xlfn.PERCENTRANK.INC(Table21112164[True Rank],_xlfn.XLOOKUP(Table1624[[#This Row],[Name]],Table21112164[Name],Table21112164[True Rank],"DNP",0,1)),"DNP")</f>
        <v>DNP</v>
      </c>
      <c r="K189" s="26">
        <f>IFERROR(_xlfn.PERCENTRANK.INC(Table2111216420[True Rank],_xlfn.XLOOKUP(Table1624[[#This Row],[Name]],Table2111216420[Name],Table2111216420[True Rank],"DNP",0,1)),"DNP")</f>
        <v>0.55300000000000005</v>
      </c>
      <c r="L189" s="26">
        <f>IFERROR(_xlfn.PERCENTRANK.INC(Table211121642021[True Rank],_xlfn.XLOOKUP(Table1624[[#This Row],[Name]],Table211121642021[Name],Table211121642021[True Rank],"DNP",0,1)),"DNP")</f>
        <v>0.94599999999999995</v>
      </c>
      <c r="M189" s="26" t="str">
        <f>IFERROR(_xlfn.PERCENTRANK.INC(Table21112164202122[True Rank],_xlfn.XLOOKUP(Table1624[[#This Row],[Name]],Table21112164202122[Name],Table21112164202122[True Rank],"DNP",0,1)),"DNP")</f>
        <v>DNP</v>
      </c>
      <c r="N189" s="26" t="str">
        <f>IFERROR(_xlfn.PERCENTRANK.INC(Table2111216420212223[True Rank],_xlfn.XLOOKUP(Table1624[[#This Row],[Name]],Table2111216420212223[Name],Table2111216420212223[True Rank],"DNP",0,1)),"DNP")</f>
        <v>DNP</v>
      </c>
      <c r="O189" s="26" t="str">
        <f>IFERROR(_xlfn.PERCENTRANK.INC(Table211121642021222325[True Rank],_xlfn.XLOOKUP(Table1624[[#This Row],[Name]],Table211121642021222325[Name],Table211121642021222325[True Rank],"DNP",0,1)),"DNP")</f>
        <v>DNP</v>
      </c>
      <c r="P189" s="26" t="str">
        <f>IFERROR(_xlfn.PERCENTRANK.INC(Table21112164202122232534[True Rank],_xlfn.XLOOKUP(Table1624[[#This Row],[Name]],Table21112164202122232534[Name],Table21112164202122232534[True Rank],"DNP",0,1)),"DNP")</f>
        <v>DNP</v>
      </c>
      <c r="Q18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 spans="2:33">
      <c r="B190" t="str">
        <f>IFERROR(Table5[[#This Row],[Full name]],"")</f>
        <v>Jakob Smintich</v>
      </c>
      <c r="C190" s="108" t="str">
        <f>IFERROR(AVERAGE(Table1624[[#This Row],[September 30, 2025]:[Column18]]),"N/A")</f>
        <v>N/A</v>
      </c>
      <c r="D190" s="26" t="str">
        <f>IFERROR(_xlfn.PERCENTRANK.INC(Table4[True Rank],_xlfn.XLOOKUP(Table1624[[#This Row],[Name]],Table4[Name],Table4[True Rank],"DNP",0,1)),"DNP")</f>
        <v>DNP</v>
      </c>
      <c r="E190" s="26" t="str">
        <f>IFERROR(_xlfn.PERCENTRANK.INC(Table9[True Rank],_xlfn.XLOOKUP(Table1624[[#This Row],[Name]],Table9[Name],Table9[True Rank],"DNP",0,1)),"DNP")</f>
        <v>DNP</v>
      </c>
      <c r="F190" s="26" t="str">
        <f>IFERROR(_xlfn.PERCENTRANK.INC(Table18[True Rank],_xlfn.XLOOKUP(Table1624[[#This Row],[Name]],Table18[Name],Table18[True Rank],"DNP",0,1)),"DNP")</f>
        <v>DNP</v>
      </c>
      <c r="G190" s="26" t="str">
        <f>IFERROR(_xlfn.PERCENTRANK.INC(Table2[True Rank],_xlfn.XLOOKUP(Table1624[[#This Row],[Name]],Table2[Name],Table2[True Rank],"DNP",0,1)),"DNP")</f>
        <v>DNP</v>
      </c>
      <c r="H190" s="26" t="str">
        <f>IFERROR(_xlfn.PERCENTRANK.INC(Table211[True Rank],_xlfn.XLOOKUP(Table1624[[#This Row],[Name]],Table211[Name],Table211[True Rank],"DNP",0,1)),"DNP")</f>
        <v>DNP</v>
      </c>
      <c r="I190" s="26" t="str">
        <f>IFERROR(_xlfn.PERCENTRANK.INC(Table21112[True Rank],_xlfn.XLOOKUP(Table1624[[#This Row],[Name]],Table21112[Name],Table21112[True Rank],"DNP",0,1)),"DNP")</f>
        <v>DNP</v>
      </c>
      <c r="J190" s="26" t="str">
        <f>IFERROR(_xlfn.PERCENTRANK.INC(Table21112164[True Rank],_xlfn.XLOOKUP(Table1624[[#This Row],[Name]],Table21112164[Name],Table21112164[True Rank],"DNP",0,1)),"DNP")</f>
        <v>DNP</v>
      </c>
      <c r="K190" s="26" t="str">
        <f>IFERROR(_xlfn.PERCENTRANK.INC(Table2111216420[True Rank],_xlfn.XLOOKUP(Table1624[[#This Row],[Name]],Table2111216420[Name],Table2111216420[True Rank],"DNP",0,1)),"DNP")</f>
        <v>DNP</v>
      </c>
      <c r="L190" s="26" t="str">
        <f>IFERROR(_xlfn.PERCENTRANK.INC(Table211121642021[True Rank],_xlfn.XLOOKUP(Table1624[[#This Row],[Name]],Table211121642021[Name],Table211121642021[True Rank],"DNP",0,1)),"DNP")</f>
        <v>DNP</v>
      </c>
      <c r="M190" s="26" t="str">
        <f>IFERROR(_xlfn.PERCENTRANK.INC(Table21112164202122[True Rank],_xlfn.XLOOKUP(Table1624[[#This Row],[Name]],Table21112164202122[Name],Table21112164202122[True Rank],"DNP",0,1)),"DNP")</f>
        <v>DNP</v>
      </c>
      <c r="N190" s="26" t="str">
        <f>IFERROR(_xlfn.PERCENTRANK.INC(Table2111216420212223[True Rank],_xlfn.XLOOKUP(Table1624[[#This Row],[Name]],Table2111216420212223[Name],Table2111216420212223[True Rank],"DNP",0,1)),"DNP")</f>
        <v>DNP</v>
      </c>
      <c r="O190" s="26" t="str">
        <f>IFERROR(_xlfn.PERCENTRANK.INC(Table211121642021222325[True Rank],_xlfn.XLOOKUP(Table1624[[#This Row],[Name]],Table211121642021222325[Name],Table211121642021222325[True Rank],"DNP",0,1)),"DNP")</f>
        <v>DNP</v>
      </c>
      <c r="P190" s="26" t="str">
        <f>IFERROR(_xlfn.PERCENTRANK.INC(Table21112164202122232534[True Rank],_xlfn.XLOOKUP(Table1624[[#This Row],[Name]],Table21112164202122232534[Name],Table21112164202122232534[True Rank],"DNP",0,1)),"DNP")</f>
        <v>DNP</v>
      </c>
      <c r="Q1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 spans="2:33">
      <c r="B191" t="str">
        <f>IFERROR(Table5[[#This Row],[Full name]],"")</f>
        <v>James Forrest</v>
      </c>
      <c r="C191" s="108">
        <f>IFERROR(AVERAGE(Table1624[[#This Row],[September 30, 2025]:[Column18]]),"N/A")</f>
        <v>0.14599999999999999</v>
      </c>
      <c r="D191" s="26">
        <f>IFERROR(_xlfn.PERCENTRANK.INC(Table4[True Rank],_xlfn.XLOOKUP(Table1624[[#This Row],[Name]],Table4[Name],Table4[True Rank],"DNP",0,1)),"DNP")</f>
        <v>0.14599999999999999</v>
      </c>
      <c r="E191" s="26" t="str">
        <f>IFERROR(_xlfn.PERCENTRANK.INC(Table9[True Rank],_xlfn.XLOOKUP(Table1624[[#This Row],[Name]],Table9[Name],Table9[True Rank],"DNP",0,1)),"DNP")</f>
        <v>DNP</v>
      </c>
      <c r="F191" s="26" t="str">
        <f>IFERROR(_xlfn.PERCENTRANK.INC(Table18[True Rank],_xlfn.XLOOKUP(Table1624[[#This Row],[Name]],Table18[Name],Table18[True Rank],"DNP",0,1)),"DNP")</f>
        <v>DNP</v>
      </c>
      <c r="G191" s="26" t="str">
        <f>IFERROR(_xlfn.PERCENTRANK.INC(Table2[True Rank],_xlfn.XLOOKUP(Table1624[[#This Row],[Name]],Table2[Name],Table2[True Rank],"DNP",0,1)),"DNP")</f>
        <v>DNP</v>
      </c>
      <c r="H191" s="26" t="str">
        <f>IFERROR(_xlfn.PERCENTRANK.INC(Table211[True Rank],_xlfn.XLOOKUP(Table1624[[#This Row],[Name]],Table211[Name],Table211[True Rank],"DNP",0,1)),"DNP")</f>
        <v>DNP</v>
      </c>
      <c r="I191" s="26" t="str">
        <f>IFERROR(_xlfn.PERCENTRANK.INC(Table21112[True Rank],_xlfn.XLOOKUP(Table1624[[#This Row],[Name]],Table21112[Name],Table21112[True Rank],"DNP",0,1)),"DNP")</f>
        <v>DNP</v>
      </c>
      <c r="J191" s="26" t="str">
        <f>IFERROR(_xlfn.PERCENTRANK.INC(Table21112164[True Rank],_xlfn.XLOOKUP(Table1624[[#This Row],[Name]],Table21112164[Name],Table21112164[True Rank],"DNP",0,1)),"DNP")</f>
        <v>DNP</v>
      </c>
      <c r="K191" s="26" t="str">
        <f>IFERROR(_xlfn.PERCENTRANK.INC(Table2111216420[True Rank],_xlfn.XLOOKUP(Table1624[[#This Row],[Name]],Table2111216420[Name],Table2111216420[True Rank],"DNP",0,1)),"DNP")</f>
        <v>DNP</v>
      </c>
      <c r="L191" s="26" t="str">
        <f>IFERROR(_xlfn.PERCENTRANK.INC(Table211121642021[True Rank],_xlfn.XLOOKUP(Table1624[[#This Row],[Name]],Table211121642021[Name],Table211121642021[True Rank],"DNP",0,1)),"DNP")</f>
        <v>DNP</v>
      </c>
      <c r="M191" s="26" t="str">
        <f>IFERROR(_xlfn.PERCENTRANK.INC(Table21112164202122[True Rank],_xlfn.XLOOKUP(Table1624[[#This Row],[Name]],Table21112164202122[Name],Table21112164202122[True Rank],"DNP",0,1)),"DNP")</f>
        <v>DNP</v>
      </c>
      <c r="N191" s="26" t="str">
        <f>IFERROR(_xlfn.PERCENTRANK.INC(Table2111216420212223[True Rank],_xlfn.XLOOKUP(Table1624[[#This Row],[Name]],Table2111216420212223[Name],Table2111216420212223[True Rank],"DNP",0,1)),"DNP")</f>
        <v>DNP</v>
      </c>
      <c r="O191" s="26" t="str">
        <f>IFERROR(_xlfn.PERCENTRANK.INC(Table211121642021222325[True Rank],_xlfn.XLOOKUP(Table1624[[#This Row],[Name]],Table211121642021222325[Name],Table211121642021222325[True Rank],"DNP",0,1)),"DNP")</f>
        <v>DNP</v>
      </c>
      <c r="P191" s="26" t="str">
        <f>IFERROR(_xlfn.PERCENTRANK.INC(Table21112164202122232534[True Rank],_xlfn.XLOOKUP(Table1624[[#This Row],[Name]],Table21112164202122232534[Name],Table21112164202122232534[True Rank],"DNP",0,1)),"DNP")</f>
        <v>DNP</v>
      </c>
      <c r="Q1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 spans="2:33">
      <c r="B192" t="str">
        <f>IFERROR(Table5[[#This Row],[Full name]],"")</f>
        <v>James Kendel</v>
      </c>
      <c r="C192" s="108">
        <f>IFERROR(AVERAGE(Table1624[[#This Row],[September 30, 2025]:[Column18]]),"N/A")</f>
        <v>0.81525000000000003</v>
      </c>
      <c r="D192" s="26" t="str">
        <f>IFERROR(_xlfn.PERCENTRANK.INC(Table4[True Rank],_xlfn.XLOOKUP(Table1624[[#This Row],[Name]],Table4[Name],Table4[True Rank],"DNP",0,1)),"DNP")</f>
        <v>DNP</v>
      </c>
      <c r="E192" s="26">
        <f>IFERROR(_xlfn.PERCENTRANK.INC(Table9[True Rank],_xlfn.XLOOKUP(Table1624[[#This Row],[Name]],Table9[Name],Table9[True Rank],"DNP",0,1)),"DNP")</f>
        <v>0.79300000000000004</v>
      </c>
      <c r="F192" s="26" t="str">
        <f>IFERROR(_xlfn.PERCENTRANK.INC(Table18[True Rank],_xlfn.XLOOKUP(Table1624[[#This Row],[Name]],Table18[Name],Table18[True Rank],"DNP",0,1)),"DNP")</f>
        <v>DNP</v>
      </c>
      <c r="G192" s="26" t="str">
        <f>IFERROR(_xlfn.PERCENTRANK.INC(Table2[True Rank],_xlfn.XLOOKUP(Table1624[[#This Row],[Name]],Table2[Name],Table2[True Rank],"DNP",0,1)),"DNP")</f>
        <v>DNP</v>
      </c>
      <c r="H192" s="26" t="str">
        <f>IFERROR(_xlfn.PERCENTRANK.INC(Table211[True Rank],_xlfn.XLOOKUP(Table1624[[#This Row],[Name]],Table211[Name],Table211[True Rank],"DNP",0,1)),"DNP")</f>
        <v>DNP</v>
      </c>
      <c r="I192" s="26" t="str">
        <f>IFERROR(_xlfn.PERCENTRANK.INC(Table21112[True Rank],_xlfn.XLOOKUP(Table1624[[#This Row],[Name]],Table21112[Name],Table21112[True Rank],"DNP",0,1)),"DNP")</f>
        <v>DNP</v>
      </c>
      <c r="J192" s="26">
        <f>IFERROR(_xlfn.PERCENTRANK.INC(Table21112164[True Rank],_xlfn.XLOOKUP(Table1624[[#This Row],[Name]],Table21112164[Name],Table21112164[True Rank],"DNP",0,1)),"DNP")</f>
        <v>0.76400000000000001</v>
      </c>
      <c r="K192" s="26" t="str">
        <f>IFERROR(_xlfn.PERCENTRANK.INC(Table2111216420[True Rank],_xlfn.XLOOKUP(Table1624[[#This Row],[Name]],Table2111216420[Name],Table2111216420[True Rank],"DNP",0,1)),"DNP")</f>
        <v>DNP</v>
      </c>
      <c r="L192" s="26">
        <f>IFERROR(_xlfn.PERCENTRANK.INC(Table211121642021[True Rank],_xlfn.XLOOKUP(Table1624[[#This Row],[Name]],Table211121642021[Name],Table211121642021[True Rank],"DNP",0,1)),"DNP")</f>
        <v>0.93500000000000005</v>
      </c>
      <c r="M192" s="26" t="str">
        <f>IFERROR(_xlfn.PERCENTRANK.INC(Table21112164202122[True Rank],_xlfn.XLOOKUP(Table1624[[#This Row],[Name]],Table21112164202122[Name],Table21112164202122[True Rank],"DNP",0,1)),"DNP")</f>
        <v>DNP</v>
      </c>
      <c r="N192" s="26" t="str">
        <f>IFERROR(_xlfn.PERCENTRANK.INC(Table2111216420212223[True Rank],_xlfn.XLOOKUP(Table1624[[#This Row],[Name]],Table2111216420212223[Name],Table2111216420212223[True Rank],"DNP",0,1)),"DNP")</f>
        <v>DNP</v>
      </c>
      <c r="O192" s="26">
        <f>IFERROR(_xlfn.PERCENTRANK.INC(Table211121642021222325[True Rank],_xlfn.XLOOKUP(Table1624[[#This Row],[Name]],Table211121642021222325[Name],Table211121642021222325[True Rank],"DNP",0,1)),"DNP")</f>
        <v>0.76900000000000002</v>
      </c>
      <c r="P192" s="26" t="str">
        <f>IFERROR(_xlfn.PERCENTRANK.INC(Table21112164202122232534[True Rank],_xlfn.XLOOKUP(Table1624[[#This Row],[Name]],Table21112164202122232534[Name],Table21112164202122232534[True Rank],"DNP",0,1)),"DNP")</f>
        <v>DNP</v>
      </c>
      <c r="Q19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 spans="2:33">
      <c r="B193" t="str">
        <f>IFERROR(Table5[[#This Row],[Full name]],"")</f>
        <v>James Juo</v>
      </c>
      <c r="C193" s="108">
        <f>IFERROR(AVERAGE(Table1624[[#This Row],[September 30, 2025]:[Column18]]),"N/A")</f>
        <v>0.24199999999999999</v>
      </c>
      <c r="D193" s="26" t="str">
        <f>IFERROR(_xlfn.PERCENTRANK.INC(Table4[True Rank],_xlfn.XLOOKUP(Table1624[[#This Row],[Name]],Table4[Name],Table4[True Rank],"DNP",0,1)),"DNP")</f>
        <v>DNP</v>
      </c>
      <c r="E193" s="26" t="str">
        <f>IFERROR(_xlfn.PERCENTRANK.INC(Table9[True Rank],_xlfn.XLOOKUP(Table1624[[#This Row],[Name]],Table9[Name],Table9[True Rank],"DNP",0,1)),"DNP")</f>
        <v>DNP</v>
      </c>
      <c r="F193" s="26" t="str">
        <f>IFERROR(_xlfn.PERCENTRANK.INC(Table18[True Rank],_xlfn.XLOOKUP(Table1624[[#This Row],[Name]],Table18[Name],Table18[True Rank],"DNP",0,1)),"DNP")</f>
        <v>DNP</v>
      </c>
      <c r="G193" s="26" t="str">
        <f>IFERROR(_xlfn.PERCENTRANK.INC(Table2[True Rank],_xlfn.XLOOKUP(Table1624[[#This Row],[Name]],Table2[Name],Table2[True Rank],"DNP",0,1)),"DNP")</f>
        <v>DNP</v>
      </c>
      <c r="H193" s="26" t="str">
        <f>IFERROR(_xlfn.PERCENTRANK.INC(Table211[True Rank],_xlfn.XLOOKUP(Table1624[[#This Row],[Name]],Table211[Name],Table211[True Rank],"DNP",0,1)),"DNP")</f>
        <v>DNP</v>
      </c>
      <c r="I193" s="26" t="str">
        <f>IFERROR(_xlfn.PERCENTRANK.INC(Table21112[True Rank],_xlfn.XLOOKUP(Table1624[[#This Row],[Name]],Table21112[Name],Table21112[True Rank],"DNP",0,1)),"DNP")</f>
        <v>DNP</v>
      </c>
      <c r="J193" s="26" t="str">
        <f>IFERROR(_xlfn.PERCENTRANK.INC(Table21112164[True Rank],_xlfn.XLOOKUP(Table1624[[#This Row],[Name]],Table21112164[Name],Table21112164[True Rank],"DNP",0,1)),"DNP")</f>
        <v>DNP</v>
      </c>
      <c r="K193" s="26" t="str">
        <f>IFERROR(_xlfn.PERCENTRANK.INC(Table2111216420[True Rank],_xlfn.XLOOKUP(Table1624[[#This Row],[Name]],Table2111216420[Name],Table2111216420[True Rank],"DNP",0,1)),"DNP")</f>
        <v>DNP</v>
      </c>
      <c r="L193" s="26" t="str">
        <f>IFERROR(_xlfn.PERCENTRANK.INC(Table211121642021[True Rank],_xlfn.XLOOKUP(Table1624[[#This Row],[Name]],Table211121642021[Name],Table211121642021[True Rank],"DNP",0,1)),"DNP")</f>
        <v>DNP</v>
      </c>
      <c r="M193" s="26" t="str">
        <f>IFERROR(_xlfn.PERCENTRANK.INC(Table21112164202122[True Rank],_xlfn.XLOOKUP(Table1624[[#This Row],[Name]],Table21112164202122[Name],Table21112164202122[True Rank],"DNP",0,1)),"DNP")</f>
        <v>DNP</v>
      </c>
      <c r="N193" s="26" t="str">
        <f>IFERROR(_xlfn.PERCENTRANK.INC(Table2111216420212223[True Rank],_xlfn.XLOOKUP(Table1624[[#This Row],[Name]],Table2111216420212223[Name],Table2111216420212223[True Rank],"DNP",0,1)),"DNP")</f>
        <v>DNP</v>
      </c>
      <c r="O193" s="26" t="str">
        <f>IFERROR(_xlfn.PERCENTRANK.INC(Table211121642021222325[True Rank],_xlfn.XLOOKUP(Table1624[[#This Row],[Name]],Table211121642021222325[Name],Table211121642021222325[True Rank],"DNP",0,1)),"DNP")</f>
        <v>DNP</v>
      </c>
      <c r="P193" s="26" t="str">
        <f>IFERROR(_xlfn.PERCENTRANK.INC(Table21112164202122232534[True Rank],_xlfn.XLOOKUP(Table1624[[#This Row],[Name]],Table21112164202122232534[Name],Table21112164202122232534[True Rank],"DNP",0,1)),"DNP")</f>
        <v>DNP</v>
      </c>
      <c r="Q1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3" s="26">
        <f>IFERROR(_xlfn.PERCENTRANK.INC(Table211121642021222325343536[True Rank],_xlfn.XLOOKUP(Table1624[[#This Row],[Name]],Table211121642021222325343536[Name],Table211121642021222325343536[True Rank],"DNP",0,1)),"DNP")</f>
        <v>0.24199999999999999</v>
      </c>
      <c r="S1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 spans="2:33">
      <c r="B194" t="str">
        <f>IFERROR(Table5[[#This Row],[Full name]],"")</f>
        <v>Jasmin Gu</v>
      </c>
      <c r="C194" s="108">
        <f>IFERROR(AVERAGE(Table1624[[#This Row],[September 30, 2025]:[Column18]]),"N/A")</f>
        <v>7.3999999999999996E-2</v>
      </c>
      <c r="D194" s="26" t="str">
        <f>IFERROR(_xlfn.PERCENTRANK.INC(Table4[True Rank],_xlfn.XLOOKUP(Table1624[[#This Row],[Name]],Table4[Name],Table4[True Rank],"DNP",0,1)),"DNP")</f>
        <v>DNP</v>
      </c>
      <c r="E194" s="26" t="str">
        <f>IFERROR(_xlfn.PERCENTRANK.INC(Table9[True Rank],_xlfn.XLOOKUP(Table1624[[#This Row],[Name]],Table9[Name],Table9[True Rank],"DNP",0,1)),"DNP")</f>
        <v>DNP</v>
      </c>
      <c r="F194" s="26" t="str">
        <f>IFERROR(_xlfn.PERCENTRANK.INC(Table18[True Rank],_xlfn.XLOOKUP(Table1624[[#This Row],[Name]],Table18[Name],Table18[True Rank],"DNP",0,1)),"DNP")</f>
        <v>DNP</v>
      </c>
      <c r="G194" s="26" t="str">
        <f>IFERROR(_xlfn.PERCENTRANK.INC(Table2[True Rank],_xlfn.XLOOKUP(Table1624[[#This Row],[Name]],Table2[Name],Table2[True Rank],"DNP",0,1)),"DNP")</f>
        <v>DNP</v>
      </c>
      <c r="H194" s="26" t="str">
        <f>IFERROR(_xlfn.PERCENTRANK.INC(Table211[True Rank],_xlfn.XLOOKUP(Table1624[[#This Row],[Name]],Table211[Name],Table211[True Rank],"DNP",0,1)),"DNP")</f>
        <v>DNP</v>
      </c>
      <c r="I194" s="26" t="str">
        <f>IFERROR(_xlfn.PERCENTRANK.INC(Table21112[True Rank],_xlfn.XLOOKUP(Table1624[[#This Row],[Name]],Table21112[Name],Table21112[True Rank],"DNP",0,1)),"DNP")</f>
        <v>DNP</v>
      </c>
      <c r="J194" s="26" t="str">
        <f>IFERROR(_xlfn.PERCENTRANK.INC(Table21112164[True Rank],_xlfn.XLOOKUP(Table1624[[#This Row],[Name]],Table21112164[Name],Table21112164[True Rank],"DNP",0,1)),"DNP")</f>
        <v>DNP</v>
      </c>
      <c r="K194" s="26">
        <f>IFERROR(_xlfn.PERCENTRANK.INC(Table2111216420[True Rank],_xlfn.XLOOKUP(Table1624[[#This Row],[Name]],Table2111216420[Name],Table2111216420[True Rank],"DNP",0,1)),"DNP")</f>
        <v>7.3999999999999996E-2</v>
      </c>
      <c r="L194" s="26" t="str">
        <f>IFERROR(_xlfn.PERCENTRANK.INC(Table211121642021[True Rank],_xlfn.XLOOKUP(Table1624[[#This Row],[Name]],Table211121642021[Name],Table211121642021[True Rank],"DNP",0,1)),"DNP")</f>
        <v>DNP</v>
      </c>
      <c r="M194" s="26" t="str">
        <f>IFERROR(_xlfn.PERCENTRANK.INC(Table21112164202122[True Rank],_xlfn.XLOOKUP(Table1624[[#This Row],[Name]],Table21112164202122[Name],Table21112164202122[True Rank],"DNP",0,1)),"DNP")</f>
        <v>DNP</v>
      </c>
      <c r="N194" s="26" t="str">
        <f>IFERROR(_xlfn.PERCENTRANK.INC(Table2111216420212223[True Rank],_xlfn.XLOOKUP(Table1624[[#This Row],[Name]],Table2111216420212223[Name],Table2111216420212223[True Rank],"DNP",0,1)),"DNP")</f>
        <v>DNP</v>
      </c>
      <c r="O194" s="26" t="str">
        <f>IFERROR(_xlfn.PERCENTRANK.INC(Table211121642021222325[True Rank],_xlfn.XLOOKUP(Table1624[[#This Row],[Name]],Table211121642021222325[Name],Table211121642021222325[True Rank],"DNP",0,1)),"DNP")</f>
        <v>DNP</v>
      </c>
      <c r="P194" s="26" t="str">
        <f>IFERROR(_xlfn.PERCENTRANK.INC(Table21112164202122232534[True Rank],_xlfn.XLOOKUP(Table1624[[#This Row],[Name]],Table21112164202122232534[Name],Table21112164202122232534[True Rank],"DNP",0,1)),"DNP")</f>
        <v>DNP</v>
      </c>
      <c r="Q1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 spans="2:33">
      <c r="B195" t="str">
        <f>IFERROR(Table5[[#This Row],[Full name]],"")</f>
        <v>Jasmine Xu</v>
      </c>
      <c r="C195" s="108">
        <f>IFERROR(AVERAGE(Table1624[[#This Row],[September 30, 2025]:[Column18]]),"N/A")</f>
        <v>0.74550000000000005</v>
      </c>
      <c r="D195" s="26">
        <f>IFERROR(_xlfn.PERCENTRANK.INC(Table4[True Rank],_xlfn.XLOOKUP(Table1624[[#This Row],[Name]],Table4[Name],Table4[True Rank],"DNP",0,1)),"DNP")</f>
        <v>0.78800000000000003</v>
      </c>
      <c r="E195" s="26" t="str">
        <f>IFERROR(_xlfn.PERCENTRANK.INC(Table9[True Rank],_xlfn.XLOOKUP(Table1624[[#This Row],[Name]],Table9[Name],Table9[True Rank],"DNP",0,1)),"DNP")</f>
        <v>DNP</v>
      </c>
      <c r="F195" s="26" t="str">
        <f>IFERROR(_xlfn.PERCENTRANK.INC(Table18[True Rank],_xlfn.XLOOKUP(Table1624[[#This Row],[Name]],Table18[Name],Table18[True Rank],"DNP",0,1)),"DNP")</f>
        <v>DNP</v>
      </c>
      <c r="G195" s="26" t="str">
        <f>IFERROR(_xlfn.PERCENTRANK.INC(Table2[True Rank],_xlfn.XLOOKUP(Table1624[[#This Row],[Name]],Table2[Name],Table2[True Rank],"DNP",0,1)),"DNP")</f>
        <v>DNP</v>
      </c>
      <c r="H195" s="26" t="str">
        <f>IFERROR(_xlfn.PERCENTRANK.INC(Table211[True Rank],_xlfn.XLOOKUP(Table1624[[#This Row],[Name]],Table211[Name],Table211[True Rank],"DNP",0,1)),"DNP")</f>
        <v>DNP</v>
      </c>
      <c r="I195" s="26" t="str">
        <f>IFERROR(_xlfn.PERCENTRANK.INC(Table21112[True Rank],_xlfn.XLOOKUP(Table1624[[#This Row],[Name]],Table21112[Name],Table21112[True Rank],"DNP",0,1)),"DNP")</f>
        <v>DNP</v>
      </c>
      <c r="J195" s="26" t="str">
        <f>IFERROR(_xlfn.PERCENTRANK.INC(Table21112164[True Rank],_xlfn.XLOOKUP(Table1624[[#This Row],[Name]],Table21112164[Name],Table21112164[True Rank],"DNP",0,1)),"DNP")</f>
        <v>DNP</v>
      </c>
      <c r="K195" s="26" t="str">
        <f>IFERROR(_xlfn.PERCENTRANK.INC(Table2111216420[True Rank],_xlfn.XLOOKUP(Table1624[[#This Row],[Name]],Table2111216420[Name],Table2111216420[True Rank],"DNP",0,1)),"DNP")</f>
        <v>DNP</v>
      </c>
      <c r="L195" s="26" t="str">
        <f>IFERROR(_xlfn.PERCENTRANK.INC(Table211121642021[True Rank],_xlfn.XLOOKUP(Table1624[[#This Row],[Name]],Table211121642021[Name],Table211121642021[True Rank],"DNP",0,1)),"DNP")</f>
        <v>DNP</v>
      </c>
      <c r="M195" s="26" t="str">
        <f>IFERROR(_xlfn.PERCENTRANK.INC(Table21112164202122[True Rank],_xlfn.XLOOKUP(Table1624[[#This Row],[Name]],Table21112164202122[Name],Table21112164202122[True Rank],"DNP",0,1)),"DNP")</f>
        <v>DNP</v>
      </c>
      <c r="N195" s="26">
        <f>IFERROR(_xlfn.PERCENTRANK.INC(Table2111216420212223[True Rank],_xlfn.XLOOKUP(Table1624[[#This Row],[Name]],Table2111216420212223[Name],Table2111216420212223[True Rank],"DNP",0,1)),"DNP")</f>
        <v>0.70299999999999996</v>
      </c>
      <c r="O195" s="26" t="str">
        <f>IFERROR(_xlfn.PERCENTRANK.INC(Table211121642021222325[True Rank],_xlfn.XLOOKUP(Table1624[[#This Row],[Name]],Table211121642021222325[Name],Table211121642021222325[True Rank],"DNP",0,1)),"DNP")</f>
        <v>DNP</v>
      </c>
      <c r="P195" s="26" t="str">
        <f>IFERROR(_xlfn.PERCENTRANK.INC(Table21112164202122232534[True Rank],_xlfn.XLOOKUP(Table1624[[#This Row],[Name]],Table21112164202122232534[Name],Table21112164202122232534[True Rank],"DNP",0,1)),"DNP")</f>
        <v>DNP</v>
      </c>
      <c r="Q1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 spans="2:33">
      <c r="B196" t="str">
        <f>IFERROR(Table5[[#This Row],[Full name]],"")</f>
        <v>Jason Kang</v>
      </c>
      <c r="C196" s="108">
        <f>IFERROR(AVERAGE(Table1624[[#This Row],[September 30, 2025]:[Column18]]),"N/A")</f>
        <v>0.78800000000000003</v>
      </c>
      <c r="D196" s="26">
        <f>IFERROR(_xlfn.PERCENTRANK.INC(Table4[True Rank],_xlfn.XLOOKUP(Table1624[[#This Row],[Name]],Table4[Name],Table4[True Rank],"DNP",0,1)),"DNP")</f>
        <v>0.78800000000000003</v>
      </c>
      <c r="E196" s="26" t="str">
        <f>IFERROR(_xlfn.PERCENTRANK.INC(Table9[True Rank],_xlfn.XLOOKUP(Table1624[[#This Row],[Name]],Table9[Name],Table9[True Rank],"DNP",0,1)),"DNP")</f>
        <v>DNP</v>
      </c>
      <c r="F196" s="26" t="str">
        <f>IFERROR(_xlfn.PERCENTRANK.INC(Table18[True Rank],_xlfn.XLOOKUP(Table1624[[#This Row],[Name]],Table18[Name],Table18[True Rank],"DNP",0,1)),"DNP")</f>
        <v>DNP</v>
      </c>
      <c r="G196" s="26" t="str">
        <f>IFERROR(_xlfn.PERCENTRANK.INC(Table2[True Rank],_xlfn.XLOOKUP(Table1624[[#This Row],[Name]],Table2[Name],Table2[True Rank],"DNP",0,1)),"DNP")</f>
        <v>DNP</v>
      </c>
      <c r="H196" s="26" t="str">
        <f>IFERROR(_xlfn.PERCENTRANK.INC(Table211[True Rank],_xlfn.XLOOKUP(Table1624[[#This Row],[Name]],Table211[Name],Table211[True Rank],"DNP",0,1)),"DNP")</f>
        <v>DNP</v>
      </c>
      <c r="I196" s="26" t="str">
        <f>IFERROR(_xlfn.PERCENTRANK.INC(Table21112[True Rank],_xlfn.XLOOKUP(Table1624[[#This Row],[Name]],Table21112[Name],Table21112[True Rank],"DNP",0,1)),"DNP")</f>
        <v>DNP</v>
      </c>
      <c r="J196" s="26" t="str">
        <f>IFERROR(_xlfn.PERCENTRANK.INC(Table21112164[True Rank],_xlfn.XLOOKUP(Table1624[[#This Row],[Name]],Table21112164[Name],Table21112164[True Rank],"DNP",0,1)),"DNP")</f>
        <v>DNP</v>
      </c>
      <c r="K196" s="26" t="str">
        <f>IFERROR(_xlfn.PERCENTRANK.INC(Table2111216420[True Rank],_xlfn.XLOOKUP(Table1624[[#This Row],[Name]],Table2111216420[Name],Table2111216420[True Rank],"DNP",0,1)),"DNP")</f>
        <v>DNP</v>
      </c>
      <c r="L196" s="26" t="str">
        <f>IFERROR(_xlfn.PERCENTRANK.INC(Table211121642021[True Rank],_xlfn.XLOOKUP(Table1624[[#This Row],[Name]],Table211121642021[Name],Table211121642021[True Rank],"DNP",0,1)),"DNP")</f>
        <v>DNP</v>
      </c>
      <c r="M196" s="26" t="str">
        <f>IFERROR(_xlfn.PERCENTRANK.INC(Table21112164202122[True Rank],_xlfn.XLOOKUP(Table1624[[#This Row],[Name]],Table21112164202122[Name],Table21112164202122[True Rank],"DNP",0,1)),"DNP")</f>
        <v>DNP</v>
      </c>
      <c r="N196" s="26" t="str">
        <f>IFERROR(_xlfn.PERCENTRANK.INC(Table2111216420212223[True Rank],_xlfn.XLOOKUP(Table1624[[#This Row],[Name]],Table2111216420212223[Name],Table2111216420212223[True Rank],"DNP",0,1)),"DNP")</f>
        <v>DNP</v>
      </c>
      <c r="O196" s="26" t="str">
        <f>IFERROR(_xlfn.PERCENTRANK.INC(Table211121642021222325[True Rank],_xlfn.XLOOKUP(Table1624[[#This Row],[Name]],Table211121642021222325[Name],Table211121642021222325[True Rank],"DNP",0,1)),"DNP")</f>
        <v>DNP</v>
      </c>
      <c r="P196" s="26" t="str">
        <f>IFERROR(_xlfn.PERCENTRANK.INC(Table21112164202122232534[True Rank],_xlfn.XLOOKUP(Table1624[[#This Row],[Name]],Table21112164202122232534[Name],Table21112164202122232534[True Rank],"DNP",0,1)),"DNP")</f>
        <v>DNP</v>
      </c>
      <c r="Q1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 spans="2:33">
      <c r="B197" t="str">
        <f>IFERROR(Table5[[#This Row],[Full name]],"")</f>
        <v>Jiawei Bai</v>
      </c>
      <c r="C197" s="108">
        <f>IFERROR(AVERAGE(Table1624[[#This Row],[September 30, 2025]:[Column18]]),"N/A")</f>
        <v>0.51340000000000008</v>
      </c>
      <c r="D197" s="26">
        <f>IFERROR(_xlfn.PERCENTRANK.INC(Table4[True Rank],_xlfn.XLOOKUP(Table1624[[#This Row],[Name]],Table4[Name],Table4[True Rank],"DNP",0,1)),"DNP")</f>
        <v>0.495</v>
      </c>
      <c r="E197" s="26">
        <f>IFERROR(_xlfn.PERCENTRANK.INC(Table9[True Rank],_xlfn.XLOOKUP(Table1624[[#This Row],[Name]],Table9[Name],Table9[True Rank],"DNP",0,1)),"DNP")</f>
        <v>0.86199999999999999</v>
      </c>
      <c r="F197" s="26">
        <f>IFERROR(_xlfn.PERCENTRANK.INC(Table18[True Rank],_xlfn.XLOOKUP(Table1624[[#This Row],[Name]],Table18[Name],Table18[True Rank],"DNP",0,1)),"DNP")</f>
        <v>0.14099999999999999</v>
      </c>
      <c r="G197" s="26">
        <f>IFERROR(_xlfn.PERCENTRANK.INC(Table2[True Rank],_xlfn.XLOOKUP(Table1624[[#This Row],[Name]],Table2[Name],Table2[True Rank],"DNP",0,1)),"DNP")</f>
        <v>0.17799999999999999</v>
      </c>
      <c r="H197" s="26">
        <f>IFERROR(_xlfn.PERCENTRANK.INC(Table211[True Rank],_xlfn.XLOOKUP(Table1624[[#This Row],[Name]],Table211[Name],Table211[True Rank],"DNP",0,1)),"DNP")</f>
        <v>0.63300000000000001</v>
      </c>
      <c r="I197" s="26">
        <f>IFERROR(_xlfn.PERCENTRANK.INC(Table21112[True Rank],_xlfn.XLOOKUP(Table1624[[#This Row],[Name]],Table21112[Name],Table21112[True Rank],"DNP",0,1)),"DNP")</f>
        <v>0.92300000000000004</v>
      </c>
      <c r="J197" s="26" t="str">
        <f>IFERROR(_xlfn.PERCENTRANK.INC(Table21112164[True Rank],_xlfn.XLOOKUP(Table1624[[#This Row],[Name]],Table21112164[Name],Table21112164[True Rank],"DNP",0,1)),"DNP")</f>
        <v>DNP</v>
      </c>
      <c r="K197" s="26">
        <f>IFERROR(_xlfn.PERCENTRANK.INC(Table2111216420[True Rank],_xlfn.XLOOKUP(Table1624[[#This Row],[Name]],Table2111216420[Name],Table2111216420[True Rank],"DNP",0,1)),"DNP")</f>
        <v>0.223</v>
      </c>
      <c r="L197" s="26">
        <f>IFERROR(_xlfn.PERCENTRANK.INC(Table211121642021[True Rank],_xlfn.XLOOKUP(Table1624[[#This Row],[Name]],Table211121642021[Name],Table211121642021[True Rank],"DNP",0,1)),"DNP")</f>
        <v>0.77400000000000002</v>
      </c>
      <c r="M197" s="26">
        <f>IFERROR(_xlfn.PERCENTRANK.INC(Table21112164202122[True Rank],_xlfn.XLOOKUP(Table1624[[#This Row],[Name]],Table21112164202122[Name],Table21112164202122[True Rank],"DNP",0,1)),"DNP")</f>
        <v>0.13600000000000001</v>
      </c>
      <c r="N197" s="26">
        <f>IFERROR(_xlfn.PERCENTRANK.INC(Table2111216420212223[True Rank],_xlfn.XLOOKUP(Table1624[[#This Row],[Name]],Table2111216420212223[Name],Table2111216420212223[True Rank],"DNP",0,1)),"DNP")</f>
        <v>0.76900000000000002</v>
      </c>
      <c r="O197" s="26" t="str">
        <f>IFERROR(_xlfn.PERCENTRANK.INC(Table211121642021222325[True Rank],_xlfn.XLOOKUP(Table1624[[#This Row],[Name]],Table211121642021222325[Name],Table211121642021222325[True Rank],"DNP",0,1)),"DNP")</f>
        <v>DNP</v>
      </c>
      <c r="P197" s="26" t="str">
        <f>IFERROR(_xlfn.PERCENTRANK.INC(Table21112164202122232534[True Rank],_xlfn.XLOOKUP(Table1624[[#This Row],[Name]],Table21112164202122232534[Name],Table21112164202122232534[True Rank],"DNP",0,1)),"DNP")</f>
        <v>DNP</v>
      </c>
      <c r="Q1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 spans="2:33">
      <c r="B198" t="str">
        <f>IFERROR(Table5[[#This Row],[Full name]],"")</f>
        <v>Jincheng Jiang</v>
      </c>
      <c r="C198" s="108">
        <f>IFERROR(AVERAGE(Table1624[[#This Row],[September 30, 2025]:[Column18]]),"N/A")</f>
        <v>0.62</v>
      </c>
      <c r="D198" s="26" t="str">
        <f>IFERROR(_xlfn.PERCENTRANK.INC(Table4[True Rank],_xlfn.XLOOKUP(Table1624[[#This Row],[Name]],Table4[Name],Table4[True Rank],"DNP",0,1)),"DNP")</f>
        <v>DNP</v>
      </c>
      <c r="E198" s="26" t="str">
        <f>IFERROR(_xlfn.PERCENTRANK.INC(Table9[True Rank],_xlfn.XLOOKUP(Table1624[[#This Row],[Name]],Table9[Name],Table9[True Rank],"DNP",0,1)),"DNP")</f>
        <v>DNP</v>
      </c>
      <c r="F198" s="26" t="str">
        <f>IFERROR(_xlfn.PERCENTRANK.INC(Table18[True Rank],_xlfn.XLOOKUP(Table1624[[#This Row],[Name]],Table18[Name],Table18[True Rank],"DNP",0,1)),"DNP")</f>
        <v>DNP</v>
      </c>
      <c r="G198" s="26" t="str">
        <f>IFERROR(_xlfn.PERCENTRANK.INC(Table2[True Rank],_xlfn.XLOOKUP(Table1624[[#This Row],[Name]],Table2[Name],Table2[True Rank],"DNP",0,1)),"DNP")</f>
        <v>DNP</v>
      </c>
      <c r="H198" s="26" t="str">
        <f>IFERROR(_xlfn.PERCENTRANK.INC(Table211[True Rank],_xlfn.XLOOKUP(Table1624[[#This Row],[Name]],Table211[Name],Table211[True Rank],"DNP",0,1)),"DNP")</f>
        <v>DNP</v>
      </c>
      <c r="I198" s="26" t="str">
        <f>IFERROR(_xlfn.PERCENTRANK.INC(Table21112[True Rank],_xlfn.XLOOKUP(Table1624[[#This Row],[Name]],Table21112[Name],Table21112[True Rank],"DNP",0,1)),"DNP")</f>
        <v>DNP</v>
      </c>
      <c r="J198" s="26" t="str">
        <f>IFERROR(_xlfn.PERCENTRANK.INC(Table21112164[True Rank],_xlfn.XLOOKUP(Table1624[[#This Row],[Name]],Table21112164[Name],Table21112164[True Rank],"DNP",0,1)),"DNP")</f>
        <v>DNP</v>
      </c>
      <c r="K198" s="26" t="str">
        <f>IFERROR(_xlfn.PERCENTRANK.INC(Table2111216420[True Rank],_xlfn.XLOOKUP(Table1624[[#This Row],[Name]],Table2111216420[Name],Table2111216420[True Rank],"DNP",0,1)),"DNP")</f>
        <v>DNP</v>
      </c>
      <c r="L198" s="26" t="str">
        <f>IFERROR(_xlfn.PERCENTRANK.INC(Table211121642021[True Rank],_xlfn.XLOOKUP(Table1624[[#This Row],[Name]],Table211121642021[Name],Table211121642021[True Rank],"DNP",0,1)),"DNP")</f>
        <v>DNP</v>
      </c>
      <c r="M198" s="26" t="str">
        <f>IFERROR(_xlfn.PERCENTRANK.INC(Table21112164202122[True Rank],_xlfn.XLOOKUP(Table1624[[#This Row],[Name]],Table21112164202122[Name],Table21112164202122[True Rank],"DNP",0,1)),"DNP")</f>
        <v>DNP</v>
      </c>
      <c r="N198" s="26" t="str">
        <f>IFERROR(_xlfn.PERCENTRANK.INC(Table2111216420212223[True Rank],_xlfn.XLOOKUP(Table1624[[#This Row],[Name]],Table2111216420212223[Name],Table2111216420212223[True Rank],"DNP",0,1)),"DNP")</f>
        <v>DNP</v>
      </c>
      <c r="O198" s="26" t="str">
        <f>IFERROR(_xlfn.PERCENTRANK.INC(Table211121642021222325[True Rank],_xlfn.XLOOKUP(Table1624[[#This Row],[Name]],Table211121642021222325[Name],Table211121642021222325[True Rank],"DNP",0,1)),"DNP")</f>
        <v>DNP</v>
      </c>
      <c r="P198" s="26" t="str">
        <f>IFERROR(_xlfn.PERCENTRANK.INC(Table21112164202122232534[True Rank],_xlfn.XLOOKUP(Table1624[[#This Row],[Name]],Table21112164202122232534[Name],Table21112164202122232534[True Rank],"DNP",0,1)),"DNP")</f>
        <v>DNP</v>
      </c>
      <c r="Q19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8" s="26">
        <f>IFERROR(_xlfn.PERCENTRANK.INC(Table21112164202122232534353637[True Rank],_xlfn.XLOOKUP(Table1624[[#This Row],[Name]],Table21112164202122232534353637[Name],Table21112164202122232534353637[True Rank],"DNP",0,1)),"DNP")</f>
        <v>0.62</v>
      </c>
      <c r="T1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 spans="2:33">
      <c r="B199" t="str">
        <f>IFERROR(Table5[[#This Row],[Full name]],"")</f>
        <v>Jinglang Sun</v>
      </c>
      <c r="C199" s="108">
        <f>IFERROR(AVERAGE(Table1624[[#This Row],[September 30, 2025]:[Column18]]),"N/A")</f>
        <v>0.36600000000000005</v>
      </c>
      <c r="D199" s="26" t="str">
        <f>IFERROR(_xlfn.PERCENTRANK.INC(Table4[True Rank],_xlfn.XLOOKUP(Table1624[[#This Row],[Name]],Table4[Name],Table4[True Rank],"DNP",0,1)),"DNP")</f>
        <v>DNP</v>
      </c>
      <c r="E199" s="26" t="str">
        <f>IFERROR(_xlfn.PERCENTRANK.INC(Table9[True Rank],_xlfn.XLOOKUP(Table1624[[#This Row],[Name]],Table9[Name],Table9[True Rank],"DNP",0,1)),"DNP")</f>
        <v>DNP</v>
      </c>
      <c r="F199" s="26">
        <f>IFERROR(_xlfn.PERCENTRANK.INC(Table18[True Rank],_xlfn.XLOOKUP(Table1624[[#This Row],[Name]],Table18[Name],Table18[True Rank],"DNP",0,1)),"DNP")</f>
        <v>0.111</v>
      </c>
      <c r="G199" s="26" t="str">
        <f>IFERROR(_xlfn.PERCENTRANK.INC(Table2[True Rank],_xlfn.XLOOKUP(Table1624[[#This Row],[Name]],Table2[Name],Table2[True Rank],"DNP",0,1)),"DNP")</f>
        <v>DNP</v>
      </c>
      <c r="H199" s="26" t="str">
        <f>IFERROR(_xlfn.PERCENTRANK.INC(Table211[True Rank],_xlfn.XLOOKUP(Table1624[[#This Row],[Name]],Table211[Name],Table211[True Rank],"DNP",0,1)),"DNP")</f>
        <v>DNP</v>
      </c>
      <c r="I199" s="26">
        <f>IFERROR(_xlfn.PERCENTRANK.INC(Table21112[True Rank],_xlfn.XLOOKUP(Table1624[[#This Row],[Name]],Table21112[Name],Table21112[True Rank],"DNP",0,1)),"DNP")</f>
        <v>0.92300000000000004</v>
      </c>
      <c r="J199" s="26" t="str">
        <f>IFERROR(_xlfn.PERCENTRANK.INC(Table21112164[True Rank],_xlfn.XLOOKUP(Table1624[[#This Row],[Name]],Table21112164[Name],Table21112164[True Rank],"DNP",0,1)),"DNP")</f>
        <v>DNP</v>
      </c>
      <c r="K199" s="26" t="str">
        <f>IFERROR(_xlfn.PERCENTRANK.INC(Table2111216420[True Rank],_xlfn.XLOOKUP(Table1624[[#This Row],[Name]],Table2111216420[Name],Table2111216420[True Rank],"DNP",0,1)),"DNP")</f>
        <v>DNP</v>
      </c>
      <c r="L199" s="26">
        <f>IFERROR(_xlfn.PERCENTRANK.INC(Table211121642021[True Rank],_xlfn.XLOOKUP(Table1624[[#This Row],[Name]],Table211121642021[Name],Table211121642021[True Rank],"DNP",0,1)),"DNP")</f>
        <v>6.4000000000000001E-2</v>
      </c>
      <c r="M199" s="26" t="str">
        <f>IFERROR(_xlfn.PERCENTRANK.INC(Table21112164202122[True Rank],_xlfn.XLOOKUP(Table1624[[#This Row],[Name]],Table21112164202122[Name],Table21112164202122[True Rank],"DNP",0,1)),"DNP")</f>
        <v>DNP</v>
      </c>
      <c r="N199" s="26" t="str">
        <f>IFERROR(_xlfn.PERCENTRANK.INC(Table2111216420212223[True Rank],_xlfn.XLOOKUP(Table1624[[#This Row],[Name]],Table2111216420212223[Name],Table2111216420212223[True Rank],"DNP",0,1)),"DNP")</f>
        <v>DNP</v>
      </c>
      <c r="O199" s="26" t="str">
        <f>IFERROR(_xlfn.PERCENTRANK.INC(Table211121642021222325[True Rank],_xlfn.XLOOKUP(Table1624[[#This Row],[Name]],Table211121642021222325[Name],Table211121642021222325[True Rank],"DNP",0,1)),"DNP")</f>
        <v>DNP</v>
      </c>
      <c r="P199" s="26" t="str">
        <f>IFERROR(_xlfn.PERCENTRANK.INC(Table21112164202122232534[True Rank],_xlfn.XLOOKUP(Table1624[[#This Row],[Name]],Table21112164202122232534[Name],Table21112164202122232534[True Rank],"DNP",0,1)),"DNP")</f>
        <v>DNP</v>
      </c>
      <c r="Q19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19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19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1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 spans="2:33">
      <c r="B200" t="str">
        <f>IFERROR(Table5[[#This Row],[Full name]],"")</f>
        <v>Johnny Yang</v>
      </c>
      <c r="C200" s="108">
        <f>IFERROR(AVERAGE(Table1624[[#This Row],[September 30, 2025]:[Column18]]),"N/A")</f>
        <v>0.47000000000000003</v>
      </c>
      <c r="D200" s="26" t="str">
        <f>IFERROR(_xlfn.PERCENTRANK.INC(Table4[True Rank],_xlfn.XLOOKUP(Table1624[[#This Row],[Name]],Table4[Name],Table4[True Rank],"DNP",0,1)),"DNP")</f>
        <v>DNP</v>
      </c>
      <c r="E200" s="26">
        <f>IFERROR(_xlfn.PERCENTRANK.INC(Table9[True Rank],_xlfn.XLOOKUP(Table1624[[#This Row],[Name]],Table9[Name],Table9[True Rank],"DNP",0,1)),"DNP")</f>
        <v>0.67800000000000005</v>
      </c>
      <c r="F200" s="26">
        <f>IFERROR(_xlfn.PERCENTRANK.INC(Table18[True Rank],_xlfn.XLOOKUP(Table1624[[#This Row],[Name]],Table18[Name],Table18[True Rank],"DNP",0,1)),"DNP")</f>
        <v>0.26200000000000001</v>
      </c>
      <c r="G200" s="26" t="str">
        <f>IFERROR(_xlfn.PERCENTRANK.INC(Table2[True Rank],_xlfn.XLOOKUP(Table1624[[#This Row],[Name]],Table2[Name],Table2[True Rank],"DNP",0,1)),"DNP")</f>
        <v>DNP</v>
      </c>
      <c r="H200" s="26" t="str">
        <f>IFERROR(_xlfn.PERCENTRANK.INC(Table211[True Rank],_xlfn.XLOOKUP(Table1624[[#This Row],[Name]],Table211[Name],Table211[True Rank],"DNP",0,1)),"DNP")</f>
        <v>DNP</v>
      </c>
      <c r="I200" s="26" t="str">
        <f>IFERROR(_xlfn.PERCENTRANK.INC(Table21112[True Rank],_xlfn.XLOOKUP(Table1624[[#This Row],[Name]],Table21112[Name],Table21112[True Rank],"DNP",0,1)),"DNP")</f>
        <v>DNP</v>
      </c>
      <c r="J200" s="26" t="str">
        <f>IFERROR(_xlfn.PERCENTRANK.INC(Table21112164[True Rank],_xlfn.XLOOKUP(Table1624[[#This Row],[Name]],Table21112164[Name],Table21112164[True Rank],"DNP",0,1)),"DNP")</f>
        <v>DNP</v>
      </c>
      <c r="K200" s="26" t="str">
        <f>IFERROR(_xlfn.PERCENTRANK.INC(Table2111216420[True Rank],_xlfn.XLOOKUP(Table1624[[#This Row],[Name]],Table2111216420[Name],Table2111216420[True Rank],"DNP",0,1)),"DNP")</f>
        <v>DNP</v>
      </c>
      <c r="L200" s="26" t="str">
        <f>IFERROR(_xlfn.PERCENTRANK.INC(Table211121642021[True Rank],_xlfn.XLOOKUP(Table1624[[#This Row],[Name]],Table211121642021[Name],Table211121642021[True Rank],"DNP",0,1)),"DNP")</f>
        <v>DNP</v>
      </c>
      <c r="M200" s="26" t="str">
        <f>IFERROR(_xlfn.PERCENTRANK.INC(Table21112164202122[True Rank],_xlfn.XLOOKUP(Table1624[[#This Row],[Name]],Table21112164202122[Name],Table21112164202122[True Rank],"DNP",0,1)),"DNP")</f>
        <v>DNP</v>
      </c>
      <c r="N200" s="26" t="str">
        <f>IFERROR(_xlfn.PERCENTRANK.INC(Table2111216420212223[True Rank],_xlfn.XLOOKUP(Table1624[[#This Row],[Name]],Table2111216420212223[Name],Table2111216420212223[True Rank],"DNP",0,1)),"DNP")</f>
        <v>DNP</v>
      </c>
      <c r="O200" s="26" t="str">
        <f>IFERROR(_xlfn.PERCENTRANK.INC(Table211121642021222325[True Rank],_xlfn.XLOOKUP(Table1624[[#This Row],[Name]],Table211121642021222325[Name],Table211121642021222325[True Rank],"DNP",0,1)),"DNP")</f>
        <v>DNP</v>
      </c>
      <c r="P200" s="26" t="str">
        <f>IFERROR(_xlfn.PERCENTRANK.INC(Table21112164202122232534[True Rank],_xlfn.XLOOKUP(Table1624[[#This Row],[Name]],Table21112164202122232534[Name],Table21112164202122232534[True Rank],"DNP",0,1)),"DNP")</f>
        <v>DNP</v>
      </c>
      <c r="Q20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 spans="2:33">
      <c r="B201" t="str">
        <f>IFERROR(Table5[[#This Row],[Full name]],"")</f>
        <v>Jonas Neumann</v>
      </c>
      <c r="C201" s="108">
        <f>IFERROR(AVERAGE(Table1624[[#This Row],[September 30, 2025]:[Column18]]),"N/A")</f>
        <v>0.30099999999999999</v>
      </c>
      <c r="D201" s="26" t="str">
        <f>IFERROR(_xlfn.PERCENTRANK.INC(Table4[True Rank],_xlfn.XLOOKUP(Table1624[[#This Row],[Name]],Table4[Name],Table4[True Rank],"DNP",0,1)),"DNP")</f>
        <v>DNP</v>
      </c>
      <c r="E201" s="26" t="str">
        <f>IFERROR(_xlfn.PERCENTRANK.INC(Table9[True Rank],_xlfn.XLOOKUP(Table1624[[#This Row],[Name]],Table9[Name],Table9[True Rank],"DNP",0,1)),"DNP")</f>
        <v>DNP</v>
      </c>
      <c r="F201" s="26" t="str">
        <f>IFERROR(_xlfn.PERCENTRANK.INC(Table18[True Rank],_xlfn.XLOOKUP(Table1624[[#This Row],[Name]],Table18[Name],Table18[True Rank],"DNP",0,1)),"DNP")</f>
        <v>DNP</v>
      </c>
      <c r="G201" s="26" t="str">
        <f>IFERROR(_xlfn.PERCENTRANK.INC(Table2[True Rank],_xlfn.XLOOKUP(Table1624[[#This Row],[Name]],Table2[Name],Table2[True Rank],"DNP",0,1)),"DNP")</f>
        <v>DNP</v>
      </c>
      <c r="H201" s="26" t="str">
        <f>IFERROR(_xlfn.PERCENTRANK.INC(Table211[True Rank],_xlfn.XLOOKUP(Table1624[[#This Row],[Name]],Table211[Name],Table211[True Rank],"DNP",0,1)),"DNP")</f>
        <v>DNP</v>
      </c>
      <c r="I201" s="26" t="str">
        <f>IFERROR(_xlfn.PERCENTRANK.INC(Table21112[True Rank],_xlfn.XLOOKUP(Table1624[[#This Row],[Name]],Table21112[Name],Table21112[True Rank],"DNP",0,1)),"DNP")</f>
        <v>DNP</v>
      </c>
      <c r="J201" s="26" t="str">
        <f>IFERROR(_xlfn.PERCENTRANK.INC(Table21112164[True Rank],_xlfn.XLOOKUP(Table1624[[#This Row],[Name]],Table21112164[Name],Table21112164[True Rank],"DNP",0,1)),"DNP")</f>
        <v>DNP</v>
      </c>
      <c r="K201" s="26" t="str">
        <f>IFERROR(_xlfn.PERCENTRANK.INC(Table2111216420[True Rank],_xlfn.XLOOKUP(Table1624[[#This Row],[Name]],Table2111216420[Name],Table2111216420[True Rank],"DNP",0,1)),"DNP")</f>
        <v>DNP</v>
      </c>
      <c r="L201" s="26">
        <f>IFERROR(_xlfn.PERCENTRANK.INC(Table211121642021[True Rank],_xlfn.XLOOKUP(Table1624[[#This Row],[Name]],Table211121642021[Name],Table211121642021[True Rank],"DNP",0,1)),"DNP")</f>
        <v>0.30099999999999999</v>
      </c>
      <c r="M201" s="26" t="str">
        <f>IFERROR(_xlfn.PERCENTRANK.INC(Table21112164202122[True Rank],_xlfn.XLOOKUP(Table1624[[#This Row],[Name]],Table21112164202122[Name],Table21112164202122[True Rank],"DNP",0,1)),"DNP")</f>
        <v>DNP</v>
      </c>
      <c r="N201" s="26" t="str">
        <f>IFERROR(_xlfn.PERCENTRANK.INC(Table2111216420212223[True Rank],_xlfn.XLOOKUP(Table1624[[#This Row],[Name]],Table2111216420212223[Name],Table2111216420212223[True Rank],"DNP",0,1)),"DNP")</f>
        <v>DNP</v>
      </c>
      <c r="O201" s="26" t="str">
        <f>IFERROR(_xlfn.PERCENTRANK.INC(Table211121642021222325[True Rank],_xlfn.XLOOKUP(Table1624[[#This Row],[Name]],Table211121642021222325[Name],Table211121642021222325[True Rank],"DNP",0,1)),"DNP")</f>
        <v>DNP</v>
      </c>
      <c r="P201" s="26" t="str">
        <f>IFERROR(_xlfn.PERCENTRANK.INC(Table21112164202122232534[True Rank],_xlfn.XLOOKUP(Table1624[[#This Row],[Name]],Table21112164202122232534[Name],Table21112164202122232534[True Rank],"DNP",0,1)),"DNP")</f>
        <v>DNP</v>
      </c>
      <c r="Q20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 spans="2:33">
      <c r="B202" t="str">
        <f>IFERROR(Table5[[#This Row],[Full name]],"")</f>
        <v>Jordan Nguyen</v>
      </c>
      <c r="C202" s="108">
        <f>IFERROR(AVERAGE(Table1624[[#This Row],[September 30, 2025]:[Column18]]),"N/A")</f>
        <v>0.95099999999999996</v>
      </c>
      <c r="D202" s="26" t="str">
        <f>IFERROR(_xlfn.PERCENTRANK.INC(Table4[True Rank],_xlfn.XLOOKUP(Table1624[[#This Row],[Name]],Table4[Name],Table4[True Rank],"DNP",0,1)),"DNP")</f>
        <v>DNP</v>
      </c>
      <c r="E202" s="26" t="str">
        <f>IFERROR(_xlfn.PERCENTRANK.INC(Table9[True Rank],_xlfn.XLOOKUP(Table1624[[#This Row],[Name]],Table9[Name],Table9[True Rank],"DNP",0,1)),"DNP")</f>
        <v>DNP</v>
      </c>
      <c r="F202" s="26" t="str">
        <f>IFERROR(_xlfn.PERCENTRANK.INC(Table18[True Rank],_xlfn.XLOOKUP(Table1624[[#This Row],[Name]],Table18[Name],Table18[True Rank],"DNP",0,1)),"DNP")</f>
        <v>DNP</v>
      </c>
      <c r="G202" s="26" t="str">
        <f>IFERROR(_xlfn.PERCENTRANK.INC(Table2[True Rank],_xlfn.XLOOKUP(Table1624[[#This Row],[Name]],Table2[Name],Table2[True Rank],"DNP",0,1)),"DNP")</f>
        <v>DNP</v>
      </c>
      <c r="H202" s="26" t="str">
        <f>IFERROR(_xlfn.PERCENTRANK.INC(Table211[True Rank],_xlfn.XLOOKUP(Table1624[[#This Row],[Name]],Table211[Name],Table211[True Rank],"DNP",0,1)),"DNP")</f>
        <v>DNP</v>
      </c>
      <c r="I202" s="26" t="str">
        <f>IFERROR(_xlfn.PERCENTRANK.INC(Table21112[True Rank],_xlfn.XLOOKUP(Table1624[[#This Row],[Name]],Table21112[Name],Table21112[True Rank],"DNP",0,1)),"DNP")</f>
        <v>DNP</v>
      </c>
      <c r="J202" s="26" t="str">
        <f>IFERROR(_xlfn.PERCENTRANK.INC(Table21112164[True Rank],_xlfn.XLOOKUP(Table1624[[#This Row],[Name]],Table21112164[Name],Table21112164[True Rank],"DNP",0,1)),"DNP")</f>
        <v>DNP</v>
      </c>
      <c r="K202" s="26" t="str">
        <f>IFERROR(_xlfn.PERCENTRANK.INC(Table2111216420[True Rank],_xlfn.XLOOKUP(Table1624[[#This Row],[Name]],Table2111216420[Name],Table2111216420[True Rank],"DNP",0,1)),"DNP")</f>
        <v>DNP</v>
      </c>
      <c r="L202" s="26">
        <f>IFERROR(_xlfn.PERCENTRANK.INC(Table211121642021[True Rank],_xlfn.XLOOKUP(Table1624[[#This Row],[Name]],Table211121642021[Name],Table211121642021[True Rank],"DNP",0,1)),"DNP")</f>
        <v>0.94599999999999995</v>
      </c>
      <c r="M202" s="26" t="str">
        <f>IFERROR(_xlfn.PERCENTRANK.INC(Table21112164202122[True Rank],_xlfn.XLOOKUP(Table1624[[#This Row],[Name]],Table21112164202122[Name],Table21112164202122[True Rank],"DNP",0,1)),"DNP")</f>
        <v>DNP</v>
      </c>
      <c r="N202" s="26">
        <f>IFERROR(_xlfn.PERCENTRANK.INC(Table2111216420212223[True Rank],_xlfn.XLOOKUP(Table1624[[#This Row],[Name]],Table2111216420212223[Name],Table2111216420212223[True Rank],"DNP",0,1)),"DNP")</f>
        <v>0.95599999999999996</v>
      </c>
      <c r="O202" s="26" t="str">
        <f>IFERROR(_xlfn.PERCENTRANK.INC(Table211121642021222325[True Rank],_xlfn.XLOOKUP(Table1624[[#This Row],[Name]],Table211121642021222325[Name],Table211121642021222325[True Rank],"DNP",0,1)),"DNP")</f>
        <v>DNP</v>
      </c>
      <c r="P202" s="26" t="str">
        <f>IFERROR(_xlfn.PERCENTRANK.INC(Table21112164202122232534[True Rank],_xlfn.XLOOKUP(Table1624[[#This Row],[Name]],Table21112164202122232534[Name],Table21112164202122232534[True Rank],"DNP",0,1)),"DNP")</f>
        <v>DNP</v>
      </c>
      <c r="Q2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 spans="2:33">
      <c r="B203" t="str">
        <f>IFERROR(Table5[[#This Row],[Full name]],"")</f>
        <v>Joseph Liao</v>
      </c>
      <c r="C203" s="108">
        <f>IFERROR(AVERAGE(Table1624[[#This Row],[September 30, 2025]:[Column18]]),"N/A")</f>
        <v>0.92300000000000004</v>
      </c>
      <c r="D203" s="26" t="str">
        <f>IFERROR(_xlfn.PERCENTRANK.INC(Table4[True Rank],_xlfn.XLOOKUP(Table1624[[#This Row],[Name]],Table4[Name],Table4[True Rank],"DNP",0,1)),"DNP")</f>
        <v>DNP</v>
      </c>
      <c r="E203" s="26" t="str">
        <f>IFERROR(_xlfn.PERCENTRANK.INC(Table9[True Rank],_xlfn.XLOOKUP(Table1624[[#This Row],[Name]],Table9[Name],Table9[True Rank],"DNP",0,1)),"DNP")</f>
        <v>DNP</v>
      </c>
      <c r="F203" s="26" t="str">
        <f>IFERROR(_xlfn.PERCENTRANK.INC(Table18[True Rank],_xlfn.XLOOKUP(Table1624[[#This Row],[Name]],Table18[Name],Table18[True Rank],"DNP",0,1)),"DNP")</f>
        <v>DNP</v>
      </c>
      <c r="G203" s="26" t="str">
        <f>IFERROR(_xlfn.PERCENTRANK.INC(Table2[True Rank],_xlfn.XLOOKUP(Table1624[[#This Row],[Name]],Table2[Name],Table2[True Rank],"DNP",0,1)),"DNP")</f>
        <v>DNP</v>
      </c>
      <c r="H203" s="26" t="str">
        <f>IFERROR(_xlfn.PERCENTRANK.INC(Table211[True Rank],_xlfn.XLOOKUP(Table1624[[#This Row],[Name]],Table211[Name],Table211[True Rank],"DNP",0,1)),"DNP")</f>
        <v>DNP</v>
      </c>
      <c r="I203" s="26">
        <f>IFERROR(_xlfn.PERCENTRANK.INC(Table21112[True Rank],_xlfn.XLOOKUP(Table1624[[#This Row],[Name]],Table21112[Name],Table21112[True Rank],"DNP",0,1)),"DNP")</f>
        <v>0.92300000000000004</v>
      </c>
      <c r="J203" s="26" t="str">
        <f>IFERROR(_xlfn.PERCENTRANK.INC(Table21112164[True Rank],_xlfn.XLOOKUP(Table1624[[#This Row],[Name]],Table21112164[Name],Table21112164[True Rank],"DNP",0,1)),"DNP")</f>
        <v>DNP</v>
      </c>
      <c r="K203" s="26" t="str">
        <f>IFERROR(_xlfn.PERCENTRANK.INC(Table2111216420[True Rank],_xlfn.XLOOKUP(Table1624[[#This Row],[Name]],Table2111216420[Name],Table2111216420[True Rank],"DNP",0,1)),"DNP")</f>
        <v>DNP</v>
      </c>
      <c r="L203" s="26" t="str">
        <f>IFERROR(_xlfn.PERCENTRANK.INC(Table211121642021[True Rank],_xlfn.XLOOKUP(Table1624[[#This Row],[Name]],Table211121642021[Name],Table211121642021[True Rank],"DNP",0,1)),"DNP")</f>
        <v>DNP</v>
      </c>
      <c r="M203" s="26" t="str">
        <f>IFERROR(_xlfn.PERCENTRANK.INC(Table21112164202122[True Rank],_xlfn.XLOOKUP(Table1624[[#This Row],[Name]],Table21112164202122[Name],Table21112164202122[True Rank],"DNP",0,1)),"DNP")</f>
        <v>DNP</v>
      </c>
      <c r="N203" s="26" t="str">
        <f>IFERROR(_xlfn.PERCENTRANK.INC(Table2111216420212223[True Rank],_xlfn.XLOOKUP(Table1624[[#This Row],[Name]],Table2111216420212223[Name],Table2111216420212223[True Rank],"DNP",0,1)),"DNP")</f>
        <v>DNP</v>
      </c>
      <c r="O203" s="26" t="str">
        <f>IFERROR(_xlfn.PERCENTRANK.INC(Table211121642021222325[True Rank],_xlfn.XLOOKUP(Table1624[[#This Row],[Name]],Table211121642021222325[Name],Table211121642021222325[True Rank],"DNP",0,1)),"DNP")</f>
        <v>DNP</v>
      </c>
      <c r="P203" s="26" t="str">
        <f>IFERROR(_xlfn.PERCENTRANK.INC(Table21112164202122232534[True Rank],_xlfn.XLOOKUP(Table1624[[#This Row],[Name]],Table21112164202122232534[Name],Table21112164202122232534[True Rank],"DNP",0,1)),"DNP")</f>
        <v>DNP</v>
      </c>
      <c r="Q20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 spans="2:33">
      <c r="B204" t="str">
        <f>IFERROR(Table5[[#This Row],[Full name]],"")</f>
        <v>Josh Sandler</v>
      </c>
      <c r="C204" s="108">
        <f>IFERROR(AVERAGE(Table1624[[#This Row],[September 30, 2025]:[Column18]]),"N/A")</f>
        <v>0.64049999999999996</v>
      </c>
      <c r="D204" s="26">
        <f>IFERROR(_xlfn.PERCENTRANK.INC(Table4[True Rank],_xlfn.XLOOKUP(Table1624[[#This Row],[Name]],Table4[Name],Table4[True Rank],"DNP",0,1)),"DNP")</f>
        <v>0.30199999999999999</v>
      </c>
      <c r="E204" s="26" t="str">
        <f>IFERROR(_xlfn.PERCENTRANK.INC(Table9[True Rank],_xlfn.XLOOKUP(Table1624[[#This Row],[Name]],Table9[Name],Table9[True Rank],"DNP",0,1)),"DNP")</f>
        <v>DNP</v>
      </c>
      <c r="F204" s="26">
        <f>IFERROR(_xlfn.PERCENTRANK.INC(Table18[True Rank],_xlfn.XLOOKUP(Table1624[[#This Row],[Name]],Table18[Name],Table18[True Rank],"DNP",0,1)),"DNP")</f>
        <v>0.97899999999999998</v>
      </c>
      <c r="G204" s="26" t="str">
        <f>IFERROR(_xlfn.PERCENTRANK.INC(Table2[True Rank],_xlfn.XLOOKUP(Table1624[[#This Row],[Name]],Table2[Name],Table2[True Rank],"DNP",0,1)),"DNP")</f>
        <v>DNP</v>
      </c>
      <c r="H204" s="26" t="str">
        <f>IFERROR(_xlfn.PERCENTRANK.INC(Table211[True Rank],_xlfn.XLOOKUP(Table1624[[#This Row],[Name]],Table211[Name],Table211[True Rank],"DNP",0,1)),"DNP")</f>
        <v>DNP</v>
      </c>
      <c r="I204" s="26" t="str">
        <f>IFERROR(_xlfn.PERCENTRANK.INC(Table21112[True Rank],_xlfn.XLOOKUP(Table1624[[#This Row],[Name]],Table21112[Name],Table21112[True Rank],"DNP",0,1)),"DNP")</f>
        <v>DNP</v>
      </c>
      <c r="J204" s="26" t="str">
        <f>IFERROR(_xlfn.PERCENTRANK.INC(Table21112164[True Rank],_xlfn.XLOOKUP(Table1624[[#This Row],[Name]],Table21112164[Name],Table21112164[True Rank],"DNP",0,1)),"DNP")</f>
        <v>DNP</v>
      </c>
      <c r="K204" s="26" t="str">
        <f>IFERROR(_xlfn.PERCENTRANK.INC(Table2111216420[True Rank],_xlfn.XLOOKUP(Table1624[[#This Row],[Name]],Table2111216420[Name],Table2111216420[True Rank],"DNP",0,1)),"DNP")</f>
        <v>DNP</v>
      </c>
      <c r="L204" s="26" t="str">
        <f>IFERROR(_xlfn.PERCENTRANK.INC(Table211121642021[True Rank],_xlfn.XLOOKUP(Table1624[[#This Row],[Name]],Table211121642021[Name],Table211121642021[True Rank],"DNP",0,1)),"DNP")</f>
        <v>DNP</v>
      </c>
      <c r="M204" s="26" t="str">
        <f>IFERROR(_xlfn.PERCENTRANK.INC(Table21112164202122[True Rank],_xlfn.XLOOKUP(Table1624[[#This Row],[Name]],Table21112164202122[Name],Table21112164202122[True Rank],"DNP",0,1)),"DNP")</f>
        <v>DNP</v>
      </c>
      <c r="N204" s="26" t="str">
        <f>IFERROR(_xlfn.PERCENTRANK.INC(Table2111216420212223[True Rank],_xlfn.XLOOKUP(Table1624[[#This Row],[Name]],Table2111216420212223[Name],Table2111216420212223[True Rank],"DNP",0,1)),"DNP")</f>
        <v>DNP</v>
      </c>
      <c r="O204" s="26" t="str">
        <f>IFERROR(_xlfn.PERCENTRANK.INC(Table211121642021222325[True Rank],_xlfn.XLOOKUP(Table1624[[#This Row],[Name]],Table211121642021222325[Name],Table211121642021222325[True Rank],"DNP",0,1)),"DNP")</f>
        <v>DNP</v>
      </c>
      <c r="P204" s="26" t="str">
        <f>IFERROR(_xlfn.PERCENTRANK.INC(Table21112164202122232534[True Rank],_xlfn.XLOOKUP(Table1624[[#This Row],[Name]],Table21112164202122232534[Name],Table21112164202122232534[True Rank],"DNP",0,1)),"DNP")</f>
        <v>DNP</v>
      </c>
      <c r="Q2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 spans="2:33">
      <c r="B205" t="str">
        <f>IFERROR(Table5[[#This Row],[Full name]],"")</f>
        <v>Joshua Pascazi</v>
      </c>
      <c r="C205" s="108" t="str">
        <f>IFERROR(AVERAGE(Table1624[[#This Row],[September 30, 2025]:[Column18]]),"N/A")</f>
        <v>N/A</v>
      </c>
      <c r="D205" s="26" t="str">
        <f>IFERROR(_xlfn.PERCENTRANK.INC(Table4[True Rank],_xlfn.XLOOKUP(Table1624[[#This Row],[Name]],Table4[Name],Table4[True Rank],"DNP",0,1)),"DNP")</f>
        <v>DNP</v>
      </c>
      <c r="E205" s="26" t="str">
        <f>IFERROR(_xlfn.PERCENTRANK.INC(Table9[True Rank],_xlfn.XLOOKUP(Table1624[[#This Row],[Name]],Table9[Name],Table9[True Rank],"DNP",0,1)),"DNP")</f>
        <v>DNP</v>
      </c>
      <c r="F205" s="26" t="str">
        <f>IFERROR(_xlfn.PERCENTRANK.INC(Table18[True Rank],_xlfn.XLOOKUP(Table1624[[#This Row],[Name]],Table18[Name],Table18[True Rank],"DNP",0,1)),"DNP")</f>
        <v>DNP</v>
      </c>
      <c r="G205" s="26" t="str">
        <f>IFERROR(_xlfn.PERCENTRANK.INC(Table2[True Rank],_xlfn.XLOOKUP(Table1624[[#This Row],[Name]],Table2[Name],Table2[True Rank],"DNP",0,1)),"DNP")</f>
        <v>DNP</v>
      </c>
      <c r="H205" s="26" t="str">
        <f>IFERROR(_xlfn.PERCENTRANK.INC(Table211[True Rank],_xlfn.XLOOKUP(Table1624[[#This Row],[Name]],Table211[Name],Table211[True Rank],"DNP",0,1)),"DNP")</f>
        <v>DNP</v>
      </c>
      <c r="I205" s="26" t="str">
        <f>IFERROR(_xlfn.PERCENTRANK.INC(Table21112[True Rank],_xlfn.XLOOKUP(Table1624[[#This Row],[Name]],Table21112[Name],Table21112[True Rank],"DNP",0,1)),"DNP")</f>
        <v>DNP</v>
      </c>
      <c r="J205" s="26" t="str">
        <f>IFERROR(_xlfn.PERCENTRANK.INC(Table21112164[True Rank],_xlfn.XLOOKUP(Table1624[[#This Row],[Name]],Table21112164[Name],Table21112164[True Rank],"DNP",0,1)),"DNP")</f>
        <v>DNP</v>
      </c>
      <c r="K205" s="26" t="str">
        <f>IFERROR(_xlfn.PERCENTRANK.INC(Table2111216420[True Rank],_xlfn.XLOOKUP(Table1624[[#This Row],[Name]],Table2111216420[Name],Table2111216420[True Rank],"DNP",0,1)),"DNP")</f>
        <v>DNP</v>
      </c>
      <c r="L205" s="26" t="str">
        <f>IFERROR(_xlfn.PERCENTRANK.INC(Table211121642021[True Rank],_xlfn.XLOOKUP(Table1624[[#This Row],[Name]],Table211121642021[Name],Table211121642021[True Rank],"DNP",0,1)),"DNP")</f>
        <v>DNP</v>
      </c>
      <c r="M205" s="26" t="str">
        <f>IFERROR(_xlfn.PERCENTRANK.INC(Table21112164202122[True Rank],_xlfn.XLOOKUP(Table1624[[#This Row],[Name]],Table21112164202122[Name],Table21112164202122[True Rank],"DNP",0,1)),"DNP")</f>
        <v>DNP</v>
      </c>
      <c r="N205" s="26" t="str">
        <f>IFERROR(_xlfn.PERCENTRANK.INC(Table2111216420212223[True Rank],_xlfn.XLOOKUP(Table1624[[#This Row],[Name]],Table2111216420212223[Name],Table2111216420212223[True Rank],"DNP",0,1)),"DNP")</f>
        <v>DNP</v>
      </c>
      <c r="O205" s="26" t="str">
        <f>IFERROR(_xlfn.PERCENTRANK.INC(Table211121642021222325[True Rank],_xlfn.XLOOKUP(Table1624[[#This Row],[Name]],Table211121642021222325[Name],Table211121642021222325[True Rank],"DNP",0,1)),"DNP")</f>
        <v>DNP</v>
      </c>
      <c r="P205" s="26" t="str">
        <f>IFERROR(_xlfn.PERCENTRANK.INC(Table21112164202122232534[True Rank],_xlfn.XLOOKUP(Table1624[[#This Row],[Name]],Table21112164202122232534[Name],Table21112164202122232534[True Rank],"DNP",0,1)),"DNP")</f>
        <v>DNP</v>
      </c>
      <c r="Q20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 spans="2:33">
      <c r="B206" t="str">
        <f>IFERROR(Table5[[#This Row],[Full name]],"")</f>
        <v>Julian Pawchuk</v>
      </c>
      <c r="C206" s="108" t="str">
        <f>IFERROR(AVERAGE(Table1624[[#This Row],[September 30, 2025]:[Column18]]),"N/A")</f>
        <v>N/A</v>
      </c>
      <c r="D206" s="26" t="str">
        <f>IFERROR(_xlfn.PERCENTRANK.INC(Table4[True Rank],_xlfn.XLOOKUP(Table1624[[#This Row],[Name]],Table4[Name],Table4[True Rank],"DNP",0,1)),"DNP")</f>
        <v>DNP</v>
      </c>
      <c r="E206" s="26" t="str">
        <f>IFERROR(_xlfn.PERCENTRANK.INC(Table9[True Rank],_xlfn.XLOOKUP(Table1624[[#This Row],[Name]],Table9[Name],Table9[True Rank],"DNP",0,1)),"DNP")</f>
        <v>DNP</v>
      </c>
      <c r="F206" s="26" t="str">
        <f>IFERROR(_xlfn.PERCENTRANK.INC(Table18[True Rank],_xlfn.XLOOKUP(Table1624[[#This Row],[Name]],Table18[Name],Table18[True Rank],"DNP",0,1)),"DNP")</f>
        <v>DNP</v>
      </c>
      <c r="G206" s="26" t="str">
        <f>IFERROR(_xlfn.PERCENTRANK.INC(Table2[True Rank],_xlfn.XLOOKUP(Table1624[[#This Row],[Name]],Table2[Name],Table2[True Rank],"DNP",0,1)),"DNP")</f>
        <v>DNP</v>
      </c>
      <c r="H206" s="26" t="str">
        <f>IFERROR(_xlfn.PERCENTRANK.INC(Table211[True Rank],_xlfn.XLOOKUP(Table1624[[#This Row],[Name]],Table211[Name],Table211[True Rank],"DNP",0,1)),"DNP")</f>
        <v>DNP</v>
      </c>
      <c r="I206" s="26" t="str">
        <f>IFERROR(_xlfn.PERCENTRANK.INC(Table21112[True Rank],_xlfn.XLOOKUP(Table1624[[#This Row],[Name]],Table21112[Name],Table21112[True Rank],"DNP",0,1)),"DNP")</f>
        <v>DNP</v>
      </c>
      <c r="J206" s="26" t="str">
        <f>IFERROR(_xlfn.PERCENTRANK.INC(Table21112164[True Rank],_xlfn.XLOOKUP(Table1624[[#This Row],[Name]],Table21112164[Name],Table21112164[True Rank],"DNP",0,1)),"DNP")</f>
        <v>DNP</v>
      </c>
      <c r="K206" s="26" t="str">
        <f>IFERROR(_xlfn.PERCENTRANK.INC(Table2111216420[True Rank],_xlfn.XLOOKUP(Table1624[[#This Row],[Name]],Table2111216420[Name],Table2111216420[True Rank],"DNP",0,1)),"DNP")</f>
        <v>DNP</v>
      </c>
      <c r="L206" s="26" t="str">
        <f>IFERROR(_xlfn.PERCENTRANK.INC(Table211121642021[True Rank],_xlfn.XLOOKUP(Table1624[[#This Row],[Name]],Table211121642021[Name],Table211121642021[True Rank],"DNP",0,1)),"DNP")</f>
        <v>DNP</v>
      </c>
      <c r="M206" s="26" t="str">
        <f>IFERROR(_xlfn.PERCENTRANK.INC(Table21112164202122[True Rank],_xlfn.XLOOKUP(Table1624[[#This Row],[Name]],Table21112164202122[Name],Table21112164202122[True Rank],"DNP",0,1)),"DNP")</f>
        <v>DNP</v>
      </c>
      <c r="N206" s="26" t="str">
        <f>IFERROR(_xlfn.PERCENTRANK.INC(Table2111216420212223[True Rank],_xlfn.XLOOKUP(Table1624[[#This Row],[Name]],Table2111216420212223[Name],Table2111216420212223[True Rank],"DNP",0,1)),"DNP")</f>
        <v>DNP</v>
      </c>
      <c r="O206" s="26" t="str">
        <f>IFERROR(_xlfn.PERCENTRANK.INC(Table211121642021222325[True Rank],_xlfn.XLOOKUP(Table1624[[#This Row],[Name]],Table211121642021222325[Name],Table211121642021222325[True Rank],"DNP",0,1)),"DNP")</f>
        <v>DNP</v>
      </c>
      <c r="P206" s="26" t="str">
        <f>IFERROR(_xlfn.PERCENTRANK.INC(Table21112164202122232534[True Rank],_xlfn.XLOOKUP(Table1624[[#This Row],[Name]],Table21112164202122232534[Name],Table21112164202122232534[True Rank],"DNP",0,1)),"DNP")</f>
        <v>DNP</v>
      </c>
      <c r="Q20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 spans="2:33">
      <c r="B207" t="str">
        <f>IFERROR(Table5[[#This Row],[Full name]],"")</f>
        <v xml:space="preserve">Julian </v>
      </c>
      <c r="C207" s="108">
        <f>IFERROR(AVERAGE(Table1624[[#This Row],[September 30, 2025]:[Column18]]),"N/A")</f>
        <v>0.78800000000000003</v>
      </c>
      <c r="D207" s="26">
        <f>IFERROR(_xlfn.PERCENTRANK.INC(Table4[True Rank],_xlfn.XLOOKUP(Table1624[[#This Row],[Name]],Table4[Name],Table4[True Rank],"DNP",0,1)),"DNP")</f>
        <v>0.78800000000000003</v>
      </c>
      <c r="E207" s="26" t="str">
        <f>IFERROR(_xlfn.PERCENTRANK.INC(Table9[True Rank],_xlfn.XLOOKUP(Table1624[[#This Row],[Name]],Table9[Name],Table9[True Rank],"DNP",0,1)),"DNP")</f>
        <v>DNP</v>
      </c>
      <c r="F207" s="26" t="str">
        <f>IFERROR(_xlfn.PERCENTRANK.INC(Table18[True Rank],_xlfn.XLOOKUP(Table1624[[#This Row],[Name]],Table18[Name],Table18[True Rank],"DNP",0,1)),"DNP")</f>
        <v>DNP</v>
      </c>
      <c r="G207" s="26" t="str">
        <f>IFERROR(_xlfn.PERCENTRANK.INC(Table2[True Rank],_xlfn.XLOOKUP(Table1624[[#This Row],[Name]],Table2[Name],Table2[True Rank],"DNP",0,1)),"DNP")</f>
        <v>DNP</v>
      </c>
      <c r="H207" s="26" t="str">
        <f>IFERROR(_xlfn.PERCENTRANK.INC(Table211[True Rank],_xlfn.XLOOKUP(Table1624[[#This Row],[Name]],Table211[Name],Table211[True Rank],"DNP",0,1)),"DNP")</f>
        <v>DNP</v>
      </c>
      <c r="I207" s="26" t="str">
        <f>IFERROR(_xlfn.PERCENTRANK.INC(Table21112[True Rank],_xlfn.XLOOKUP(Table1624[[#This Row],[Name]],Table21112[Name],Table21112[True Rank],"DNP",0,1)),"DNP")</f>
        <v>DNP</v>
      </c>
      <c r="J207" s="26" t="str">
        <f>IFERROR(_xlfn.PERCENTRANK.INC(Table21112164[True Rank],_xlfn.XLOOKUP(Table1624[[#This Row],[Name]],Table21112164[Name],Table21112164[True Rank],"DNP",0,1)),"DNP")</f>
        <v>DNP</v>
      </c>
      <c r="K207" s="26" t="str">
        <f>IFERROR(_xlfn.PERCENTRANK.INC(Table2111216420[True Rank],_xlfn.XLOOKUP(Table1624[[#This Row],[Name]],Table2111216420[Name],Table2111216420[True Rank],"DNP",0,1)),"DNP")</f>
        <v>DNP</v>
      </c>
      <c r="L207" s="26" t="str">
        <f>IFERROR(_xlfn.PERCENTRANK.INC(Table211121642021[True Rank],_xlfn.XLOOKUP(Table1624[[#This Row],[Name]],Table211121642021[Name],Table211121642021[True Rank],"DNP",0,1)),"DNP")</f>
        <v>DNP</v>
      </c>
      <c r="M207" s="26" t="str">
        <f>IFERROR(_xlfn.PERCENTRANK.INC(Table21112164202122[True Rank],_xlfn.XLOOKUP(Table1624[[#This Row],[Name]],Table21112164202122[Name],Table21112164202122[True Rank],"DNP",0,1)),"DNP")</f>
        <v>DNP</v>
      </c>
      <c r="N207" s="26" t="str">
        <f>IFERROR(_xlfn.PERCENTRANK.INC(Table2111216420212223[True Rank],_xlfn.XLOOKUP(Table1624[[#This Row],[Name]],Table2111216420212223[Name],Table2111216420212223[True Rank],"DNP",0,1)),"DNP")</f>
        <v>DNP</v>
      </c>
      <c r="O207" s="26" t="str">
        <f>IFERROR(_xlfn.PERCENTRANK.INC(Table211121642021222325[True Rank],_xlfn.XLOOKUP(Table1624[[#This Row],[Name]],Table211121642021222325[Name],Table211121642021222325[True Rank],"DNP",0,1)),"DNP")</f>
        <v>DNP</v>
      </c>
      <c r="P207" s="26" t="str">
        <f>IFERROR(_xlfn.PERCENTRANK.INC(Table21112164202122232534[True Rank],_xlfn.XLOOKUP(Table1624[[#This Row],[Name]],Table21112164202122232534[Name],Table21112164202122232534[True Rank],"DNP",0,1)),"DNP")</f>
        <v>DNP</v>
      </c>
      <c r="Q2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 spans="2:33">
      <c r="B208" t="str">
        <f>IFERROR(Table5[[#This Row],[Full name]],"")</f>
        <v>Justin Chow</v>
      </c>
      <c r="C208" s="108">
        <f>IFERROR(AVERAGE(Table1624[[#This Row],[September 30, 2025]:[Column18]]),"N/A")</f>
        <v>0.56937499999999996</v>
      </c>
      <c r="D208" s="26">
        <f>IFERROR(_xlfn.PERCENTRANK.INC(Table4[True Rank],_xlfn.XLOOKUP(Table1624[[#This Row],[Name]],Table4[Name],Table4[True Rank],"DNP",0,1)),"DNP")</f>
        <v>0.23799999999999999</v>
      </c>
      <c r="E208" s="26">
        <f>IFERROR(_xlfn.PERCENTRANK.INC(Table9[True Rank],_xlfn.XLOOKUP(Table1624[[#This Row],[Name]],Table9[Name],Table9[True Rank],"DNP",0,1)),"DNP")</f>
        <v>0.90800000000000003</v>
      </c>
      <c r="F208" s="26" t="str">
        <f>IFERROR(_xlfn.PERCENTRANK.INC(Table18[True Rank],_xlfn.XLOOKUP(Table1624[[#This Row],[Name]],Table18[Name],Table18[True Rank],"DNP",0,1)),"DNP")</f>
        <v>DNP</v>
      </c>
      <c r="G208" s="26">
        <f>IFERROR(_xlfn.PERCENTRANK.INC(Table2[True Rank],_xlfn.XLOOKUP(Table1624[[#This Row],[Name]],Table2[Name],Table2[True Rank],"DNP",0,1)),"DNP")</f>
        <v>0.36899999999999999</v>
      </c>
      <c r="H208" s="26" t="str">
        <f>IFERROR(_xlfn.PERCENTRANK.INC(Table211[True Rank],_xlfn.XLOOKUP(Table1624[[#This Row],[Name]],Table211[Name],Table211[True Rank],"DNP",0,1)),"DNP")</f>
        <v>DNP</v>
      </c>
      <c r="I208" s="26" t="str">
        <f>IFERROR(_xlfn.PERCENTRANK.INC(Table21112[True Rank],_xlfn.XLOOKUP(Table1624[[#This Row],[Name]],Table21112[Name],Table21112[True Rank],"DNP",0,1)),"DNP")</f>
        <v>DNP</v>
      </c>
      <c r="J208" s="26" t="str">
        <f>IFERROR(_xlfn.PERCENTRANK.INC(Table21112164[True Rank],_xlfn.XLOOKUP(Table1624[[#This Row],[Name]],Table21112164[Name],Table21112164[True Rank],"DNP",0,1)),"DNP")</f>
        <v>DNP</v>
      </c>
      <c r="K208" s="26">
        <f>IFERROR(_xlfn.PERCENTRANK.INC(Table2111216420[True Rank],_xlfn.XLOOKUP(Table1624[[#This Row],[Name]],Table2111216420[Name],Table2111216420[True Rank],"DNP",0,1)),"DNP")</f>
        <v>0.89300000000000002</v>
      </c>
      <c r="L208" s="26" t="str">
        <f>IFERROR(_xlfn.PERCENTRANK.INC(Table211121642021[True Rank],_xlfn.XLOOKUP(Table1624[[#This Row],[Name]],Table211121642021[Name],Table211121642021[True Rank],"DNP",0,1)),"DNP")</f>
        <v>DNP</v>
      </c>
      <c r="M208" s="26" t="str">
        <f>IFERROR(_xlfn.PERCENTRANK.INC(Table21112164202122[True Rank],_xlfn.XLOOKUP(Table1624[[#This Row],[Name]],Table21112164202122[Name],Table21112164202122[True Rank],"DNP",0,1)),"DNP")</f>
        <v>DNP</v>
      </c>
      <c r="N208" s="26">
        <f>IFERROR(_xlfn.PERCENTRANK.INC(Table2111216420212223[True Rank],_xlfn.XLOOKUP(Table1624[[#This Row],[Name]],Table2111216420212223[Name],Table2111216420212223[True Rank],"DNP",0,1)),"DNP")</f>
        <v>0.439</v>
      </c>
      <c r="O208" s="26">
        <f>IFERROR(_xlfn.PERCENTRANK.INC(Table211121642021222325[True Rank],_xlfn.XLOOKUP(Table1624[[#This Row],[Name]],Table211121642021222325[Name],Table211121642021222325[True Rank],"DNP",0,1)),"DNP")</f>
        <v>0.01</v>
      </c>
      <c r="P208" s="26" t="str">
        <f>IFERROR(_xlfn.PERCENTRANK.INC(Table21112164202122232534[True Rank],_xlfn.XLOOKUP(Table1624[[#This Row],[Name]],Table21112164202122232534[Name],Table21112164202122232534[True Rank],"DNP",0,1)),"DNP")</f>
        <v>DNP</v>
      </c>
      <c r="Q208" s="26">
        <f>IFERROR(_xlfn.PERCENTRANK.INC(Table2111216420212223253435[True Rank],_xlfn.XLOOKUP(Table1624[[#This Row],[Name]],Table2111216420212223253435[Name],Table2111216420212223253435[True Rank],"DNP",0,1)),"DNP")</f>
        <v>0.88</v>
      </c>
      <c r="R208" s="26">
        <f>IFERROR(_xlfn.PERCENTRANK.INC(Table211121642021222325343536[True Rank],_xlfn.XLOOKUP(Table1624[[#This Row],[Name]],Table211121642021222325343536[Name],Table211121642021222325343536[True Rank],"DNP",0,1)),"DNP")</f>
        <v>0.81799999999999995</v>
      </c>
      <c r="S20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 spans="2:33">
      <c r="B209" t="str">
        <f>IFERROR(Table5[[#This Row],[Full name]],"")</f>
        <v>Kadin Broomhead</v>
      </c>
      <c r="C209" s="108" t="str">
        <f>IFERROR(AVERAGE(Table1624[[#This Row],[September 30, 2025]:[Column18]]),"N/A")</f>
        <v>N/A</v>
      </c>
      <c r="D209" s="26" t="str">
        <f>IFERROR(_xlfn.PERCENTRANK.INC(Table4[True Rank],_xlfn.XLOOKUP(Table1624[[#This Row],[Name]],Table4[Name],Table4[True Rank],"DNP",0,1)),"DNP")</f>
        <v>DNP</v>
      </c>
      <c r="E209" s="26" t="str">
        <f>IFERROR(_xlfn.PERCENTRANK.INC(Table9[True Rank],_xlfn.XLOOKUP(Table1624[[#This Row],[Name]],Table9[Name],Table9[True Rank],"DNP",0,1)),"DNP")</f>
        <v>DNP</v>
      </c>
      <c r="F209" s="26" t="str">
        <f>IFERROR(_xlfn.PERCENTRANK.INC(Table18[True Rank],_xlfn.XLOOKUP(Table1624[[#This Row],[Name]],Table18[Name],Table18[True Rank],"DNP",0,1)),"DNP")</f>
        <v>DNP</v>
      </c>
      <c r="G209" s="26" t="str">
        <f>IFERROR(_xlfn.PERCENTRANK.INC(Table2[True Rank],_xlfn.XLOOKUP(Table1624[[#This Row],[Name]],Table2[Name],Table2[True Rank],"DNP",0,1)),"DNP")</f>
        <v>DNP</v>
      </c>
      <c r="H209" s="26" t="str">
        <f>IFERROR(_xlfn.PERCENTRANK.INC(Table211[True Rank],_xlfn.XLOOKUP(Table1624[[#This Row],[Name]],Table211[Name],Table211[True Rank],"DNP",0,1)),"DNP")</f>
        <v>DNP</v>
      </c>
      <c r="I209" s="26" t="str">
        <f>IFERROR(_xlfn.PERCENTRANK.INC(Table21112[True Rank],_xlfn.XLOOKUP(Table1624[[#This Row],[Name]],Table21112[Name],Table21112[True Rank],"DNP",0,1)),"DNP")</f>
        <v>DNP</v>
      </c>
      <c r="J209" s="26" t="str">
        <f>IFERROR(_xlfn.PERCENTRANK.INC(Table21112164[True Rank],_xlfn.XLOOKUP(Table1624[[#This Row],[Name]],Table21112164[Name],Table21112164[True Rank],"DNP",0,1)),"DNP")</f>
        <v>DNP</v>
      </c>
      <c r="K209" s="26" t="str">
        <f>IFERROR(_xlfn.PERCENTRANK.INC(Table2111216420[True Rank],_xlfn.XLOOKUP(Table1624[[#This Row],[Name]],Table2111216420[Name],Table2111216420[True Rank],"DNP",0,1)),"DNP")</f>
        <v>DNP</v>
      </c>
      <c r="L209" s="26" t="str">
        <f>IFERROR(_xlfn.PERCENTRANK.INC(Table211121642021[True Rank],_xlfn.XLOOKUP(Table1624[[#This Row],[Name]],Table211121642021[Name],Table211121642021[True Rank],"DNP",0,1)),"DNP")</f>
        <v>DNP</v>
      </c>
      <c r="M209" s="26" t="str">
        <f>IFERROR(_xlfn.PERCENTRANK.INC(Table21112164202122[True Rank],_xlfn.XLOOKUP(Table1624[[#This Row],[Name]],Table21112164202122[Name],Table21112164202122[True Rank],"DNP",0,1)),"DNP")</f>
        <v>DNP</v>
      </c>
      <c r="N209" s="26" t="str">
        <f>IFERROR(_xlfn.PERCENTRANK.INC(Table2111216420212223[True Rank],_xlfn.XLOOKUP(Table1624[[#This Row],[Name]],Table2111216420212223[Name],Table2111216420212223[True Rank],"DNP",0,1)),"DNP")</f>
        <v>DNP</v>
      </c>
      <c r="O209" s="26" t="str">
        <f>IFERROR(_xlfn.PERCENTRANK.INC(Table211121642021222325[True Rank],_xlfn.XLOOKUP(Table1624[[#This Row],[Name]],Table211121642021222325[Name],Table211121642021222325[True Rank],"DNP",0,1)),"DNP")</f>
        <v>DNP</v>
      </c>
      <c r="P209" s="26" t="str">
        <f>IFERROR(_xlfn.PERCENTRANK.INC(Table21112164202122232534[True Rank],_xlfn.XLOOKUP(Table1624[[#This Row],[Name]],Table21112164202122232534[Name],Table21112164202122232534[True Rank],"DNP",0,1)),"DNP")</f>
        <v>DNP</v>
      </c>
      <c r="Q2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 spans="2:33">
      <c r="B210" t="str">
        <f>IFERROR(Table5[[#This Row],[Full name]],"")</f>
        <v>Kalundi Serumaga</v>
      </c>
      <c r="C210" s="108">
        <f>IFERROR(AVERAGE(Table1624[[#This Row],[September 30, 2025]:[Column18]]),"N/A")</f>
        <v>7.9666666666666663E-2</v>
      </c>
      <c r="D210" s="26" t="str">
        <f>IFERROR(_xlfn.PERCENTRANK.INC(Table4[True Rank],_xlfn.XLOOKUP(Table1624[[#This Row],[Name]],Table4[Name],Table4[True Rank],"DNP",0,1)),"DNP")</f>
        <v>DNP</v>
      </c>
      <c r="E210" s="26" t="str">
        <f>IFERROR(_xlfn.PERCENTRANK.INC(Table9[True Rank],_xlfn.XLOOKUP(Table1624[[#This Row],[Name]],Table9[Name],Table9[True Rank],"DNP",0,1)),"DNP")</f>
        <v>DNP</v>
      </c>
      <c r="F210" s="26" t="str">
        <f>IFERROR(_xlfn.PERCENTRANK.INC(Table18[True Rank],_xlfn.XLOOKUP(Table1624[[#This Row],[Name]],Table18[Name],Table18[True Rank],"DNP",0,1)),"DNP")</f>
        <v>DNP</v>
      </c>
      <c r="G210" s="26" t="str">
        <f>IFERROR(_xlfn.PERCENTRANK.INC(Table2[True Rank],_xlfn.XLOOKUP(Table1624[[#This Row],[Name]],Table2[Name],Table2[True Rank],"DNP",0,1)),"DNP")</f>
        <v>DNP</v>
      </c>
      <c r="H210" s="26" t="str">
        <f>IFERROR(_xlfn.PERCENTRANK.INC(Table211[True Rank],_xlfn.XLOOKUP(Table1624[[#This Row],[Name]],Table211[Name],Table211[True Rank],"DNP",0,1)),"DNP")</f>
        <v>DNP</v>
      </c>
      <c r="I210" s="26" t="str">
        <f>IFERROR(_xlfn.PERCENTRANK.INC(Table21112[True Rank],_xlfn.XLOOKUP(Table1624[[#This Row],[Name]],Table21112[Name],Table21112[True Rank],"DNP",0,1)),"DNP")</f>
        <v>DNP</v>
      </c>
      <c r="J210" s="26" t="str">
        <f>IFERROR(_xlfn.PERCENTRANK.INC(Table21112164[True Rank],_xlfn.XLOOKUP(Table1624[[#This Row],[Name]],Table21112164[Name],Table21112164[True Rank],"DNP",0,1)),"DNP")</f>
        <v>DNP</v>
      </c>
      <c r="K210" s="26" t="str">
        <f>IFERROR(_xlfn.PERCENTRANK.INC(Table2111216420[True Rank],_xlfn.XLOOKUP(Table1624[[#This Row],[Name]],Table2111216420[Name],Table2111216420[True Rank],"DNP",0,1)),"DNP")</f>
        <v>DNP</v>
      </c>
      <c r="L210" s="26" t="str">
        <f>IFERROR(_xlfn.PERCENTRANK.INC(Table211121642021[True Rank],_xlfn.XLOOKUP(Table1624[[#This Row],[Name]],Table211121642021[Name],Table211121642021[True Rank],"DNP",0,1)),"DNP")</f>
        <v>DNP</v>
      </c>
      <c r="M210" s="26" t="str">
        <f>IFERROR(_xlfn.PERCENTRANK.INC(Table21112164202122[True Rank],_xlfn.XLOOKUP(Table1624[[#This Row],[Name]],Table21112164202122[Name],Table21112164202122[True Rank],"DNP",0,1)),"DNP")</f>
        <v>DNP</v>
      </c>
      <c r="N210" s="26">
        <f>IFERROR(_xlfn.PERCENTRANK.INC(Table2111216420212223[True Rank],_xlfn.XLOOKUP(Table1624[[#This Row],[Name]],Table2111216420212223[Name],Table2111216420212223[True Rank],"DNP",0,1)),"DNP")</f>
        <v>8.6999999999999994E-2</v>
      </c>
      <c r="O210" s="26">
        <f>IFERROR(_xlfn.PERCENTRANK.INC(Table211121642021222325[True Rank],_xlfn.XLOOKUP(Table1624[[#This Row],[Name]],Table211121642021222325[Name],Table211121642021222325[True Rank],"DNP",0,1)),"DNP")</f>
        <v>0.14199999999999999</v>
      </c>
      <c r="P210" s="26">
        <f>IFERROR(_xlfn.PERCENTRANK.INC(Table21112164202122232534[True Rank],_xlfn.XLOOKUP(Table1624[[#This Row],[Name]],Table21112164202122232534[Name],Table21112164202122232534[True Rank],"DNP",0,1)),"DNP")</f>
        <v>0.01</v>
      </c>
      <c r="Q21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 spans="2:33">
      <c r="B211" t="str">
        <f>IFERROR(Table5[[#This Row],[Full name]],"")</f>
        <v>Kalyan Jande</v>
      </c>
      <c r="C211" s="108">
        <f>IFERROR(AVERAGE(Table1624[[#This Row],[September 30, 2025]:[Column18]]),"N/A")</f>
        <v>0.56750000000000012</v>
      </c>
      <c r="D211" s="26" t="str">
        <f>IFERROR(_xlfn.PERCENTRANK.INC(Table4[True Rank],_xlfn.XLOOKUP(Table1624[[#This Row],[Name]],Table4[Name],Table4[True Rank],"DNP",0,1)),"DNP")</f>
        <v>DNP</v>
      </c>
      <c r="E211" s="26" t="str">
        <f>IFERROR(_xlfn.PERCENTRANK.INC(Table9[True Rank],_xlfn.XLOOKUP(Table1624[[#This Row],[Name]],Table9[Name],Table9[True Rank],"DNP",0,1)),"DNP")</f>
        <v>DNP</v>
      </c>
      <c r="F211" s="26">
        <f>IFERROR(_xlfn.PERCENTRANK.INC(Table18[True Rank],_xlfn.XLOOKUP(Table1624[[#This Row],[Name]],Table18[Name],Table18[True Rank],"DNP",0,1)),"DNP")</f>
        <v>0.33300000000000002</v>
      </c>
      <c r="G211" s="26">
        <f>IFERROR(_xlfn.PERCENTRANK.INC(Table2[True Rank],_xlfn.XLOOKUP(Table1624[[#This Row],[Name]],Table2[Name],Table2[True Rank],"DNP",0,1)),"DNP")</f>
        <v>0.27300000000000002</v>
      </c>
      <c r="H211" s="26" t="str">
        <f>IFERROR(_xlfn.PERCENTRANK.INC(Table211[True Rank],_xlfn.XLOOKUP(Table1624[[#This Row],[Name]],Table211[Name],Table211[True Rank],"DNP",0,1)),"DNP")</f>
        <v>DNP</v>
      </c>
      <c r="I211" s="26" t="str">
        <f>IFERROR(_xlfn.PERCENTRANK.INC(Table21112[True Rank],_xlfn.XLOOKUP(Table1624[[#This Row],[Name]],Table21112[Name],Table21112[True Rank],"DNP",0,1)),"DNP")</f>
        <v>DNP</v>
      </c>
      <c r="J211" s="26">
        <f>IFERROR(_xlfn.PERCENTRANK.INC(Table21112164[True Rank],_xlfn.XLOOKUP(Table1624[[#This Row],[Name]],Table21112164[Name],Table21112164[True Rank],"DNP",0,1)),"DNP")</f>
        <v>5.6000000000000001E-2</v>
      </c>
      <c r="K211" s="26">
        <f>IFERROR(_xlfn.PERCENTRANK.INC(Table2111216420[True Rank],_xlfn.XLOOKUP(Table1624[[#This Row],[Name]],Table2111216420[Name],Table2111216420[True Rank],"DNP",0,1)),"DNP")</f>
        <v>0.89300000000000002</v>
      </c>
      <c r="L211" s="26">
        <f>IFERROR(_xlfn.PERCENTRANK.INC(Table211121642021[True Rank],_xlfn.XLOOKUP(Table1624[[#This Row],[Name]],Table211121642021[Name],Table211121642021[True Rank],"DNP",0,1)),"DNP")</f>
        <v>0.69799999999999995</v>
      </c>
      <c r="M211" s="26">
        <f>IFERROR(_xlfn.PERCENTRANK.INC(Table21112164202122[True Rank],_xlfn.XLOOKUP(Table1624[[#This Row],[Name]],Table21112164202122[Name],Table21112164202122[True Rank],"DNP",0,1)),"DNP")</f>
        <v>0.92</v>
      </c>
      <c r="N211" s="26">
        <f>IFERROR(_xlfn.PERCENTRANK.INC(Table2111216420212223[True Rank],_xlfn.XLOOKUP(Table1624[[#This Row],[Name]],Table2111216420212223[Name],Table2111216420212223[True Rank],"DNP",0,1)),"DNP")</f>
        <v>0.76900000000000002</v>
      </c>
      <c r="O211" s="26">
        <f>IFERROR(_xlfn.PERCENTRANK.INC(Table211121642021222325[True Rank],_xlfn.XLOOKUP(Table1624[[#This Row],[Name]],Table211121642021222325[Name],Table211121642021222325[True Rank],"DNP",0,1)),"DNP")</f>
        <v>0.626</v>
      </c>
      <c r="P211" s="26" t="str">
        <f>IFERROR(_xlfn.PERCENTRANK.INC(Table21112164202122232534[True Rank],_xlfn.XLOOKUP(Table1624[[#This Row],[Name]],Table21112164202122232534[Name],Table21112164202122232534[True Rank],"DNP",0,1)),"DNP")</f>
        <v>DNP</v>
      </c>
      <c r="Q211" s="26">
        <f>IFERROR(_xlfn.PERCENTRANK.INC(Table2111216420212223253435[True Rank],_xlfn.XLOOKUP(Table1624[[#This Row],[Name]],Table2111216420212223253435[Name],Table2111216420212223253435[True Rank],"DNP",0,1)),"DNP")</f>
        <v>0.253</v>
      </c>
      <c r="R2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1" s="26">
        <f>IFERROR(_xlfn.PERCENTRANK.INC(Table2111216420212223253435363738[True Rank],_xlfn.XLOOKUP(Table1624[[#This Row],[Name]],Table2111216420212223253435363738[Name],Table2111216420212223253435363738[True Rank],"DNP",0,1)),"DNP")</f>
        <v>0.85399999999999998</v>
      </c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 spans="2:33">
      <c r="B212" t="str">
        <f>IFERROR(Table5[[#This Row],[Full name]],"")</f>
        <v>Kenneth Liu</v>
      </c>
      <c r="C212" s="108">
        <f>IFERROR(AVERAGE(Table1624[[#This Row],[September 30, 2025]:[Column18]]),"N/A")</f>
        <v>0.51850000000000007</v>
      </c>
      <c r="D212" s="26">
        <f>IFERROR(_xlfn.PERCENTRANK.INC(Table4[True Rank],_xlfn.XLOOKUP(Table1624[[#This Row],[Name]],Table4[Name],Table4[True Rank],"DNP",0,1)),"DNP")</f>
        <v>0.13700000000000001</v>
      </c>
      <c r="E212" s="26">
        <f>IFERROR(_xlfn.PERCENTRANK.INC(Table9[True Rank],_xlfn.XLOOKUP(Table1624[[#This Row],[Name]],Table9[Name],Table9[True Rank],"DNP",0,1)),"DNP")</f>
        <v>0.10299999999999999</v>
      </c>
      <c r="F212" s="26">
        <f>IFERROR(_xlfn.PERCENTRANK.INC(Table18[True Rank],_xlfn.XLOOKUP(Table1624[[#This Row],[Name]],Table18[Name],Table18[True Rank],"DNP",0,1)),"DNP")</f>
        <v>0.94899999999999995</v>
      </c>
      <c r="G212" s="26">
        <f>IFERROR(_xlfn.PERCENTRANK.INC(Table2[True Rank],_xlfn.XLOOKUP(Table1624[[#This Row],[Name]],Table2[Name],Table2[True Rank],"DNP",0,1)),"DNP")</f>
        <v>0.76100000000000001</v>
      </c>
      <c r="H212" s="26" t="str">
        <f>IFERROR(_xlfn.PERCENTRANK.INC(Table211[True Rank],_xlfn.XLOOKUP(Table1624[[#This Row],[Name]],Table211[Name],Table211[True Rank],"DNP",0,1)),"DNP")</f>
        <v>DNP</v>
      </c>
      <c r="I212" s="26">
        <f>IFERROR(_xlfn.PERCENTRANK.INC(Table21112[True Rank],_xlfn.XLOOKUP(Table1624[[#This Row],[Name]],Table21112[Name],Table21112[True Rank],"DNP",0,1)),"DNP")</f>
        <v>0.44800000000000001</v>
      </c>
      <c r="J212" s="26">
        <f>IFERROR(_xlfn.PERCENTRANK.INC(Table21112164[True Rank],_xlfn.XLOOKUP(Table1624[[#This Row],[Name]],Table21112164[Name],Table21112164[True Rank],"DNP",0,1)),"DNP")</f>
        <v>0.66200000000000003</v>
      </c>
      <c r="K212" s="26">
        <f>IFERROR(_xlfn.PERCENTRANK.INC(Table2111216420[True Rank],_xlfn.XLOOKUP(Table1624[[#This Row],[Name]],Table2111216420[Name],Table2111216420[True Rank],"DNP",0,1)),"DNP")</f>
        <v>0.79700000000000004</v>
      </c>
      <c r="L212" s="26" t="str">
        <f>IFERROR(_xlfn.PERCENTRANK.INC(Table211121642021[True Rank],_xlfn.XLOOKUP(Table1624[[#This Row],[Name]],Table211121642021[Name],Table211121642021[True Rank],"DNP",0,1)),"DNP")</f>
        <v>DNP</v>
      </c>
      <c r="M212" s="26" t="str">
        <f>IFERROR(_xlfn.PERCENTRANK.INC(Table21112164202122[True Rank],_xlfn.XLOOKUP(Table1624[[#This Row],[Name]],Table21112164202122[Name],Table21112164202122[True Rank],"DNP",0,1)),"DNP")</f>
        <v>DNP</v>
      </c>
      <c r="N212" s="26">
        <f>IFERROR(_xlfn.PERCENTRANK.INC(Table2111216420212223[True Rank],_xlfn.XLOOKUP(Table1624[[#This Row],[Name]],Table2111216420212223[Name],Table2111216420212223[True Rank],"DNP",0,1)),"DNP")</f>
        <v>0.28499999999999998</v>
      </c>
      <c r="O212" s="26">
        <f>IFERROR(_xlfn.PERCENTRANK.INC(Table211121642021222325[True Rank],_xlfn.XLOOKUP(Table1624[[#This Row],[Name]],Table211121642021222325[Name],Table211121642021222325[True Rank],"DNP",0,1)),"DNP")</f>
        <v>0.219</v>
      </c>
      <c r="P212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spans="2:33">
      <c r="B213" t="str">
        <f>IFERROR(Table5[[#This Row],[Full name]],"")</f>
        <v>Kenodh Ekanayake</v>
      </c>
      <c r="C213" s="108" t="str">
        <f>IFERROR(AVERAGE(Table1624[[#This Row],[September 30, 2025]:[Column18]]),"N/A")</f>
        <v>N/A</v>
      </c>
      <c r="D213" s="26" t="str">
        <f>IFERROR(_xlfn.PERCENTRANK.INC(Table4[True Rank],_xlfn.XLOOKUP(Table1624[[#This Row],[Name]],Table4[Name],Table4[True Rank],"DNP",0,1)),"DNP")</f>
        <v>DNP</v>
      </c>
      <c r="E213" s="26" t="str">
        <f>IFERROR(_xlfn.PERCENTRANK.INC(Table9[True Rank],_xlfn.XLOOKUP(Table1624[[#This Row],[Name]],Table9[Name],Table9[True Rank],"DNP",0,1)),"DNP")</f>
        <v>DNP</v>
      </c>
      <c r="F213" s="26" t="str">
        <f>IFERROR(_xlfn.PERCENTRANK.INC(Table18[True Rank],_xlfn.XLOOKUP(Table1624[[#This Row],[Name]],Table18[Name],Table18[True Rank],"DNP",0,1)),"DNP")</f>
        <v>DNP</v>
      </c>
      <c r="G213" s="26" t="str">
        <f>IFERROR(_xlfn.PERCENTRANK.INC(Table2[True Rank],_xlfn.XLOOKUP(Table1624[[#This Row],[Name]],Table2[Name],Table2[True Rank],"DNP",0,1)),"DNP")</f>
        <v>DNP</v>
      </c>
      <c r="H213" s="26" t="str">
        <f>IFERROR(_xlfn.PERCENTRANK.INC(Table211[True Rank],_xlfn.XLOOKUP(Table1624[[#This Row],[Name]],Table211[Name],Table211[True Rank],"DNP",0,1)),"DNP")</f>
        <v>DNP</v>
      </c>
      <c r="I213" s="26" t="str">
        <f>IFERROR(_xlfn.PERCENTRANK.INC(Table21112[True Rank],_xlfn.XLOOKUP(Table1624[[#This Row],[Name]],Table21112[Name],Table21112[True Rank],"DNP",0,1)),"DNP")</f>
        <v>DNP</v>
      </c>
      <c r="J213" s="26" t="str">
        <f>IFERROR(_xlfn.PERCENTRANK.INC(Table21112164[True Rank],_xlfn.XLOOKUP(Table1624[[#This Row],[Name]],Table21112164[Name],Table21112164[True Rank],"DNP",0,1)),"DNP")</f>
        <v>DNP</v>
      </c>
      <c r="K213" s="26" t="str">
        <f>IFERROR(_xlfn.PERCENTRANK.INC(Table2111216420[True Rank],_xlfn.XLOOKUP(Table1624[[#This Row],[Name]],Table2111216420[Name],Table2111216420[True Rank],"DNP",0,1)),"DNP")</f>
        <v>DNP</v>
      </c>
      <c r="L213" s="26" t="str">
        <f>IFERROR(_xlfn.PERCENTRANK.INC(Table211121642021[True Rank],_xlfn.XLOOKUP(Table1624[[#This Row],[Name]],Table211121642021[Name],Table211121642021[True Rank],"DNP",0,1)),"DNP")</f>
        <v>DNP</v>
      </c>
      <c r="M213" s="26" t="str">
        <f>IFERROR(_xlfn.PERCENTRANK.INC(Table21112164202122[True Rank],_xlfn.XLOOKUP(Table1624[[#This Row],[Name]],Table21112164202122[Name],Table21112164202122[True Rank],"DNP",0,1)),"DNP")</f>
        <v>DNP</v>
      </c>
      <c r="N213" s="26" t="str">
        <f>IFERROR(_xlfn.PERCENTRANK.INC(Table2111216420212223[True Rank],_xlfn.XLOOKUP(Table1624[[#This Row],[Name]],Table2111216420212223[Name],Table2111216420212223[True Rank],"DNP",0,1)),"DNP")</f>
        <v>DNP</v>
      </c>
      <c r="O213" s="26" t="str">
        <f>IFERROR(_xlfn.PERCENTRANK.INC(Table211121642021222325[True Rank],_xlfn.XLOOKUP(Table1624[[#This Row],[Name]],Table211121642021222325[Name],Table211121642021222325[True Rank],"DNP",0,1)),"DNP")</f>
        <v>DNP</v>
      </c>
      <c r="P213" s="26" t="str">
        <f>IFERROR(_xlfn.PERCENTRANK.INC(Table21112164202122232534[True Rank],_xlfn.XLOOKUP(Table1624[[#This Row],[Name]],Table21112164202122232534[Name],Table21112164202122232534[True Rank],"DNP",0,1)),"DNP")</f>
        <v>DNP</v>
      </c>
      <c r="Q2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 spans="2:33">
      <c r="B214" t="str">
        <f>IFERROR(Table5[[#This Row],[Full name]],"")</f>
        <v>Kevin Chen</v>
      </c>
      <c r="C214" s="108" t="str">
        <f>IFERROR(AVERAGE(Table1624[[#This Row],[September 30, 2025]:[Column18]]),"N/A")</f>
        <v>N/A</v>
      </c>
      <c r="D214" s="26" t="str">
        <f>IFERROR(_xlfn.PERCENTRANK.INC(Table4[True Rank],_xlfn.XLOOKUP(Table1624[[#This Row],[Name]],Table4[Name],Table4[True Rank],"DNP",0,1)),"DNP")</f>
        <v>DNP</v>
      </c>
      <c r="E214" s="26" t="str">
        <f>IFERROR(_xlfn.PERCENTRANK.INC(Table9[True Rank],_xlfn.XLOOKUP(Table1624[[#This Row],[Name]],Table9[Name],Table9[True Rank],"DNP",0,1)),"DNP")</f>
        <v>DNP</v>
      </c>
      <c r="F214" s="26" t="str">
        <f>IFERROR(_xlfn.PERCENTRANK.INC(Table18[True Rank],_xlfn.XLOOKUP(Table1624[[#This Row],[Name]],Table18[Name],Table18[True Rank],"DNP",0,1)),"DNP")</f>
        <v>DNP</v>
      </c>
      <c r="G214" s="26" t="str">
        <f>IFERROR(_xlfn.PERCENTRANK.INC(Table2[True Rank],_xlfn.XLOOKUP(Table1624[[#This Row],[Name]],Table2[Name],Table2[True Rank],"DNP",0,1)),"DNP")</f>
        <v>DNP</v>
      </c>
      <c r="H214" s="26" t="str">
        <f>IFERROR(_xlfn.PERCENTRANK.INC(Table211[True Rank],_xlfn.XLOOKUP(Table1624[[#This Row],[Name]],Table211[Name],Table211[True Rank],"DNP",0,1)),"DNP")</f>
        <v>DNP</v>
      </c>
      <c r="I214" s="26" t="str">
        <f>IFERROR(_xlfn.PERCENTRANK.INC(Table21112[True Rank],_xlfn.XLOOKUP(Table1624[[#This Row],[Name]],Table21112[Name],Table21112[True Rank],"DNP",0,1)),"DNP")</f>
        <v>DNP</v>
      </c>
      <c r="J214" s="26" t="str">
        <f>IFERROR(_xlfn.PERCENTRANK.INC(Table21112164[True Rank],_xlfn.XLOOKUP(Table1624[[#This Row],[Name]],Table21112164[Name],Table21112164[True Rank],"DNP",0,1)),"DNP")</f>
        <v>DNP</v>
      </c>
      <c r="K214" s="26" t="str">
        <f>IFERROR(_xlfn.PERCENTRANK.INC(Table2111216420[True Rank],_xlfn.XLOOKUP(Table1624[[#This Row],[Name]],Table2111216420[Name],Table2111216420[True Rank],"DNP",0,1)),"DNP")</f>
        <v>DNP</v>
      </c>
      <c r="L214" s="26" t="str">
        <f>IFERROR(_xlfn.PERCENTRANK.INC(Table211121642021[True Rank],_xlfn.XLOOKUP(Table1624[[#This Row],[Name]],Table211121642021[Name],Table211121642021[True Rank],"DNP",0,1)),"DNP")</f>
        <v>DNP</v>
      </c>
      <c r="M214" s="26" t="str">
        <f>IFERROR(_xlfn.PERCENTRANK.INC(Table21112164202122[True Rank],_xlfn.XLOOKUP(Table1624[[#This Row],[Name]],Table21112164202122[Name],Table21112164202122[True Rank],"DNP",0,1)),"DNP")</f>
        <v>DNP</v>
      </c>
      <c r="N214" s="26" t="str">
        <f>IFERROR(_xlfn.PERCENTRANK.INC(Table2111216420212223[True Rank],_xlfn.XLOOKUP(Table1624[[#This Row],[Name]],Table2111216420212223[Name],Table2111216420212223[True Rank],"DNP",0,1)),"DNP")</f>
        <v>DNP</v>
      </c>
      <c r="O214" s="26" t="str">
        <f>IFERROR(_xlfn.PERCENTRANK.INC(Table211121642021222325[True Rank],_xlfn.XLOOKUP(Table1624[[#This Row],[Name]],Table211121642021222325[Name],Table211121642021222325[True Rank],"DNP",0,1)),"DNP")</f>
        <v>DNP</v>
      </c>
      <c r="P214" s="26" t="str">
        <f>IFERROR(_xlfn.PERCENTRANK.INC(Table21112164202122232534[True Rank],_xlfn.XLOOKUP(Table1624[[#This Row],[Name]],Table21112164202122232534[Name],Table21112164202122232534[True Rank],"DNP",0,1)),"DNP")</f>
        <v>DNP</v>
      </c>
      <c r="Q2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 spans="2:33">
      <c r="B215" t="str">
        <f>IFERROR(Table5[[#This Row],[Full name]],"")</f>
        <v>Kevin Mehrzad</v>
      </c>
      <c r="C215" s="108">
        <f>IFERROR(AVERAGE(Table1624[[#This Row],[September 30, 2025]:[Column18]]),"N/A")</f>
        <v>0.51700000000000002</v>
      </c>
      <c r="D215" s="26" t="str">
        <f>IFERROR(_xlfn.PERCENTRANK.INC(Table4[True Rank],_xlfn.XLOOKUP(Table1624[[#This Row],[Name]],Table4[Name],Table4[True Rank],"DNP",0,1)),"DNP")</f>
        <v>DNP</v>
      </c>
      <c r="E215" s="26">
        <f>IFERROR(_xlfn.PERCENTRANK.INC(Table9[True Rank],_xlfn.XLOOKUP(Table1624[[#This Row],[Name]],Table9[Name],Table9[True Rank],"DNP",0,1)),"DNP")</f>
        <v>0.51700000000000002</v>
      </c>
      <c r="F215" s="26" t="str">
        <f>IFERROR(_xlfn.PERCENTRANK.INC(Table18[True Rank],_xlfn.XLOOKUP(Table1624[[#This Row],[Name]],Table18[Name],Table18[True Rank],"DNP",0,1)),"DNP")</f>
        <v>DNP</v>
      </c>
      <c r="G215" s="26" t="str">
        <f>IFERROR(_xlfn.PERCENTRANK.INC(Table2[True Rank],_xlfn.XLOOKUP(Table1624[[#This Row],[Name]],Table2[Name],Table2[True Rank],"DNP",0,1)),"DNP")</f>
        <v>DNP</v>
      </c>
      <c r="H215" s="26" t="str">
        <f>IFERROR(_xlfn.PERCENTRANK.INC(Table211[True Rank],_xlfn.XLOOKUP(Table1624[[#This Row],[Name]],Table211[Name],Table211[True Rank],"DNP",0,1)),"DNP")</f>
        <v>DNP</v>
      </c>
      <c r="I215" s="26" t="str">
        <f>IFERROR(_xlfn.PERCENTRANK.INC(Table21112[True Rank],_xlfn.XLOOKUP(Table1624[[#This Row],[Name]],Table21112[Name],Table21112[True Rank],"DNP",0,1)),"DNP")</f>
        <v>DNP</v>
      </c>
      <c r="J215" s="26" t="str">
        <f>IFERROR(_xlfn.PERCENTRANK.INC(Table21112164[True Rank],_xlfn.XLOOKUP(Table1624[[#This Row],[Name]],Table21112164[Name],Table21112164[True Rank],"DNP",0,1)),"DNP")</f>
        <v>DNP</v>
      </c>
      <c r="K215" s="26" t="str">
        <f>IFERROR(_xlfn.PERCENTRANK.INC(Table2111216420[True Rank],_xlfn.XLOOKUP(Table1624[[#This Row],[Name]],Table2111216420[Name],Table2111216420[True Rank],"DNP",0,1)),"DNP")</f>
        <v>DNP</v>
      </c>
      <c r="L215" s="26" t="str">
        <f>IFERROR(_xlfn.PERCENTRANK.INC(Table211121642021[True Rank],_xlfn.XLOOKUP(Table1624[[#This Row],[Name]],Table211121642021[Name],Table211121642021[True Rank],"DNP",0,1)),"DNP")</f>
        <v>DNP</v>
      </c>
      <c r="M215" s="26" t="str">
        <f>IFERROR(_xlfn.PERCENTRANK.INC(Table21112164202122[True Rank],_xlfn.XLOOKUP(Table1624[[#This Row],[Name]],Table21112164202122[Name],Table21112164202122[True Rank],"DNP",0,1)),"DNP")</f>
        <v>DNP</v>
      </c>
      <c r="N215" s="26" t="str">
        <f>IFERROR(_xlfn.PERCENTRANK.INC(Table2111216420212223[True Rank],_xlfn.XLOOKUP(Table1624[[#This Row],[Name]],Table2111216420212223[Name],Table2111216420212223[True Rank],"DNP",0,1)),"DNP")</f>
        <v>DNP</v>
      </c>
      <c r="O215" s="26" t="str">
        <f>IFERROR(_xlfn.PERCENTRANK.INC(Table211121642021222325[True Rank],_xlfn.XLOOKUP(Table1624[[#This Row],[Name]],Table211121642021222325[Name],Table211121642021222325[True Rank],"DNP",0,1)),"DNP")</f>
        <v>DNP</v>
      </c>
      <c r="P215" s="26" t="str">
        <f>IFERROR(_xlfn.PERCENTRANK.INC(Table21112164202122232534[True Rank],_xlfn.XLOOKUP(Table1624[[#This Row],[Name]],Table21112164202122232534[Name],Table21112164202122232534[True Rank],"DNP",0,1)),"DNP")</f>
        <v>DNP</v>
      </c>
      <c r="Q2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 spans="2:33">
      <c r="B216" t="str">
        <f>IFERROR(Table5[[#This Row],[Full name]],"")</f>
        <v>Khoi Luu</v>
      </c>
      <c r="C216" s="108">
        <f>IFERROR(AVERAGE(Table1624[[#This Row],[September 30, 2025]:[Column18]]),"N/A")</f>
        <v>0.66875000000000007</v>
      </c>
      <c r="D216" s="26">
        <f>IFERROR(_xlfn.PERCENTRANK.INC(Table4[True Rank],_xlfn.XLOOKUP(Table1624[[#This Row],[Name]],Table4[Name],Table4[True Rank],"DNP",0,1)),"DNP")</f>
        <v>0.78800000000000003</v>
      </c>
      <c r="E216" s="26" t="str">
        <f>IFERROR(_xlfn.PERCENTRANK.INC(Table9[True Rank],_xlfn.XLOOKUP(Table1624[[#This Row],[Name]],Table9[Name],Table9[True Rank],"DNP",0,1)),"DNP")</f>
        <v>DNP</v>
      </c>
      <c r="F216" s="26" t="str">
        <f>IFERROR(_xlfn.PERCENTRANK.INC(Table18[True Rank],_xlfn.XLOOKUP(Table1624[[#This Row],[Name]],Table18[Name],Table18[True Rank],"DNP",0,1)),"DNP")</f>
        <v>DNP</v>
      </c>
      <c r="G216" s="26" t="str">
        <f>IFERROR(_xlfn.PERCENTRANK.INC(Table2[True Rank],_xlfn.XLOOKUP(Table1624[[#This Row],[Name]],Table2[Name],Table2[True Rank],"DNP",0,1)),"DNP")</f>
        <v>DNP</v>
      </c>
      <c r="H216" s="26" t="str">
        <f>IFERROR(_xlfn.PERCENTRANK.INC(Table211[True Rank],_xlfn.XLOOKUP(Table1624[[#This Row],[Name]],Table211[Name],Table211[True Rank],"DNP",0,1)),"DNP")</f>
        <v>DNP</v>
      </c>
      <c r="I216" s="26" t="str">
        <f>IFERROR(_xlfn.PERCENTRANK.INC(Table21112[True Rank],_xlfn.XLOOKUP(Table1624[[#This Row],[Name]],Table21112[Name],Table21112[True Rank],"DNP",0,1)),"DNP")</f>
        <v>DNP</v>
      </c>
      <c r="J216" s="26">
        <f>IFERROR(_xlfn.PERCENTRANK.INC(Table21112164[True Rank],_xlfn.XLOOKUP(Table1624[[#This Row],[Name]],Table21112164[Name],Table21112164[True Rank],"DNP",0,1)),"DNP")</f>
        <v>0.40400000000000003</v>
      </c>
      <c r="K216" s="26" t="str">
        <f>IFERROR(_xlfn.PERCENTRANK.INC(Table2111216420[True Rank],_xlfn.XLOOKUP(Table1624[[#This Row],[Name]],Table2111216420[Name],Table2111216420[True Rank],"DNP",0,1)),"DNP")</f>
        <v>DNP</v>
      </c>
      <c r="L216" s="26" t="str">
        <f>IFERROR(_xlfn.PERCENTRANK.INC(Table211121642021[True Rank],_xlfn.XLOOKUP(Table1624[[#This Row],[Name]],Table211121642021[Name],Table211121642021[True Rank],"DNP",0,1)),"DNP")</f>
        <v>DNP</v>
      </c>
      <c r="M216" s="26" t="str">
        <f>IFERROR(_xlfn.PERCENTRANK.INC(Table21112164202122[True Rank],_xlfn.XLOOKUP(Table1624[[#This Row],[Name]],Table21112164202122[Name],Table21112164202122[True Rank],"DNP",0,1)),"DNP")</f>
        <v>DNP</v>
      </c>
      <c r="N216" s="26" t="str">
        <f>IFERROR(_xlfn.PERCENTRANK.INC(Table2111216420212223[True Rank],_xlfn.XLOOKUP(Table1624[[#This Row],[Name]],Table2111216420212223[Name],Table2111216420212223[True Rank],"DNP",0,1)),"DNP")</f>
        <v>DNP</v>
      </c>
      <c r="O216" s="26">
        <f>IFERROR(_xlfn.PERCENTRANK.INC(Table211121642021222325[True Rank],_xlfn.XLOOKUP(Table1624[[#This Row],[Name]],Table211121642021222325[Name],Table211121642021222325[True Rank],"DNP",0,1)),"DNP")</f>
        <v>0.65900000000000003</v>
      </c>
      <c r="P216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 spans="2:33">
      <c r="B217" t="str">
        <f>IFERROR(Table5[[#This Row],[Full name]],"")</f>
        <v>Kieran Kwong</v>
      </c>
      <c r="C217" s="108">
        <f>IFERROR(AVERAGE(Table1624[[#This Row],[September 30, 2025]:[Column18]]),"N/A")</f>
        <v>0.45779999999999993</v>
      </c>
      <c r="D217" s="26" t="str">
        <f>IFERROR(_xlfn.PERCENTRANK.INC(Table4[True Rank],_xlfn.XLOOKUP(Table1624[[#This Row],[Name]],Table4[Name],Table4[True Rank],"DNP",0,1)),"DNP")</f>
        <v>DNP</v>
      </c>
      <c r="E217" s="26" t="str">
        <f>IFERROR(_xlfn.PERCENTRANK.INC(Table9[True Rank],_xlfn.XLOOKUP(Table1624[[#This Row],[Name]],Table9[Name],Table9[True Rank],"DNP",0,1)),"DNP")</f>
        <v>DNP</v>
      </c>
      <c r="F217" s="26">
        <f>IFERROR(_xlfn.PERCENTRANK.INC(Table18[True Rank],_xlfn.XLOOKUP(Table1624[[#This Row],[Name]],Table18[Name],Table18[True Rank],"DNP",0,1)),"DNP")</f>
        <v>0.222</v>
      </c>
      <c r="G217" s="26">
        <f>IFERROR(_xlfn.PERCENTRANK.INC(Table2[True Rank],_xlfn.XLOOKUP(Table1624[[#This Row],[Name]],Table2[Name],Table2[True Rank],"DNP",0,1)),"DNP")</f>
        <v>0.20200000000000001</v>
      </c>
      <c r="H217" s="26" t="str">
        <f>IFERROR(_xlfn.PERCENTRANK.INC(Table211[True Rank],_xlfn.XLOOKUP(Table1624[[#This Row],[Name]],Table211[Name],Table211[True Rank],"DNP",0,1)),"DNP")</f>
        <v>DNP</v>
      </c>
      <c r="I217" s="26" t="str">
        <f>IFERROR(_xlfn.PERCENTRANK.INC(Table21112[True Rank],_xlfn.XLOOKUP(Table1624[[#This Row],[Name]],Table21112[Name],Table21112[True Rank],"DNP",0,1)),"DNP")</f>
        <v>DNP</v>
      </c>
      <c r="J217" s="26">
        <f>IFERROR(_xlfn.PERCENTRANK.INC(Table21112164[True Rank],_xlfn.XLOOKUP(Table1624[[#This Row],[Name]],Table21112164[Name],Table21112164[True Rank],"DNP",0,1)),"DNP")</f>
        <v>0.88700000000000001</v>
      </c>
      <c r="K217" s="26" t="str">
        <f>IFERROR(_xlfn.PERCENTRANK.INC(Table2111216420[True Rank],_xlfn.XLOOKUP(Table1624[[#This Row],[Name]],Table2111216420[Name],Table2111216420[True Rank],"DNP",0,1)),"DNP")</f>
        <v>DNP</v>
      </c>
      <c r="L217" s="26" t="str">
        <f>IFERROR(_xlfn.PERCENTRANK.INC(Table211121642021[True Rank],_xlfn.XLOOKUP(Table1624[[#This Row],[Name]],Table211121642021[Name],Table211121642021[True Rank],"DNP",0,1)),"DNP")</f>
        <v>DNP</v>
      </c>
      <c r="M217" s="26" t="str">
        <f>IFERROR(_xlfn.PERCENTRANK.INC(Table21112164202122[True Rank],_xlfn.XLOOKUP(Table1624[[#This Row],[Name]],Table21112164202122[Name],Table21112164202122[True Rank],"DNP",0,1)),"DNP")</f>
        <v>DNP</v>
      </c>
      <c r="N217" s="26" t="str">
        <f>IFERROR(_xlfn.PERCENTRANK.INC(Table2111216420212223[True Rank],_xlfn.XLOOKUP(Table1624[[#This Row],[Name]],Table2111216420212223[Name],Table2111216420212223[True Rank],"DNP",0,1)),"DNP")</f>
        <v>DNP</v>
      </c>
      <c r="O217" s="26" t="str">
        <f>IFERROR(_xlfn.PERCENTRANK.INC(Table211121642021222325[True Rank],_xlfn.XLOOKUP(Table1624[[#This Row],[Name]],Table211121642021222325[Name],Table211121642021222325[True Rank],"DNP",0,1)),"DNP")</f>
        <v>DNP</v>
      </c>
      <c r="P217" s="26" t="str">
        <f>IFERROR(_xlfn.PERCENTRANK.INC(Table21112164202122232534[True Rank],_xlfn.XLOOKUP(Table1624[[#This Row],[Name]],Table21112164202122232534[Name],Table21112164202122232534[True Rank],"DNP",0,1)),"DNP")</f>
        <v>DNP</v>
      </c>
      <c r="Q2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7" s="26">
        <f>IFERROR(_xlfn.PERCENTRANK.INC(Table211121642021222325343536[True Rank],_xlfn.XLOOKUP(Table1624[[#This Row],[Name]],Table211121642021222325343536[Name],Table211121642021222325343536[True Rank],"DNP",0,1)),"DNP")</f>
        <v>0.46899999999999997</v>
      </c>
      <c r="S2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7" s="26">
        <f>IFERROR(_xlfn.PERCENTRANK.INC(Table2111216420212223253435363738[True Rank],_xlfn.XLOOKUP(Table1624[[#This Row],[Name]],Table2111216420212223253435363738[Name],Table2111216420212223253435363738[True Rank],"DNP",0,1)),"DNP")</f>
        <v>0.50900000000000001</v>
      </c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 spans="2:33">
      <c r="B218" t="str">
        <f>IFERROR(Table5[[#This Row],[Full name]],"")</f>
        <v>Kimia Azizi Mehr</v>
      </c>
      <c r="C218" s="108" t="str">
        <f>IFERROR(AVERAGE(Table1624[[#This Row],[September 30, 2025]:[Column18]]),"N/A")</f>
        <v>N/A</v>
      </c>
      <c r="D218" s="26" t="str">
        <f>IFERROR(_xlfn.PERCENTRANK.INC(Table4[True Rank],_xlfn.XLOOKUP(Table1624[[#This Row],[Name]],Table4[Name],Table4[True Rank],"DNP",0,1)),"DNP")</f>
        <v>DNP</v>
      </c>
      <c r="E218" s="26" t="str">
        <f>IFERROR(_xlfn.PERCENTRANK.INC(Table9[True Rank],_xlfn.XLOOKUP(Table1624[[#This Row],[Name]],Table9[Name],Table9[True Rank],"DNP",0,1)),"DNP")</f>
        <v>DNP</v>
      </c>
      <c r="F218" s="26" t="str">
        <f>IFERROR(_xlfn.PERCENTRANK.INC(Table18[True Rank],_xlfn.XLOOKUP(Table1624[[#This Row],[Name]],Table18[Name],Table18[True Rank],"DNP",0,1)),"DNP")</f>
        <v>DNP</v>
      </c>
      <c r="G218" s="26" t="str">
        <f>IFERROR(_xlfn.PERCENTRANK.INC(Table2[True Rank],_xlfn.XLOOKUP(Table1624[[#This Row],[Name]],Table2[Name],Table2[True Rank],"DNP",0,1)),"DNP")</f>
        <v>DNP</v>
      </c>
      <c r="H218" s="26" t="str">
        <f>IFERROR(_xlfn.PERCENTRANK.INC(Table211[True Rank],_xlfn.XLOOKUP(Table1624[[#This Row],[Name]],Table211[Name],Table211[True Rank],"DNP",0,1)),"DNP")</f>
        <v>DNP</v>
      </c>
      <c r="I218" s="26" t="str">
        <f>IFERROR(_xlfn.PERCENTRANK.INC(Table21112[True Rank],_xlfn.XLOOKUP(Table1624[[#This Row],[Name]],Table21112[Name],Table21112[True Rank],"DNP",0,1)),"DNP")</f>
        <v>DNP</v>
      </c>
      <c r="J218" s="26" t="str">
        <f>IFERROR(_xlfn.PERCENTRANK.INC(Table21112164[True Rank],_xlfn.XLOOKUP(Table1624[[#This Row],[Name]],Table21112164[Name],Table21112164[True Rank],"DNP",0,1)),"DNP")</f>
        <v>DNP</v>
      </c>
      <c r="K218" s="26" t="str">
        <f>IFERROR(_xlfn.PERCENTRANK.INC(Table2111216420[True Rank],_xlfn.XLOOKUP(Table1624[[#This Row],[Name]],Table2111216420[Name],Table2111216420[True Rank],"DNP",0,1)),"DNP")</f>
        <v>DNP</v>
      </c>
      <c r="L218" s="26" t="str">
        <f>IFERROR(_xlfn.PERCENTRANK.INC(Table211121642021[True Rank],_xlfn.XLOOKUP(Table1624[[#This Row],[Name]],Table211121642021[Name],Table211121642021[True Rank],"DNP",0,1)),"DNP")</f>
        <v>DNP</v>
      </c>
      <c r="M218" s="26" t="str">
        <f>IFERROR(_xlfn.PERCENTRANK.INC(Table21112164202122[True Rank],_xlfn.XLOOKUP(Table1624[[#This Row],[Name]],Table21112164202122[Name],Table21112164202122[True Rank],"DNP",0,1)),"DNP")</f>
        <v>DNP</v>
      </c>
      <c r="N218" s="26" t="str">
        <f>IFERROR(_xlfn.PERCENTRANK.INC(Table2111216420212223[True Rank],_xlfn.XLOOKUP(Table1624[[#This Row],[Name]],Table2111216420212223[Name],Table2111216420212223[True Rank],"DNP",0,1)),"DNP")</f>
        <v>DNP</v>
      </c>
      <c r="O218" s="26" t="str">
        <f>IFERROR(_xlfn.PERCENTRANK.INC(Table211121642021222325[True Rank],_xlfn.XLOOKUP(Table1624[[#This Row],[Name]],Table211121642021222325[Name],Table211121642021222325[True Rank],"DNP",0,1)),"DNP")</f>
        <v>DNP</v>
      </c>
      <c r="P218" s="26" t="str">
        <f>IFERROR(_xlfn.PERCENTRANK.INC(Table21112164202122232534[True Rank],_xlfn.XLOOKUP(Table1624[[#This Row],[Name]],Table21112164202122232534[Name],Table21112164202122232534[True Rank],"DNP",0,1)),"DNP")</f>
        <v>DNP</v>
      </c>
      <c r="Q2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 spans="2:33">
      <c r="B219" t="str">
        <f>IFERROR(Table5[[#This Row],[Full name]],"")</f>
        <v>Kiran Shu</v>
      </c>
      <c r="C219" s="108">
        <f>IFERROR(AVERAGE(Table1624[[#This Row],[September 30, 2025]:[Column18]]),"N/A")</f>
        <v>0.46100000000000002</v>
      </c>
      <c r="D219" s="26" t="str">
        <f>IFERROR(_xlfn.PERCENTRANK.INC(Table4[True Rank],_xlfn.XLOOKUP(Table1624[[#This Row],[Name]],Table4[Name],Table4[True Rank],"DNP",0,1)),"DNP")</f>
        <v>DNP</v>
      </c>
      <c r="E219" s="26" t="str">
        <f>IFERROR(_xlfn.PERCENTRANK.INC(Table9[True Rank],_xlfn.XLOOKUP(Table1624[[#This Row],[Name]],Table9[Name],Table9[True Rank],"DNP",0,1)),"DNP")</f>
        <v>DNP</v>
      </c>
      <c r="F219" s="26" t="str">
        <f>IFERROR(_xlfn.PERCENTRANK.INC(Table18[True Rank],_xlfn.XLOOKUP(Table1624[[#This Row],[Name]],Table18[Name],Table18[True Rank],"DNP",0,1)),"DNP")</f>
        <v>DNP</v>
      </c>
      <c r="G219" s="26" t="str">
        <f>IFERROR(_xlfn.PERCENTRANK.INC(Table2[True Rank],_xlfn.XLOOKUP(Table1624[[#This Row],[Name]],Table2[Name],Table2[True Rank],"DNP",0,1)),"DNP")</f>
        <v>DNP</v>
      </c>
      <c r="H219" s="26" t="str">
        <f>IFERROR(_xlfn.PERCENTRANK.INC(Table211[True Rank],_xlfn.XLOOKUP(Table1624[[#This Row],[Name]],Table211[Name],Table211[True Rank],"DNP",0,1)),"DNP")</f>
        <v>DNP</v>
      </c>
      <c r="I219" s="26" t="str">
        <f>IFERROR(_xlfn.PERCENTRANK.INC(Table21112[True Rank],_xlfn.XLOOKUP(Table1624[[#This Row],[Name]],Table21112[Name],Table21112[True Rank],"DNP",0,1)),"DNP")</f>
        <v>DNP</v>
      </c>
      <c r="J219" s="26" t="str">
        <f>IFERROR(_xlfn.PERCENTRANK.INC(Table21112164[True Rank],_xlfn.XLOOKUP(Table1624[[#This Row],[Name]],Table21112164[Name],Table21112164[True Rank],"DNP",0,1)),"DNP")</f>
        <v>DNP</v>
      </c>
      <c r="K219" s="26" t="str">
        <f>IFERROR(_xlfn.PERCENTRANK.INC(Table2111216420[True Rank],_xlfn.XLOOKUP(Table1624[[#This Row],[Name]],Table2111216420[Name],Table2111216420[True Rank],"DNP",0,1)),"DNP")</f>
        <v>DNP</v>
      </c>
      <c r="L219" s="26" t="str">
        <f>IFERROR(_xlfn.PERCENTRANK.INC(Table211121642021[True Rank],_xlfn.XLOOKUP(Table1624[[#This Row],[Name]],Table211121642021[Name],Table211121642021[True Rank],"DNP",0,1)),"DNP")</f>
        <v>DNP</v>
      </c>
      <c r="M219" s="26" t="str">
        <f>IFERROR(_xlfn.PERCENTRANK.INC(Table21112164202122[True Rank],_xlfn.XLOOKUP(Table1624[[#This Row],[Name]],Table21112164202122[Name],Table21112164202122[True Rank],"DNP",0,1)),"DNP")</f>
        <v>DNP</v>
      </c>
      <c r="N219" s="26">
        <f>IFERROR(_xlfn.PERCENTRANK.INC(Table2111216420212223[True Rank],_xlfn.XLOOKUP(Table1624[[#This Row],[Name]],Table2111216420212223[Name],Table2111216420212223[True Rank],"DNP",0,1)),"DNP")</f>
        <v>0.46100000000000002</v>
      </c>
      <c r="O219" s="26" t="str">
        <f>IFERROR(_xlfn.PERCENTRANK.INC(Table211121642021222325[True Rank],_xlfn.XLOOKUP(Table1624[[#This Row],[Name]],Table211121642021222325[Name],Table211121642021222325[True Rank],"DNP",0,1)),"DNP")</f>
        <v>DNP</v>
      </c>
      <c r="P219" s="26" t="str">
        <f>IFERROR(_xlfn.PERCENTRANK.INC(Table21112164202122232534[True Rank],_xlfn.XLOOKUP(Table1624[[#This Row],[Name]],Table21112164202122232534[Name],Table21112164202122232534[True Rank],"DNP",0,1)),"DNP")</f>
        <v>DNP</v>
      </c>
      <c r="Q2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 spans="2:33">
      <c r="B220" t="str">
        <f>IFERROR(Table5[[#This Row],[Full name]],"")</f>
        <v>Kongduo Li</v>
      </c>
      <c r="C220" s="108">
        <f>IFERROR(AVERAGE(Table1624[[#This Row],[September 30, 2025]:[Column18]]),"N/A")</f>
        <v>0.37645454545454543</v>
      </c>
      <c r="D220" s="26">
        <f>IFERROR(_xlfn.PERCENTRANK.INC(Table4[True Rank],_xlfn.XLOOKUP(Table1624[[#This Row],[Name]],Table4[Name],Table4[True Rank],"DNP",0,1)),"DNP")</f>
        <v>0.65100000000000002</v>
      </c>
      <c r="E220" s="26">
        <f>IFERROR(_xlfn.PERCENTRANK.INC(Table9[True Rank],_xlfn.XLOOKUP(Table1624[[#This Row],[Name]],Table9[Name],Table9[True Rank],"DNP",0,1)),"DNP")</f>
        <v>0.10299999999999999</v>
      </c>
      <c r="F220" s="26">
        <f>IFERROR(_xlfn.PERCENTRANK.INC(Table18[True Rank],_xlfn.XLOOKUP(Table1624[[#This Row],[Name]],Table18[Name],Table18[True Rank],"DNP",0,1)),"DNP")</f>
        <v>0.191</v>
      </c>
      <c r="G220" s="26">
        <f>IFERROR(_xlfn.PERCENTRANK.INC(Table2[True Rank],_xlfn.XLOOKUP(Table1624[[#This Row],[Name]],Table2[Name],Table2[True Rank],"DNP",0,1)),"DNP")</f>
        <v>0.39200000000000002</v>
      </c>
      <c r="H220" s="26">
        <f>IFERROR(_xlfn.PERCENTRANK.INC(Table211[True Rank],_xlfn.XLOOKUP(Table1624[[#This Row],[Name]],Table211[Name],Table211[True Rank],"DNP",0,1)),"DNP")</f>
        <v>0.53500000000000003</v>
      </c>
      <c r="I220" s="26">
        <f>IFERROR(_xlfn.PERCENTRANK.INC(Table21112[True Rank],_xlfn.XLOOKUP(Table1624[[#This Row],[Name]],Table21112[Name],Table21112[True Rank],"DNP",0,1)),"DNP")</f>
        <v>0.26900000000000002</v>
      </c>
      <c r="J220" s="26" t="str">
        <f>IFERROR(_xlfn.PERCENTRANK.INC(Table21112164[True Rank],_xlfn.XLOOKUP(Table1624[[#This Row],[Name]],Table21112164[Name],Table21112164[True Rank],"DNP",0,1)),"DNP")</f>
        <v>DNP</v>
      </c>
      <c r="K220" s="26">
        <f>IFERROR(_xlfn.PERCENTRANK.INC(Table2111216420[True Rank],_xlfn.XLOOKUP(Table1624[[#This Row],[Name]],Table2111216420[Name],Table2111216420[True Rank],"DNP",0,1)),"DNP")</f>
        <v>0.58499999999999996</v>
      </c>
      <c r="L220" s="26">
        <f>IFERROR(_xlfn.PERCENTRANK.INC(Table211121642021[True Rank],_xlfn.XLOOKUP(Table1624[[#This Row],[Name]],Table211121642021[Name],Table211121642021[True Rank],"DNP",0,1)),"DNP")</f>
        <v>0.01</v>
      </c>
      <c r="M220" s="26">
        <f>IFERROR(_xlfn.PERCENTRANK.INC(Table21112164202122[True Rank],_xlfn.XLOOKUP(Table1624[[#This Row],[Name]],Table21112164202122[Name],Table21112164202122[True Rank],"DNP",0,1)),"DNP")</f>
        <v>0.318</v>
      </c>
      <c r="N220" s="26">
        <f>IFERROR(_xlfn.PERCENTRANK.INC(Table2111216420212223[True Rank],_xlfn.XLOOKUP(Table1624[[#This Row],[Name]],Table2111216420212223[Name],Table2111216420212223[True Rank],"DNP",0,1)),"DNP")</f>
        <v>0.45</v>
      </c>
      <c r="O220" s="26" t="str">
        <f>IFERROR(_xlfn.PERCENTRANK.INC(Table211121642021222325[True Rank],_xlfn.XLOOKUP(Table1624[[#This Row],[Name]],Table211121642021222325[Name],Table211121642021222325[True Rank],"DNP",0,1)),"DNP")</f>
        <v>DNP</v>
      </c>
      <c r="P220" s="26">
        <f>IFERROR(_xlfn.PERCENTRANK.INC(Table21112164202122232534[True Rank],_xlfn.XLOOKUP(Table1624[[#This Row],[Name]],Table21112164202122232534[Name],Table21112164202122232534[True Rank],"DNP",0,1)),"DNP")</f>
        <v>0.63700000000000001</v>
      </c>
      <c r="Q2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 spans="2:33">
      <c r="B221" t="str">
        <f>IFERROR(Table5[[#This Row],[Full name]],"")</f>
        <v>Konrad Zawadzki</v>
      </c>
      <c r="C221" s="108">
        <f>IFERROR(AVERAGE(Table1624[[#This Row],[September 30, 2025]:[Column18]]),"N/A")</f>
        <v>0.96299999999999997</v>
      </c>
      <c r="D221" s="26" t="str">
        <f>IFERROR(_xlfn.PERCENTRANK.INC(Table4[True Rank],_xlfn.XLOOKUP(Table1624[[#This Row],[Name]],Table4[Name],Table4[True Rank],"DNP",0,1)),"DNP")</f>
        <v>DNP</v>
      </c>
      <c r="E221" s="26" t="str">
        <f>IFERROR(_xlfn.PERCENTRANK.INC(Table9[True Rank],_xlfn.XLOOKUP(Table1624[[#This Row],[Name]],Table9[Name],Table9[True Rank],"DNP",0,1)),"DNP")</f>
        <v>DNP</v>
      </c>
      <c r="F221" s="26" t="str">
        <f>IFERROR(_xlfn.PERCENTRANK.INC(Table18[True Rank],_xlfn.XLOOKUP(Table1624[[#This Row],[Name]],Table18[Name],Table18[True Rank],"DNP",0,1)),"DNP")</f>
        <v>DNP</v>
      </c>
      <c r="G221" s="26" t="str">
        <f>IFERROR(_xlfn.PERCENTRANK.INC(Table2[True Rank],_xlfn.XLOOKUP(Table1624[[#This Row],[Name]],Table2[Name],Table2[True Rank],"DNP",0,1)),"DNP")</f>
        <v>DNP</v>
      </c>
      <c r="H221" s="26" t="str">
        <f>IFERROR(_xlfn.PERCENTRANK.INC(Table211[True Rank],_xlfn.XLOOKUP(Table1624[[#This Row],[Name]],Table211[Name],Table211[True Rank],"DNP",0,1)),"DNP")</f>
        <v>DNP</v>
      </c>
      <c r="I221" s="26" t="str">
        <f>IFERROR(_xlfn.PERCENTRANK.INC(Table21112[True Rank],_xlfn.XLOOKUP(Table1624[[#This Row],[Name]],Table21112[Name],Table21112[True Rank],"DNP",0,1)),"DNP")</f>
        <v>DNP</v>
      </c>
      <c r="J221" s="26" t="str">
        <f>IFERROR(_xlfn.PERCENTRANK.INC(Table21112164[True Rank],_xlfn.XLOOKUP(Table1624[[#This Row],[Name]],Table21112164[Name],Table21112164[True Rank],"DNP",0,1)),"DNP")</f>
        <v>DNP</v>
      </c>
      <c r="K221" s="26" t="str">
        <f>IFERROR(_xlfn.PERCENTRANK.INC(Table2111216420[True Rank],_xlfn.XLOOKUP(Table1624[[#This Row],[Name]],Table2111216420[Name],Table2111216420[True Rank],"DNP",0,1)),"DNP")</f>
        <v>DNP</v>
      </c>
      <c r="L221" s="26" t="str">
        <f>IFERROR(_xlfn.PERCENTRANK.INC(Table211121642021[True Rank],_xlfn.XLOOKUP(Table1624[[#This Row],[Name]],Table211121642021[Name],Table211121642021[True Rank],"DNP",0,1)),"DNP")</f>
        <v>DNP</v>
      </c>
      <c r="M221" s="26" t="str">
        <f>IFERROR(_xlfn.PERCENTRANK.INC(Table21112164202122[True Rank],_xlfn.XLOOKUP(Table1624[[#This Row],[Name]],Table21112164202122[Name],Table21112164202122[True Rank],"DNP",0,1)),"DNP")</f>
        <v>DNP</v>
      </c>
      <c r="N221" s="26" t="str">
        <f>IFERROR(_xlfn.PERCENTRANK.INC(Table2111216420212223[True Rank],_xlfn.XLOOKUP(Table1624[[#This Row],[Name]],Table2111216420212223[Name],Table2111216420212223[True Rank],"DNP",0,1)),"DNP")</f>
        <v>DNP</v>
      </c>
      <c r="O221" s="26" t="str">
        <f>IFERROR(_xlfn.PERCENTRANK.INC(Table211121642021222325[True Rank],_xlfn.XLOOKUP(Table1624[[#This Row],[Name]],Table211121642021222325[Name],Table211121642021222325[True Rank],"DNP",0,1)),"DNP")</f>
        <v>DNP</v>
      </c>
      <c r="P221" s="26" t="str">
        <f>IFERROR(_xlfn.PERCENTRANK.INC(Table21112164202122232534[True Rank],_xlfn.XLOOKUP(Table1624[[#This Row],[Name]],Table21112164202122232534[Name],Table21112164202122232534[True Rank],"DNP",0,1)),"DNP")</f>
        <v>DNP</v>
      </c>
      <c r="Q2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1" s="26">
        <f>IFERROR(_xlfn.PERCENTRANK.INC(Table2111216420212223253435363738[True Rank],_xlfn.XLOOKUP(Table1624[[#This Row],[Name]],Table2111216420212223253435363738[Name],Table2111216420212223253435363738[True Rank],"DNP",0,1)),"DNP")</f>
        <v>0.96299999999999997</v>
      </c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 spans="2:33">
      <c r="B222" t="str">
        <f>IFERROR(Table5[[#This Row],[Full name]],"")</f>
        <v>Krish Chandola</v>
      </c>
      <c r="C222" s="108">
        <f>IFERROR(AVERAGE(Table1624[[#This Row],[September 30, 2025]:[Column18]]),"N/A")</f>
        <v>0.35800000000000004</v>
      </c>
      <c r="D222" s="26">
        <f>IFERROR(_xlfn.PERCENTRANK.INC(Table4[True Rank],_xlfn.XLOOKUP(Table1624[[#This Row],[Name]],Table4[Name],Table4[True Rank],"DNP",0,1)),"DNP")</f>
        <v>0.63300000000000001</v>
      </c>
      <c r="E222" s="26">
        <f>IFERROR(_xlfn.PERCENTRANK.INC(Table9[True Rank],_xlfn.XLOOKUP(Table1624[[#This Row],[Name]],Table9[Name],Table9[True Rank],"DNP",0,1)),"DNP")</f>
        <v>0.32100000000000001</v>
      </c>
      <c r="F222" s="26">
        <f>IFERROR(_xlfn.PERCENTRANK.INC(Table18[True Rank],_xlfn.XLOOKUP(Table1624[[#This Row],[Name]],Table18[Name],Table18[True Rank],"DNP",0,1)),"DNP")</f>
        <v>0.17100000000000001</v>
      </c>
      <c r="G222" s="26">
        <f>IFERROR(_xlfn.PERCENTRANK.INC(Table2[True Rank],_xlfn.XLOOKUP(Table1624[[#This Row],[Name]],Table2[Name],Table2[True Rank],"DNP",0,1)),"DNP")</f>
        <v>0.80900000000000005</v>
      </c>
      <c r="H222" s="26" t="str">
        <f>IFERROR(_xlfn.PERCENTRANK.INC(Table211[True Rank],_xlfn.XLOOKUP(Table1624[[#This Row],[Name]],Table211[Name],Table211[True Rank],"DNP",0,1)),"DNP")</f>
        <v>DNP</v>
      </c>
      <c r="I222" s="26" t="str">
        <f>IFERROR(_xlfn.PERCENTRANK.INC(Table21112[True Rank],_xlfn.XLOOKUP(Table1624[[#This Row],[Name]],Table21112[Name],Table21112[True Rank],"DNP",0,1)),"DNP")</f>
        <v>DNP</v>
      </c>
      <c r="J222" s="26">
        <f>IFERROR(_xlfn.PERCENTRANK.INC(Table21112164[True Rank],_xlfn.XLOOKUP(Table1624[[#This Row],[Name]],Table21112164[Name],Table21112164[True Rank],"DNP",0,1)),"DNP")</f>
        <v>0.26900000000000002</v>
      </c>
      <c r="K222" s="26">
        <f>IFERROR(_xlfn.PERCENTRANK.INC(Table2111216420[True Rank],_xlfn.XLOOKUP(Table1624[[#This Row],[Name]],Table2111216420[Name],Table2111216420[True Rank],"DNP",0,1)),"DNP")</f>
        <v>0.54200000000000004</v>
      </c>
      <c r="L222" s="26">
        <f>IFERROR(_xlfn.PERCENTRANK.INC(Table211121642021[True Rank],_xlfn.XLOOKUP(Table1624[[#This Row],[Name]],Table211121642021[Name],Table211121642021[True Rank],"DNP",0,1)),"DNP")</f>
        <v>0.22500000000000001</v>
      </c>
      <c r="M222" s="26" t="str">
        <f>IFERROR(_xlfn.PERCENTRANK.INC(Table21112164202122[True Rank],_xlfn.XLOOKUP(Table1624[[#This Row],[Name]],Table21112164202122[Name],Table21112164202122[True Rank],"DNP",0,1)),"DNP")</f>
        <v>DNP</v>
      </c>
      <c r="N222" s="26">
        <f>IFERROR(_xlfn.PERCENTRANK.INC(Table2111216420212223[True Rank],_xlfn.XLOOKUP(Table1624[[#This Row],[Name]],Table2111216420212223[Name],Table2111216420212223[True Rank],"DNP",0,1)),"DNP")</f>
        <v>0.16400000000000001</v>
      </c>
      <c r="O222" s="26">
        <f>IFERROR(_xlfn.PERCENTRANK.INC(Table211121642021222325[True Rank],_xlfn.XLOOKUP(Table1624[[#This Row],[Name]],Table211121642021222325[Name],Table211121642021222325[True Rank],"DNP",0,1)),"DNP")</f>
        <v>0.56000000000000005</v>
      </c>
      <c r="P222" s="26">
        <f>IFERROR(_xlfn.PERCENTRANK.INC(Table21112164202122232534[True Rank],_xlfn.XLOOKUP(Table1624[[#This Row],[Name]],Table21112164202122232534[Name],Table21112164202122232534[True Rank],"DNP",0,1)),"DNP")</f>
        <v>0.24099999999999999</v>
      </c>
      <c r="Q22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2" s="26">
        <f>IFERROR(_xlfn.PERCENTRANK.INC(Table211121642021222325343536[True Rank],_xlfn.XLOOKUP(Table1624[[#This Row],[Name]],Table211121642021222325343536[Name],Table211121642021222325343536[True Rank],"DNP",0,1)),"DNP")</f>
        <v>0.18099999999999999</v>
      </c>
      <c r="S222" s="26">
        <f>IFERROR(_xlfn.PERCENTRANK.INC(Table21112164202122232534353637[True Rank],_xlfn.XLOOKUP(Table1624[[#This Row],[Name]],Table21112164202122232534353637[Name],Table21112164202122232534353637[True Rank],"DNP",0,1)),"DNP")</f>
        <v>0.12</v>
      </c>
      <c r="T222" s="26">
        <f>IFERROR(_xlfn.PERCENTRANK.INC(Table2111216420212223253435363738[True Rank],_xlfn.XLOOKUP(Table1624[[#This Row],[Name]],Table2111216420212223253435363738[Name],Table2111216420212223253435363738[True Rank],"DNP",0,1)),"DNP")</f>
        <v>0.41799999999999998</v>
      </c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 spans="2:33">
      <c r="B223" t="str">
        <f>IFERROR(Table5[[#This Row],[Full name]],"")</f>
        <v>Krish  Mehta</v>
      </c>
      <c r="C223" s="108">
        <f>IFERROR(AVERAGE(Table1624[[#This Row],[September 30, 2025]:[Column18]]),"N/A")</f>
        <v>0.28699999999999998</v>
      </c>
      <c r="D223" s="26" t="str">
        <f>IFERROR(_xlfn.PERCENTRANK.INC(Table4[True Rank],_xlfn.XLOOKUP(Table1624[[#This Row],[Name]],Table4[Name],Table4[True Rank],"DNP",0,1)),"DNP")</f>
        <v>DNP</v>
      </c>
      <c r="E223" s="26" t="str">
        <f>IFERROR(_xlfn.PERCENTRANK.INC(Table9[True Rank],_xlfn.XLOOKUP(Table1624[[#This Row],[Name]],Table9[Name],Table9[True Rank],"DNP",0,1)),"DNP")</f>
        <v>DNP</v>
      </c>
      <c r="F223" s="26" t="str">
        <f>IFERROR(_xlfn.PERCENTRANK.INC(Table18[True Rank],_xlfn.XLOOKUP(Table1624[[#This Row],[Name]],Table18[Name],Table18[True Rank],"DNP",0,1)),"DNP")</f>
        <v>DNP</v>
      </c>
      <c r="G223" s="26" t="str">
        <f>IFERROR(_xlfn.PERCENTRANK.INC(Table2[True Rank],_xlfn.XLOOKUP(Table1624[[#This Row],[Name]],Table2[Name],Table2[True Rank],"DNP",0,1)),"DNP")</f>
        <v>DNP</v>
      </c>
      <c r="H223" s="26" t="str">
        <f>IFERROR(_xlfn.PERCENTRANK.INC(Table211[True Rank],_xlfn.XLOOKUP(Table1624[[#This Row],[Name]],Table211[Name],Table211[True Rank],"DNP",0,1)),"DNP")</f>
        <v>DNP</v>
      </c>
      <c r="I223" s="26" t="str">
        <f>IFERROR(_xlfn.PERCENTRANK.INC(Table21112[True Rank],_xlfn.XLOOKUP(Table1624[[#This Row],[Name]],Table21112[Name],Table21112[True Rank],"DNP",0,1)),"DNP")</f>
        <v>DNP</v>
      </c>
      <c r="J223" s="26" t="str">
        <f>IFERROR(_xlfn.PERCENTRANK.INC(Table21112164[True Rank],_xlfn.XLOOKUP(Table1624[[#This Row],[Name]],Table21112164[Name],Table21112164[True Rank],"DNP",0,1)),"DNP")</f>
        <v>DNP</v>
      </c>
      <c r="K223" s="26" t="str">
        <f>IFERROR(_xlfn.PERCENTRANK.INC(Table2111216420[True Rank],_xlfn.XLOOKUP(Table1624[[#This Row],[Name]],Table2111216420[Name],Table2111216420[True Rank],"DNP",0,1)),"DNP")</f>
        <v>DNP</v>
      </c>
      <c r="L223" s="26" t="str">
        <f>IFERROR(_xlfn.PERCENTRANK.INC(Table211121642021[True Rank],_xlfn.XLOOKUP(Table1624[[#This Row],[Name]],Table211121642021[Name],Table211121642021[True Rank],"DNP",0,1)),"DNP")</f>
        <v>DNP</v>
      </c>
      <c r="M223" s="26" t="str">
        <f>IFERROR(_xlfn.PERCENTRANK.INC(Table21112164202122[True Rank],_xlfn.XLOOKUP(Table1624[[#This Row],[Name]],Table21112164202122[Name],Table21112164202122[True Rank],"DNP",0,1)),"DNP")</f>
        <v>DNP</v>
      </c>
      <c r="N223" s="26" t="str">
        <f>IFERROR(_xlfn.PERCENTRANK.INC(Table2111216420212223[True Rank],_xlfn.XLOOKUP(Table1624[[#This Row],[Name]],Table2111216420212223[Name],Table2111216420212223[True Rank],"DNP",0,1)),"DNP")</f>
        <v>DNP</v>
      </c>
      <c r="O223" s="26" t="str">
        <f>IFERROR(_xlfn.PERCENTRANK.INC(Table211121642021222325[True Rank],_xlfn.XLOOKUP(Table1624[[#This Row],[Name]],Table211121642021222325[Name],Table211121642021222325[True Rank],"DNP",0,1)),"DNP")</f>
        <v>DNP</v>
      </c>
      <c r="P223" s="26" t="str">
        <f>IFERROR(_xlfn.PERCENTRANK.INC(Table21112164202122232534[True Rank],_xlfn.XLOOKUP(Table1624[[#This Row],[Name]],Table21112164202122232534[Name],Table21112164202122232534[True Rank],"DNP",0,1)),"DNP")</f>
        <v>DNP</v>
      </c>
      <c r="Q2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3" s="26">
        <f>IFERROR(_xlfn.PERCENTRANK.INC(Table211121642021222325343536[True Rank],_xlfn.XLOOKUP(Table1624[[#This Row],[Name]],Table211121642021222325343536[Name],Table211121642021222325343536[True Rank],"DNP",0,1)),"DNP")</f>
        <v>0.28699999999999998</v>
      </c>
      <c r="S2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 spans="2:33">
      <c r="B224" t="str">
        <f>IFERROR(Table5[[#This Row],[Full name]],"")</f>
        <v>Kyle  Chen</v>
      </c>
      <c r="C224" s="108">
        <f>IFERROR(AVERAGE(Table1624[[#This Row],[September 30, 2025]:[Column18]]),"N/A")</f>
        <v>0.41850000000000004</v>
      </c>
      <c r="D224" s="26" t="str">
        <f>IFERROR(_xlfn.PERCENTRANK.INC(Table4[True Rank],_xlfn.XLOOKUP(Table1624[[#This Row],[Name]],Table4[Name],Table4[True Rank],"DNP",0,1)),"DNP")</f>
        <v>DNP</v>
      </c>
      <c r="E224" s="26" t="str">
        <f>IFERROR(_xlfn.PERCENTRANK.INC(Table9[True Rank],_xlfn.XLOOKUP(Table1624[[#This Row],[Name]],Table9[Name],Table9[True Rank],"DNP",0,1)),"DNP")</f>
        <v>DNP</v>
      </c>
      <c r="F224" s="26" t="str">
        <f>IFERROR(_xlfn.PERCENTRANK.INC(Table18[True Rank],_xlfn.XLOOKUP(Table1624[[#This Row],[Name]],Table18[Name],Table18[True Rank],"DNP",0,1)),"DNP")</f>
        <v>DNP</v>
      </c>
      <c r="G224" s="26" t="str">
        <f>IFERROR(_xlfn.PERCENTRANK.INC(Table2[True Rank],_xlfn.XLOOKUP(Table1624[[#This Row],[Name]],Table2[Name],Table2[True Rank],"DNP",0,1)),"DNP")</f>
        <v>DNP</v>
      </c>
      <c r="H224" s="26" t="str">
        <f>IFERROR(_xlfn.PERCENTRANK.INC(Table211[True Rank],_xlfn.XLOOKUP(Table1624[[#This Row],[Name]],Table211[Name],Table211[True Rank],"DNP",0,1)),"DNP")</f>
        <v>DNP</v>
      </c>
      <c r="I224" s="26" t="str">
        <f>IFERROR(_xlfn.PERCENTRANK.INC(Table21112[True Rank],_xlfn.XLOOKUP(Table1624[[#This Row],[Name]],Table21112[Name],Table21112[True Rank],"DNP",0,1)),"DNP")</f>
        <v>DNP</v>
      </c>
      <c r="J224" s="26" t="str">
        <f>IFERROR(_xlfn.PERCENTRANK.INC(Table21112164[True Rank],_xlfn.XLOOKUP(Table1624[[#This Row],[Name]],Table21112164[Name],Table21112164[True Rank],"DNP",0,1)),"DNP")</f>
        <v>DNP</v>
      </c>
      <c r="K224" s="26" t="str">
        <f>IFERROR(_xlfn.PERCENTRANK.INC(Table2111216420[True Rank],_xlfn.XLOOKUP(Table1624[[#This Row],[Name]],Table2111216420[Name],Table2111216420[True Rank],"DNP",0,1)),"DNP")</f>
        <v>DNP</v>
      </c>
      <c r="L224" s="26" t="str">
        <f>IFERROR(_xlfn.PERCENTRANK.INC(Table211121642021[True Rank],_xlfn.XLOOKUP(Table1624[[#This Row],[Name]],Table211121642021[Name],Table211121642021[True Rank],"DNP",0,1)),"DNP")</f>
        <v>DNP</v>
      </c>
      <c r="M224" s="26" t="str">
        <f>IFERROR(_xlfn.PERCENTRANK.INC(Table21112164202122[True Rank],_xlfn.XLOOKUP(Table1624[[#This Row],[Name]],Table21112164202122[Name],Table21112164202122[True Rank],"DNP",0,1)),"DNP")</f>
        <v>DNP</v>
      </c>
      <c r="N224" s="26">
        <f>IFERROR(_xlfn.PERCENTRANK.INC(Table2111216420212223[True Rank],_xlfn.XLOOKUP(Table1624[[#This Row],[Name]],Table2111216420212223[Name],Table2111216420212223[True Rank],"DNP",0,1)),"DNP")</f>
        <v>0.95599999999999996</v>
      </c>
      <c r="O224" s="26">
        <f>IFERROR(_xlfn.PERCENTRANK.INC(Table211121642021222325[True Rank],_xlfn.XLOOKUP(Table1624[[#This Row],[Name]],Table211121642021222325[Name],Table211121642021222325[True Rank],"DNP",0,1)),"DNP")</f>
        <v>0.318</v>
      </c>
      <c r="P224" s="26">
        <f>IFERROR(_xlfn.PERCENTRANK.INC(Table21112164202122232534[True Rank],_xlfn.XLOOKUP(Table1624[[#This Row],[Name]],Table21112164202122232534[Name],Table21112164202122232534[True Rank],"DNP",0,1)),"DNP")</f>
        <v>0.17499999999999999</v>
      </c>
      <c r="Q224" s="26">
        <f>IFERROR(_xlfn.PERCENTRANK.INC(Table2111216420212223253435[True Rank],_xlfn.XLOOKUP(Table1624[[#This Row],[Name]],Table2111216420212223253435[Name],Table2111216420212223253435[True Rank],"DNP",0,1)),"DNP")</f>
        <v>0.4</v>
      </c>
      <c r="R22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4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224" s="26">
        <f>IFERROR(_xlfn.PERCENTRANK.INC(Table2111216420212223253435363738[True Rank],_xlfn.XLOOKUP(Table1624[[#This Row],[Name]],Table2111216420212223253435363738[Name],Table2111216420212223253435363738[True Rank],"DNP",0,1)),"DNP")</f>
        <v>0.14499999999999999</v>
      </c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 spans="2:33">
      <c r="B225" t="str">
        <f>IFERROR(Table5[[#This Row],[Full name]],"")</f>
        <v>Lawrence Alvarez-Smith</v>
      </c>
      <c r="C225" s="108">
        <f>IFERROR(AVERAGE(Table1624[[#This Row],[September 30, 2025]:[Column18]]),"N/A")</f>
        <v>0.35599999999999998</v>
      </c>
      <c r="D225" s="26" t="str">
        <f>IFERROR(_xlfn.PERCENTRANK.INC(Table4[True Rank],_xlfn.XLOOKUP(Table1624[[#This Row],[Name]],Table4[Name],Table4[True Rank],"DNP",0,1)),"DNP")</f>
        <v>DNP</v>
      </c>
      <c r="E225" s="26">
        <f>IFERROR(_xlfn.PERCENTRANK.INC(Table9[True Rank],_xlfn.XLOOKUP(Table1624[[#This Row],[Name]],Table9[Name],Table9[True Rank],"DNP",0,1)),"DNP")</f>
        <v>0.35599999999999998</v>
      </c>
      <c r="F225" s="26" t="str">
        <f>IFERROR(_xlfn.PERCENTRANK.INC(Table18[True Rank],_xlfn.XLOOKUP(Table1624[[#This Row],[Name]],Table18[Name],Table18[True Rank],"DNP",0,1)),"DNP")</f>
        <v>DNP</v>
      </c>
      <c r="G225" s="26" t="str">
        <f>IFERROR(_xlfn.PERCENTRANK.INC(Table2[True Rank],_xlfn.XLOOKUP(Table1624[[#This Row],[Name]],Table2[Name],Table2[True Rank],"DNP",0,1)),"DNP")</f>
        <v>DNP</v>
      </c>
      <c r="H225" s="26" t="str">
        <f>IFERROR(_xlfn.PERCENTRANK.INC(Table211[True Rank],_xlfn.XLOOKUP(Table1624[[#This Row],[Name]],Table211[Name],Table211[True Rank],"DNP",0,1)),"DNP")</f>
        <v>DNP</v>
      </c>
      <c r="I225" s="26" t="str">
        <f>IFERROR(_xlfn.PERCENTRANK.INC(Table21112[True Rank],_xlfn.XLOOKUP(Table1624[[#This Row],[Name]],Table21112[Name],Table21112[True Rank],"DNP",0,1)),"DNP")</f>
        <v>DNP</v>
      </c>
      <c r="J225" s="26" t="str">
        <f>IFERROR(_xlfn.PERCENTRANK.INC(Table21112164[True Rank],_xlfn.XLOOKUP(Table1624[[#This Row],[Name]],Table21112164[Name],Table21112164[True Rank],"DNP",0,1)),"DNP")</f>
        <v>DNP</v>
      </c>
      <c r="K225" s="26" t="str">
        <f>IFERROR(_xlfn.PERCENTRANK.INC(Table2111216420[True Rank],_xlfn.XLOOKUP(Table1624[[#This Row],[Name]],Table2111216420[Name],Table2111216420[True Rank],"DNP",0,1)),"DNP")</f>
        <v>DNP</v>
      </c>
      <c r="L225" s="26" t="str">
        <f>IFERROR(_xlfn.PERCENTRANK.INC(Table211121642021[True Rank],_xlfn.XLOOKUP(Table1624[[#This Row],[Name]],Table211121642021[Name],Table211121642021[True Rank],"DNP",0,1)),"DNP")</f>
        <v>DNP</v>
      </c>
      <c r="M225" s="26" t="str">
        <f>IFERROR(_xlfn.PERCENTRANK.INC(Table21112164202122[True Rank],_xlfn.XLOOKUP(Table1624[[#This Row],[Name]],Table21112164202122[Name],Table21112164202122[True Rank],"DNP",0,1)),"DNP")</f>
        <v>DNP</v>
      </c>
      <c r="N225" s="26" t="str">
        <f>IFERROR(_xlfn.PERCENTRANK.INC(Table2111216420212223[True Rank],_xlfn.XLOOKUP(Table1624[[#This Row],[Name]],Table2111216420212223[Name],Table2111216420212223[True Rank],"DNP",0,1)),"DNP")</f>
        <v>DNP</v>
      </c>
      <c r="O225" s="26" t="str">
        <f>IFERROR(_xlfn.PERCENTRANK.INC(Table211121642021222325[True Rank],_xlfn.XLOOKUP(Table1624[[#This Row],[Name]],Table211121642021222325[Name],Table211121642021222325[True Rank],"DNP",0,1)),"DNP")</f>
        <v>DNP</v>
      </c>
      <c r="P225" s="26" t="str">
        <f>IFERROR(_xlfn.PERCENTRANK.INC(Table21112164202122232534[True Rank],_xlfn.XLOOKUP(Table1624[[#This Row],[Name]],Table21112164202122232534[Name],Table21112164202122232534[True Rank],"DNP",0,1)),"DNP")</f>
        <v>DNP</v>
      </c>
      <c r="Q22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 spans="2:33">
      <c r="B226" t="str">
        <f>IFERROR(Table5[[#This Row],[Full name]],"")</f>
        <v>Lawrence Xu</v>
      </c>
      <c r="C226" s="108">
        <f>IFERROR(AVERAGE(Table1624[[#This Row],[September 30, 2025]:[Column18]]),"N/A")</f>
        <v>0.55500000000000005</v>
      </c>
      <c r="D226" s="26">
        <f>IFERROR(_xlfn.PERCENTRANK.INC(Table4[True Rank],_xlfn.XLOOKUP(Table1624[[#This Row],[Name]],Table4[Name],Table4[True Rank],"DNP",0,1)),"DNP")</f>
        <v>0.20100000000000001</v>
      </c>
      <c r="E226" s="26" t="str">
        <f>IFERROR(_xlfn.PERCENTRANK.INC(Table9[True Rank],_xlfn.XLOOKUP(Table1624[[#This Row],[Name]],Table9[Name],Table9[True Rank],"DNP",0,1)),"DNP")</f>
        <v>DNP</v>
      </c>
      <c r="F226" s="26" t="str">
        <f>IFERROR(_xlfn.PERCENTRANK.INC(Table18[True Rank],_xlfn.XLOOKUP(Table1624[[#This Row],[Name]],Table18[Name],Table18[True Rank],"DNP",0,1)),"DNP")</f>
        <v>DNP</v>
      </c>
      <c r="G226" s="26" t="str">
        <f>IFERROR(_xlfn.PERCENTRANK.INC(Table2[True Rank],_xlfn.XLOOKUP(Table1624[[#This Row],[Name]],Table2[Name],Table2[True Rank],"DNP",0,1)),"DNP")</f>
        <v>DNP</v>
      </c>
      <c r="H226" s="26" t="str">
        <f>IFERROR(_xlfn.PERCENTRANK.INC(Table211[True Rank],_xlfn.XLOOKUP(Table1624[[#This Row],[Name]],Table211[Name],Table211[True Rank],"DNP",0,1)),"DNP")</f>
        <v>DNP</v>
      </c>
      <c r="I226" s="26" t="str">
        <f>IFERROR(_xlfn.PERCENTRANK.INC(Table21112[True Rank],_xlfn.XLOOKUP(Table1624[[#This Row],[Name]],Table21112[Name],Table21112[True Rank],"DNP",0,1)),"DNP")</f>
        <v>DNP</v>
      </c>
      <c r="J226" s="26" t="str">
        <f>IFERROR(_xlfn.PERCENTRANK.INC(Table21112164[True Rank],_xlfn.XLOOKUP(Table1624[[#This Row],[Name]],Table21112164[Name],Table21112164[True Rank],"DNP",0,1)),"DNP")</f>
        <v>DNP</v>
      </c>
      <c r="K226" s="26">
        <f>IFERROR(_xlfn.PERCENTRANK.INC(Table2111216420[True Rank],_xlfn.XLOOKUP(Table1624[[#This Row],[Name]],Table2111216420[Name],Table2111216420[True Rank],"DNP",0,1)),"DNP")</f>
        <v>0.51</v>
      </c>
      <c r="L226" s="26">
        <f>IFERROR(_xlfn.PERCENTRANK.INC(Table211121642021[True Rank],_xlfn.XLOOKUP(Table1624[[#This Row],[Name]],Table211121642021[Name],Table211121642021[True Rank],"DNP",0,1)),"DNP")</f>
        <v>0.81699999999999995</v>
      </c>
      <c r="M226" s="26">
        <f>IFERROR(_xlfn.PERCENTRANK.INC(Table21112164202122[True Rank],_xlfn.XLOOKUP(Table1624[[#This Row],[Name]],Table21112164202122[Name],Table21112164202122[True Rank],"DNP",0,1)),"DNP")</f>
        <v>0.76100000000000001</v>
      </c>
      <c r="N226" s="26">
        <f>IFERROR(_xlfn.PERCENTRANK.INC(Table2111216420212223[True Rank],_xlfn.XLOOKUP(Table1624[[#This Row],[Name]],Table2111216420212223[Name],Table2111216420212223[True Rank],"DNP",0,1)),"DNP")</f>
        <v>0.59299999999999997</v>
      </c>
      <c r="O226" s="26" t="str">
        <f>IFERROR(_xlfn.PERCENTRANK.INC(Table211121642021222325[True Rank],_xlfn.XLOOKUP(Table1624[[#This Row],[Name]],Table211121642021222325[Name],Table211121642021222325[True Rank],"DNP",0,1)),"DNP")</f>
        <v>DNP</v>
      </c>
      <c r="P226" s="26" t="str">
        <f>IFERROR(_xlfn.PERCENTRANK.INC(Table21112164202122232534[True Rank],_xlfn.XLOOKUP(Table1624[[#This Row],[Name]],Table21112164202122232534[Name],Table21112164202122232534[True Rank],"DNP",0,1)),"DNP")</f>
        <v>DNP</v>
      </c>
      <c r="Q2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6" s="26">
        <f>IFERROR(_xlfn.PERCENTRANK.INC(Table21112164202122232534353637[True Rank],_xlfn.XLOOKUP(Table1624[[#This Row],[Name]],Table21112164202122232534353637[Name],Table21112164202122232534353637[True Rank],"DNP",0,1)),"DNP")</f>
        <v>0.44800000000000001</v>
      </c>
      <c r="T2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 spans="2:33">
      <c r="B227" t="str">
        <f>IFERROR(Table5[[#This Row],[Full name]],"")</f>
        <v>Lee Li</v>
      </c>
      <c r="C227" s="108">
        <f>IFERROR(AVERAGE(Table1624[[#This Row],[September 30, 2025]:[Column18]]),"N/A")</f>
        <v>0.66600000000000004</v>
      </c>
      <c r="D227" s="26" t="str">
        <f>IFERROR(_xlfn.PERCENTRANK.INC(Table4[True Rank],_xlfn.XLOOKUP(Table1624[[#This Row],[Name]],Table4[Name],Table4[True Rank],"DNP",0,1)),"DNP")</f>
        <v>DNP</v>
      </c>
      <c r="E227" s="26" t="str">
        <f>IFERROR(_xlfn.PERCENTRANK.INC(Table9[True Rank],_xlfn.XLOOKUP(Table1624[[#This Row],[Name]],Table9[Name],Table9[True Rank],"DNP",0,1)),"DNP")</f>
        <v>DNP</v>
      </c>
      <c r="F227" s="26">
        <f>IFERROR(_xlfn.PERCENTRANK.INC(Table18[True Rank],_xlfn.XLOOKUP(Table1624[[#This Row],[Name]],Table18[Name],Table18[True Rank],"DNP",0,1)),"DNP")</f>
        <v>0.66600000000000004</v>
      </c>
      <c r="G227" s="26" t="str">
        <f>IFERROR(_xlfn.PERCENTRANK.INC(Table2[True Rank],_xlfn.XLOOKUP(Table1624[[#This Row],[Name]],Table2[Name],Table2[True Rank],"DNP",0,1)),"DNP")</f>
        <v>DNP</v>
      </c>
      <c r="H227" s="26" t="str">
        <f>IFERROR(_xlfn.PERCENTRANK.INC(Table211[True Rank],_xlfn.XLOOKUP(Table1624[[#This Row],[Name]],Table211[Name],Table211[True Rank],"DNP",0,1)),"DNP")</f>
        <v>DNP</v>
      </c>
      <c r="I227" s="26" t="str">
        <f>IFERROR(_xlfn.PERCENTRANK.INC(Table21112[True Rank],_xlfn.XLOOKUP(Table1624[[#This Row],[Name]],Table21112[Name],Table21112[True Rank],"DNP",0,1)),"DNP")</f>
        <v>DNP</v>
      </c>
      <c r="J227" s="26" t="str">
        <f>IFERROR(_xlfn.PERCENTRANK.INC(Table21112164[True Rank],_xlfn.XLOOKUP(Table1624[[#This Row],[Name]],Table21112164[Name],Table21112164[True Rank],"DNP",0,1)),"DNP")</f>
        <v>DNP</v>
      </c>
      <c r="K227" s="26" t="str">
        <f>IFERROR(_xlfn.PERCENTRANK.INC(Table2111216420[True Rank],_xlfn.XLOOKUP(Table1624[[#This Row],[Name]],Table2111216420[Name],Table2111216420[True Rank],"DNP",0,1)),"DNP")</f>
        <v>DNP</v>
      </c>
      <c r="L227" s="26" t="str">
        <f>IFERROR(_xlfn.PERCENTRANK.INC(Table211121642021[True Rank],_xlfn.XLOOKUP(Table1624[[#This Row],[Name]],Table211121642021[Name],Table211121642021[True Rank],"DNP",0,1)),"DNP")</f>
        <v>DNP</v>
      </c>
      <c r="M227" s="26" t="str">
        <f>IFERROR(_xlfn.PERCENTRANK.INC(Table21112164202122[True Rank],_xlfn.XLOOKUP(Table1624[[#This Row],[Name]],Table21112164202122[Name],Table21112164202122[True Rank],"DNP",0,1)),"DNP")</f>
        <v>DNP</v>
      </c>
      <c r="N227" s="26" t="str">
        <f>IFERROR(_xlfn.PERCENTRANK.INC(Table2111216420212223[True Rank],_xlfn.XLOOKUP(Table1624[[#This Row],[Name]],Table2111216420212223[Name],Table2111216420212223[True Rank],"DNP",0,1)),"DNP")</f>
        <v>DNP</v>
      </c>
      <c r="O227" s="26" t="str">
        <f>IFERROR(_xlfn.PERCENTRANK.INC(Table211121642021222325[True Rank],_xlfn.XLOOKUP(Table1624[[#This Row],[Name]],Table211121642021222325[Name],Table211121642021222325[True Rank],"DNP",0,1)),"DNP")</f>
        <v>DNP</v>
      </c>
      <c r="P227" s="26" t="str">
        <f>IFERROR(_xlfn.PERCENTRANK.INC(Table21112164202122232534[True Rank],_xlfn.XLOOKUP(Table1624[[#This Row],[Name]],Table21112164202122232534[Name],Table21112164202122232534[True Rank],"DNP",0,1)),"DNP")</f>
        <v>DNP</v>
      </c>
      <c r="Q2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 spans="2:33">
      <c r="B228" t="str">
        <f>IFERROR(Table5[[#This Row],[Full name]],"")</f>
        <v>Leo Yang</v>
      </c>
      <c r="C228" s="108">
        <f>IFERROR(AVERAGE(Table1624[[#This Row],[September 30, 2025]:[Column18]]),"N/A")</f>
        <v>0.41899999999999998</v>
      </c>
      <c r="D228" s="26" t="str">
        <f>IFERROR(_xlfn.PERCENTRANK.INC(Table4[True Rank],_xlfn.XLOOKUP(Table1624[[#This Row],[Name]],Table4[Name],Table4[True Rank],"DNP",0,1)),"DNP")</f>
        <v>DNP</v>
      </c>
      <c r="E228" s="26" t="str">
        <f>IFERROR(_xlfn.PERCENTRANK.INC(Table9[True Rank],_xlfn.XLOOKUP(Table1624[[#This Row],[Name]],Table9[Name],Table9[True Rank],"DNP",0,1)),"DNP")</f>
        <v>DNP</v>
      </c>
      <c r="F228" s="26" t="str">
        <f>IFERROR(_xlfn.PERCENTRANK.INC(Table18[True Rank],_xlfn.XLOOKUP(Table1624[[#This Row],[Name]],Table18[Name],Table18[True Rank],"DNP",0,1)),"DNP")</f>
        <v>DNP</v>
      </c>
      <c r="G228" s="26" t="str">
        <f>IFERROR(_xlfn.PERCENTRANK.INC(Table2[True Rank],_xlfn.XLOOKUP(Table1624[[#This Row],[Name]],Table2[Name],Table2[True Rank],"DNP",0,1)),"DNP")</f>
        <v>DNP</v>
      </c>
      <c r="H228" s="26" t="str">
        <f>IFERROR(_xlfn.PERCENTRANK.INC(Table211[True Rank],_xlfn.XLOOKUP(Table1624[[#This Row],[Name]],Table211[Name],Table211[True Rank],"DNP",0,1)),"DNP")</f>
        <v>DNP</v>
      </c>
      <c r="I228" s="26" t="str">
        <f>IFERROR(_xlfn.PERCENTRANK.INC(Table21112[True Rank],_xlfn.XLOOKUP(Table1624[[#This Row],[Name]],Table21112[Name],Table21112[True Rank],"DNP",0,1)),"DNP")</f>
        <v>DNP</v>
      </c>
      <c r="J228" s="26" t="str">
        <f>IFERROR(_xlfn.PERCENTRANK.INC(Table21112164[True Rank],_xlfn.XLOOKUP(Table1624[[#This Row],[Name]],Table21112164[Name],Table21112164[True Rank],"DNP",0,1)),"DNP")</f>
        <v>DNP</v>
      </c>
      <c r="K228" s="26" t="str">
        <f>IFERROR(_xlfn.PERCENTRANK.INC(Table2111216420[True Rank],_xlfn.XLOOKUP(Table1624[[#This Row],[Name]],Table2111216420[Name],Table2111216420[True Rank],"DNP",0,1)),"DNP")</f>
        <v>DNP</v>
      </c>
      <c r="L228" s="26">
        <f>IFERROR(_xlfn.PERCENTRANK.INC(Table211121642021[True Rank],_xlfn.XLOOKUP(Table1624[[#This Row],[Name]],Table211121642021[Name],Table211121642021[True Rank],"DNP",0,1)),"DNP")</f>
        <v>0.41899999999999998</v>
      </c>
      <c r="M228" s="26" t="str">
        <f>IFERROR(_xlfn.PERCENTRANK.INC(Table21112164202122[True Rank],_xlfn.XLOOKUP(Table1624[[#This Row],[Name]],Table21112164202122[Name],Table21112164202122[True Rank],"DNP",0,1)),"DNP")</f>
        <v>DNP</v>
      </c>
      <c r="N228" s="26" t="str">
        <f>IFERROR(_xlfn.PERCENTRANK.INC(Table2111216420212223[True Rank],_xlfn.XLOOKUP(Table1624[[#This Row],[Name]],Table2111216420212223[Name],Table2111216420212223[True Rank],"DNP",0,1)),"DNP")</f>
        <v>DNP</v>
      </c>
      <c r="O228" s="26" t="str">
        <f>IFERROR(_xlfn.PERCENTRANK.INC(Table211121642021222325[True Rank],_xlfn.XLOOKUP(Table1624[[#This Row],[Name]],Table211121642021222325[Name],Table211121642021222325[True Rank],"DNP",0,1)),"DNP")</f>
        <v>DNP</v>
      </c>
      <c r="P228" s="26" t="str">
        <f>IFERROR(_xlfn.PERCENTRANK.INC(Table21112164202122232534[True Rank],_xlfn.XLOOKUP(Table1624[[#This Row],[Name]],Table21112164202122232534[Name],Table21112164202122232534[True Rank],"DNP",0,1)),"DNP")</f>
        <v>DNP</v>
      </c>
      <c r="Q2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 spans="2:33">
      <c r="B229" t="str">
        <f>IFERROR(Table5[[#This Row],[Full name]],"")</f>
        <v>Leonardo Panarello</v>
      </c>
      <c r="C229" s="108">
        <f>IFERROR(AVERAGE(Table1624[[#This Row],[September 30, 2025]:[Column18]]),"N/A")</f>
        <v>0.51849999999999996</v>
      </c>
      <c r="D229" s="26">
        <f>IFERROR(_xlfn.PERCENTRANK.INC(Table4[True Rank],_xlfn.XLOOKUP(Table1624[[#This Row],[Name]],Table4[Name],Table4[True Rank],"DNP",0,1)),"DNP")</f>
        <v>0.1</v>
      </c>
      <c r="E229" s="26" t="str">
        <f>IFERROR(_xlfn.PERCENTRANK.INC(Table9[True Rank],_xlfn.XLOOKUP(Table1624[[#This Row],[Name]],Table9[Name],Table9[True Rank],"DNP",0,1)),"DNP")</f>
        <v>DNP</v>
      </c>
      <c r="F229" s="26" t="str">
        <f>IFERROR(_xlfn.PERCENTRANK.INC(Table18[True Rank],_xlfn.XLOOKUP(Table1624[[#This Row],[Name]],Table18[Name],Table18[True Rank],"DNP",0,1)),"DNP")</f>
        <v>DNP</v>
      </c>
      <c r="G229" s="26" t="str">
        <f>IFERROR(_xlfn.PERCENTRANK.INC(Table2[True Rank],_xlfn.XLOOKUP(Table1624[[#This Row],[Name]],Table2[Name],Table2[True Rank],"DNP",0,1)),"DNP")</f>
        <v>DNP</v>
      </c>
      <c r="H229" s="26">
        <f>IFERROR(_xlfn.PERCENTRANK.INC(Table211[True Rank],_xlfn.XLOOKUP(Table1624[[#This Row],[Name]],Table211[Name],Table211[True Rank],"DNP",0,1)),"DNP")</f>
        <v>0.36599999999999999</v>
      </c>
      <c r="I229" s="26" t="str">
        <f>IFERROR(_xlfn.PERCENTRANK.INC(Table21112[True Rank],_xlfn.XLOOKUP(Table1624[[#This Row],[Name]],Table21112[Name],Table21112[True Rank],"DNP",0,1)),"DNP")</f>
        <v>DNP</v>
      </c>
      <c r="J229" s="26" t="str">
        <f>IFERROR(_xlfn.PERCENTRANK.INC(Table21112164[True Rank],_xlfn.XLOOKUP(Table1624[[#This Row],[Name]],Table21112164[Name],Table21112164[True Rank],"DNP",0,1)),"DNP")</f>
        <v>DNP</v>
      </c>
      <c r="K229" s="26">
        <f>IFERROR(_xlfn.PERCENTRANK.INC(Table2111216420[True Rank],_xlfn.XLOOKUP(Table1624[[#This Row],[Name]],Table2111216420[Name],Table2111216420[True Rank],"DNP",0,1)),"DNP")</f>
        <v>0.89300000000000002</v>
      </c>
      <c r="L229" s="26" t="str">
        <f>IFERROR(_xlfn.PERCENTRANK.INC(Table211121642021[True Rank],_xlfn.XLOOKUP(Table1624[[#This Row],[Name]],Table211121642021[Name],Table211121642021[True Rank],"DNP",0,1)),"DNP")</f>
        <v>DNP</v>
      </c>
      <c r="M229" s="26">
        <f>IFERROR(_xlfn.PERCENTRANK.INC(Table21112164202122[True Rank],_xlfn.XLOOKUP(Table1624[[#This Row],[Name]],Table21112164202122[Name],Table21112164202122[True Rank],"DNP",0,1)),"DNP")</f>
        <v>0.71499999999999997</v>
      </c>
      <c r="N229" s="26" t="str">
        <f>IFERROR(_xlfn.PERCENTRANK.INC(Table2111216420212223[True Rank],_xlfn.XLOOKUP(Table1624[[#This Row],[Name]],Table2111216420212223[Name],Table2111216420212223[True Rank],"DNP",0,1)),"DNP")</f>
        <v>DNP</v>
      </c>
      <c r="O229" s="26" t="str">
        <f>IFERROR(_xlfn.PERCENTRANK.INC(Table211121642021222325[True Rank],_xlfn.XLOOKUP(Table1624[[#This Row],[Name]],Table211121642021222325[Name],Table211121642021222325[True Rank],"DNP",0,1)),"DNP")</f>
        <v>DNP</v>
      </c>
      <c r="P229" s="26" t="str">
        <f>IFERROR(_xlfn.PERCENTRANK.INC(Table21112164202122232534[True Rank],_xlfn.XLOOKUP(Table1624[[#This Row],[Name]],Table21112164202122232534[Name],Table21112164202122232534[True Rank],"DNP",0,1)),"DNP")</f>
        <v>DNP</v>
      </c>
      <c r="Q22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2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2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2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 spans="2:33">
      <c r="B230" t="str">
        <f>IFERROR(Table5[[#This Row],[Full name]],"")</f>
        <v>Liam Carter</v>
      </c>
      <c r="C230" s="108">
        <f>IFERROR(AVERAGE(Table1624[[#This Row],[September 30, 2025]:[Column18]]),"N/A")</f>
        <v>0.21049999999999996</v>
      </c>
      <c r="D230" s="26">
        <f>IFERROR(_xlfn.PERCENTRANK.INC(Table4[True Rank],_xlfn.XLOOKUP(Table1624[[#This Row],[Name]],Table4[Name],Table4[True Rank],"DNP",0,1)),"DNP")</f>
        <v>0.11</v>
      </c>
      <c r="E230" s="26">
        <f>IFERROR(_xlfn.PERCENTRANK.INC(Table9[True Rank],_xlfn.XLOOKUP(Table1624[[#This Row],[Name]],Table9[Name],Table9[True Rank],"DNP",0,1)),"DNP")</f>
        <v>0.10299999999999999</v>
      </c>
      <c r="F230" s="26" t="str">
        <f>IFERROR(_xlfn.PERCENTRANK.INC(Table18[True Rank],_xlfn.XLOOKUP(Table1624[[#This Row],[Name]],Table18[Name],Table18[True Rank],"DNP",0,1)),"DNP")</f>
        <v>DNP</v>
      </c>
      <c r="G230" s="26">
        <f>IFERROR(_xlfn.PERCENTRANK.INC(Table2[True Rank],_xlfn.XLOOKUP(Table1624[[#This Row],[Name]],Table2[Name],Table2[True Rank],"DNP",0,1)),"DNP")</f>
        <v>0.57099999999999995</v>
      </c>
      <c r="H230" s="26">
        <f>IFERROR(_xlfn.PERCENTRANK.INC(Table211[True Rank],_xlfn.XLOOKUP(Table1624[[#This Row],[Name]],Table211[Name],Table211[True Rank],"DNP",0,1)),"DNP")</f>
        <v>0.80200000000000005</v>
      </c>
      <c r="I230" s="26" t="str">
        <f>IFERROR(_xlfn.PERCENTRANK.INC(Table21112[True Rank],_xlfn.XLOOKUP(Table1624[[#This Row],[Name]],Table21112[Name],Table21112[True Rank],"DNP",0,1)),"DNP")</f>
        <v>DNP</v>
      </c>
      <c r="J230" s="26" t="str">
        <f>IFERROR(_xlfn.PERCENTRANK.INC(Table21112164[True Rank],_xlfn.XLOOKUP(Table1624[[#This Row],[Name]],Table21112164[Name],Table21112164[True Rank],"DNP",0,1)),"DNP")</f>
        <v>DNP</v>
      </c>
      <c r="K230" s="26" t="str">
        <f>IFERROR(_xlfn.PERCENTRANK.INC(Table2111216420[True Rank],_xlfn.XLOOKUP(Table1624[[#This Row],[Name]],Table2111216420[Name],Table2111216420[True Rank],"DNP",0,1)),"DNP")</f>
        <v>DNP</v>
      </c>
      <c r="L230" s="26" t="str">
        <f>IFERROR(_xlfn.PERCENTRANK.INC(Table211121642021[True Rank],_xlfn.XLOOKUP(Table1624[[#This Row],[Name]],Table211121642021[Name],Table211121642021[True Rank],"DNP",0,1)),"DNP")</f>
        <v>DNP</v>
      </c>
      <c r="M230" s="26">
        <f>IFERROR(_xlfn.PERCENTRANK.INC(Table21112164202122[True Rank],_xlfn.XLOOKUP(Table1624[[#This Row],[Name]],Table21112164202122[Name],Table21112164202122[True Rank],"DNP",0,1)),"DNP")</f>
        <v>1.0999999999999999E-2</v>
      </c>
      <c r="N230" s="26">
        <f>IFERROR(_xlfn.PERCENTRANK.INC(Table2111216420212223[True Rank],_xlfn.XLOOKUP(Table1624[[#This Row],[Name]],Table2111216420212223[Name],Table2111216420212223[True Rank],"DNP",0,1)),"DNP")</f>
        <v>0.23</v>
      </c>
      <c r="O230" s="26" t="str">
        <f>IFERROR(_xlfn.PERCENTRANK.INC(Table211121642021222325[True Rank],_xlfn.XLOOKUP(Table1624[[#This Row],[Name]],Table211121642021222325[Name],Table211121642021222325[True Rank],"DNP",0,1)),"DNP")</f>
        <v>DNP</v>
      </c>
      <c r="P230" s="26">
        <f>IFERROR(_xlfn.PERCENTRANK.INC(Table21112164202122232534[True Rank],_xlfn.XLOOKUP(Table1624[[#This Row],[Name]],Table21112164202122232534[Name],Table21112164202122232534[True Rank],"DNP",0,1)),"DNP")</f>
        <v>9.8000000000000004E-2</v>
      </c>
      <c r="Q230" s="26">
        <f>IFERROR(_xlfn.PERCENTRANK.INC(Table2111216420212223253435[True Rank],_xlfn.XLOOKUP(Table1624[[#This Row],[Name]],Table2111216420212223253435[Name],Table2111216420212223253435[True Rank],"DNP",0,1)),"DNP")</f>
        <v>0.14599999999999999</v>
      </c>
      <c r="R230" s="26">
        <f>IFERROR(_xlfn.PERCENTRANK.INC(Table211121642021222325343536[True Rank],_xlfn.XLOOKUP(Table1624[[#This Row],[Name]],Table211121642021222325343536[Name],Table211121642021222325343536[True Rank],"DNP",0,1)),"DNP")</f>
        <v>0</v>
      </c>
      <c r="S230" s="26">
        <f>IFERROR(_xlfn.PERCENTRANK.INC(Table21112164202122232534353637[True Rank],_xlfn.XLOOKUP(Table1624[[#This Row],[Name]],Table21112164202122232534353637[Name],Table21112164202122232534353637[True Rank],"DNP",0,1)),"DNP")</f>
        <v>3.4000000000000002E-2</v>
      </c>
      <c r="T2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 spans="2:33">
      <c r="B231" t="str">
        <f>IFERROR(Table5[[#This Row],[Full name]],"")</f>
        <v>Liam Surka</v>
      </c>
      <c r="C231" s="108" t="str">
        <f>IFERROR(AVERAGE(Table1624[[#This Row],[September 30, 2025]:[Column18]]),"N/A")</f>
        <v>N/A</v>
      </c>
      <c r="D231" s="26" t="str">
        <f>IFERROR(_xlfn.PERCENTRANK.INC(Table4[True Rank],_xlfn.XLOOKUP(Table1624[[#This Row],[Name]],Table4[Name],Table4[True Rank],"DNP",0,1)),"DNP")</f>
        <v>DNP</v>
      </c>
      <c r="E231" s="26" t="str">
        <f>IFERROR(_xlfn.PERCENTRANK.INC(Table9[True Rank],_xlfn.XLOOKUP(Table1624[[#This Row],[Name]],Table9[Name],Table9[True Rank],"DNP",0,1)),"DNP")</f>
        <v>DNP</v>
      </c>
      <c r="F231" s="26" t="str">
        <f>IFERROR(_xlfn.PERCENTRANK.INC(Table18[True Rank],_xlfn.XLOOKUP(Table1624[[#This Row],[Name]],Table18[Name],Table18[True Rank],"DNP",0,1)),"DNP")</f>
        <v>DNP</v>
      </c>
      <c r="G231" s="26" t="str">
        <f>IFERROR(_xlfn.PERCENTRANK.INC(Table2[True Rank],_xlfn.XLOOKUP(Table1624[[#This Row],[Name]],Table2[Name],Table2[True Rank],"DNP",0,1)),"DNP")</f>
        <v>DNP</v>
      </c>
      <c r="H231" s="26" t="str">
        <f>IFERROR(_xlfn.PERCENTRANK.INC(Table211[True Rank],_xlfn.XLOOKUP(Table1624[[#This Row],[Name]],Table211[Name],Table211[True Rank],"DNP",0,1)),"DNP")</f>
        <v>DNP</v>
      </c>
      <c r="I231" s="26" t="str">
        <f>IFERROR(_xlfn.PERCENTRANK.INC(Table21112[True Rank],_xlfn.XLOOKUP(Table1624[[#This Row],[Name]],Table21112[Name],Table21112[True Rank],"DNP",0,1)),"DNP")</f>
        <v>DNP</v>
      </c>
      <c r="J231" s="26" t="str">
        <f>IFERROR(_xlfn.PERCENTRANK.INC(Table21112164[True Rank],_xlfn.XLOOKUP(Table1624[[#This Row],[Name]],Table21112164[Name],Table21112164[True Rank],"DNP",0,1)),"DNP")</f>
        <v>DNP</v>
      </c>
      <c r="K231" s="26" t="str">
        <f>IFERROR(_xlfn.PERCENTRANK.INC(Table2111216420[True Rank],_xlfn.XLOOKUP(Table1624[[#This Row],[Name]],Table2111216420[Name],Table2111216420[True Rank],"DNP",0,1)),"DNP")</f>
        <v>DNP</v>
      </c>
      <c r="L231" s="26" t="str">
        <f>IFERROR(_xlfn.PERCENTRANK.INC(Table211121642021[True Rank],_xlfn.XLOOKUP(Table1624[[#This Row],[Name]],Table211121642021[Name],Table211121642021[True Rank],"DNP",0,1)),"DNP")</f>
        <v>DNP</v>
      </c>
      <c r="M231" s="26" t="str">
        <f>IFERROR(_xlfn.PERCENTRANK.INC(Table21112164202122[True Rank],_xlfn.XLOOKUP(Table1624[[#This Row],[Name]],Table21112164202122[Name],Table21112164202122[True Rank],"DNP",0,1)),"DNP")</f>
        <v>DNP</v>
      </c>
      <c r="N231" s="26" t="str">
        <f>IFERROR(_xlfn.PERCENTRANK.INC(Table2111216420212223[True Rank],_xlfn.XLOOKUP(Table1624[[#This Row],[Name]],Table2111216420212223[Name],Table2111216420212223[True Rank],"DNP",0,1)),"DNP")</f>
        <v>DNP</v>
      </c>
      <c r="O231" s="26" t="str">
        <f>IFERROR(_xlfn.PERCENTRANK.INC(Table211121642021222325[True Rank],_xlfn.XLOOKUP(Table1624[[#This Row],[Name]],Table211121642021222325[Name],Table211121642021222325[True Rank],"DNP",0,1)),"DNP")</f>
        <v>DNP</v>
      </c>
      <c r="P231" s="26" t="str">
        <f>IFERROR(_xlfn.PERCENTRANK.INC(Table21112164202122232534[True Rank],_xlfn.XLOOKUP(Table1624[[#This Row],[Name]],Table21112164202122232534[Name],Table21112164202122232534[True Rank],"DNP",0,1)),"DNP")</f>
        <v>DNP</v>
      </c>
      <c r="Q2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 spans="2:33">
      <c r="B232" t="str">
        <f>IFERROR(Table5[[#This Row],[Full name]],"")</f>
        <v>Lidia Permia</v>
      </c>
      <c r="C232" s="108">
        <f>IFERROR(AVERAGE(Table1624[[#This Row],[September 30, 2025]:[Column18]]),"N/A")</f>
        <v>0.23499999999999999</v>
      </c>
      <c r="D232" s="26" t="str">
        <f>IFERROR(_xlfn.PERCENTRANK.INC(Table4[True Rank],_xlfn.XLOOKUP(Table1624[[#This Row],[Name]],Table4[Name],Table4[True Rank],"DNP",0,1)),"DNP")</f>
        <v>DNP</v>
      </c>
      <c r="E232" s="26" t="str">
        <f>IFERROR(_xlfn.PERCENTRANK.INC(Table9[True Rank],_xlfn.XLOOKUP(Table1624[[#This Row],[Name]],Table9[Name],Table9[True Rank],"DNP",0,1)),"DNP")</f>
        <v>DNP</v>
      </c>
      <c r="F232" s="26" t="str">
        <f>IFERROR(_xlfn.PERCENTRANK.INC(Table18[True Rank],_xlfn.XLOOKUP(Table1624[[#This Row],[Name]],Table18[Name],Table18[True Rank],"DNP",0,1)),"DNP")</f>
        <v>DNP</v>
      </c>
      <c r="G232" s="26" t="str">
        <f>IFERROR(_xlfn.PERCENTRANK.INC(Table2[True Rank],_xlfn.XLOOKUP(Table1624[[#This Row],[Name]],Table2[Name],Table2[True Rank],"DNP",0,1)),"DNP")</f>
        <v>DNP</v>
      </c>
      <c r="H232" s="26" t="str">
        <f>IFERROR(_xlfn.PERCENTRANK.INC(Table211[True Rank],_xlfn.XLOOKUP(Table1624[[#This Row],[Name]],Table211[Name],Table211[True Rank],"DNP",0,1)),"DNP")</f>
        <v>DNP</v>
      </c>
      <c r="I232" s="26" t="str">
        <f>IFERROR(_xlfn.PERCENTRANK.INC(Table21112[True Rank],_xlfn.XLOOKUP(Table1624[[#This Row],[Name]],Table21112[Name],Table21112[True Rank],"DNP",0,1)),"DNP")</f>
        <v>DNP</v>
      </c>
      <c r="J232" s="26">
        <f>IFERROR(_xlfn.PERCENTRANK.INC(Table21112164[True Rank],_xlfn.XLOOKUP(Table1624[[#This Row],[Name]],Table21112164[Name],Table21112164[True Rank],"DNP",0,1)),"DNP")</f>
        <v>0.23499999999999999</v>
      </c>
      <c r="K232" s="26" t="str">
        <f>IFERROR(_xlfn.PERCENTRANK.INC(Table2111216420[True Rank],_xlfn.XLOOKUP(Table1624[[#This Row],[Name]],Table2111216420[Name],Table2111216420[True Rank],"DNP",0,1)),"DNP")</f>
        <v>DNP</v>
      </c>
      <c r="L232" s="26" t="str">
        <f>IFERROR(_xlfn.PERCENTRANK.INC(Table211121642021[True Rank],_xlfn.XLOOKUP(Table1624[[#This Row],[Name]],Table211121642021[Name],Table211121642021[True Rank],"DNP",0,1)),"DNP")</f>
        <v>DNP</v>
      </c>
      <c r="M232" s="26" t="str">
        <f>IFERROR(_xlfn.PERCENTRANK.INC(Table21112164202122[True Rank],_xlfn.XLOOKUP(Table1624[[#This Row],[Name]],Table21112164202122[Name],Table21112164202122[True Rank],"DNP",0,1)),"DNP")</f>
        <v>DNP</v>
      </c>
      <c r="N232" s="26" t="str">
        <f>IFERROR(_xlfn.PERCENTRANK.INC(Table2111216420212223[True Rank],_xlfn.XLOOKUP(Table1624[[#This Row],[Name]],Table2111216420212223[Name],Table2111216420212223[True Rank],"DNP",0,1)),"DNP")</f>
        <v>DNP</v>
      </c>
      <c r="O232" s="26" t="str">
        <f>IFERROR(_xlfn.PERCENTRANK.INC(Table211121642021222325[True Rank],_xlfn.XLOOKUP(Table1624[[#This Row],[Name]],Table211121642021222325[Name],Table211121642021222325[True Rank],"DNP",0,1)),"DNP")</f>
        <v>DNP</v>
      </c>
      <c r="P232" s="26" t="str">
        <f>IFERROR(_xlfn.PERCENTRANK.INC(Table21112164202122232534[True Rank],_xlfn.XLOOKUP(Table1624[[#This Row],[Name]],Table21112164202122232534[Name],Table21112164202122232534[True Rank],"DNP",0,1)),"DNP")</f>
        <v>DNP</v>
      </c>
      <c r="Q23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 spans="2:33">
      <c r="B233" t="str">
        <f>IFERROR(Table5[[#This Row],[Full name]],"")</f>
        <v>Louis Vaupotic</v>
      </c>
      <c r="C233" s="108" t="str">
        <f>IFERROR(AVERAGE(Table1624[[#This Row],[September 30, 2025]:[Column18]]),"N/A")</f>
        <v>N/A</v>
      </c>
      <c r="D233" s="26" t="str">
        <f>IFERROR(_xlfn.PERCENTRANK.INC(Table4[True Rank],_xlfn.XLOOKUP(Table1624[[#This Row],[Name]],Table4[Name],Table4[True Rank],"DNP",0,1)),"DNP")</f>
        <v>DNP</v>
      </c>
      <c r="E233" s="26" t="str">
        <f>IFERROR(_xlfn.PERCENTRANK.INC(Table9[True Rank],_xlfn.XLOOKUP(Table1624[[#This Row],[Name]],Table9[Name],Table9[True Rank],"DNP",0,1)),"DNP")</f>
        <v>DNP</v>
      </c>
      <c r="F233" s="26" t="str">
        <f>IFERROR(_xlfn.PERCENTRANK.INC(Table18[True Rank],_xlfn.XLOOKUP(Table1624[[#This Row],[Name]],Table18[Name],Table18[True Rank],"DNP",0,1)),"DNP")</f>
        <v>DNP</v>
      </c>
      <c r="G233" s="26" t="str">
        <f>IFERROR(_xlfn.PERCENTRANK.INC(Table2[True Rank],_xlfn.XLOOKUP(Table1624[[#This Row],[Name]],Table2[Name],Table2[True Rank],"DNP",0,1)),"DNP")</f>
        <v>DNP</v>
      </c>
      <c r="H233" s="26" t="str">
        <f>IFERROR(_xlfn.PERCENTRANK.INC(Table211[True Rank],_xlfn.XLOOKUP(Table1624[[#This Row],[Name]],Table211[Name],Table211[True Rank],"DNP",0,1)),"DNP")</f>
        <v>DNP</v>
      </c>
      <c r="I233" s="26" t="str">
        <f>IFERROR(_xlfn.PERCENTRANK.INC(Table21112[True Rank],_xlfn.XLOOKUP(Table1624[[#This Row],[Name]],Table21112[Name],Table21112[True Rank],"DNP",0,1)),"DNP")</f>
        <v>DNP</v>
      </c>
      <c r="J233" s="26" t="str">
        <f>IFERROR(_xlfn.PERCENTRANK.INC(Table21112164[True Rank],_xlfn.XLOOKUP(Table1624[[#This Row],[Name]],Table21112164[Name],Table21112164[True Rank],"DNP",0,1)),"DNP")</f>
        <v>DNP</v>
      </c>
      <c r="K233" s="26" t="str">
        <f>IFERROR(_xlfn.PERCENTRANK.INC(Table2111216420[True Rank],_xlfn.XLOOKUP(Table1624[[#This Row],[Name]],Table2111216420[Name],Table2111216420[True Rank],"DNP",0,1)),"DNP")</f>
        <v>DNP</v>
      </c>
      <c r="L233" s="26" t="str">
        <f>IFERROR(_xlfn.PERCENTRANK.INC(Table211121642021[True Rank],_xlfn.XLOOKUP(Table1624[[#This Row],[Name]],Table211121642021[Name],Table211121642021[True Rank],"DNP",0,1)),"DNP")</f>
        <v>DNP</v>
      </c>
      <c r="M233" s="26" t="str">
        <f>IFERROR(_xlfn.PERCENTRANK.INC(Table21112164202122[True Rank],_xlfn.XLOOKUP(Table1624[[#This Row],[Name]],Table21112164202122[Name],Table21112164202122[True Rank],"DNP",0,1)),"DNP")</f>
        <v>DNP</v>
      </c>
      <c r="N233" s="26" t="str">
        <f>IFERROR(_xlfn.PERCENTRANK.INC(Table2111216420212223[True Rank],_xlfn.XLOOKUP(Table1624[[#This Row],[Name]],Table2111216420212223[Name],Table2111216420212223[True Rank],"DNP",0,1)),"DNP")</f>
        <v>DNP</v>
      </c>
      <c r="O233" s="26" t="str">
        <f>IFERROR(_xlfn.PERCENTRANK.INC(Table211121642021222325[True Rank],_xlfn.XLOOKUP(Table1624[[#This Row],[Name]],Table211121642021222325[Name],Table211121642021222325[True Rank],"DNP",0,1)),"DNP")</f>
        <v>DNP</v>
      </c>
      <c r="P233" s="26" t="str">
        <f>IFERROR(_xlfn.PERCENTRANK.INC(Table21112164202122232534[True Rank],_xlfn.XLOOKUP(Table1624[[#This Row],[Name]],Table21112164202122232534[Name],Table21112164202122232534[True Rank],"DNP",0,1)),"DNP")</f>
        <v>DNP</v>
      </c>
      <c r="Q23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 spans="2:33">
      <c r="B234" t="str">
        <f>IFERROR(Table5[[#This Row],[Full name]],"")</f>
        <v>Luckshane Imparaza</v>
      </c>
      <c r="C234" s="108">
        <f>IFERROR(AVERAGE(Table1624[[#This Row],[September 30, 2025]:[Column18]]),"N/A")</f>
        <v>0.34439999999999993</v>
      </c>
      <c r="D234" s="26">
        <f>IFERROR(_xlfn.PERCENTRANK.INC(Table4[True Rank],_xlfn.XLOOKUP(Table1624[[#This Row],[Name]],Table4[Name],Table4[True Rank],"DNP",0,1)),"DNP")</f>
        <v>0.27500000000000002</v>
      </c>
      <c r="E234" s="26" t="str">
        <f>IFERROR(_xlfn.PERCENTRANK.INC(Table9[True Rank],_xlfn.XLOOKUP(Table1624[[#This Row],[Name]],Table9[Name],Table9[True Rank],"DNP",0,1)),"DNP")</f>
        <v>DNP</v>
      </c>
      <c r="F234" s="26">
        <f>IFERROR(_xlfn.PERCENTRANK.INC(Table18[True Rank],_xlfn.XLOOKUP(Table1624[[#This Row],[Name]],Table18[Name],Table18[True Rank],"DNP",0,1)),"DNP")</f>
        <v>0.06</v>
      </c>
      <c r="G234" s="26">
        <f>IFERROR(_xlfn.PERCENTRANK.INC(Table2[True Rank],_xlfn.XLOOKUP(Table1624[[#This Row],[Name]],Table2[Name],Table2[True Rank],"DNP",0,1)),"DNP")</f>
        <v>0.16600000000000001</v>
      </c>
      <c r="H234" s="26" t="str">
        <f>IFERROR(_xlfn.PERCENTRANK.INC(Table211[True Rank],_xlfn.XLOOKUP(Table1624[[#This Row],[Name]],Table211[Name],Table211[True Rank],"DNP",0,1)),"DNP")</f>
        <v>DNP</v>
      </c>
      <c r="I234" s="26">
        <f>IFERROR(_xlfn.PERCENTRANK.INC(Table21112[True Rank],_xlfn.XLOOKUP(Table1624[[#This Row],[Name]],Table21112[Name],Table21112[True Rank],"DNP",0,1)),"DNP")</f>
        <v>0.871</v>
      </c>
      <c r="J234" s="26">
        <f>IFERROR(_xlfn.PERCENTRANK.INC(Table21112164[True Rank],_xlfn.XLOOKUP(Table1624[[#This Row],[Name]],Table21112164[Name],Table21112164[True Rank],"DNP",0,1)),"DNP")</f>
        <v>0.73</v>
      </c>
      <c r="K234" s="26">
        <f>IFERROR(_xlfn.PERCENTRANK.INC(Table2111216420[True Rank],_xlfn.XLOOKUP(Table1624[[#This Row],[Name]],Table2111216420[Name],Table2111216420[True Rank],"DNP",0,1)),"DNP")</f>
        <v>0.223</v>
      </c>
      <c r="L234" s="26">
        <f>IFERROR(_xlfn.PERCENTRANK.INC(Table211121642021[True Rank],_xlfn.XLOOKUP(Table1624[[#This Row],[Name]],Table211121642021[Name],Table211121642021[True Rank],"DNP",0,1)),"DNP")</f>
        <v>0.161</v>
      </c>
      <c r="M234" s="26">
        <f>IFERROR(_xlfn.PERCENTRANK.INC(Table21112164202122[True Rank],_xlfn.XLOOKUP(Table1624[[#This Row],[Name]],Table21112164202122[Name],Table21112164202122[True Rank],"DNP",0,1)),"DNP")</f>
        <v>0.35199999999999998</v>
      </c>
      <c r="N234" s="26" t="str">
        <f>IFERROR(_xlfn.PERCENTRANK.INC(Table2111216420212223[True Rank],_xlfn.XLOOKUP(Table1624[[#This Row],[Name]],Table2111216420212223[Name],Table2111216420212223[True Rank],"DNP",0,1)),"DNP")</f>
        <v>DNP</v>
      </c>
      <c r="O234" s="26">
        <f>IFERROR(_xlfn.PERCENTRANK.INC(Table211121642021222325[True Rank],_xlfn.XLOOKUP(Table1624[[#This Row],[Name]],Table211121642021222325[Name],Table211121642021222325[True Rank],"DNP",0,1)),"DNP")</f>
        <v>0.153</v>
      </c>
      <c r="P234" s="26" t="str">
        <f>IFERROR(_xlfn.PERCENTRANK.INC(Table21112164202122232534[True Rank],_xlfn.XLOOKUP(Table1624[[#This Row],[Name]],Table21112164202122232534[Name],Table21112164202122232534[True Rank],"DNP",0,1)),"DNP")</f>
        <v>DNP</v>
      </c>
      <c r="Q234" s="26">
        <f>IFERROR(_xlfn.PERCENTRANK.INC(Table2111216420212223253435[True Rank],_xlfn.XLOOKUP(Table1624[[#This Row],[Name]],Table2111216420212223253435[Name],Table2111216420212223253435[True Rank],"DNP",0,1)),"DNP")</f>
        <v>0.45300000000000001</v>
      </c>
      <c r="R23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 spans="2:33">
      <c r="B235" t="str">
        <f>IFERROR(Table5[[#This Row],[Full name]],"")</f>
        <v>Lucy Kim</v>
      </c>
      <c r="C235" s="108">
        <f>IFERROR(AVERAGE(Table1624[[#This Row],[September 30, 2025]:[Column18]]),"N/A")</f>
        <v>0.36892307692307696</v>
      </c>
      <c r="D235" s="26" t="str">
        <f>IFERROR(_xlfn.PERCENTRANK.INC(Table4[True Rank],_xlfn.XLOOKUP(Table1624[[#This Row],[Name]],Table4[Name],Table4[True Rank],"DNP",0,1)),"DNP")</f>
        <v>DNP</v>
      </c>
      <c r="E235" s="26">
        <f>IFERROR(_xlfn.PERCENTRANK.INC(Table9[True Rank],_xlfn.XLOOKUP(Table1624[[#This Row],[Name]],Table9[Name],Table9[True Rank],"DNP",0,1)),"DNP")</f>
        <v>0.40200000000000002</v>
      </c>
      <c r="F235" s="26" t="str">
        <f>IFERROR(_xlfn.PERCENTRANK.INC(Table18[True Rank],_xlfn.XLOOKUP(Table1624[[#This Row],[Name]],Table18[Name],Table18[True Rank],"DNP",0,1)),"DNP")</f>
        <v>DNP</v>
      </c>
      <c r="G235" s="26">
        <f>IFERROR(_xlfn.PERCENTRANK.INC(Table2[True Rank],_xlfn.XLOOKUP(Table1624[[#This Row],[Name]],Table2[Name],Table2[True Rank],"DNP",0,1)),"DNP")</f>
        <v>0.14199999999999999</v>
      </c>
      <c r="H235" s="26">
        <f>IFERROR(_xlfn.PERCENTRANK.INC(Table211[True Rank],_xlfn.XLOOKUP(Table1624[[#This Row],[Name]],Table211[Name],Table211[True Rank],"DNP",0,1)),"DNP")</f>
        <v>0.28100000000000003</v>
      </c>
      <c r="I235" s="26">
        <f>IFERROR(_xlfn.PERCENTRANK.INC(Table21112[True Rank],_xlfn.XLOOKUP(Table1624[[#This Row],[Name]],Table21112[Name],Table21112[True Rank],"DNP",0,1)),"DNP")</f>
        <v>0.435</v>
      </c>
      <c r="J235" s="26">
        <f>IFERROR(_xlfn.PERCENTRANK.INC(Table21112164[True Rank],_xlfn.XLOOKUP(Table1624[[#This Row],[Name]],Table21112164[Name],Table21112164[True Rank],"DNP",0,1)),"DNP")</f>
        <v>0.76400000000000001</v>
      </c>
      <c r="K235" s="26">
        <f>IFERROR(_xlfn.PERCENTRANK.INC(Table2111216420[True Rank],_xlfn.XLOOKUP(Table1624[[#This Row],[Name]],Table2111216420[Name],Table2111216420[True Rank],"DNP",0,1)),"DNP")</f>
        <v>0.223</v>
      </c>
      <c r="L235" s="26">
        <f>IFERROR(_xlfn.PERCENTRANK.INC(Table211121642021[True Rank],_xlfn.XLOOKUP(Table1624[[#This Row],[Name]],Table211121642021[Name],Table211121642021[True Rank],"DNP",0,1)),"DNP")</f>
        <v>0.38700000000000001</v>
      </c>
      <c r="M235" s="26">
        <f>IFERROR(_xlfn.PERCENTRANK.INC(Table21112164202122[True Rank],_xlfn.XLOOKUP(Table1624[[#This Row],[Name]],Table21112164202122[Name],Table21112164202122[True Rank],"DNP",0,1)),"DNP")</f>
        <v>0.65900000000000003</v>
      </c>
      <c r="N235" s="26">
        <f>IFERROR(_xlfn.PERCENTRANK.INC(Table2111216420212223[True Rank],_xlfn.XLOOKUP(Table1624[[#This Row],[Name]],Table2111216420212223[Name],Table2111216420212223[True Rank],"DNP",0,1)),"DNP")</f>
        <v>4.2999999999999997E-2</v>
      </c>
      <c r="O235" s="26">
        <f>IFERROR(_xlfn.PERCENTRANK.INC(Table211121642021222325[True Rank],_xlfn.XLOOKUP(Table1624[[#This Row],[Name]],Table211121642021222325[Name],Table211121642021222325[True Rank],"DNP",0,1)),"DNP")</f>
        <v>0.20799999999999999</v>
      </c>
      <c r="P235" s="26">
        <f>IFERROR(_xlfn.PERCENTRANK.INC(Table21112164202122232534[True Rank],_xlfn.XLOOKUP(Table1624[[#This Row],[Name]],Table21112164202122232534[Name],Table21112164202122232534[True Rank],"DNP",0,1)),"DNP")</f>
        <v>0.42799999999999999</v>
      </c>
      <c r="Q23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5" s="26">
        <f>IFERROR(_xlfn.PERCENTRANK.INC(Table211121642021222325343536[True Rank],_xlfn.XLOOKUP(Table1624[[#This Row],[Name]],Table211121642021222325343536[Name],Table211121642021222325343536[True Rank],"DNP",0,1)),"DNP")</f>
        <v>0.39300000000000002</v>
      </c>
      <c r="S235" s="26">
        <f>IFERROR(_xlfn.PERCENTRANK.INC(Table21112164202122232534353637[True Rank],_xlfn.XLOOKUP(Table1624[[#This Row],[Name]],Table21112164202122232534353637[Name],Table21112164202122232534353637[True Rank],"DNP",0,1)),"DNP")</f>
        <v>0.43099999999999999</v>
      </c>
      <c r="T23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 spans="2:33">
      <c r="B236" t="str">
        <f>IFERROR(Table5[[#This Row],[Full name]],"")</f>
        <v>Luke Bannan</v>
      </c>
      <c r="C236" s="108">
        <f>IFERROR(AVERAGE(Table1624[[#This Row],[September 30, 2025]:[Column18]]),"N/A")</f>
        <v>0.59799999999999998</v>
      </c>
      <c r="D236" s="26">
        <f>IFERROR(_xlfn.PERCENTRANK.INC(Table4[True Rank],_xlfn.XLOOKUP(Table1624[[#This Row],[Name]],Table4[Name],Table4[True Rank],"DNP",0,1)),"DNP")</f>
        <v>0.70599999999999996</v>
      </c>
      <c r="E236" s="26">
        <f>IFERROR(_xlfn.PERCENTRANK.INC(Table9[True Rank],_xlfn.XLOOKUP(Table1624[[#This Row],[Name]],Table9[Name],Table9[True Rank],"DNP",0,1)),"DNP")</f>
        <v>0.14899999999999999</v>
      </c>
      <c r="F236" s="26" t="str">
        <f>IFERROR(_xlfn.PERCENTRANK.INC(Table18[True Rank],_xlfn.XLOOKUP(Table1624[[#This Row],[Name]],Table18[Name],Table18[True Rank],"DNP",0,1)),"DNP")</f>
        <v>DNP</v>
      </c>
      <c r="G236" s="26">
        <f>IFERROR(_xlfn.PERCENTRANK.INC(Table2[True Rank],_xlfn.XLOOKUP(Table1624[[#This Row],[Name]],Table2[Name],Table2[True Rank],"DNP",0,1)),"DNP")</f>
        <v>0.85699999999999998</v>
      </c>
      <c r="H236" s="26" t="str">
        <f>IFERROR(_xlfn.PERCENTRANK.INC(Table211[True Rank],_xlfn.XLOOKUP(Table1624[[#This Row],[Name]],Table211[Name],Table211[True Rank],"DNP",0,1)),"DNP")</f>
        <v>DNP</v>
      </c>
      <c r="I236" s="26" t="str">
        <f>IFERROR(_xlfn.PERCENTRANK.INC(Table21112[True Rank],_xlfn.XLOOKUP(Table1624[[#This Row],[Name]],Table21112[Name],Table21112[True Rank],"DNP",0,1)),"DNP")</f>
        <v>DNP</v>
      </c>
      <c r="J236" s="26" t="str">
        <f>IFERROR(_xlfn.PERCENTRANK.INC(Table21112164[True Rank],_xlfn.XLOOKUP(Table1624[[#This Row],[Name]],Table21112164[Name],Table21112164[True Rank],"DNP",0,1)),"DNP")</f>
        <v>DNP</v>
      </c>
      <c r="K236" s="26">
        <f>IFERROR(_xlfn.PERCENTRANK.INC(Table2111216420[True Rank],_xlfn.XLOOKUP(Table1624[[#This Row],[Name]],Table2111216420[Name],Table2111216420[True Rank],"DNP",0,1)),"DNP")</f>
        <v>0.68</v>
      </c>
      <c r="L236" s="26" t="str">
        <f>IFERROR(_xlfn.PERCENTRANK.INC(Table211121642021[True Rank],_xlfn.XLOOKUP(Table1624[[#This Row],[Name]],Table211121642021[Name],Table211121642021[True Rank],"DNP",0,1)),"DNP")</f>
        <v>DNP</v>
      </c>
      <c r="M236" s="26" t="str">
        <f>IFERROR(_xlfn.PERCENTRANK.INC(Table21112164202122[True Rank],_xlfn.XLOOKUP(Table1624[[#This Row],[Name]],Table21112164202122[Name],Table21112164202122[True Rank],"DNP",0,1)),"DNP")</f>
        <v>DNP</v>
      </c>
      <c r="N236" s="26" t="str">
        <f>IFERROR(_xlfn.PERCENTRANK.INC(Table2111216420212223[True Rank],_xlfn.XLOOKUP(Table1624[[#This Row],[Name]],Table2111216420212223[Name],Table2111216420212223[True Rank],"DNP",0,1)),"DNP")</f>
        <v>DNP</v>
      </c>
      <c r="O236" s="26" t="str">
        <f>IFERROR(_xlfn.PERCENTRANK.INC(Table211121642021222325[True Rank],_xlfn.XLOOKUP(Table1624[[#This Row],[Name]],Table211121642021222325[Name],Table211121642021222325[True Rank],"DNP",0,1)),"DNP")</f>
        <v>DNP</v>
      </c>
      <c r="P236" s="26" t="str">
        <f>IFERROR(_xlfn.PERCENTRANK.INC(Table21112164202122232534[True Rank],_xlfn.XLOOKUP(Table1624[[#This Row],[Name]],Table21112164202122232534[Name],Table21112164202122232534[True Rank],"DNP",0,1)),"DNP")</f>
        <v>DNP</v>
      </c>
      <c r="Q23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 spans="2:33">
      <c r="B237" t="str">
        <f>IFERROR(Table5[[#This Row],[Full name]],"")</f>
        <v>Mahbod Miraly</v>
      </c>
      <c r="C237" s="108">
        <f>IFERROR(AVERAGE(Table1624[[#This Row],[September 30, 2025]:[Column18]]),"N/A")</f>
        <v>0.45579999999999998</v>
      </c>
      <c r="D237" s="26" t="str">
        <f>IFERROR(_xlfn.PERCENTRANK.INC(Table4[True Rank],_xlfn.XLOOKUP(Table1624[[#This Row],[Name]],Table4[Name],Table4[True Rank],"DNP",0,1)),"DNP")</f>
        <v>DNP</v>
      </c>
      <c r="E237" s="26" t="str">
        <f>IFERROR(_xlfn.PERCENTRANK.INC(Table9[True Rank],_xlfn.XLOOKUP(Table1624[[#This Row],[Name]],Table9[Name],Table9[True Rank],"DNP",0,1)),"DNP")</f>
        <v>DNP</v>
      </c>
      <c r="F237" s="26">
        <f>IFERROR(_xlfn.PERCENTRANK.INC(Table18[True Rank],_xlfn.XLOOKUP(Table1624[[#This Row],[Name]],Table18[Name],Table18[True Rank],"DNP",0,1)),"DNP")</f>
        <v>0.747</v>
      </c>
      <c r="G237" s="26">
        <f>IFERROR(_xlfn.PERCENTRANK.INC(Table2[True Rank],_xlfn.XLOOKUP(Table1624[[#This Row],[Name]],Table2[Name],Table2[True Rank],"DNP",0,1)),"DNP")</f>
        <v>0.107</v>
      </c>
      <c r="H237" s="26" t="str">
        <f>IFERROR(_xlfn.PERCENTRANK.INC(Table211[True Rank],_xlfn.XLOOKUP(Table1624[[#This Row],[Name]],Table211[Name],Table211[True Rank],"DNP",0,1)),"DNP")</f>
        <v>DNP</v>
      </c>
      <c r="I237" s="26" t="str">
        <f>IFERROR(_xlfn.PERCENTRANK.INC(Table21112[True Rank],_xlfn.XLOOKUP(Table1624[[#This Row],[Name]],Table21112[Name],Table21112[True Rank],"DNP",0,1)),"DNP")</f>
        <v>DNP</v>
      </c>
      <c r="J237" s="26" t="str">
        <f>IFERROR(_xlfn.PERCENTRANK.INC(Table21112164[True Rank],_xlfn.XLOOKUP(Table1624[[#This Row],[Name]],Table21112164[Name],Table21112164[True Rank],"DNP",0,1)),"DNP")</f>
        <v>DNP</v>
      </c>
      <c r="K237" s="26">
        <f>IFERROR(_xlfn.PERCENTRANK.INC(Table2111216420[True Rank],_xlfn.XLOOKUP(Table1624[[#This Row],[Name]],Table2111216420[Name],Table2111216420[True Rank],"DNP",0,1)),"DNP")</f>
        <v>0.106</v>
      </c>
      <c r="L237" s="26">
        <f>IFERROR(_xlfn.PERCENTRANK.INC(Table211121642021[True Rank],_xlfn.XLOOKUP(Table1624[[#This Row],[Name]],Table211121642021[Name],Table211121642021[True Rank],"DNP",0,1)),"DNP")</f>
        <v>0.35399999999999998</v>
      </c>
      <c r="M237" s="26" t="str">
        <f>IFERROR(_xlfn.PERCENTRANK.INC(Table21112164202122[True Rank],_xlfn.XLOOKUP(Table1624[[#This Row],[Name]],Table21112164202122[Name],Table21112164202122[True Rank],"DNP",0,1)),"DNP")</f>
        <v>DNP</v>
      </c>
      <c r="N237" s="26" t="str">
        <f>IFERROR(_xlfn.PERCENTRANK.INC(Table2111216420212223[True Rank],_xlfn.XLOOKUP(Table1624[[#This Row],[Name]],Table2111216420212223[Name],Table2111216420212223[True Rank],"DNP",0,1)),"DNP")</f>
        <v>DNP</v>
      </c>
      <c r="O237" s="26" t="str">
        <f>IFERROR(_xlfn.PERCENTRANK.INC(Table211121642021222325[True Rank],_xlfn.XLOOKUP(Table1624[[#This Row],[Name]],Table211121642021222325[Name],Table211121642021222325[True Rank],"DNP",0,1)),"DNP")</f>
        <v>DNP</v>
      </c>
      <c r="P237" s="26" t="str">
        <f>IFERROR(_xlfn.PERCENTRANK.INC(Table21112164202122232534[True Rank],_xlfn.XLOOKUP(Table1624[[#This Row],[Name]],Table21112164202122232534[Name],Table21112164202122232534[True Rank],"DNP",0,1)),"DNP")</f>
        <v>DNP</v>
      </c>
      <c r="Q2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7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2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 spans="2:33">
      <c r="B238" t="str">
        <f>IFERROR(Table5[[#This Row],[Full name]],"")</f>
        <v>Marcel Cannan La France</v>
      </c>
      <c r="C238" s="108">
        <f>IFERROR(AVERAGE(Table1624[[#This Row],[September 30, 2025]:[Column18]]),"N/A")</f>
        <v>0.5848000000000001</v>
      </c>
      <c r="D238" s="26" t="str">
        <f>IFERROR(_xlfn.PERCENTRANK.INC(Table4[True Rank],_xlfn.XLOOKUP(Table1624[[#This Row],[Name]],Table4[Name],Table4[True Rank],"DNP",0,1)),"DNP")</f>
        <v>DNP</v>
      </c>
      <c r="E238" s="26">
        <f>IFERROR(_xlfn.PERCENTRANK.INC(Table9[True Rank],_xlfn.XLOOKUP(Table1624[[#This Row],[Name]],Table9[Name],Table9[True Rank],"DNP",0,1)),"DNP")</f>
        <v>0.20599999999999999</v>
      </c>
      <c r="F238" s="26">
        <f>IFERROR(_xlfn.PERCENTRANK.INC(Table18[True Rank],_xlfn.XLOOKUP(Table1624[[#This Row],[Name]],Table18[Name],Table18[True Rank],"DNP",0,1)),"DNP")</f>
        <v>0.67600000000000005</v>
      </c>
      <c r="G238" s="26" t="str">
        <f>IFERROR(_xlfn.PERCENTRANK.INC(Table2[True Rank],_xlfn.XLOOKUP(Table1624[[#This Row],[Name]],Table2[Name],Table2[True Rank],"DNP",0,1)),"DNP")</f>
        <v>DNP</v>
      </c>
      <c r="H238" s="26">
        <f>IFERROR(_xlfn.PERCENTRANK.INC(Table211[True Rank],_xlfn.XLOOKUP(Table1624[[#This Row],[Name]],Table211[Name],Table211[True Rank],"DNP",0,1)),"DNP")</f>
        <v>0.36599999999999999</v>
      </c>
      <c r="I238" s="26" t="str">
        <f>IFERROR(_xlfn.PERCENTRANK.INC(Table21112[True Rank],_xlfn.XLOOKUP(Table1624[[#This Row],[Name]],Table21112[Name],Table21112[True Rank],"DNP",0,1)),"DNP")</f>
        <v>DNP</v>
      </c>
      <c r="J238" s="26" t="str">
        <f>IFERROR(_xlfn.PERCENTRANK.INC(Table21112164[True Rank],_xlfn.XLOOKUP(Table1624[[#This Row],[Name]],Table21112164[Name],Table21112164[True Rank],"DNP",0,1)),"DNP")</f>
        <v>DNP</v>
      </c>
      <c r="K238" s="26">
        <f>IFERROR(_xlfn.PERCENTRANK.INC(Table2111216420[True Rank],_xlfn.XLOOKUP(Table1624[[#This Row],[Name]],Table2111216420[Name],Table2111216420[True Rank],"DNP",0,1)),"DNP")</f>
        <v>0.81899999999999995</v>
      </c>
      <c r="L238" s="26" t="str">
        <f>IFERROR(_xlfn.PERCENTRANK.INC(Table211121642021[True Rank],_xlfn.XLOOKUP(Table1624[[#This Row],[Name]],Table211121642021[Name],Table211121642021[True Rank],"DNP",0,1)),"DNP")</f>
        <v>DNP</v>
      </c>
      <c r="M238" s="26" t="str">
        <f>IFERROR(_xlfn.PERCENTRANK.INC(Table21112164202122[True Rank],_xlfn.XLOOKUP(Table1624[[#This Row],[Name]],Table21112164202122[Name],Table21112164202122[True Rank],"DNP",0,1)),"DNP")</f>
        <v>DNP</v>
      </c>
      <c r="N238" s="26">
        <f>IFERROR(_xlfn.PERCENTRANK.INC(Table2111216420212223[True Rank],_xlfn.XLOOKUP(Table1624[[#This Row],[Name]],Table2111216420212223[Name],Table2111216420212223[True Rank],"DNP",0,1)),"DNP")</f>
        <v>0.85699999999999998</v>
      </c>
      <c r="O238" s="26" t="str">
        <f>IFERROR(_xlfn.PERCENTRANK.INC(Table211121642021222325[True Rank],_xlfn.XLOOKUP(Table1624[[#This Row],[Name]],Table211121642021222325[Name],Table211121642021222325[True Rank],"DNP",0,1)),"DNP")</f>
        <v>DNP</v>
      </c>
      <c r="P238" s="26" t="str">
        <f>IFERROR(_xlfn.PERCENTRANK.INC(Table21112164202122232534[True Rank],_xlfn.XLOOKUP(Table1624[[#This Row],[Name]],Table21112164202122232534[Name],Table21112164202122232534[True Rank],"DNP",0,1)),"DNP")</f>
        <v>DNP</v>
      </c>
      <c r="Q2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 spans="2:33">
      <c r="B239" t="str">
        <f>IFERROR(Table5[[#This Row],[Full name]],"")</f>
        <v>Marco Jiang</v>
      </c>
      <c r="C239" s="108">
        <f>IFERROR(AVERAGE(Table1624[[#This Row],[September 30, 2025]:[Column18]]),"N/A")</f>
        <v>0.68266666666666664</v>
      </c>
      <c r="D239" s="26" t="str">
        <f>IFERROR(_xlfn.PERCENTRANK.INC(Table4[True Rank],_xlfn.XLOOKUP(Table1624[[#This Row],[Name]],Table4[Name],Table4[True Rank],"DNP",0,1)),"DNP")</f>
        <v>DNP</v>
      </c>
      <c r="E239" s="26" t="str">
        <f>IFERROR(_xlfn.PERCENTRANK.INC(Table9[True Rank],_xlfn.XLOOKUP(Table1624[[#This Row],[Name]],Table9[Name],Table9[True Rank],"DNP",0,1)),"DNP")</f>
        <v>DNP</v>
      </c>
      <c r="F239" s="26" t="str">
        <f>IFERROR(_xlfn.PERCENTRANK.INC(Table18[True Rank],_xlfn.XLOOKUP(Table1624[[#This Row],[Name]],Table18[Name],Table18[True Rank],"DNP",0,1)),"DNP")</f>
        <v>DNP</v>
      </c>
      <c r="G239" s="26">
        <f>IFERROR(_xlfn.PERCENTRANK.INC(Table2[True Rank],_xlfn.XLOOKUP(Table1624[[#This Row],[Name]],Table2[Name],Table2[True Rank],"DNP",0,1)),"DNP")</f>
        <v>0.71399999999999997</v>
      </c>
      <c r="H239" s="26" t="str">
        <f>IFERROR(_xlfn.PERCENTRANK.INC(Table211[True Rank],_xlfn.XLOOKUP(Table1624[[#This Row],[Name]],Table211[Name],Table211[True Rank],"DNP",0,1)),"DNP")</f>
        <v>DNP</v>
      </c>
      <c r="I239" s="26" t="str">
        <f>IFERROR(_xlfn.PERCENTRANK.INC(Table21112[True Rank],_xlfn.XLOOKUP(Table1624[[#This Row],[Name]],Table21112[Name],Table21112[True Rank],"DNP",0,1)),"DNP")</f>
        <v>DNP</v>
      </c>
      <c r="J239" s="26">
        <f>IFERROR(_xlfn.PERCENTRANK.INC(Table21112164[True Rank],_xlfn.XLOOKUP(Table1624[[#This Row],[Name]],Table21112164[Name],Table21112164[True Rank],"DNP",0,1)),"DNP")</f>
        <v>0.89800000000000002</v>
      </c>
      <c r="K239" s="26">
        <f>IFERROR(_xlfn.PERCENTRANK.INC(Table2111216420[True Rank],_xlfn.XLOOKUP(Table1624[[#This Row],[Name]],Table2111216420[Name],Table2111216420[True Rank],"DNP",0,1)),"DNP")</f>
        <v>0.436</v>
      </c>
      <c r="L239" s="26" t="str">
        <f>IFERROR(_xlfn.PERCENTRANK.INC(Table211121642021[True Rank],_xlfn.XLOOKUP(Table1624[[#This Row],[Name]],Table211121642021[Name],Table211121642021[True Rank],"DNP",0,1)),"DNP")</f>
        <v>DNP</v>
      </c>
      <c r="M239" s="26" t="str">
        <f>IFERROR(_xlfn.PERCENTRANK.INC(Table21112164202122[True Rank],_xlfn.XLOOKUP(Table1624[[#This Row],[Name]],Table21112164202122[Name],Table21112164202122[True Rank],"DNP",0,1)),"DNP")</f>
        <v>DNP</v>
      </c>
      <c r="N239" s="26" t="str">
        <f>IFERROR(_xlfn.PERCENTRANK.INC(Table2111216420212223[True Rank],_xlfn.XLOOKUP(Table1624[[#This Row],[Name]],Table2111216420212223[Name],Table2111216420212223[True Rank],"DNP",0,1)),"DNP")</f>
        <v>DNP</v>
      </c>
      <c r="O239" s="26" t="str">
        <f>IFERROR(_xlfn.PERCENTRANK.INC(Table211121642021222325[True Rank],_xlfn.XLOOKUP(Table1624[[#This Row],[Name]],Table211121642021222325[Name],Table211121642021222325[True Rank],"DNP",0,1)),"DNP")</f>
        <v>DNP</v>
      </c>
      <c r="P239" s="26" t="str">
        <f>IFERROR(_xlfn.PERCENTRANK.INC(Table21112164202122232534[True Rank],_xlfn.XLOOKUP(Table1624[[#This Row],[Name]],Table21112164202122232534[Name],Table21112164202122232534[True Rank],"DNP",0,1)),"DNP")</f>
        <v>DNP</v>
      </c>
      <c r="Q23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3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3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 spans="2:33">
      <c r="B240" t="str">
        <f>IFERROR(Table5[[#This Row],[Full name]],"")</f>
        <v>Marcus Cameron</v>
      </c>
      <c r="C240" s="108">
        <f>IFERROR(AVERAGE(Table1624[[#This Row],[September 30, 2025]:[Column18]]),"N/A")</f>
        <v>0.45750000000000002</v>
      </c>
      <c r="D240" s="26" t="str">
        <f>IFERROR(_xlfn.PERCENTRANK.INC(Table4[True Rank],_xlfn.XLOOKUP(Table1624[[#This Row],[Name]],Table4[Name],Table4[True Rank],"DNP",0,1)),"DNP")</f>
        <v>DNP</v>
      </c>
      <c r="E240" s="26">
        <f>IFERROR(_xlfn.PERCENTRANK.INC(Table9[True Rank],_xlfn.XLOOKUP(Table1624[[#This Row],[Name]],Table9[Name],Table9[True Rank],"DNP",0,1)),"DNP")</f>
        <v>0.28699999999999998</v>
      </c>
      <c r="F240" s="26" t="str">
        <f>IFERROR(_xlfn.PERCENTRANK.INC(Table18[True Rank],_xlfn.XLOOKUP(Table1624[[#This Row],[Name]],Table18[Name],Table18[True Rank],"DNP",0,1)),"DNP")</f>
        <v>DNP</v>
      </c>
      <c r="G240" s="26" t="str">
        <f>IFERROR(_xlfn.PERCENTRANK.INC(Table2[True Rank],_xlfn.XLOOKUP(Table1624[[#This Row],[Name]],Table2[Name],Table2[True Rank],"DNP",0,1)),"DNP")</f>
        <v>DNP</v>
      </c>
      <c r="H240" s="26" t="str">
        <f>IFERROR(_xlfn.PERCENTRANK.INC(Table211[True Rank],_xlfn.XLOOKUP(Table1624[[#This Row],[Name]],Table211[Name],Table211[True Rank],"DNP",0,1)),"DNP")</f>
        <v>DNP</v>
      </c>
      <c r="I240" s="26">
        <f>IFERROR(_xlfn.PERCENTRANK.INC(Table21112[True Rank],_xlfn.XLOOKUP(Table1624[[#This Row],[Name]],Table21112[Name],Table21112[True Rank],"DNP",0,1)),"DNP")</f>
        <v>0.628</v>
      </c>
      <c r="J240" s="26" t="str">
        <f>IFERROR(_xlfn.PERCENTRANK.INC(Table21112164[True Rank],_xlfn.XLOOKUP(Table1624[[#This Row],[Name]],Table21112164[Name],Table21112164[True Rank],"DNP",0,1)),"DNP")</f>
        <v>DNP</v>
      </c>
      <c r="K240" s="26" t="str">
        <f>IFERROR(_xlfn.PERCENTRANK.INC(Table2111216420[True Rank],_xlfn.XLOOKUP(Table1624[[#This Row],[Name]],Table2111216420[Name],Table2111216420[True Rank],"DNP",0,1)),"DNP")</f>
        <v>DNP</v>
      </c>
      <c r="L240" s="26" t="str">
        <f>IFERROR(_xlfn.PERCENTRANK.INC(Table211121642021[True Rank],_xlfn.XLOOKUP(Table1624[[#This Row],[Name]],Table211121642021[Name],Table211121642021[True Rank],"DNP",0,1)),"DNP")</f>
        <v>DNP</v>
      </c>
      <c r="M240" s="26" t="str">
        <f>IFERROR(_xlfn.PERCENTRANK.INC(Table21112164202122[True Rank],_xlfn.XLOOKUP(Table1624[[#This Row],[Name]],Table21112164202122[Name],Table21112164202122[True Rank],"DNP",0,1)),"DNP")</f>
        <v>DNP</v>
      </c>
      <c r="N240" s="26" t="str">
        <f>IFERROR(_xlfn.PERCENTRANK.INC(Table2111216420212223[True Rank],_xlfn.XLOOKUP(Table1624[[#This Row],[Name]],Table2111216420212223[Name],Table2111216420212223[True Rank],"DNP",0,1)),"DNP")</f>
        <v>DNP</v>
      </c>
      <c r="O240" s="26" t="str">
        <f>IFERROR(_xlfn.PERCENTRANK.INC(Table211121642021222325[True Rank],_xlfn.XLOOKUP(Table1624[[#This Row],[Name]],Table211121642021222325[Name],Table211121642021222325[True Rank],"DNP",0,1)),"DNP")</f>
        <v>DNP</v>
      </c>
      <c r="P240" s="26" t="str">
        <f>IFERROR(_xlfn.PERCENTRANK.INC(Table21112164202122232534[True Rank],_xlfn.XLOOKUP(Table1624[[#This Row],[Name]],Table21112164202122232534[Name],Table21112164202122232534[True Rank],"DNP",0,1)),"DNP")</f>
        <v>DNP</v>
      </c>
      <c r="Q24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 spans="2:33">
      <c r="B241" t="str">
        <f>IFERROR(Table5[[#This Row],[Full name]],"")</f>
        <v>Marissa Vu</v>
      </c>
      <c r="C241" s="108">
        <f>IFERROR(AVERAGE(Table1624[[#This Row],[September 30, 2025]:[Column18]]),"N/A")</f>
        <v>0.76900000000000002</v>
      </c>
      <c r="D241" s="26" t="str">
        <f>IFERROR(_xlfn.PERCENTRANK.INC(Table4[True Rank],_xlfn.XLOOKUP(Table1624[[#This Row],[Name]],Table4[Name],Table4[True Rank],"DNP",0,1)),"DNP")</f>
        <v>DNP</v>
      </c>
      <c r="E241" s="26" t="str">
        <f>IFERROR(_xlfn.PERCENTRANK.INC(Table9[True Rank],_xlfn.XLOOKUP(Table1624[[#This Row],[Name]],Table9[Name],Table9[True Rank],"DNP",0,1)),"DNP")</f>
        <v>DNP</v>
      </c>
      <c r="F241" s="26" t="str">
        <f>IFERROR(_xlfn.PERCENTRANK.INC(Table18[True Rank],_xlfn.XLOOKUP(Table1624[[#This Row],[Name]],Table18[Name],Table18[True Rank],"DNP",0,1)),"DNP")</f>
        <v>DNP</v>
      </c>
      <c r="G241" s="26" t="str">
        <f>IFERROR(_xlfn.PERCENTRANK.INC(Table2[True Rank],_xlfn.XLOOKUP(Table1624[[#This Row],[Name]],Table2[Name],Table2[True Rank],"DNP",0,1)),"DNP")</f>
        <v>DNP</v>
      </c>
      <c r="H241" s="26" t="str">
        <f>IFERROR(_xlfn.PERCENTRANK.INC(Table211[True Rank],_xlfn.XLOOKUP(Table1624[[#This Row],[Name]],Table211[Name],Table211[True Rank],"DNP",0,1)),"DNP")</f>
        <v>DNP</v>
      </c>
      <c r="I241" s="26">
        <f>IFERROR(_xlfn.PERCENTRANK.INC(Table21112[True Rank],_xlfn.XLOOKUP(Table1624[[#This Row],[Name]],Table21112[Name],Table21112[True Rank],"DNP",0,1)),"DNP")</f>
        <v>0.76900000000000002</v>
      </c>
      <c r="J241" s="26" t="str">
        <f>IFERROR(_xlfn.PERCENTRANK.INC(Table21112164[True Rank],_xlfn.XLOOKUP(Table1624[[#This Row],[Name]],Table21112164[Name],Table21112164[True Rank],"DNP",0,1)),"DNP")</f>
        <v>DNP</v>
      </c>
      <c r="K241" s="26" t="str">
        <f>IFERROR(_xlfn.PERCENTRANK.INC(Table2111216420[True Rank],_xlfn.XLOOKUP(Table1624[[#This Row],[Name]],Table2111216420[Name],Table2111216420[True Rank],"DNP",0,1)),"DNP")</f>
        <v>DNP</v>
      </c>
      <c r="L241" s="26" t="str">
        <f>IFERROR(_xlfn.PERCENTRANK.INC(Table211121642021[True Rank],_xlfn.XLOOKUP(Table1624[[#This Row],[Name]],Table211121642021[Name],Table211121642021[True Rank],"DNP",0,1)),"DNP")</f>
        <v>DNP</v>
      </c>
      <c r="M241" s="26" t="str">
        <f>IFERROR(_xlfn.PERCENTRANK.INC(Table21112164202122[True Rank],_xlfn.XLOOKUP(Table1624[[#This Row],[Name]],Table21112164202122[Name],Table21112164202122[True Rank],"DNP",0,1)),"DNP")</f>
        <v>DNP</v>
      </c>
      <c r="N241" s="26" t="str">
        <f>IFERROR(_xlfn.PERCENTRANK.INC(Table2111216420212223[True Rank],_xlfn.XLOOKUP(Table1624[[#This Row],[Name]],Table2111216420212223[Name],Table2111216420212223[True Rank],"DNP",0,1)),"DNP")</f>
        <v>DNP</v>
      </c>
      <c r="O241" s="26" t="str">
        <f>IFERROR(_xlfn.PERCENTRANK.INC(Table211121642021222325[True Rank],_xlfn.XLOOKUP(Table1624[[#This Row],[Name]],Table211121642021222325[Name],Table211121642021222325[True Rank],"DNP",0,1)),"DNP")</f>
        <v>DNP</v>
      </c>
      <c r="P241" s="26" t="str">
        <f>IFERROR(_xlfn.PERCENTRANK.INC(Table21112164202122232534[True Rank],_xlfn.XLOOKUP(Table1624[[#This Row],[Name]],Table21112164202122232534[Name],Table21112164202122232534[True Rank],"DNP",0,1)),"DNP")</f>
        <v>DNP</v>
      </c>
      <c r="Q24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 spans="2:33">
      <c r="B242" t="str">
        <f>IFERROR(Table5[[#This Row],[Full name]],"")</f>
        <v>Mark Ejakpomewhe</v>
      </c>
      <c r="C242" s="108">
        <f>IFERROR(AVERAGE(Table1624[[#This Row],[September 30, 2025]:[Column18]]),"N/A")</f>
        <v>0.46714285714285714</v>
      </c>
      <c r="D242" s="26" t="str">
        <f>IFERROR(_xlfn.PERCENTRANK.INC(Table4[True Rank],_xlfn.XLOOKUP(Table1624[[#This Row],[Name]],Table4[Name],Table4[True Rank],"DNP",0,1)),"DNP")</f>
        <v>DNP</v>
      </c>
      <c r="E242" s="26" t="str">
        <f>IFERROR(_xlfn.PERCENTRANK.INC(Table9[True Rank],_xlfn.XLOOKUP(Table1624[[#This Row],[Name]],Table9[Name],Table9[True Rank],"DNP",0,1)),"DNP")</f>
        <v>DNP</v>
      </c>
      <c r="F242" s="26" t="str">
        <f>IFERROR(_xlfn.PERCENTRANK.INC(Table18[True Rank],_xlfn.XLOOKUP(Table1624[[#This Row],[Name]],Table18[Name],Table18[True Rank],"DNP",0,1)),"DNP")</f>
        <v>DNP</v>
      </c>
      <c r="G242" s="26" t="str">
        <f>IFERROR(_xlfn.PERCENTRANK.INC(Table2[True Rank],_xlfn.XLOOKUP(Table1624[[#This Row],[Name]],Table2[Name],Table2[True Rank],"DNP",0,1)),"DNP")</f>
        <v>DNP</v>
      </c>
      <c r="H242" s="26" t="str">
        <f>IFERROR(_xlfn.PERCENTRANK.INC(Table211[True Rank],_xlfn.XLOOKUP(Table1624[[#This Row],[Name]],Table211[Name],Table211[True Rank],"DNP",0,1)),"DNP")</f>
        <v>DNP</v>
      </c>
      <c r="I242" s="26" t="str">
        <f>IFERROR(_xlfn.PERCENTRANK.INC(Table21112[True Rank],_xlfn.XLOOKUP(Table1624[[#This Row],[Name]],Table21112[Name],Table21112[True Rank],"DNP",0,1)),"DNP")</f>
        <v>DNP</v>
      </c>
      <c r="J242" s="26" t="str">
        <f>IFERROR(_xlfn.PERCENTRANK.INC(Table21112164[True Rank],_xlfn.XLOOKUP(Table1624[[#This Row],[Name]],Table21112164[Name],Table21112164[True Rank],"DNP",0,1)),"DNP")</f>
        <v>DNP</v>
      </c>
      <c r="K242" s="26" t="str">
        <f>IFERROR(_xlfn.PERCENTRANK.INC(Table2111216420[True Rank],_xlfn.XLOOKUP(Table1624[[#This Row],[Name]],Table2111216420[Name],Table2111216420[True Rank],"DNP",0,1)),"DNP")</f>
        <v>DNP</v>
      </c>
      <c r="L242" s="26" t="str">
        <f>IFERROR(_xlfn.PERCENTRANK.INC(Table211121642021[True Rank],_xlfn.XLOOKUP(Table1624[[#This Row],[Name]],Table211121642021[Name],Table211121642021[True Rank],"DNP",0,1)),"DNP")</f>
        <v>DNP</v>
      </c>
      <c r="M242" s="26" t="str">
        <f>IFERROR(_xlfn.PERCENTRANK.INC(Table21112164202122[True Rank],_xlfn.XLOOKUP(Table1624[[#This Row],[Name]],Table21112164202122[Name],Table21112164202122[True Rank],"DNP",0,1)),"DNP")</f>
        <v>DNP</v>
      </c>
      <c r="N242" s="26">
        <f>IFERROR(_xlfn.PERCENTRANK.INC(Table2111216420212223[True Rank],_xlfn.XLOOKUP(Table1624[[#This Row],[Name]],Table2111216420212223[Name],Table2111216420212223[True Rank],"DNP",0,1)),"DNP")</f>
        <v>0.219</v>
      </c>
      <c r="O242" s="26">
        <f>IFERROR(_xlfn.PERCENTRANK.INC(Table211121642021222325[True Rank],_xlfn.XLOOKUP(Table1624[[#This Row],[Name]],Table211121642021222325[Name],Table211121642021222325[True Rank],"DNP",0,1)),"DNP")</f>
        <v>0.41699999999999998</v>
      </c>
      <c r="P242" s="26">
        <f>IFERROR(_xlfn.PERCENTRANK.INC(Table21112164202122232534[True Rank],_xlfn.XLOOKUP(Table1624[[#This Row],[Name]],Table21112164202122232534[Name],Table21112164202122232534[True Rank],"DNP",0,1)),"DNP")</f>
        <v>0.626</v>
      </c>
      <c r="Q242" s="26">
        <f>IFERROR(_xlfn.PERCENTRANK.INC(Table2111216420212223253435[True Rank],_xlfn.XLOOKUP(Table1624[[#This Row],[Name]],Table2111216420212223253435[Name],Table2111216420212223253435[True Rank],"DNP",0,1)),"DNP")</f>
        <v>0.4</v>
      </c>
      <c r="R242" s="26">
        <f>IFERROR(_xlfn.PERCENTRANK.INC(Table211121642021222325343536[True Rank],_xlfn.XLOOKUP(Table1624[[#This Row],[Name]],Table211121642021222325343536[Name],Table211121642021222325343536[True Rank],"DNP",0,1)),"DNP")</f>
        <v>0.121</v>
      </c>
      <c r="S242" s="26">
        <f>IFERROR(_xlfn.PERCENTRANK.INC(Table21112164202122232534353637[True Rank],_xlfn.XLOOKUP(Table1624[[#This Row],[Name]],Table21112164202122232534353637[Name],Table21112164202122232534353637[True Rank],"DNP",0,1)),"DNP")</f>
        <v>0.70599999999999996</v>
      </c>
      <c r="T242" s="26">
        <f>IFERROR(_xlfn.PERCENTRANK.INC(Table2111216420212223253435363738[True Rank],_xlfn.XLOOKUP(Table1624[[#This Row],[Name]],Table2111216420212223253435363738[Name],Table2111216420212223253435363738[True Rank],"DNP",0,1)),"DNP")</f>
        <v>0.78100000000000003</v>
      </c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 spans="2:33">
      <c r="B243" t="str">
        <f>IFERROR(Table5[[#This Row],[Full name]],"")</f>
        <v>Marko Mladenovic</v>
      </c>
      <c r="C243" s="108">
        <f>IFERROR(AVERAGE(Table1624[[#This Row],[September 30, 2025]:[Column18]]),"N/A")</f>
        <v>0.3765</v>
      </c>
      <c r="D243" s="26" t="str">
        <f>IFERROR(_xlfn.PERCENTRANK.INC(Table4[True Rank],_xlfn.XLOOKUP(Table1624[[#This Row],[Name]],Table4[Name],Table4[True Rank],"DNP",0,1)),"DNP")</f>
        <v>DNP</v>
      </c>
      <c r="E243" s="26" t="str">
        <f>IFERROR(_xlfn.PERCENTRANK.INC(Table9[True Rank],_xlfn.XLOOKUP(Table1624[[#This Row],[Name]],Table9[Name],Table9[True Rank],"DNP",0,1)),"DNP")</f>
        <v>DNP</v>
      </c>
      <c r="F243" s="26" t="str">
        <f>IFERROR(_xlfn.PERCENTRANK.INC(Table18[True Rank],_xlfn.XLOOKUP(Table1624[[#This Row],[Name]],Table18[Name],Table18[True Rank],"DNP",0,1)),"DNP")</f>
        <v>DNP</v>
      </c>
      <c r="G243" s="26">
        <f>IFERROR(_xlfn.PERCENTRANK.INC(Table2[True Rank],_xlfn.XLOOKUP(Table1624[[#This Row],[Name]],Table2[Name],Table2[True Rank],"DNP",0,1)),"DNP")</f>
        <v>0.67800000000000005</v>
      </c>
      <c r="H243" s="26" t="str">
        <f>IFERROR(_xlfn.PERCENTRANK.INC(Table211[True Rank],_xlfn.XLOOKUP(Table1624[[#This Row],[Name]],Table211[Name],Table211[True Rank],"DNP",0,1)),"DNP")</f>
        <v>DNP</v>
      </c>
      <c r="I243" s="26" t="str">
        <f>IFERROR(_xlfn.PERCENTRANK.INC(Table21112[True Rank],_xlfn.XLOOKUP(Table1624[[#This Row],[Name]],Table21112[Name],Table21112[True Rank],"DNP",0,1)),"DNP")</f>
        <v>DNP</v>
      </c>
      <c r="J243" s="26" t="str">
        <f>IFERROR(_xlfn.PERCENTRANK.INC(Table21112164[True Rank],_xlfn.XLOOKUP(Table1624[[#This Row],[Name]],Table21112164[Name],Table21112164[True Rank],"DNP",0,1)),"DNP")</f>
        <v>DNP</v>
      </c>
      <c r="K243" s="26" t="str">
        <f>IFERROR(_xlfn.PERCENTRANK.INC(Table2111216420[True Rank],_xlfn.XLOOKUP(Table1624[[#This Row],[Name]],Table2111216420[Name],Table2111216420[True Rank],"DNP",0,1)),"DNP")</f>
        <v>DNP</v>
      </c>
      <c r="L243" s="26">
        <f>IFERROR(_xlfn.PERCENTRANK.INC(Table211121642021[True Rank],_xlfn.XLOOKUP(Table1624[[#This Row],[Name]],Table211121642021[Name],Table211121642021[True Rank],"DNP",0,1)),"DNP")</f>
        <v>7.4999999999999997E-2</v>
      </c>
      <c r="M243" s="26" t="str">
        <f>IFERROR(_xlfn.PERCENTRANK.INC(Table21112164202122[True Rank],_xlfn.XLOOKUP(Table1624[[#This Row],[Name]],Table21112164202122[Name],Table21112164202122[True Rank],"DNP",0,1)),"DNP")</f>
        <v>DNP</v>
      </c>
      <c r="N243" s="26" t="str">
        <f>IFERROR(_xlfn.PERCENTRANK.INC(Table2111216420212223[True Rank],_xlfn.XLOOKUP(Table1624[[#This Row],[Name]],Table2111216420212223[Name],Table2111216420212223[True Rank],"DNP",0,1)),"DNP")</f>
        <v>DNP</v>
      </c>
      <c r="O243" s="26" t="str">
        <f>IFERROR(_xlfn.PERCENTRANK.INC(Table211121642021222325[True Rank],_xlfn.XLOOKUP(Table1624[[#This Row],[Name]],Table211121642021222325[Name],Table211121642021222325[True Rank],"DNP",0,1)),"DNP")</f>
        <v>DNP</v>
      </c>
      <c r="P243" s="26" t="str">
        <f>IFERROR(_xlfn.PERCENTRANK.INC(Table21112164202122232534[True Rank],_xlfn.XLOOKUP(Table1624[[#This Row],[Name]],Table21112164202122232534[Name],Table21112164202122232534[True Rank],"DNP",0,1)),"DNP")</f>
        <v>DNP</v>
      </c>
      <c r="Q24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 spans="2:33">
      <c r="B244" t="str">
        <f>IFERROR(Table5[[#This Row],[Full name]],"")</f>
        <v>Marko Nguyen</v>
      </c>
      <c r="C244" s="108">
        <f>IFERROR(AVERAGE(Table1624[[#This Row],[September 30, 2025]:[Column18]]),"N/A")</f>
        <v>0.182</v>
      </c>
      <c r="D244" s="26" t="str">
        <f>IFERROR(_xlfn.PERCENTRANK.INC(Table4[True Rank],_xlfn.XLOOKUP(Table1624[[#This Row],[Name]],Table4[Name],Table4[True Rank],"DNP",0,1)),"DNP")</f>
        <v>DNP</v>
      </c>
      <c r="E244" s="26" t="str">
        <f>IFERROR(_xlfn.PERCENTRANK.INC(Table9[True Rank],_xlfn.XLOOKUP(Table1624[[#This Row],[Name]],Table9[Name],Table9[True Rank],"DNP",0,1)),"DNP")</f>
        <v>DNP</v>
      </c>
      <c r="F244" s="26" t="str">
        <f>IFERROR(_xlfn.PERCENTRANK.INC(Table18[True Rank],_xlfn.XLOOKUP(Table1624[[#This Row],[Name]],Table18[Name],Table18[True Rank],"DNP",0,1)),"DNP")</f>
        <v>DNP</v>
      </c>
      <c r="G244" s="26" t="str">
        <f>IFERROR(_xlfn.PERCENTRANK.INC(Table2[True Rank],_xlfn.XLOOKUP(Table1624[[#This Row],[Name]],Table2[Name],Table2[True Rank],"DNP",0,1)),"DNP")</f>
        <v>DNP</v>
      </c>
      <c r="H244" s="26" t="str">
        <f>IFERROR(_xlfn.PERCENTRANK.INC(Table211[True Rank],_xlfn.XLOOKUP(Table1624[[#This Row],[Name]],Table211[Name],Table211[True Rank],"DNP",0,1)),"DNP")</f>
        <v>DNP</v>
      </c>
      <c r="I244" s="26" t="str">
        <f>IFERROR(_xlfn.PERCENTRANK.INC(Table21112[True Rank],_xlfn.XLOOKUP(Table1624[[#This Row],[Name]],Table21112[Name],Table21112[True Rank],"DNP",0,1)),"DNP")</f>
        <v>DNP</v>
      </c>
      <c r="J244" s="26" t="str">
        <f>IFERROR(_xlfn.PERCENTRANK.INC(Table21112164[True Rank],_xlfn.XLOOKUP(Table1624[[#This Row],[Name]],Table21112164[Name],Table21112164[True Rank],"DNP",0,1)),"DNP")</f>
        <v>DNP</v>
      </c>
      <c r="K244" s="26" t="str">
        <f>IFERROR(_xlfn.PERCENTRANK.INC(Table2111216420[True Rank],_xlfn.XLOOKUP(Table1624[[#This Row],[Name]],Table2111216420[Name],Table2111216420[True Rank],"DNP",0,1)),"DNP")</f>
        <v>DNP</v>
      </c>
      <c r="L244" s="26">
        <f>IFERROR(_xlfn.PERCENTRANK.INC(Table211121642021[True Rank],_xlfn.XLOOKUP(Table1624[[#This Row],[Name]],Table211121642021[Name],Table211121642021[True Rank],"DNP",0,1)),"DNP")</f>
        <v>0.182</v>
      </c>
      <c r="M244" s="26" t="str">
        <f>IFERROR(_xlfn.PERCENTRANK.INC(Table21112164202122[True Rank],_xlfn.XLOOKUP(Table1624[[#This Row],[Name]],Table21112164202122[Name],Table21112164202122[True Rank],"DNP",0,1)),"DNP")</f>
        <v>DNP</v>
      </c>
      <c r="N244" s="26" t="str">
        <f>IFERROR(_xlfn.PERCENTRANK.INC(Table2111216420212223[True Rank],_xlfn.XLOOKUP(Table1624[[#This Row],[Name]],Table2111216420212223[Name],Table2111216420212223[True Rank],"DNP",0,1)),"DNP")</f>
        <v>DNP</v>
      </c>
      <c r="O244" s="26" t="str">
        <f>IFERROR(_xlfn.PERCENTRANK.INC(Table211121642021222325[True Rank],_xlfn.XLOOKUP(Table1624[[#This Row],[Name]],Table211121642021222325[Name],Table211121642021222325[True Rank],"DNP",0,1)),"DNP")</f>
        <v>DNP</v>
      </c>
      <c r="P244" s="26" t="str">
        <f>IFERROR(_xlfn.PERCENTRANK.INC(Table21112164202122232534[True Rank],_xlfn.XLOOKUP(Table1624[[#This Row],[Name]],Table21112164202122232534[Name],Table21112164202122232534[True Rank],"DNP",0,1)),"DNP")</f>
        <v>DNP</v>
      </c>
      <c r="Q24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 spans="2:33">
      <c r="B245" t="str">
        <f>IFERROR(Table5[[#This Row],[Full name]],"")</f>
        <v>Marko  Damjanovic</v>
      </c>
      <c r="C245" s="108">
        <f>IFERROR(AVERAGE(Table1624[[#This Row],[September 30, 2025]:[Column18]]),"N/A")</f>
        <v>0.60599999999999998</v>
      </c>
      <c r="D245" s="26" t="str">
        <f>IFERROR(_xlfn.PERCENTRANK.INC(Table4[True Rank],_xlfn.XLOOKUP(Table1624[[#This Row],[Name]],Table4[Name],Table4[True Rank],"DNP",0,1)),"DNP")</f>
        <v>DNP</v>
      </c>
      <c r="E245" s="26" t="str">
        <f>IFERROR(_xlfn.PERCENTRANK.INC(Table9[True Rank],_xlfn.XLOOKUP(Table1624[[#This Row],[Name]],Table9[Name],Table9[True Rank],"DNP",0,1)),"DNP")</f>
        <v>DNP</v>
      </c>
      <c r="F245" s="26" t="str">
        <f>IFERROR(_xlfn.PERCENTRANK.INC(Table18[True Rank],_xlfn.XLOOKUP(Table1624[[#This Row],[Name]],Table18[Name],Table18[True Rank],"DNP",0,1)),"DNP")</f>
        <v>DNP</v>
      </c>
      <c r="G245" s="26" t="str">
        <f>IFERROR(_xlfn.PERCENTRANK.INC(Table2[True Rank],_xlfn.XLOOKUP(Table1624[[#This Row],[Name]],Table2[Name],Table2[True Rank],"DNP",0,1)),"DNP")</f>
        <v>DNP</v>
      </c>
      <c r="H245" s="26" t="str">
        <f>IFERROR(_xlfn.PERCENTRANK.INC(Table211[True Rank],_xlfn.XLOOKUP(Table1624[[#This Row],[Name]],Table211[Name],Table211[True Rank],"DNP",0,1)),"DNP")</f>
        <v>DNP</v>
      </c>
      <c r="I245" s="26" t="str">
        <f>IFERROR(_xlfn.PERCENTRANK.INC(Table21112[True Rank],_xlfn.XLOOKUP(Table1624[[#This Row],[Name]],Table21112[Name],Table21112[True Rank],"DNP",0,1)),"DNP")</f>
        <v>DNP</v>
      </c>
      <c r="J245" s="26" t="str">
        <f>IFERROR(_xlfn.PERCENTRANK.INC(Table21112164[True Rank],_xlfn.XLOOKUP(Table1624[[#This Row],[Name]],Table21112164[Name],Table21112164[True Rank],"DNP",0,1)),"DNP")</f>
        <v>DNP</v>
      </c>
      <c r="K245" s="26" t="str">
        <f>IFERROR(_xlfn.PERCENTRANK.INC(Table2111216420[True Rank],_xlfn.XLOOKUP(Table1624[[#This Row],[Name]],Table2111216420[Name],Table2111216420[True Rank],"DNP",0,1)),"DNP")</f>
        <v>DNP</v>
      </c>
      <c r="L245" s="26" t="str">
        <f>IFERROR(_xlfn.PERCENTRANK.INC(Table211121642021[True Rank],_xlfn.XLOOKUP(Table1624[[#This Row],[Name]],Table211121642021[Name],Table211121642021[True Rank],"DNP",0,1)),"DNP")</f>
        <v>DNP</v>
      </c>
      <c r="M245" s="26" t="str">
        <f>IFERROR(_xlfn.PERCENTRANK.INC(Table21112164202122[True Rank],_xlfn.XLOOKUP(Table1624[[#This Row],[Name]],Table21112164202122[Name],Table21112164202122[True Rank],"DNP",0,1)),"DNP")</f>
        <v>DNP</v>
      </c>
      <c r="N245" s="26" t="str">
        <f>IFERROR(_xlfn.PERCENTRANK.INC(Table2111216420212223[True Rank],_xlfn.XLOOKUP(Table1624[[#This Row],[Name]],Table2111216420212223[Name],Table2111216420212223[True Rank],"DNP",0,1)),"DNP")</f>
        <v>DNP</v>
      </c>
      <c r="O245" s="26" t="str">
        <f>IFERROR(_xlfn.PERCENTRANK.INC(Table211121642021222325[True Rank],_xlfn.XLOOKUP(Table1624[[#This Row],[Name]],Table211121642021222325[Name],Table211121642021222325[True Rank],"DNP",0,1)),"DNP")</f>
        <v>DNP</v>
      </c>
      <c r="P245" s="26" t="str">
        <f>IFERROR(_xlfn.PERCENTRANK.INC(Table21112164202122232534[True Rank],_xlfn.XLOOKUP(Table1624[[#This Row],[Name]],Table21112164202122232534[Name],Table21112164202122232534[True Rank],"DNP",0,1)),"DNP")</f>
        <v>DNP</v>
      </c>
      <c r="Q2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5" s="26">
        <f>IFERROR(_xlfn.PERCENTRANK.INC(Table211121642021222325343536[True Rank],_xlfn.XLOOKUP(Table1624[[#This Row],[Name]],Table211121642021222325343536[Name],Table211121642021222325343536[True Rank],"DNP",0,1)),"DNP")</f>
        <v>0.60599999999999998</v>
      </c>
      <c r="S2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 spans="2:33">
      <c r="B246" t="str">
        <f>IFERROR(Table5[[#This Row],[Full name]],"")</f>
        <v>Martin Gomez</v>
      </c>
      <c r="C246" s="108">
        <f>IFERROR(AVERAGE(Table1624[[#This Row],[September 30, 2025]:[Column18]]),"N/A")</f>
        <v>0.64200000000000002</v>
      </c>
      <c r="D246" s="26">
        <f>IFERROR(_xlfn.PERCENTRANK.INC(Table4[True Rank],_xlfn.XLOOKUP(Table1624[[#This Row],[Name]],Table4[Name],Table4[True Rank],"DNP",0,1)),"DNP")</f>
        <v>0.64200000000000002</v>
      </c>
      <c r="E246" s="26" t="str">
        <f>IFERROR(_xlfn.PERCENTRANK.INC(Table9[True Rank],_xlfn.XLOOKUP(Table1624[[#This Row],[Name]],Table9[Name],Table9[True Rank],"DNP",0,1)),"DNP")</f>
        <v>DNP</v>
      </c>
      <c r="F246" s="26" t="str">
        <f>IFERROR(_xlfn.PERCENTRANK.INC(Table18[True Rank],_xlfn.XLOOKUP(Table1624[[#This Row],[Name]],Table18[Name],Table18[True Rank],"DNP",0,1)),"DNP")</f>
        <v>DNP</v>
      </c>
      <c r="G246" s="26" t="str">
        <f>IFERROR(_xlfn.PERCENTRANK.INC(Table2[True Rank],_xlfn.XLOOKUP(Table1624[[#This Row],[Name]],Table2[Name],Table2[True Rank],"DNP",0,1)),"DNP")</f>
        <v>DNP</v>
      </c>
      <c r="H246" s="26" t="str">
        <f>IFERROR(_xlfn.PERCENTRANK.INC(Table211[True Rank],_xlfn.XLOOKUP(Table1624[[#This Row],[Name]],Table211[Name],Table211[True Rank],"DNP",0,1)),"DNP")</f>
        <v>DNP</v>
      </c>
      <c r="I246" s="26" t="str">
        <f>IFERROR(_xlfn.PERCENTRANK.INC(Table21112[True Rank],_xlfn.XLOOKUP(Table1624[[#This Row],[Name]],Table21112[Name],Table21112[True Rank],"DNP",0,1)),"DNP")</f>
        <v>DNP</v>
      </c>
      <c r="J246" s="26" t="str">
        <f>IFERROR(_xlfn.PERCENTRANK.INC(Table21112164[True Rank],_xlfn.XLOOKUP(Table1624[[#This Row],[Name]],Table21112164[Name],Table21112164[True Rank],"DNP",0,1)),"DNP")</f>
        <v>DNP</v>
      </c>
      <c r="K246" s="26" t="str">
        <f>IFERROR(_xlfn.PERCENTRANK.INC(Table2111216420[True Rank],_xlfn.XLOOKUP(Table1624[[#This Row],[Name]],Table2111216420[Name],Table2111216420[True Rank],"DNP",0,1)),"DNP")</f>
        <v>DNP</v>
      </c>
      <c r="L246" s="26" t="str">
        <f>IFERROR(_xlfn.PERCENTRANK.INC(Table211121642021[True Rank],_xlfn.XLOOKUP(Table1624[[#This Row],[Name]],Table211121642021[Name],Table211121642021[True Rank],"DNP",0,1)),"DNP")</f>
        <v>DNP</v>
      </c>
      <c r="M246" s="26" t="str">
        <f>IFERROR(_xlfn.PERCENTRANK.INC(Table21112164202122[True Rank],_xlfn.XLOOKUP(Table1624[[#This Row],[Name]],Table21112164202122[Name],Table21112164202122[True Rank],"DNP",0,1)),"DNP")</f>
        <v>DNP</v>
      </c>
      <c r="N246" s="26" t="str">
        <f>IFERROR(_xlfn.PERCENTRANK.INC(Table2111216420212223[True Rank],_xlfn.XLOOKUP(Table1624[[#This Row],[Name]],Table2111216420212223[Name],Table2111216420212223[True Rank],"DNP",0,1)),"DNP")</f>
        <v>DNP</v>
      </c>
      <c r="O246" s="26" t="str">
        <f>IFERROR(_xlfn.PERCENTRANK.INC(Table211121642021222325[True Rank],_xlfn.XLOOKUP(Table1624[[#This Row],[Name]],Table211121642021222325[Name],Table211121642021222325[True Rank],"DNP",0,1)),"DNP")</f>
        <v>DNP</v>
      </c>
      <c r="P246" s="26" t="str">
        <f>IFERROR(_xlfn.PERCENTRANK.INC(Table21112164202122232534[True Rank],_xlfn.XLOOKUP(Table1624[[#This Row],[Name]],Table21112164202122232534[Name],Table21112164202122232534[True Rank],"DNP",0,1)),"DNP")</f>
        <v>DNP</v>
      </c>
      <c r="Q2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 spans="2:33">
      <c r="B247" t="str">
        <f>IFERROR(Table5[[#This Row],[Full name]],"")</f>
        <v>Marzouq Mohsin</v>
      </c>
      <c r="C247" s="108">
        <f>IFERROR(AVERAGE(Table1624[[#This Row],[September 30, 2025]:[Column18]]),"N/A")</f>
        <v>0.16500000000000001</v>
      </c>
      <c r="D247" s="26">
        <f>IFERROR(_xlfn.PERCENTRANK.INC(Table4[True Rank],_xlfn.XLOOKUP(Table1624[[#This Row],[Name]],Table4[Name],Table4[True Rank],"DNP",0,1)),"DNP")</f>
        <v>0.16500000000000001</v>
      </c>
      <c r="E247" s="26" t="str">
        <f>IFERROR(_xlfn.PERCENTRANK.INC(Table9[True Rank],_xlfn.XLOOKUP(Table1624[[#This Row],[Name]],Table9[Name],Table9[True Rank],"DNP",0,1)),"DNP")</f>
        <v>DNP</v>
      </c>
      <c r="F247" s="26" t="str">
        <f>IFERROR(_xlfn.PERCENTRANK.INC(Table18[True Rank],_xlfn.XLOOKUP(Table1624[[#This Row],[Name]],Table18[Name],Table18[True Rank],"DNP",0,1)),"DNP")</f>
        <v>DNP</v>
      </c>
      <c r="G247" s="26" t="str">
        <f>IFERROR(_xlfn.PERCENTRANK.INC(Table2[True Rank],_xlfn.XLOOKUP(Table1624[[#This Row],[Name]],Table2[Name],Table2[True Rank],"DNP",0,1)),"DNP")</f>
        <v>DNP</v>
      </c>
      <c r="H247" s="26" t="str">
        <f>IFERROR(_xlfn.PERCENTRANK.INC(Table211[True Rank],_xlfn.XLOOKUP(Table1624[[#This Row],[Name]],Table211[Name],Table211[True Rank],"DNP",0,1)),"DNP")</f>
        <v>DNP</v>
      </c>
      <c r="I247" s="26" t="str">
        <f>IFERROR(_xlfn.PERCENTRANK.INC(Table21112[True Rank],_xlfn.XLOOKUP(Table1624[[#This Row],[Name]],Table21112[Name],Table21112[True Rank],"DNP",0,1)),"DNP")</f>
        <v>DNP</v>
      </c>
      <c r="J247" s="26" t="str">
        <f>IFERROR(_xlfn.PERCENTRANK.INC(Table21112164[True Rank],_xlfn.XLOOKUP(Table1624[[#This Row],[Name]],Table21112164[Name],Table21112164[True Rank],"DNP",0,1)),"DNP")</f>
        <v>DNP</v>
      </c>
      <c r="K247" s="26" t="str">
        <f>IFERROR(_xlfn.PERCENTRANK.INC(Table2111216420[True Rank],_xlfn.XLOOKUP(Table1624[[#This Row],[Name]],Table2111216420[Name],Table2111216420[True Rank],"DNP",0,1)),"DNP")</f>
        <v>DNP</v>
      </c>
      <c r="L247" s="26" t="str">
        <f>IFERROR(_xlfn.PERCENTRANK.INC(Table211121642021[True Rank],_xlfn.XLOOKUP(Table1624[[#This Row],[Name]],Table211121642021[Name],Table211121642021[True Rank],"DNP",0,1)),"DNP")</f>
        <v>DNP</v>
      </c>
      <c r="M247" s="26" t="str">
        <f>IFERROR(_xlfn.PERCENTRANK.INC(Table21112164202122[True Rank],_xlfn.XLOOKUP(Table1624[[#This Row],[Name]],Table21112164202122[Name],Table21112164202122[True Rank],"DNP",0,1)),"DNP")</f>
        <v>DNP</v>
      </c>
      <c r="N247" s="26" t="str">
        <f>IFERROR(_xlfn.PERCENTRANK.INC(Table2111216420212223[True Rank],_xlfn.XLOOKUP(Table1624[[#This Row],[Name]],Table2111216420212223[Name],Table2111216420212223[True Rank],"DNP",0,1)),"DNP")</f>
        <v>DNP</v>
      </c>
      <c r="O247" s="26" t="str">
        <f>IFERROR(_xlfn.PERCENTRANK.INC(Table211121642021222325[True Rank],_xlfn.XLOOKUP(Table1624[[#This Row],[Name]],Table211121642021222325[Name],Table211121642021222325[True Rank],"DNP",0,1)),"DNP")</f>
        <v>DNP</v>
      </c>
      <c r="P247" s="26" t="str">
        <f>IFERROR(_xlfn.PERCENTRANK.INC(Table21112164202122232534[True Rank],_xlfn.XLOOKUP(Table1624[[#This Row],[Name]],Table21112164202122232534[Name],Table21112164202122232534[True Rank],"DNP",0,1)),"DNP")</f>
        <v>DNP</v>
      </c>
      <c r="Q24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 spans="2:33">
      <c r="B248" t="str">
        <f>IFERROR(Table5[[#This Row],[Full name]],"")</f>
        <v>Mason Doshi</v>
      </c>
      <c r="C248" s="108" t="str">
        <f>IFERROR(AVERAGE(Table1624[[#This Row],[September 30, 2025]:[Column18]]),"N/A")</f>
        <v>N/A</v>
      </c>
      <c r="D248" s="26" t="str">
        <f>IFERROR(_xlfn.PERCENTRANK.INC(Table4[True Rank],_xlfn.XLOOKUP(Table1624[[#This Row],[Name]],Table4[Name],Table4[True Rank],"DNP",0,1)),"DNP")</f>
        <v>DNP</v>
      </c>
      <c r="E248" s="26" t="str">
        <f>IFERROR(_xlfn.PERCENTRANK.INC(Table9[True Rank],_xlfn.XLOOKUP(Table1624[[#This Row],[Name]],Table9[Name],Table9[True Rank],"DNP",0,1)),"DNP")</f>
        <v>DNP</v>
      </c>
      <c r="F248" s="26" t="str">
        <f>IFERROR(_xlfn.PERCENTRANK.INC(Table18[True Rank],_xlfn.XLOOKUP(Table1624[[#This Row],[Name]],Table18[Name],Table18[True Rank],"DNP",0,1)),"DNP")</f>
        <v>DNP</v>
      </c>
      <c r="G248" s="26" t="str">
        <f>IFERROR(_xlfn.PERCENTRANK.INC(Table2[True Rank],_xlfn.XLOOKUP(Table1624[[#This Row],[Name]],Table2[Name],Table2[True Rank],"DNP",0,1)),"DNP")</f>
        <v>DNP</v>
      </c>
      <c r="H248" s="26" t="str">
        <f>IFERROR(_xlfn.PERCENTRANK.INC(Table211[True Rank],_xlfn.XLOOKUP(Table1624[[#This Row],[Name]],Table211[Name],Table211[True Rank],"DNP",0,1)),"DNP")</f>
        <v>DNP</v>
      </c>
      <c r="I248" s="26" t="str">
        <f>IFERROR(_xlfn.PERCENTRANK.INC(Table21112[True Rank],_xlfn.XLOOKUP(Table1624[[#This Row],[Name]],Table21112[Name],Table21112[True Rank],"DNP",0,1)),"DNP")</f>
        <v>DNP</v>
      </c>
      <c r="J248" s="26" t="str">
        <f>IFERROR(_xlfn.PERCENTRANK.INC(Table21112164[True Rank],_xlfn.XLOOKUP(Table1624[[#This Row],[Name]],Table21112164[Name],Table21112164[True Rank],"DNP",0,1)),"DNP")</f>
        <v>DNP</v>
      </c>
      <c r="K248" s="26" t="str">
        <f>IFERROR(_xlfn.PERCENTRANK.INC(Table2111216420[True Rank],_xlfn.XLOOKUP(Table1624[[#This Row],[Name]],Table2111216420[Name],Table2111216420[True Rank],"DNP",0,1)),"DNP")</f>
        <v>DNP</v>
      </c>
      <c r="L248" s="26" t="str">
        <f>IFERROR(_xlfn.PERCENTRANK.INC(Table211121642021[True Rank],_xlfn.XLOOKUP(Table1624[[#This Row],[Name]],Table211121642021[Name],Table211121642021[True Rank],"DNP",0,1)),"DNP")</f>
        <v>DNP</v>
      </c>
      <c r="M248" s="26" t="str">
        <f>IFERROR(_xlfn.PERCENTRANK.INC(Table21112164202122[True Rank],_xlfn.XLOOKUP(Table1624[[#This Row],[Name]],Table21112164202122[Name],Table21112164202122[True Rank],"DNP",0,1)),"DNP")</f>
        <v>DNP</v>
      </c>
      <c r="N248" s="26" t="str">
        <f>IFERROR(_xlfn.PERCENTRANK.INC(Table2111216420212223[True Rank],_xlfn.XLOOKUP(Table1624[[#This Row],[Name]],Table2111216420212223[Name],Table2111216420212223[True Rank],"DNP",0,1)),"DNP")</f>
        <v>DNP</v>
      </c>
      <c r="O248" s="26" t="str">
        <f>IFERROR(_xlfn.PERCENTRANK.INC(Table211121642021222325[True Rank],_xlfn.XLOOKUP(Table1624[[#This Row],[Name]],Table211121642021222325[Name],Table211121642021222325[True Rank],"DNP",0,1)),"DNP")</f>
        <v>DNP</v>
      </c>
      <c r="P248" s="26" t="str">
        <f>IFERROR(_xlfn.PERCENTRANK.INC(Table21112164202122232534[True Rank],_xlfn.XLOOKUP(Table1624[[#This Row],[Name]],Table21112164202122232534[Name],Table21112164202122232534[True Rank],"DNP",0,1)),"DNP")</f>
        <v>DNP</v>
      </c>
      <c r="Q24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spans="2:33">
      <c r="B249" t="str">
        <f>IFERROR(Table5[[#This Row],[Full name]],"")</f>
        <v>Mateen Mahdavian</v>
      </c>
      <c r="C249" s="108">
        <f>IFERROR(AVERAGE(Table1624[[#This Row],[September 30, 2025]:[Column18]]),"N/A")</f>
        <v>0.879</v>
      </c>
      <c r="D249" s="26" t="str">
        <f>IFERROR(_xlfn.PERCENTRANK.INC(Table4[True Rank],_xlfn.XLOOKUP(Table1624[[#This Row],[Name]],Table4[Name],Table4[True Rank],"DNP",0,1)),"DNP")</f>
        <v>DNP</v>
      </c>
      <c r="E249" s="26" t="str">
        <f>IFERROR(_xlfn.PERCENTRANK.INC(Table9[True Rank],_xlfn.XLOOKUP(Table1624[[#This Row],[Name]],Table9[Name],Table9[True Rank],"DNP",0,1)),"DNP")</f>
        <v>DNP</v>
      </c>
      <c r="F249" s="26" t="str">
        <f>IFERROR(_xlfn.PERCENTRANK.INC(Table18[True Rank],_xlfn.XLOOKUP(Table1624[[#This Row],[Name]],Table18[Name],Table18[True Rank],"DNP",0,1)),"DNP")</f>
        <v>DNP</v>
      </c>
      <c r="G249" s="26" t="str">
        <f>IFERROR(_xlfn.PERCENTRANK.INC(Table2[True Rank],_xlfn.XLOOKUP(Table1624[[#This Row],[Name]],Table2[Name],Table2[True Rank],"DNP",0,1)),"DNP")</f>
        <v>DNP</v>
      </c>
      <c r="H249" s="26" t="str">
        <f>IFERROR(_xlfn.PERCENTRANK.INC(Table211[True Rank],_xlfn.XLOOKUP(Table1624[[#This Row],[Name]],Table211[Name],Table211[True Rank],"DNP",0,1)),"DNP")</f>
        <v>DNP</v>
      </c>
      <c r="I249" s="26" t="str">
        <f>IFERROR(_xlfn.PERCENTRANK.INC(Table21112[True Rank],_xlfn.XLOOKUP(Table1624[[#This Row],[Name]],Table21112[Name],Table21112[True Rank],"DNP",0,1)),"DNP")</f>
        <v>DNP</v>
      </c>
      <c r="J249" s="26" t="str">
        <f>IFERROR(_xlfn.PERCENTRANK.INC(Table21112164[True Rank],_xlfn.XLOOKUP(Table1624[[#This Row],[Name]],Table21112164[Name],Table21112164[True Rank],"DNP",0,1)),"DNP")</f>
        <v>DNP</v>
      </c>
      <c r="K249" s="26" t="str">
        <f>IFERROR(_xlfn.PERCENTRANK.INC(Table2111216420[True Rank],_xlfn.XLOOKUP(Table1624[[#This Row],[Name]],Table2111216420[Name],Table2111216420[True Rank],"DNP",0,1)),"DNP")</f>
        <v>DNP</v>
      </c>
      <c r="L249" s="26" t="str">
        <f>IFERROR(_xlfn.PERCENTRANK.INC(Table211121642021[True Rank],_xlfn.XLOOKUP(Table1624[[#This Row],[Name]],Table211121642021[Name],Table211121642021[True Rank],"DNP",0,1)),"DNP")</f>
        <v>DNP</v>
      </c>
      <c r="M249" s="26" t="str">
        <f>IFERROR(_xlfn.PERCENTRANK.INC(Table21112164202122[True Rank],_xlfn.XLOOKUP(Table1624[[#This Row],[Name]],Table21112164202122[Name],Table21112164202122[True Rank],"DNP",0,1)),"DNP")</f>
        <v>DNP</v>
      </c>
      <c r="N249" s="26" t="str">
        <f>IFERROR(_xlfn.PERCENTRANK.INC(Table2111216420212223[True Rank],_xlfn.XLOOKUP(Table1624[[#This Row],[Name]],Table2111216420212223[Name],Table2111216420212223[True Rank],"DNP",0,1)),"DNP")</f>
        <v>DNP</v>
      </c>
      <c r="O249" s="26">
        <f>IFERROR(_xlfn.PERCENTRANK.INC(Table211121642021222325[True Rank],_xlfn.XLOOKUP(Table1624[[#This Row],[Name]],Table211121642021222325[Name],Table211121642021222325[True Rank],"DNP",0,1)),"DNP")</f>
        <v>0.879</v>
      </c>
      <c r="P249" s="26" t="str">
        <f>IFERROR(_xlfn.PERCENTRANK.INC(Table21112164202122232534[True Rank],_xlfn.XLOOKUP(Table1624[[#This Row],[Name]],Table21112164202122232534[Name],Table21112164202122232534[True Rank],"DNP",0,1)),"DNP")</f>
        <v>DNP</v>
      </c>
      <c r="Q2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4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4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spans="2:33">
      <c r="B250" t="str">
        <f>IFERROR(Table5[[#This Row],[Full name]],"")</f>
        <v>Matthew Ji</v>
      </c>
      <c r="C250" s="108">
        <f>IFERROR(AVERAGE(Table1624[[#This Row],[September 30, 2025]:[Column18]]),"N/A")</f>
        <v>0.54349999999999998</v>
      </c>
      <c r="D250" s="26" t="str">
        <f>IFERROR(_xlfn.PERCENTRANK.INC(Table4[True Rank],_xlfn.XLOOKUP(Table1624[[#This Row],[Name]],Table4[Name],Table4[True Rank],"DNP",0,1)),"DNP")</f>
        <v>DNP</v>
      </c>
      <c r="E250" s="26">
        <f>IFERROR(_xlfn.PERCENTRANK.INC(Table9[True Rank],_xlfn.XLOOKUP(Table1624[[#This Row],[Name]],Table9[Name],Table9[True Rank],"DNP",0,1)),"DNP")</f>
        <v>0.64300000000000002</v>
      </c>
      <c r="F250" s="26">
        <f>IFERROR(_xlfn.PERCENTRANK.INC(Table18[True Rank],_xlfn.XLOOKUP(Table1624[[#This Row],[Name]],Table18[Name],Table18[True Rank],"DNP",0,1)),"DNP")</f>
        <v>0.28199999999999997</v>
      </c>
      <c r="G250" s="26">
        <f>IFERROR(_xlfn.PERCENTRANK.INC(Table2[True Rank],_xlfn.XLOOKUP(Table1624[[#This Row],[Name]],Table2[Name],Table2[True Rank],"DNP",0,1)),"DNP")</f>
        <v>0.154</v>
      </c>
      <c r="H250" s="26" t="str">
        <f>IFERROR(_xlfn.PERCENTRANK.INC(Table211[True Rank],_xlfn.XLOOKUP(Table1624[[#This Row],[Name]],Table211[Name],Table211[True Rank],"DNP",0,1)),"DNP")</f>
        <v>DNP</v>
      </c>
      <c r="I250" s="26" t="str">
        <f>IFERROR(_xlfn.PERCENTRANK.INC(Table21112[True Rank],_xlfn.XLOOKUP(Table1624[[#This Row],[Name]],Table21112[Name],Table21112[True Rank],"DNP",0,1)),"DNP")</f>
        <v>DNP</v>
      </c>
      <c r="J250" s="26">
        <f>IFERROR(_xlfn.PERCENTRANK.INC(Table21112164[True Rank],_xlfn.XLOOKUP(Table1624[[#This Row],[Name]],Table21112164[Name],Table21112164[True Rank],"DNP",0,1)),"DNP")</f>
        <v>0.505</v>
      </c>
      <c r="K250" s="26" t="str">
        <f>IFERROR(_xlfn.PERCENTRANK.INC(Table2111216420[True Rank],_xlfn.XLOOKUP(Table1624[[#This Row],[Name]],Table2111216420[Name],Table2111216420[True Rank],"DNP",0,1)),"DNP")</f>
        <v>DNP</v>
      </c>
      <c r="L250" s="26" t="str">
        <f>IFERROR(_xlfn.PERCENTRANK.INC(Table211121642021[True Rank],_xlfn.XLOOKUP(Table1624[[#This Row],[Name]],Table211121642021[Name],Table211121642021[True Rank],"DNP",0,1)),"DNP")</f>
        <v>DNP</v>
      </c>
      <c r="M250" s="26">
        <f>IFERROR(_xlfn.PERCENTRANK.INC(Table21112164202122[True Rank],_xlfn.XLOOKUP(Table1624[[#This Row],[Name]],Table21112164202122[Name],Table21112164202122[True Rank],"DNP",0,1)),"DNP")</f>
        <v>0.875</v>
      </c>
      <c r="N250" s="26" t="str">
        <f>IFERROR(_xlfn.PERCENTRANK.INC(Table2111216420212223[True Rank],_xlfn.XLOOKUP(Table1624[[#This Row],[Name]],Table2111216420212223[Name],Table2111216420212223[True Rank],"DNP",0,1)),"DNP")</f>
        <v>DNP</v>
      </c>
      <c r="O250" s="26" t="str">
        <f>IFERROR(_xlfn.PERCENTRANK.INC(Table211121642021222325[True Rank],_xlfn.XLOOKUP(Table1624[[#This Row],[Name]],Table211121642021222325[Name],Table211121642021222325[True Rank],"DNP",0,1)),"DNP")</f>
        <v>DNP</v>
      </c>
      <c r="P250" s="26">
        <f>IFERROR(_xlfn.PERCENTRANK.INC(Table21112164202122232534[True Rank],_xlfn.XLOOKUP(Table1624[[#This Row],[Name]],Table21112164202122232534[Name],Table21112164202122232534[True Rank],"DNP",0,1)),"DNP")</f>
        <v>0.80200000000000005</v>
      </c>
      <c r="Q2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 spans="2:33">
      <c r="B251" t="str">
        <f>IFERROR(Table5[[#This Row],[Full name]],"")</f>
        <v>Matthew Nazaruk</v>
      </c>
      <c r="C251" s="108">
        <f>IFERROR(AVERAGE(Table1624[[#This Row],[September 30, 2025]:[Column18]]),"N/A")</f>
        <v>0.50262499999999999</v>
      </c>
      <c r="D251" s="26">
        <f>IFERROR(_xlfn.PERCENTRANK.INC(Table4[True Rank],_xlfn.XLOOKUP(Table1624[[#This Row],[Name]],Table4[Name],Table4[True Rank],"DNP",0,1)),"DNP")</f>
        <v>9.0999999999999998E-2</v>
      </c>
      <c r="E251" s="26">
        <f>IFERROR(_xlfn.PERCENTRANK.INC(Table9[True Rank],_xlfn.XLOOKUP(Table1624[[#This Row],[Name]],Table9[Name],Table9[True Rank],"DNP",0,1)),"DNP")</f>
        <v>0.89600000000000002</v>
      </c>
      <c r="F251" s="26" t="str">
        <f>IFERROR(_xlfn.PERCENTRANK.INC(Table18[True Rank],_xlfn.XLOOKUP(Table1624[[#This Row],[Name]],Table18[Name],Table18[True Rank],"DNP",0,1)),"DNP")</f>
        <v>DNP</v>
      </c>
      <c r="G251" s="26">
        <f>IFERROR(_xlfn.PERCENTRANK.INC(Table2[True Rank],_xlfn.XLOOKUP(Table1624[[#This Row],[Name]],Table2[Name],Table2[True Rank],"DNP",0,1)),"DNP")</f>
        <v>0.66600000000000004</v>
      </c>
      <c r="H251" s="26" t="str">
        <f>IFERROR(_xlfn.PERCENTRANK.INC(Table211[True Rank],_xlfn.XLOOKUP(Table1624[[#This Row],[Name]],Table211[Name],Table211[True Rank],"DNP",0,1)),"DNP")</f>
        <v>DNP</v>
      </c>
      <c r="I251" s="26" t="str">
        <f>IFERROR(_xlfn.PERCENTRANK.INC(Table21112[True Rank],_xlfn.XLOOKUP(Table1624[[#This Row],[Name]],Table21112[Name],Table21112[True Rank],"DNP",0,1)),"DNP")</f>
        <v>DNP</v>
      </c>
      <c r="J251" s="26">
        <f>IFERROR(_xlfn.PERCENTRANK.INC(Table21112164[True Rank],_xlfn.XLOOKUP(Table1624[[#This Row],[Name]],Table21112164[Name],Table21112164[True Rank],"DNP",0,1)),"DNP")</f>
        <v>0.48299999999999998</v>
      </c>
      <c r="K251" s="26">
        <f>IFERROR(_xlfn.PERCENTRANK.INC(Table2111216420[True Rank],_xlfn.XLOOKUP(Table1624[[#This Row],[Name]],Table2111216420[Name],Table2111216420[True Rank],"DNP",0,1)),"DNP")</f>
        <v>0.872</v>
      </c>
      <c r="L251" s="26" t="str">
        <f>IFERROR(_xlfn.PERCENTRANK.INC(Table211121642021[True Rank],_xlfn.XLOOKUP(Table1624[[#This Row],[Name]],Table211121642021[Name],Table211121642021[True Rank],"DNP",0,1)),"DNP")</f>
        <v>DNP</v>
      </c>
      <c r="M251" s="26">
        <f>IFERROR(_xlfn.PERCENTRANK.INC(Table21112164202122[True Rank],_xlfn.XLOOKUP(Table1624[[#This Row],[Name]],Table21112164202122[Name],Table21112164202122[True Rank],"DNP",0,1)),"DNP")</f>
        <v>0.375</v>
      </c>
      <c r="N251" s="26" t="str">
        <f>IFERROR(_xlfn.PERCENTRANK.INC(Table2111216420212223[True Rank],_xlfn.XLOOKUP(Table1624[[#This Row],[Name]],Table2111216420212223[Name],Table2111216420212223[True Rank],"DNP",0,1)),"DNP")</f>
        <v>DNP</v>
      </c>
      <c r="O251" s="26">
        <f>IFERROR(_xlfn.PERCENTRANK.INC(Table211121642021222325[True Rank],_xlfn.XLOOKUP(Table1624[[#This Row],[Name]],Table211121642021222325[Name],Table211121642021222325[True Rank],"DNP",0,1)),"DNP")</f>
        <v>0.252</v>
      </c>
      <c r="P251" s="26" t="str">
        <f>IFERROR(_xlfn.PERCENTRANK.INC(Table21112164202122232534[True Rank],_xlfn.XLOOKUP(Table1624[[#This Row],[Name]],Table21112164202122232534[Name],Table21112164202122232534[True Rank],"DNP",0,1)),"DNP")</f>
        <v>DNP</v>
      </c>
      <c r="Q251" s="26">
        <f>IFERROR(_xlfn.PERCENTRANK.INC(Table2111216420212223253435[True Rank],_xlfn.XLOOKUP(Table1624[[#This Row],[Name]],Table2111216420212223253435[Name],Table2111216420212223253435[True Rank],"DNP",0,1)),"DNP")</f>
        <v>0.38600000000000001</v>
      </c>
      <c r="R2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 spans="2:33">
      <c r="B252" t="str">
        <f>IFERROR(Table5[[#This Row],[Full name]],"")</f>
        <v>Matthew Pealow</v>
      </c>
      <c r="C252" s="108" t="str">
        <f>IFERROR(AVERAGE(Table1624[[#This Row],[September 30, 2025]:[Column18]]),"N/A")</f>
        <v>N/A</v>
      </c>
      <c r="D252" s="26" t="str">
        <f>IFERROR(_xlfn.PERCENTRANK.INC(Table4[True Rank],_xlfn.XLOOKUP(Table1624[[#This Row],[Name]],Table4[Name],Table4[True Rank],"DNP",0,1)),"DNP")</f>
        <v>DNP</v>
      </c>
      <c r="E252" s="26" t="str">
        <f>IFERROR(_xlfn.PERCENTRANK.INC(Table9[True Rank],_xlfn.XLOOKUP(Table1624[[#This Row],[Name]],Table9[Name],Table9[True Rank],"DNP",0,1)),"DNP")</f>
        <v>DNP</v>
      </c>
      <c r="F252" s="26" t="str">
        <f>IFERROR(_xlfn.PERCENTRANK.INC(Table18[True Rank],_xlfn.XLOOKUP(Table1624[[#This Row],[Name]],Table18[Name],Table18[True Rank],"DNP",0,1)),"DNP")</f>
        <v>DNP</v>
      </c>
      <c r="G252" s="26" t="str">
        <f>IFERROR(_xlfn.PERCENTRANK.INC(Table2[True Rank],_xlfn.XLOOKUP(Table1624[[#This Row],[Name]],Table2[Name],Table2[True Rank],"DNP",0,1)),"DNP")</f>
        <v>DNP</v>
      </c>
      <c r="H252" s="26" t="str">
        <f>IFERROR(_xlfn.PERCENTRANK.INC(Table211[True Rank],_xlfn.XLOOKUP(Table1624[[#This Row],[Name]],Table211[Name],Table211[True Rank],"DNP",0,1)),"DNP")</f>
        <v>DNP</v>
      </c>
      <c r="I252" s="26" t="str">
        <f>IFERROR(_xlfn.PERCENTRANK.INC(Table21112[True Rank],_xlfn.XLOOKUP(Table1624[[#This Row],[Name]],Table21112[Name],Table21112[True Rank],"DNP",0,1)),"DNP")</f>
        <v>DNP</v>
      </c>
      <c r="J252" s="26" t="str">
        <f>IFERROR(_xlfn.PERCENTRANK.INC(Table21112164[True Rank],_xlfn.XLOOKUP(Table1624[[#This Row],[Name]],Table21112164[Name],Table21112164[True Rank],"DNP",0,1)),"DNP")</f>
        <v>DNP</v>
      </c>
      <c r="K252" s="26" t="str">
        <f>IFERROR(_xlfn.PERCENTRANK.INC(Table2111216420[True Rank],_xlfn.XLOOKUP(Table1624[[#This Row],[Name]],Table2111216420[Name],Table2111216420[True Rank],"DNP",0,1)),"DNP")</f>
        <v>DNP</v>
      </c>
      <c r="L252" s="26" t="str">
        <f>IFERROR(_xlfn.PERCENTRANK.INC(Table211121642021[True Rank],_xlfn.XLOOKUP(Table1624[[#This Row],[Name]],Table211121642021[Name],Table211121642021[True Rank],"DNP",0,1)),"DNP")</f>
        <v>DNP</v>
      </c>
      <c r="M252" s="26" t="str">
        <f>IFERROR(_xlfn.PERCENTRANK.INC(Table21112164202122[True Rank],_xlfn.XLOOKUP(Table1624[[#This Row],[Name]],Table21112164202122[Name],Table21112164202122[True Rank],"DNP",0,1)),"DNP")</f>
        <v>DNP</v>
      </c>
      <c r="N252" s="26" t="str">
        <f>IFERROR(_xlfn.PERCENTRANK.INC(Table2111216420212223[True Rank],_xlfn.XLOOKUP(Table1624[[#This Row],[Name]],Table2111216420212223[Name],Table2111216420212223[True Rank],"DNP",0,1)),"DNP")</f>
        <v>DNP</v>
      </c>
      <c r="O252" s="26" t="str">
        <f>IFERROR(_xlfn.PERCENTRANK.INC(Table211121642021222325[True Rank],_xlfn.XLOOKUP(Table1624[[#This Row],[Name]],Table211121642021222325[Name],Table211121642021222325[True Rank],"DNP",0,1)),"DNP")</f>
        <v>DNP</v>
      </c>
      <c r="P252" s="26" t="str">
        <f>IFERROR(_xlfn.PERCENTRANK.INC(Table21112164202122232534[True Rank],_xlfn.XLOOKUP(Table1624[[#This Row],[Name]],Table21112164202122232534[Name],Table21112164202122232534[True Rank],"DNP",0,1)),"DNP")</f>
        <v>DNP</v>
      </c>
      <c r="Q2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 spans="2:33">
      <c r="B253" t="str">
        <f>IFERROR(Table5[[#This Row],[Full name]],"")</f>
        <v>Matthew Tubrett</v>
      </c>
      <c r="C253" s="108" t="str">
        <f>IFERROR(AVERAGE(Table1624[[#This Row],[September 30, 2025]:[Column18]]),"N/A")</f>
        <v>N/A</v>
      </c>
      <c r="D253" s="26" t="str">
        <f>IFERROR(_xlfn.PERCENTRANK.INC(Table4[True Rank],_xlfn.XLOOKUP(Table1624[[#This Row],[Name]],Table4[Name],Table4[True Rank],"DNP",0,1)),"DNP")</f>
        <v>DNP</v>
      </c>
      <c r="E253" s="26" t="str">
        <f>IFERROR(_xlfn.PERCENTRANK.INC(Table9[True Rank],_xlfn.XLOOKUP(Table1624[[#This Row],[Name]],Table9[Name],Table9[True Rank],"DNP",0,1)),"DNP")</f>
        <v>DNP</v>
      </c>
      <c r="F253" s="26" t="str">
        <f>IFERROR(_xlfn.PERCENTRANK.INC(Table18[True Rank],_xlfn.XLOOKUP(Table1624[[#This Row],[Name]],Table18[Name],Table18[True Rank],"DNP",0,1)),"DNP")</f>
        <v>DNP</v>
      </c>
      <c r="G253" s="26" t="str">
        <f>IFERROR(_xlfn.PERCENTRANK.INC(Table2[True Rank],_xlfn.XLOOKUP(Table1624[[#This Row],[Name]],Table2[Name],Table2[True Rank],"DNP",0,1)),"DNP")</f>
        <v>DNP</v>
      </c>
      <c r="H253" s="26" t="str">
        <f>IFERROR(_xlfn.PERCENTRANK.INC(Table211[True Rank],_xlfn.XLOOKUP(Table1624[[#This Row],[Name]],Table211[Name],Table211[True Rank],"DNP",0,1)),"DNP")</f>
        <v>DNP</v>
      </c>
      <c r="I253" s="26" t="str">
        <f>IFERROR(_xlfn.PERCENTRANK.INC(Table21112[True Rank],_xlfn.XLOOKUP(Table1624[[#This Row],[Name]],Table21112[Name],Table21112[True Rank],"DNP",0,1)),"DNP")</f>
        <v>DNP</v>
      </c>
      <c r="J253" s="26" t="str">
        <f>IFERROR(_xlfn.PERCENTRANK.INC(Table21112164[True Rank],_xlfn.XLOOKUP(Table1624[[#This Row],[Name]],Table21112164[Name],Table21112164[True Rank],"DNP",0,1)),"DNP")</f>
        <v>DNP</v>
      </c>
      <c r="K253" s="26" t="str">
        <f>IFERROR(_xlfn.PERCENTRANK.INC(Table2111216420[True Rank],_xlfn.XLOOKUP(Table1624[[#This Row],[Name]],Table2111216420[Name],Table2111216420[True Rank],"DNP",0,1)),"DNP")</f>
        <v>DNP</v>
      </c>
      <c r="L253" s="26" t="str">
        <f>IFERROR(_xlfn.PERCENTRANK.INC(Table211121642021[True Rank],_xlfn.XLOOKUP(Table1624[[#This Row],[Name]],Table211121642021[Name],Table211121642021[True Rank],"DNP",0,1)),"DNP")</f>
        <v>DNP</v>
      </c>
      <c r="M253" s="26" t="str">
        <f>IFERROR(_xlfn.PERCENTRANK.INC(Table21112164202122[True Rank],_xlfn.XLOOKUP(Table1624[[#This Row],[Name]],Table21112164202122[Name],Table21112164202122[True Rank],"DNP",0,1)),"DNP")</f>
        <v>DNP</v>
      </c>
      <c r="N253" s="26" t="str">
        <f>IFERROR(_xlfn.PERCENTRANK.INC(Table2111216420212223[True Rank],_xlfn.XLOOKUP(Table1624[[#This Row],[Name]],Table2111216420212223[Name],Table2111216420212223[True Rank],"DNP",0,1)),"DNP")</f>
        <v>DNP</v>
      </c>
      <c r="O253" s="26" t="str">
        <f>IFERROR(_xlfn.PERCENTRANK.INC(Table211121642021222325[True Rank],_xlfn.XLOOKUP(Table1624[[#This Row],[Name]],Table211121642021222325[Name],Table211121642021222325[True Rank],"DNP",0,1)),"DNP")</f>
        <v>DNP</v>
      </c>
      <c r="P253" s="26" t="str">
        <f>IFERROR(_xlfn.PERCENTRANK.INC(Table21112164202122232534[True Rank],_xlfn.XLOOKUP(Table1624[[#This Row],[Name]],Table21112164202122232534[Name],Table21112164202122232534[True Rank],"DNP",0,1)),"DNP")</f>
        <v>DNP</v>
      </c>
      <c r="Q25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 spans="2:33">
      <c r="B254" t="str">
        <f>IFERROR(Table5[[#This Row],[Full name]],"")</f>
        <v>Matthew Choi</v>
      </c>
      <c r="C254" s="108" t="str">
        <f>IFERROR(AVERAGE(Table1624[[#This Row],[September 30, 2025]:[Column18]]),"N/A")</f>
        <v>N/A</v>
      </c>
      <c r="D254" s="26" t="str">
        <f>IFERROR(_xlfn.PERCENTRANK.INC(Table4[True Rank],_xlfn.XLOOKUP(Table1624[[#This Row],[Name]],Table4[Name],Table4[True Rank],"DNP",0,1)),"DNP")</f>
        <v>DNP</v>
      </c>
      <c r="E254" s="26" t="str">
        <f>IFERROR(_xlfn.PERCENTRANK.INC(Table9[True Rank],_xlfn.XLOOKUP(Table1624[[#This Row],[Name]],Table9[Name],Table9[True Rank],"DNP",0,1)),"DNP")</f>
        <v>DNP</v>
      </c>
      <c r="F254" s="26" t="str">
        <f>IFERROR(_xlfn.PERCENTRANK.INC(Table18[True Rank],_xlfn.XLOOKUP(Table1624[[#This Row],[Name]],Table18[Name],Table18[True Rank],"DNP",0,1)),"DNP")</f>
        <v>DNP</v>
      </c>
      <c r="G254" s="26" t="str">
        <f>IFERROR(_xlfn.PERCENTRANK.INC(Table2[True Rank],_xlfn.XLOOKUP(Table1624[[#This Row],[Name]],Table2[Name],Table2[True Rank],"DNP",0,1)),"DNP")</f>
        <v>DNP</v>
      </c>
      <c r="H254" s="26" t="str">
        <f>IFERROR(_xlfn.PERCENTRANK.INC(Table211[True Rank],_xlfn.XLOOKUP(Table1624[[#This Row],[Name]],Table211[Name],Table211[True Rank],"DNP",0,1)),"DNP")</f>
        <v>DNP</v>
      </c>
      <c r="I254" s="26" t="str">
        <f>IFERROR(_xlfn.PERCENTRANK.INC(Table21112[True Rank],_xlfn.XLOOKUP(Table1624[[#This Row],[Name]],Table21112[Name],Table21112[True Rank],"DNP",0,1)),"DNP")</f>
        <v>DNP</v>
      </c>
      <c r="J254" s="26" t="str">
        <f>IFERROR(_xlfn.PERCENTRANK.INC(Table21112164[True Rank],_xlfn.XLOOKUP(Table1624[[#This Row],[Name]],Table21112164[Name],Table21112164[True Rank],"DNP",0,1)),"DNP")</f>
        <v>DNP</v>
      </c>
      <c r="K254" s="26" t="str">
        <f>IFERROR(_xlfn.PERCENTRANK.INC(Table2111216420[True Rank],_xlfn.XLOOKUP(Table1624[[#This Row],[Name]],Table2111216420[Name],Table2111216420[True Rank],"DNP",0,1)),"DNP")</f>
        <v>DNP</v>
      </c>
      <c r="L254" s="26" t="str">
        <f>IFERROR(_xlfn.PERCENTRANK.INC(Table211121642021[True Rank],_xlfn.XLOOKUP(Table1624[[#This Row],[Name]],Table211121642021[Name],Table211121642021[True Rank],"DNP",0,1)),"DNP")</f>
        <v>DNP</v>
      </c>
      <c r="M254" s="26" t="str">
        <f>IFERROR(_xlfn.PERCENTRANK.INC(Table21112164202122[True Rank],_xlfn.XLOOKUP(Table1624[[#This Row],[Name]],Table21112164202122[Name],Table21112164202122[True Rank],"DNP",0,1)),"DNP")</f>
        <v>DNP</v>
      </c>
      <c r="N254" s="26" t="str">
        <f>IFERROR(_xlfn.PERCENTRANK.INC(Table2111216420212223[True Rank],_xlfn.XLOOKUP(Table1624[[#This Row],[Name]],Table2111216420212223[Name],Table2111216420212223[True Rank],"DNP",0,1)),"DNP")</f>
        <v>DNP</v>
      </c>
      <c r="O254" s="26" t="str">
        <f>IFERROR(_xlfn.PERCENTRANK.INC(Table211121642021222325[True Rank],_xlfn.XLOOKUP(Table1624[[#This Row],[Name]],Table211121642021222325[Name],Table211121642021222325[True Rank],"DNP",0,1)),"DNP")</f>
        <v>DNP</v>
      </c>
      <c r="P254" s="26" t="str">
        <f>IFERROR(_xlfn.PERCENTRANK.INC(Table21112164202122232534[True Rank],_xlfn.XLOOKUP(Table1624[[#This Row],[Name]],Table21112164202122232534[Name],Table21112164202122232534[True Rank],"DNP",0,1)),"DNP")</f>
        <v>DNP</v>
      </c>
      <c r="Q2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 spans="2:33">
      <c r="B255" t="str">
        <f>IFERROR(Table5[[#This Row],[Full name]],"")</f>
        <v>Max Gavric</v>
      </c>
      <c r="C255" s="108">
        <f>IFERROR(AVERAGE(Table1624[[#This Row],[September 30, 2025]:[Column18]]),"N/A")</f>
        <v>0.74333333333333329</v>
      </c>
      <c r="D255" s="26">
        <f>IFERROR(_xlfn.PERCENTRANK.INC(Table4[True Rank],_xlfn.XLOOKUP(Table1624[[#This Row],[Name]],Table4[Name],Table4[True Rank],"DNP",0,1)),"DNP")</f>
        <v>0.77900000000000003</v>
      </c>
      <c r="E255" s="26">
        <f>IFERROR(_xlfn.PERCENTRANK.INC(Table9[True Rank],_xlfn.XLOOKUP(Table1624[[#This Row],[Name]],Table9[Name],Table9[True Rank],"DNP",0,1)),"DNP")</f>
        <v>0.48199999999999998</v>
      </c>
      <c r="F255" s="26">
        <f>IFERROR(_xlfn.PERCENTRANK.INC(Table18[True Rank],_xlfn.XLOOKUP(Table1624[[#This Row],[Name]],Table18[Name],Table18[True Rank],"DNP",0,1)),"DNP")</f>
        <v>0.96899999999999997</v>
      </c>
      <c r="G255" s="26" t="str">
        <f>IFERROR(_xlfn.PERCENTRANK.INC(Table2[True Rank],_xlfn.XLOOKUP(Table1624[[#This Row],[Name]],Table2[Name],Table2[True Rank],"DNP",0,1)),"DNP")</f>
        <v>DNP</v>
      </c>
      <c r="H255" s="26" t="str">
        <f>IFERROR(_xlfn.PERCENTRANK.INC(Table211[True Rank],_xlfn.XLOOKUP(Table1624[[#This Row],[Name]],Table211[Name],Table211[True Rank],"DNP",0,1)),"DNP")</f>
        <v>DNP</v>
      </c>
      <c r="I255" s="26" t="str">
        <f>IFERROR(_xlfn.PERCENTRANK.INC(Table21112[True Rank],_xlfn.XLOOKUP(Table1624[[#This Row],[Name]],Table21112[Name],Table21112[True Rank],"DNP",0,1)),"DNP")</f>
        <v>DNP</v>
      </c>
      <c r="J255" s="26" t="str">
        <f>IFERROR(_xlfn.PERCENTRANK.INC(Table21112164[True Rank],_xlfn.XLOOKUP(Table1624[[#This Row],[Name]],Table21112164[Name],Table21112164[True Rank],"DNP",0,1)),"DNP")</f>
        <v>DNP</v>
      </c>
      <c r="K255" s="26" t="str">
        <f>IFERROR(_xlfn.PERCENTRANK.INC(Table2111216420[True Rank],_xlfn.XLOOKUP(Table1624[[#This Row],[Name]],Table2111216420[Name],Table2111216420[True Rank],"DNP",0,1)),"DNP")</f>
        <v>DNP</v>
      </c>
      <c r="L255" s="26" t="str">
        <f>IFERROR(_xlfn.PERCENTRANK.INC(Table211121642021[True Rank],_xlfn.XLOOKUP(Table1624[[#This Row],[Name]],Table211121642021[Name],Table211121642021[True Rank],"DNP",0,1)),"DNP")</f>
        <v>DNP</v>
      </c>
      <c r="M255" s="26" t="str">
        <f>IFERROR(_xlfn.PERCENTRANK.INC(Table21112164202122[True Rank],_xlfn.XLOOKUP(Table1624[[#This Row],[Name]],Table21112164202122[Name],Table21112164202122[True Rank],"DNP",0,1)),"DNP")</f>
        <v>DNP</v>
      </c>
      <c r="N255" s="26" t="str">
        <f>IFERROR(_xlfn.PERCENTRANK.INC(Table2111216420212223[True Rank],_xlfn.XLOOKUP(Table1624[[#This Row],[Name]],Table2111216420212223[Name],Table2111216420212223[True Rank],"DNP",0,1)),"DNP")</f>
        <v>DNP</v>
      </c>
      <c r="O255" s="26" t="str">
        <f>IFERROR(_xlfn.PERCENTRANK.INC(Table211121642021222325[True Rank],_xlfn.XLOOKUP(Table1624[[#This Row],[Name]],Table211121642021222325[Name],Table211121642021222325[True Rank],"DNP",0,1)),"DNP")</f>
        <v>DNP</v>
      </c>
      <c r="P255" s="26" t="str">
        <f>IFERROR(_xlfn.PERCENTRANK.INC(Table21112164202122232534[True Rank],_xlfn.XLOOKUP(Table1624[[#This Row],[Name]],Table21112164202122232534[Name],Table21112164202122232534[True Rank],"DNP",0,1)),"DNP")</f>
        <v>DNP</v>
      </c>
      <c r="Q2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spans="2:33">
      <c r="B256" t="str">
        <f>IFERROR(Table5[[#This Row],[Full name]],"")</f>
        <v>Maxim Skubitsky</v>
      </c>
      <c r="C256" s="108">
        <f>IFERROR(AVERAGE(Table1624[[#This Row],[September 30, 2025]:[Column18]]),"N/A")</f>
        <v>0.57650000000000001</v>
      </c>
      <c r="D256" s="26" t="str">
        <f>IFERROR(_xlfn.PERCENTRANK.INC(Table4[True Rank],_xlfn.XLOOKUP(Table1624[[#This Row],[Name]],Table4[Name],Table4[True Rank],"DNP",0,1)),"DNP")</f>
        <v>DNP</v>
      </c>
      <c r="E256" s="26" t="str">
        <f>IFERROR(_xlfn.PERCENTRANK.INC(Table9[True Rank],_xlfn.XLOOKUP(Table1624[[#This Row],[Name]],Table9[Name],Table9[True Rank],"DNP",0,1)),"DNP")</f>
        <v>DNP</v>
      </c>
      <c r="F256" s="26" t="str">
        <f>IFERROR(_xlfn.PERCENTRANK.INC(Table18[True Rank],_xlfn.XLOOKUP(Table1624[[#This Row],[Name]],Table18[Name],Table18[True Rank],"DNP",0,1)),"DNP")</f>
        <v>DNP</v>
      </c>
      <c r="G256" s="26" t="str">
        <f>IFERROR(_xlfn.PERCENTRANK.INC(Table2[True Rank],_xlfn.XLOOKUP(Table1624[[#This Row],[Name]],Table2[Name],Table2[True Rank],"DNP",0,1)),"DNP")</f>
        <v>DNP</v>
      </c>
      <c r="H256" s="26" t="str">
        <f>IFERROR(_xlfn.PERCENTRANK.INC(Table211[True Rank],_xlfn.XLOOKUP(Table1624[[#This Row],[Name]],Table211[Name],Table211[True Rank],"DNP",0,1)),"DNP")</f>
        <v>DNP</v>
      </c>
      <c r="I256" s="26" t="str">
        <f>IFERROR(_xlfn.PERCENTRANK.INC(Table21112[True Rank],_xlfn.XLOOKUP(Table1624[[#This Row],[Name]],Table21112[Name],Table21112[True Rank],"DNP",0,1)),"DNP")</f>
        <v>DNP</v>
      </c>
      <c r="J256" s="26" t="str">
        <f>IFERROR(_xlfn.PERCENTRANK.INC(Table21112164[True Rank],_xlfn.XLOOKUP(Table1624[[#This Row],[Name]],Table21112164[Name],Table21112164[True Rank],"DNP",0,1)),"DNP")</f>
        <v>DNP</v>
      </c>
      <c r="K256" s="26" t="str">
        <f>IFERROR(_xlfn.PERCENTRANK.INC(Table2111216420[True Rank],_xlfn.XLOOKUP(Table1624[[#This Row],[Name]],Table2111216420[Name],Table2111216420[True Rank],"DNP",0,1)),"DNP")</f>
        <v>DNP</v>
      </c>
      <c r="L256" s="26" t="str">
        <f>IFERROR(_xlfn.PERCENTRANK.INC(Table211121642021[True Rank],_xlfn.XLOOKUP(Table1624[[#This Row],[Name]],Table211121642021[Name],Table211121642021[True Rank],"DNP",0,1)),"DNP")</f>
        <v>DNP</v>
      </c>
      <c r="M256" s="26" t="str">
        <f>IFERROR(_xlfn.PERCENTRANK.INC(Table21112164202122[True Rank],_xlfn.XLOOKUP(Table1624[[#This Row],[Name]],Table21112164202122[Name],Table21112164202122[True Rank],"DNP",0,1)),"DNP")</f>
        <v>DNP</v>
      </c>
      <c r="N256" s="26" t="str">
        <f>IFERROR(_xlfn.PERCENTRANK.INC(Table2111216420212223[True Rank],_xlfn.XLOOKUP(Table1624[[#This Row],[Name]],Table2111216420212223[Name],Table2111216420212223[True Rank],"DNP",0,1)),"DNP")</f>
        <v>DNP</v>
      </c>
      <c r="O256" s="26" t="str">
        <f>IFERROR(_xlfn.PERCENTRANK.INC(Table211121642021222325[True Rank],_xlfn.XLOOKUP(Table1624[[#This Row],[Name]],Table211121642021222325[Name],Table211121642021222325[True Rank],"DNP",0,1)),"DNP")</f>
        <v>DNP</v>
      </c>
      <c r="P256" s="26" t="str">
        <f>IFERROR(_xlfn.PERCENTRANK.INC(Table21112164202122232534[True Rank],_xlfn.XLOOKUP(Table1624[[#This Row],[Name]],Table21112164202122232534[Name],Table21112164202122232534[True Rank],"DNP",0,1)),"DNP")</f>
        <v>DNP</v>
      </c>
      <c r="Q256" s="26">
        <f>IFERROR(_xlfn.PERCENTRANK.INC(Table2111216420212223253435[True Rank],_xlfn.XLOOKUP(Table1624[[#This Row],[Name]],Table2111216420212223253435[Name],Table2111216420212223253435[True Rank],"DNP",0,1)),"DNP")</f>
        <v>0.82599999999999996</v>
      </c>
      <c r="R2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6" s="26">
        <f>IFERROR(_xlfn.PERCENTRANK.INC(Table21112164202122232534353637[True Rank],_xlfn.XLOOKUP(Table1624[[#This Row],[Name]],Table21112164202122232534353637[Name],Table21112164202122232534353637[True Rank],"DNP",0,1)),"DNP")</f>
        <v>0.32700000000000001</v>
      </c>
      <c r="T2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spans="2:33">
      <c r="B257" t="str">
        <f>IFERROR(Table5[[#This Row],[Full name]],"")</f>
        <v>Mekayel Qureshi</v>
      </c>
      <c r="C257" s="108" t="str">
        <f>IFERROR(AVERAGE(Table1624[[#This Row],[September 30, 2025]:[Column18]]),"N/A")</f>
        <v>N/A</v>
      </c>
      <c r="D257" s="26" t="str">
        <f>IFERROR(_xlfn.PERCENTRANK.INC(Table4[True Rank],_xlfn.XLOOKUP(Table1624[[#This Row],[Name]],Table4[Name],Table4[True Rank],"DNP",0,1)),"DNP")</f>
        <v>DNP</v>
      </c>
      <c r="E257" s="26" t="str">
        <f>IFERROR(_xlfn.PERCENTRANK.INC(Table9[True Rank],_xlfn.XLOOKUP(Table1624[[#This Row],[Name]],Table9[Name],Table9[True Rank],"DNP",0,1)),"DNP")</f>
        <v>DNP</v>
      </c>
      <c r="F257" s="26" t="str">
        <f>IFERROR(_xlfn.PERCENTRANK.INC(Table18[True Rank],_xlfn.XLOOKUP(Table1624[[#This Row],[Name]],Table18[Name],Table18[True Rank],"DNP",0,1)),"DNP")</f>
        <v>DNP</v>
      </c>
      <c r="G257" s="26" t="str">
        <f>IFERROR(_xlfn.PERCENTRANK.INC(Table2[True Rank],_xlfn.XLOOKUP(Table1624[[#This Row],[Name]],Table2[Name],Table2[True Rank],"DNP",0,1)),"DNP")</f>
        <v>DNP</v>
      </c>
      <c r="H257" s="26" t="str">
        <f>IFERROR(_xlfn.PERCENTRANK.INC(Table211[True Rank],_xlfn.XLOOKUP(Table1624[[#This Row],[Name]],Table211[Name],Table211[True Rank],"DNP",0,1)),"DNP")</f>
        <v>DNP</v>
      </c>
      <c r="I257" s="26" t="str">
        <f>IFERROR(_xlfn.PERCENTRANK.INC(Table21112[True Rank],_xlfn.XLOOKUP(Table1624[[#This Row],[Name]],Table21112[Name],Table21112[True Rank],"DNP",0,1)),"DNP")</f>
        <v>DNP</v>
      </c>
      <c r="J257" s="26" t="str">
        <f>IFERROR(_xlfn.PERCENTRANK.INC(Table21112164[True Rank],_xlfn.XLOOKUP(Table1624[[#This Row],[Name]],Table21112164[Name],Table21112164[True Rank],"DNP",0,1)),"DNP")</f>
        <v>DNP</v>
      </c>
      <c r="K257" s="26" t="str">
        <f>IFERROR(_xlfn.PERCENTRANK.INC(Table2111216420[True Rank],_xlfn.XLOOKUP(Table1624[[#This Row],[Name]],Table2111216420[Name],Table2111216420[True Rank],"DNP",0,1)),"DNP")</f>
        <v>DNP</v>
      </c>
      <c r="L257" s="26" t="str">
        <f>IFERROR(_xlfn.PERCENTRANK.INC(Table211121642021[True Rank],_xlfn.XLOOKUP(Table1624[[#This Row],[Name]],Table211121642021[Name],Table211121642021[True Rank],"DNP",0,1)),"DNP")</f>
        <v>DNP</v>
      </c>
      <c r="M257" s="26" t="str">
        <f>IFERROR(_xlfn.PERCENTRANK.INC(Table21112164202122[True Rank],_xlfn.XLOOKUP(Table1624[[#This Row],[Name]],Table21112164202122[Name],Table21112164202122[True Rank],"DNP",0,1)),"DNP")</f>
        <v>DNP</v>
      </c>
      <c r="N257" s="26" t="str">
        <f>IFERROR(_xlfn.PERCENTRANK.INC(Table2111216420212223[True Rank],_xlfn.XLOOKUP(Table1624[[#This Row],[Name]],Table2111216420212223[Name],Table2111216420212223[True Rank],"DNP",0,1)),"DNP")</f>
        <v>DNP</v>
      </c>
      <c r="O257" s="26" t="str">
        <f>IFERROR(_xlfn.PERCENTRANK.INC(Table211121642021222325[True Rank],_xlfn.XLOOKUP(Table1624[[#This Row],[Name]],Table211121642021222325[Name],Table211121642021222325[True Rank],"DNP",0,1)),"DNP")</f>
        <v>DNP</v>
      </c>
      <c r="P257" s="26" t="str">
        <f>IFERROR(_xlfn.PERCENTRANK.INC(Table21112164202122232534[True Rank],_xlfn.XLOOKUP(Table1624[[#This Row],[Name]],Table21112164202122232534[Name],Table21112164202122232534[True Rank],"DNP",0,1)),"DNP")</f>
        <v>DNP</v>
      </c>
      <c r="Q2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spans="2:33">
      <c r="B258" t="str">
        <f>IFERROR(Table5[[#This Row],[Full name]],"")</f>
        <v>Mia Szavo</v>
      </c>
      <c r="C258" s="108" t="str">
        <f>IFERROR(AVERAGE(Table1624[[#This Row],[September 30, 2025]:[Column18]]),"N/A")</f>
        <v>N/A</v>
      </c>
      <c r="D258" s="26" t="str">
        <f>IFERROR(_xlfn.PERCENTRANK.INC(Table4[True Rank],_xlfn.XLOOKUP(Table1624[[#This Row],[Name]],Table4[Name],Table4[True Rank],"DNP",0,1)),"DNP")</f>
        <v>DNP</v>
      </c>
      <c r="E258" s="26" t="str">
        <f>IFERROR(_xlfn.PERCENTRANK.INC(Table9[True Rank],_xlfn.XLOOKUP(Table1624[[#This Row],[Name]],Table9[Name],Table9[True Rank],"DNP",0,1)),"DNP")</f>
        <v>DNP</v>
      </c>
      <c r="F258" s="26" t="str">
        <f>IFERROR(_xlfn.PERCENTRANK.INC(Table18[True Rank],_xlfn.XLOOKUP(Table1624[[#This Row],[Name]],Table18[Name],Table18[True Rank],"DNP",0,1)),"DNP")</f>
        <v>DNP</v>
      </c>
      <c r="G258" s="26" t="str">
        <f>IFERROR(_xlfn.PERCENTRANK.INC(Table2[True Rank],_xlfn.XLOOKUP(Table1624[[#This Row],[Name]],Table2[Name],Table2[True Rank],"DNP",0,1)),"DNP")</f>
        <v>DNP</v>
      </c>
      <c r="H258" s="26" t="str">
        <f>IFERROR(_xlfn.PERCENTRANK.INC(Table211[True Rank],_xlfn.XLOOKUP(Table1624[[#This Row],[Name]],Table211[Name],Table211[True Rank],"DNP",0,1)),"DNP")</f>
        <v>DNP</v>
      </c>
      <c r="I258" s="26" t="str">
        <f>IFERROR(_xlfn.PERCENTRANK.INC(Table21112[True Rank],_xlfn.XLOOKUP(Table1624[[#This Row],[Name]],Table21112[Name],Table21112[True Rank],"DNP",0,1)),"DNP")</f>
        <v>DNP</v>
      </c>
      <c r="J258" s="26" t="str">
        <f>IFERROR(_xlfn.PERCENTRANK.INC(Table21112164[True Rank],_xlfn.XLOOKUP(Table1624[[#This Row],[Name]],Table21112164[Name],Table21112164[True Rank],"DNP",0,1)),"DNP")</f>
        <v>DNP</v>
      </c>
      <c r="K258" s="26" t="str">
        <f>IFERROR(_xlfn.PERCENTRANK.INC(Table2111216420[True Rank],_xlfn.XLOOKUP(Table1624[[#This Row],[Name]],Table2111216420[Name],Table2111216420[True Rank],"DNP",0,1)),"DNP")</f>
        <v>DNP</v>
      </c>
      <c r="L258" s="26" t="str">
        <f>IFERROR(_xlfn.PERCENTRANK.INC(Table211121642021[True Rank],_xlfn.XLOOKUP(Table1624[[#This Row],[Name]],Table211121642021[Name],Table211121642021[True Rank],"DNP",0,1)),"DNP")</f>
        <v>DNP</v>
      </c>
      <c r="M258" s="26" t="str">
        <f>IFERROR(_xlfn.PERCENTRANK.INC(Table21112164202122[True Rank],_xlfn.XLOOKUP(Table1624[[#This Row],[Name]],Table21112164202122[Name],Table21112164202122[True Rank],"DNP",0,1)),"DNP")</f>
        <v>DNP</v>
      </c>
      <c r="N258" s="26" t="str">
        <f>IFERROR(_xlfn.PERCENTRANK.INC(Table2111216420212223[True Rank],_xlfn.XLOOKUP(Table1624[[#This Row],[Name]],Table2111216420212223[Name],Table2111216420212223[True Rank],"DNP",0,1)),"DNP")</f>
        <v>DNP</v>
      </c>
      <c r="O258" s="26" t="str">
        <f>IFERROR(_xlfn.PERCENTRANK.INC(Table211121642021222325[True Rank],_xlfn.XLOOKUP(Table1624[[#This Row],[Name]],Table211121642021222325[Name],Table211121642021222325[True Rank],"DNP",0,1)),"DNP")</f>
        <v>DNP</v>
      </c>
      <c r="P258" s="26" t="str">
        <f>IFERROR(_xlfn.PERCENTRANK.INC(Table21112164202122232534[True Rank],_xlfn.XLOOKUP(Table1624[[#This Row],[Name]],Table21112164202122232534[Name],Table21112164202122232534[True Rank],"DNP",0,1)),"DNP")</f>
        <v>DNP</v>
      </c>
      <c r="Q25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spans="2:33">
      <c r="B259" t="str">
        <f>IFERROR(Table5[[#This Row],[Full name]],"")</f>
        <v>Michael Ng</v>
      </c>
      <c r="C259" s="108">
        <f>IFERROR(AVERAGE(Table1624[[#This Row],[September 30, 2025]:[Column18]]),"N/A")</f>
        <v>0.63850000000000007</v>
      </c>
      <c r="D259" s="26">
        <f>IFERROR(_xlfn.PERCENTRANK.INC(Table4[True Rank],_xlfn.XLOOKUP(Table1624[[#This Row],[Name]],Table4[Name],Table4[True Rank],"DNP",0,1)),"DNP")</f>
        <v>0.78800000000000003</v>
      </c>
      <c r="E259" s="26" t="str">
        <f>IFERROR(_xlfn.PERCENTRANK.INC(Table9[True Rank],_xlfn.XLOOKUP(Table1624[[#This Row],[Name]],Table9[Name],Table9[True Rank],"DNP",0,1)),"DNP")</f>
        <v>DNP</v>
      </c>
      <c r="F259" s="26" t="str">
        <f>IFERROR(_xlfn.PERCENTRANK.INC(Table18[True Rank],_xlfn.XLOOKUP(Table1624[[#This Row],[Name]],Table18[Name],Table18[True Rank],"DNP",0,1)),"DNP")</f>
        <v>DNP</v>
      </c>
      <c r="G259" s="26" t="str">
        <f>IFERROR(_xlfn.PERCENTRANK.INC(Table2[True Rank],_xlfn.XLOOKUP(Table1624[[#This Row],[Name]],Table2[Name],Table2[True Rank],"DNP",0,1)),"DNP")</f>
        <v>DNP</v>
      </c>
      <c r="H259" s="26" t="str">
        <f>IFERROR(_xlfn.PERCENTRANK.INC(Table211[True Rank],_xlfn.XLOOKUP(Table1624[[#This Row],[Name]],Table211[Name],Table211[True Rank],"DNP",0,1)),"DNP")</f>
        <v>DNP</v>
      </c>
      <c r="I259" s="26" t="str">
        <f>IFERROR(_xlfn.PERCENTRANK.INC(Table21112[True Rank],_xlfn.XLOOKUP(Table1624[[#This Row],[Name]],Table21112[Name],Table21112[True Rank],"DNP",0,1)),"DNP")</f>
        <v>DNP</v>
      </c>
      <c r="J259" s="26" t="str">
        <f>IFERROR(_xlfn.PERCENTRANK.INC(Table21112164[True Rank],_xlfn.XLOOKUP(Table1624[[#This Row],[Name]],Table21112164[Name],Table21112164[True Rank],"DNP",0,1)),"DNP")</f>
        <v>DNP</v>
      </c>
      <c r="K259" s="26">
        <f>IFERROR(_xlfn.PERCENTRANK.INC(Table2111216420[True Rank],_xlfn.XLOOKUP(Table1624[[#This Row],[Name]],Table2111216420[Name],Table2111216420[True Rank],"DNP",0,1)),"DNP")</f>
        <v>0.48899999999999999</v>
      </c>
      <c r="L259" s="26" t="str">
        <f>IFERROR(_xlfn.PERCENTRANK.INC(Table211121642021[True Rank],_xlfn.XLOOKUP(Table1624[[#This Row],[Name]],Table211121642021[Name],Table211121642021[True Rank],"DNP",0,1)),"DNP")</f>
        <v>DNP</v>
      </c>
      <c r="M259" s="26" t="str">
        <f>IFERROR(_xlfn.PERCENTRANK.INC(Table21112164202122[True Rank],_xlfn.XLOOKUP(Table1624[[#This Row],[Name]],Table21112164202122[Name],Table21112164202122[True Rank],"DNP",0,1)),"DNP")</f>
        <v>DNP</v>
      </c>
      <c r="N259" s="26" t="str">
        <f>IFERROR(_xlfn.PERCENTRANK.INC(Table2111216420212223[True Rank],_xlfn.XLOOKUP(Table1624[[#This Row],[Name]],Table2111216420212223[Name],Table2111216420212223[True Rank],"DNP",0,1)),"DNP")</f>
        <v>DNP</v>
      </c>
      <c r="O259" s="26" t="str">
        <f>IFERROR(_xlfn.PERCENTRANK.INC(Table211121642021222325[True Rank],_xlfn.XLOOKUP(Table1624[[#This Row],[Name]],Table211121642021222325[Name],Table211121642021222325[True Rank],"DNP",0,1)),"DNP")</f>
        <v>DNP</v>
      </c>
      <c r="P259" s="26" t="str">
        <f>IFERROR(_xlfn.PERCENTRANK.INC(Table21112164202122232534[True Rank],_xlfn.XLOOKUP(Table1624[[#This Row],[Name]],Table21112164202122232534[Name],Table21112164202122232534[True Rank],"DNP",0,1)),"DNP")</f>
        <v>DNP</v>
      </c>
      <c r="Q2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spans="2:33">
      <c r="B260" t="str">
        <f>IFERROR(Table5[[#This Row],[Full name]],"")</f>
        <v>Michael Salazar</v>
      </c>
      <c r="C260" s="108">
        <f>IFERROR(AVERAGE(Table1624[[#This Row],[September 30, 2025]:[Column18]]),"N/A")</f>
        <v>0.66700000000000015</v>
      </c>
      <c r="D260" s="26" t="str">
        <f>IFERROR(_xlfn.PERCENTRANK.INC(Table4[True Rank],_xlfn.XLOOKUP(Table1624[[#This Row],[Name]],Table4[Name],Table4[True Rank],"DNP",0,1)),"DNP")</f>
        <v>DNP</v>
      </c>
      <c r="E260" s="26" t="str">
        <f>IFERROR(_xlfn.PERCENTRANK.INC(Table9[True Rank],_xlfn.XLOOKUP(Table1624[[#This Row],[Name]],Table9[Name],Table9[True Rank],"DNP",0,1)),"DNP")</f>
        <v>DNP</v>
      </c>
      <c r="F260" s="26">
        <f>IFERROR(_xlfn.PERCENTRANK.INC(Table18[True Rank],_xlfn.XLOOKUP(Table1624[[#This Row],[Name]],Table18[Name],Table18[True Rank],"DNP",0,1)),"DNP")</f>
        <v>0.52500000000000002</v>
      </c>
      <c r="G260" s="26">
        <f>IFERROR(_xlfn.PERCENTRANK.INC(Table2[True Rank],_xlfn.XLOOKUP(Table1624[[#This Row],[Name]],Table2[Name],Table2[True Rank],"DNP",0,1)),"DNP")</f>
        <v>0.83299999999999996</v>
      </c>
      <c r="H260" s="26">
        <f>IFERROR(_xlfn.PERCENTRANK.INC(Table211[True Rank],_xlfn.XLOOKUP(Table1624[[#This Row],[Name]],Table211[Name],Table211[True Rank],"DNP",0,1)),"DNP")</f>
        <v>0.90100000000000002</v>
      </c>
      <c r="I260" s="26">
        <f>IFERROR(_xlfn.PERCENTRANK.INC(Table21112[True Rank],_xlfn.XLOOKUP(Table1624[[#This Row],[Name]],Table21112[Name],Table21112[True Rank],"DNP",0,1)),"DNP")</f>
        <v>0.128</v>
      </c>
      <c r="J260" s="26">
        <f>IFERROR(_xlfn.PERCENTRANK.INC(Table21112164[True Rank],_xlfn.XLOOKUP(Table1624[[#This Row],[Name]],Table21112164[Name],Table21112164[True Rank],"DNP",0,1)),"DNP")</f>
        <v>0.78600000000000003</v>
      </c>
      <c r="K260" s="26">
        <f>IFERROR(_xlfn.PERCENTRANK.INC(Table2111216420[True Rank],_xlfn.XLOOKUP(Table1624[[#This Row],[Name]],Table2111216420[Name],Table2111216420[True Rank],"DNP",0,1)),"DNP")</f>
        <v>0.82899999999999996</v>
      </c>
      <c r="L260" s="26" t="str">
        <f>IFERROR(_xlfn.PERCENTRANK.INC(Table211121642021[True Rank],_xlfn.XLOOKUP(Table1624[[#This Row],[Name]],Table211121642021[Name],Table211121642021[True Rank],"DNP",0,1)),"DNP")</f>
        <v>DNP</v>
      </c>
      <c r="M260" s="26" t="str">
        <f>IFERROR(_xlfn.PERCENTRANK.INC(Table21112164202122[True Rank],_xlfn.XLOOKUP(Table1624[[#This Row],[Name]],Table21112164202122[Name],Table21112164202122[True Rank],"DNP",0,1)),"DNP")</f>
        <v>DNP</v>
      </c>
      <c r="N260" s="26" t="str">
        <f>IFERROR(_xlfn.PERCENTRANK.INC(Table2111216420212223[True Rank],_xlfn.XLOOKUP(Table1624[[#This Row],[Name]],Table2111216420212223[Name],Table2111216420212223[True Rank],"DNP",0,1)),"DNP")</f>
        <v>DNP</v>
      </c>
      <c r="O260" s="26" t="str">
        <f>IFERROR(_xlfn.PERCENTRANK.INC(Table211121642021222325[True Rank],_xlfn.XLOOKUP(Table1624[[#This Row],[Name]],Table211121642021222325[Name],Table211121642021222325[True Rank],"DNP",0,1)),"DNP")</f>
        <v>DNP</v>
      </c>
      <c r="P260" s="26" t="str">
        <f>IFERROR(_xlfn.PERCENTRANK.INC(Table21112164202122232534[True Rank],_xlfn.XLOOKUP(Table1624[[#This Row],[Name]],Table21112164202122232534[Name],Table21112164202122232534[True Rank],"DNP",0,1)),"DNP")</f>
        <v>DNP</v>
      </c>
      <c r="Q2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spans="2:33">
      <c r="B261" t="str">
        <f>IFERROR(Table5[[#This Row],[Full name]],"")</f>
        <v>Michael Xu</v>
      </c>
      <c r="C261" s="108" t="str">
        <f>IFERROR(AVERAGE(Table1624[[#This Row],[September 30, 2025]:[Column18]]),"N/A")</f>
        <v>N/A</v>
      </c>
      <c r="D261" s="26" t="str">
        <f>IFERROR(_xlfn.PERCENTRANK.INC(Table4[True Rank],_xlfn.XLOOKUP(Table1624[[#This Row],[Name]],Table4[Name],Table4[True Rank],"DNP",0,1)),"DNP")</f>
        <v>DNP</v>
      </c>
      <c r="E261" s="26" t="str">
        <f>IFERROR(_xlfn.PERCENTRANK.INC(Table9[True Rank],_xlfn.XLOOKUP(Table1624[[#This Row],[Name]],Table9[Name],Table9[True Rank],"DNP",0,1)),"DNP")</f>
        <v>DNP</v>
      </c>
      <c r="F261" s="26" t="str">
        <f>IFERROR(_xlfn.PERCENTRANK.INC(Table18[True Rank],_xlfn.XLOOKUP(Table1624[[#This Row],[Name]],Table18[Name],Table18[True Rank],"DNP",0,1)),"DNP")</f>
        <v>DNP</v>
      </c>
      <c r="G261" s="26" t="str">
        <f>IFERROR(_xlfn.PERCENTRANK.INC(Table2[True Rank],_xlfn.XLOOKUP(Table1624[[#This Row],[Name]],Table2[Name],Table2[True Rank],"DNP",0,1)),"DNP")</f>
        <v>DNP</v>
      </c>
      <c r="H261" s="26" t="str">
        <f>IFERROR(_xlfn.PERCENTRANK.INC(Table211[True Rank],_xlfn.XLOOKUP(Table1624[[#This Row],[Name]],Table211[Name],Table211[True Rank],"DNP",0,1)),"DNP")</f>
        <v>DNP</v>
      </c>
      <c r="I261" s="26" t="str">
        <f>IFERROR(_xlfn.PERCENTRANK.INC(Table21112[True Rank],_xlfn.XLOOKUP(Table1624[[#This Row],[Name]],Table21112[Name],Table21112[True Rank],"DNP",0,1)),"DNP")</f>
        <v>DNP</v>
      </c>
      <c r="J261" s="26" t="str">
        <f>IFERROR(_xlfn.PERCENTRANK.INC(Table21112164[True Rank],_xlfn.XLOOKUP(Table1624[[#This Row],[Name]],Table21112164[Name],Table21112164[True Rank],"DNP",0,1)),"DNP")</f>
        <v>DNP</v>
      </c>
      <c r="K261" s="26" t="str">
        <f>IFERROR(_xlfn.PERCENTRANK.INC(Table2111216420[True Rank],_xlfn.XLOOKUP(Table1624[[#This Row],[Name]],Table2111216420[Name],Table2111216420[True Rank],"DNP",0,1)),"DNP")</f>
        <v>DNP</v>
      </c>
      <c r="L261" s="26" t="str">
        <f>IFERROR(_xlfn.PERCENTRANK.INC(Table211121642021[True Rank],_xlfn.XLOOKUP(Table1624[[#This Row],[Name]],Table211121642021[Name],Table211121642021[True Rank],"DNP",0,1)),"DNP")</f>
        <v>DNP</v>
      </c>
      <c r="M261" s="26" t="str">
        <f>IFERROR(_xlfn.PERCENTRANK.INC(Table21112164202122[True Rank],_xlfn.XLOOKUP(Table1624[[#This Row],[Name]],Table21112164202122[Name],Table21112164202122[True Rank],"DNP",0,1)),"DNP")</f>
        <v>DNP</v>
      </c>
      <c r="N261" s="26" t="str">
        <f>IFERROR(_xlfn.PERCENTRANK.INC(Table2111216420212223[True Rank],_xlfn.XLOOKUP(Table1624[[#This Row],[Name]],Table2111216420212223[Name],Table2111216420212223[True Rank],"DNP",0,1)),"DNP")</f>
        <v>DNP</v>
      </c>
      <c r="O261" s="26" t="str">
        <f>IFERROR(_xlfn.PERCENTRANK.INC(Table211121642021222325[True Rank],_xlfn.XLOOKUP(Table1624[[#This Row],[Name]],Table211121642021222325[Name],Table211121642021222325[True Rank],"DNP",0,1)),"DNP")</f>
        <v>DNP</v>
      </c>
      <c r="P261" s="26" t="str">
        <f>IFERROR(_xlfn.PERCENTRANK.INC(Table21112164202122232534[True Rank],_xlfn.XLOOKUP(Table1624[[#This Row],[Name]],Table21112164202122232534[Name],Table21112164202122232534[True Rank],"DNP",0,1)),"DNP")</f>
        <v>DNP</v>
      </c>
      <c r="Q2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spans="2:33">
      <c r="B262" t="str">
        <f>IFERROR(Table5[[#This Row],[Full name]],"")</f>
        <v>Mirkomil Oblokulov</v>
      </c>
      <c r="C262" s="108">
        <f>IFERROR(AVERAGE(Table1624[[#This Row],[September 30, 2025]:[Column18]]),"N/A")</f>
        <v>0.56366666666666665</v>
      </c>
      <c r="D262" s="26" t="str">
        <f>IFERROR(_xlfn.PERCENTRANK.INC(Table4[True Rank],_xlfn.XLOOKUP(Table1624[[#This Row],[Name]],Table4[Name],Table4[True Rank],"DNP",0,1)),"DNP")</f>
        <v>DNP</v>
      </c>
      <c r="E262" s="26" t="str">
        <f>IFERROR(_xlfn.PERCENTRANK.INC(Table9[True Rank],_xlfn.XLOOKUP(Table1624[[#This Row],[Name]],Table9[Name],Table9[True Rank],"DNP",0,1)),"DNP")</f>
        <v>DNP</v>
      </c>
      <c r="F262" s="26" t="str">
        <f>IFERROR(_xlfn.PERCENTRANK.INC(Table18[True Rank],_xlfn.XLOOKUP(Table1624[[#This Row],[Name]],Table18[Name],Table18[True Rank],"DNP",0,1)),"DNP")</f>
        <v>DNP</v>
      </c>
      <c r="G262" s="26" t="str">
        <f>IFERROR(_xlfn.PERCENTRANK.INC(Table2[True Rank],_xlfn.XLOOKUP(Table1624[[#This Row],[Name]],Table2[Name],Table2[True Rank],"DNP",0,1)),"DNP")</f>
        <v>DNP</v>
      </c>
      <c r="H262" s="26" t="str">
        <f>IFERROR(_xlfn.PERCENTRANK.INC(Table211[True Rank],_xlfn.XLOOKUP(Table1624[[#This Row],[Name]],Table211[Name],Table211[True Rank],"DNP",0,1)),"DNP")</f>
        <v>DNP</v>
      </c>
      <c r="I262" s="26" t="str">
        <f>IFERROR(_xlfn.PERCENTRANK.INC(Table21112[True Rank],_xlfn.XLOOKUP(Table1624[[#This Row],[Name]],Table21112[Name],Table21112[True Rank],"DNP",0,1)),"DNP")</f>
        <v>DNP</v>
      </c>
      <c r="J262" s="26" t="str">
        <f>IFERROR(_xlfn.PERCENTRANK.INC(Table21112164[True Rank],_xlfn.XLOOKUP(Table1624[[#This Row],[Name]],Table21112164[Name],Table21112164[True Rank],"DNP",0,1)),"DNP")</f>
        <v>DNP</v>
      </c>
      <c r="K262" s="26" t="str">
        <f>IFERROR(_xlfn.PERCENTRANK.INC(Table2111216420[True Rank],_xlfn.XLOOKUP(Table1624[[#This Row],[Name]],Table2111216420[Name],Table2111216420[True Rank],"DNP",0,1)),"DNP")</f>
        <v>DNP</v>
      </c>
      <c r="L262" s="26" t="str">
        <f>IFERROR(_xlfn.PERCENTRANK.INC(Table211121642021[True Rank],_xlfn.XLOOKUP(Table1624[[#This Row],[Name]],Table211121642021[Name],Table211121642021[True Rank],"DNP",0,1)),"DNP")</f>
        <v>DNP</v>
      </c>
      <c r="M262" s="26" t="str">
        <f>IFERROR(_xlfn.PERCENTRANK.INC(Table21112164202122[True Rank],_xlfn.XLOOKUP(Table1624[[#This Row],[Name]],Table21112164202122[Name],Table21112164202122[True Rank],"DNP",0,1)),"DNP")</f>
        <v>DNP</v>
      </c>
      <c r="N262" s="26" t="str">
        <f>IFERROR(_xlfn.PERCENTRANK.INC(Table2111216420212223[True Rank],_xlfn.XLOOKUP(Table1624[[#This Row],[Name]],Table2111216420212223[Name],Table2111216420212223[True Rank],"DNP",0,1)),"DNP")</f>
        <v>DNP</v>
      </c>
      <c r="O262" s="26">
        <f>IFERROR(_xlfn.PERCENTRANK.INC(Table211121642021222325[True Rank],_xlfn.XLOOKUP(Table1624[[#This Row],[Name]],Table211121642021222325[Name],Table211121642021222325[True Rank],"DNP",0,1)),"DNP")</f>
        <v>0.24099999999999999</v>
      </c>
      <c r="P262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62" s="26">
        <f>IFERROR(_xlfn.PERCENTRANK.INC(Table2111216420212223253435[True Rank],_xlfn.XLOOKUP(Table1624[[#This Row],[Name]],Table2111216420212223253435[Name],Table2111216420212223253435[True Rank],"DNP",0,1)),"DNP")</f>
        <v>0.626</v>
      </c>
      <c r="R2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 spans="2:33">
      <c r="B263" t="str">
        <f>IFERROR(Table5[[#This Row],[Full name]],"")</f>
        <v>Moksh Shah</v>
      </c>
      <c r="C263" s="108">
        <f>IFERROR(AVERAGE(Table1624[[#This Row],[September 30, 2025]:[Column18]]),"N/A")</f>
        <v>0.48</v>
      </c>
      <c r="D263" s="26">
        <f>IFERROR(_xlfn.PERCENTRANK.INC(Table4[True Rank],_xlfn.XLOOKUP(Table1624[[#This Row],[Name]],Table4[Name],Table4[True Rank],"DNP",0,1)),"DNP")</f>
        <v>0.65100000000000002</v>
      </c>
      <c r="E263" s="26">
        <f>IFERROR(_xlfn.PERCENTRANK.INC(Table9[True Rank],_xlfn.XLOOKUP(Table1624[[#This Row],[Name]],Table9[Name],Table9[True Rank],"DNP",0,1)),"DNP")</f>
        <v>4.4999999999999998E-2</v>
      </c>
      <c r="F263" s="26" t="str">
        <f>IFERROR(_xlfn.PERCENTRANK.INC(Table18[True Rank],_xlfn.XLOOKUP(Table1624[[#This Row],[Name]],Table18[Name],Table18[True Rank],"DNP",0,1)),"DNP")</f>
        <v>DNP</v>
      </c>
      <c r="G263" s="26" t="str">
        <f>IFERROR(_xlfn.PERCENTRANK.INC(Table2[True Rank],_xlfn.XLOOKUP(Table1624[[#This Row],[Name]],Table2[Name],Table2[True Rank],"DNP",0,1)),"DNP")</f>
        <v>DNP</v>
      </c>
      <c r="H263" s="26" t="str">
        <f>IFERROR(_xlfn.PERCENTRANK.INC(Table211[True Rank],_xlfn.XLOOKUP(Table1624[[#This Row],[Name]],Table211[Name],Table211[True Rank],"DNP",0,1)),"DNP")</f>
        <v>DNP</v>
      </c>
      <c r="I263" s="26" t="str">
        <f>IFERROR(_xlfn.PERCENTRANK.INC(Table21112[True Rank],_xlfn.XLOOKUP(Table1624[[#This Row],[Name]],Table21112[Name],Table21112[True Rank],"DNP",0,1)),"DNP")</f>
        <v>DNP</v>
      </c>
      <c r="J263" s="26" t="str">
        <f>IFERROR(_xlfn.PERCENTRANK.INC(Table21112164[True Rank],_xlfn.XLOOKUP(Table1624[[#This Row],[Name]],Table21112164[Name],Table21112164[True Rank],"DNP",0,1)),"DNP")</f>
        <v>DNP</v>
      </c>
      <c r="K263" s="26">
        <f>IFERROR(_xlfn.PERCENTRANK.INC(Table2111216420[True Rank],_xlfn.XLOOKUP(Table1624[[#This Row],[Name]],Table2111216420[Name],Table2111216420[True Rank],"DNP",0,1)),"DNP")</f>
        <v>0.74399999999999999</v>
      </c>
      <c r="L263" s="26" t="str">
        <f>IFERROR(_xlfn.PERCENTRANK.INC(Table211121642021[True Rank],_xlfn.XLOOKUP(Table1624[[#This Row],[Name]],Table211121642021[Name],Table211121642021[True Rank],"DNP",0,1)),"DNP")</f>
        <v>DNP</v>
      </c>
      <c r="M263" s="26" t="str">
        <f>IFERROR(_xlfn.PERCENTRANK.INC(Table21112164202122[True Rank],_xlfn.XLOOKUP(Table1624[[#This Row],[Name]],Table21112164202122[Name],Table21112164202122[True Rank],"DNP",0,1)),"DNP")</f>
        <v>DNP</v>
      </c>
      <c r="N263" s="26" t="str">
        <f>IFERROR(_xlfn.PERCENTRANK.INC(Table2111216420212223[True Rank],_xlfn.XLOOKUP(Table1624[[#This Row],[Name]],Table2111216420212223[Name],Table2111216420212223[True Rank],"DNP",0,1)),"DNP")</f>
        <v>DNP</v>
      </c>
      <c r="O263" s="26" t="str">
        <f>IFERROR(_xlfn.PERCENTRANK.INC(Table211121642021222325[True Rank],_xlfn.XLOOKUP(Table1624[[#This Row],[Name]],Table211121642021222325[Name],Table211121642021222325[True Rank],"DNP",0,1)),"DNP")</f>
        <v>DNP</v>
      </c>
      <c r="P263" s="26" t="str">
        <f>IFERROR(_xlfn.PERCENTRANK.INC(Table21112164202122232534[True Rank],_xlfn.XLOOKUP(Table1624[[#This Row],[Name]],Table21112164202122232534[Name],Table21112164202122232534[True Rank],"DNP",0,1)),"DNP")</f>
        <v>DNP</v>
      </c>
      <c r="Q2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 spans="2:33">
      <c r="B264" t="str">
        <f>IFERROR(Table5[[#This Row],[Full name]],"")</f>
        <v>Muhammad Abdullah</v>
      </c>
      <c r="C264" s="108">
        <f>IFERROR(AVERAGE(Table1624[[#This Row],[September 30, 2025]:[Column18]]),"N/A")</f>
        <v>0.48033333333333333</v>
      </c>
      <c r="D264" s="26" t="str">
        <f>IFERROR(_xlfn.PERCENTRANK.INC(Table4[True Rank],_xlfn.XLOOKUP(Table1624[[#This Row],[Name]],Table4[Name],Table4[True Rank],"DNP",0,1)),"DNP")</f>
        <v>DNP</v>
      </c>
      <c r="E264" s="26" t="str">
        <f>IFERROR(_xlfn.PERCENTRANK.INC(Table9[True Rank],_xlfn.XLOOKUP(Table1624[[#This Row],[Name]],Table9[Name],Table9[True Rank],"DNP",0,1)),"DNP")</f>
        <v>DNP</v>
      </c>
      <c r="F264" s="26" t="str">
        <f>IFERROR(_xlfn.PERCENTRANK.INC(Table18[True Rank],_xlfn.XLOOKUP(Table1624[[#This Row],[Name]],Table18[Name],Table18[True Rank],"DNP",0,1)),"DNP")</f>
        <v>DNP</v>
      </c>
      <c r="G264" s="26" t="str">
        <f>IFERROR(_xlfn.PERCENTRANK.INC(Table2[True Rank],_xlfn.XLOOKUP(Table1624[[#This Row],[Name]],Table2[Name],Table2[True Rank],"DNP",0,1)),"DNP")</f>
        <v>DNP</v>
      </c>
      <c r="H264" s="26" t="str">
        <f>IFERROR(_xlfn.PERCENTRANK.INC(Table211[True Rank],_xlfn.XLOOKUP(Table1624[[#This Row],[Name]],Table211[Name],Table211[True Rank],"DNP",0,1)),"DNP")</f>
        <v>DNP</v>
      </c>
      <c r="I264" s="26" t="str">
        <f>IFERROR(_xlfn.PERCENTRANK.INC(Table21112[True Rank],_xlfn.XLOOKUP(Table1624[[#This Row],[Name]],Table21112[Name],Table21112[True Rank],"DNP",0,1)),"DNP")</f>
        <v>DNP</v>
      </c>
      <c r="J264" s="26" t="str">
        <f>IFERROR(_xlfn.PERCENTRANK.INC(Table21112164[True Rank],_xlfn.XLOOKUP(Table1624[[#This Row],[Name]],Table21112164[Name],Table21112164[True Rank],"DNP",0,1)),"DNP")</f>
        <v>DNP</v>
      </c>
      <c r="K264" s="26" t="str">
        <f>IFERROR(_xlfn.PERCENTRANK.INC(Table2111216420[True Rank],_xlfn.XLOOKUP(Table1624[[#This Row],[Name]],Table2111216420[Name],Table2111216420[True Rank],"DNP",0,1)),"DNP")</f>
        <v>DNP</v>
      </c>
      <c r="L264" s="26" t="str">
        <f>IFERROR(_xlfn.PERCENTRANK.INC(Table211121642021[True Rank],_xlfn.XLOOKUP(Table1624[[#This Row],[Name]],Table211121642021[Name],Table211121642021[True Rank],"DNP",0,1)),"DNP")</f>
        <v>DNP</v>
      </c>
      <c r="M264" s="26">
        <f>IFERROR(_xlfn.PERCENTRANK.INC(Table21112164202122[True Rank],_xlfn.XLOOKUP(Table1624[[#This Row],[Name]],Table21112164202122[Name],Table21112164202122[True Rank],"DNP",0,1)),"DNP")</f>
        <v>0.56799999999999995</v>
      </c>
      <c r="N264" s="26">
        <f>IFERROR(_xlfn.PERCENTRANK.INC(Table2111216420212223[True Rank],_xlfn.XLOOKUP(Table1624[[#This Row],[Name]],Table2111216420212223[Name],Table2111216420212223[True Rank],"DNP",0,1)),"DNP")</f>
        <v>0.63700000000000001</v>
      </c>
      <c r="O264" s="26">
        <f>IFERROR(_xlfn.PERCENTRANK.INC(Table211121642021222325[True Rank],_xlfn.XLOOKUP(Table1624[[#This Row],[Name]],Table211121642021222325[Name],Table211121642021222325[True Rank],"DNP",0,1)),"DNP")</f>
        <v>0.27400000000000002</v>
      </c>
      <c r="P264" s="26">
        <f>IFERROR(_xlfn.PERCENTRANK.INC(Table21112164202122232534[True Rank],_xlfn.XLOOKUP(Table1624[[#This Row],[Name]],Table21112164202122232534[Name],Table21112164202122232534[True Rank],"DNP",0,1)),"DNP")</f>
        <v>0.78</v>
      </c>
      <c r="Q264" s="26">
        <f>IFERROR(_xlfn.PERCENTRANK.INC(Table2111216420212223253435[True Rank],_xlfn.XLOOKUP(Table1624[[#This Row],[Name]],Table2111216420212223253435[Name],Table2111216420212223253435[True Rank],"DNP",0,1)),"DNP")</f>
        <v>0.106</v>
      </c>
      <c r="R2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4" s="26">
        <f>IFERROR(_xlfn.PERCENTRANK.INC(Table21112164202122232534353637[True Rank],_xlfn.XLOOKUP(Table1624[[#This Row],[Name]],Table21112164202122232534353637[Name],Table21112164202122232534353637[True Rank],"DNP",0,1)),"DNP")</f>
        <v>0.51700000000000002</v>
      </c>
      <c r="T2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 spans="2:33">
      <c r="B265" t="str">
        <f>IFERROR(Table5[[#This Row],[Full name]],"")</f>
        <v>Mukund Gupta</v>
      </c>
      <c r="C265" s="108">
        <f>IFERROR(AVERAGE(Table1624[[#This Row],[September 30, 2025]:[Column18]]),"N/A")</f>
        <v>0.65242857142857147</v>
      </c>
      <c r="D265" s="26">
        <f>IFERROR(_xlfn.PERCENTRANK.INC(Table4[True Rank],_xlfn.XLOOKUP(Table1624[[#This Row],[Name]],Table4[Name],Table4[True Rank],"DNP",0,1)),"DNP")</f>
        <v>0.36599999999999999</v>
      </c>
      <c r="E265" s="26">
        <f>IFERROR(_xlfn.PERCENTRANK.INC(Table9[True Rank],_xlfn.XLOOKUP(Table1624[[#This Row],[Name]],Table9[Name],Table9[True Rank],"DNP",0,1)),"DNP")</f>
        <v>0.65500000000000003</v>
      </c>
      <c r="F265" s="26">
        <f>IFERROR(_xlfn.PERCENTRANK.INC(Table18[True Rank],_xlfn.XLOOKUP(Table1624[[#This Row],[Name]],Table18[Name],Table18[True Rank],"DNP",0,1)),"DNP")</f>
        <v>0.95899999999999996</v>
      </c>
      <c r="G265" s="26">
        <f>IFERROR(_xlfn.PERCENTRANK.INC(Table2[True Rank],_xlfn.XLOOKUP(Table1624[[#This Row],[Name]],Table2[Name],Table2[True Rank],"DNP",0,1)),"DNP")</f>
        <v>0.82099999999999995</v>
      </c>
      <c r="H265" s="26" t="str">
        <f>IFERROR(_xlfn.PERCENTRANK.INC(Table211[True Rank],_xlfn.XLOOKUP(Table1624[[#This Row],[Name]],Table211[Name],Table211[True Rank],"DNP",0,1)),"DNP")</f>
        <v>DNP</v>
      </c>
      <c r="I265" s="26">
        <f>IFERROR(_xlfn.PERCENTRANK.INC(Table21112[True Rank],_xlfn.XLOOKUP(Table1624[[#This Row],[Name]],Table21112[Name],Table21112[True Rank],"DNP",0,1)),"DNP")</f>
        <v>0.88400000000000001</v>
      </c>
      <c r="J265" s="26" t="str">
        <f>IFERROR(_xlfn.PERCENTRANK.INC(Table21112164[True Rank],_xlfn.XLOOKUP(Table1624[[#This Row],[Name]],Table21112164[Name],Table21112164[True Rank],"DNP",0,1)),"DNP")</f>
        <v>DNP</v>
      </c>
      <c r="K265" s="26">
        <f>IFERROR(_xlfn.PERCENTRANK.INC(Table2111216420[True Rank],_xlfn.XLOOKUP(Table1624[[#This Row],[Name]],Table2111216420[Name],Table2111216420[True Rank],"DNP",0,1)),"DNP")</f>
        <v>0.88200000000000001</v>
      </c>
      <c r="L265" s="26" t="str">
        <f>IFERROR(_xlfn.PERCENTRANK.INC(Table211121642021[True Rank],_xlfn.XLOOKUP(Table1624[[#This Row],[Name]],Table211121642021[Name],Table211121642021[True Rank],"DNP",0,1)),"DNP")</f>
        <v>DNP</v>
      </c>
      <c r="M265" s="26" t="str">
        <f>IFERROR(_xlfn.PERCENTRANK.INC(Table21112164202122[True Rank],_xlfn.XLOOKUP(Table1624[[#This Row],[Name]],Table21112164202122[Name],Table21112164202122[True Rank],"DNP",0,1)),"DNP")</f>
        <v>DNP</v>
      </c>
      <c r="N265" s="26" t="str">
        <f>IFERROR(_xlfn.PERCENTRANK.INC(Table2111216420212223[True Rank],_xlfn.XLOOKUP(Table1624[[#This Row],[Name]],Table2111216420212223[Name],Table2111216420212223[True Rank],"DNP",0,1)),"DNP")</f>
        <v>DNP</v>
      </c>
      <c r="O265" s="26" t="str">
        <f>IFERROR(_xlfn.PERCENTRANK.INC(Table211121642021222325[True Rank],_xlfn.XLOOKUP(Table1624[[#This Row],[Name]],Table211121642021222325[Name],Table211121642021222325[True Rank],"DNP",0,1)),"DNP")</f>
        <v>DNP</v>
      </c>
      <c r="P265" s="26" t="str">
        <f>IFERROR(_xlfn.PERCENTRANK.INC(Table21112164202122232534[True Rank],_xlfn.XLOOKUP(Table1624[[#This Row],[Name]],Table21112164202122232534[Name],Table21112164202122232534[True Rank],"DNP",0,1)),"DNP")</f>
        <v>DNP</v>
      </c>
      <c r="Q2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5" s="26">
        <f>IFERROR(_xlfn.PERCENTRANK.INC(Table2111216420212223253435363738[True Rank],_xlfn.XLOOKUP(Table1624[[#This Row],[Name]],Table2111216420212223253435363738[Name],Table2111216420212223253435363738[True Rank],"DNP",0,1)),"DNP")</f>
        <v>0</v>
      </c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 spans="2:33">
      <c r="B266" t="str">
        <f>IFERROR(Table5[[#This Row],[Full name]],"")</f>
        <v>Nasir Ghaibi</v>
      </c>
      <c r="C266" s="108">
        <f>IFERROR(AVERAGE(Table1624[[#This Row],[September 30, 2025]:[Column18]]),"N/A")</f>
        <v>0.54309999999999992</v>
      </c>
      <c r="D266" s="26">
        <f>IFERROR(_xlfn.PERCENTRANK.INC(Table4[True Rank],_xlfn.XLOOKUP(Table1624[[#This Row],[Name]],Table4[Name],Table4[True Rank],"DNP",0,1)),"DNP")</f>
        <v>0.52200000000000002</v>
      </c>
      <c r="E266" s="26" t="str">
        <f>IFERROR(_xlfn.PERCENTRANK.INC(Table9[True Rank],_xlfn.XLOOKUP(Table1624[[#This Row],[Name]],Table9[Name],Table9[True Rank],"DNP",0,1)),"DNP")</f>
        <v>DNP</v>
      </c>
      <c r="F266" s="26">
        <f>IFERROR(_xlfn.PERCENTRANK.INC(Table18[True Rank],_xlfn.XLOOKUP(Table1624[[#This Row],[Name]],Table18[Name],Table18[True Rank],"DNP",0,1)),"DNP")</f>
        <v>0.76700000000000002</v>
      </c>
      <c r="G266" s="26">
        <f>IFERROR(_xlfn.PERCENTRANK.INC(Table2[True Rank],_xlfn.XLOOKUP(Table1624[[#This Row],[Name]],Table2[Name],Table2[True Rank],"DNP",0,1)),"DNP")</f>
        <v>0.61899999999999999</v>
      </c>
      <c r="H266" s="26" t="str">
        <f>IFERROR(_xlfn.PERCENTRANK.INC(Table211[True Rank],_xlfn.XLOOKUP(Table1624[[#This Row],[Name]],Table211[Name],Table211[True Rank],"DNP",0,1)),"DNP")</f>
        <v>DNP</v>
      </c>
      <c r="I266" s="26">
        <f>IFERROR(_xlfn.PERCENTRANK.INC(Table21112[True Rank],_xlfn.XLOOKUP(Table1624[[#This Row],[Name]],Table21112[Name],Table21112[True Rank],"DNP",0,1)),"DNP")</f>
        <v>0.48699999999999999</v>
      </c>
      <c r="J266" s="26">
        <f>IFERROR(_xlfn.PERCENTRANK.INC(Table21112164[True Rank],_xlfn.XLOOKUP(Table1624[[#This Row],[Name]],Table21112164[Name],Table21112164[True Rank],"DNP",0,1)),"DNP")</f>
        <v>0.876</v>
      </c>
      <c r="K266" s="26">
        <f>IFERROR(_xlfn.PERCENTRANK.INC(Table2111216420[True Rank],_xlfn.XLOOKUP(Table1624[[#This Row],[Name]],Table2111216420[Name],Table2111216420[True Rank],"DNP",0,1)),"DNP")</f>
        <v>0.20200000000000001</v>
      </c>
      <c r="L266" s="26">
        <f>IFERROR(_xlfn.PERCENTRANK.INC(Table211121642021[True Rank],_xlfn.XLOOKUP(Table1624[[#This Row],[Name]],Table211121642021[Name],Table211121642021[True Rank],"DNP",0,1)),"DNP")</f>
        <v>0.87</v>
      </c>
      <c r="M266" s="26">
        <f>IFERROR(_xlfn.PERCENTRANK.INC(Table21112164202122[True Rank],_xlfn.XLOOKUP(Table1624[[#This Row],[Name]],Table21112164202122[Name],Table21112164202122[True Rank],"DNP",0,1)),"DNP")</f>
        <v>0.23799999999999999</v>
      </c>
      <c r="N266" s="26" t="str">
        <f>IFERROR(_xlfn.PERCENTRANK.INC(Table2111216420212223[True Rank],_xlfn.XLOOKUP(Table1624[[#This Row],[Name]],Table2111216420212223[Name],Table2111216420212223[True Rank],"DNP",0,1)),"DNP")</f>
        <v>DNP</v>
      </c>
      <c r="O266" s="26">
        <f>IFERROR(_xlfn.PERCENTRANK.INC(Table211121642021222325[True Rank],_xlfn.XLOOKUP(Table1624[[#This Row],[Name]],Table211121642021222325[Name],Table211121642021222325[True Rank],"DNP",0,1)),"DNP")</f>
        <v>0.19700000000000001</v>
      </c>
      <c r="P266" s="26" t="str">
        <f>IFERROR(_xlfn.PERCENTRANK.INC(Table21112164202122232534[True Rank],_xlfn.XLOOKUP(Table1624[[#This Row],[Name]],Table21112164202122232534[Name],Table21112164202122232534[True Rank],"DNP",0,1)),"DNP")</f>
        <v>DNP</v>
      </c>
      <c r="Q266" s="26">
        <f>IFERROR(_xlfn.PERCENTRANK.INC(Table2111216420212223253435[True Rank],_xlfn.XLOOKUP(Table1624[[#This Row],[Name]],Table2111216420212223253435[Name],Table2111216420212223253435[True Rank],"DNP",0,1)),"DNP")</f>
        <v>0.65300000000000002</v>
      </c>
      <c r="R2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 spans="2:33">
      <c r="B267" t="str">
        <f>IFERROR(Table5[[#This Row],[Full name]],"")</f>
        <v>Nathan Byers</v>
      </c>
      <c r="C267" s="108">
        <f>IFERROR(AVERAGE(Table1624[[#This Row],[September 30, 2025]:[Column18]]),"N/A")</f>
        <v>0.35599999999999998</v>
      </c>
      <c r="D267" s="26" t="str">
        <f>IFERROR(_xlfn.PERCENTRANK.INC(Table4[True Rank],_xlfn.XLOOKUP(Table1624[[#This Row],[Name]],Table4[Name],Table4[True Rank],"DNP",0,1)),"DNP")</f>
        <v>DNP</v>
      </c>
      <c r="E267" s="26">
        <f>IFERROR(_xlfn.PERCENTRANK.INC(Table9[True Rank],_xlfn.XLOOKUP(Table1624[[#This Row],[Name]],Table9[Name],Table9[True Rank],"DNP",0,1)),"DNP")</f>
        <v>0.35599999999999998</v>
      </c>
      <c r="F267" s="26" t="str">
        <f>IFERROR(_xlfn.PERCENTRANK.INC(Table18[True Rank],_xlfn.XLOOKUP(Table1624[[#This Row],[Name]],Table18[Name],Table18[True Rank],"DNP",0,1)),"DNP")</f>
        <v>DNP</v>
      </c>
      <c r="G267" s="26" t="str">
        <f>IFERROR(_xlfn.PERCENTRANK.INC(Table2[True Rank],_xlfn.XLOOKUP(Table1624[[#This Row],[Name]],Table2[Name],Table2[True Rank],"DNP",0,1)),"DNP")</f>
        <v>DNP</v>
      </c>
      <c r="H267" s="26" t="str">
        <f>IFERROR(_xlfn.PERCENTRANK.INC(Table211[True Rank],_xlfn.XLOOKUP(Table1624[[#This Row],[Name]],Table211[Name],Table211[True Rank],"DNP",0,1)),"DNP")</f>
        <v>DNP</v>
      </c>
      <c r="I267" s="26" t="str">
        <f>IFERROR(_xlfn.PERCENTRANK.INC(Table21112[True Rank],_xlfn.XLOOKUP(Table1624[[#This Row],[Name]],Table21112[Name],Table21112[True Rank],"DNP",0,1)),"DNP")</f>
        <v>DNP</v>
      </c>
      <c r="J267" s="26" t="str">
        <f>IFERROR(_xlfn.PERCENTRANK.INC(Table21112164[True Rank],_xlfn.XLOOKUP(Table1624[[#This Row],[Name]],Table21112164[Name],Table21112164[True Rank],"DNP",0,1)),"DNP")</f>
        <v>DNP</v>
      </c>
      <c r="K267" s="26" t="str">
        <f>IFERROR(_xlfn.PERCENTRANK.INC(Table2111216420[True Rank],_xlfn.XLOOKUP(Table1624[[#This Row],[Name]],Table2111216420[Name],Table2111216420[True Rank],"DNP",0,1)),"DNP")</f>
        <v>DNP</v>
      </c>
      <c r="L267" s="26" t="str">
        <f>IFERROR(_xlfn.PERCENTRANK.INC(Table211121642021[True Rank],_xlfn.XLOOKUP(Table1624[[#This Row],[Name]],Table211121642021[Name],Table211121642021[True Rank],"DNP",0,1)),"DNP")</f>
        <v>DNP</v>
      </c>
      <c r="M267" s="26" t="str">
        <f>IFERROR(_xlfn.PERCENTRANK.INC(Table21112164202122[True Rank],_xlfn.XLOOKUP(Table1624[[#This Row],[Name]],Table21112164202122[Name],Table21112164202122[True Rank],"DNP",0,1)),"DNP")</f>
        <v>DNP</v>
      </c>
      <c r="N267" s="26" t="str">
        <f>IFERROR(_xlfn.PERCENTRANK.INC(Table2111216420212223[True Rank],_xlfn.XLOOKUP(Table1624[[#This Row],[Name]],Table2111216420212223[Name],Table2111216420212223[True Rank],"DNP",0,1)),"DNP")</f>
        <v>DNP</v>
      </c>
      <c r="O267" s="26" t="str">
        <f>IFERROR(_xlfn.PERCENTRANK.INC(Table211121642021222325[True Rank],_xlfn.XLOOKUP(Table1624[[#This Row],[Name]],Table211121642021222325[Name],Table211121642021222325[True Rank],"DNP",0,1)),"DNP")</f>
        <v>DNP</v>
      </c>
      <c r="P267" s="26" t="str">
        <f>IFERROR(_xlfn.PERCENTRANK.INC(Table21112164202122232534[True Rank],_xlfn.XLOOKUP(Table1624[[#This Row],[Name]],Table21112164202122232534[Name],Table21112164202122232534[True Rank],"DNP",0,1)),"DNP")</f>
        <v>DNP</v>
      </c>
      <c r="Q2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 spans="2:33">
      <c r="B268" t="str">
        <f>IFERROR(Table5[[#This Row],[Full name]],"")</f>
        <v>Nathan Konotopsky</v>
      </c>
      <c r="C268" s="108">
        <f>IFERROR(AVERAGE(Table1624[[#This Row],[September 30, 2025]:[Column18]]),"N/A")</f>
        <v>0.36471428571428566</v>
      </c>
      <c r="D268" s="26" t="str">
        <f>IFERROR(_xlfn.PERCENTRANK.INC(Table4[True Rank],_xlfn.XLOOKUP(Table1624[[#This Row],[Name]],Table4[Name],Table4[True Rank],"DNP",0,1)),"DNP")</f>
        <v>DNP</v>
      </c>
      <c r="E268" s="26" t="str">
        <f>IFERROR(_xlfn.PERCENTRANK.INC(Table9[True Rank],_xlfn.XLOOKUP(Table1624[[#This Row],[Name]],Table9[Name],Table9[True Rank],"DNP",0,1)),"DNP")</f>
        <v>DNP</v>
      </c>
      <c r="F268" s="26" t="str">
        <f>IFERROR(_xlfn.PERCENTRANK.INC(Table18[True Rank],_xlfn.XLOOKUP(Table1624[[#This Row],[Name]],Table18[Name],Table18[True Rank],"DNP",0,1)),"DNP")</f>
        <v>DNP</v>
      </c>
      <c r="G268" s="26" t="str">
        <f>IFERROR(_xlfn.PERCENTRANK.INC(Table2[True Rank],_xlfn.XLOOKUP(Table1624[[#This Row],[Name]],Table2[Name],Table2[True Rank],"DNP",0,1)),"DNP")</f>
        <v>DNP</v>
      </c>
      <c r="H268" s="26" t="str">
        <f>IFERROR(_xlfn.PERCENTRANK.INC(Table211[True Rank],_xlfn.XLOOKUP(Table1624[[#This Row],[Name]],Table211[Name],Table211[True Rank],"DNP",0,1)),"DNP")</f>
        <v>DNP</v>
      </c>
      <c r="I268" s="26" t="str">
        <f>IFERROR(_xlfn.PERCENTRANK.INC(Table21112[True Rank],_xlfn.XLOOKUP(Table1624[[#This Row],[Name]],Table21112[Name],Table21112[True Rank],"DNP",0,1)),"DNP")</f>
        <v>DNP</v>
      </c>
      <c r="J268" s="26" t="str">
        <f>IFERROR(_xlfn.PERCENTRANK.INC(Table21112164[True Rank],_xlfn.XLOOKUP(Table1624[[#This Row],[Name]],Table21112164[Name],Table21112164[True Rank],"DNP",0,1)),"DNP")</f>
        <v>DNP</v>
      </c>
      <c r="K268" s="26" t="str">
        <f>IFERROR(_xlfn.PERCENTRANK.INC(Table2111216420[True Rank],_xlfn.XLOOKUP(Table1624[[#This Row],[Name]],Table2111216420[Name],Table2111216420[True Rank],"DNP",0,1)),"DNP")</f>
        <v>DNP</v>
      </c>
      <c r="L268" s="26">
        <f>IFERROR(_xlfn.PERCENTRANK.INC(Table211121642021[True Rank],_xlfn.XLOOKUP(Table1624[[#This Row],[Name]],Table211121642021[Name],Table211121642021[True Rank],"DNP",0,1)),"DNP")</f>
        <v>0.34399999999999997</v>
      </c>
      <c r="M268" s="26">
        <f>IFERROR(_xlfn.PERCENTRANK.INC(Table21112164202122[True Rank],_xlfn.XLOOKUP(Table1624[[#This Row],[Name]],Table21112164202122[Name],Table21112164202122[True Rank],"DNP",0,1)),"DNP")</f>
        <v>0.56799999999999995</v>
      </c>
      <c r="N268" s="26">
        <f>IFERROR(_xlfn.PERCENTRANK.INC(Table2111216420212223[True Rank],_xlfn.XLOOKUP(Table1624[[#This Row],[Name]],Table2111216420212223[Name],Table2111216420212223[True Rank],"DNP",0,1)),"DNP")</f>
        <v>0.32900000000000001</v>
      </c>
      <c r="O268" s="26">
        <f>IFERROR(_xlfn.PERCENTRANK.INC(Table211121642021222325[True Rank],_xlfn.XLOOKUP(Table1624[[#This Row],[Name]],Table211121642021222325[Name],Table211121642021222325[True Rank],"DNP",0,1)),"DNP")</f>
        <v>0.47199999999999998</v>
      </c>
      <c r="P268" s="26">
        <f>IFERROR(_xlfn.PERCENTRANK.INC(Table21112164202122232534[True Rank],_xlfn.XLOOKUP(Table1624[[#This Row],[Name]],Table21112164202122232534[Name],Table21112164202122232534[True Rank],"DNP",0,1)),"DNP")</f>
        <v>0.19700000000000001</v>
      </c>
      <c r="Q268" s="26">
        <f>IFERROR(_xlfn.PERCENTRANK.INC(Table2111216420212223253435[True Rank],_xlfn.XLOOKUP(Table1624[[#This Row],[Name]],Table2111216420212223253435[Name],Table2111216420212223253435[True Rank],"DNP",0,1)),"DNP")</f>
        <v>0.48</v>
      </c>
      <c r="R2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8" s="26">
        <f>IFERROR(_xlfn.PERCENTRANK.INC(Table2111216420212223253435363738[True Rank],_xlfn.XLOOKUP(Table1624[[#This Row],[Name]],Table2111216420212223253435363738[Name],Table2111216420212223253435363738[True Rank],"DNP",0,1)),"DNP")</f>
        <v>0.16300000000000001</v>
      </c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 spans="2:33">
      <c r="B269" t="str">
        <f>IFERROR(Table5[[#This Row],[Full name]],"")</f>
        <v>Nickon Askari</v>
      </c>
      <c r="C269" s="108" t="str">
        <f>IFERROR(AVERAGE(Table1624[[#This Row],[September 30, 2025]:[Column18]]),"N/A")</f>
        <v>N/A</v>
      </c>
      <c r="D269" s="26" t="str">
        <f>IFERROR(_xlfn.PERCENTRANK.INC(Table4[True Rank],_xlfn.XLOOKUP(Table1624[[#This Row],[Name]],Table4[Name],Table4[True Rank],"DNP",0,1)),"DNP")</f>
        <v>DNP</v>
      </c>
      <c r="E269" s="26" t="str">
        <f>IFERROR(_xlfn.PERCENTRANK.INC(Table9[True Rank],_xlfn.XLOOKUP(Table1624[[#This Row],[Name]],Table9[Name],Table9[True Rank],"DNP",0,1)),"DNP")</f>
        <v>DNP</v>
      </c>
      <c r="F269" s="26" t="str">
        <f>IFERROR(_xlfn.PERCENTRANK.INC(Table18[True Rank],_xlfn.XLOOKUP(Table1624[[#This Row],[Name]],Table18[Name],Table18[True Rank],"DNP",0,1)),"DNP")</f>
        <v>DNP</v>
      </c>
      <c r="G269" s="26" t="str">
        <f>IFERROR(_xlfn.PERCENTRANK.INC(Table2[True Rank],_xlfn.XLOOKUP(Table1624[[#This Row],[Name]],Table2[Name],Table2[True Rank],"DNP",0,1)),"DNP")</f>
        <v>DNP</v>
      </c>
      <c r="H269" s="26" t="str">
        <f>IFERROR(_xlfn.PERCENTRANK.INC(Table211[True Rank],_xlfn.XLOOKUP(Table1624[[#This Row],[Name]],Table211[Name],Table211[True Rank],"DNP",0,1)),"DNP")</f>
        <v>DNP</v>
      </c>
      <c r="I269" s="26" t="str">
        <f>IFERROR(_xlfn.PERCENTRANK.INC(Table21112[True Rank],_xlfn.XLOOKUP(Table1624[[#This Row],[Name]],Table21112[Name],Table21112[True Rank],"DNP",0,1)),"DNP")</f>
        <v>DNP</v>
      </c>
      <c r="J269" s="26" t="str">
        <f>IFERROR(_xlfn.PERCENTRANK.INC(Table21112164[True Rank],_xlfn.XLOOKUP(Table1624[[#This Row],[Name]],Table21112164[Name],Table21112164[True Rank],"DNP",0,1)),"DNP")</f>
        <v>DNP</v>
      </c>
      <c r="K269" s="26" t="str">
        <f>IFERROR(_xlfn.PERCENTRANK.INC(Table2111216420[True Rank],_xlfn.XLOOKUP(Table1624[[#This Row],[Name]],Table2111216420[Name],Table2111216420[True Rank],"DNP",0,1)),"DNP")</f>
        <v>DNP</v>
      </c>
      <c r="L269" s="26" t="str">
        <f>IFERROR(_xlfn.PERCENTRANK.INC(Table211121642021[True Rank],_xlfn.XLOOKUP(Table1624[[#This Row],[Name]],Table211121642021[Name],Table211121642021[True Rank],"DNP",0,1)),"DNP")</f>
        <v>DNP</v>
      </c>
      <c r="M269" s="26" t="str">
        <f>IFERROR(_xlfn.PERCENTRANK.INC(Table21112164202122[True Rank],_xlfn.XLOOKUP(Table1624[[#This Row],[Name]],Table21112164202122[Name],Table21112164202122[True Rank],"DNP",0,1)),"DNP")</f>
        <v>DNP</v>
      </c>
      <c r="N269" s="26" t="str">
        <f>IFERROR(_xlfn.PERCENTRANK.INC(Table2111216420212223[True Rank],_xlfn.XLOOKUP(Table1624[[#This Row],[Name]],Table2111216420212223[Name],Table2111216420212223[True Rank],"DNP",0,1)),"DNP")</f>
        <v>DNP</v>
      </c>
      <c r="O269" s="26" t="str">
        <f>IFERROR(_xlfn.PERCENTRANK.INC(Table211121642021222325[True Rank],_xlfn.XLOOKUP(Table1624[[#This Row],[Name]],Table211121642021222325[Name],Table211121642021222325[True Rank],"DNP",0,1)),"DNP")</f>
        <v>DNP</v>
      </c>
      <c r="P269" s="26" t="str">
        <f>IFERROR(_xlfn.PERCENTRANK.INC(Table21112164202122232534[True Rank],_xlfn.XLOOKUP(Table1624[[#This Row],[Name]],Table21112164202122232534[Name],Table21112164202122232534[True Rank],"DNP",0,1)),"DNP")</f>
        <v>DNP</v>
      </c>
      <c r="Q2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 spans="2:33">
      <c r="B270" t="str">
        <f>IFERROR(Table5[[#This Row],[Full name]],"")</f>
        <v>Nihal Gill</v>
      </c>
      <c r="C270" s="108" t="str">
        <f>IFERROR(AVERAGE(Table1624[[#This Row],[September 30, 2025]:[Column18]]),"N/A")</f>
        <v>N/A</v>
      </c>
      <c r="D270" s="26" t="str">
        <f>IFERROR(_xlfn.PERCENTRANK.INC(Table4[True Rank],_xlfn.XLOOKUP(Table1624[[#This Row],[Name]],Table4[Name],Table4[True Rank],"DNP",0,1)),"DNP")</f>
        <v>DNP</v>
      </c>
      <c r="E270" s="26" t="str">
        <f>IFERROR(_xlfn.PERCENTRANK.INC(Table9[True Rank],_xlfn.XLOOKUP(Table1624[[#This Row],[Name]],Table9[Name],Table9[True Rank],"DNP",0,1)),"DNP")</f>
        <v>DNP</v>
      </c>
      <c r="F270" s="26" t="str">
        <f>IFERROR(_xlfn.PERCENTRANK.INC(Table18[True Rank],_xlfn.XLOOKUP(Table1624[[#This Row],[Name]],Table18[Name],Table18[True Rank],"DNP",0,1)),"DNP")</f>
        <v>DNP</v>
      </c>
      <c r="G270" s="26" t="str">
        <f>IFERROR(_xlfn.PERCENTRANK.INC(Table2[True Rank],_xlfn.XLOOKUP(Table1624[[#This Row],[Name]],Table2[Name],Table2[True Rank],"DNP",0,1)),"DNP")</f>
        <v>DNP</v>
      </c>
      <c r="H270" s="26" t="str">
        <f>IFERROR(_xlfn.PERCENTRANK.INC(Table211[True Rank],_xlfn.XLOOKUP(Table1624[[#This Row],[Name]],Table211[Name],Table211[True Rank],"DNP",0,1)),"DNP")</f>
        <v>DNP</v>
      </c>
      <c r="I270" s="26" t="str">
        <f>IFERROR(_xlfn.PERCENTRANK.INC(Table21112[True Rank],_xlfn.XLOOKUP(Table1624[[#This Row],[Name]],Table21112[Name],Table21112[True Rank],"DNP",0,1)),"DNP")</f>
        <v>DNP</v>
      </c>
      <c r="J270" s="26" t="str">
        <f>IFERROR(_xlfn.PERCENTRANK.INC(Table21112164[True Rank],_xlfn.XLOOKUP(Table1624[[#This Row],[Name]],Table21112164[Name],Table21112164[True Rank],"DNP",0,1)),"DNP")</f>
        <v>DNP</v>
      </c>
      <c r="K270" s="26" t="str">
        <f>IFERROR(_xlfn.PERCENTRANK.INC(Table2111216420[True Rank],_xlfn.XLOOKUP(Table1624[[#This Row],[Name]],Table2111216420[Name],Table2111216420[True Rank],"DNP",0,1)),"DNP")</f>
        <v>DNP</v>
      </c>
      <c r="L270" s="26" t="str">
        <f>IFERROR(_xlfn.PERCENTRANK.INC(Table211121642021[True Rank],_xlfn.XLOOKUP(Table1624[[#This Row],[Name]],Table211121642021[Name],Table211121642021[True Rank],"DNP",0,1)),"DNP")</f>
        <v>DNP</v>
      </c>
      <c r="M270" s="26" t="str">
        <f>IFERROR(_xlfn.PERCENTRANK.INC(Table21112164202122[True Rank],_xlfn.XLOOKUP(Table1624[[#This Row],[Name]],Table21112164202122[Name],Table21112164202122[True Rank],"DNP",0,1)),"DNP")</f>
        <v>DNP</v>
      </c>
      <c r="N270" s="26" t="str">
        <f>IFERROR(_xlfn.PERCENTRANK.INC(Table2111216420212223[True Rank],_xlfn.XLOOKUP(Table1624[[#This Row],[Name]],Table2111216420212223[Name],Table2111216420212223[True Rank],"DNP",0,1)),"DNP")</f>
        <v>DNP</v>
      </c>
      <c r="O270" s="26" t="str">
        <f>IFERROR(_xlfn.PERCENTRANK.INC(Table211121642021222325[True Rank],_xlfn.XLOOKUP(Table1624[[#This Row],[Name]],Table211121642021222325[Name],Table211121642021222325[True Rank],"DNP",0,1)),"DNP")</f>
        <v>DNP</v>
      </c>
      <c r="P270" s="26" t="str">
        <f>IFERROR(_xlfn.PERCENTRANK.INC(Table21112164202122232534[True Rank],_xlfn.XLOOKUP(Table1624[[#This Row],[Name]],Table21112164202122232534[Name],Table21112164202122232534[True Rank],"DNP",0,1)),"DNP")</f>
        <v>DNP</v>
      </c>
      <c r="Q2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spans="2:33">
      <c r="B271" t="str">
        <f>IFERROR(Table5[[#This Row],[Full name]],"")</f>
        <v>Nikola Dora</v>
      </c>
      <c r="C271" s="108">
        <f>IFERROR(AVERAGE(Table1624[[#This Row],[September 30, 2025]:[Column18]]),"N/A")</f>
        <v>0.22533333333333336</v>
      </c>
      <c r="D271" s="26" t="str">
        <f>IFERROR(_xlfn.PERCENTRANK.INC(Table4[True Rank],_xlfn.XLOOKUP(Table1624[[#This Row],[Name]],Table4[Name],Table4[True Rank],"DNP",0,1)),"DNP")</f>
        <v>DNP</v>
      </c>
      <c r="E271" s="26" t="str">
        <f>IFERROR(_xlfn.PERCENTRANK.INC(Table9[True Rank],_xlfn.XLOOKUP(Table1624[[#This Row],[Name]],Table9[Name],Table9[True Rank],"DNP",0,1)),"DNP")</f>
        <v>DNP</v>
      </c>
      <c r="F271" s="26" t="str">
        <f>IFERROR(_xlfn.PERCENTRANK.INC(Table18[True Rank],_xlfn.XLOOKUP(Table1624[[#This Row],[Name]],Table18[Name],Table18[True Rank],"DNP",0,1)),"DNP")</f>
        <v>DNP</v>
      </c>
      <c r="G271" s="26">
        <f>IFERROR(_xlfn.PERCENTRANK.INC(Table2[True Rank],_xlfn.XLOOKUP(Table1624[[#This Row],[Name]],Table2[Name],Table2[True Rank],"DNP",0,1)),"DNP")</f>
        <v>0.309</v>
      </c>
      <c r="H271" s="26">
        <f>IFERROR(_xlfn.PERCENTRANK.INC(Table211[True Rank],_xlfn.XLOOKUP(Table1624[[#This Row],[Name]],Table211[Name],Table211[True Rank],"DNP",0,1)),"DNP")</f>
        <v>9.8000000000000004E-2</v>
      </c>
      <c r="I271" s="26" t="str">
        <f>IFERROR(_xlfn.PERCENTRANK.INC(Table21112[True Rank],_xlfn.XLOOKUP(Table1624[[#This Row],[Name]],Table21112[Name],Table21112[True Rank],"DNP",0,1)),"DNP")</f>
        <v>DNP</v>
      </c>
      <c r="J271" s="26">
        <f>IFERROR(_xlfn.PERCENTRANK.INC(Table21112164[True Rank],_xlfn.XLOOKUP(Table1624[[#This Row],[Name]],Table21112164[Name],Table21112164[True Rank],"DNP",0,1)),"DNP")</f>
        <v>0.26900000000000002</v>
      </c>
      <c r="K271" s="26" t="str">
        <f>IFERROR(_xlfn.PERCENTRANK.INC(Table2111216420[True Rank],_xlfn.XLOOKUP(Table1624[[#This Row],[Name]],Table2111216420[Name],Table2111216420[True Rank],"DNP",0,1)),"DNP")</f>
        <v>DNP</v>
      </c>
      <c r="L271" s="26" t="str">
        <f>IFERROR(_xlfn.PERCENTRANK.INC(Table211121642021[True Rank],_xlfn.XLOOKUP(Table1624[[#This Row],[Name]],Table211121642021[Name],Table211121642021[True Rank],"DNP",0,1)),"DNP")</f>
        <v>DNP</v>
      </c>
      <c r="M271" s="26" t="str">
        <f>IFERROR(_xlfn.PERCENTRANK.INC(Table21112164202122[True Rank],_xlfn.XLOOKUP(Table1624[[#This Row],[Name]],Table21112164202122[Name],Table21112164202122[True Rank],"DNP",0,1)),"DNP")</f>
        <v>DNP</v>
      </c>
      <c r="N271" s="26" t="str">
        <f>IFERROR(_xlfn.PERCENTRANK.INC(Table2111216420212223[True Rank],_xlfn.XLOOKUP(Table1624[[#This Row],[Name]],Table2111216420212223[Name],Table2111216420212223[True Rank],"DNP",0,1)),"DNP")</f>
        <v>DNP</v>
      </c>
      <c r="O271" s="26" t="str">
        <f>IFERROR(_xlfn.PERCENTRANK.INC(Table211121642021222325[True Rank],_xlfn.XLOOKUP(Table1624[[#This Row],[Name]],Table211121642021222325[Name],Table211121642021222325[True Rank],"DNP",0,1)),"DNP")</f>
        <v>DNP</v>
      </c>
      <c r="P271" s="26" t="str">
        <f>IFERROR(_xlfn.PERCENTRANK.INC(Table21112164202122232534[True Rank],_xlfn.XLOOKUP(Table1624[[#This Row],[Name]],Table21112164202122232534[Name],Table21112164202122232534[True Rank],"DNP",0,1)),"DNP")</f>
        <v>DNP</v>
      </c>
      <c r="Q2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 spans="2:33">
      <c r="B272" t="str">
        <f>IFERROR(Table5[[#This Row],[Full name]],"")</f>
        <v>Noah Lee</v>
      </c>
      <c r="C272" s="108">
        <f>IFERROR(AVERAGE(Table1624[[#This Row],[September 30, 2025]:[Column18]]),"N/A")</f>
        <v>0.39320000000000005</v>
      </c>
      <c r="D272" s="26">
        <f>IFERROR(_xlfn.PERCENTRANK.INC(Table4[True Rank],_xlfn.XLOOKUP(Table1624[[#This Row],[Name]],Table4[Name],Table4[True Rank],"DNP",0,1)),"DNP")</f>
        <v>0.183</v>
      </c>
      <c r="E272" s="26" t="str">
        <f>IFERROR(_xlfn.PERCENTRANK.INC(Table9[True Rank],_xlfn.XLOOKUP(Table1624[[#This Row],[Name]],Table9[Name],Table9[True Rank],"DNP",0,1)),"DNP")</f>
        <v>DNP</v>
      </c>
      <c r="F272" s="26" t="str">
        <f>IFERROR(_xlfn.PERCENTRANK.INC(Table18[True Rank],_xlfn.XLOOKUP(Table1624[[#This Row],[Name]],Table18[Name],Table18[True Rank],"DNP",0,1)),"DNP")</f>
        <v>DNP</v>
      </c>
      <c r="G272" s="26" t="str">
        <f>IFERROR(_xlfn.PERCENTRANK.INC(Table2[True Rank],_xlfn.XLOOKUP(Table1624[[#This Row],[Name]],Table2[Name],Table2[True Rank],"DNP",0,1)),"DNP")</f>
        <v>DNP</v>
      </c>
      <c r="H272" s="26">
        <f>IFERROR(_xlfn.PERCENTRANK.INC(Table211[True Rank],_xlfn.XLOOKUP(Table1624[[#This Row],[Name]],Table211[Name],Table211[True Rank],"DNP",0,1)),"DNP")</f>
        <v>0.60499999999999998</v>
      </c>
      <c r="I272" s="26">
        <f>IFERROR(_xlfn.PERCENTRANK.INC(Table21112[True Rank],_xlfn.XLOOKUP(Table1624[[#This Row],[Name]],Table21112[Name],Table21112[True Rank],"DNP",0,1)),"DNP")</f>
        <v>0.51200000000000001</v>
      </c>
      <c r="J272" s="26" t="str">
        <f>IFERROR(_xlfn.PERCENTRANK.INC(Table21112164[True Rank],_xlfn.XLOOKUP(Table1624[[#This Row],[Name]],Table21112164[Name],Table21112164[True Rank],"DNP",0,1)),"DNP")</f>
        <v>DNP</v>
      </c>
      <c r="K272" s="26" t="str">
        <f>IFERROR(_xlfn.PERCENTRANK.INC(Table2111216420[True Rank],_xlfn.XLOOKUP(Table1624[[#This Row],[Name]],Table2111216420[Name],Table2111216420[True Rank],"DNP",0,1)),"DNP")</f>
        <v>DNP</v>
      </c>
      <c r="L272" s="26" t="str">
        <f>IFERROR(_xlfn.PERCENTRANK.INC(Table211121642021[True Rank],_xlfn.XLOOKUP(Table1624[[#This Row],[Name]],Table211121642021[Name],Table211121642021[True Rank],"DNP",0,1)),"DNP")</f>
        <v>DNP</v>
      </c>
      <c r="M272" s="26">
        <f>IFERROR(_xlfn.PERCENTRANK.INC(Table21112164202122[True Rank],_xlfn.XLOOKUP(Table1624[[#This Row],[Name]],Table21112164202122[Name],Table21112164202122[True Rank],"DNP",0,1)),"DNP")</f>
        <v>0.30599999999999999</v>
      </c>
      <c r="N272" s="26" t="str">
        <f>IFERROR(_xlfn.PERCENTRANK.INC(Table2111216420212223[True Rank],_xlfn.XLOOKUP(Table1624[[#This Row],[Name]],Table2111216420212223[Name],Table2111216420212223[True Rank],"DNP",0,1)),"DNP")</f>
        <v>DNP</v>
      </c>
      <c r="O272" s="26" t="str">
        <f>IFERROR(_xlfn.PERCENTRANK.INC(Table211121642021222325[True Rank],_xlfn.XLOOKUP(Table1624[[#This Row],[Name]],Table211121642021222325[Name],Table211121642021222325[True Rank],"DNP",0,1)),"DNP")</f>
        <v>DNP</v>
      </c>
      <c r="P272" s="26" t="str">
        <f>IFERROR(_xlfn.PERCENTRANK.INC(Table21112164202122232534[True Rank],_xlfn.XLOOKUP(Table1624[[#This Row],[Name]],Table21112164202122232534[Name],Table21112164202122232534[True Rank],"DNP",0,1)),"DNP")</f>
        <v>DNP</v>
      </c>
      <c r="Q272" s="26">
        <f>IFERROR(_xlfn.PERCENTRANK.INC(Table2111216420212223253435[True Rank],_xlfn.XLOOKUP(Table1624[[#This Row],[Name]],Table2111216420212223253435[Name],Table2111216420212223253435[True Rank],"DNP",0,1)),"DNP")</f>
        <v>0.36</v>
      </c>
      <c r="R2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 spans="2:33">
      <c r="B273" t="str">
        <f>IFERROR(Table5[[#This Row],[Full name]],"")</f>
        <v>Oliver Good</v>
      </c>
      <c r="C273" s="108">
        <f>IFERROR(AVERAGE(Table1624[[#This Row],[September 30, 2025]:[Column18]]),"N/A")</f>
        <v>0.3755</v>
      </c>
      <c r="D273" s="26" t="str">
        <f>IFERROR(_xlfn.PERCENTRANK.INC(Table4[True Rank],_xlfn.XLOOKUP(Table1624[[#This Row],[Name]],Table4[Name],Table4[True Rank],"DNP",0,1)),"DNP")</f>
        <v>DNP</v>
      </c>
      <c r="E273" s="26" t="str">
        <f>IFERROR(_xlfn.PERCENTRANK.INC(Table9[True Rank],_xlfn.XLOOKUP(Table1624[[#This Row],[Name]],Table9[Name],Table9[True Rank],"DNP",0,1)),"DNP")</f>
        <v>DNP</v>
      </c>
      <c r="F273" s="26" t="str">
        <f>IFERROR(_xlfn.PERCENTRANK.INC(Table18[True Rank],_xlfn.XLOOKUP(Table1624[[#This Row],[Name]],Table18[Name],Table18[True Rank],"DNP",0,1)),"DNP")</f>
        <v>DNP</v>
      </c>
      <c r="G273" s="26" t="str">
        <f>IFERROR(_xlfn.PERCENTRANK.INC(Table2[True Rank],_xlfn.XLOOKUP(Table1624[[#This Row],[Name]],Table2[Name],Table2[True Rank],"DNP",0,1)),"DNP")</f>
        <v>DNP</v>
      </c>
      <c r="H273" s="26" t="str">
        <f>IFERROR(_xlfn.PERCENTRANK.INC(Table211[True Rank],_xlfn.XLOOKUP(Table1624[[#This Row],[Name]],Table211[Name],Table211[True Rank],"DNP",0,1)),"DNP")</f>
        <v>DNP</v>
      </c>
      <c r="I273" s="26" t="str">
        <f>IFERROR(_xlfn.PERCENTRANK.INC(Table21112[True Rank],_xlfn.XLOOKUP(Table1624[[#This Row],[Name]],Table21112[Name],Table21112[True Rank],"DNP",0,1)),"DNP")</f>
        <v>DNP</v>
      </c>
      <c r="J273" s="26" t="str">
        <f>IFERROR(_xlfn.PERCENTRANK.INC(Table21112164[True Rank],_xlfn.XLOOKUP(Table1624[[#This Row],[Name]],Table21112164[Name],Table21112164[True Rank],"DNP",0,1)),"DNP")</f>
        <v>DNP</v>
      </c>
      <c r="K273" s="26" t="str">
        <f>IFERROR(_xlfn.PERCENTRANK.INC(Table2111216420[True Rank],_xlfn.XLOOKUP(Table1624[[#This Row],[Name]],Table2111216420[Name],Table2111216420[True Rank],"DNP",0,1)),"DNP")</f>
        <v>DNP</v>
      </c>
      <c r="L273" s="26" t="str">
        <f>IFERROR(_xlfn.PERCENTRANK.INC(Table211121642021[True Rank],_xlfn.XLOOKUP(Table1624[[#This Row],[Name]],Table211121642021[Name],Table211121642021[True Rank],"DNP",0,1)),"DNP")</f>
        <v>DNP</v>
      </c>
      <c r="M273" s="26" t="str">
        <f>IFERROR(_xlfn.PERCENTRANK.INC(Table21112164202122[True Rank],_xlfn.XLOOKUP(Table1624[[#This Row],[Name]],Table21112164202122[Name],Table21112164202122[True Rank],"DNP",0,1)),"DNP")</f>
        <v>DNP</v>
      </c>
      <c r="N273" s="26" t="str">
        <f>IFERROR(_xlfn.PERCENTRANK.INC(Table2111216420212223[True Rank],_xlfn.XLOOKUP(Table1624[[#This Row],[Name]],Table2111216420212223[Name],Table2111216420212223[True Rank],"DNP",0,1)),"DNP")</f>
        <v>DNP</v>
      </c>
      <c r="O273" s="26" t="str">
        <f>IFERROR(_xlfn.PERCENTRANK.INC(Table211121642021222325[True Rank],_xlfn.XLOOKUP(Table1624[[#This Row],[Name]],Table211121642021222325[Name],Table211121642021222325[True Rank],"DNP",0,1)),"DNP")</f>
        <v>DNP</v>
      </c>
      <c r="P273" s="26">
        <f>IFERROR(_xlfn.PERCENTRANK.INC(Table21112164202122232534[True Rank],_xlfn.XLOOKUP(Table1624[[#This Row],[Name]],Table21112164202122232534[Name],Table21112164202122232534[True Rank],"DNP",0,1)),"DNP")</f>
        <v>0.72499999999999998</v>
      </c>
      <c r="Q273" s="26">
        <f>IFERROR(_xlfn.PERCENTRANK.INC(Table2111216420212223253435[True Rank],_xlfn.XLOOKUP(Table1624[[#This Row],[Name]],Table2111216420212223253435[Name],Table2111216420212223253435[True Rank],"DNP",0,1)),"DNP")</f>
        <v>2.5999999999999999E-2</v>
      </c>
      <c r="R2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 spans="2:33">
      <c r="B274" t="str">
        <f>IFERROR(Table5[[#This Row],[Full name]],"")</f>
        <v>Olly West</v>
      </c>
      <c r="C274" s="108">
        <f>IFERROR(AVERAGE(Table1624[[#This Row],[September 30, 2025]:[Column18]]),"N/A")</f>
        <v>0.69940000000000002</v>
      </c>
      <c r="D274" s="26">
        <f>IFERROR(_xlfn.PERCENTRANK.INC(Table4[True Rank],_xlfn.XLOOKUP(Table1624[[#This Row],[Name]],Table4[Name],Table4[True Rank],"DNP",0,1)),"DNP")</f>
        <v>0.78800000000000003</v>
      </c>
      <c r="E274" s="26">
        <f>IFERROR(_xlfn.PERCENTRANK.INC(Table9[True Rank],_xlfn.XLOOKUP(Table1624[[#This Row],[Name]],Table9[Name],Table9[True Rank],"DNP",0,1)),"DNP")</f>
        <v>0.71199999999999997</v>
      </c>
      <c r="F274" s="26">
        <f>IFERROR(_xlfn.PERCENTRANK.INC(Table18[True Rank],_xlfn.XLOOKUP(Table1624[[#This Row],[Name]],Table18[Name],Table18[True Rank],"DNP",0,1)),"DNP")</f>
        <v>0.35299999999999998</v>
      </c>
      <c r="G274" s="26" t="str">
        <f>IFERROR(_xlfn.PERCENTRANK.INC(Table2[True Rank],_xlfn.XLOOKUP(Table1624[[#This Row],[Name]],Table2[Name],Table2[True Rank],"DNP",0,1)),"DNP")</f>
        <v>DNP</v>
      </c>
      <c r="H274" s="26" t="str">
        <f>IFERROR(_xlfn.PERCENTRANK.INC(Table211[True Rank],_xlfn.XLOOKUP(Table1624[[#This Row],[Name]],Table211[Name],Table211[True Rank],"DNP",0,1)),"DNP")</f>
        <v>DNP</v>
      </c>
      <c r="I274" s="26" t="str">
        <f>IFERROR(_xlfn.PERCENTRANK.INC(Table21112[True Rank],_xlfn.XLOOKUP(Table1624[[#This Row],[Name]],Table21112[Name],Table21112[True Rank],"DNP",0,1)),"DNP")</f>
        <v>DNP</v>
      </c>
      <c r="J274" s="26">
        <f>IFERROR(_xlfn.PERCENTRANK.INC(Table21112164[True Rank],_xlfn.XLOOKUP(Table1624[[#This Row],[Name]],Table21112164[Name],Table21112164[True Rank],"DNP",0,1)),"DNP")</f>
        <v>0.82</v>
      </c>
      <c r="K274" s="26" t="str">
        <f>IFERROR(_xlfn.PERCENTRANK.INC(Table2111216420[True Rank],_xlfn.XLOOKUP(Table1624[[#This Row],[Name]],Table2111216420[Name],Table2111216420[True Rank],"DNP",0,1)),"DNP")</f>
        <v>DNP</v>
      </c>
      <c r="L274" s="26" t="str">
        <f>IFERROR(_xlfn.PERCENTRANK.INC(Table211121642021[True Rank],_xlfn.XLOOKUP(Table1624[[#This Row],[Name]],Table211121642021[Name],Table211121642021[True Rank],"DNP",0,1)),"DNP")</f>
        <v>DNP</v>
      </c>
      <c r="M274" s="26" t="str">
        <f>IFERROR(_xlfn.PERCENTRANK.INC(Table21112164202122[True Rank],_xlfn.XLOOKUP(Table1624[[#This Row],[Name]],Table21112164202122[Name],Table21112164202122[True Rank],"DNP",0,1)),"DNP")</f>
        <v>DNP</v>
      </c>
      <c r="N274" s="26" t="str">
        <f>IFERROR(_xlfn.PERCENTRANK.INC(Table2111216420212223[True Rank],_xlfn.XLOOKUP(Table1624[[#This Row],[Name]],Table2111216420212223[Name],Table2111216420212223[True Rank],"DNP",0,1)),"DNP")</f>
        <v>DNP</v>
      </c>
      <c r="O274" s="26" t="str">
        <f>IFERROR(_xlfn.PERCENTRANK.INC(Table211121642021222325[True Rank],_xlfn.XLOOKUP(Table1624[[#This Row],[Name]],Table211121642021222325[Name],Table211121642021222325[True Rank],"DNP",0,1)),"DNP")</f>
        <v>DNP</v>
      </c>
      <c r="P27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2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 spans="2:33">
      <c r="B275" t="str">
        <f>IFERROR(Table5[[#This Row],[Full name]],"")</f>
        <v>Owen Hu</v>
      </c>
      <c r="C275" s="108">
        <f>IFERROR(AVERAGE(Table1624[[#This Row],[September 30, 2025]:[Column18]]),"N/A")</f>
        <v>0.6601999999999999</v>
      </c>
      <c r="D275" s="26">
        <f>IFERROR(_xlfn.PERCENTRANK.INC(Table4[True Rank],_xlfn.XLOOKUP(Table1624[[#This Row],[Name]],Table4[Name],Table4[True Rank],"DNP",0,1)),"DNP")</f>
        <v>0.78800000000000003</v>
      </c>
      <c r="E275" s="26" t="str">
        <f>IFERROR(_xlfn.PERCENTRANK.INC(Table9[True Rank],_xlfn.XLOOKUP(Table1624[[#This Row],[Name]],Table9[Name],Table9[True Rank],"DNP",0,1)),"DNP")</f>
        <v>DNP</v>
      </c>
      <c r="F275" s="26" t="str">
        <f>IFERROR(_xlfn.PERCENTRANK.INC(Table18[True Rank],_xlfn.XLOOKUP(Table1624[[#This Row],[Name]],Table18[Name],Table18[True Rank],"DNP",0,1)),"DNP")</f>
        <v>DNP</v>
      </c>
      <c r="G275" s="26" t="str">
        <f>IFERROR(_xlfn.PERCENTRANK.INC(Table2[True Rank],_xlfn.XLOOKUP(Table1624[[#This Row],[Name]],Table2[Name],Table2[True Rank],"DNP",0,1)),"DNP")</f>
        <v>DNP</v>
      </c>
      <c r="H275" s="26" t="str">
        <f>IFERROR(_xlfn.PERCENTRANK.INC(Table211[True Rank],_xlfn.XLOOKUP(Table1624[[#This Row],[Name]],Table211[Name],Table211[True Rank],"DNP",0,1)),"DNP")</f>
        <v>DNP</v>
      </c>
      <c r="I275" s="26" t="str">
        <f>IFERROR(_xlfn.PERCENTRANK.INC(Table21112[True Rank],_xlfn.XLOOKUP(Table1624[[#This Row],[Name]],Table21112[Name],Table21112[True Rank],"DNP",0,1)),"DNP")</f>
        <v>DNP</v>
      </c>
      <c r="J275" s="26" t="str">
        <f>IFERROR(_xlfn.PERCENTRANK.INC(Table21112164[True Rank],_xlfn.XLOOKUP(Table1624[[#This Row],[Name]],Table21112164[Name],Table21112164[True Rank],"DNP",0,1)),"DNP")</f>
        <v>DNP</v>
      </c>
      <c r="K275" s="26">
        <f>IFERROR(_xlfn.PERCENTRANK.INC(Table2111216420[True Rank],_xlfn.XLOOKUP(Table1624[[#This Row],[Name]],Table2111216420[Name],Table2111216420[True Rank],"DNP",0,1)),"DNP")</f>
        <v>0.89300000000000002</v>
      </c>
      <c r="L275" s="26">
        <f>IFERROR(_xlfn.PERCENTRANK.INC(Table211121642021[True Rank],_xlfn.XLOOKUP(Table1624[[#This Row],[Name]],Table211121642021[Name],Table211121642021[True Rank],"DNP",0,1)),"DNP")</f>
        <v>5.2999999999999999E-2</v>
      </c>
      <c r="M275" s="26">
        <f>IFERROR(_xlfn.PERCENTRANK.INC(Table21112164202122[True Rank],_xlfn.XLOOKUP(Table1624[[#This Row],[Name]],Table21112164202122[Name],Table21112164202122[True Rank],"DNP",0,1)),"DNP")</f>
        <v>0.60199999999999998</v>
      </c>
      <c r="N275" s="26" t="str">
        <f>IFERROR(_xlfn.PERCENTRANK.INC(Table2111216420212223[True Rank],_xlfn.XLOOKUP(Table1624[[#This Row],[Name]],Table2111216420212223[Name],Table2111216420212223[True Rank],"DNP",0,1)),"DNP")</f>
        <v>DNP</v>
      </c>
      <c r="O275" s="26" t="str">
        <f>IFERROR(_xlfn.PERCENTRANK.INC(Table211121642021222325[True Rank],_xlfn.XLOOKUP(Table1624[[#This Row],[Name]],Table211121642021222325[Name],Table211121642021222325[True Rank],"DNP",0,1)),"DNP")</f>
        <v>DNP</v>
      </c>
      <c r="P275" s="26" t="str">
        <f>IFERROR(_xlfn.PERCENTRANK.INC(Table21112164202122232534[True Rank],_xlfn.XLOOKUP(Table1624[[#This Row],[Name]],Table21112164202122232534[Name],Table21112164202122232534[True Rank],"DNP",0,1)),"DNP")</f>
        <v>DNP</v>
      </c>
      <c r="Q2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5" s="26">
        <f>IFERROR(_xlfn.PERCENTRANK.INC(Table21112164202122232534353637[True Rank],_xlfn.XLOOKUP(Table1624[[#This Row],[Name]],Table21112164202122232534353637[Name],Table21112164202122232534353637[True Rank],"DNP",0,1)),"DNP")</f>
        <v>0.96499999999999997</v>
      </c>
      <c r="T2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spans="2:33">
      <c r="B276" t="str">
        <f>IFERROR(Table5[[#This Row],[Full name]],"")</f>
        <v>Param Agarwal</v>
      </c>
      <c r="C276" s="108">
        <f>IFERROR(AVERAGE(Table1624[[#This Row],[September 30, 2025]:[Column18]]),"N/A")</f>
        <v>0.37333333333333335</v>
      </c>
      <c r="D276" s="26">
        <f>IFERROR(_xlfn.PERCENTRANK.INC(Table4[True Rank],_xlfn.XLOOKUP(Table1624[[#This Row],[Name]],Table4[Name],Table4[True Rank],"DNP",0,1)),"DNP")</f>
        <v>0.247</v>
      </c>
      <c r="E276" s="26" t="str">
        <f>IFERROR(_xlfn.PERCENTRANK.INC(Table9[True Rank],_xlfn.XLOOKUP(Table1624[[#This Row],[Name]],Table9[Name],Table9[True Rank],"DNP",0,1)),"DNP")</f>
        <v>DNP</v>
      </c>
      <c r="F276" s="26" t="str">
        <f>IFERROR(_xlfn.PERCENTRANK.INC(Table18[True Rank],_xlfn.XLOOKUP(Table1624[[#This Row],[Name]],Table18[Name],Table18[True Rank],"DNP",0,1)),"DNP")</f>
        <v>DNP</v>
      </c>
      <c r="G276" s="26" t="str">
        <f>IFERROR(_xlfn.PERCENTRANK.INC(Table2[True Rank],_xlfn.XLOOKUP(Table1624[[#This Row],[Name]],Table2[Name],Table2[True Rank],"DNP",0,1)),"DNP")</f>
        <v>DNP</v>
      </c>
      <c r="H276" s="26" t="str">
        <f>IFERROR(_xlfn.PERCENTRANK.INC(Table211[True Rank],_xlfn.XLOOKUP(Table1624[[#This Row],[Name]],Table211[Name],Table211[True Rank],"DNP",0,1)),"DNP")</f>
        <v>DNP</v>
      </c>
      <c r="I276" s="26">
        <f>IFERROR(_xlfn.PERCENTRANK.INC(Table21112[True Rank],_xlfn.XLOOKUP(Table1624[[#This Row],[Name]],Table21112[Name],Table21112[True Rank],"DNP",0,1)),"DNP")</f>
        <v>0.192</v>
      </c>
      <c r="J276" s="26" t="str">
        <f>IFERROR(_xlfn.PERCENTRANK.INC(Table21112164[True Rank],_xlfn.XLOOKUP(Table1624[[#This Row],[Name]],Table21112164[Name],Table21112164[True Rank],"DNP",0,1)),"DNP")</f>
        <v>DNP</v>
      </c>
      <c r="K276" s="26" t="str">
        <f>IFERROR(_xlfn.PERCENTRANK.INC(Table2111216420[True Rank],_xlfn.XLOOKUP(Table1624[[#This Row],[Name]],Table2111216420[Name],Table2111216420[True Rank],"DNP",0,1)),"DNP")</f>
        <v>DNP</v>
      </c>
      <c r="L276" s="26" t="str">
        <f>IFERROR(_xlfn.PERCENTRANK.INC(Table211121642021[True Rank],_xlfn.XLOOKUP(Table1624[[#This Row],[Name]],Table211121642021[Name],Table211121642021[True Rank],"DNP",0,1)),"DNP")</f>
        <v>DNP</v>
      </c>
      <c r="M276" s="26">
        <f>IFERROR(_xlfn.PERCENTRANK.INC(Table21112164202122[True Rank],_xlfn.XLOOKUP(Table1624[[#This Row],[Name]],Table21112164202122[Name],Table21112164202122[True Rank],"DNP",0,1)),"DNP")</f>
        <v>0.68100000000000005</v>
      </c>
      <c r="N276" s="26" t="str">
        <f>IFERROR(_xlfn.PERCENTRANK.INC(Table2111216420212223[True Rank],_xlfn.XLOOKUP(Table1624[[#This Row],[Name]],Table2111216420212223[Name],Table2111216420212223[True Rank],"DNP",0,1)),"DNP")</f>
        <v>DNP</v>
      </c>
      <c r="O276" s="26" t="str">
        <f>IFERROR(_xlfn.PERCENTRANK.INC(Table211121642021222325[True Rank],_xlfn.XLOOKUP(Table1624[[#This Row],[Name]],Table211121642021222325[Name],Table211121642021222325[True Rank],"DNP",0,1)),"DNP")</f>
        <v>DNP</v>
      </c>
      <c r="P276" s="26" t="str">
        <f>IFERROR(_xlfn.PERCENTRANK.INC(Table21112164202122232534[True Rank],_xlfn.XLOOKUP(Table1624[[#This Row],[Name]],Table21112164202122232534[Name],Table21112164202122232534[True Rank],"DNP",0,1)),"DNP")</f>
        <v>DNP</v>
      </c>
      <c r="Q2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spans="2:33">
      <c r="B277" t="str">
        <f>IFERROR(Table5[[#This Row],[Full name]],"")</f>
        <v>Parum Patel</v>
      </c>
      <c r="C277" s="108">
        <f>IFERROR(AVERAGE(Table1624[[#This Row],[September 30, 2025]:[Column18]]),"N/A")</f>
        <v>0.52600000000000002</v>
      </c>
      <c r="D277" s="26" t="str">
        <f>IFERROR(_xlfn.PERCENTRANK.INC(Table4[True Rank],_xlfn.XLOOKUP(Table1624[[#This Row],[Name]],Table4[Name],Table4[True Rank],"DNP",0,1)),"DNP")</f>
        <v>DNP</v>
      </c>
      <c r="E277" s="26" t="str">
        <f>IFERROR(_xlfn.PERCENTRANK.INC(Table9[True Rank],_xlfn.XLOOKUP(Table1624[[#This Row],[Name]],Table9[Name],Table9[True Rank],"DNP",0,1)),"DNP")</f>
        <v>DNP</v>
      </c>
      <c r="F277" s="26" t="str">
        <f>IFERROR(_xlfn.PERCENTRANK.INC(Table18[True Rank],_xlfn.XLOOKUP(Table1624[[#This Row],[Name]],Table18[Name],Table18[True Rank],"DNP",0,1)),"DNP")</f>
        <v>DNP</v>
      </c>
      <c r="G277" s="26" t="str">
        <f>IFERROR(_xlfn.PERCENTRANK.INC(Table2[True Rank],_xlfn.XLOOKUP(Table1624[[#This Row],[Name]],Table2[Name],Table2[True Rank],"DNP",0,1)),"DNP")</f>
        <v>DNP</v>
      </c>
      <c r="H277" s="26" t="str">
        <f>IFERROR(_xlfn.PERCENTRANK.INC(Table211[True Rank],_xlfn.XLOOKUP(Table1624[[#This Row],[Name]],Table211[Name],Table211[True Rank],"DNP",0,1)),"DNP")</f>
        <v>DNP</v>
      </c>
      <c r="I277" s="26" t="str">
        <f>IFERROR(_xlfn.PERCENTRANK.INC(Table21112[True Rank],_xlfn.XLOOKUP(Table1624[[#This Row],[Name]],Table21112[Name],Table21112[True Rank],"DNP",0,1)),"DNP")</f>
        <v>DNP</v>
      </c>
      <c r="J277" s="26" t="str">
        <f>IFERROR(_xlfn.PERCENTRANK.INC(Table21112164[True Rank],_xlfn.XLOOKUP(Table1624[[#This Row],[Name]],Table21112164[Name],Table21112164[True Rank],"DNP",0,1)),"DNP")</f>
        <v>DNP</v>
      </c>
      <c r="K277" s="26" t="str">
        <f>IFERROR(_xlfn.PERCENTRANK.INC(Table2111216420[True Rank],_xlfn.XLOOKUP(Table1624[[#This Row],[Name]],Table2111216420[Name],Table2111216420[True Rank],"DNP",0,1)),"DNP")</f>
        <v>DNP</v>
      </c>
      <c r="L277" s="26">
        <f>IFERROR(_xlfn.PERCENTRANK.INC(Table211121642021[True Rank],_xlfn.XLOOKUP(Table1624[[#This Row],[Name]],Table211121642021[Name],Table211121642021[True Rank],"DNP",0,1)),"DNP")</f>
        <v>0.52600000000000002</v>
      </c>
      <c r="M277" s="26" t="str">
        <f>IFERROR(_xlfn.PERCENTRANK.INC(Table21112164202122[True Rank],_xlfn.XLOOKUP(Table1624[[#This Row],[Name]],Table21112164202122[Name],Table21112164202122[True Rank],"DNP",0,1)),"DNP")</f>
        <v>DNP</v>
      </c>
      <c r="N277" s="26" t="str">
        <f>IFERROR(_xlfn.PERCENTRANK.INC(Table2111216420212223[True Rank],_xlfn.XLOOKUP(Table1624[[#This Row],[Name]],Table2111216420212223[Name],Table2111216420212223[True Rank],"DNP",0,1)),"DNP")</f>
        <v>DNP</v>
      </c>
      <c r="O277" s="26" t="str">
        <f>IFERROR(_xlfn.PERCENTRANK.INC(Table211121642021222325[True Rank],_xlfn.XLOOKUP(Table1624[[#This Row],[Name]],Table211121642021222325[Name],Table211121642021222325[True Rank],"DNP",0,1)),"DNP")</f>
        <v>DNP</v>
      </c>
      <c r="P277" s="26" t="str">
        <f>IFERROR(_xlfn.PERCENTRANK.INC(Table21112164202122232534[True Rank],_xlfn.XLOOKUP(Table1624[[#This Row],[Name]],Table21112164202122232534[Name],Table21112164202122232534[True Rank],"DNP",0,1)),"DNP")</f>
        <v>DNP</v>
      </c>
      <c r="Q2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spans="2:33">
      <c r="B278" t="str">
        <f>IFERROR(Table5[[#This Row],[Full name]],"")</f>
        <v xml:space="preserve">Patrick Tendon </v>
      </c>
      <c r="C278" s="108">
        <f>IFERROR(AVERAGE(Table1624[[#This Row],[September 30, 2025]:[Column18]]),"N/A")</f>
        <v>0.41937499999999994</v>
      </c>
      <c r="D278" s="26" t="str">
        <f>IFERROR(_xlfn.PERCENTRANK.INC(Table4[True Rank],_xlfn.XLOOKUP(Table1624[[#This Row],[Name]],Table4[Name],Table4[True Rank],"DNP",0,1)),"DNP")</f>
        <v>DNP</v>
      </c>
      <c r="E278" s="26" t="str">
        <f>IFERROR(_xlfn.PERCENTRANK.INC(Table9[True Rank],_xlfn.XLOOKUP(Table1624[[#This Row],[Name]],Table9[Name],Table9[True Rank],"DNP",0,1)),"DNP")</f>
        <v>DNP</v>
      </c>
      <c r="F278" s="26" t="str">
        <f>IFERROR(_xlfn.PERCENTRANK.INC(Table18[True Rank],_xlfn.XLOOKUP(Table1624[[#This Row],[Name]],Table18[Name],Table18[True Rank],"DNP",0,1)),"DNP")</f>
        <v>DNP</v>
      </c>
      <c r="G278" s="26" t="str">
        <f>IFERROR(_xlfn.PERCENTRANK.INC(Table2[True Rank],_xlfn.XLOOKUP(Table1624[[#This Row],[Name]],Table2[Name],Table2[True Rank],"DNP",0,1)),"DNP")</f>
        <v>DNP</v>
      </c>
      <c r="H278" s="26" t="str">
        <f>IFERROR(_xlfn.PERCENTRANK.INC(Table211[True Rank],_xlfn.XLOOKUP(Table1624[[#This Row],[Name]],Table211[Name],Table211[True Rank],"DNP",0,1)),"DNP")</f>
        <v>DNP</v>
      </c>
      <c r="I278" s="26">
        <f>IFERROR(_xlfn.PERCENTRANK.INC(Table21112[True Rank],_xlfn.XLOOKUP(Table1624[[#This Row],[Name]],Table21112[Name],Table21112[True Rank],"DNP",0,1)),"DNP")</f>
        <v>0.79400000000000004</v>
      </c>
      <c r="J278" s="26" t="str">
        <f>IFERROR(_xlfn.PERCENTRANK.INC(Table21112164[True Rank],_xlfn.XLOOKUP(Table1624[[#This Row],[Name]],Table21112164[Name],Table21112164[True Rank],"DNP",0,1)),"DNP")</f>
        <v>DNP</v>
      </c>
      <c r="K278" s="26" t="str">
        <f>IFERROR(_xlfn.PERCENTRANK.INC(Table2111216420[True Rank],_xlfn.XLOOKUP(Table1624[[#This Row],[Name]],Table2111216420[Name],Table2111216420[True Rank],"DNP",0,1)),"DNP")</f>
        <v>DNP</v>
      </c>
      <c r="L278" s="26">
        <f>IFERROR(_xlfn.PERCENTRANK.INC(Table211121642021[True Rank],_xlfn.XLOOKUP(Table1624[[#This Row],[Name]],Table211121642021[Name],Table211121642021[True Rank],"DNP",0,1)),"DNP")</f>
        <v>0.32200000000000001</v>
      </c>
      <c r="M278" s="26" t="str">
        <f>IFERROR(_xlfn.PERCENTRANK.INC(Table21112164202122[True Rank],_xlfn.XLOOKUP(Table1624[[#This Row],[Name]],Table21112164202122[Name],Table21112164202122[True Rank],"DNP",0,1)),"DNP")</f>
        <v>DNP</v>
      </c>
      <c r="N278" s="26">
        <f>IFERROR(_xlfn.PERCENTRANK.INC(Table2111216420212223[True Rank],_xlfn.XLOOKUP(Table1624[[#This Row],[Name]],Table2111216420212223[Name],Table2111216420212223[True Rank],"DNP",0,1)),"DNP")</f>
        <v>6.5000000000000002E-2</v>
      </c>
      <c r="O278" s="26">
        <f>IFERROR(_xlfn.PERCENTRANK.INC(Table211121642021222325[True Rank],_xlfn.XLOOKUP(Table1624[[#This Row],[Name]],Table211121642021222325[Name],Table211121642021222325[True Rank],"DNP",0,1)),"DNP")</f>
        <v>0.71399999999999997</v>
      </c>
      <c r="P278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278" s="26">
        <f>IFERROR(_xlfn.PERCENTRANK.INC(Table2111216420212223253435[True Rank],_xlfn.XLOOKUP(Table1624[[#This Row],[Name]],Table2111216420212223253435[Name],Table2111216420212223253435[True Rank],"DNP",0,1)),"DNP")</f>
        <v>0.32</v>
      </c>
      <c r="R2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8" s="26">
        <f>IFERROR(_xlfn.PERCENTRANK.INC(Table21112164202122232534353637[True Rank],_xlfn.XLOOKUP(Table1624[[#This Row],[Name]],Table21112164202122232534353637[Name],Table21112164202122232534353637[True Rank],"DNP",0,1)),"DNP")</f>
        <v>0.34399999999999997</v>
      </c>
      <c r="T278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spans="2:33">
      <c r="B279" t="str">
        <f>IFERROR(Table5[[#This Row],[Full name]],"")</f>
        <v>Pratyush Singh</v>
      </c>
      <c r="C279" s="108">
        <f>IFERROR(AVERAGE(Table1624[[#This Row],[September 30, 2025]:[Column18]]),"N/A")</f>
        <v>0.75800000000000001</v>
      </c>
      <c r="D279" s="26" t="str">
        <f>IFERROR(_xlfn.PERCENTRANK.INC(Table4[True Rank],_xlfn.XLOOKUP(Table1624[[#This Row],[Name]],Table4[Name],Table4[True Rank],"DNP",0,1)),"DNP")</f>
        <v>DNP</v>
      </c>
      <c r="E279" s="26" t="str">
        <f>IFERROR(_xlfn.PERCENTRANK.INC(Table9[True Rank],_xlfn.XLOOKUP(Table1624[[#This Row],[Name]],Table9[Name],Table9[True Rank],"DNP",0,1)),"DNP")</f>
        <v>DNP</v>
      </c>
      <c r="F279" s="26" t="str">
        <f>IFERROR(_xlfn.PERCENTRANK.INC(Table18[True Rank],_xlfn.XLOOKUP(Table1624[[#This Row],[Name]],Table18[Name],Table18[True Rank],"DNP",0,1)),"DNP")</f>
        <v>DNP</v>
      </c>
      <c r="G279" s="26" t="str">
        <f>IFERROR(_xlfn.PERCENTRANK.INC(Table2[True Rank],_xlfn.XLOOKUP(Table1624[[#This Row],[Name]],Table2[Name],Table2[True Rank],"DNP",0,1)),"DNP")</f>
        <v>DNP</v>
      </c>
      <c r="H279" s="26" t="str">
        <f>IFERROR(_xlfn.PERCENTRANK.INC(Table211[True Rank],_xlfn.XLOOKUP(Table1624[[#This Row],[Name]],Table211[Name],Table211[True Rank],"DNP",0,1)),"DNP")</f>
        <v>DNP</v>
      </c>
      <c r="I279" s="26" t="str">
        <f>IFERROR(_xlfn.PERCENTRANK.INC(Table21112[True Rank],_xlfn.XLOOKUP(Table1624[[#This Row],[Name]],Table21112[Name],Table21112[True Rank],"DNP",0,1)),"DNP")</f>
        <v>DNP</v>
      </c>
      <c r="J279" s="26" t="str">
        <f>IFERROR(_xlfn.PERCENTRANK.INC(Table21112164[True Rank],_xlfn.XLOOKUP(Table1624[[#This Row],[Name]],Table21112164[Name],Table21112164[True Rank],"DNP",0,1)),"DNP")</f>
        <v>DNP</v>
      </c>
      <c r="K279" s="26" t="str">
        <f>IFERROR(_xlfn.PERCENTRANK.INC(Table2111216420[True Rank],_xlfn.XLOOKUP(Table1624[[#This Row],[Name]],Table2111216420[Name],Table2111216420[True Rank],"DNP",0,1)),"DNP")</f>
        <v>DNP</v>
      </c>
      <c r="L279" s="26" t="str">
        <f>IFERROR(_xlfn.PERCENTRANK.INC(Table211121642021[True Rank],_xlfn.XLOOKUP(Table1624[[#This Row],[Name]],Table211121642021[Name],Table211121642021[True Rank],"DNP",0,1)),"DNP")</f>
        <v>DNP</v>
      </c>
      <c r="M279" s="26" t="str">
        <f>IFERROR(_xlfn.PERCENTRANK.INC(Table21112164202122[True Rank],_xlfn.XLOOKUP(Table1624[[#This Row],[Name]],Table21112164202122[Name],Table21112164202122[True Rank],"DNP",0,1)),"DNP")</f>
        <v>DNP</v>
      </c>
      <c r="N279" s="26" t="str">
        <f>IFERROR(_xlfn.PERCENTRANK.INC(Table2111216420212223[True Rank],_xlfn.XLOOKUP(Table1624[[#This Row],[Name]],Table2111216420212223[Name],Table2111216420212223[True Rank],"DNP",0,1)),"DNP")</f>
        <v>DNP</v>
      </c>
      <c r="O279" s="26" t="str">
        <f>IFERROR(_xlfn.PERCENTRANK.INC(Table211121642021222325[True Rank],_xlfn.XLOOKUP(Table1624[[#This Row],[Name]],Table211121642021222325[Name],Table211121642021222325[True Rank],"DNP",0,1)),"DNP")</f>
        <v>DNP</v>
      </c>
      <c r="P279" s="26">
        <f>IFERROR(_xlfn.PERCENTRANK.INC(Table21112164202122232534[True Rank],_xlfn.XLOOKUP(Table1624[[#This Row],[Name]],Table21112164202122232534[Name],Table21112164202122232534[True Rank],"DNP",0,1)),"DNP")</f>
        <v>0.75800000000000001</v>
      </c>
      <c r="Q2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spans="2:33">
      <c r="B280" t="str">
        <f>IFERROR(Table5[[#This Row],[Full name]],"")</f>
        <v>Punit Guddeti</v>
      </c>
      <c r="C280" s="108">
        <f>IFERROR(AVERAGE(Table1624[[#This Row],[September 30, 2025]:[Column18]]),"N/A")</f>
        <v>0.57510000000000006</v>
      </c>
      <c r="D280" s="26">
        <f>IFERROR(_xlfn.PERCENTRANK.INC(Table4[True Rank],_xlfn.XLOOKUP(Table1624[[#This Row],[Name]],Table4[Name],Table4[True Rank],"DNP",0,1)),"DNP")</f>
        <v>0.68799999999999994</v>
      </c>
      <c r="E280" s="26">
        <f>IFERROR(_xlfn.PERCENTRANK.INC(Table9[True Rank],_xlfn.XLOOKUP(Table1624[[#This Row],[Name]],Table9[Name],Table9[True Rank],"DNP",0,1)),"DNP")</f>
        <v>5.7000000000000002E-2</v>
      </c>
      <c r="F280" s="26">
        <f>IFERROR(_xlfn.PERCENTRANK.INC(Table18[True Rank],_xlfn.XLOOKUP(Table1624[[#This Row],[Name]],Table18[Name],Table18[True Rank],"DNP",0,1)),"DNP")</f>
        <v>0.71699999999999997</v>
      </c>
      <c r="G280" s="26">
        <f>IFERROR(_xlfn.PERCENTRANK.INC(Table2[True Rank],_xlfn.XLOOKUP(Table1624[[#This Row],[Name]],Table2[Name],Table2[True Rank],"DNP",0,1)),"DNP")</f>
        <v>0.71399999999999997</v>
      </c>
      <c r="H280" s="26">
        <f>IFERROR(_xlfn.PERCENTRANK.INC(Table211[True Rank],_xlfn.XLOOKUP(Table1624[[#This Row],[Name]],Table211[Name],Table211[True Rank],"DNP",0,1)),"DNP")</f>
        <v>0.49199999999999999</v>
      </c>
      <c r="I280" s="26" t="str">
        <f>IFERROR(_xlfn.PERCENTRANK.INC(Table21112[True Rank],_xlfn.XLOOKUP(Table1624[[#This Row],[Name]],Table21112[Name],Table21112[True Rank],"DNP",0,1)),"DNP")</f>
        <v>DNP</v>
      </c>
      <c r="J280" s="26" t="str">
        <f>IFERROR(_xlfn.PERCENTRANK.INC(Table21112164[True Rank],_xlfn.XLOOKUP(Table1624[[#This Row],[Name]],Table21112164[Name],Table21112164[True Rank],"DNP",0,1)),"DNP")</f>
        <v>DNP</v>
      </c>
      <c r="K280" s="26">
        <f>IFERROR(_xlfn.PERCENTRANK.INC(Table2111216420[True Rank],_xlfn.XLOOKUP(Table1624[[#This Row],[Name]],Table2111216420[Name],Table2111216420[True Rank],"DNP",0,1)),"DNP")</f>
        <v>0.61699999999999999</v>
      </c>
      <c r="L280" s="26">
        <f>IFERROR(_xlfn.PERCENTRANK.INC(Table211121642021[True Rank],_xlfn.XLOOKUP(Table1624[[#This Row],[Name]],Table211121642021[Name],Table211121642021[True Rank],"DNP",0,1)),"DNP")</f>
        <v>0.72</v>
      </c>
      <c r="M280" s="26" t="str">
        <f>IFERROR(_xlfn.PERCENTRANK.INC(Table21112164202122[True Rank],_xlfn.XLOOKUP(Table1624[[#This Row],[Name]],Table21112164202122[Name],Table21112164202122[True Rank],"DNP",0,1)),"DNP")</f>
        <v>DNP</v>
      </c>
      <c r="N280" s="26">
        <f>IFERROR(_xlfn.PERCENTRANK.INC(Table2111216420212223[True Rank],_xlfn.XLOOKUP(Table1624[[#This Row],[Name]],Table2111216420212223[Name],Table2111216420212223[True Rank],"DNP",0,1)),"DNP")</f>
        <v>0.505</v>
      </c>
      <c r="O280" s="26">
        <f>IFERROR(_xlfn.PERCENTRANK.INC(Table211121642021222325[True Rank],_xlfn.XLOOKUP(Table1624[[#This Row],[Name]],Table211121642021222325[Name],Table211121642021222325[True Rank],"DNP",0,1)),"DNP")</f>
        <v>0.56000000000000005</v>
      </c>
      <c r="P280" s="26">
        <f>IFERROR(_xlfn.PERCENTRANK.INC(Table21112164202122232534[True Rank],_xlfn.XLOOKUP(Table1624[[#This Row],[Name]],Table21112164202122232534[Name],Table21112164202122232534[True Rank],"DNP",0,1)),"DNP")</f>
        <v>0.68100000000000005</v>
      </c>
      <c r="Q2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spans="2:33">
      <c r="B281" t="str">
        <f>IFERROR(Table5[[#This Row],[Full name]],"")</f>
        <v>Qingtong Hu</v>
      </c>
      <c r="C281" s="108">
        <f>IFERROR(AVERAGE(Table1624[[#This Row],[September 30, 2025]:[Column18]]),"N/A")</f>
        <v>0.41761538461538461</v>
      </c>
      <c r="D281" s="26">
        <f>IFERROR(_xlfn.PERCENTRANK.INC(Table4[True Rank],_xlfn.XLOOKUP(Table1624[[#This Row],[Name]],Table4[Name],Table4[True Rank],"DNP",0,1)),"DNP")</f>
        <v>0.78800000000000003</v>
      </c>
      <c r="E281" s="26">
        <f>IFERROR(_xlfn.PERCENTRANK.INC(Table9[True Rank],_xlfn.XLOOKUP(Table1624[[#This Row],[Name]],Table9[Name],Table9[True Rank],"DNP",0,1)),"DNP")</f>
        <v>0.10299999999999999</v>
      </c>
      <c r="F281" s="26">
        <f>IFERROR(_xlfn.PERCENTRANK.INC(Table18[True Rank],_xlfn.XLOOKUP(Table1624[[#This Row],[Name]],Table18[Name],Table18[True Rank],"DNP",0,1)),"DNP")</f>
        <v>0.191</v>
      </c>
      <c r="G281" s="26">
        <f>IFERROR(_xlfn.PERCENTRANK.INC(Table2[True Rank],_xlfn.XLOOKUP(Table1624[[#This Row],[Name]],Table2[Name],Table2[True Rank],"DNP",0,1)),"DNP")</f>
        <v>0.45200000000000001</v>
      </c>
      <c r="H281" s="26">
        <f>IFERROR(_xlfn.PERCENTRANK.INC(Table211[True Rank],_xlfn.XLOOKUP(Table1624[[#This Row],[Name]],Table211[Name],Table211[True Rank],"DNP",0,1)),"DNP")</f>
        <v>0.16900000000000001</v>
      </c>
      <c r="I281" s="26">
        <f>IFERROR(_xlfn.PERCENTRANK.INC(Table21112[True Rank],_xlfn.XLOOKUP(Table1624[[#This Row],[Name]],Table21112[Name],Table21112[True Rank],"DNP",0,1)),"DNP")</f>
        <v>0.26900000000000002</v>
      </c>
      <c r="J281" s="26">
        <f>IFERROR(_xlfn.PERCENTRANK.INC(Table21112164[True Rank],_xlfn.XLOOKUP(Table1624[[#This Row],[Name]],Table21112164[Name],Table21112164[True Rank],"DNP",0,1)),"DNP")</f>
        <v>0.191</v>
      </c>
      <c r="K281" s="26">
        <f>IFERROR(_xlfn.PERCENTRANK.INC(Table2111216420[True Rank],_xlfn.XLOOKUP(Table1624[[#This Row],[Name]],Table2111216420[Name],Table2111216420[True Rank],"DNP",0,1)),"DNP")</f>
        <v>0.89300000000000002</v>
      </c>
      <c r="L281" s="26">
        <f>IFERROR(_xlfn.PERCENTRANK.INC(Table211121642021[True Rank],_xlfn.XLOOKUP(Table1624[[#This Row],[Name]],Table211121642021[Name],Table211121642021[True Rank],"DNP",0,1)),"DNP")</f>
        <v>0.43</v>
      </c>
      <c r="M281" s="26">
        <f>IFERROR(_xlfn.PERCENTRANK.INC(Table21112164202122[True Rank],_xlfn.XLOOKUP(Table1624[[#This Row],[Name]],Table21112164202122[Name],Table21112164202122[True Rank],"DNP",0,1)),"DNP")</f>
        <v>0.318</v>
      </c>
      <c r="N281" s="26">
        <f>IFERROR(_xlfn.PERCENTRANK.INC(Table2111216420212223[True Rank],_xlfn.XLOOKUP(Table1624[[#This Row],[Name]],Table2111216420212223[Name],Table2111216420212223[True Rank],"DNP",0,1)),"DNP")</f>
        <v>0.56000000000000005</v>
      </c>
      <c r="O281" s="26">
        <f>IFERROR(_xlfn.PERCENTRANK.INC(Table211121642021222325[True Rank],_xlfn.XLOOKUP(Table1624[[#This Row],[Name]],Table211121642021222325[Name],Table211121642021222325[True Rank],"DNP",0,1)),"DNP")</f>
        <v>0.747</v>
      </c>
      <c r="P281" s="26">
        <f>IFERROR(_xlfn.PERCENTRANK.INC(Table21112164202122232534[True Rank],_xlfn.XLOOKUP(Table1624[[#This Row],[Name]],Table21112164202122232534[Name],Table21112164202122232534[True Rank],"DNP",0,1)),"DNP")</f>
        <v>0.318</v>
      </c>
      <c r="Q2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spans="2:33">
      <c r="B282" t="str">
        <f>IFERROR(Table5[[#This Row],[Full name]],"")</f>
        <v>Rahil Kochhar</v>
      </c>
      <c r="C282" s="108">
        <f>IFERROR(AVERAGE(Table1624[[#This Row],[September 30, 2025]:[Column18]]),"N/A")</f>
        <v>0.39649999999999996</v>
      </c>
      <c r="D282" s="26" t="str">
        <f>IFERROR(_xlfn.PERCENTRANK.INC(Table4[True Rank],_xlfn.XLOOKUP(Table1624[[#This Row],[Name]],Table4[Name],Table4[True Rank],"DNP",0,1)),"DNP")</f>
        <v>DNP</v>
      </c>
      <c r="E282" s="26" t="str">
        <f>IFERROR(_xlfn.PERCENTRANK.INC(Table9[True Rank],_xlfn.XLOOKUP(Table1624[[#This Row],[Name]],Table9[Name],Table9[True Rank],"DNP",0,1)),"DNP")</f>
        <v>DNP</v>
      </c>
      <c r="F282" s="26">
        <f>IFERROR(_xlfn.PERCENTRANK.INC(Table18[True Rank],_xlfn.XLOOKUP(Table1624[[#This Row],[Name]],Table18[Name],Table18[True Rank],"DNP",0,1)),"DNP")</f>
        <v>0.42399999999999999</v>
      </c>
      <c r="G282" s="26" t="str">
        <f>IFERROR(_xlfn.PERCENTRANK.INC(Table2[True Rank],_xlfn.XLOOKUP(Table1624[[#This Row],[Name]],Table2[Name],Table2[True Rank],"DNP",0,1)),"DNP")</f>
        <v>DNP</v>
      </c>
      <c r="H282" s="26">
        <f>IFERROR(_xlfn.PERCENTRANK.INC(Table211[True Rank],_xlfn.XLOOKUP(Table1624[[#This Row],[Name]],Table211[Name],Table211[True Rank],"DNP",0,1)),"DNP")</f>
        <v>0.309</v>
      </c>
      <c r="I282" s="26" t="str">
        <f>IFERROR(_xlfn.PERCENTRANK.INC(Table21112[True Rank],_xlfn.XLOOKUP(Table1624[[#This Row],[Name]],Table21112[Name],Table21112[True Rank],"DNP",0,1)),"DNP")</f>
        <v>DNP</v>
      </c>
      <c r="J282" s="26" t="str">
        <f>IFERROR(_xlfn.PERCENTRANK.INC(Table21112164[True Rank],_xlfn.XLOOKUP(Table1624[[#This Row],[Name]],Table21112164[Name],Table21112164[True Rank],"DNP",0,1)),"DNP")</f>
        <v>DNP</v>
      </c>
      <c r="K282" s="26">
        <f>IFERROR(_xlfn.PERCENTRANK.INC(Table2111216420[True Rank],_xlfn.XLOOKUP(Table1624[[#This Row],[Name]],Table2111216420[Name],Table2111216420[True Rank],"DNP",0,1)),"DNP")</f>
        <v>0.308</v>
      </c>
      <c r="L282" s="26">
        <f>IFERROR(_xlfn.PERCENTRANK.INC(Table211121642021[True Rank],_xlfn.XLOOKUP(Table1624[[#This Row],[Name]],Table211121642021[Name],Table211121642021[True Rank],"DNP",0,1)),"DNP")</f>
        <v>0.376</v>
      </c>
      <c r="M282" s="26">
        <f>IFERROR(_xlfn.PERCENTRANK.INC(Table21112164202122[True Rank],_xlfn.XLOOKUP(Table1624[[#This Row],[Name]],Table21112164202122[Name],Table21112164202122[True Rank],"DNP",0,1)),"DNP")</f>
        <v>0.55600000000000005</v>
      </c>
      <c r="N282" s="26" t="str">
        <f>IFERROR(_xlfn.PERCENTRANK.INC(Table2111216420212223[True Rank],_xlfn.XLOOKUP(Table1624[[#This Row],[Name]],Table2111216420212223[Name],Table2111216420212223[True Rank],"DNP",0,1)),"DNP")</f>
        <v>DNP</v>
      </c>
      <c r="O282" s="26">
        <f>IFERROR(_xlfn.PERCENTRANK.INC(Table211121642021222325[True Rank],_xlfn.XLOOKUP(Table1624[[#This Row],[Name]],Table211121642021222325[Name],Table211121642021222325[True Rank],"DNP",0,1)),"DNP")</f>
        <v>0.439</v>
      </c>
      <c r="P282" s="26">
        <f>IFERROR(_xlfn.PERCENTRANK.INC(Table21112164202122232534[True Rank],_xlfn.XLOOKUP(Table1624[[#This Row],[Name]],Table21112164202122232534[Name],Table21112164202122232534[True Rank],"DNP",0,1)),"DNP")</f>
        <v>5.3999999999999999E-2</v>
      </c>
      <c r="Q2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2" s="26">
        <f>IFERROR(_xlfn.PERCENTRANK.INC(Table21112164202122232534353637[True Rank],_xlfn.XLOOKUP(Table1624[[#This Row],[Name]],Table21112164202122232534353637[Name],Table21112164202122232534353637[True Rank],"DNP",0,1)),"DNP")</f>
        <v>0.70599999999999996</v>
      </c>
      <c r="T2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spans="2:33">
      <c r="B283" t="str">
        <f>IFERROR(Table5[[#This Row],[Full name]],"")</f>
        <v>Rami Shafikov</v>
      </c>
      <c r="C283" s="108">
        <f>IFERROR(AVERAGE(Table1624[[#This Row],[September 30, 2025]:[Column18]]),"N/A")</f>
        <v>0.66149999999999998</v>
      </c>
      <c r="D283" s="26" t="str">
        <f>IFERROR(_xlfn.PERCENTRANK.INC(Table4[True Rank],_xlfn.XLOOKUP(Table1624[[#This Row],[Name]],Table4[Name],Table4[True Rank],"DNP",0,1)),"DNP")</f>
        <v>DNP</v>
      </c>
      <c r="E283" s="26" t="str">
        <f>IFERROR(_xlfn.PERCENTRANK.INC(Table9[True Rank],_xlfn.XLOOKUP(Table1624[[#This Row],[Name]],Table9[Name],Table9[True Rank],"DNP",0,1)),"DNP")</f>
        <v>DNP</v>
      </c>
      <c r="F283" s="26">
        <f>IFERROR(_xlfn.PERCENTRANK.INC(Table18[True Rank],_xlfn.XLOOKUP(Table1624[[#This Row],[Name]],Table18[Name],Table18[True Rank],"DNP",0,1)),"DNP")</f>
        <v>0.76700000000000002</v>
      </c>
      <c r="G283" s="26">
        <f>IFERROR(_xlfn.PERCENTRANK.INC(Table2[True Rank],_xlfn.XLOOKUP(Table1624[[#This Row],[Name]],Table2[Name],Table2[True Rank],"DNP",0,1)),"DNP")</f>
        <v>0.33300000000000002</v>
      </c>
      <c r="H283" s="26">
        <f>IFERROR(_xlfn.PERCENTRANK.INC(Table211[True Rank],_xlfn.XLOOKUP(Table1624[[#This Row],[Name]],Table211[Name],Table211[True Rank],"DNP",0,1)),"DNP")</f>
        <v>0.98499999999999999</v>
      </c>
      <c r="I283" s="26" t="str">
        <f>IFERROR(_xlfn.PERCENTRANK.INC(Table21112[True Rank],_xlfn.XLOOKUP(Table1624[[#This Row],[Name]],Table21112[Name],Table21112[True Rank],"DNP",0,1)),"DNP")</f>
        <v>DNP</v>
      </c>
      <c r="J283" s="26">
        <f>IFERROR(_xlfn.PERCENTRANK.INC(Table21112164[True Rank],_xlfn.XLOOKUP(Table1624[[#This Row],[Name]],Table21112164[Name],Table21112164[True Rank],"DNP",0,1)),"DNP")</f>
        <v>0.56100000000000005</v>
      </c>
      <c r="K283" s="26" t="str">
        <f>IFERROR(_xlfn.PERCENTRANK.INC(Table2111216420[True Rank],_xlfn.XLOOKUP(Table1624[[#This Row],[Name]],Table2111216420[Name],Table2111216420[True Rank],"DNP",0,1)),"DNP")</f>
        <v>DNP</v>
      </c>
      <c r="L283" s="26" t="str">
        <f>IFERROR(_xlfn.PERCENTRANK.INC(Table211121642021[True Rank],_xlfn.XLOOKUP(Table1624[[#This Row],[Name]],Table211121642021[Name],Table211121642021[True Rank],"DNP",0,1)),"DNP")</f>
        <v>DNP</v>
      </c>
      <c r="M283" s="26" t="str">
        <f>IFERROR(_xlfn.PERCENTRANK.INC(Table21112164202122[True Rank],_xlfn.XLOOKUP(Table1624[[#This Row],[Name]],Table21112164202122[Name],Table21112164202122[True Rank],"DNP",0,1)),"DNP")</f>
        <v>DNP</v>
      </c>
      <c r="N283" s="26" t="str">
        <f>IFERROR(_xlfn.PERCENTRANK.INC(Table2111216420212223[True Rank],_xlfn.XLOOKUP(Table1624[[#This Row],[Name]],Table2111216420212223[Name],Table2111216420212223[True Rank],"DNP",0,1)),"DNP")</f>
        <v>DNP</v>
      </c>
      <c r="O283" s="26" t="str">
        <f>IFERROR(_xlfn.PERCENTRANK.INC(Table211121642021222325[True Rank],_xlfn.XLOOKUP(Table1624[[#This Row],[Name]],Table211121642021222325[Name],Table211121642021222325[True Rank],"DNP",0,1)),"DNP")</f>
        <v>DNP</v>
      </c>
      <c r="P283" s="26" t="str">
        <f>IFERROR(_xlfn.PERCENTRANK.INC(Table21112164202122232534[True Rank],_xlfn.XLOOKUP(Table1624[[#This Row],[Name]],Table21112164202122232534[Name],Table21112164202122232534[True Rank],"DNP",0,1)),"DNP")</f>
        <v>DNP</v>
      </c>
      <c r="Q2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spans="2:33">
      <c r="B284" t="str">
        <f>IFERROR(Table5[[#This Row],[Full name]],"")</f>
        <v>Ravekpal  Chahal</v>
      </c>
      <c r="C284" s="108">
        <f>IFERROR(AVERAGE(Table1624[[#This Row],[September 30, 2025]:[Column18]]),"N/A")</f>
        <v>0.70599999999999996</v>
      </c>
      <c r="D284" s="26" t="str">
        <f>IFERROR(_xlfn.PERCENTRANK.INC(Table4[True Rank],_xlfn.XLOOKUP(Table1624[[#This Row],[Name]],Table4[Name],Table4[True Rank],"DNP",0,1)),"DNP")</f>
        <v>DNP</v>
      </c>
      <c r="E284" s="26" t="str">
        <f>IFERROR(_xlfn.PERCENTRANK.INC(Table9[True Rank],_xlfn.XLOOKUP(Table1624[[#This Row],[Name]],Table9[Name],Table9[True Rank],"DNP",0,1)),"DNP")</f>
        <v>DNP</v>
      </c>
      <c r="F284" s="26" t="str">
        <f>IFERROR(_xlfn.PERCENTRANK.INC(Table18[True Rank],_xlfn.XLOOKUP(Table1624[[#This Row],[Name]],Table18[Name],Table18[True Rank],"DNP",0,1)),"DNP")</f>
        <v>DNP</v>
      </c>
      <c r="G284" s="26" t="str">
        <f>IFERROR(_xlfn.PERCENTRANK.INC(Table2[True Rank],_xlfn.XLOOKUP(Table1624[[#This Row],[Name]],Table2[Name],Table2[True Rank],"DNP",0,1)),"DNP")</f>
        <v>DNP</v>
      </c>
      <c r="H284" s="26" t="str">
        <f>IFERROR(_xlfn.PERCENTRANK.INC(Table211[True Rank],_xlfn.XLOOKUP(Table1624[[#This Row],[Name]],Table211[Name],Table211[True Rank],"DNP",0,1)),"DNP")</f>
        <v>DNP</v>
      </c>
      <c r="I284" s="26" t="str">
        <f>IFERROR(_xlfn.PERCENTRANK.INC(Table21112[True Rank],_xlfn.XLOOKUP(Table1624[[#This Row],[Name]],Table21112[Name],Table21112[True Rank],"DNP",0,1)),"DNP")</f>
        <v>DNP</v>
      </c>
      <c r="J284" s="26" t="str">
        <f>IFERROR(_xlfn.PERCENTRANK.INC(Table21112164[True Rank],_xlfn.XLOOKUP(Table1624[[#This Row],[Name]],Table21112164[Name],Table21112164[True Rank],"DNP",0,1)),"DNP")</f>
        <v>DNP</v>
      </c>
      <c r="K284" s="26" t="str">
        <f>IFERROR(_xlfn.PERCENTRANK.INC(Table2111216420[True Rank],_xlfn.XLOOKUP(Table1624[[#This Row],[Name]],Table2111216420[Name],Table2111216420[True Rank],"DNP",0,1)),"DNP")</f>
        <v>DNP</v>
      </c>
      <c r="L284" s="26" t="str">
        <f>IFERROR(_xlfn.PERCENTRANK.INC(Table211121642021[True Rank],_xlfn.XLOOKUP(Table1624[[#This Row],[Name]],Table211121642021[Name],Table211121642021[True Rank],"DNP",0,1)),"DNP")</f>
        <v>DNP</v>
      </c>
      <c r="M284" s="26" t="str">
        <f>IFERROR(_xlfn.PERCENTRANK.INC(Table21112164202122[True Rank],_xlfn.XLOOKUP(Table1624[[#This Row],[Name]],Table21112164202122[Name],Table21112164202122[True Rank],"DNP",0,1)),"DNP")</f>
        <v>DNP</v>
      </c>
      <c r="N284" s="26" t="str">
        <f>IFERROR(_xlfn.PERCENTRANK.INC(Table2111216420212223[True Rank],_xlfn.XLOOKUP(Table1624[[#This Row],[Name]],Table2111216420212223[Name],Table2111216420212223[True Rank],"DNP",0,1)),"DNP")</f>
        <v>DNP</v>
      </c>
      <c r="O284" s="26" t="str">
        <f>IFERROR(_xlfn.PERCENTRANK.INC(Table211121642021222325[True Rank],_xlfn.XLOOKUP(Table1624[[#This Row],[Name]],Table211121642021222325[Name],Table211121642021222325[True Rank],"DNP",0,1)),"DNP")</f>
        <v>DNP</v>
      </c>
      <c r="P284" s="26" t="str">
        <f>IFERROR(_xlfn.PERCENTRANK.INC(Table21112164202122232534[True Rank],_xlfn.XLOOKUP(Table1624[[#This Row],[Name]],Table21112164202122232534[Name],Table21112164202122232534[True Rank],"DNP",0,1)),"DNP")</f>
        <v>DNP</v>
      </c>
      <c r="Q284" s="26">
        <f>IFERROR(_xlfn.PERCENTRANK.INC(Table2111216420212223253435[True Rank],_xlfn.XLOOKUP(Table1624[[#This Row],[Name]],Table2111216420212223253435[Name],Table2111216420212223253435[True Rank],"DNP",0,1)),"DNP")</f>
        <v>0.70599999999999996</v>
      </c>
      <c r="R2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spans="2:33">
      <c r="B285" t="str">
        <f>IFERROR(Table5[[#This Row],[Full name]],"")</f>
        <v>Reid Giasson</v>
      </c>
      <c r="C285" s="108" t="str">
        <f>IFERROR(AVERAGE(Table1624[[#This Row],[September 30, 2025]:[Column18]]),"N/A")</f>
        <v>N/A</v>
      </c>
      <c r="D285" s="26" t="str">
        <f>IFERROR(_xlfn.PERCENTRANK.INC(Table4[True Rank],_xlfn.XLOOKUP(Table1624[[#This Row],[Name]],Table4[Name],Table4[True Rank],"DNP",0,1)),"DNP")</f>
        <v>DNP</v>
      </c>
      <c r="E285" s="26" t="str">
        <f>IFERROR(_xlfn.PERCENTRANK.INC(Table9[True Rank],_xlfn.XLOOKUP(Table1624[[#This Row],[Name]],Table9[Name],Table9[True Rank],"DNP",0,1)),"DNP")</f>
        <v>DNP</v>
      </c>
      <c r="F285" s="26" t="str">
        <f>IFERROR(_xlfn.PERCENTRANK.INC(Table18[True Rank],_xlfn.XLOOKUP(Table1624[[#This Row],[Name]],Table18[Name],Table18[True Rank],"DNP",0,1)),"DNP")</f>
        <v>DNP</v>
      </c>
      <c r="G285" s="26" t="str">
        <f>IFERROR(_xlfn.PERCENTRANK.INC(Table2[True Rank],_xlfn.XLOOKUP(Table1624[[#This Row],[Name]],Table2[Name],Table2[True Rank],"DNP",0,1)),"DNP")</f>
        <v>DNP</v>
      </c>
      <c r="H285" s="26" t="str">
        <f>IFERROR(_xlfn.PERCENTRANK.INC(Table211[True Rank],_xlfn.XLOOKUP(Table1624[[#This Row],[Name]],Table211[Name],Table211[True Rank],"DNP",0,1)),"DNP")</f>
        <v>DNP</v>
      </c>
      <c r="I285" s="26" t="str">
        <f>IFERROR(_xlfn.PERCENTRANK.INC(Table21112[True Rank],_xlfn.XLOOKUP(Table1624[[#This Row],[Name]],Table21112[Name],Table21112[True Rank],"DNP",0,1)),"DNP")</f>
        <v>DNP</v>
      </c>
      <c r="J285" s="26" t="str">
        <f>IFERROR(_xlfn.PERCENTRANK.INC(Table21112164[True Rank],_xlfn.XLOOKUP(Table1624[[#This Row],[Name]],Table21112164[Name],Table21112164[True Rank],"DNP",0,1)),"DNP")</f>
        <v>DNP</v>
      </c>
      <c r="K285" s="26" t="str">
        <f>IFERROR(_xlfn.PERCENTRANK.INC(Table2111216420[True Rank],_xlfn.XLOOKUP(Table1624[[#This Row],[Name]],Table2111216420[Name],Table2111216420[True Rank],"DNP",0,1)),"DNP")</f>
        <v>DNP</v>
      </c>
      <c r="L285" s="26" t="str">
        <f>IFERROR(_xlfn.PERCENTRANK.INC(Table211121642021[True Rank],_xlfn.XLOOKUP(Table1624[[#This Row],[Name]],Table211121642021[Name],Table211121642021[True Rank],"DNP",0,1)),"DNP")</f>
        <v>DNP</v>
      </c>
      <c r="M285" s="26" t="str">
        <f>IFERROR(_xlfn.PERCENTRANK.INC(Table21112164202122[True Rank],_xlfn.XLOOKUP(Table1624[[#This Row],[Name]],Table21112164202122[Name],Table21112164202122[True Rank],"DNP",0,1)),"DNP")</f>
        <v>DNP</v>
      </c>
      <c r="N285" s="26" t="str">
        <f>IFERROR(_xlfn.PERCENTRANK.INC(Table2111216420212223[True Rank],_xlfn.XLOOKUP(Table1624[[#This Row],[Name]],Table2111216420212223[Name],Table2111216420212223[True Rank],"DNP",0,1)),"DNP")</f>
        <v>DNP</v>
      </c>
      <c r="O285" s="26" t="str">
        <f>IFERROR(_xlfn.PERCENTRANK.INC(Table211121642021222325[True Rank],_xlfn.XLOOKUP(Table1624[[#This Row],[Name]],Table211121642021222325[Name],Table211121642021222325[True Rank],"DNP",0,1)),"DNP")</f>
        <v>DNP</v>
      </c>
      <c r="P285" s="26" t="str">
        <f>IFERROR(_xlfn.PERCENTRANK.INC(Table21112164202122232534[True Rank],_xlfn.XLOOKUP(Table1624[[#This Row],[Name]],Table21112164202122232534[Name],Table21112164202122232534[True Rank],"DNP",0,1)),"DNP")</f>
        <v>DNP</v>
      </c>
      <c r="Q2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spans="2:33">
      <c r="B286" t="str">
        <f>IFERROR(Table5[[#This Row],[Full name]],"")</f>
        <v>Richard Ge</v>
      </c>
      <c r="C286" s="108">
        <f>IFERROR(AVERAGE(Table1624[[#This Row],[September 30, 2025]:[Column18]]),"N/A")</f>
        <v>0.76100000000000012</v>
      </c>
      <c r="D286" s="26">
        <f>IFERROR(_xlfn.PERCENTRANK.INC(Table4[True Rank],_xlfn.XLOOKUP(Table1624[[#This Row],[Name]],Table4[Name],Table4[True Rank],"DNP",0,1)),"DNP")</f>
        <v>0.60499999999999998</v>
      </c>
      <c r="E286" s="26" t="str">
        <f>IFERROR(_xlfn.PERCENTRANK.INC(Table9[True Rank],_xlfn.XLOOKUP(Table1624[[#This Row],[Name]],Table9[Name],Table9[True Rank],"DNP",0,1)),"DNP")</f>
        <v>DNP</v>
      </c>
      <c r="F286" s="26">
        <f>IFERROR(_xlfn.PERCENTRANK.INC(Table18[True Rank],_xlfn.XLOOKUP(Table1624[[#This Row],[Name]],Table18[Name],Table18[True Rank],"DNP",0,1)),"DNP")</f>
        <v>0.75700000000000001</v>
      </c>
      <c r="G286" s="26" t="str">
        <f>IFERROR(_xlfn.PERCENTRANK.INC(Table2[True Rank],_xlfn.XLOOKUP(Table1624[[#This Row],[Name]],Table2[Name],Table2[True Rank],"DNP",0,1)),"DNP")</f>
        <v>DNP</v>
      </c>
      <c r="H286" s="26" t="str">
        <f>IFERROR(_xlfn.PERCENTRANK.INC(Table211[True Rank],_xlfn.XLOOKUP(Table1624[[#This Row],[Name]],Table211[Name],Table211[True Rank],"DNP",0,1)),"DNP")</f>
        <v>DNP</v>
      </c>
      <c r="I286" s="26" t="str">
        <f>IFERROR(_xlfn.PERCENTRANK.INC(Table21112[True Rank],_xlfn.XLOOKUP(Table1624[[#This Row],[Name]],Table21112[Name],Table21112[True Rank],"DNP",0,1)),"DNP")</f>
        <v>DNP</v>
      </c>
      <c r="J286" s="26">
        <f>IFERROR(_xlfn.PERCENTRANK.INC(Table21112164[True Rank],_xlfn.XLOOKUP(Table1624[[#This Row],[Name]],Table21112164[Name],Table21112164[True Rank],"DNP",0,1)),"DNP")</f>
        <v>0.92100000000000004</v>
      </c>
      <c r="K286" s="26" t="str">
        <f>IFERROR(_xlfn.PERCENTRANK.INC(Table2111216420[True Rank],_xlfn.XLOOKUP(Table1624[[#This Row],[Name]],Table2111216420[Name],Table2111216420[True Rank],"DNP",0,1)),"DNP")</f>
        <v>DNP</v>
      </c>
      <c r="L286" s="26" t="str">
        <f>IFERROR(_xlfn.PERCENTRANK.INC(Table211121642021[True Rank],_xlfn.XLOOKUP(Table1624[[#This Row],[Name]],Table211121642021[Name],Table211121642021[True Rank],"DNP",0,1)),"DNP")</f>
        <v>DNP</v>
      </c>
      <c r="M286" s="26" t="str">
        <f>IFERROR(_xlfn.PERCENTRANK.INC(Table21112164202122[True Rank],_xlfn.XLOOKUP(Table1624[[#This Row],[Name]],Table21112164202122[Name],Table21112164202122[True Rank],"DNP",0,1)),"DNP")</f>
        <v>DNP</v>
      </c>
      <c r="N286" s="26" t="str">
        <f>IFERROR(_xlfn.PERCENTRANK.INC(Table2111216420212223[True Rank],_xlfn.XLOOKUP(Table1624[[#This Row],[Name]],Table2111216420212223[Name],Table2111216420212223[True Rank],"DNP",0,1)),"DNP")</f>
        <v>DNP</v>
      </c>
      <c r="O286" s="26" t="str">
        <f>IFERROR(_xlfn.PERCENTRANK.INC(Table211121642021222325[True Rank],_xlfn.XLOOKUP(Table1624[[#This Row],[Name]],Table211121642021222325[Name],Table211121642021222325[True Rank],"DNP",0,1)),"DNP")</f>
        <v>DNP</v>
      </c>
      <c r="P286" s="26" t="str">
        <f>IFERROR(_xlfn.PERCENTRANK.INC(Table21112164202122232534[True Rank],_xlfn.XLOOKUP(Table1624[[#This Row],[Name]],Table21112164202122232534[Name],Table21112164202122232534[True Rank],"DNP",0,1)),"DNP")</f>
        <v>DNP</v>
      </c>
      <c r="Q28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spans="2:33">
      <c r="B287" t="str">
        <f>IFERROR(Table5[[#This Row],[Full name]],"")</f>
        <v>Richard Sonibare</v>
      </c>
      <c r="C287" s="108">
        <f>IFERROR(AVERAGE(Table1624[[#This Row],[September 30, 2025]:[Column18]]),"N/A")</f>
        <v>0.01</v>
      </c>
      <c r="D287" s="26" t="str">
        <f>IFERROR(_xlfn.PERCENTRANK.INC(Table4[True Rank],_xlfn.XLOOKUP(Table1624[[#This Row],[Name]],Table4[Name],Table4[True Rank],"DNP",0,1)),"DNP")</f>
        <v>DNP</v>
      </c>
      <c r="E287" s="26" t="str">
        <f>IFERROR(_xlfn.PERCENTRANK.INC(Table9[True Rank],_xlfn.XLOOKUP(Table1624[[#This Row],[Name]],Table9[Name],Table9[True Rank],"DNP",0,1)),"DNP")</f>
        <v>DNP</v>
      </c>
      <c r="F287" s="26">
        <f>IFERROR(_xlfn.PERCENTRANK.INC(Table18[True Rank],_xlfn.XLOOKUP(Table1624[[#This Row],[Name]],Table18[Name],Table18[True Rank],"DNP",0,1)),"DNP")</f>
        <v>0.01</v>
      </c>
      <c r="G287" s="26" t="str">
        <f>IFERROR(_xlfn.PERCENTRANK.INC(Table2[True Rank],_xlfn.XLOOKUP(Table1624[[#This Row],[Name]],Table2[Name],Table2[True Rank],"DNP",0,1)),"DNP")</f>
        <v>DNP</v>
      </c>
      <c r="H287" s="26" t="str">
        <f>IFERROR(_xlfn.PERCENTRANK.INC(Table211[True Rank],_xlfn.XLOOKUP(Table1624[[#This Row],[Name]],Table211[Name],Table211[True Rank],"DNP",0,1)),"DNP")</f>
        <v>DNP</v>
      </c>
      <c r="I287" s="26" t="str">
        <f>IFERROR(_xlfn.PERCENTRANK.INC(Table21112[True Rank],_xlfn.XLOOKUP(Table1624[[#This Row],[Name]],Table21112[Name],Table21112[True Rank],"DNP",0,1)),"DNP")</f>
        <v>DNP</v>
      </c>
      <c r="J287" s="26" t="str">
        <f>IFERROR(_xlfn.PERCENTRANK.INC(Table21112164[True Rank],_xlfn.XLOOKUP(Table1624[[#This Row],[Name]],Table21112164[Name],Table21112164[True Rank],"DNP",0,1)),"DNP")</f>
        <v>DNP</v>
      </c>
      <c r="K287" s="26" t="str">
        <f>IFERROR(_xlfn.PERCENTRANK.INC(Table2111216420[True Rank],_xlfn.XLOOKUP(Table1624[[#This Row],[Name]],Table2111216420[Name],Table2111216420[True Rank],"DNP",0,1)),"DNP")</f>
        <v>DNP</v>
      </c>
      <c r="L287" s="26" t="str">
        <f>IFERROR(_xlfn.PERCENTRANK.INC(Table211121642021[True Rank],_xlfn.XLOOKUP(Table1624[[#This Row],[Name]],Table211121642021[Name],Table211121642021[True Rank],"DNP",0,1)),"DNP")</f>
        <v>DNP</v>
      </c>
      <c r="M287" s="26" t="str">
        <f>IFERROR(_xlfn.PERCENTRANK.INC(Table21112164202122[True Rank],_xlfn.XLOOKUP(Table1624[[#This Row],[Name]],Table21112164202122[Name],Table21112164202122[True Rank],"DNP",0,1)),"DNP")</f>
        <v>DNP</v>
      </c>
      <c r="N287" s="26" t="str">
        <f>IFERROR(_xlfn.PERCENTRANK.INC(Table2111216420212223[True Rank],_xlfn.XLOOKUP(Table1624[[#This Row],[Name]],Table2111216420212223[Name],Table2111216420212223[True Rank],"DNP",0,1)),"DNP")</f>
        <v>DNP</v>
      </c>
      <c r="O287" s="26" t="str">
        <f>IFERROR(_xlfn.PERCENTRANK.INC(Table211121642021222325[True Rank],_xlfn.XLOOKUP(Table1624[[#This Row],[Name]],Table211121642021222325[Name],Table211121642021222325[True Rank],"DNP",0,1)),"DNP")</f>
        <v>DNP</v>
      </c>
      <c r="P287" s="26" t="str">
        <f>IFERROR(_xlfn.PERCENTRANK.INC(Table21112164202122232534[True Rank],_xlfn.XLOOKUP(Table1624[[#This Row],[Name]],Table21112164202122232534[Name],Table21112164202122232534[True Rank],"DNP",0,1)),"DNP")</f>
        <v>DNP</v>
      </c>
      <c r="Q28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spans="2:33">
      <c r="B288" t="str">
        <f>IFERROR(Table5[[#This Row],[Full name]],"")</f>
        <v>Rishi Bhaskara</v>
      </c>
      <c r="C288" s="108">
        <f>IFERROR(AVERAGE(Table1624[[#This Row],[September 30, 2025]:[Column18]]),"N/A")</f>
        <v>0.60499999999999998</v>
      </c>
      <c r="D288" s="26">
        <f>IFERROR(_xlfn.PERCENTRANK.INC(Table4[True Rank],_xlfn.XLOOKUP(Table1624[[#This Row],[Name]],Table4[Name],Table4[True Rank],"DNP",0,1)),"DNP")</f>
        <v>0.60499999999999998</v>
      </c>
      <c r="E288" s="26" t="str">
        <f>IFERROR(_xlfn.PERCENTRANK.INC(Table9[True Rank],_xlfn.XLOOKUP(Table1624[[#This Row],[Name]],Table9[Name],Table9[True Rank],"DNP",0,1)),"DNP")</f>
        <v>DNP</v>
      </c>
      <c r="F288" s="26" t="str">
        <f>IFERROR(_xlfn.PERCENTRANK.INC(Table18[True Rank],_xlfn.XLOOKUP(Table1624[[#This Row],[Name]],Table18[Name],Table18[True Rank],"DNP",0,1)),"DNP")</f>
        <v>DNP</v>
      </c>
      <c r="G288" s="26" t="str">
        <f>IFERROR(_xlfn.PERCENTRANK.INC(Table2[True Rank],_xlfn.XLOOKUP(Table1624[[#This Row],[Name]],Table2[Name],Table2[True Rank],"DNP",0,1)),"DNP")</f>
        <v>DNP</v>
      </c>
      <c r="H288" s="26" t="str">
        <f>IFERROR(_xlfn.PERCENTRANK.INC(Table211[True Rank],_xlfn.XLOOKUP(Table1624[[#This Row],[Name]],Table211[Name],Table211[True Rank],"DNP",0,1)),"DNP")</f>
        <v>DNP</v>
      </c>
      <c r="I288" s="26" t="str">
        <f>IFERROR(_xlfn.PERCENTRANK.INC(Table21112[True Rank],_xlfn.XLOOKUP(Table1624[[#This Row],[Name]],Table21112[Name],Table21112[True Rank],"DNP",0,1)),"DNP")</f>
        <v>DNP</v>
      </c>
      <c r="J288" s="26" t="str">
        <f>IFERROR(_xlfn.PERCENTRANK.INC(Table21112164[True Rank],_xlfn.XLOOKUP(Table1624[[#This Row],[Name]],Table21112164[Name],Table21112164[True Rank],"DNP",0,1)),"DNP")</f>
        <v>DNP</v>
      </c>
      <c r="K288" s="26" t="str">
        <f>IFERROR(_xlfn.PERCENTRANK.INC(Table2111216420[True Rank],_xlfn.XLOOKUP(Table1624[[#This Row],[Name]],Table2111216420[Name],Table2111216420[True Rank],"DNP",0,1)),"DNP")</f>
        <v>DNP</v>
      </c>
      <c r="L288" s="26" t="str">
        <f>IFERROR(_xlfn.PERCENTRANK.INC(Table211121642021[True Rank],_xlfn.XLOOKUP(Table1624[[#This Row],[Name]],Table211121642021[Name],Table211121642021[True Rank],"DNP",0,1)),"DNP")</f>
        <v>DNP</v>
      </c>
      <c r="M288" s="26" t="str">
        <f>IFERROR(_xlfn.PERCENTRANK.INC(Table21112164202122[True Rank],_xlfn.XLOOKUP(Table1624[[#This Row],[Name]],Table21112164202122[Name],Table21112164202122[True Rank],"DNP",0,1)),"DNP")</f>
        <v>DNP</v>
      </c>
      <c r="N288" s="26" t="str">
        <f>IFERROR(_xlfn.PERCENTRANK.INC(Table2111216420212223[True Rank],_xlfn.XLOOKUP(Table1624[[#This Row],[Name]],Table2111216420212223[Name],Table2111216420212223[True Rank],"DNP",0,1)),"DNP")</f>
        <v>DNP</v>
      </c>
      <c r="O288" s="26" t="str">
        <f>IFERROR(_xlfn.PERCENTRANK.INC(Table211121642021222325[True Rank],_xlfn.XLOOKUP(Table1624[[#This Row],[Name]],Table211121642021222325[Name],Table211121642021222325[True Rank],"DNP",0,1)),"DNP")</f>
        <v>DNP</v>
      </c>
      <c r="P288" s="26" t="str">
        <f>IFERROR(_xlfn.PERCENTRANK.INC(Table21112164202122232534[True Rank],_xlfn.XLOOKUP(Table1624[[#This Row],[Name]],Table21112164202122232534[Name],Table21112164202122232534[True Rank],"DNP",0,1)),"DNP")</f>
        <v>DNP</v>
      </c>
      <c r="Q2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spans="2:33">
      <c r="B289" t="str">
        <f>IFERROR(Table5[[#This Row],[Full name]],"")</f>
        <v>River Jiang</v>
      </c>
      <c r="C289" s="108">
        <f>IFERROR(AVERAGE(Table1624[[#This Row],[September 30, 2025]:[Column18]]),"N/A")</f>
        <v>0.31485714285714284</v>
      </c>
      <c r="D289" s="26">
        <f>IFERROR(_xlfn.PERCENTRANK.INC(Table4[True Rank],_xlfn.XLOOKUP(Table1624[[#This Row],[Name]],Table4[Name],Table4[True Rank],"DNP",0,1)),"DNP")</f>
        <v>0.33</v>
      </c>
      <c r="E289" s="26">
        <f>IFERROR(_xlfn.PERCENTRANK.INC(Table9[True Rank],_xlfn.XLOOKUP(Table1624[[#This Row],[Name]],Table9[Name],Table9[True Rank],"DNP",0,1)),"DNP")</f>
        <v>0.08</v>
      </c>
      <c r="F289" s="26">
        <f>IFERROR(_xlfn.PERCENTRANK.INC(Table18[True Rank],_xlfn.XLOOKUP(Table1624[[#This Row],[Name]],Table18[Name],Table18[True Rank],"DNP",0,1)),"DNP")</f>
        <v>0.30299999999999999</v>
      </c>
      <c r="G289" s="26" t="str">
        <f>IFERROR(_xlfn.PERCENTRANK.INC(Table2[True Rank],_xlfn.XLOOKUP(Table1624[[#This Row],[Name]],Table2[Name],Table2[True Rank],"DNP",0,1)),"DNP")</f>
        <v>DNP</v>
      </c>
      <c r="H289" s="26">
        <f>IFERROR(_xlfn.PERCENTRANK.INC(Table211[True Rank],_xlfn.XLOOKUP(Table1624[[#This Row],[Name]],Table211[Name],Table211[True Rank],"DNP",0,1)),"DNP")</f>
        <v>0.14000000000000001</v>
      </c>
      <c r="I289" s="26">
        <f>IFERROR(_xlfn.PERCENTRANK.INC(Table21112[True Rank],_xlfn.XLOOKUP(Table1624[[#This Row],[Name]],Table21112[Name],Table21112[True Rank],"DNP",0,1)),"DNP")</f>
        <v>0.24299999999999999</v>
      </c>
      <c r="J289" s="26">
        <f>IFERROR(_xlfn.PERCENTRANK.INC(Table21112164[True Rank],_xlfn.XLOOKUP(Table1624[[#This Row],[Name]],Table21112164[Name],Table21112164[True Rank],"DNP",0,1)),"DNP")</f>
        <v>0.61699999999999999</v>
      </c>
      <c r="K289" s="26">
        <f>IFERROR(_xlfn.PERCENTRANK.INC(Table2111216420[True Rank],_xlfn.XLOOKUP(Table1624[[#This Row],[Name]],Table2111216420[Name],Table2111216420[True Rank],"DNP",0,1)),"DNP")</f>
        <v>2.1000000000000001E-2</v>
      </c>
      <c r="L289" s="26">
        <f>IFERROR(_xlfn.PERCENTRANK.INC(Table211121642021[True Rank],_xlfn.XLOOKUP(Table1624[[#This Row],[Name]],Table211121642021[Name],Table211121642021[True Rank],"DNP",0,1)),"DNP")</f>
        <v>0.26800000000000002</v>
      </c>
      <c r="M289" s="26">
        <f>IFERROR(_xlfn.PERCENTRANK.INC(Table21112164202122[True Rank],_xlfn.XLOOKUP(Table1624[[#This Row],[Name]],Table21112164202122[Name],Table21112164202122[True Rank],"DNP",0,1)),"DNP")</f>
        <v>0.68100000000000005</v>
      </c>
      <c r="N289" s="26">
        <f>IFERROR(_xlfn.PERCENTRANK.INC(Table2111216420212223[True Rank],_xlfn.XLOOKUP(Table1624[[#This Row],[Name]],Table2111216420212223[Name],Table2111216420212223[True Rank],"DNP",0,1)),"DNP")</f>
        <v>0.34</v>
      </c>
      <c r="O289" s="26" t="str">
        <f>IFERROR(_xlfn.PERCENTRANK.INC(Table211121642021222325[True Rank],_xlfn.XLOOKUP(Table1624[[#This Row],[Name]],Table211121642021222325[Name],Table211121642021222325[True Rank],"DNP",0,1)),"DNP")</f>
        <v>DNP</v>
      </c>
      <c r="P289" s="26">
        <f>IFERROR(_xlfn.PERCENTRANK.INC(Table21112164202122232534[True Rank],_xlfn.XLOOKUP(Table1624[[#This Row],[Name]],Table21112164202122232534[Name],Table21112164202122232534[True Rank],"DNP",0,1)),"DNP")</f>
        <v>0.46100000000000002</v>
      </c>
      <c r="Q289" s="26">
        <f>IFERROR(_xlfn.PERCENTRANK.INC(Table2111216420212223253435[True Rank],_xlfn.XLOOKUP(Table1624[[#This Row],[Name]],Table2111216420212223253435[Name],Table2111216420212223253435[True Rank],"DNP",0,1)),"DNP")</f>
        <v>0.8</v>
      </c>
      <c r="R289" s="26">
        <f>IFERROR(_xlfn.PERCENTRANK.INC(Table211121642021222325343536[True Rank],_xlfn.XLOOKUP(Table1624[[#This Row],[Name]],Table211121642021222325343536[Name],Table211121642021222325343536[True Rank],"DNP",0,1)),"DNP")</f>
        <v>0.106</v>
      </c>
      <c r="S2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89" s="26">
        <f>IFERROR(_xlfn.PERCENTRANK.INC(Table2111216420212223253435363738[True Rank],_xlfn.XLOOKUP(Table1624[[#This Row],[Name]],Table2111216420212223253435363738[Name],Table2111216420212223253435363738[True Rank],"DNP",0,1)),"DNP")</f>
        <v>1.7999999999999999E-2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spans="2:33">
      <c r="B290" t="str">
        <f>IFERROR(Table5[[#This Row],[Full name]],"")</f>
        <v>Robert Tomicic II</v>
      </c>
      <c r="C290" s="108">
        <f>IFERROR(AVERAGE(Table1624[[#This Row],[September 30, 2025]:[Column18]]),"N/A")</f>
        <v>0.41633333333333328</v>
      </c>
      <c r="D290" s="26">
        <f>IFERROR(_xlfn.PERCENTRANK.INC(Table4[True Rank],_xlfn.XLOOKUP(Table1624[[#This Row],[Name]],Table4[Name],Table4[True Rank],"DNP",0,1)),"DNP")</f>
        <v>0.60499999999999998</v>
      </c>
      <c r="E290" s="26">
        <f>IFERROR(_xlfn.PERCENTRANK.INC(Table9[True Rank],_xlfn.XLOOKUP(Table1624[[#This Row],[Name]],Table9[Name],Table9[True Rank],"DNP",0,1)),"DNP")</f>
        <v>0.28699999999999998</v>
      </c>
      <c r="F290" s="26" t="str">
        <f>IFERROR(_xlfn.PERCENTRANK.INC(Table18[True Rank],_xlfn.XLOOKUP(Table1624[[#This Row],[Name]],Table18[Name],Table18[True Rank],"DNP",0,1)),"DNP")</f>
        <v>DNP</v>
      </c>
      <c r="G290" s="26">
        <f>IFERROR(_xlfn.PERCENTRANK.INC(Table2[True Rank],_xlfn.XLOOKUP(Table1624[[#This Row],[Name]],Table2[Name],Table2[True Rank],"DNP",0,1)),"DNP")</f>
        <v>0.35699999999999998</v>
      </c>
      <c r="H290" s="26" t="str">
        <f>IFERROR(_xlfn.PERCENTRANK.INC(Table211[True Rank],_xlfn.XLOOKUP(Table1624[[#This Row],[Name]],Table211[Name],Table211[True Rank],"DNP",0,1)),"DNP")</f>
        <v>DNP</v>
      </c>
      <c r="I290" s="26" t="str">
        <f>IFERROR(_xlfn.PERCENTRANK.INC(Table21112[True Rank],_xlfn.XLOOKUP(Table1624[[#This Row],[Name]],Table21112[Name],Table21112[True Rank],"DNP",0,1)),"DNP")</f>
        <v>DNP</v>
      </c>
      <c r="J290" s="26" t="str">
        <f>IFERROR(_xlfn.PERCENTRANK.INC(Table21112164[True Rank],_xlfn.XLOOKUP(Table1624[[#This Row],[Name]],Table21112164[Name],Table21112164[True Rank],"DNP",0,1)),"DNP")</f>
        <v>DNP</v>
      </c>
      <c r="K290" s="26" t="str">
        <f>IFERROR(_xlfn.PERCENTRANK.INC(Table2111216420[True Rank],_xlfn.XLOOKUP(Table1624[[#This Row],[Name]],Table2111216420[Name],Table2111216420[True Rank],"DNP",0,1)),"DNP")</f>
        <v>DNP</v>
      </c>
      <c r="L290" s="26" t="str">
        <f>IFERROR(_xlfn.PERCENTRANK.INC(Table211121642021[True Rank],_xlfn.XLOOKUP(Table1624[[#This Row],[Name]],Table211121642021[Name],Table211121642021[True Rank],"DNP",0,1)),"DNP")</f>
        <v>DNP</v>
      </c>
      <c r="M290" s="26" t="str">
        <f>IFERROR(_xlfn.PERCENTRANK.INC(Table21112164202122[True Rank],_xlfn.XLOOKUP(Table1624[[#This Row],[Name]],Table21112164202122[Name],Table21112164202122[True Rank],"DNP",0,1)),"DNP")</f>
        <v>DNP</v>
      </c>
      <c r="N290" s="26" t="str">
        <f>IFERROR(_xlfn.PERCENTRANK.INC(Table2111216420212223[True Rank],_xlfn.XLOOKUP(Table1624[[#This Row],[Name]],Table2111216420212223[Name],Table2111216420212223[True Rank],"DNP",0,1)),"DNP")</f>
        <v>DNP</v>
      </c>
      <c r="O290" s="26" t="str">
        <f>IFERROR(_xlfn.PERCENTRANK.INC(Table211121642021222325[True Rank],_xlfn.XLOOKUP(Table1624[[#This Row],[Name]],Table211121642021222325[Name],Table211121642021222325[True Rank],"DNP",0,1)),"DNP")</f>
        <v>DNP</v>
      </c>
      <c r="P290" s="26" t="str">
        <f>IFERROR(_xlfn.PERCENTRANK.INC(Table21112164202122232534[True Rank],_xlfn.XLOOKUP(Table1624[[#This Row],[Name]],Table21112164202122232534[Name],Table21112164202122232534[True Rank],"DNP",0,1)),"DNP")</f>
        <v>DNP</v>
      </c>
      <c r="Q2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spans="2:33">
      <c r="B291" t="str">
        <f>IFERROR(Table5[[#This Row],[Full name]],"")</f>
        <v>Rocco Le Donne</v>
      </c>
      <c r="C291" s="108" t="str">
        <f>IFERROR(AVERAGE(Table1624[[#This Row],[September 30, 2025]:[Column18]]),"N/A")</f>
        <v>N/A</v>
      </c>
      <c r="D291" s="26" t="str">
        <f>IFERROR(_xlfn.PERCENTRANK.INC(Table4[True Rank],_xlfn.XLOOKUP(Table1624[[#This Row],[Name]],Table4[Name],Table4[True Rank],"DNP",0,1)),"DNP")</f>
        <v>DNP</v>
      </c>
      <c r="E291" s="26" t="str">
        <f>IFERROR(_xlfn.PERCENTRANK.INC(Table9[True Rank],_xlfn.XLOOKUP(Table1624[[#This Row],[Name]],Table9[Name],Table9[True Rank],"DNP",0,1)),"DNP")</f>
        <v>DNP</v>
      </c>
      <c r="F291" s="26" t="str">
        <f>IFERROR(_xlfn.PERCENTRANK.INC(Table18[True Rank],_xlfn.XLOOKUP(Table1624[[#This Row],[Name]],Table18[Name],Table18[True Rank],"DNP",0,1)),"DNP")</f>
        <v>DNP</v>
      </c>
      <c r="G291" s="26" t="str">
        <f>IFERROR(_xlfn.PERCENTRANK.INC(Table2[True Rank],_xlfn.XLOOKUP(Table1624[[#This Row],[Name]],Table2[Name],Table2[True Rank],"DNP",0,1)),"DNP")</f>
        <v>DNP</v>
      </c>
      <c r="H291" s="26" t="str">
        <f>IFERROR(_xlfn.PERCENTRANK.INC(Table211[True Rank],_xlfn.XLOOKUP(Table1624[[#This Row],[Name]],Table211[Name],Table211[True Rank],"DNP",0,1)),"DNP")</f>
        <v>DNP</v>
      </c>
      <c r="I291" s="26" t="str">
        <f>IFERROR(_xlfn.PERCENTRANK.INC(Table21112[True Rank],_xlfn.XLOOKUP(Table1624[[#This Row],[Name]],Table21112[Name],Table21112[True Rank],"DNP",0,1)),"DNP")</f>
        <v>DNP</v>
      </c>
      <c r="J291" s="26" t="str">
        <f>IFERROR(_xlfn.PERCENTRANK.INC(Table21112164[True Rank],_xlfn.XLOOKUP(Table1624[[#This Row],[Name]],Table21112164[Name],Table21112164[True Rank],"DNP",0,1)),"DNP")</f>
        <v>DNP</v>
      </c>
      <c r="K291" s="26" t="str">
        <f>IFERROR(_xlfn.PERCENTRANK.INC(Table2111216420[True Rank],_xlfn.XLOOKUP(Table1624[[#This Row],[Name]],Table2111216420[Name],Table2111216420[True Rank],"DNP",0,1)),"DNP")</f>
        <v>DNP</v>
      </c>
      <c r="L291" s="26" t="str">
        <f>IFERROR(_xlfn.PERCENTRANK.INC(Table211121642021[True Rank],_xlfn.XLOOKUP(Table1624[[#This Row],[Name]],Table211121642021[Name],Table211121642021[True Rank],"DNP",0,1)),"DNP")</f>
        <v>DNP</v>
      </c>
      <c r="M291" s="26" t="str">
        <f>IFERROR(_xlfn.PERCENTRANK.INC(Table21112164202122[True Rank],_xlfn.XLOOKUP(Table1624[[#This Row],[Name]],Table21112164202122[Name],Table21112164202122[True Rank],"DNP",0,1)),"DNP")</f>
        <v>DNP</v>
      </c>
      <c r="N291" s="26" t="str">
        <f>IFERROR(_xlfn.PERCENTRANK.INC(Table2111216420212223[True Rank],_xlfn.XLOOKUP(Table1624[[#This Row],[Name]],Table2111216420212223[Name],Table2111216420212223[True Rank],"DNP",0,1)),"DNP")</f>
        <v>DNP</v>
      </c>
      <c r="O291" s="26" t="str">
        <f>IFERROR(_xlfn.PERCENTRANK.INC(Table211121642021222325[True Rank],_xlfn.XLOOKUP(Table1624[[#This Row],[Name]],Table211121642021222325[Name],Table211121642021222325[True Rank],"DNP",0,1)),"DNP")</f>
        <v>DNP</v>
      </c>
      <c r="P291" s="26" t="str">
        <f>IFERROR(_xlfn.PERCENTRANK.INC(Table21112164202122232534[True Rank],_xlfn.XLOOKUP(Table1624[[#This Row],[Name]],Table21112164202122232534[Name],Table21112164202122232534[True Rank],"DNP",0,1)),"DNP")</f>
        <v>DNP</v>
      </c>
      <c r="Q29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spans="2:33">
      <c r="B292" t="str">
        <f>IFERROR(Table5[[#This Row],[Full name]],"")</f>
        <v>Rohan Mehta</v>
      </c>
      <c r="C292" s="108">
        <f>IFERROR(AVERAGE(Table1624[[#This Row],[September 30, 2025]:[Column18]]),"N/A")</f>
        <v>0.80600000000000005</v>
      </c>
      <c r="D292" s="26" t="str">
        <f>IFERROR(_xlfn.PERCENTRANK.INC(Table4[True Rank],_xlfn.XLOOKUP(Table1624[[#This Row],[Name]],Table4[Name],Table4[True Rank],"DNP",0,1)),"DNP")</f>
        <v>DNP</v>
      </c>
      <c r="E292" s="26" t="str">
        <f>IFERROR(_xlfn.PERCENTRANK.INC(Table9[True Rank],_xlfn.XLOOKUP(Table1624[[#This Row],[Name]],Table9[Name],Table9[True Rank],"DNP",0,1)),"DNP")</f>
        <v>DNP</v>
      </c>
      <c r="F292" s="26" t="str">
        <f>IFERROR(_xlfn.PERCENTRANK.INC(Table18[True Rank],_xlfn.XLOOKUP(Table1624[[#This Row],[Name]],Table18[Name],Table18[True Rank],"DNP",0,1)),"DNP")</f>
        <v>DNP</v>
      </c>
      <c r="G292" s="26" t="str">
        <f>IFERROR(_xlfn.PERCENTRANK.INC(Table2[True Rank],_xlfn.XLOOKUP(Table1624[[#This Row],[Name]],Table2[Name],Table2[True Rank],"DNP",0,1)),"DNP")</f>
        <v>DNP</v>
      </c>
      <c r="H292" s="26" t="str">
        <f>IFERROR(_xlfn.PERCENTRANK.INC(Table211[True Rank],_xlfn.XLOOKUP(Table1624[[#This Row],[Name]],Table211[Name],Table211[True Rank],"DNP",0,1)),"DNP")</f>
        <v>DNP</v>
      </c>
      <c r="I292" s="26" t="str">
        <f>IFERROR(_xlfn.PERCENTRANK.INC(Table21112[True Rank],_xlfn.XLOOKUP(Table1624[[#This Row],[Name]],Table21112[Name],Table21112[True Rank],"DNP",0,1)),"DNP")</f>
        <v>DNP</v>
      </c>
      <c r="J292" s="26" t="str">
        <f>IFERROR(_xlfn.PERCENTRANK.INC(Table21112164[True Rank],_xlfn.XLOOKUP(Table1624[[#This Row],[Name]],Table21112164[Name],Table21112164[True Rank],"DNP",0,1)),"DNP")</f>
        <v>DNP</v>
      </c>
      <c r="K292" s="26" t="str">
        <f>IFERROR(_xlfn.PERCENTRANK.INC(Table2111216420[True Rank],_xlfn.XLOOKUP(Table1624[[#This Row],[Name]],Table2111216420[Name],Table2111216420[True Rank],"DNP",0,1)),"DNP")</f>
        <v>DNP</v>
      </c>
      <c r="L292" s="26">
        <f>IFERROR(_xlfn.PERCENTRANK.INC(Table211121642021[True Rank],_xlfn.XLOOKUP(Table1624[[#This Row],[Name]],Table211121642021[Name],Table211121642021[True Rank],"DNP",0,1)),"DNP")</f>
        <v>0.80600000000000005</v>
      </c>
      <c r="M292" s="26" t="str">
        <f>IFERROR(_xlfn.PERCENTRANK.INC(Table21112164202122[True Rank],_xlfn.XLOOKUP(Table1624[[#This Row],[Name]],Table21112164202122[Name],Table21112164202122[True Rank],"DNP",0,1)),"DNP")</f>
        <v>DNP</v>
      </c>
      <c r="N292" s="26" t="str">
        <f>IFERROR(_xlfn.PERCENTRANK.INC(Table2111216420212223[True Rank],_xlfn.XLOOKUP(Table1624[[#This Row],[Name]],Table2111216420212223[Name],Table2111216420212223[True Rank],"DNP",0,1)),"DNP")</f>
        <v>DNP</v>
      </c>
      <c r="O292" s="26" t="str">
        <f>IFERROR(_xlfn.PERCENTRANK.INC(Table211121642021222325[True Rank],_xlfn.XLOOKUP(Table1624[[#This Row],[Name]],Table211121642021222325[Name],Table211121642021222325[True Rank],"DNP",0,1)),"DNP")</f>
        <v>DNP</v>
      </c>
      <c r="P292" s="26" t="str">
        <f>IFERROR(_xlfn.PERCENTRANK.INC(Table21112164202122232534[True Rank],_xlfn.XLOOKUP(Table1624[[#This Row],[Name]],Table21112164202122232534[Name],Table21112164202122232534[True Rank],"DNP",0,1)),"DNP")</f>
        <v>DNP</v>
      </c>
      <c r="Q29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spans="2:33">
      <c r="B293" t="str">
        <f>IFERROR(Table5[[#This Row],[Full name]],"")</f>
        <v>Rohum Zaman</v>
      </c>
      <c r="C293" s="108" t="str">
        <f>IFERROR(AVERAGE(Table1624[[#This Row],[September 30, 2025]:[Column18]]),"N/A")</f>
        <v>N/A</v>
      </c>
      <c r="D293" s="26" t="str">
        <f>IFERROR(_xlfn.PERCENTRANK.INC(Table4[True Rank],_xlfn.XLOOKUP(Table1624[[#This Row],[Name]],Table4[Name],Table4[True Rank],"DNP",0,1)),"DNP")</f>
        <v>DNP</v>
      </c>
      <c r="E293" s="26" t="str">
        <f>IFERROR(_xlfn.PERCENTRANK.INC(Table9[True Rank],_xlfn.XLOOKUP(Table1624[[#This Row],[Name]],Table9[Name],Table9[True Rank],"DNP",0,1)),"DNP")</f>
        <v>DNP</v>
      </c>
      <c r="F293" s="26" t="str">
        <f>IFERROR(_xlfn.PERCENTRANK.INC(Table18[True Rank],_xlfn.XLOOKUP(Table1624[[#This Row],[Name]],Table18[Name],Table18[True Rank],"DNP",0,1)),"DNP")</f>
        <v>DNP</v>
      </c>
      <c r="G293" s="26" t="str">
        <f>IFERROR(_xlfn.PERCENTRANK.INC(Table2[True Rank],_xlfn.XLOOKUP(Table1624[[#This Row],[Name]],Table2[Name],Table2[True Rank],"DNP",0,1)),"DNP")</f>
        <v>DNP</v>
      </c>
      <c r="H293" s="26" t="str">
        <f>IFERROR(_xlfn.PERCENTRANK.INC(Table211[True Rank],_xlfn.XLOOKUP(Table1624[[#This Row],[Name]],Table211[Name],Table211[True Rank],"DNP",0,1)),"DNP")</f>
        <v>DNP</v>
      </c>
      <c r="I293" s="26" t="str">
        <f>IFERROR(_xlfn.PERCENTRANK.INC(Table21112[True Rank],_xlfn.XLOOKUP(Table1624[[#This Row],[Name]],Table21112[Name],Table21112[True Rank],"DNP",0,1)),"DNP")</f>
        <v>DNP</v>
      </c>
      <c r="J293" s="26" t="str">
        <f>IFERROR(_xlfn.PERCENTRANK.INC(Table21112164[True Rank],_xlfn.XLOOKUP(Table1624[[#This Row],[Name]],Table21112164[Name],Table21112164[True Rank],"DNP",0,1)),"DNP")</f>
        <v>DNP</v>
      </c>
      <c r="K293" s="26" t="str">
        <f>IFERROR(_xlfn.PERCENTRANK.INC(Table2111216420[True Rank],_xlfn.XLOOKUP(Table1624[[#This Row],[Name]],Table2111216420[Name],Table2111216420[True Rank],"DNP",0,1)),"DNP")</f>
        <v>DNP</v>
      </c>
      <c r="L293" s="26" t="str">
        <f>IFERROR(_xlfn.PERCENTRANK.INC(Table211121642021[True Rank],_xlfn.XLOOKUP(Table1624[[#This Row],[Name]],Table211121642021[Name],Table211121642021[True Rank],"DNP",0,1)),"DNP")</f>
        <v>DNP</v>
      </c>
      <c r="M293" s="26" t="str">
        <f>IFERROR(_xlfn.PERCENTRANK.INC(Table21112164202122[True Rank],_xlfn.XLOOKUP(Table1624[[#This Row],[Name]],Table21112164202122[Name],Table21112164202122[True Rank],"DNP",0,1)),"DNP")</f>
        <v>DNP</v>
      </c>
      <c r="N293" s="26" t="str">
        <f>IFERROR(_xlfn.PERCENTRANK.INC(Table2111216420212223[True Rank],_xlfn.XLOOKUP(Table1624[[#This Row],[Name]],Table2111216420212223[Name],Table2111216420212223[True Rank],"DNP",0,1)),"DNP")</f>
        <v>DNP</v>
      </c>
      <c r="O293" s="26" t="str">
        <f>IFERROR(_xlfn.PERCENTRANK.INC(Table211121642021222325[True Rank],_xlfn.XLOOKUP(Table1624[[#This Row],[Name]],Table211121642021222325[Name],Table211121642021222325[True Rank],"DNP",0,1)),"DNP")</f>
        <v>DNP</v>
      </c>
      <c r="P293" s="26" t="str">
        <f>IFERROR(_xlfn.PERCENTRANK.INC(Table21112164202122232534[True Rank],_xlfn.XLOOKUP(Table1624[[#This Row],[Name]],Table21112164202122232534[Name],Table21112164202122232534[True Rank],"DNP",0,1)),"DNP")</f>
        <v>DNP</v>
      </c>
      <c r="Q29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spans="2:33">
      <c r="B294" t="str">
        <f>IFERROR(Table5[[#This Row],[Full name]],"")</f>
        <v>Romina Tabesh</v>
      </c>
      <c r="C294" s="108">
        <f>IFERROR(AVERAGE(Table1624[[#This Row],[September 30, 2025]:[Column18]]),"N/A")</f>
        <v>6.8000000000000005E-2</v>
      </c>
      <c r="D294" s="26" t="str">
        <f>IFERROR(_xlfn.PERCENTRANK.INC(Table4[True Rank],_xlfn.XLOOKUP(Table1624[[#This Row],[Name]],Table4[Name],Table4[True Rank],"DNP",0,1)),"DNP")</f>
        <v>DNP</v>
      </c>
      <c r="E294" s="26">
        <f>IFERROR(_xlfn.PERCENTRANK.INC(Table9[True Rank],_xlfn.XLOOKUP(Table1624[[#This Row],[Name]],Table9[Name],Table9[True Rank],"DNP",0,1)),"DNP")</f>
        <v>6.8000000000000005E-2</v>
      </c>
      <c r="F294" s="26" t="str">
        <f>IFERROR(_xlfn.PERCENTRANK.INC(Table18[True Rank],_xlfn.XLOOKUP(Table1624[[#This Row],[Name]],Table18[Name],Table18[True Rank],"DNP",0,1)),"DNP")</f>
        <v>DNP</v>
      </c>
      <c r="G294" s="26" t="str">
        <f>IFERROR(_xlfn.PERCENTRANK.INC(Table2[True Rank],_xlfn.XLOOKUP(Table1624[[#This Row],[Name]],Table2[Name],Table2[True Rank],"DNP",0,1)),"DNP")</f>
        <v>DNP</v>
      </c>
      <c r="H294" s="26" t="str">
        <f>IFERROR(_xlfn.PERCENTRANK.INC(Table211[True Rank],_xlfn.XLOOKUP(Table1624[[#This Row],[Name]],Table211[Name],Table211[True Rank],"DNP",0,1)),"DNP")</f>
        <v>DNP</v>
      </c>
      <c r="I294" s="26" t="str">
        <f>IFERROR(_xlfn.PERCENTRANK.INC(Table21112[True Rank],_xlfn.XLOOKUP(Table1624[[#This Row],[Name]],Table21112[Name],Table21112[True Rank],"DNP",0,1)),"DNP")</f>
        <v>DNP</v>
      </c>
      <c r="J294" s="26" t="str">
        <f>IFERROR(_xlfn.PERCENTRANK.INC(Table21112164[True Rank],_xlfn.XLOOKUP(Table1624[[#This Row],[Name]],Table21112164[Name],Table21112164[True Rank],"DNP",0,1)),"DNP")</f>
        <v>DNP</v>
      </c>
      <c r="K294" s="26" t="str">
        <f>IFERROR(_xlfn.PERCENTRANK.INC(Table2111216420[True Rank],_xlfn.XLOOKUP(Table1624[[#This Row],[Name]],Table2111216420[Name],Table2111216420[True Rank],"DNP",0,1)),"DNP")</f>
        <v>DNP</v>
      </c>
      <c r="L294" s="26" t="str">
        <f>IFERROR(_xlfn.PERCENTRANK.INC(Table211121642021[True Rank],_xlfn.XLOOKUP(Table1624[[#This Row],[Name]],Table211121642021[Name],Table211121642021[True Rank],"DNP",0,1)),"DNP")</f>
        <v>DNP</v>
      </c>
      <c r="M294" s="26" t="str">
        <f>IFERROR(_xlfn.PERCENTRANK.INC(Table21112164202122[True Rank],_xlfn.XLOOKUP(Table1624[[#This Row],[Name]],Table21112164202122[Name],Table21112164202122[True Rank],"DNP",0,1)),"DNP")</f>
        <v>DNP</v>
      </c>
      <c r="N294" s="26" t="str">
        <f>IFERROR(_xlfn.PERCENTRANK.INC(Table2111216420212223[True Rank],_xlfn.XLOOKUP(Table1624[[#This Row],[Name]],Table2111216420212223[Name],Table2111216420212223[True Rank],"DNP",0,1)),"DNP")</f>
        <v>DNP</v>
      </c>
      <c r="O294" s="26" t="str">
        <f>IFERROR(_xlfn.PERCENTRANK.INC(Table211121642021222325[True Rank],_xlfn.XLOOKUP(Table1624[[#This Row],[Name]],Table211121642021222325[Name],Table211121642021222325[True Rank],"DNP",0,1)),"DNP")</f>
        <v>DNP</v>
      </c>
      <c r="P294" s="26" t="str">
        <f>IFERROR(_xlfn.PERCENTRANK.INC(Table21112164202122232534[True Rank],_xlfn.XLOOKUP(Table1624[[#This Row],[Name]],Table21112164202122232534[Name],Table21112164202122232534[True Rank],"DNP",0,1)),"DNP")</f>
        <v>DNP</v>
      </c>
      <c r="Q29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spans="2:33">
      <c r="B295" t="str">
        <f>IFERROR(Table5[[#This Row],[Full name]],"")</f>
        <v>Rui Xi Qiu</v>
      </c>
      <c r="C295" s="108">
        <f>IFERROR(AVERAGE(Table1624[[#This Row],[September 30, 2025]:[Column18]]),"N/A")</f>
        <v>0.66274999999999995</v>
      </c>
      <c r="D295" s="26">
        <f>IFERROR(_xlfn.PERCENTRANK.INC(Table4[True Rank],_xlfn.XLOOKUP(Table1624[[#This Row],[Name]],Table4[Name],Table4[True Rank],"DNP",0,1)),"DNP")</f>
        <v>0.45800000000000002</v>
      </c>
      <c r="E295" s="26" t="str">
        <f>IFERROR(_xlfn.PERCENTRANK.INC(Table9[True Rank],_xlfn.XLOOKUP(Table1624[[#This Row],[Name]],Table9[Name],Table9[True Rank],"DNP",0,1)),"DNP")</f>
        <v>DNP</v>
      </c>
      <c r="F295" s="26" t="str">
        <f>IFERROR(_xlfn.PERCENTRANK.INC(Table18[True Rank],_xlfn.XLOOKUP(Table1624[[#This Row],[Name]],Table18[Name],Table18[True Rank],"DNP",0,1)),"DNP")</f>
        <v>DNP</v>
      </c>
      <c r="G295" s="26" t="str">
        <f>IFERROR(_xlfn.PERCENTRANK.INC(Table2[True Rank],_xlfn.XLOOKUP(Table1624[[#This Row],[Name]],Table2[Name],Table2[True Rank],"DNP",0,1)),"DNP")</f>
        <v>DNP</v>
      </c>
      <c r="H295" s="26" t="str">
        <f>IFERROR(_xlfn.PERCENTRANK.INC(Table211[True Rank],_xlfn.XLOOKUP(Table1624[[#This Row],[Name]],Table211[Name],Table211[True Rank],"DNP",0,1)),"DNP")</f>
        <v>DNP</v>
      </c>
      <c r="I295" s="26" t="str">
        <f>IFERROR(_xlfn.PERCENTRANK.INC(Table21112[True Rank],_xlfn.XLOOKUP(Table1624[[#This Row],[Name]],Table21112[Name],Table21112[True Rank],"DNP",0,1)),"DNP")</f>
        <v>DNP</v>
      </c>
      <c r="J295" s="26" t="str">
        <f>IFERROR(_xlfn.PERCENTRANK.INC(Table21112164[True Rank],_xlfn.XLOOKUP(Table1624[[#This Row],[Name]],Table21112164[Name],Table21112164[True Rank],"DNP",0,1)),"DNP")</f>
        <v>DNP</v>
      </c>
      <c r="K295" s="26">
        <f>IFERROR(_xlfn.PERCENTRANK.INC(Table2111216420[True Rank],_xlfn.XLOOKUP(Table1624[[#This Row],[Name]],Table2111216420[Name],Table2111216420[True Rank],"DNP",0,1)),"DNP")</f>
        <v>0.59499999999999997</v>
      </c>
      <c r="L295" s="26">
        <f>IFERROR(_xlfn.PERCENTRANK.INC(Table211121642021[True Rank],_xlfn.XLOOKUP(Table1624[[#This Row],[Name]],Table211121642021[Name],Table211121642021[True Rank],"DNP",0,1)),"DNP")</f>
        <v>0.77400000000000002</v>
      </c>
      <c r="M295" s="26" t="str">
        <f>IFERROR(_xlfn.PERCENTRANK.INC(Table21112164202122[True Rank],_xlfn.XLOOKUP(Table1624[[#This Row],[Name]],Table21112164202122[Name],Table21112164202122[True Rank],"DNP",0,1)),"DNP")</f>
        <v>DNP</v>
      </c>
      <c r="N295" s="26">
        <f>IFERROR(_xlfn.PERCENTRANK.INC(Table2111216420212223[True Rank],_xlfn.XLOOKUP(Table1624[[#This Row],[Name]],Table2111216420212223[Name],Table2111216420212223[True Rank],"DNP",0,1)),"DNP")</f>
        <v>0.82399999999999995</v>
      </c>
      <c r="O295" s="26" t="str">
        <f>IFERROR(_xlfn.PERCENTRANK.INC(Table211121642021222325[True Rank],_xlfn.XLOOKUP(Table1624[[#This Row],[Name]],Table211121642021222325[Name],Table211121642021222325[True Rank],"DNP",0,1)),"DNP")</f>
        <v>DNP</v>
      </c>
      <c r="P295" s="26" t="str">
        <f>IFERROR(_xlfn.PERCENTRANK.INC(Table21112164202122232534[True Rank],_xlfn.XLOOKUP(Table1624[[#This Row],[Name]],Table21112164202122232534[Name],Table21112164202122232534[True Rank],"DNP",0,1)),"DNP")</f>
        <v>DNP</v>
      </c>
      <c r="Q29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spans="2:33">
      <c r="B296" t="str">
        <f>IFERROR(Table5[[#This Row],[Full name]],"")</f>
        <v>Ryan Morrison</v>
      </c>
      <c r="C296" s="108">
        <f>IFERROR(AVERAGE(Table1624[[#This Row],[September 30, 2025]:[Column18]]),"N/A")</f>
        <v>0.76700000000000002</v>
      </c>
      <c r="D296" s="26" t="str">
        <f>IFERROR(_xlfn.PERCENTRANK.INC(Table4[True Rank],_xlfn.XLOOKUP(Table1624[[#This Row],[Name]],Table4[Name],Table4[True Rank],"DNP",0,1)),"DNP")</f>
        <v>DNP</v>
      </c>
      <c r="E296" s="26" t="str">
        <f>IFERROR(_xlfn.PERCENTRANK.INC(Table9[True Rank],_xlfn.XLOOKUP(Table1624[[#This Row],[Name]],Table9[Name],Table9[True Rank],"DNP",0,1)),"DNP")</f>
        <v>DNP</v>
      </c>
      <c r="F296" s="26">
        <f>IFERROR(_xlfn.PERCENTRANK.INC(Table18[True Rank],_xlfn.XLOOKUP(Table1624[[#This Row],[Name]],Table18[Name],Table18[True Rank],"DNP",0,1)),"DNP")</f>
        <v>0.76700000000000002</v>
      </c>
      <c r="G296" s="26" t="str">
        <f>IFERROR(_xlfn.PERCENTRANK.INC(Table2[True Rank],_xlfn.XLOOKUP(Table1624[[#This Row],[Name]],Table2[Name],Table2[True Rank],"DNP",0,1)),"DNP")</f>
        <v>DNP</v>
      </c>
      <c r="H296" s="26" t="str">
        <f>IFERROR(_xlfn.PERCENTRANK.INC(Table211[True Rank],_xlfn.XLOOKUP(Table1624[[#This Row],[Name]],Table211[Name],Table211[True Rank],"DNP",0,1)),"DNP")</f>
        <v>DNP</v>
      </c>
      <c r="I296" s="26" t="str">
        <f>IFERROR(_xlfn.PERCENTRANK.INC(Table21112[True Rank],_xlfn.XLOOKUP(Table1624[[#This Row],[Name]],Table21112[Name],Table21112[True Rank],"DNP",0,1)),"DNP")</f>
        <v>DNP</v>
      </c>
      <c r="J296" s="26" t="str">
        <f>IFERROR(_xlfn.PERCENTRANK.INC(Table21112164[True Rank],_xlfn.XLOOKUP(Table1624[[#This Row],[Name]],Table21112164[Name],Table21112164[True Rank],"DNP",0,1)),"DNP")</f>
        <v>DNP</v>
      </c>
      <c r="K296" s="26" t="str">
        <f>IFERROR(_xlfn.PERCENTRANK.INC(Table2111216420[True Rank],_xlfn.XLOOKUP(Table1624[[#This Row],[Name]],Table2111216420[Name],Table2111216420[True Rank],"DNP",0,1)),"DNP")</f>
        <v>DNP</v>
      </c>
      <c r="L296" s="26" t="str">
        <f>IFERROR(_xlfn.PERCENTRANK.INC(Table211121642021[True Rank],_xlfn.XLOOKUP(Table1624[[#This Row],[Name]],Table211121642021[Name],Table211121642021[True Rank],"DNP",0,1)),"DNP")</f>
        <v>DNP</v>
      </c>
      <c r="M296" s="26" t="str">
        <f>IFERROR(_xlfn.PERCENTRANK.INC(Table21112164202122[True Rank],_xlfn.XLOOKUP(Table1624[[#This Row],[Name]],Table21112164202122[Name],Table21112164202122[True Rank],"DNP",0,1)),"DNP")</f>
        <v>DNP</v>
      </c>
      <c r="N296" s="26" t="str">
        <f>IFERROR(_xlfn.PERCENTRANK.INC(Table2111216420212223[True Rank],_xlfn.XLOOKUP(Table1624[[#This Row],[Name]],Table2111216420212223[Name],Table2111216420212223[True Rank],"DNP",0,1)),"DNP")</f>
        <v>DNP</v>
      </c>
      <c r="O296" s="26" t="str">
        <f>IFERROR(_xlfn.PERCENTRANK.INC(Table211121642021222325[True Rank],_xlfn.XLOOKUP(Table1624[[#This Row],[Name]],Table211121642021222325[Name],Table211121642021222325[True Rank],"DNP",0,1)),"DNP")</f>
        <v>DNP</v>
      </c>
      <c r="P296" s="26" t="str">
        <f>IFERROR(_xlfn.PERCENTRANK.INC(Table21112164202122232534[True Rank],_xlfn.XLOOKUP(Table1624[[#This Row],[Name]],Table21112164202122232534[Name],Table21112164202122232534[True Rank],"DNP",0,1)),"DNP")</f>
        <v>DNP</v>
      </c>
      <c r="Q29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spans="2:33">
      <c r="B297" t="str">
        <f>IFERROR(Table5[[#This Row],[Full name]],"")</f>
        <v>Ryan Qian</v>
      </c>
      <c r="C297" s="108">
        <f>IFERROR(AVERAGE(Table1624[[#This Row],[September 30, 2025]:[Column18]]),"N/A")</f>
        <v>0.38549999999999995</v>
      </c>
      <c r="D297" s="26" t="str">
        <f>IFERROR(_xlfn.PERCENTRANK.INC(Table4[True Rank],_xlfn.XLOOKUP(Table1624[[#This Row],[Name]],Table4[Name],Table4[True Rank],"DNP",0,1)),"DNP")</f>
        <v>DNP</v>
      </c>
      <c r="E297" s="26" t="str">
        <f>IFERROR(_xlfn.PERCENTRANK.INC(Table9[True Rank],_xlfn.XLOOKUP(Table1624[[#This Row],[Name]],Table9[Name],Table9[True Rank],"DNP",0,1)),"DNP")</f>
        <v>DNP</v>
      </c>
      <c r="F297" s="26" t="str">
        <f>IFERROR(_xlfn.PERCENTRANK.INC(Table18[True Rank],_xlfn.XLOOKUP(Table1624[[#This Row],[Name]],Table18[Name],Table18[True Rank],"DNP",0,1)),"DNP")</f>
        <v>DNP</v>
      </c>
      <c r="G297" s="26" t="str">
        <f>IFERROR(_xlfn.PERCENTRANK.INC(Table2[True Rank],_xlfn.XLOOKUP(Table1624[[#This Row],[Name]],Table2[Name],Table2[True Rank],"DNP",0,1)),"DNP")</f>
        <v>DNP</v>
      </c>
      <c r="H297" s="26" t="str">
        <f>IFERROR(_xlfn.PERCENTRANK.INC(Table211[True Rank],_xlfn.XLOOKUP(Table1624[[#This Row],[Name]],Table211[Name],Table211[True Rank],"DNP",0,1)),"DNP")</f>
        <v>DNP</v>
      </c>
      <c r="I297" s="26" t="str">
        <f>IFERROR(_xlfn.PERCENTRANK.INC(Table21112[True Rank],_xlfn.XLOOKUP(Table1624[[#This Row],[Name]],Table21112[Name],Table21112[True Rank],"DNP",0,1)),"DNP")</f>
        <v>DNP</v>
      </c>
      <c r="J297" s="26">
        <f>IFERROR(_xlfn.PERCENTRANK.INC(Table21112164[True Rank],_xlfn.XLOOKUP(Table1624[[#This Row],[Name]],Table21112164[Name],Table21112164[True Rank],"DNP",0,1)),"DNP")</f>
        <v>0.69599999999999995</v>
      </c>
      <c r="K297" s="26" t="str">
        <f>IFERROR(_xlfn.PERCENTRANK.INC(Table2111216420[True Rank],_xlfn.XLOOKUP(Table1624[[#This Row],[Name]],Table2111216420[Name],Table2111216420[True Rank],"DNP",0,1)),"DNP")</f>
        <v>DNP</v>
      </c>
      <c r="L297" s="26" t="str">
        <f>IFERROR(_xlfn.PERCENTRANK.INC(Table211121642021[True Rank],_xlfn.XLOOKUP(Table1624[[#This Row],[Name]],Table211121642021[Name],Table211121642021[True Rank],"DNP",0,1)),"DNP")</f>
        <v>DNP</v>
      </c>
      <c r="M297" s="26" t="str">
        <f>IFERROR(_xlfn.PERCENTRANK.INC(Table21112164202122[True Rank],_xlfn.XLOOKUP(Table1624[[#This Row],[Name]],Table21112164202122[Name],Table21112164202122[True Rank],"DNP",0,1)),"DNP")</f>
        <v>DNP</v>
      </c>
      <c r="N297" s="26" t="str">
        <f>IFERROR(_xlfn.PERCENTRANK.INC(Table2111216420212223[True Rank],_xlfn.XLOOKUP(Table1624[[#This Row],[Name]],Table2111216420212223[Name],Table2111216420212223[True Rank],"DNP",0,1)),"DNP")</f>
        <v>DNP</v>
      </c>
      <c r="O297" s="26" t="str">
        <f>IFERROR(_xlfn.PERCENTRANK.INC(Table211121642021222325[True Rank],_xlfn.XLOOKUP(Table1624[[#This Row],[Name]],Table211121642021222325[Name],Table211121642021222325[True Rank],"DNP",0,1)),"DNP")</f>
        <v>DNP</v>
      </c>
      <c r="P297" s="26" t="str">
        <f>IFERROR(_xlfn.PERCENTRANK.INC(Table21112164202122232534[True Rank],_xlfn.XLOOKUP(Table1624[[#This Row],[Name]],Table21112164202122232534[Name],Table21112164202122232534[True Rank],"DNP",0,1)),"DNP")</f>
        <v>DNP</v>
      </c>
      <c r="Q29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7" s="26">
        <f>IFERROR(_xlfn.PERCENTRANK.INC(Table211121642021222325343536[True Rank],_xlfn.XLOOKUP(Table1624[[#This Row],[Name]],Table211121642021222325343536[Name],Table211121642021222325343536[True Rank],"DNP",0,1)),"DNP")</f>
        <v>7.4999999999999997E-2</v>
      </c>
      <c r="S29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spans="2:33">
      <c r="B298" t="str">
        <f>IFERROR(Table5[[#This Row],[Full name]],"")</f>
        <v>Ryan Sale</v>
      </c>
      <c r="C298" s="108">
        <f>IFERROR(AVERAGE(Table1624[[#This Row],[September 30, 2025]:[Column18]]),"N/A")</f>
        <v>0.41600000000000004</v>
      </c>
      <c r="D298" s="26">
        <f>IFERROR(_xlfn.PERCENTRANK.INC(Table4[True Rank],_xlfn.XLOOKUP(Table1624[[#This Row],[Name]],Table4[Name],Table4[True Rank],"DNP",0,1)),"DNP")</f>
        <v>0.55000000000000004</v>
      </c>
      <c r="E298" s="26" t="str">
        <f>IFERROR(_xlfn.PERCENTRANK.INC(Table9[True Rank],_xlfn.XLOOKUP(Table1624[[#This Row],[Name]],Table9[Name],Table9[True Rank],"DNP",0,1)),"DNP")</f>
        <v>DNP</v>
      </c>
      <c r="F298" s="26">
        <f>IFERROR(_xlfn.PERCENTRANK.INC(Table18[True Rank],_xlfn.XLOOKUP(Table1624[[#This Row],[Name]],Table18[Name],Table18[True Rank],"DNP",0,1)),"DNP")</f>
        <v>0.222</v>
      </c>
      <c r="G298" s="26" t="str">
        <f>IFERROR(_xlfn.PERCENTRANK.INC(Table2[True Rank],_xlfn.XLOOKUP(Table1624[[#This Row],[Name]],Table2[Name],Table2[True Rank],"DNP",0,1)),"DNP")</f>
        <v>DNP</v>
      </c>
      <c r="H298" s="26">
        <f>IFERROR(_xlfn.PERCENTRANK.INC(Table211[True Rank],_xlfn.XLOOKUP(Table1624[[#This Row],[Name]],Table211[Name],Table211[True Rank],"DNP",0,1)),"DNP")</f>
        <v>0.22500000000000001</v>
      </c>
      <c r="I298" s="26" t="str">
        <f>IFERROR(_xlfn.PERCENTRANK.INC(Table21112[True Rank],_xlfn.XLOOKUP(Table1624[[#This Row],[Name]],Table21112[Name],Table21112[True Rank],"DNP",0,1)),"DNP")</f>
        <v>DNP</v>
      </c>
      <c r="J298" s="26" t="str">
        <f>IFERROR(_xlfn.PERCENTRANK.INC(Table21112164[True Rank],_xlfn.XLOOKUP(Table1624[[#This Row],[Name]],Table21112164[Name],Table21112164[True Rank],"DNP",0,1)),"DNP")</f>
        <v>DNP</v>
      </c>
      <c r="K298" s="26">
        <f>IFERROR(_xlfn.PERCENTRANK.INC(Table2111216420[True Rank],_xlfn.XLOOKUP(Table1624[[#This Row],[Name]],Table2111216420[Name],Table2111216420[True Rank],"DNP",0,1)),"DNP")</f>
        <v>0.627</v>
      </c>
      <c r="L298" s="26" t="str">
        <f>IFERROR(_xlfn.PERCENTRANK.INC(Table211121642021[True Rank],_xlfn.XLOOKUP(Table1624[[#This Row],[Name]],Table211121642021[Name],Table211121642021[True Rank],"DNP",0,1)),"DNP")</f>
        <v>DNP</v>
      </c>
      <c r="M298" s="26">
        <f>IFERROR(_xlfn.PERCENTRANK.INC(Table21112164202122[True Rank],_xlfn.XLOOKUP(Table1624[[#This Row],[Name]],Table21112164202122[Name],Table21112164202122[True Rank],"DNP",0,1)),"DNP")</f>
        <v>0.20399999999999999</v>
      </c>
      <c r="N298" s="26" t="str">
        <f>IFERROR(_xlfn.PERCENTRANK.INC(Table2111216420212223[True Rank],_xlfn.XLOOKUP(Table1624[[#This Row],[Name]],Table2111216420212223[Name],Table2111216420212223[True Rank],"DNP",0,1)),"DNP")</f>
        <v>DNP</v>
      </c>
      <c r="O298" s="26" t="str">
        <f>IFERROR(_xlfn.PERCENTRANK.INC(Table211121642021222325[True Rank],_xlfn.XLOOKUP(Table1624[[#This Row],[Name]],Table211121642021222325[Name],Table211121642021222325[True Rank],"DNP",0,1)),"DNP")</f>
        <v>DNP</v>
      </c>
      <c r="P298" s="26" t="str">
        <f>IFERROR(_xlfn.PERCENTRANK.INC(Table21112164202122232534[True Rank],_xlfn.XLOOKUP(Table1624[[#This Row],[Name]],Table21112164202122232534[Name],Table21112164202122232534[True Rank],"DNP",0,1)),"DNP")</f>
        <v>DNP</v>
      </c>
      <c r="Q298" s="26">
        <f>IFERROR(_xlfn.PERCENTRANK.INC(Table2111216420212223253435[True Rank],_xlfn.XLOOKUP(Table1624[[#This Row],[Name]],Table2111216420212223253435[Name],Table2111216420212223253435[True Rank],"DNP",0,1)),"DNP")</f>
        <v>0.64</v>
      </c>
      <c r="R298" s="26">
        <f>IFERROR(_xlfn.PERCENTRANK.INC(Table211121642021222325343536[True Rank],_xlfn.XLOOKUP(Table1624[[#This Row],[Name]],Table211121642021222325343536[Name],Table211121642021222325343536[True Rank],"DNP",0,1)),"DNP")</f>
        <v>0.378</v>
      </c>
      <c r="S298" s="26">
        <f>IFERROR(_xlfn.PERCENTRANK.INC(Table21112164202122232534353637[True Rank],_xlfn.XLOOKUP(Table1624[[#This Row],[Name]],Table21112164202122232534353637[Name],Table21112164202122232534353637[True Rank],"DNP",0,1)),"DNP")</f>
        <v>0.48199999999999998</v>
      </c>
      <c r="T29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spans="2:33">
      <c r="B299" t="str">
        <f>IFERROR(Table5[[#This Row],[Full name]],"")</f>
        <v>Ryan Song</v>
      </c>
      <c r="C299" s="108" t="str">
        <f>IFERROR(AVERAGE(Table1624[[#This Row],[September 30, 2025]:[Column18]]),"N/A")</f>
        <v>N/A</v>
      </c>
      <c r="D299" s="26" t="str">
        <f>IFERROR(_xlfn.PERCENTRANK.INC(Table4[True Rank],_xlfn.XLOOKUP(Table1624[[#This Row],[Name]],Table4[Name],Table4[True Rank],"DNP",0,1)),"DNP")</f>
        <v>DNP</v>
      </c>
      <c r="E299" s="26" t="str">
        <f>IFERROR(_xlfn.PERCENTRANK.INC(Table9[True Rank],_xlfn.XLOOKUP(Table1624[[#This Row],[Name]],Table9[Name],Table9[True Rank],"DNP",0,1)),"DNP")</f>
        <v>DNP</v>
      </c>
      <c r="F299" s="26" t="str">
        <f>IFERROR(_xlfn.PERCENTRANK.INC(Table18[True Rank],_xlfn.XLOOKUP(Table1624[[#This Row],[Name]],Table18[Name],Table18[True Rank],"DNP",0,1)),"DNP")</f>
        <v>DNP</v>
      </c>
      <c r="G299" s="26" t="str">
        <f>IFERROR(_xlfn.PERCENTRANK.INC(Table2[True Rank],_xlfn.XLOOKUP(Table1624[[#This Row],[Name]],Table2[Name],Table2[True Rank],"DNP",0,1)),"DNP")</f>
        <v>DNP</v>
      </c>
      <c r="H299" s="26" t="str">
        <f>IFERROR(_xlfn.PERCENTRANK.INC(Table211[True Rank],_xlfn.XLOOKUP(Table1624[[#This Row],[Name]],Table211[Name],Table211[True Rank],"DNP",0,1)),"DNP")</f>
        <v>DNP</v>
      </c>
      <c r="I299" s="26" t="str">
        <f>IFERROR(_xlfn.PERCENTRANK.INC(Table21112[True Rank],_xlfn.XLOOKUP(Table1624[[#This Row],[Name]],Table21112[Name],Table21112[True Rank],"DNP",0,1)),"DNP")</f>
        <v>DNP</v>
      </c>
      <c r="J299" s="26" t="str">
        <f>IFERROR(_xlfn.PERCENTRANK.INC(Table21112164[True Rank],_xlfn.XLOOKUP(Table1624[[#This Row],[Name]],Table21112164[Name],Table21112164[True Rank],"DNP",0,1)),"DNP")</f>
        <v>DNP</v>
      </c>
      <c r="K299" s="26" t="str">
        <f>IFERROR(_xlfn.PERCENTRANK.INC(Table2111216420[True Rank],_xlfn.XLOOKUP(Table1624[[#This Row],[Name]],Table2111216420[Name],Table2111216420[True Rank],"DNP",0,1)),"DNP")</f>
        <v>DNP</v>
      </c>
      <c r="L299" s="26" t="str">
        <f>IFERROR(_xlfn.PERCENTRANK.INC(Table211121642021[True Rank],_xlfn.XLOOKUP(Table1624[[#This Row],[Name]],Table211121642021[Name],Table211121642021[True Rank],"DNP",0,1)),"DNP")</f>
        <v>DNP</v>
      </c>
      <c r="M299" s="26" t="str">
        <f>IFERROR(_xlfn.PERCENTRANK.INC(Table21112164202122[True Rank],_xlfn.XLOOKUP(Table1624[[#This Row],[Name]],Table21112164202122[Name],Table21112164202122[True Rank],"DNP",0,1)),"DNP")</f>
        <v>DNP</v>
      </c>
      <c r="N299" s="26" t="str">
        <f>IFERROR(_xlfn.PERCENTRANK.INC(Table2111216420212223[True Rank],_xlfn.XLOOKUP(Table1624[[#This Row],[Name]],Table2111216420212223[Name],Table2111216420212223[True Rank],"DNP",0,1)),"DNP")</f>
        <v>DNP</v>
      </c>
      <c r="O299" s="26" t="str">
        <f>IFERROR(_xlfn.PERCENTRANK.INC(Table211121642021222325[True Rank],_xlfn.XLOOKUP(Table1624[[#This Row],[Name]],Table211121642021222325[Name],Table211121642021222325[True Rank],"DNP",0,1)),"DNP")</f>
        <v>DNP</v>
      </c>
      <c r="P299" s="26" t="str">
        <f>IFERROR(_xlfn.PERCENTRANK.INC(Table21112164202122232534[True Rank],_xlfn.XLOOKUP(Table1624[[#This Row],[Name]],Table21112164202122232534[Name],Table21112164202122232534[True Rank],"DNP",0,1)),"DNP")</f>
        <v>DNP</v>
      </c>
      <c r="Q29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29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29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29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 spans="2:33">
      <c r="B300" t="str">
        <f>IFERROR(Table5[[#This Row],[Full name]],"")</f>
        <v>Ryan Jouhere</v>
      </c>
      <c r="C300" s="108">
        <f>IFERROR(AVERAGE(Table1624[[#This Row],[September 30, 2025]:[Column18]]),"N/A")</f>
        <v>0.90100000000000002</v>
      </c>
      <c r="D300" s="26" t="str">
        <f>IFERROR(_xlfn.PERCENTRANK.INC(Table4[True Rank],_xlfn.XLOOKUP(Table1624[[#This Row],[Name]],Table4[Name],Table4[True Rank],"DNP",0,1)),"DNP")</f>
        <v>DNP</v>
      </c>
      <c r="E300" s="26" t="str">
        <f>IFERROR(_xlfn.PERCENTRANK.INC(Table9[True Rank],_xlfn.XLOOKUP(Table1624[[#This Row],[Name]],Table9[Name],Table9[True Rank],"DNP",0,1)),"DNP")</f>
        <v>DNP</v>
      </c>
      <c r="F300" s="26" t="str">
        <f>IFERROR(_xlfn.PERCENTRANK.INC(Table18[True Rank],_xlfn.XLOOKUP(Table1624[[#This Row],[Name]],Table18[Name],Table18[True Rank],"DNP",0,1)),"DNP")</f>
        <v>DNP</v>
      </c>
      <c r="G300" s="26" t="str">
        <f>IFERROR(_xlfn.PERCENTRANK.INC(Table2[True Rank],_xlfn.XLOOKUP(Table1624[[#This Row],[Name]],Table2[Name],Table2[True Rank],"DNP",0,1)),"DNP")</f>
        <v>DNP</v>
      </c>
      <c r="H300" s="26" t="str">
        <f>IFERROR(_xlfn.PERCENTRANK.INC(Table211[True Rank],_xlfn.XLOOKUP(Table1624[[#This Row],[Name]],Table211[Name],Table211[True Rank],"DNP",0,1)),"DNP")</f>
        <v>DNP</v>
      </c>
      <c r="I300" s="26" t="str">
        <f>IFERROR(_xlfn.PERCENTRANK.INC(Table21112[True Rank],_xlfn.XLOOKUP(Table1624[[#This Row],[Name]],Table21112[Name],Table21112[True Rank],"DNP",0,1)),"DNP")</f>
        <v>DNP</v>
      </c>
      <c r="J300" s="26" t="str">
        <f>IFERROR(_xlfn.PERCENTRANK.INC(Table21112164[True Rank],_xlfn.XLOOKUP(Table1624[[#This Row],[Name]],Table21112164[Name],Table21112164[True Rank],"DNP",0,1)),"DNP")</f>
        <v>DNP</v>
      </c>
      <c r="K300" s="26" t="str">
        <f>IFERROR(_xlfn.PERCENTRANK.INC(Table2111216420[True Rank],_xlfn.XLOOKUP(Table1624[[#This Row],[Name]],Table2111216420[Name],Table2111216420[True Rank],"DNP",0,1)),"DNP")</f>
        <v>DNP</v>
      </c>
      <c r="L300" s="26" t="str">
        <f>IFERROR(_xlfn.PERCENTRANK.INC(Table211121642021[True Rank],_xlfn.XLOOKUP(Table1624[[#This Row],[Name]],Table211121642021[Name],Table211121642021[True Rank],"DNP",0,1)),"DNP")</f>
        <v>DNP</v>
      </c>
      <c r="M300" s="26" t="str">
        <f>IFERROR(_xlfn.PERCENTRANK.INC(Table21112164202122[True Rank],_xlfn.XLOOKUP(Table1624[[#This Row],[Name]],Table21112164202122[Name],Table21112164202122[True Rank],"DNP",0,1)),"DNP")</f>
        <v>DNP</v>
      </c>
      <c r="N300" s="26" t="str">
        <f>IFERROR(_xlfn.PERCENTRANK.INC(Table2111216420212223[True Rank],_xlfn.XLOOKUP(Table1624[[#This Row],[Name]],Table2111216420212223[Name],Table2111216420212223[True Rank],"DNP",0,1)),"DNP")</f>
        <v>DNP</v>
      </c>
      <c r="O300" s="26">
        <f>IFERROR(_xlfn.PERCENTRANK.INC(Table211121642021222325[True Rank],_xlfn.XLOOKUP(Table1624[[#This Row],[Name]],Table211121642021222325[Name],Table211121642021222325[True Rank],"DNP",0,1)),"DNP")</f>
        <v>0.90100000000000002</v>
      </c>
      <c r="P300" s="26" t="str">
        <f>IFERROR(_xlfn.PERCENTRANK.INC(Table21112164202122232534[True Rank],_xlfn.XLOOKUP(Table1624[[#This Row],[Name]],Table21112164202122232534[Name],Table21112164202122232534[True Rank],"DNP",0,1)),"DNP")</f>
        <v>DNP</v>
      </c>
      <c r="Q30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 spans="2:33">
      <c r="B301" t="str">
        <f>IFERROR(Table5[[#This Row],[Full name]],"")</f>
        <v>Salaar Ali</v>
      </c>
      <c r="C301" s="108">
        <f>IFERROR(AVERAGE(Table1624[[#This Row],[September 30, 2025]:[Column18]]),"N/A")</f>
        <v>0.55549999999999999</v>
      </c>
      <c r="D301" s="26" t="str">
        <f>IFERROR(_xlfn.PERCENTRANK.INC(Table4[True Rank],_xlfn.XLOOKUP(Table1624[[#This Row],[Name]],Table4[Name],Table4[True Rank],"DNP",0,1)),"DNP")</f>
        <v>DNP</v>
      </c>
      <c r="E301" s="26" t="str">
        <f>IFERROR(_xlfn.PERCENTRANK.INC(Table9[True Rank],_xlfn.XLOOKUP(Table1624[[#This Row],[Name]],Table9[Name],Table9[True Rank],"DNP",0,1)),"DNP")</f>
        <v>DNP</v>
      </c>
      <c r="F301" s="26" t="str">
        <f>IFERROR(_xlfn.PERCENTRANK.INC(Table18[True Rank],_xlfn.XLOOKUP(Table1624[[#This Row],[Name]],Table18[Name],Table18[True Rank],"DNP",0,1)),"DNP")</f>
        <v>DNP</v>
      </c>
      <c r="G301" s="26">
        <f>IFERROR(_xlfn.PERCENTRANK.INC(Table2[True Rank],_xlfn.XLOOKUP(Table1624[[#This Row],[Name]],Table2[Name],Table2[True Rank],"DNP",0,1)),"DNP")</f>
        <v>0.54700000000000004</v>
      </c>
      <c r="H301" s="26" t="str">
        <f>IFERROR(_xlfn.PERCENTRANK.INC(Table211[True Rank],_xlfn.XLOOKUP(Table1624[[#This Row],[Name]],Table211[Name],Table211[True Rank],"DNP",0,1)),"DNP")</f>
        <v>DNP</v>
      </c>
      <c r="I301" s="26">
        <f>IFERROR(_xlfn.PERCENTRANK.INC(Table21112[True Rank],_xlfn.XLOOKUP(Table1624[[#This Row],[Name]],Table21112[Name],Table21112[True Rank],"DNP",0,1)),"DNP")</f>
        <v>0.56399999999999995</v>
      </c>
      <c r="J301" s="26" t="str">
        <f>IFERROR(_xlfn.PERCENTRANK.INC(Table21112164[True Rank],_xlfn.XLOOKUP(Table1624[[#This Row],[Name]],Table21112164[Name],Table21112164[True Rank],"DNP",0,1)),"DNP")</f>
        <v>DNP</v>
      </c>
      <c r="K301" s="26" t="str">
        <f>IFERROR(_xlfn.PERCENTRANK.INC(Table2111216420[True Rank],_xlfn.XLOOKUP(Table1624[[#This Row],[Name]],Table2111216420[Name],Table2111216420[True Rank],"DNP",0,1)),"DNP")</f>
        <v>DNP</v>
      </c>
      <c r="L301" s="26" t="str">
        <f>IFERROR(_xlfn.PERCENTRANK.INC(Table211121642021[True Rank],_xlfn.XLOOKUP(Table1624[[#This Row],[Name]],Table211121642021[Name],Table211121642021[True Rank],"DNP",0,1)),"DNP")</f>
        <v>DNP</v>
      </c>
      <c r="M301" s="26" t="str">
        <f>IFERROR(_xlfn.PERCENTRANK.INC(Table21112164202122[True Rank],_xlfn.XLOOKUP(Table1624[[#This Row],[Name]],Table21112164202122[Name],Table21112164202122[True Rank],"DNP",0,1)),"DNP")</f>
        <v>DNP</v>
      </c>
      <c r="N301" s="26" t="str">
        <f>IFERROR(_xlfn.PERCENTRANK.INC(Table2111216420212223[True Rank],_xlfn.XLOOKUP(Table1624[[#This Row],[Name]],Table2111216420212223[Name],Table2111216420212223[True Rank],"DNP",0,1)),"DNP")</f>
        <v>DNP</v>
      </c>
      <c r="O301" s="26" t="str">
        <f>IFERROR(_xlfn.PERCENTRANK.INC(Table211121642021222325[True Rank],_xlfn.XLOOKUP(Table1624[[#This Row],[Name]],Table211121642021222325[Name],Table211121642021222325[True Rank],"DNP",0,1)),"DNP")</f>
        <v>DNP</v>
      </c>
      <c r="P301" s="26" t="str">
        <f>IFERROR(_xlfn.PERCENTRANK.INC(Table21112164202122232534[True Rank],_xlfn.XLOOKUP(Table1624[[#This Row],[Name]],Table21112164202122232534[Name],Table21112164202122232534[True Rank],"DNP",0,1)),"DNP")</f>
        <v>DNP</v>
      </c>
      <c r="Q30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 spans="2:33">
      <c r="B302" t="str">
        <f>IFERROR(Table5[[#This Row],[Full name]],"")</f>
        <v>Sam Das</v>
      </c>
      <c r="C302" s="108">
        <f>IFERROR(AVERAGE(Table1624[[#This Row],[September 30, 2025]:[Column18]]),"N/A")</f>
        <v>0.92700000000000005</v>
      </c>
      <c r="D302" s="26" t="str">
        <f>IFERROR(_xlfn.PERCENTRANK.INC(Table4[True Rank],_xlfn.XLOOKUP(Table1624[[#This Row],[Name]],Table4[Name],Table4[True Rank],"DNP",0,1)),"DNP")</f>
        <v>DNP</v>
      </c>
      <c r="E302" s="26" t="str">
        <f>IFERROR(_xlfn.PERCENTRANK.INC(Table9[True Rank],_xlfn.XLOOKUP(Table1624[[#This Row],[Name]],Table9[Name],Table9[True Rank],"DNP",0,1)),"DNP")</f>
        <v>DNP</v>
      </c>
      <c r="F302" s="26" t="str">
        <f>IFERROR(_xlfn.PERCENTRANK.INC(Table18[True Rank],_xlfn.XLOOKUP(Table1624[[#This Row],[Name]],Table18[Name],Table18[True Rank],"DNP",0,1)),"DNP")</f>
        <v>DNP</v>
      </c>
      <c r="G302" s="26" t="str">
        <f>IFERROR(_xlfn.PERCENTRANK.INC(Table2[True Rank],_xlfn.XLOOKUP(Table1624[[#This Row],[Name]],Table2[Name],Table2[True Rank],"DNP",0,1)),"DNP")</f>
        <v>DNP</v>
      </c>
      <c r="H302" s="26" t="str">
        <f>IFERROR(_xlfn.PERCENTRANK.INC(Table211[True Rank],_xlfn.XLOOKUP(Table1624[[#This Row],[Name]],Table211[Name],Table211[True Rank],"DNP",0,1)),"DNP")</f>
        <v>DNP</v>
      </c>
      <c r="I302" s="26" t="str">
        <f>IFERROR(_xlfn.PERCENTRANK.INC(Table21112[True Rank],_xlfn.XLOOKUP(Table1624[[#This Row],[Name]],Table21112[Name],Table21112[True Rank],"DNP",0,1)),"DNP")</f>
        <v>DNP</v>
      </c>
      <c r="J302" s="26" t="str">
        <f>IFERROR(_xlfn.PERCENTRANK.INC(Table21112164[True Rank],_xlfn.XLOOKUP(Table1624[[#This Row],[Name]],Table21112164[Name],Table21112164[True Rank],"DNP",0,1)),"DNP")</f>
        <v>DNP</v>
      </c>
      <c r="K302" s="26" t="str">
        <f>IFERROR(_xlfn.PERCENTRANK.INC(Table2111216420[True Rank],_xlfn.XLOOKUP(Table1624[[#This Row],[Name]],Table2111216420[Name],Table2111216420[True Rank],"DNP",0,1)),"DNP")</f>
        <v>DNP</v>
      </c>
      <c r="L302" s="26" t="str">
        <f>IFERROR(_xlfn.PERCENTRANK.INC(Table211121642021[True Rank],_xlfn.XLOOKUP(Table1624[[#This Row],[Name]],Table211121642021[Name],Table211121642021[True Rank],"DNP",0,1)),"DNP")</f>
        <v>DNP</v>
      </c>
      <c r="M302" s="26" t="str">
        <f>IFERROR(_xlfn.PERCENTRANK.INC(Table21112164202122[True Rank],_xlfn.XLOOKUP(Table1624[[#This Row],[Name]],Table21112164202122[Name],Table21112164202122[True Rank],"DNP",0,1)),"DNP")</f>
        <v>DNP</v>
      </c>
      <c r="N302" s="26">
        <f>IFERROR(_xlfn.PERCENTRANK.INC(Table2111216420212223[True Rank],_xlfn.XLOOKUP(Table1624[[#This Row],[Name]],Table2111216420212223[Name],Table2111216420212223[True Rank],"DNP",0,1)),"DNP")</f>
        <v>0.92300000000000004</v>
      </c>
      <c r="O302" s="26" t="str">
        <f>IFERROR(_xlfn.PERCENTRANK.INC(Table211121642021222325[True Rank],_xlfn.XLOOKUP(Table1624[[#This Row],[Name]],Table211121642021222325[Name],Table211121642021222325[True Rank],"DNP",0,1)),"DNP")</f>
        <v>DNP</v>
      </c>
      <c r="P302" s="26" t="str">
        <f>IFERROR(_xlfn.PERCENTRANK.INC(Table21112164202122232534[True Rank],_xlfn.XLOOKUP(Table1624[[#This Row],[Name]],Table21112164202122232534[Name],Table21112164202122232534[True Rank],"DNP",0,1)),"DNP")</f>
        <v>DNP</v>
      </c>
      <c r="Q30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2" s="26">
        <f>IFERROR(_xlfn.PERCENTRANK.INC(Table21112164202122232534353637[True Rank],_xlfn.XLOOKUP(Table1624[[#This Row],[Name]],Table21112164202122232534353637[Name],Table21112164202122232534353637[True Rank],"DNP",0,1)),"DNP")</f>
        <v>0.93100000000000005</v>
      </c>
      <c r="T30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 spans="2:33">
      <c r="B303" t="str">
        <f>IFERROR(Table5[[#This Row],[Full name]],"")</f>
        <v>Sameer Aziz</v>
      </c>
      <c r="C303" s="108">
        <f>IFERROR(AVERAGE(Table1624[[#This Row],[September 30, 2025]:[Column18]]),"N/A")</f>
        <v>0.55200000000000005</v>
      </c>
      <c r="D303" s="26" t="str">
        <f>IFERROR(_xlfn.PERCENTRANK.INC(Table4[True Rank],_xlfn.XLOOKUP(Table1624[[#This Row],[Name]],Table4[Name],Table4[True Rank],"DNP",0,1)),"DNP")</f>
        <v>DNP</v>
      </c>
      <c r="E303" s="26" t="str">
        <f>IFERROR(_xlfn.PERCENTRANK.INC(Table9[True Rank],_xlfn.XLOOKUP(Table1624[[#This Row],[Name]],Table9[Name],Table9[True Rank],"DNP",0,1)),"DNP")</f>
        <v>DNP</v>
      </c>
      <c r="F303" s="26">
        <f>IFERROR(_xlfn.PERCENTRANK.INC(Table18[True Rank],_xlfn.XLOOKUP(Table1624[[#This Row],[Name]],Table18[Name],Table18[True Rank],"DNP",0,1)),"DNP")</f>
        <v>0.161</v>
      </c>
      <c r="G303" s="26" t="str">
        <f>IFERROR(_xlfn.PERCENTRANK.INC(Table2[True Rank],_xlfn.XLOOKUP(Table1624[[#This Row],[Name]],Table2[Name],Table2[True Rank],"DNP",0,1)),"DNP")</f>
        <v>DNP</v>
      </c>
      <c r="H303" s="26" t="str">
        <f>IFERROR(_xlfn.PERCENTRANK.INC(Table211[True Rank],_xlfn.XLOOKUP(Table1624[[#This Row],[Name]],Table211[Name],Table211[True Rank],"DNP",0,1)),"DNP")</f>
        <v>DNP</v>
      </c>
      <c r="I303" s="26">
        <f>IFERROR(_xlfn.PERCENTRANK.INC(Table21112[True Rank],_xlfn.XLOOKUP(Table1624[[#This Row],[Name]],Table21112[Name],Table21112[True Rank],"DNP",0,1)),"DNP")</f>
        <v>0.84599999999999997</v>
      </c>
      <c r="J303" s="26">
        <f>IFERROR(_xlfn.PERCENTRANK.INC(Table21112164[True Rank],_xlfn.XLOOKUP(Table1624[[#This Row],[Name]],Table21112164[Name],Table21112164[True Rank],"DNP",0,1)),"DNP")</f>
        <v>0.71899999999999997</v>
      </c>
      <c r="K303" s="26">
        <f>IFERROR(_xlfn.PERCENTRANK.INC(Table2111216420[True Rank],_xlfn.XLOOKUP(Table1624[[#This Row],[Name]],Table2111216420[Name],Table2111216420[True Rank],"DNP",0,1)),"DNP")</f>
        <v>9.5000000000000001E-2</v>
      </c>
      <c r="L303" s="26" t="str">
        <f>IFERROR(_xlfn.PERCENTRANK.INC(Table211121642021[True Rank],_xlfn.XLOOKUP(Table1624[[#This Row],[Name]],Table211121642021[Name],Table211121642021[True Rank],"DNP",0,1)),"DNP")</f>
        <v>DNP</v>
      </c>
      <c r="M303" s="26" t="str">
        <f>IFERROR(_xlfn.PERCENTRANK.INC(Table21112164202122[True Rank],_xlfn.XLOOKUP(Table1624[[#This Row],[Name]],Table21112164202122[Name],Table21112164202122[True Rank],"DNP",0,1)),"DNP")</f>
        <v>DNP</v>
      </c>
      <c r="N303" s="26" t="str">
        <f>IFERROR(_xlfn.PERCENTRANK.INC(Table2111216420212223[True Rank],_xlfn.XLOOKUP(Table1624[[#This Row],[Name]],Table2111216420212223[Name],Table2111216420212223[True Rank],"DNP",0,1)),"DNP")</f>
        <v>DNP</v>
      </c>
      <c r="O303" s="26">
        <f>IFERROR(_xlfn.PERCENTRANK.INC(Table211121642021222325[True Rank],_xlfn.XLOOKUP(Table1624[[#This Row],[Name]],Table211121642021222325[Name],Table211121642021222325[True Rank],"DNP",0,1)),"DNP")</f>
        <v>0.505</v>
      </c>
      <c r="P303" s="26" t="str">
        <f>IFERROR(_xlfn.PERCENTRANK.INC(Table21112164202122232534[True Rank],_xlfn.XLOOKUP(Table1624[[#This Row],[Name]],Table21112164202122232534[Name],Table21112164202122232534[True Rank],"DNP",0,1)),"DNP")</f>
        <v>DNP</v>
      </c>
      <c r="Q303" s="26">
        <f>IFERROR(_xlfn.PERCENTRANK.INC(Table2111216420212223253435[True Rank],_xlfn.XLOOKUP(Table1624[[#This Row],[Name]],Table2111216420212223253435[Name],Table2111216420212223253435[True Rank],"DNP",0,1)),"DNP")</f>
        <v>0.98599999999999999</v>
      </c>
      <c r="R30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 spans="2:33">
      <c r="B304" t="str">
        <f>IFERROR(Table5[[#This Row],[Full name]],"")</f>
        <v>Samuel Lu</v>
      </c>
      <c r="C304" s="108">
        <f>IFERROR(AVERAGE(Table1624[[#This Row],[September 30, 2025]:[Column18]]),"N/A")</f>
        <v>0.58128571428571441</v>
      </c>
      <c r="D304" s="26" t="str">
        <f>IFERROR(_xlfn.PERCENTRANK.INC(Table4[True Rank],_xlfn.XLOOKUP(Table1624[[#This Row],[Name]],Table4[Name],Table4[True Rank],"DNP",0,1)),"DNP")</f>
        <v>DNP</v>
      </c>
      <c r="E304" s="26">
        <f>IFERROR(_xlfn.PERCENTRANK.INC(Table9[True Rank],_xlfn.XLOOKUP(Table1624[[#This Row],[Name]],Table9[Name],Table9[True Rank],"DNP",0,1)),"DNP")</f>
        <v>0.72399999999999998</v>
      </c>
      <c r="F304" s="26">
        <f>IFERROR(_xlfn.PERCENTRANK.INC(Table18[True Rank],_xlfn.XLOOKUP(Table1624[[#This Row],[Name]],Table18[Name],Table18[True Rank],"DNP",0,1)),"DNP")</f>
        <v>0.40400000000000003</v>
      </c>
      <c r="G304" s="26" t="str">
        <f>IFERROR(_xlfn.PERCENTRANK.INC(Table2[True Rank],_xlfn.XLOOKUP(Table1624[[#This Row],[Name]],Table2[Name],Table2[True Rank],"DNP",0,1)),"DNP")</f>
        <v>DNP</v>
      </c>
      <c r="H304" s="26">
        <f>IFERROR(_xlfn.PERCENTRANK.INC(Table211[True Rank],_xlfn.XLOOKUP(Table1624[[#This Row],[Name]],Table211[Name],Table211[True Rank],"DNP",0,1)),"DNP")</f>
        <v>0.91500000000000004</v>
      </c>
      <c r="I304" s="26" t="str">
        <f>IFERROR(_xlfn.PERCENTRANK.INC(Table21112[True Rank],_xlfn.XLOOKUP(Table1624[[#This Row],[Name]],Table21112[Name],Table21112[True Rank],"DNP",0,1)),"DNP")</f>
        <v>DNP</v>
      </c>
      <c r="J304" s="26">
        <f>IFERROR(_xlfn.PERCENTRANK.INC(Table21112164[True Rank],_xlfn.XLOOKUP(Table1624[[#This Row],[Name]],Table21112164[Name],Table21112164[True Rank],"DNP",0,1)),"DNP")</f>
        <v>0.629</v>
      </c>
      <c r="K304" s="26" t="str">
        <f>IFERROR(_xlfn.PERCENTRANK.INC(Table2111216420[True Rank],_xlfn.XLOOKUP(Table1624[[#This Row],[Name]],Table2111216420[Name],Table2111216420[True Rank],"DNP",0,1)),"DNP")</f>
        <v>DNP</v>
      </c>
      <c r="L304" s="26">
        <f>IFERROR(_xlfn.PERCENTRANK.INC(Table211121642021[True Rank],_xlfn.XLOOKUP(Table1624[[#This Row],[Name]],Table211121642021[Name],Table211121642021[True Rank],"DNP",0,1)),"DNP")</f>
        <v>0.22500000000000001</v>
      </c>
      <c r="M304" s="26" t="str">
        <f>IFERROR(_xlfn.PERCENTRANK.INC(Table21112164202122[True Rank],_xlfn.XLOOKUP(Table1624[[#This Row],[Name]],Table21112164202122[Name],Table21112164202122[True Rank],"DNP",0,1)),"DNP")</f>
        <v>DNP</v>
      </c>
      <c r="N304" s="26" t="str">
        <f>IFERROR(_xlfn.PERCENTRANK.INC(Table2111216420212223[True Rank],_xlfn.XLOOKUP(Table1624[[#This Row],[Name]],Table2111216420212223[Name],Table2111216420212223[True Rank],"DNP",0,1)),"DNP")</f>
        <v>DNP</v>
      </c>
      <c r="O304" s="26" t="str">
        <f>IFERROR(_xlfn.PERCENTRANK.INC(Table211121642021222325[True Rank],_xlfn.XLOOKUP(Table1624[[#This Row],[Name]],Table211121642021222325[Name],Table211121642021222325[True Rank],"DNP",0,1)),"DNP")</f>
        <v>DNP</v>
      </c>
      <c r="P304" s="26" t="str">
        <f>IFERROR(_xlfn.PERCENTRANK.INC(Table21112164202122232534[True Rank],_xlfn.XLOOKUP(Table1624[[#This Row],[Name]],Table21112164202122232534[Name],Table21112164202122232534[True Rank],"DNP",0,1)),"DNP")</f>
        <v>DNP</v>
      </c>
      <c r="Q30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4" s="26">
        <f>IFERROR(_xlfn.PERCENTRANK.INC(Table211121642021222325343536[True Rank],_xlfn.XLOOKUP(Table1624[[#This Row],[Name]],Table211121642021222325343536[Name],Table211121642021222325343536[True Rank],"DNP",0,1)),"DNP")</f>
        <v>0.77200000000000002</v>
      </c>
      <c r="S30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4" s="26">
        <f>IFERROR(_xlfn.PERCENTRANK.INC(Table2111216420212223253435363738[True Rank],_xlfn.XLOOKUP(Table1624[[#This Row],[Name]],Table2111216420212223253435363738[Name],Table2111216420212223253435363738[True Rank],"DNP",0,1)),"DNP")</f>
        <v>0.4</v>
      </c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 spans="2:33">
      <c r="B305" t="str">
        <f>IFERROR(Table5[[#This Row],[Full name]],"")</f>
        <v>Samuel Sax-Marton</v>
      </c>
      <c r="C305" s="108">
        <f>IFERROR(AVERAGE(Table1624[[#This Row],[September 30, 2025]:[Column18]]),"N/A")</f>
        <v>0.3992666666666666</v>
      </c>
      <c r="D305" s="26">
        <f>IFERROR(_xlfn.PERCENTRANK.INC(Table4[True Rank],_xlfn.XLOOKUP(Table1624[[#This Row],[Name]],Table4[Name],Table4[True Rank],"DNP",0,1)),"DNP")</f>
        <v>0</v>
      </c>
      <c r="E305" s="26">
        <f>IFERROR(_xlfn.PERCENTRANK.INC(Table9[True Rank],_xlfn.XLOOKUP(Table1624[[#This Row],[Name]],Table9[Name],Table9[True Rank],"DNP",0,1)),"DNP")</f>
        <v>0.22900000000000001</v>
      </c>
      <c r="F305" s="26" t="str">
        <f>IFERROR(_xlfn.PERCENTRANK.INC(Table18[True Rank],_xlfn.XLOOKUP(Table1624[[#This Row],[Name]],Table18[Name],Table18[True Rank],"DNP",0,1)),"DNP")</f>
        <v>DNP</v>
      </c>
      <c r="G305" s="26">
        <f>IFERROR(_xlfn.PERCENTRANK.INC(Table2[True Rank],_xlfn.XLOOKUP(Table1624[[#This Row],[Name]],Table2[Name],Table2[True Rank],"DNP",0,1)),"DNP")</f>
        <v>0.19</v>
      </c>
      <c r="H305" s="26">
        <f>IFERROR(_xlfn.PERCENTRANK.INC(Table211[True Rank],_xlfn.XLOOKUP(Table1624[[#This Row],[Name]],Table211[Name],Table211[True Rank],"DNP",0,1)),"DNP")</f>
        <v>0.97099999999999997</v>
      </c>
      <c r="I305" s="26">
        <f>IFERROR(_xlfn.PERCENTRANK.INC(Table21112[True Rank],_xlfn.XLOOKUP(Table1624[[#This Row],[Name]],Table21112[Name],Table21112[True Rank],"DNP",0,1)),"DNP")</f>
        <v>6.4000000000000001E-2</v>
      </c>
      <c r="J305" s="26">
        <f>IFERROR(_xlfn.PERCENTRANK.INC(Table21112164[True Rank],_xlfn.XLOOKUP(Table1624[[#This Row],[Name]],Table21112164[Name],Table21112164[True Rank],"DNP",0,1)),"DNP")</f>
        <v>0.84199999999999997</v>
      </c>
      <c r="K305" s="26">
        <f>IFERROR(_xlfn.PERCENTRANK.INC(Table2111216420[True Rank],_xlfn.XLOOKUP(Table1624[[#This Row],[Name]],Table2111216420[Name],Table2111216420[True Rank],"DNP",0,1)),"DNP")</f>
        <v>0.67</v>
      </c>
      <c r="L305" s="26">
        <f>IFERROR(_xlfn.PERCENTRANK.INC(Table211121642021[True Rank],_xlfn.XLOOKUP(Table1624[[#This Row],[Name]],Table211121642021[Name],Table211121642021[True Rank],"DNP",0,1)),"DNP")</f>
        <v>0.193</v>
      </c>
      <c r="M305" s="26">
        <f>IFERROR(_xlfn.PERCENTRANK.INC(Table21112164202122[True Rank],_xlfn.XLOOKUP(Table1624[[#This Row],[Name]],Table21112164202122[Name],Table21112164202122[True Rank],"DNP",0,1)),"DNP")</f>
        <v>2.1999999999999999E-2</v>
      </c>
      <c r="N305" s="26" t="str">
        <f>IFERROR(_xlfn.PERCENTRANK.INC(Table2111216420212223[True Rank],_xlfn.XLOOKUP(Table1624[[#This Row],[Name]],Table2111216420212223[Name],Table2111216420212223[True Rank],"DNP",0,1)),"DNP")</f>
        <v>DNP</v>
      </c>
      <c r="O305" s="26">
        <f>IFERROR(_xlfn.PERCENTRANK.INC(Table211121642021222325[True Rank],_xlfn.XLOOKUP(Table1624[[#This Row],[Name]],Table211121642021222325[Name],Table211121642021222325[True Rank],"DNP",0,1)),"DNP")</f>
        <v>0.47199999999999998</v>
      </c>
      <c r="P305" s="26">
        <f>IFERROR(_xlfn.PERCENTRANK.INC(Table21112164202122232534[True Rank],_xlfn.XLOOKUP(Table1624[[#This Row],[Name]],Table21112164202122232534[Name],Table21112164202122232534[True Rank],"DNP",0,1)),"DNP")</f>
        <v>0.439</v>
      </c>
      <c r="Q305" s="26">
        <f>IFERROR(_xlfn.PERCENTRANK.INC(Table2111216420212223253435[True Rank],_xlfn.XLOOKUP(Table1624[[#This Row],[Name]],Table2111216420212223253435[Name],Table2111216420212223253435[True Rank],"DNP",0,1)),"DNP")</f>
        <v>0.29299999999999998</v>
      </c>
      <c r="R305" s="26">
        <f>IFERROR(_xlfn.PERCENTRANK.INC(Table211121642021222325343536[True Rank],_xlfn.XLOOKUP(Table1624[[#This Row],[Name]],Table211121642021222325343536[Name],Table211121642021222325343536[True Rank],"DNP",0,1)),"DNP")</f>
        <v>4.4999999999999998E-2</v>
      </c>
      <c r="S305" s="26">
        <f>IFERROR(_xlfn.PERCENTRANK.INC(Table21112164202122232534353637[True Rank],_xlfn.XLOOKUP(Table1624[[#This Row],[Name]],Table21112164202122232534353637[Name],Table21112164202122232534353637[True Rank],"DNP",0,1)),"DNP")</f>
        <v>0.74099999999999999</v>
      </c>
      <c r="T305" s="26">
        <f>IFERROR(_xlfn.PERCENTRANK.INC(Table2111216420212223253435363738[True Rank],_xlfn.XLOOKUP(Table1624[[#This Row],[Name]],Table2111216420212223253435363738[Name],Table2111216420212223253435363738[True Rank],"DNP",0,1)),"DNP")</f>
        <v>0.81799999999999995</v>
      </c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 spans="2:33">
      <c r="B306" t="str">
        <f>IFERROR(Table5[[#This Row],[Full name]],"")</f>
        <v>Sarmad Siddiqui</v>
      </c>
      <c r="C306" s="108">
        <f>IFERROR(AVERAGE(Table1624[[#This Row],[September 30, 2025]:[Column18]]),"N/A")</f>
        <v>8.0500000000000002E-2</v>
      </c>
      <c r="D306" s="26">
        <f>IFERROR(_xlfn.PERCENTRANK.INC(Table4[True Rank],_xlfn.XLOOKUP(Table1624[[#This Row],[Name]],Table4[Name],Table4[True Rank],"DNP",0,1)),"DNP")</f>
        <v>3.5999999999999997E-2</v>
      </c>
      <c r="E306" s="26" t="str">
        <f>IFERROR(_xlfn.PERCENTRANK.INC(Table9[True Rank],_xlfn.XLOOKUP(Table1624[[#This Row],[Name]],Table9[Name],Table9[True Rank],"DNP",0,1)),"DNP")</f>
        <v>DNP</v>
      </c>
      <c r="F306" s="26" t="str">
        <f>IFERROR(_xlfn.PERCENTRANK.INC(Table18[True Rank],_xlfn.XLOOKUP(Table1624[[#This Row],[Name]],Table18[Name],Table18[True Rank],"DNP",0,1)),"DNP")</f>
        <v>DNP</v>
      </c>
      <c r="G306" s="26" t="str">
        <f>IFERROR(_xlfn.PERCENTRANK.INC(Table2[True Rank],_xlfn.XLOOKUP(Table1624[[#This Row],[Name]],Table2[Name],Table2[True Rank],"DNP",0,1)),"DNP")</f>
        <v>DNP</v>
      </c>
      <c r="H306" s="26" t="str">
        <f>IFERROR(_xlfn.PERCENTRANK.INC(Table211[True Rank],_xlfn.XLOOKUP(Table1624[[#This Row],[Name]],Table211[Name],Table211[True Rank],"DNP",0,1)),"DNP")</f>
        <v>DNP</v>
      </c>
      <c r="I306" s="26" t="str">
        <f>IFERROR(_xlfn.PERCENTRANK.INC(Table21112[True Rank],_xlfn.XLOOKUP(Table1624[[#This Row],[Name]],Table21112[Name],Table21112[True Rank],"DNP",0,1)),"DNP")</f>
        <v>DNP</v>
      </c>
      <c r="J306" s="26" t="str">
        <f>IFERROR(_xlfn.PERCENTRANK.INC(Table21112164[True Rank],_xlfn.XLOOKUP(Table1624[[#This Row],[Name]],Table21112164[Name],Table21112164[True Rank],"DNP",0,1)),"DNP")</f>
        <v>DNP</v>
      </c>
      <c r="K306" s="26" t="str">
        <f>IFERROR(_xlfn.PERCENTRANK.INC(Table2111216420[True Rank],_xlfn.XLOOKUP(Table1624[[#This Row],[Name]],Table2111216420[Name],Table2111216420[True Rank],"DNP",0,1)),"DNP")</f>
        <v>DNP</v>
      </c>
      <c r="L306" s="26" t="str">
        <f>IFERROR(_xlfn.PERCENTRANK.INC(Table211121642021[True Rank],_xlfn.XLOOKUP(Table1624[[#This Row],[Name]],Table211121642021[Name],Table211121642021[True Rank],"DNP",0,1)),"DNP")</f>
        <v>DNP</v>
      </c>
      <c r="M306" s="26">
        <f>IFERROR(_xlfn.PERCENTRANK.INC(Table21112164202122[True Rank],_xlfn.XLOOKUP(Table1624[[#This Row],[Name]],Table21112164202122[Name],Table21112164202122[True Rank],"DNP",0,1)),"DNP")</f>
        <v>0.125</v>
      </c>
      <c r="N306" s="26" t="str">
        <f>IFERROR(_xlfn.PERCENTRANK.INC(Table2111216420212223[True Rank],_xlfn.XLOOKUP(Table1624[[#This Row],[Name]],Table2111216420212223[Name],Table2111216420212223[True Rank],"DNP",0,1)),"DNP")</f>
        <v>DNP</v>
      </c>
      <c r="O306" s="26" t="str">
        <f>IFERROR(_xlfn.PERCENTRANK.INC(Table211121642021222325[True Rank],_xlfn.XLOOKUP(Table1624[[#This Row],[Name]],Table211121642021222325[Name],Table211121642021222325[True Rank],"DNP",0,1)),"DNP")</f>
        <v>DNP</v>
      </c>
      <c r="P306" s="26" t="str">
        <f>IFERROR(_xlfn.PERCENTRANK.INC(Table21112164202122232534[True Rank],_xlfn.XLOOKUP(Table1624[[#This Row],[Name]],Table21112164202122232534[Name],Table21112164202122232534[True Rank],"DNP",0,1)),"DNP")</f>
        <v>DNP</v>
      </c>
      <c r="Q30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spans="2:33">
      <c r="B307" t="str">
        <f>IFERROR(Table5[[#This Row],[Full name]],"")</f>
        <v>Sebastian Hamilton</v>
      </c>
      <c r="C307" s="108" t="str">
        <f>IFERROR(AVERAGE(Table1624[[#This Row],[September 30, 2025]:[Column18]]),"N/A")</f>
        <v>N/A</v>
      </c>
      <c r="D307" s="26" t="str">
        <f>IFERROR(_xlfn.PERCENTRANK.INC(Table4[True Rank],_xlfn.XLOOKUP(Table1624[[#This Row],[Name]],Table4[Name],Table4[True Rank],"DNP",0,1)),"DNP")</f>
        <v>DNP</v>
      </c>
      <c r="E307" s="26" t="str">
        <f>IFERROR(_xlfn.PERCENTRANK.INC(Table9[True Rank],_xlfn.XLOOKUP(Table1624[[#This Row],[Name]],Table9[Name],Table9[True Rank],"DNP",0,1)),"DNP")</f>
        <v>DNP</v>
      </c>
      <c r="F307" s="26" t="str">
        <f>IFERROR(_xlfn.PERCENTRANK.INC(Table18[True Rank],_xlfn.XLOOKUP(Table1624[[#This Row],[Name]],Table18[Name],Table18[True Rank],"DNP",0,1)),"DNP")</f>
        <v>DNP</v>
      </c>
      <c r="G307" s="26" t="str">
        <f>IFERROR(_xlfn.PERCENTRANK.INC(Table2[True Rank],_xlfn.XLOOKUP(Table1624[[#This Row],[Name]],Table2[Name],Table2[True Rank],"DNP",0,1)),"DNP")</f>
        <v>DNP</v>
      </c>
      <c r="H307" s="26" t="str">
        <f>IFERROR(_xlfn.PERCENTRANK.INC(Table211[True Rank],_xlfn.XLOOKUP(Table1624[[#This Row],[Name]],Table211[Name],Table211[True Rank],"DNP",0,1)),"DNP")</f>
        <v>DNP</v>
      </c>
      <c r="I307" s="26" t="str">
        <f>IFERROR(_xlfn.PERCENTRANK.INC(Table21112[True Rank],_xlfn.XLOOKUP(Table1624[[#This Row],[Name]],Table21112[Name],Table21112[True Rank],"DNP",0,1)),"DNP")</f>
        <v>DNP</v>
      </c>
      <c r="J307" s="26" t="str">
        <f>IFERROR(_xlfn.PERCENTRANK.INC(Table21112164[True Rank],_xlfn.XLOOKUP(Table1624[[#This Row],[Name]],Table21112164[Name],Table21112164[True Rank],"DNP",0,1)),"DNP")</f>
        <v>DNP</v>
      </c>
      <c r="K307" s="26" t="str">
        <f>IFERROR(_xlfn.PERCENTRANK.INC(Table2111216420[True Rank],_xlfn.XLOOKUP(Table1624[[#This Row],[Name]],Table2111216420[Name],Table2111216420[True Rank],"DNP",0,1)),"DNP")</f>
        <v>DNP</v>
      </c>
      <c r="L307" s="26" t="str">
        <f>IFERROR(_xlfn.PERCENTRANK.INC(Table211121642021[True Rank],_xlfn.XLOOKUP(Table1624[[#This Row],[Name]],Table211121642021[Name],Table211121642021[True Rank],"DNP",0,1)),"DNP")</f>
        <v>DNP</v>
      </c>
      <c r="M307" s="26" t="str">
        <f>IFERROR(_xlfn.PERCENTRANK.INC(Table21112164202122[True Rank],_xlfn.XLOOKUP(Table1624[[#This Row],[Name]],Table21112164202122[Name],Table21112164202122[True Rank],"DNP",0,1)),"DNP")</f>
        <v>DNP</v>
      </c>
      <c r="N307" s="26" t="str">
        <f>IFERROR(_xlfn.PERCENTRANK.INC(Table2111216420212223[True Rank],_xlfn.XLOOKUP(Table1624[[#This Row],[Name]],Table2111216420212223[Name],Table2111216420212223[True Rank],"DNP",0,1)),"DNP")</f>
        <v>DNP</v>
      </c>
      <c r="O307" s="26" t="str">
        <f>IFERROR(_xlfn.PERCENTRANK.INC(Table211121642021222325[True Rank],_xlfn.XLOOKUP(Table1624[[#This Row],[Name]],Table211121642021222325[Name],Table211121642021222325[True Rank],"DNP",0,1)),"DNP")</f>
        <v>DNP</v>
      </c>
      <c r="P307" s="26" t="str">
        <f>IFERROR(_xlfn.PERCENTRANK.INC(Table21112164202122232534[True Rank],_xlfn.XLOOKUP(Table1624[[#This Row],[Name]],Table21112164202122232534[Name],Table21112164202122232534[True Rank],"DNP",0,1)),"DNP")</f>
        <v>DNP</v>
      </c>
      <c r="Q30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 spans="2:33">
      <c r="B308" t="str">
        <f>IFERROR(Table5[[#This Row],[Full name]],"")</f>
        <v>Seren Kalfa</v>
      </c>
      <c r="C308" s="108">
        <f>IFERROR(AVERAGE(Table1624[[#This Row],[September 30, 2025]:[Column18]]),"N/A")</f>
        <v>0.59850000000000003</v>
      </c>
      <c r="D308" s="26" t="str">
        <f>IFERROR(_xlfn.PERCENTRANK.INC(Table4[True Rank],_xlfn.XLOOKUP(Table1624[[#This Row],[Name]],Table4[Name],Table4[True Rank],"DNP",0,1)),"DNP")</f>
        <v>DNP</v>
      </c>
      <c r="E308" s="26" t="str">
        <f>IFERROR(_xlfn.PERCENTRANK.INC(Table9[True Rank],_xlfn.XLOOKUP(Table1624[[#This Row],[Name]],Table9[Name],Table9[True Rank],"DNP",0,1)),"DNP")</f>
        <v>DNP</v>
      </c>
      <c r="F308" s="26" t="str">
        <f>IFERROR(_xlfn.PERCENTRANK.INC(Table18[True Rank],_xlfn.XLOOKUP(Table1624[[#This Row],[Name]],Table18[Name],Table18[True Rank],"DNP",0,1)),"DNP")</f>
        <v>DNP</v>
      </c>
      <c r="G308" s="26" t="str">
        <f>IFERROR(_xlfn.PERCENTRANK.INC(Table2[True Rank],_xlfn.XLOOKUP(Table1624[[#This Row],[Name]],Table2[Name],Table2[True Rank],"DNP",0,1)),"DNP")</f>
        <v>DNP</v>
      </c>
      <c r="H308" s="26" t="str">
        <f>IFERROR(_xlfn.PERCENTRANK.INC(Table211[True Rank],_xlfn.XLOOKUP(Table1624[[#This Row],[Name]],Table211[Name],Table211[True Rank],"DNP",0,1)),"DNP")</f>
        <v>DNP</v>
      </c>
      <c r="I308" s="26" t="str">
        <f>IFERROR(_xlfn.PERCENTRANK.INC(Table21112[True Rank],_xlfn.XLOOKUP(Table1624[[#This Row],[Name]],Table21112[Name],Table21112[True Rank],"DNP",0,1)),"DNP")</f>
        <v>DNP</v>
      </c>
      <c r="J308" s="26" t="str">
        <f>IFERROR(_xlfn.PERCENTRANK.INC(Table21112164[True Rank],_xlfn.XLOOKUP(Table1624[[#This Row],[Name]],Table21112164[Name],Table21112164[True Rank],"DNP",0,1)),"DNP")</f>
        <v>DNP</v>
      </c>
      <c r="K308" s="26" t="str">
        <f>IFERROR(_xlfn.PERCENTRANK.INC(Table2111216420[True Rank],_xlfn.XLOOKUP(Table1624[[#This Row],[Name]],Table2111216420[Name],Table2111216420[True Rank],"DNP",0,1)),"DNP")</f>
        <v>DNP</v>
      </c>
      <c r="L308" s="26" t="str">
        <f>IFERROR(_xlfn.PERCENTRANK.INC(Table211121642021[True Rank],_xlfn.XLOOKUP(Table1624[[#This Row],[Name]],Table211121642021[Name],Table211121642021[True Rank],"DNP",0,1)),"DNP")</f>
        <v>DNP</v>
      </c>
      <c r="M308" s="26" t="str">
        <f>IFERROR(_xlfn.PERCENTRANK.INC(Table21112164202122[True Rank],_xlfn.XLOOKUP(Table1624[[#This Row],[Name]],Table21112164202122[Name],Table21112164202122[True Rank],"DNP",0,1)),"DNP")</f>
        <v>DNP</v>
      </c>
      <c r="N308" s="26" t="str">
        <f>IFERROR(_xlfn.PERCENTRANK.INC(Table2111216420212223[True Rank],_xlfn.XLOOKUP(Table1624[[#This Row],[Name]],Table2111216420212223[Name],Table2111216420212223[True Rank],"DNP",0,1)),"DNP")</f>
        <v>DNP</v>
      </c>
      <c r="O308" s="26">
        <f>IFERROR(_xlfn.PERCENTRANK.INC(Table211121642021222325[True Rank],_xlfn.XLOOKUP(Table1624[[#This Row],[Name]],Table211121642021222325[Name],Table211121642021222325[True Rank],"DNP",0,1)),"DNP")</f>
        <v>0.61499999999999999</v>
      </c>
      <c r="P308" s="26">
        <f>IFERROR(_xlfn.PERCENTRANK.INC(Table21112164202122232534[True Rank],_xlfn.XLOOKUP(Table1624[[#This Row],[Name]],Table21112164202122232534[Name],Table21112164202122232534[True Rank],"DNP",0,1)),"DNP")</f>
        <v>0.58199999999999996</v>
      </c>
      <c r="Q30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 spans="2:33">
      <c r="B309" t="str">
        <f>IFERROR(Table5[[#This Row],[Full name]],"")</f>
        <v>Shanbir Hira</v>
      </c>
      <c r="C309" s="108">
        <f>IFERROR(AVERAGE(Table1624[[#This Row],[September 30, 2025]:[Column18]]),"N/A")</f>
        <v>0.36</v>
      </c>
      <c r="D309" s="26" t="str">
        <f>IFERROR(_xlfn.PERCENTRANK.INC(Table4[True Rank],_xlfn.XLOOKUP(Table1624[[#This Row],[Name]],Table4[Name],Table4[True Rank],"DNP",0,1)),"DNP")</f>
        <v>DNP</v>
      </c>
      <c r="E309" s="26" t="str">
        <f>IFERROR(_xlfn.PERCENTRANK.INC(Table9[True Rank],_xlfn.XLOOKUP(Table1624[[#This Row],[Name]],Table9[Name],Table9[True Rank],"DNP",0,1)),"DNP")</f>
        <v>DNP</v>
      </c>
      <c r="F309" s="26" t="str">
        <f>IFERROR(_xlfn.PERCENTRANK.INC(Table18[True Rank],_xlfn.XLOOKUP(Table1624[[#This Row],[Name]],Table18[Name],Table18[True Rank],"DNP",0,1)),"DNP")</f>
        <v>DNP</v>
      </c>
      <c r="G309" s="26" t="str">
        <f>IFERROR(_xlfn.PERCENTRANK.INC(Table2[True Rank],_xlfn.XLOOKUP(Table1624[[#This Row],[Name]],Table2[Name],Table2[True Rank],"DNP",0,1)),"DNP")</f>
        <v>DNP</v>
      </c>
      <c r="H309" s="26" t="str">
        <f>IFERROR(_xlfn.PERCENTRANK.INC(Table211[True Rank],_xlfn.XLOOKUP(Table1624[[#This Row],[Name]],Table211[Name],Table211[True Rank],"DNP",0,1)),"DNP")</f>
        <v>DNP</v>
      </c>
      <c r="I309" s="26">
        <f>IFERROR(_xlfn.PERCENTRANK.INC(Table21112[True Rank],_xlfn.XLOOKUP(Table1624[[#This Row],[Name]],Table21112[Name],Table21112[True Rank],"DNP",0,1)),"DNP")</f>
        <v>0.65300000000000002</v>
      </c>
      <c r="J309" s="26">
        <f>IFERROR(_xlfn.PERCENTRANK.INC(Table21112164[True Rank],_xlfn.XLOOKUP(Table1624[[#This Row],[Name]],Table21112164[Name],Table21112164[True Rank],"DNP",0,1)),"DNP")</f>
        <v>6.7000000000000004E-2</v>
      </c>
      <c r="K309" s="26" t="str">
        <f>IFERROR(_xlfn.PERCENTRANK.INC(Table2111216420[True Rank],_xlfn.XLOOKUP(Table1624[[#This Row],[Name]],Table2111216420[Name],Table2111216420[True Rank],"DNP",0,1)),"DNP")</f>
        <v>DNP</v>
      </c>
      <c r="L309" s="26" t="str">
        <f>IFERROR(_xlfn.PERCENTRANK.INC(Table211121642021[True Rank],_xlfn.XLOOKUP(Table1624[[#This Row],[Name]],Table211121642021[Name],Table211121642021[True Rank],"DNP",0,1)),"DNP")</f>
        <v>DNP</v>
      </c>
      <c r="M309" s="26" t="str">
        <f>IFERROR(_xlfn.PERCENTRANK.INC(Table21112164202122[True Rank],_xlfn.XLOOKUP(Table1624[[#This Row],[Name]],Table21112164202122[Name],Table21112164202122[True Rank],"DNP",0,1)),"DNP")</f>
        <v>DNP</v>
      </c>
      <c r="N309" s="26" t="str">
        <f>IFERROR(_xlfn.PERCENTRANK.INC(Table2111216420212223[True Rank],_xlfn.XLOOKUP(Table1624[[#This Row],[Name]],Table2111216420212223[Name],Table2111216420212223[True Rank],"DNP",0,1)),"DNP")</f>
        <v>DNP</v>
      </c>
      <c r="O309" s="26" t="str">
        <f>IFERROR(_xlfn.PERCENTRANK.INC(Table211121642021222325[True Rank],_xlfn.XLOOKUP(Table1624[[#This Row],[Name]],Table211121642021222325[Name],Table211121642021222325[True Rank],"DNP",0,1)),"DNP")</f>
        <v>DNP</v>
      </c>
      <c r="P309" s="26" t="str">
        <f>IFERROR(_xlfn.PERCENTRANK.INC(Table21112164202122232534[True Rank],_xlfn.XLOOKUP(Table1624[[#This Row],[Name]],Table21112164202122232534[Name],Table21112164202122232534[True Rank],"DNP",0,1)),"DNP")</f>
        <v>DNP</v>
      </c>
      <c r="Q30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0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0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0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 spans="2:33">
      <c r="B310" t="str">
        <f>IFERROR(Table5[[#This Row],[Full name]],"")</f>
        <v>Shayaan Tanvir</v>
      </c>
      <c r="C310" s="108">
        <f>IFERROR(AVERAGE(Table1624[[#This Row],[September 30, 2025]:[Column18]]),"N/A")</f>
        <v>0.37142857142857144</v>
      </c>
      <c r="D310" s="26" t="str">
        <f>IFERROR(_xlfn.PERCENTRANK.INC(Table4[True Rank],_xlfn.XLOOKUP(Table1624[[#This Row],[Name]],Table4[Name],Table4[True Rank],"DNP",0,1)),"DNP")</f>
        <v>DNP</v>
      </c>
      <c r="E310" s="26" t="str">
        <f>IFERROR(_xlfn.PERCENTRANK.INC(Table9[True Rank],_xlfn.XLOOKUP(Table1624[[#This Row],[Name]],Table9[Name],Table9[True Rank],"DNP",0,1)),"DNP")</f>
        <v>DNP</v>
      </c>
      <c r="F310" s="26" t="str">
        <f>IFERROR(_xlfn.PERCENTRANK.INC(Table18[True Rank],_xlfn.XLOOKUP(Table1624[[#This Row],[Name]],Table18[Name],Table18[True Rank],"DNP",0,1)),"DNP")</f>
        <v>DNP</v>
      </c>
      <c r="G310" s="26" t="str">
        <f>IFERROR(_xlfn.PERCENTRANK.INC(Table2[True Rank],_xlfn.XLOOKUP(Table1624[[#This Row],[Name]],Table2[Name],Table2[True Rank],"DNP",0,1)),"DNP")</f>
        <v>DNP</v>
      </c>
      <c r="H310" s="26" t="str">
        <f>IFERROR(_xlfn.PERCENTRANK.INC(Table211[True Rank],_xlfn.XLOOKUP(Table1624[[#This Row],[Name]],Table211[Name],Table211[True Rank],"DNP",0,1)),"DNP")</f>
        <v>DNP</v>
      </c>
      <c r="I310" s="26" t="str">
        <f>IFERROR(_xlfn.PERCENTRANK.INC(Table21112[True Rank],_xlfn.XLOOKUP(Table1624[[#This Row],[Name]],Table21112[Name],Table21112[True Rank],"DNP",0,1)),"DNP")</f>
        <v>DNP</v>
      </c>
      <c r="J310" s="26" t="str">
        <f>IFERROR(_xlfn.PERCENTRANK.INC(Table21112164[True Rank],_xlfn.XLOOKUP(Table1624[[#This Row],[Name]],Table21112164[Name],Table21112164[True Rank],"DNP",0,1)),"DNP")</f>
        <v>DNP</v>
      </c>
      <c r="K310" s="26" t="str">
        <f>IFERROR(_xlfn.PERCENTRANK.INC(Table2111216420[True Rank],_xlfn.XLOOKUP(Table1624[[#This Row],[Name]],Table2111216420[Name],Table2111216420[True Rank],"DNP",0,1)),"DNP")</f>
        <v>DNP</v>
      </c>
      <c r="L310" s="26">
        <f>IFERROR(_xlfn.PERCENTRANK.INC(Table211121642021[True Rank],_xlfn.XLOOKUP(Table1624[[#This Row],[Name]],Table211121642021[Name],Table211121642021[True Rank],"DNP",0,1)),"DNP")</f>
        <v>0.25800000000000001</v>
      </c>
      <c r="M310" s="26">
        <f>IFERROR(_xlfn.PERCENTRANK.INC(Table21112164202122[True Rank],_xlfn.XLOOKUP(Table1624[[#This Row],[Name]],Table21112164202122[Name],Table21112164202122[True Rank],"DNP",0,1)),"DNP")</f>
        <v>0.48799999999999999</v>
      </c>
      <c r="N310" s="26">
        <f>IFERROR(_xlfn.PERCENTRANK.INC(Table2111216420212223[True Rank],_xlfn.XLOOKUP(Table1624[[#This Row],[Name]],Table2111216420212223[Name],Table2111216420212223[True Rank],"DNP",0,1)),"DNP")</f>
        <v>0.17499999999999999</v>
      </c>
      <c r="O310" s="26">
        <f>IFERROR(_xlfn.PERCENTRANK.INC(Table211121642021222325[True Rank],_xlfn.XLOOKUP(Table1624[[#This Row],[Name]],Table211121642021222325[Name],Table211121642021222325[True Rank],"DNP",0,1)),"DNP")</f>
        <v>0.153</v>
      </c>
      <c r="P310" s="26">
        <f>IFERROR(_xlfn.PERCENTRANK.INC(Table21112164202122232534[True Rank],_xlfn.XLOOKUP(Table1624[[#This Row],[Name]],Table21112164202122232534[Name],Table21112164202122232534[True Rank],"DNP",0,1)),"DNP")</f>
        <v>0.40600000000000003</v>
      </c>
      <c r="Q310" s="26">
        <f>IFERROR(_xlfn.PERCENTRANK.INC(Table2111216420212223253435[True Rank],_xlfn.XLOOKUP(Table1624[[#This Row],[Name]],Table2111216420212223253435[Name],Table2111216420212223253435[True Rank],"DNP",0,1)),"DNP")</f>
        <v>0.56000000000000005</v>
      </c>
      <c r="R310" s="26">
        <f>IFERROR(_xlfn.PERCENTRANK.INC(Table211121642021222325343536[True Rank],_xlfn.XLOOKUP(Table1624[[#This Row],[Name]],Table211121642021222325343536[Name],Table211121642021222325343536[True Rank],"DNP",0,1)),"DNP")</f>
        <v>0.56000000000000005</v>
      </c>
      <c r="S31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 spans="2:33">
      <c r="B311" t="str">
        <f>IFERROR(Table5[[#This Row],[Full name]],"")</f>
        <v>Shayan Ahmed</v>
      </c>
      <c r="C311" s="108">
        <f>IFERROR(AVERAGE(Table1624[[#This Row],[September 30, 2025]:[Column18]]),"N/A")</f>
        <v>0.30625000000000002</v>
      </c>
      <c r="D311" s="26">
        <f>IFERROR(_xlfn.PERCENTRANK.INC(Table4[True Rank],_xlfn.XLOOKUP(Table1624[[#This Row],[Name]],Table4[Name],Table4[True Rank],"DNP",0,1)),"DNP")</f>
        <v>0.71499999999999997</v>
      </c>
      <c r="E311" s="26" t="str">
        <f>IFERROR(_xlfn.PERCENTRANK.INC(Table9[True Rank],_xlfn.XLOOKUP(Table1624[[#This Row],[Name]],Table9[Name],Table9[True Rank],"DNP",0,1)),"DNP")</f>
        <v>DNP</v>
      </c>
      <c r="F311" s="26">
        <f>IFERROR(_xlfn.PERCENTRANK.INC(Table18[True Rank],_xlfn.XLOOKUP(Table1624[[#This Row],[Name]],Table18[Name],Table18[True Rank],"DNP",0,1)),"DNP")</f>
        <v>0.34300000000000003</v>
      </c>
      <c r="G311" s="26">
        <f>IFERROR(_xlfn.PERCENTRANK.INC(Table2[True Rank],_xlfn.XLOOKUP(Table1624[[#This Row],[Name]],Table2[Name],Table2[True Rank],"DNP",0,1)),"DNP")</f>
        <v>4.7E-2</v>
      </c>
      <c r="H311" s="26" t="str">
        <f>IFERROR(_xlfn.PERCENTRANK.INC(Table211[True Rank],_xlfn.XLOOKUP(Table1624[[#This Row],[Name]],Table211[Name],Table211[True Rank],"DNP",0,1)),"DNP")</f>
        <v>DNP</v>
      </c>
      <c r="I311" s="26" t="str">
        <f>IFERROR(_xlfn.PERCENTRANK.INC(Table21112[True Rank],_xlfn.XLOOKUP(Table1624[[#This Row],[Name]],Table21112[Name],Table21112[True Rank],"DNP",0,1)),"DNP")</f>
        <v>DNP</v>
      </c>
      <c r="J311" s="26" t="str">
        <f>IFERROR(_xlfn.PERCENTRANK.INC(Table21112164[True Rank],_xlfn.XLOOKUP(Table1624[[#This Row],[Name]],Table21112164[Name],Table21112164[True Rank],"DNP",0,1)),"DNP")</f>
        <v>DNP</v>
      </c>
      <c r="K311" s="26" t="str">
        <f>IFERROR(_xlfn.PERCENTRANK.INC(Table2111216420[True Rank],_xlfn.XLOOKUP(Table1624[[#This Row],[Name]],Table2111216420[Name],Table2111216420[True Rank],"DNP",0,1)),"DNP")</f>
        <v>DNP</v>
      </c>
      <c r="L311" s="26" t="str">
        <f>IFERROR(_xlfn.PERCENTRANK.INC(Table211121642021[True Rank],_xlfn.XLOOKUP(Table1624[[#This Row],[Name]],Table211121642021[Name],Table211121642021[True Rank],"DNP",0,1)),"DNP")</f>
        <v>DNP</v>
      </c>
      <c r="M311" s="26" t="str">
        <f>IFERROR(_xlfn.PERCENTRANK.INC(Table21112164202122[True Rank],_xlfn.XLOOKUP(Table1624[[#This Row],[Name]],Table21112164202122[Name],Table21112164202122[True Rank],"DNP",0,1)),"DNP")</f>
        <v>DNP</v>
      </c>
      <c r="N311" s="26" t="str">
        <f>IFERROR(_xlfn.PERCENTRANK.INC(Table2111216420212223[True Rank],_xlfn.XLOOKUP(Table1624[[#This Row],[Name]],Table2111216420212223[Name],Table2111216420212223[True Rank],"DNP",0,1)),"DNP")</f>
        <v>DNP</v>
      </c>
      <c r="O311" s="26" t="str">
        <f>IFERROR(_xlfn.PERCENTRANK.INC(Table211121642021222325[True Rank],_xlfn.XLOOKUP(Table1624[[#This Row],[Name]],Table211121642021222325[Name],Table211121642021222325[True Rank],"DNP",0,1)),"DNP")</f>
        <v>DNP</v>
      </c>
      <c r="P311" s="26">
        <f>IFERROR(_xlfn.PERCENTRANK.INC(Table21112164202122232534[True Rank],_xlfn.XLOOKUP(Table1624[[#This Row],[Name]],Table21112164202122232534[Name],Table21112164202122232534[True Rank],"DNP",0,1)),"DNP")</f>
        <v>0.12</v>
      </c>
      <c r="Q31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 spans="2:33">
      <c r="B312" t="str">
        <f>IFERROR(Table5[[#This Row],[Full name]],"")</f>
        <v>Shiyu Sun</v>
      </c>
      <c r="C312" s="108">
        <f>IFERROR(AVERAGE(Table1624[[#This Row],[September 30, 2025]:[Column18]]),"N/A")</f>
        <v>0.89300000000000002</v>
      </c>
      <c r="D312" s="26" t="str">
        <f>IFERROR(_xlfn.PERCENTRANK.INC(Table4[True Rank],_xlfn.XLOOKUP(Table1624[[#This Row],[Name]],Table4[Name],Table4[True Rank],"DNP",0,1)),"DNP")</f>
        <v>DNP</v>
      </c>
      <c r="E312" s="26" t="str">
        <f>IFERROR(_xlfn.PERCENTRANK.INC(Table9[True Rank],_xlfn.XLOOKUP(Table1624[[#This Row],[Name]],Table9[Name],Table9[True Rank],"DNP",0,1)),"DNP")</f>
        <v>DNP</v>
      </c>
      <c r="F312" s="26" t="str">
        <f>IFERROR(_xlfn.PERCENTRANK.INC(Table18[True Rank],_xlfn.XLOOKUP(Table1624[[#This Row],[Name]],Table18[Name],Table18[True Rank],"DNP",0,1)),"DNP")</f>
        <v>DNP</v>
      </c>
      <c r="G312" s="26" t="str">
        <f>IFERROR(_xlfn.PERCENTRANK.INC(Table2[True Rank],_xlfn.XLOOKUP(Table1624[[#This Row],[Name]],Table2[Name],Table2[True Rank],"DNP",0,1)),"DNP")</f>
        <v>DNP</v>
      </c>
      <c r="H312" s="26" t="str">
        <f>IFERROR(_xlfn.PERCENTRANK.INC(Table211[True Rank],_xlfn.XLOOKUP(Table1624[[#This Row],[Name]],Table211[Name],Table211[True Rank],"DNP",0,1)),"DNP")</f>
        <v>DNP</v>
      </c>
      <c r="I312" s="26" t="str">
        <f>IFERROR(_xlfn.PERCENTRANK.INC(Table21112[True Rank],_xlfn.XLOOKUP(Table1624[[#This Row],[Name]],Table21112[Name],Table21112[True Rank],"DNP",0,1)),"DNP")</f>
        <v>DNP</v>
      </c>
      <c r="J312" s="26" t="str">
        <f>IFERROR(_xlfn.PERCENTRANK.INC(Table21112164[True Rank],_xlfn.XLOOKUP(Table1624[[#This Row],[Name]],Table21112164[Name],Table21112164[True Rank],"DNP",0,1)),"DNP")</f>
        <v>DNP</v>
      </c>
      <c r="K312" s="26">
        <f>IFERROR(_xlfn.PERCENTRANK.INC(Table2111216420[True Rank],_xlfn.XLOOKUP(Table1624[[#This Row],[Name]],Table2111216420[Name],Table2111216420[True Rank],"DNP",0,1)),"DNP")</f>
        <v>0.89300000000000002</v>
      </c>
      <c r="L312" s="26" t="str">
        <f>IFERROR(_xlfn.PERCENTRANK.INC(Table211121642021[True Rank],_xlfn.XLOOKUP(Table1624[[#This Row],[Name]],Table211121642021[Name],Table211121642021[True Rank],"DNP",0,1)),"DNP")</f>
        <v>DNP</v>
      </c>
      <c r="M312" s="26" t="str">
        <f>IFERROR(_xlfn.PERCENTRANK.INC(Table21112164202122[True Rank],_xlfn.XLOOKUP(Table1624[[#This Row],[Name]],Table21112164202122[Name],Table21112164202122[True Rank],"DNP",0,1)),"DNP")</f>
        <v>DNP</v>
      </c>
      <c r="N312" s="26" t="str">
        <f>IFERROR(_xlfn.PERCENTRANK.INC(Table2111216420212223[True Rank],_xlfn.XLOOKUP(Table1624[[#This Row],[Name]],Table2111216420212223[Name],Table2111216420212223[True Rank],"DNP",0,1)),"DNP")</f>
        <v>DNP</v>
      </c>
      <c r="O312" s="26" t="str">
        <f>IFERROR(_xlfn.PERCENTRANK.INC(Table211121642021222325[True Rank],_xlfn.XLOOKUP(Table1624[[#This Row],[Name]],Table211121642021222325[Name],Table211121642021222325[True Rank],"DNP",0,1)),"DNP")</f>
        <v>DNP</v>
      </c>
      <c r="P312" s="26" t="str">
        <f>IFERROR(_xlfn.PERCENTRANK.INC(Table21112164202122232534[True Rank],_xlfn.XLOOKUP(Table1624[[#This Row],[Name]],Table21112164202122232534[Name],Table21112164202122232534[True Rank],"DNP",0,1)),"DNP")</f>
        <v>DNP</v>
      </c>
      <c r="Q31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 spans="2:33">
      <c r="B313" t="str">
        <f>IFERROR(Table5[[#This Row],[Full name]],"")</f>
        <v>Sierra Hermary</v>
      </c>
      <c r="C313" s="108" t="str">
        <f>IFERROR(AVERAGE(Table1624[[#This Row],[September 30, 2025]:[Column18]]),"N/A")</f>
        <v>N/A</v>
      </c>
      <c r="D313" s="26" t="str">
        <f>IFERROR(_xlfn.PERCENTRANK.INC(Table4[True Rank],_xlfn.XLOOKUP(Table1624[[#This Row],[Name]],Table4[Name],Table4[True Rank],"DNP",0,1)),"DNP")</f>
        <v>DNP</v>
      </c>
      <c r="E313" s="26" t="str">
        <f>IFERROR(_xlfn.PERCENTRANK.INC(Table9[True Rank],_xlfn.XLOOKUP(Table1624[[#This Row],[Name]],Table9[Name],Table9[True Rank],"DNP",0,1)),"DNP")</f>
        <v>DNP</v>
      </c>
      <c r="F313" s="26" t="str">
        <f>IFERROR(_xlfn.PERCENTRANK.INC(Table18[True Rank],_xlfn.XLOOKUP(Table1624[[#This Row],[Name]],Table18[Name],Table18[True Rank],"DNP",0,1)),"DNP")</f>
        <v>DNP</v>
      </c>
      <c r="G313" s="26" t="str">
        <f>IFERROR(_xlfn.PERCENTRANK.INC(Table2[True Rank],_xlfn.XLOOKUP(Table1624[[#This Row],[Name]],Table2[Name],Table2[True Rank],"DNP",0,1)),"DNP")</f>
        <v>DNP</v>
      </c>
      <c r="H313" s="26" t="str">
        <f>IFERROR(_xlfn.PERCENTRANK.INC(Table211[True Rank],_xlfn.XLOOKUP(Table1624[[#This Row],[Name]],Table211[Name],Table211[True Rank],"DNP",0,1)),"DNP")</f>
        <v>DNP</v>
      </c>
      <c r="I313" s="26" t="str">
        <f>IFERROR(_xlfn.PERCENTRANK.INC(Table21112[True Rank],_xlfn.XLOOKUP(Table1624[[#This Row],[Name]],Table21112[Name],Table21112[True Rank],"DNP",0,1)),"DNP")</f>
        <v>DNP</v>
      </c>
      <c r="J313" s="26" t="str">
        <f>IFERROR(_xlfn.PERCENTRANK.INC(Table21112164[True Rank],_xlfn.XLOOKUP(Table1624[[#This Row],[Name]],Table21112164[Name],Table21112164[True Rank],"DNP",0,1)),"DNP")</f>
        <v>DNP</v>
      </c>
      <c r="K313" s="26" t="str">
        <f>IFERROR(_xlfn.PERCENTRANK.INC(Table2111216420[True Rank],_xlfn.XLOOKUP(Table1624[[#This Row],[Name]],Table2111216420[Name],Table2111216420[True Rank],"DNP",0,1)),"DNP")</f>
        <v>DNP</v>
      </c>
      <c r="L313" s="26" t="str">
        <f>IFERROR(_xlfn.PERCENTRANK.INC(Table211121642021[True Rank],_xlfn.XLOOKUP(Table1624[[#This Row],[Name]],Table211121642021[Name],Table211121642021[True Rank],"DNP",0,1)),"DNP")</f>
        <v>DNP</v>
      </c>
      <c r="M313" s="26" t="str">
        <f>IFERROR(_xlfn.PERCENTRANK.INC(Table21112164202122[True Rank],_xlfn.XLOOKUP(Table1624[[#This Row],[Name]],Table21112164202122[Name],Table21112164202122[True Rank],"DNP",0,1)),"DNP")</f>
        <v>DNP</v>
      </c>
      <c r="N313" s="26" t="str">
        <f>IFERROR(_xlfn.PERCENTRANK.INC(Table2111216420212223[True Rank],_xlfn.XLOOKUP(Table1624[[#This Row],[Name]],Table2111216420212223[Name],Table2111216420212223[True Rank],"DNP",0,1)),"DNP")</f>
        <v>DNP</v>
      </c>
      <c r="O313" s="26" t="str">
        <f>IFERROR(_xlfn.PERCENTRANK.INC(Table211121642021222325[True Rank],_xlfn.XLOOKUP(Table1624[[#This Row],[Name]],Table211121642021222325[Name],Table211121642021222325[True Rank],"DNP",0,1)),"DNP")</f>
        <v>DNP</v>
      </c>
      <c r="P313" s="26" t="str">
        <f>IFERROR(_xlfn.PERCENTRANK.INC(Table21112164202122232534[True Rank],_xlfn.XLOOKUP(Table1624[[#This Row],[Name]],Table21112164202122232534[Name],Table21112164202122232534[True Rank],"DNP",0,1)),"DNP")</f>
        <v>DNP</v>
      </c>
      <c r="Q31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 spans="2:33">
      <c r="B314" t="str">
        <f>IFERROR(Table5[[#This Row],[Full name]],"")</f>
        <v>Spencer Bulley</v>
      </c>
      <c r="C314" s="108">
        <f>IFERROR(AVERAGE(Table1624[[#This Row],[September 30, 2025]:[Column18]]),"N/A")</f>
        <v>0.56499999999999995</v>
      </c>
      <c r="D314" s="26" t="str">
        <f>IFERROR(_xlfn.PERCENTRANK.INC(Table4[True Rank],_xlfn.XLOOKUP(Table1624[[#This Row],[Name]],Table4[Name],Table4[True Rank],"DNP",0,1)),"DNP")</f>
        <v>DNP</v>
      </c>
      <c r="E314" s="26" t="str">
        <f>IFERROR(_xlfn.PERCENTRANK.INC(Table9[True Rank],_xlfn.XLOOKUP(Table1624[[#This Row],[Name]],Table9[Name],Table9[True Rank],"DNP",0,1)),"DNP")</f>
        <v>DNP</v>
      </c>
      <c r="F314" s="26">
        <f>IFERROR(_xlfn.PERCENTRANK.INC(Table18[True Rank],_xlfn.XLOOKUP(Table1624[[#This Row],[Name]],Table18[Name],Table18[True Rank],"DNP",0,1)),"DNP")</f>
        <v>0.56499999999999995</v>
      </c>
      <c r="G314" s="26" t="str">
        <f>IFERROR(_xlfn.PERCENTRANK.INC(Table2[True Rank],_xlfn.XLOOKUP(Table1624[[#This Row],[Name]],Table2[Name],Table2[True Rank],"DNP",0,1)),"DNP")</f>
        <v>DNP</v>
      </c>
      <c r="H314" s="26" t="str">
        <f>IFERROR(_xlfn.PERCENTRANK.INC(Table211[True Rank],_xlfn.XLOOKUP(Table1624[[#This Row],[Name]],Table211[Name],Table211[True Rank],"DNP",0,1)),"DNP")</f>
        <v>DNP</v>
      </c>
      <c r="I314" s="26" t="str">
        <f>IFERROR(_xlfn.PERCENTRANK.INC(Table21112[True Rank],_xlfn.XLOOKUP(Table1624[[#This Row],[Name]],Table21112[Name],Table21112[True Rank],"DNP",0,1)),"DNP")</f>
        <v>DNP</v>
      </c>
      <c r="J314" s="26" t="str">
        <f>IFERROR(_xlfn.PERCENTRANK.INC(Table21112164[True Rank],_xlfn.XLOOKUP(Table1624[[#This Row],[Name]],Table21112164[Name],Table21112164[True Rank],"DNP",0,1)),"DNP")</f>
        <v>DNP</v>
      </c>
      <c r="K314" s="26" t="str">
        <f>IFERROR(_xlfn.PERCENTRANK.INC(Table2111216420[True Rank],_xlfn.XLOOKUP(Table1624[[#This Row],[Name]],Table2111216420[Name],Table2111216420[True Rank],"DNP",0,1)),"DNP")</f>
        <v>DNP</v>
      </c>
      <c r="L314" s="26" t="str">
        <f>IFERROR(_xlfn.PERCENTRANK.INC(Table211121642021[True Rank],_xlfn.XLOOKUP(Table1624[[#This Row],[Name]],Table211121642021[Name],Table211121642021[True Rank],"DNP",0,1)),"DNP")</f>
        <v>DNP</v>
      </c>
      <c r="M314" s="26" t="str">
        <f>IFERROR(_xlfn.PERCENTRANK.INC(Table21112164202122[True Rank],_xlfn.XLOOKUP(Table1624[[#This Row],[Name]],Table21112164202122[Name],Table21112164202122[True Rank],"DNP",0,1)),"DNP")</f>
        <v>DNP</v>
      </c>
      <c r="N314" s="26" t="str">
        <f>IFERROR(_xlfn.PERCENTRANK.INC(Table2111216420212223[True Rank],_xlfn.XLOOKUP(Table1624[[#This Row],[Name]],Table2111216420212223[Name],Table2111216420212223[True Rank],"DNP",0,1)),"DNP")</f>
        <v>DNP</v>
      </c>
      <c r="O314" s="26" t="str">
        <f>IFERROR(_xlfn.PERCENTRANK.INC(Table211121642021222325[True Rank],_xlfn.XLOOKUP(Table1624[[#This Row],[Name]],Table211121642021222325[Name],Table211121642021222325[True Rank],"DNP",0,1)),"DNP")</f>
        <v>DNP</v>
      </c>
      <c r="P314" s="26" t="str">
        <f>IFERROR(_xlfn.PERCENTRANK.INC(Table21112164202122232534[True Rank],_xlfn.XLOOKUP(Table1624[[#This Row],[Name]],Table21112164202122232534[Name],Table21112164202122232534[True Rank],"DNP",0,1)),"DNP")</f>
        <v>DNP</v>
      </c>
      <c r="Q31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 spans="2:33">
      <c r="B315" t="str">
        <f>IFERROR(Table5[[#This Row],[Full name]],"")</f>
        <v>Steven Kom</v>
      </c>
      <c r="C315" s="108">
        <f>IFERROR(AVERAGE(Table1624[[#This Row],[September 30, 2025]:[Column18]]),"N/A")</f>
        <v>0.66533333333333333</v>
      </c>
      <c r="D315" s="26" t="str">
        <f>IFERROR(_xlfn.PERCENTRANK.INC(Table4[True Rank],_xlfn.XLOOKUP(Table1624[[#This Row],[Name]],Table4[Name],Table4[True Rank],"DNP",0,1)),"DNP")</f>
        <v>DNP</v>
      </c>
      <c r="E315" s="26">
        <f>IFERROR(_xlfn.PERCENTRANK.INC(Table9[True Rank],_xlfn.XLOOKUP(Table1624[[#This Row],[Name]],Table9[Name],Table9[True Rank],"DNP",0,1)),"DNP")</f>
        <v>0.67800000000000005</v>
      </c>
      <c r="F315" s="26">
        <f>IFERROR(_xlfn.PERCENTRANK.INC(Table18[True Rank],_xlfn.XLOOKUP(Table1624[[#This Row],[Name]],Table18[Name],Table18[True Rank],"DNP",0,1)),"DNP")</f>
        <v>0.86799999999999999</v>
      </c>
      <c r="G315" s="26" t="str">
        <f>IFERROR(_xlfn.PERCENTRANK.INC(Table2[True Rank],_xlfn.XLOOKUP(Table1624[[#This Row],[Name]],Table2[Name],Table2[True Rank],"DNP",0,1)),"DNP")</f>
        <v>DNP</v>
      </c>
      <c r="H315" s="26" t="str">
        <f>IFERROR(_xlfn.PERCENTRANK.INC(Table211[True Rank],_xlfn.XLOOKUP(Table1624[[#This Row],[Name]],Table211[Name],Table211[True Rank],"DNP",0,1)),"DNP")</f>
        <v>DNP</v>
      </c>
      <c r="I315" s="26" t="str">
        <f>IFERROR(_xlfn.PERCENTRANK.INC(Table21112[True Rank],_xlfn.XLOOKUP(Table1624[[#This Row],[Name]],Table21112[Name],Table21112[True Rank],"DNP",0,1)),"DNP")</f>
        <v>DNP</v>
      </c>
      <c r="J315" s="26" t="str">
        <f>IFERROR(_xlfn.PERCENTRANK.INC(Table21112164[True Rank],_xlfn.XLOOKUP(Table1624[[#This Row],[Name]],Table21112164[Name],Table21112164[True Rank],"DNP",0,1)),"DNP")</f>
        <v>DNP</v>
      </c>
      <c r="K315" s="26" t="str">
        <f>IFERROR(_xlfn.PERCENTRANK.INC(Table2111216420[True Rank],_xlfn.XLOOKUP(Table1624[[#This Row],[Name]],Table2111216420[Name],Table2111216420[True Rank],"DNP",0,1)),"DNP")</f>
        <v>DNP</v>
      </c>
      <c r="L315" s="26" t="str">
        <f>IFERROR(_xlfn.PERCENTRANK.INC(Table211121642021[True Rank],_xlfn.XLOOKUP(Table1624[[#This Row],[Name]],Table211121642021[Name],Table211121642021[True Rank],"DNP",0,1)),"DNP")</f>
        <v>DNP</v>
      </c>
      <c r="M315" s="26" t="str">
        <f>IFERROR(_xlfn.PERCENTRANK.INC(Table21112164202122[True Rank],_xlfn.XLOOKUP(Table1624[[#This Row],[Name]],Table21112164202122[Name],Table21112164202122[True Rank],"DNP",0,1)),"DNP")</f>
        <v>DNP</v>
      </c>
      <c r="N315" s="26" t="str">
        <f>IFERROR(_xlfn.PERCENTRANK.INC(Table2111216420212223[True Rank],_xlfn.XLOOKUP(Table1624[[#This Row],[Name]],Table2111216420212223[Name],Table2111216420212223[True Rank],"DNP",0,1)),"DNP")</f>
        <v>DNP</v>
      </c>
      <c r="O315" s="26" t="str">
        <f>IFERROR(_xlfn.PERCENTRANK.INC(Table211121642021222325[True Rank],_xlfn.XLOOKUP(Table1624[[#This Row],[Name]],Table211121642021222325[Name],Table211121642021222325[True Rank],"DNP",0,1)),"DNP")</f>
        <v>DNP</v>
      </c>
      <c r="P315" s="26">
        <f>IFERROR(_xlfn.PERCENTRANK.INC(Table21112164202122232534[True Rank],_xlfn.XLOOKUP(Table1624[[#This Row],[Name]],Table21112164202122232534[Name],Table21112164202122232534[True Rank],"DNP",0,1)),"DNP")</f>
        <v>0.45</v>
      </c>
      <c r="Q31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 spans="2:33">
      <c r="B316" t="str">
        <f>IFERROR(Table5[[#This Row],[Full name]],"")</f>
        <v>Steven Luo</v>
      </c>
      <c r="C316" s="108">
        <f>IFERROR(AVERAGE(Table1624[[#This Row],[September 30, 2025]:[Column18]]),"N/A")</f>
        <v>0.84499999999999997</v>
      </c>
      <c r="D316" s="26" t="str">
        <f>IFERROR(_xlfn.PERCENTRANK.INC(Table4[True Rank],_xlfn.XLOOKUP(Table1624[[#This Row],[Name]],Table4[Name],Table4[True Rank],"DNP",0,1)),"DNP")</f>
        <v>DNP</v>
      </c>
      <c r="E316" s="26" t="str">
        <f>IFERROR(_xlfn.PERCENTRANK.INC(Table9[True Rank],_xlfn.XLOOKUP(Table1624[[#This Row],[Name]],Table9[Name],Table9[True Rank],"DNP",0,1)),"DNP")</f>
        <v>DNP</v>
      </c>
      <c r="F316" s="26" t="str">
        <f>IFERROR(_xlfn.PERCENTRANK.INC(Table18[True Rank],_xlfn.XLOOKUP(Table1624[[#This Row],[Name]],Table18[Name],Table18[True Rank],"DNP",0,1)),"DNP")</f>
        <v>DNP</v>
      </c>
      <c r="G316" s="26" t="str">
        <f>IFERROR(_xlfn.PERCENTRANK.INC(Table2[True Rank],_xlfn.XLOOKUP(Table1624[[#This Row],[Name]],Table2[Name],Table2[True Rank],"DNP",0,1)),"DNP")</f>
        <v>DNP</v>
      </c>
      <c r="H316" s="26">
        <f>IFERROR(_xlfn.PERCENTRANK.INC(Table211[True Rank],_xlfn.XLOOKUP(Table1624[[#This Row],[Name]],Table211[Name],Table211[True Rank],"DNP",0,1)),"DNP")</f>
        <v>0.84499999999999997</v>
      </c>
      <c r="I316" s="26" t="str">
        <f>IFERROR(_xlfn.PERCENTRANK.INC(Table21112[True Rank],_xlfn.XLOOKUP(Table1624[[#This Row],[Name]],Table21112[Name],Table21112[True Rank],"DNP",0,1)),"DNP")</f>
        <v>DNP</v>
      </c>
      <c r="J316" s="26" t="str">
        <f>IFERROR(_xlfn.PERCENTRANK.INC(Table21112164[True Rank],_xlfn.XLOOKUP(Table1624[[#This Row],[Name]],Table21112164[Name],Table21112164[True Rank],"DNP",0,1)),"DNP")</f>
        <v>DNP</v>
      </c>
      <c r="K316" s="26" t="str">
        <f>IFERROR(_xlfn.PERCENTRANK.INC(Table2111216420[True Rank],_xlfn.XLOOKUP(Table1624[[#This Row],[Name]],Table2111216420[Name],Table2111216420[True Rank],"DNP",0,1)),"DNP")</f>
        <v>DNP</v>
      </c>
      <c r="L316" s="26" t="str">
        <f>IFERROR(_xlfn.PERCENTRANK.INC(Table211121642021[True Rank],_xlfn.XLOOKUP(Table1624[[#This Row],[Name]],Table211121642021[Name],Table211121642021[True Rank],"DNP",0,1)),"DNP")</f>
        <v>DNP</v>
      </c>
      <c r="M316" s="26" t="str">
        <f>IFERROR(_xlfn.PERCENTRANK.INC(Table21112164202122[True Rank],_xlfn.XLOOKUP(Table1624[[#This Row],[Name]],Table21112164202122[Name],Table21112164202122[True Rank],"DNP",0,1)),"DNP")</f>
        <v>DNP</v>
      </c>
      <c r="N316" s="26" t="str">
        <f>IFERROR(_xlfn.PERCENTRANK.INC(Table2111216420212223[True Rank],_xlfn.XLOOKUP(Table1624[[#This Row],[Name]],Table2111216420212223[Name],Table2111216420212223[True Rank],"DNP",0,1)),"DNP")</f>
        <v>DNP</v>
      </c>
      <c r="O316" s="26" t="str">
        <f>IFERROR(_xlfn.PERCENTRANK.INC(Table211121642021222325[True Rank],_xlfn.XLOOKUP(Table1624[[#This Row],[Name]],Table211121642021222325[Name],Table211121642021222325[True Rank],"DNP",0,1)),"DNP")</f>
        <v>DNP</v>
      </c>
      <c r="P316" s="26" t="str">
        <f>IFERROR(_xlfn.PERCENTRANK.INC(Table21112164202122232534[True Rank],_xlfn.XLOOKUP(Table1624[[#This Row],[Name]],Table21112164202122232534[Name],Table21112164202122232534[True Rank],"DNP",0,1)),"DNP")</f>
        <v>DNP</v>
      </c>
      <c r="Q31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 spans="2:33">
      <c r="B317" t="str">
        <f>IFERROR(Table5[[#This Row],[Full name]],"")</f>
        <v>Sulang Hou</v>
      </c>
      <c r="C317" s="108">
        <f>IFERROR(AVERAGE(Table1624[[#This Row],[September 30, 2025]:[Column18]]),"N/A")</f>
        <v>0.56499999999999995</v>
      </c>
      <c r="D317" s="26" t="str">
        <f>IFERROR(_xlfn.PERCENTRANK.INC(Table4[True Rank],_xlfn.XLOOKUP(Table1624[[#This Row],[Name]],Table4[Name],Table4[True Rank],"DNP",0,1)),"DNP")</f>
        <v>DNP</v>
      </c>
      <c r="E317" s="26" t="str">
        <f>IFERROR(_xlfn.PERCENTRANK.INC(Table9[True Rank],_xlfn.XLOOKUP(Table1624[[#This Row],[Name]],Table9[Name],Table9[True Rank],"DNP",0,1)),"DNP")</f>
        <v>DNP</v>
      </c>
      <c r="F317" s="26">
        <f>IFERROR(_xlfn.PERCENTRANK.INC(Table18[True Rank],_xlfn.XLOOKUP(Table1624[[#This Row],[Name]],Table18[Name],Table18[True Rank],"DNP",0,1)),"DNP")</f>
        <v>0.56499999999999995</v>
      </c>
      <c r="G317" s="26" t="str">
        <f>IFERROR(_xlfn.PERCENTRANK.INC(Table2[True Rank],_xlfn.XLOOKUP(Table1624[[#This Row],[Name]],Table2[Name],Table2[True Rank],"DNP",0,1)),"DNP")</f>
        <v>DNP</v>
      </c>
      <c r="H317" s="26" t="str">
        <f>IFERROR(_xlfn.PERCENTRANK.INC(Table211[True Rank],_xlfn.XLOOKUP(Table1624[[#This Row],[Name]],Table211[Name],Table211[True Rank],"DNP",0,1)),"DNP")</f>
        <v>DNP</v>
      </c>
      <c r="I317" s="26" t="str">
        <f>IFERROR(_xlfn.PERCENTRANK.INC(Table21112[True Rank],_xlfn.XLOOKUP(Table1624[[#This Row],[Name]],Table21112[Name],Table21112[True Rank],"DNP",0,1)),"DNP")</f>
        <v>DNP</v>
      </c>
      <c r="J317" s="26" t="str">
        <f>IFERROR(_xlfn.PERCENTRANK.INC(Table21112164[True Rank],_xlfn.XLOOKUP(Table1624[[#This Row],[Name]],Table21112164[Name],Table21112164[True Rank],"DNP",0,1)),"DNP")</f>
        <v>DNP</v>
      </c>
      <c r="K317" s="26" t="str">
        <f>IFERROR(_xlfn.PERCENTRANK.INC(Table2111216420[True Rank],_xlfn.XLOOKUP(Table1624[[#This Row],[Name]],Table2111216420[Name],Table2111216420[True Rank],"DNP",0,1)),"DNP")</f>
        <v>DNP</v>
      </c>
      <c r="L317" s="26" t="str">
        <f>IFERROR(_xlfn.PERCENTRANK.INC(Table211121642021[True Rank],_xlfn.XLOOKUP(Table1624[[#This Row],[Name]],Table211121642021[Name],Table211121642021[True Rank],"DNP",0,1)),"DNP")</f>
        <v>DNP</v>
      </c>
      <c r="M317" s="26" t="str">
        <f>IFERROR(_xlfn.PERCENTRANK.INC(Table21112164202122[True Rank],_xlfn.XLOOKUP(Table1624[[#This Row],[Name]],Table21112164202122[Name],Table21112164202122[True Rank],"DNP",0,1)),"DNP")</f>
        <v>DNP</v>
      </c>
      <c r="N317" s="26" t="str">
        <f>IFERROR(_xlfn.PERCENTRANK.INC(Table2111216420212223[True Rank],_xlfn.XLOOKUP(Table1624[[#This Row],[Name]],Table2111216420212223[Name],Table2111216420212223[True Rank],"DNP",0,1)),"DNP")</f>
        <v>DNP</v>
      </c>
      <c r="O317" s="26" t="str">
        <f>IFERROR(_xlfn.PERCENTRANK.INC(Table211121642021222325[True Rank],_xlfn.XLOOKUP(Table1624[[#This Row],[Name]],Table211121642021222325[Name],Table211121642021222325[True Rank],"DNP",0,1)),"DNP")</f>
        <v>DNP</v>
      </c>
      <c r="P317" s="26" t="str">
        <f>IFERROR(_xlfn.PERCENTRANK.INC(Table21112164202122232534[True Rank],_xlfn.XLOOKUP(Table1624[[#This Row],[Name]],Table21112164202122232534[Name],Table21112164202122232534[True Rank],"DNP",0,1)),"DNP")</f>
        <v>DNP</v>
      </c>
      <c r="Q31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 spans="2:33">
      <c r="B318" t="str">
        <f>IFERROR(Table5[[#This Row],[Full name]],"")</f>
        <v>Sunny Zhao</v>
      </c>
      <c r="C318" s="108">
        <f>IFERROR(AVERAGE(Table1624[[#This Row],[September 30, 2025]:[Column18]]),"N/A")</f>
        <v>0.42949999999999999</v>
      </c>
      <c r="D318" s="26">
        <f>IFERROR(_xlfn.PERCENTRANK.INC(Table4[True Rank],_xlfn.XLOOKUP(Table1624[[#This Row],[Name]],Table4[Name],Table4[True Rank],"DNP",0,1)),"DNP")</f>
        <v>0.78800000000000003</v>
      </c>
      <c r="E318" s="26" t="str">
        <f>IFERROR(_xlfn.PERCENTRANK.INC(Table9[True Rank],_xlfn.XLOOKUP(Table1624[[#This Row],[Name]],Table9[Name],Table9[True Rank],"DNP",0,1)),"DNP")</f>
        <v>DNP</v>
      </c>
      <c r="F318" s="26" t="str">
        <f>IFERROR(_xlfn.PERCENTRANK.INC(Table18[True Rank],_xlfn.XLOOKUP(Table1624[[#This Row],[Name]],Table18[Name],Table18[True Rank],"DNP",0,1)),"DNP")</f>
        <v>DNP</v>
      </c>
      <c r="G318" s="26">
        <f>IFERROR(_xlfn.PERCENTRANK.INC(Table2[True Rank],_xlfn.XLOOKUP(Table1624[[#This Row],[Name]],Table2[Name],Table2[True Rank],"DNP",0,1)),"DNP")</f>
        <v>7.0999999999999994E-2</v>
      </c>
      <c r="H318" s="26" t="str">
        <f>IFERROR(_xlfn.PERCENTRANK.INC(Table211[True Rank],_xlfn.XLOOKUP(Table1624[[#This Row],[Name]],Table211[Name],Table211[True Rank],"DNP",0,1)),"DNP")</f>
        <v>DNP</v>
      </c>
      <c r="I318" s="26" t="str">
        <f>IFERROR(_xlfn.PERCENTRANK.INC(Table21112[True Rank],_xlfn.XLOOKUP(Table1624[[#This Row],[Name]],Table21112[Name],Table21112[True Rank],"DNP",0,1)),"DNP")</f>
        <v>DNP</v>
      </c>
      <c r="J318" s="26" t="str">
        <f>IFERROR(_xlfn.PERCENTRANK.INC(Table21112164[True Rank],_xlfn.XLOOKUP(Table1624[[#This Row],[Name]],Table21112164[Name],Table21112164[True Rank],"DNP",0,1)),"DNP")</f>
        <v>DNP</v>
      </c>
      <c r="K318" s="26" t="str">
        <f>IFERROR(_xlfn.PERCENTRANK.INC(Table2111216420[True Rank],_xlfn.XLOOKUP(Table1624[[#This Row],[Name]],Table2111216420[Name],Table2111216420[True Rank],"DNP",0,1)),"DNP")</f>
        <v>DNP</v>
      </c>
      <c r="L318" s="26" t="str">
        <f>IFERROR(_xlfn.PERCENTRANK.INC(Table211121642021[True Rank],_xlfn.XLOOKUP(Table1624[[#This Row],[Name]],Table211121642021[Name],Table211121642021[True Rank],"DNP",0,1)),"DNP")</f>
        <v>DNP</v>
      </c>
      <c r="M318" s="26" t="str">
        <f>IFERROR(_xlfn.PERCENTRANK.INC(Table21112164202122[True Rank],_xlfn.XLOOKUP(Table1624[[#This Row],[Name]],Table21112164202122[Name],Table21112164202122[True Rank],"DNP",0,1)),"DNP")</f>
        <v>DNP</v>
      </c>
      <c r="N318" s="26" t="str">
        <f>IFERROR(_xlfn.PERCENTRANK.INC(Table2111216420212223[True Rank],_xlfn.XLOOKUP(Table1624[[#This Row],[Name]],Table2111216420212223[Name],Table2111216420212223[True Rank],"DNP",0,1)),"DNP")</f>
        <v>DNP</v>
      </c>
      <c r="O318" s="26" t="str">
        <f>IFERROR(_xlfn.PERCENTRANK.INC(Table211121642021222325[True Rank],_xlfn.XLOOKUP(Table1624[[#This Row],[Name]],Table211121642021222325[Name],Table211121642021222325[True Rank],"DNP",0,1)),"DNP")</f>
        <v>DNP</v>
      </c>
      <c r="P318" s="26" t="str">
        <f>IFERROR(_xlfn.PERCENTRANK.INC(Table21112164202122232534[True Rank],_xlfn.XLOOKUP(Table1624[[#This Row],[Name]],Table21112164202122232534[Name],Table21112164202122232534[True Rank],"DNP",0,1)),"DNP")</f>
        <v>DNP</v>
      </c>
      <c r="Q31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 spans="2:33">
      <c r="B319" t="str">
        <f>IFERROR(Table5[[#This Row],[Full name]],"")</f>
        <v>Sydney Xie</v>
      </c>
      <c r="C319" s="108" t="str">
        <f>IFERROR(AVERAGE(Table1624[[#This Row],[September 30, 2025]:[Column18]]),"N/A")</f>
        <v>N/A</v>
      </c>
      <c r="D319" s="26" t="str">
        <f>IFERROR(_xlfn.PERCENTRANK.INC(Table4[True Rank],_xlfn.XLOOKUP(Table1624[[#This Row],[Name]],Table4[Name],Table4[True Rank],"DNP",0,1)),"DNP")</f>
        <v>DNP</v>
      </c>
      <c r="E319" s="26" t="str">
        <f>IFERROR(_xlfn.PERCENTRANK.INC(Table9[True Rank],_xlfn.XLOOKUP(Table1624[[#This Row],[Name]],Table9[Name],Table9[True Rank],"DNP",0,1)),"DNP")</f>
        <v>DNP</v>
      </c>
      <c r="F319" s="26" t="str">
        <f>IFERROR(_xlfn.PERCENTRANK.INC(Table18[True Rank],_xlfn.XLOOKUP(Table1624[[#This Row],[Name]],Table18[Name],Table18[True Rank],"DNP",0,1)),"DNP")</f>
        <v>DNP</v>
      </c>
      <c r="G319" s="26" t="str">
        <f>IFERROR(_xlfn.PERCENTRANK.INC(Table2[True Rank],_xlfn.XLOOKUP(Table1624[[#This Row],[Name]],Table2[Name],Table2[True Rank],"DNP",0,1)),"DNP")</f>
        <v>DNP</v>
      </c>
      <c r="H319" s="26" t="str">
        <f>IFERROR(_xlfn.PERCENTRANK.INC(Table211[True Rank],_xlfn.XLOOKUP(Table1624[[#This Row],[Name]],Table211[Name],Table211[True Rank],"DNP",0,1)),"DNP")</f>
        <v>DNP</v>
      </c>
      <c r="I319" s="26" t="str">
        <f>IFERROR(_xlfn.PERCENTRANK.INC(Table21112[True Rank],_xlfn.XLOOKUP(Table1624[[#This Row],[Name]],Table21112[Name],Table21112[True Rank],"DNP",0,1)),"DNP")</f>
        <v>DNP</v>
      </c>
      <c r="J319" s="26" t="str">
        <f>IFERROR(_xlfn.PERCENTRANK.INC(Table21112164[True Rank],_xlfn.XLOOKUP(Table1624[[#This Row],[Name]],Table21112164[Name],Table21112164[True Rank],"DNP",0,1)),"DNP")</f>
        <v>DNP</v>
      </c>
      <c r="K319" s="26" t="str">
        <f>IFERROR(_xlfn.PERCENTRANK.INC(Table2111216420[True Rank],_xlfn.XLOOKUP(Table1624[[#This Row],[Name]],Table2111216420[Name],Table2111216420[True Rank],"DNP",0,1)),"DNP")</f>
        <v>DNP</v>
      </c>
      <c r="L319" s="26" t="str">
        <f>IFERROR(_xlfn.PERCENTRANK.INC(Table211121642021[True Rank],_xlfn.XLOOKUP(Table1624[[#This Row],[Name]],Table211121642021[Name],Table211121642021[True Rank],"DNP",0,1)),"DNP")</f>
        <v>DNP</v>
      </c>
      <c r="M319" s="26" t="str">
        <f>IFERROR(_xlfn.PERCENTRANK.INC(Table21112164202122[True Rank],_xlfn.XLOOKUP(Table1624[[#This Row],[Name]],Table21112164202122[Name],Table21112164202122[True Rank],"DNP",0,1)),"DNP")</f>
        <v>DNP</v>
      </c>
      <c r="N319" s="26" t="str">
        <f>IFERROR(_xlfn.PERCENTRANK.INC(Table2111216420212223[True Rank],_xlfn.XLOOKUP(Table1624[[#This Row],[Name]],Table2111216420212223[Name],Table2111216420212223[True Rank],"DNP",0,1)),"DNP")</f>
        <v>DNP</v>
      </c>
      <c r="O319" s="26" t="str">
        <f>IFERROR(_xlfn.PERCENTRANK.INC(Table211121642021222325[True Rank],_xlfn.XLOOKUP(Table1624[[#This Row],[Name]],Table211121642021222325[Name],Table211121642021222325[True Rank],"DNP",0,1)),"DNP")</f>
        <v>DNP</v>
      </c>
      <c r="P319" s="26" t="str">
        <f>IFERROR(_xlfn.PERCENTRANK.INC(Table21112164202122232534[True Rank],_xlfn.XLOOKUP(Table1624[[#This Row],[Name]],Table21112164202122232534[Name],Table21112164202122232534[True Rank],"DNP",0,1)),"DNP")</f>
        <v>DNP</v>
      </c>
      <c r="Q31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1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1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1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 spans="2:33">
      <c r="B320" t="str">
        <f>IFERROR(Table5[[#This Row],[Full name]],"")</f>
        <v>Syed Bilal</v>
      </c>
      <c r="C320" s="108">
        <f>IFERROR(AVERAGE(Table1624[[#This Row],[September 30, 2025]:[Column18]]),"N/A")</f>
        <v>0.63300000000000001</v>
      </c>
      <c r="D320" s="26" t="str">
        <f>IFERROR(_xlfn.PERCENTRANK.INC(Table4[True Rank],_xlfn.XLOOKUP(Table1624[[#This Row],[Name]],Table4[Name],Table4[True Rank],"DNP",0,1)),"DNP")</f>
        <v>DNP</v>
      </c>
      <c r="E320" s="26" t="str">
        <f>IFERROR(_xlfn.PERCENTRANK.INC(Table9[True Rank],_xlfn.XLOOKUP(Table1624[[#This Row],[Name]],Table9[Name],Table9[True Rank],"DNP",0,1)),"DNP")</f>
        <v>DNP</v>
      </c>
      <c r="F320" s="26" t="str">
        <f>IFERROR(_xlfn.PERCENTRANK.INC(Table18[True Rank],_xlfn.XLOOKUP(Table1624[[#This Row],[Name]],Table18[Name],Table18[True Rank],"DNP",0,1)),"DNP")</f>
        <v>DNP</v>
      </c>
      <c r="G320" s="26" t="str">
        <f>IFERROR(_xlfn.PERCENTRANK.INC(Table2[True Rank],_xlfn.XLOOKUP(Table1624[[#This Row],[Name]],Table2[Name],Table2[True Rank],"DNP",0,1)),"DNP")</f>
        <v>DNP</v>
      </c>
      <c r="H320" s="26">
        <f>IFERROR(_xlfn.PERCENTRANK.INC(Table211[True Rank],_xlfn.XLOOKUP(Table1624[[#This Row],[Name]],Table211[Name],Table211[True Rank],"DNP",0,1)),"DNP")</f>
        <v>0.63300000000000001</v>
      </c>
      <c r="I320" s="26" t="str">
        <f>IFERROR(_xlfn.PERCENTRANK.INC(Table21112[True Rank],_xlfn.XLOOKUP(Table1624[[#This Row],[Name]],Table21112[Name],Table21112[True Rank],"DNP",0,1)),"DNP")</f>
        <v>DNP</v>
      </c>
      <c r="J320" s="26" t="str">
        <f>IFERROR(_xlfn.PERCENTRANK.INC(Table21112164[True Rank],_xlfn.XLOOKUP(Table1624[[#This Row],[Name]],Table21112164[Name],Table21112164[True Rank],"DNP",0,1)),"DNP")</f>
        <v>DNP</v>
      </c>
      <c r="K320" s="26" t="str">
        <f>IFERROR(_xlfn.PERCENTRANK.INC(Table2111216420[True Rank],_xlfn.XLOOKUP(Table1624[[#This Row],[Name]],Table2111216420[Name],Table2111216420[True Rank],"DNP",0,1)),"DNP")</f>
        <v>DNP</v>
      </c>
      <c r="L320" s="26" t="str">
        <f>IFERROR(_xlfn.PERCENTRANK.INC(Table211121642021[True Rank],_xlfn.XLOOKUP(Table1624[[#This Row],[Name]],Table211121642021[Name],Table211121642021[True Rank],"DNP",0,1)),"DNP")</f>
        <v>DNP</v>
      </c>
      <c r="M320" s="26" t="str">
        <f>IFERROR(_xlfn.PERCENTRANK.INC(Table21112164202122[True Rank],_xlfn.XLOOKUP(Table1624[[#This Row],[Name]],Table21112164202122[Name],Table21112164202122[True Rank],"DNP",0,1)),"DNP")</f>
        <v>DNP</v>
      </c>
      <c r="N320" s="26" t="str">
        <f>IFERROR(_xlfn.PERCENTRANK.INC(Table2111216420212223[True Rank],_xlfn.XLOOKUP(Table1624[[#This Row],[Name]],Table2111216420212223[Name],Table2111216420212223[True Rank],"DNP",0,1)),"DNP")</f>
        <v>DNP</v>
      </c>
      <c r="O320" s="26" t="str">
        <f>IFERROR(_xlfn.PERCENTRANK.INC(Table211121642021222325[True Rank],_xlfn.XLOOKUP(Table1624[[#This Row],[Name]],Table211121642021222325[Name],Table211121642021222325[True Rank],"DNP",0,1)),"DNP")</f>
        <v>DNP</v>
      </c>
      <c r="P320" s="26" t="str">
        <f>IFERROR(_xlfn.PERCENTRANK.INC(Table21112164202122232534[True Rank],_xlfn.XLOOKUP(Table1624[[#This Row],[Name]],Table21112164202122232534[Name],Table21112164202122232534[True Rank],"DNP",0,1)),"DNP")</f>
        <v>DNP</v>
      </c>
      <c r="Q32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 spans="2:33">
      <c r="B321" t="str">
        <f>IFERROR(Table5[[#This Row],[Full name]],"")</f>
        <v>Taha Siddiqui</v>
      </c>
      <c r="C321" s="108">
        <f>IFERROR(AVERAGE(Table1624[[#This Row],[September 30, 2025]:[Column18]]),"N/A")</f>
        <v>0.64700000000000002</v>
      </c>
      <c r="D321" s="26">
        <f>IFERROR(_xlfn.PERCENTRANK.INC(Table4[True Rank],_xlfn.XLOOKUP(Table1624[[#This Row],[Name]],Table4[Name],Table4[True Rank],"DNP",0,1)),"DNP")</f>
        <v>0.78800000000000003</v>
      </c>
      <c r="E321" s="26" t="str">
        <f>IFERROR(_xlfn.PERCENTRANK.INC(Table9[True Rank],_xlfn.XLOOKUP(Table1624[[#This Row],[Name]],Table9[Name],Table9[True Rank],"DNP",0,1)),"DNP")</f>
        <v>DNP</v>
      </c>
      <c r="F321" s="26" t="str">
        <f>IFERROR(_xlfn.PERCENTRANK.INC(Table18[True Rank],_xlfn.XLOOKUP(Table1624[[#This Row],[Name]],Table18[Name],Table18[True Rank],"DNP",0,1)),"DNP")</f>
        <v>DNP</v>
      </c>
      <c r="G321" s="26" t="str">
        <f>IFERROR(_xlfn.PERCENTRANK.INC(Table2[True Rank],_xlfn.XLOOKUP(Table1624[[#This Row],[Name]],Table2[Name],Table2[True Rank],"DNP",0,1)),"DNP")</f>
        <v>DNP</v>
      </c>
      <c r="H321" s="26" t="str">
        <f>IFERROR(_xlfn.PERCENTRANK.INC(Table211[True Rank],_xlfn.XLOOKUP(Table1624[[#This Row],[Name]],Table211[Name],Table211[True Rank],"DNP",0,1)),"DNP")</f>
        <v>DNP</v>
      </c>
      <c r="I321" s="26" t="str">
        <f>IFERROR(_xlfn.PERCENTRANK.INC(Table21112[True Rank],_xlfn.XLOOKUP(Table1624[[#This Row],[Name]],Table21112[Name],Table21112[True Rank],"DNP",0,1)),"DNP")</f>
        <v>DNP</v>
      </c>
      <c r="J321" s="26" t="str">
        <f>IFERROR(_xlfn.PERCENTRANK.INC(Table21112164[True Rank],_xlfn.XLOOKUP(Table1624[[#This Row],[Name]],Table21112164[Name],Table21112164[True Rank],"DNP",0,1)),"DNP")</f>
        <v>DNP</v>
      </c>
      <c r="K321" s="26">
        <f>IFERROR(_xlfn.PERCENTRANK.INC(Table2111216420[True Rank],_xlfn.XLOOKUP(Table1624[[#This Row],[Name]],Table2111216420[Name],Table2111216420[True Rank],"DNP",0,1)),"DNP")</f>
        <v>0.70199999999999996</v>
      </c>
      <c r="L321" s="26">
        <f>IFERROR(_xlfn.PERCENTRANK.INC(Table211121642021[True Rank],_xlfn.XLOOKUP(Table1624[[#This Row],[Name]],Table211121642021[Name],Table211121642021[True Rank],"DNP",0,1)),"DNP")</f>
        <v>0.46200000000000002</v>
      </c>
      <c r="M321" s="26">
        <f>IFERROR(_xlfn.PERCENTRANK.INC(Table21112164202122[True Rank],_xlfn.XLOOKUP(Table1624[[#This Row],[Name]],Table21112164202122[Name],Table21112164202122[True Rank],"DNP",0,1)),"DNP")</f>
        <v>0.63600000000000001</v>
      </c>
      <c r="N321" s="26" t="str">
        <f>IFERROR(_xlfn.PERCENTRANK.INC(Table2111216420212223[True Rank],_xlfn.XLOOKUP(Table1624[[#This Row],[Name]],Table2111216420212223[Name],Table2111216420212223[True Rank],"DNP",0,1)),"DNP")</f>
        <v>DNP</v>
      </c>
      <c r="O321" s="26" t="str">
        <f>IFERROR(_xlfn.PERCENTRANK.INC(Table211121642021222325[True Rank],_xlfn.XLOOKUP(Table1624[[#This Row],[Name]],Table211121642021222325[Name],Table211121642021222325[True Rank],"DNP",0,1)),"DNP")</f>
        <v>DNP</v>
      </c>
      <c r="P321" s="26" t="str">
        <f>IFERROR(_xlfn.PERCENTRANK.INC(Table21112164202122232534[True Rank],_xlfn.XLOOKUP(Table1624[[#This Row],[Name]],Table21112164202122232534[Name],Table21112164202122232534[True Rank],"DNP",0,1)),"DNP")</f>
        <v>DNP</v>
      </c>
      <c r="Q32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 spans="2:33">
      <c r="B322" t="str">
        <f>IFERROR(Table5[[#This Row],[Full name]],"")</f>
        <v>Taidhg Tajalli</v>
      </c>
      <c r="C322" s="108">
        <f>IFERROR(AVERAGE(Table1624[[#This Row],[September 30, 2025]:[Column18]]),"N/A")</f>
        <v>0.44771428571428579</v>
      </c>
      <c r="D322" s="26">
        <f>IFERROR(_xlfn.PERCENTRANK.INC(Table4[True Rank],_xlfn.XLOOKUP(Table1624[[#This Row],[Name]],Table4[Name],Table4[True Rank],"DNP",0,1)),"DNP")</f>
        <v>0.78800000000000003</v>
      </c>
      <c r="E322" s="26">
        <f>IFERROR(_xlfn.PERCENTRANK.INC(Table9[True Rank],_xlfn.XLOOKUP(Table1624[[#This Row],[Name]],Table9[Name],Table9[True Rank],"DNP",0,1)),"DNP")</f>
        <v>9.0999999999999998E-2</v>
      </c>
      <c r="F322" s="26">
        <f>IFERROR(_xlfn.PERCENTRANK.INC(Table18[True Rank],_xlfn.XLOOKUP(Table1624[[#This Row],[Name]],Table18[Name],Table18[True Rank],"DNP",0,1)),"DNP")</f>
        <v>0.49399999999999999</v>
      </c>
      <c r="G322" s="26" t="str">
        <f>IFERROR(_xlfn.PERCENTRANK.INC(Table2[True Rank],_xlfn.XLOOKUP(Table1624[[#This Row],[Name]],Table2[Name],Table2[True Rank],"DNP",0,1)),"DNP")</f>
        <v>DNP</v>
      </c>
      <c r="H322" s="26">
        <f>IFERROR(_xlfn.PERCENTRANK.INC(Table211[True Rank],_xlfn.XLOOKUP(Table1624[[#This Row],[Name]],Table211[Name],Table211[True Rank],"DNP",0,1)),"DNP")</f>
        <v>0</v>
      </c>
      <c r="I322" s="26">
        <f>IFERROR(_xlfn.PERCENTRANK.INC(Table21112[True Rank],_xlfn.XLOOKUP(Table1624[[#This Row],[Name]],Table21112[Name],Table21112[True Rank],"DNP",0,1)),"DNP")</f>
        <v>0.70499999999999996</v>
      </c>
      <c r="J322" s="26">
        <f>IFERROR(_xlfn.PERCENTRANK.INC(Table21112164[True Rank],_xlfn.XLOOKUP(Table1624[[#This Row],[Name]],Table21112164[Name],Table21112164[True Rank],"DNP",0,1)),"DNP")</f>
        <v>0.39300000000000002</v>
      </c>
      <c r="K322" s="26">
        <f>IFERROR(_xlfn.PERCENTRANK.INC(Table2111216420[True Rank],_xlfn.XLOOKUP(Table1624[[#This Row],[Name]],Table2111216420[Name],Table2111216420[True Rank],"DNP",0,1)),"DNP")</f>
        <v>0.48899999999999999</v>
      </c>
      <c r="L322" s="26" t="str">
        <f>IFERROR(_xlfn.PERCENTRANK.INC(Table211121642021[True Rank],_xlfn.XLOOKUP(Table1624[[#This Row],[Name]],Table211121642021[Name],Table211121642021[True Rank],"DNP",0,1)),"DNP")</f>
        <v>DNP</v>
      </c>
      <c r="M322" s="26">
        <f>IFERROR(_xlfn.PERCENTRANK.INC(Table21112164202122[True Rank],_xlfn.XLOOKUP(Table1624[[#This Row],[Name]],Table21112164202122[Name],Table21112164202122[True Rank],"DNP",0,1)),"DNP")</f>
        <v>0.193</v>
      </c>
      <c r="N322" s="26">
        <f>IFERROR(_xlfn.PERCENTRANK.INC(Table2111216420212223[True Rank],_xlfn.XLOOKUP(Table1624[[#This Row],[Name]],Table2111216420212223[Name],Table2111216420212223[True Rank],"DNP",0,1)),"DNP")</f>
        <v>0.89</v>
      </c>
      <c r="O322" s="26">
        <f>IFERROR(_xlfn.PERCENTRANK.INC(Table211121642021222325[True Rank],_xlfn.XLOOKUP(Table1624[[#This Row],[Name]],Table211121642021222325[Name],Table211121642021222325[True Rank],"DNP",0,1)),"DNP")</f>
        <v>0.94499999999999995</v>
      </c>
      <c r="P322" s="26">
        <f>IFERROR(_xlfn.PERCENTRANK.INC(Table21112164202122232534[True Rank],_xlfn.XLOOKUP(Table1624[[#This Row],[Name]],Table21112164202122232534[Name],Table21112164202122232534[True Rank],"DNP",0,1)),"DNP")</f>
        <v>0.109</v>
      </c>
      <c r="Q322" s="26">
        <f>IFERROR(_xlfn.PERCENTRANK.INC(Table2111216420212223253435[True Rank],_xlfn.XLOOKUP(Table1624[[#This Row],[Name]],Table2111216420212223253435[Name],Table2111216420212223253435[True Rank],"DNP",0,1)),"DNP")</f>
        <v>0.46600000000000003</v>
      </c>
      <c r="R32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2" s="26">
        <f>IFERROR(_xlfn.PERCENTRANK.INC(Table21112164202122232534353637[True Rank],_xlfn.XLOOKUP(Table1624[[#This Row],[Name]],Table21112164202122232534353637[Name],Table21112164202122232534353637[True Rank],"DNP",0,1)),"DNP")</f>
        <v>5.0999999999999997E-2</v>
      </c>
      <c r="T322" s="26">
        <f>IFERROR(_xlfn.PERCENTRANK.INC(Table2111216420212223253435363738[True Rank],_xlfn.XLOOKUP(Table1624[[#This Row],[Name]],Table2111216420212223253435363738[Name],Table2111216420212223253435363738[True Rank],"DNP",0,1)),"DNP")</f>
        <v>0.65400000000000003</v>
      </c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 spans="2:33">
      <c r="B323" t="str">
        <f>IFERROR(Table5[[#This Row],[Full name]],"")</f>
        <v>Taige Zhang</v>
      </c>
      <c r="C323" s="108">
        <f>IFERROR(AVERAGE(Table1624[[#This Row],[September 30, 2025]:[Column18]]),"N/A")</f>
        <v>0.58566666666666667</v>
      </c>
      <c r="D323" s="26" t="str">
        <f>IFERROR(_xlfn.PERCENTRANK.INC(Table4[True Rank],_xlfn.XLOOKUP(Table1624[[#This Row],[Name]],Table4[Name],Table4[True Rank],"DNP",0,1)),"DNP")</f>
        <v>DNP</v>
      </c>
      <c r="E323" s="26" t="str">
        <f>IFERROR(_xlfn.PERCENTRANK.INC(Table9[True Rank],_xlfn.XLOOKUP(Table1624[[#This Row],[Name]],Table9[Name],Table9[True Rank],"DNP",0,1)),"DNP")</f>
        <v>DNP</v>
      </c>
      <c r="F323" s="26" t="str">
        <f>IFERROR(_xlfn.PERCENTRANK.INC(Table18[True Rank],_xlfn.XLOOKUP(Table1624[[#This Row],[Name]],Table18[Name],Table18[True Rank],"DNP",0,1)),"DNP")</f>
        <v>DNP</v>
      </c>
      <c r="G323" s="26" t="str">
        <f>IFERROR(_xlfn.PERCENTRANK.INC(Table2[True Rank],_xlfn.XLOOKUP(Table1624[[#This Row],[Name]],Table2[Name],Table2[True Rank],"DNP",0,1)),"DNP")</f>
        <v>DNP</v>
      </c>
      <c r="H323" s="26" t="str">
        <f>IFERROR(_xlfn.PERCENTRANK.INC(Table211[True Rank],_xlfn.XLOOKUP(Table1624[[#This Row],[Name]],Table211[Name],Table211[True Rank],"DNP",0,1)),"DNP")</f>
        <v>DNP</v>
      </c>
      <c r="I323" s="26">
        <f>IFERROR(_xlfn.PERCENTRANK.INC(Table21112[True Rank],_xlfn.XLOOKUP(Table1624[[#This Row],[Name]],Table21112[Name],Table21112[True Rank],"DNP",0,1)),"DNP")</f>
        <v>0.217</v>
      </c>
      <c r="J323" s="26">
        <f>IFERROR(_xlfn.PERCENTRANK.INC(Table21112164[True Rank],_xlfn.XLOOKUP(Table1624[[#This Row],[Name]],Table21112164[Name],Table21112164[True Rank],"DNP",0,1)),"DNP")</f>
        <v>0.97699999999999998</v>
      </c>
      <c r="K323" s="26">
        <f>IFERROR(_xlfn.PERCENTRANK.INC(Table2111216420[True Rank],_xlfn.XLOOKUP(Table1624[[#This Row],[Name]],Table2111216420[Name],Table2111216420[True Rank],"DNP",0,1)),"DNP")</f>
        <v>0.56299999999999994</v>
      </c>
      <c r="L323" s="26" t="str">
        <f>IFERROR(_xlfn.PERCENTRANK.INC(Table211121642021[True Rank],_xlfn.XLOOKUP(Table1624[[#This Row],[Name]],Table211121642021[Name],Table211121642021[True Rank],"DNP",0,1)),"DNP")</f>
        <v>DNP</v>
      </c>
      <c r="M323" s="26" t="str">
        <f>IFERROR(_xlfn.PERCENTRANK.INC(Table21112164202122[True Rank],_xlfn.XLOOKUP(Table1624[[#This Row],[Name]],Table21112164202122[Name],Table21112164202122[True Rank],"DNP",0,1)),"DNP")</f>
        <v>DNP</v>
      </c>
      <c r="N323" s="26" t="str">
        <f>IFERROR(_xlfn.PERCENTRANK.INC(Table2111216420212223[True Rank],_xlfn.XLOOKUP(Table1624[[#This Row],[Name]],Table2111216420212223[Name],Table2111216420212223[True Rank],"DNP",0,1)),"DNP")</f>
        <v>DNP</v>
      </c>
      <c r="O323" s="26" t="str">
        <f>IFERROR(_xlfn.PERCENTRANK.INC(Table211121642021222325[True Rank],_xlfn.XLOOKUP(Table1624[[#This Row],[Name]],Table211121642021222325[Name],Table211121642021222325[True Rank],"DNP",0,1)),"DNP")</f>
        <v>DNP</v>
      </c>
      <c r="P323" s="26" t="str">
        <f>IFERROR(_xlfn.PERCENTRANK.INC(Table21112164202122232534[True Rank],_xlfn.XLOOKUP(Table1624[[#This Row],[Name]],Table21112164202122232534[Name],Table21112164202122232534[True Rank],"DNP",0,1)),"DNP")</f>
        <v>DNP</v>
      </c>
      <c r="Q32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 spans="2:33">
      <c r="B324" t="str">
        <f>IFERROR(Table5[[#This Row],[Full name]],"")</f>
        <v>Taowei Liu</v>
      </c>
      <c r="C324" s="108">
        <f>IFERROR(AVERAGE(Table1624[[#This Row],[September 30, 2025]:[Column18]]),"N/A")</f>
        <v>0.46559999999999996</v>
      </c>
      <c r="D324" s="26" t="str">
        <f>IFERROR(_xlfn.PERCENTRANK.INC(Table4[True Rank],_xlfn.XLOOKUP(Table1624[[#This Row],[Name]],Table4[Name],Table4[True Rank],"DNP",0,1)),"DNP")</f>
        <v>DNP</v>
      </c>
      <c r="E324" s="26" t="str">
        <f>IFERROR(_xlfn.PERCENTRANK.INC(Table9[True Rank],_xlfn.XLOOKUP(Table1624[[#This Row],[Name]],Table9[Name],Table9[True Rank],"DNP",0,1)),"DNP")</f>
        <v>DNP</v>
      </c>
      <c r="F324" s="26" t="str">
        <f>IFERROR(_xlfn.PERCENTRANK.INC(Table18[True Rank],_xlfn.XLOOKUP(Table1624[[#This Row],[Name]],Table18[Name],Table18[True Rank],"DNP",0,1)),"DNP")</f>
        <v>DNP</v>
      </c>
      <c r="G324" s="26" t="str">
        <f>IFERROR(_xlfn.PERCENTRANK.INC(Table2[True Rank],_xlfn.XLOOKUP(Table1624[[#This Row],[Name]],Table2[Name],Table2[True Rank],"DNP",0,1)),"DNP")</f>
        <v>DNP</v>
      </c>
      <c r="H324" s="26" t="str">
        <f>IFERROR(_xlfn.PERCENTRANK.INC(Table211[True Rank],_xlfn.XLOOKUP(Table1624[[#This Row],[Name]],Table211[Name],Table211[True Rank],"DNP",0,1)),"DNP")</f>
        <v>DNP</v>
      </c>
      <c r="I324" s="26" t="str">
        <f>IFERROR(_xlfn.PERCENTRANK.INC(Table21112[True Rank],_xlfn.XLOOKUP(Table1624[[#This Row],[Name]],Table21112[Name],Table21112[True Rank],"DNP",0,1)),"DNP")</f>
        <v>DNP</v>
      </c>
      <c r="J324" s="26" t="str">
        <f>IFERROR(_xlfn.PERCENTRANK.INC(Table21112164[True Rank],_xlfn.XLOOKUP(Table1624[[#This Row],[Name]],Table21112164[Name],Table21112164[True Rank],"DNP",0,1)),"DNP")</f>
        <v>DNP</v>
      </c>
      <c r="K324" s="26" t="str">
        <f>IFERROR(_xlfn.PERCENTRANK.INC(Table2111216420[True Rank],_xlfn.XLOOKUP(Table1624[[#This Row],[Name]],Table2111216420[Name],Table2111216420[True Rank],"DNP",0,1)),"DNP")</f>
        <v>DNP</v>
      </c>
      <c r="L324" s="26" t="str">
        <f>IFERROR(_xlfn.PERCENTRANK.INC(Table211121642021[True Rank],_xlfn.XLOOKUP(Table1624[[#This Row],[Name]],Table211121642021[Name],Table211121642021[True Rank],"DNP",0,1)),"DNP")</f>
        <v>DNP</v>
      </c>
      <c r="M324" s="26" t="str">
        <f>IFERROR(_xlfn.PERCENTRANK.INC(Table21112164202122[True Rank],_xlfn.XLOOKUP(Table1624[[#This Row],[Name]],Table21112164202122[Name],Table21112164202122[True Rank],"DNP",0,1)),"DNP")</f>
        <v>DNP</v>
      </c>
      <c r="N324" s="26">
        <f>IFERROR(_xlfn.PERCENTRANK.INC(Table2111216420212223[True Rank],_xlfn.XLOOKUP(Table1624[[#This Row],[Name]],Table2111216420212223[Name],Table2111216420212223[True Rank],"DNP",0,1)),"DNP")</f>
        <v>0.67</v>
      </c>
      <c r="O324" s="26">
        <f>IFERROR(_xlfn.PERCENTRANK.INC(Table211121642021222325[True Rank],_xlfn.XLOOKUP(Table1624[[#This Row],[Name]],Table211121642021222325[Name],Table211121642021222325[True Rank],"DNP",0,1)),"DNP")</f>
        <v>0.40600000000000003</v>
      </c>
      <c r="P32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24" s="26">
        <f>IFERROR(_xlfn.PERCENTRANK.INC(Table2111216420212223253435[True Rank],_xlfn.XLOOKUP(Table1624[[#This Row],[Name]],Table2111216420212223253435[Name],Table2111216420212223253435[True Rank],"DNP",0,1)),"DNP")</f>
        <v>0.186</v>
      </c>
      <c r="R324" s="26">
        <f>IFERROR(_xlfn.PERCENTRANK.INC(Table211121642021222325343536[True Rank],_xlfn.XLOOKUP(Table1624[[#This Row],[Name]],Table211121642021222325343536[Name],Table211121642021222325343536[True Rank],"DNP",0,1)),"DNP")</f>
        <v>0.24199999999999999</v>
      </c>
      <c r="S32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 spans="2:33">
      <c r="B325" t="str">
        <f>IFERROR(Table5[[#This Row],[Full name]],"")</f>
        <v>Thomas Liu</v>
      </c>
      <c r="C325" s="108">
        <f>IFERROR(AVERAGE(Table1624[[#This Row],[September 30, 2025]:[Column18]]),"N/A")</f>
        <v>0.64806666666666668</v>
      </c>
      <c r="D325" s="26">
        <f>IFERROR(_xlfn.PERCENTRANK.INC(Table4[True Rank],_xlfn.XLOOKUP(Table1624[[#This Row],[Name]],Table4[Name],Table4[True Rank],"DNP",0,1)),"DNP")</f>
        <v>0.73299999999999998</v>
      </c>
      <c r="E325" s="26">
        <f>IFERROR(_xlfn.PERCENTRANK.INC(Table9[True Rank],_xlfn.XLOOKUP(Table1624[[#This Row],[Name]],Table9[Name],Table9[True Rank],"DNP",0,1)),"DNP")</f>
        <v>0.81599999999999995</v>
      </c>
      <c r="F325" s="26">
        <f>IFERROR(_xlfn.PERCENTRANK.INC(Table18[True Rank],_xlfn.XLOOKUP(Table1624[[#This Row],[Name]],Table18[Name],Table18[True Rank],"DNP",0,1)),"DNP")</f>
        <v>0.30299999999999999</v>
      </c>
      <c r="G325" s="26">
        <f>IFERROR(_xlfn.PERCENTRANK.INC(Table2[True Rank],_xlfn.XLOOKUP(Table1624[[#This Row],[Name]],Table2[Name],Table2[True Rank],"DNP",0,1)),"DNP")</f>
        <v>0.88</v>
      </c>
      <c r="H325" s="26">
        <f>IFERROR(_xlfn.PERCENTRANK.INC(Table211[True Rank],_xlfn.XLOOKUP(Table1624[[#This Row],[Name]],Table211[Name],Table211[True Rank],"DNP",0,1)),"DNP")</f>
        <v>0.23899999999999999</v>
      </c>
      <c r="I325" s="26">
        <f>IFERROR(_xlfn.PERCENTRANK.INC(Table21112[True Rank],_xlfn.XLOOKUP(Table1624[[#This Row],[Name]],Table21112[Name],Table21112[True Rank],"DNP",0,1)),"DNP")</f>
        <v>0.84599999999999997</v>
      </c>
      <c r="J325" s="26">
        <f>IFERROR(_xlfn.PERCENTRANK.INC(Table21112164[True Rank],_xlfn.XLOOKUP(Table1624[[#This Row],[Name]],Table21112164[Name],Table21112164[True Rank],"DNP",0,1)),"DNP")</f>
        <v>0.84199999999999997</v>
      </c>
      <c r="K325" s="26">
        <f>IFERROR(_xlfn.PERCENTRANK.INC(Table2111216420[True Rank],_xlfn.XLOOKUP(Table1624[[#This Row],[Name]],Table2111216420[Name],Table2111216420[True Rank],"DNP",0,1)),"DNP")</f>
        <v>0.01</v>
      </c>
      <c r="L325" s="26">
        <f>IFERROR(_xlfn.PERCENTRANK.INC(Table211121642021[True Rank],_xlfn.XLOOKUP(Table1624[[#This Row],[Name]],Table211121642021[Name],Table211121642021[True Rank],"DNP",0,1)),"DNP")</f>
        <v>3.2000000000000001E-2</v>
      </c>
      <c r="M325" s="26">
        <f>IFERROR(_xlfn.PERCENTRANK.INC(Table21112164202122[True Rank],_xlfn.XLOOKUP(Table1624[[#This Row],[Name]],Table21112164202122[Name],Table21112164202122[True Rank],"DNP",0,1)),"DNP")</f>
        <v>0.92</v>
      </c>
      <c r="N325" s="26">
        <f>IFERROR(_xlfn.PERCENTRANK.INC(Table2111216420212223[True Rank],_xlfn.XLOOKUP(Table1624[[#This Row],[Name]],Table2111216420212223[Name],Table2111216420212223[True Rank],"DNP",0,1)),"DNP")</f>
        <v>0.879</v>
      </c>
      <c r="O325" s="26">
        <f>IFERROR(_xlfn.PERCENTRANK.INC(Table211121642021222325[True Rank],_xlfn.XLOOKUP(Table1624[[#This Row],[Name]],Table211121642021222325[Name],Table211121642021222325[True Rank],"DNP",0,1)),"DNP")</f>
        <v>0.94499999999999995</v>
      </c>
      <c r="P325" s="26">
        <f>IFERROR(_xlfn.PERCENTRANK.INC(Table21112164202122232534[True Rank],_xlfn.XLOOKUP(Table1624[[#This Row],[Name]],Table21112164202122232534[Name],Table21112164202122232534[True Rank],"DNP",0,1)),"DNP")</f>
        <v>0.60399999999999998</v>
      </c>
      <c r="Q32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5" s="26">
        <f>IFERROR(_xlfn.PERCENTRANK.INC(Table211121642021222325343536[True Rank],_xlfn.XLOOKUP(Table1624[[#This Row],[Name]],Table211121642021222325343536[Name],Table211121642021222325343536[True Rank],"DNP",0,1)),"DNP")</f>
        <v>0.90900000000000003</v>
      </c>
      <c r="S32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5" s="26">
        <f>IFERROR(_xlfn.PERCENTRANK.INC(Table2111216420212223253435363738[True Rank],_xlfn.XLOOKUP(Table1624[[#This Row],[Name]],Table2111216420212223253435363738[Name],Table2111216420212223253435363738[True Rank],"DNP",0,1)),"DNP")</f>
        <v>0.76300000000000001</v>
      </c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 spans="2:33">
      <c r="B326" t="str">
        <f>IFERROR(Table5[[#This Row],[Full name]],"")</f>
        <v>Timothy  Yeung</v>
      </c>
      <c r="C326" s="108">
        <f>IFERROR(AVERAGE(Table1624[[#This Row],[September 30, 2025]:[Column18]]),"N/A")</f>
        <v>0.26900000000000002</v>
      </c>
      <c r="D326" s="26" t="str">
        <f>IFERROR(_xlfn.PERCENTRANK.INC(Table4[True Rank],_xlfn.XLOOKUP(Table1624[[#This Row],[Name]],Table4[Name],Table4[True Rank],"DNP",0,1)),"DNP")</f>
        <v>DNP</v>
      </c>
      <c r="E326" s="26" t="str">
        <f>IFERROR(_xlfn.PERCENTRANK.INC(Table9[True Rank],_xlfn.XLOOKUP(Table1624[[#This Row],[Name]],Table9[Name],Table9[True Rank],"DNP",0,1)),"DNP")</f>
        <v>DNP</v>
      </c>
      <c r="F326" s="26">
        <f>IFERROR(_xlfn.PERCENTRANK.INC(Table18[True Rank],_xlfn.XLOOKUP(Table1624[[#This Row],[Name]],Table18[Name],Table18[True Rank],"DNP",0,1)),"DNP")</f>
        <v>0.08</v>
      </c>
      <c r="G326" s="26">
        <f>IFERROR(_xlfn.PERCENTRANK.INC(Table2[True Rank],_xlfn.XLOOKUP(Table1624[[#This Row],[Name]],Table2[Name],Table2[True Rank],"DNP",0,1)),"DNP")</f>
        <v>0.28499999999999998</v>
      </c>
      <c r="H326" s="26" t="str">
        <f>IFERROR(_xlfn.PERCENTRANK.INC(Table211[True Rank],_xlfn.XLOOKUP(Table1624[[#This Row],[Name]],Table211[Name],Table211[True Rank],"DNP",0,1)),"DNP")</f>
        <v>DNP</v>
      </c>
      <c r="I326" s="26" t="str">
        <f>IFERROR(_xlfn.PERCENTRANK.INC(Table21112[True Rank],_xlfn.XLOOKUP(Table1624[[#This Row],[Name]],Table21112[Name],Table21112[True Rank],"DNP",0,1)),"DNP")</f>
        <v>DNP</v>
      </c>
      <c r="J326" s="26" t="str">
        <f>IFERROR(_xlfn.PERCENTRANK.INC(Table21112164[True Rank],_xlfn.XLOOKUP(Table1624[[#This Row],[Name]],Table21112164[Name],Table21112164[True Rank],"DNP",0,1)),"DNP")</f>
        <v>DNP</v>
      </c>
      <c r="K326" s="26">
        <f>IFERROR(_xlfn.PERCENTRANK.INC(Table2111216420[True Rank],_xlfn.XLOOKUP(Table1624[[#This Row],[Name]],Table2111216420[Name],Table2111216420[True Rank],"DNP",0,1)),"DNP")</f>
        <v>0.39300000000000002</v>
      </c>
      <c r="L326" s="26" t="str">
        <f>IFERROR(_xlfn.PERCENTRANK.INC(Table211121642021[True Rank],_xlfn.XLOOKUP(Table1624[[#This Row],[Name]],Table211121642021[Name],Table211121642021[True Rank],"DNP",0,1)),"DNP")</f>
        <v>DNP</v>
      </c>
      <c r="M326" s="26" t="str">
        <f>IFERROR(_xlfn.PERCENTRANK.INC(Table21112164202122[True Rank],_xlfn.XLOOKUP(Table1624[[#This Row],[Name]],Table21112164202122[Name],Table21112164202122[True Rank],"DNP",0,1)),"DNP")</f>
        <v>DNP</v>
      </c>
      <c r="N326" s="26">
        <f>IFERROR(_xlfn.PERCENTRANK.INC(Table2111216420212223[True Rank],_xlfn.XLOOKUP(Table1624[[#This Row],[Name]],Table2111216420212223[Name],Table2111216420212223[True Rank],"DNP",0,1)),"DNP")</f>
        <v>0.318</v>
      </c>
      <c r="O326" s="26" t="str">
        <f>IFERROR(_xlfn.PERCENTRANK.INC(Table211121642021222325[True Rank],_xlfn.XLOOKUP(Table1624[[#This Row],[Name]],Table211121642021222325[Name],Table211121642021222325[True Rank],"DNP",0,1)),"DNP")</f>
        <v>DNP</v>
      </c>
      <c r="P326" s="26" t="str">
        <f>IFERROR(_xlfn.PERCENTRANK.INC(Table21112164202122232534[True Rank],_xlfn.XLOOKUP(Table1624[[#This Row],[Name]],Table21112164202122232534[Name],Table21112164202122232534[True Rank],"DNP",0,1)),"DNP")</f>
        <v>DNP</v>
      </c>
      <c r="Q32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 spans="2:33">
      <c r="B327" t="str">
        <f>IFERROR(Table5[[#This Row],[Full name]],"")</f>
        <v>Toma Pituscan</v>
      </c>
      <c r="C327" s="108">
        <f>IFERROR(AVERAGE(Table1624[[#This Row],[September 30, 2025]:[Column18]]),"N/A")</f>
        <v>0.36199999999999999</v>
      </c>
      <c r="D327" s="26" t="str">
        <f>IFERROR(_xlfn.PERCENTRANK.INC(Table4[True Rank],_xlfn.XLOOKUP(Table1624[[#This Row],[Name]],Table4[Name],Table4[True Rank],"DNP",0,1)),"DNP")</f>
        <v>DNP</v>
      </c>
      <c r="E327" s="26" t="str">
        <f>IFERROR(_xlfn.PERCENTRANK.INC(Table9[True Rank],_xlfn.XLOOKUP(Table1624[[#This Row],[Name]],Table9[Name],Table9[True Rank],"DNP",0,1)),"DNP")</f>
        <v>DNP</v>
      </c>
      <c r="F327" s="26" t="str">
        <f>IFERROR(_xlfn.PERCENTRANK.INC(Table18[True Rank],_xlfn.XLOOKUP(Table1624[[#This Row],[Name]],Table18[Name],Table18[True Rank],"DNP",0,1)),"DNP")</f>
        <v>DNP</v>
      </c>
      <c r="G327" s="26" t="str">
        <f>IFERROR(_xlfn.PERCENTRANK.INC(Table2[True Rank],_xlfn.XLOOKUP(Table1624[[#This Row],[Name]],Table2[Name],Table2[True Rank],"DNP",0,1)),"DNP")</f>
        <v>DNP</v>
      </c>
      <c r="H327" s="26" t="str">
        <f>IFERROR(_xlfn.PERCENTRANK.INC(Table211[True Rank],_xlfn.XLOOKUP(Table1624[[#This Row],[Name]],Table211[Name],Table211[True Rank],"DNP",0,1)),"DNP")</f>
        <v>DNP</v>
      </c>
      <c r="I327" s="26" t="str">
        <f>IFERROR(_xlfn.PERCENTRANK.INC(Table21112[True Rank],_xlfn.XLOOKUP(Table1624[[#This Row],[Name]],Table21112[Name],Table21112[True Rank],"DNP",0,1)),"DNP")</f>
        <v>DNP</v>
      </c>
      <c r="J327" s="26" t="str">
        <f>IFERROR(_xlfn.PERCENTRANK.INC(Table21112164[True Rank],_xlfn.XLOOKUP(Table1624[[#This Row],[Name]],Table21112164[Name],Table21112164[True Rank],"DNP",0,1)),"DNP")</f>
        <v>DNP</v>
      </c>
      <c r="K327" s="26" t="str">
        <f>IFERROR(_xlfn.PERCENTRANK.INC(Table2111216420[True Rank],_xlfn.XLOOKUP(Table1624[[#This Row],[Name]],Table2111216420[Name],Table2111216420[True Rank],"DNP",0,1)),"DNP")</f>
        <v>DNP</v>
      </c>
      <c r="L327" s="26" t="str">
        <f>IFERROR(_xlfn.PERCENTRANK.INC(Table211121642021[True Rank],_xlfn.XLOOKUP(Table1624[[#This Row],[Name]],Table211121642021[Name],Table211121642021[True Rank],"DNP",0,1)),"DNP")</f>
        <v>DNP</v>
      </c>
      <c r="M327" s="26" t="str">
        <f>IFERROR(_xlfn.PERCENTRANK.INC(Table21112164202122[True Rank],_xlfn.XLOOKUP(Table1624[[#This Row],[Name]],Table21112164202122[Name],Table21112164202122[True Rank],"DNP",0,1)),"DNP")</f>
        <v>DNP</v>
      </c>
      <c r="N327" s="26">
        <f>IFERROR(_xlfn.PERCENTRANK.INC(Table2111216420212223[True Rank],_xlfn.XLOOKUP(Table1624[[#This Row],[Name]],Table2111216420212223[Name],Table2111216420212223[True Rank],"DNP",0,1)),"DNP")</f>
        <v>0.36199999999999999</v>
      </c>
      <c r="O327" s="26" t="str">
        <f>IFERROR(_xlfn.PERCENTRANK.INC(Table211121642021222325[True Rank],_xlfn.XLOOKUP(Table1624[[#This Row],[Name]],Table211121642021222325[Name],Table211121642021222325[True Rank],"DNP",0,1)),"DNP")</f>
        <v>DNP</v>
      </c>
      <c r="P327" s="26" t="str">
        <f>IFERROR(_xlfn.PERCENTRANK.INC(Table21112164202122232534[True Rank],_xlfn.XLOOKUP(Table1624[[#This Row],[Name]],Table21112164202122232534[Name],Table21112164202122232534[True Rank],"DNP",0,1)),"DNP")</f>
        <v>DNP</v>
      </c>
      <c r="Q32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spans="2:33">
      <c r="B328" t="str">
        <f>IFERROR(Table5[[#This Row],[Full name]],"")</f>
        <v>Tomas Cuni</v>
      </c>
      <c r="C328" s="108" t="str">
        <f>IFERROR(AVERAGE(Table1624[[#This Row],[September 30, 2025]:[Column18]]),"N/A")</f>
        <v>N/A</v>
      </c>
      <c r="D328" s="26" t="str">
        <f>IFERROR(_xlfn.PERCENTRANK.INC(Table4[True Rank],_xlfn.XLOOKUP(Table1624[[#This Row],[Name]],Table4[Name],Table4[True Rank],"DNP",0,1)),"DNP")</f>
        <v>DNP</v>
      </c>
      <c r="E328" s="26" t="str">
        <f>IFERROR(_xlfn.PERCENTRANK.INC(Table9[True Rank],_xlfn.XLOOKUP(Table1624[[#This Row],[Name]],Table9[Name],Table9[True Rank],"DNP",0,1)),"DNP")</f>
        <v>DNP</v>
      </c>
      <c r="F328" s="26" t="str">
        <f>IFERROR(_xlfn.PERCENTRANK.INC(Table18[True Rank],_xlfn.XLOOKUP(Table1624[[#This Row],[Name]],Table18[Name],Table18[True Rank],"DNP",0,1)),"DNP")</f>
        <v>DNP</v>
      </c>
      <c r="G328" s="26" t="str">
        <f>IFERROR(_xlfn.PERCENTRANK.INC(Table2[True Rank],_xlfn.XLOOKUP(Table1624[[#This Row],[Name]],Table2[Name],Table2[True Rank],"DNP",0,1)),"DNP")</f>
        <v>DNP</v>
      </c>
      <c r="H328" s="26" t="str">
        <f>IFERROR(_xlfn.PERCENTRANK.INC(Table211[True Rank],_xlfn.XLOOKUP(Table1624[[#This Row],[Name]],Table211[Name],Table211[True Rank],"DNP",0,1)),"DNP")</f>
        <v>DNP</v>
      </c>
      <c r="I328" s="26" t="str">
        <f>IFERROR(_xlfn.PERCENTRANK.INC(Table21112[True Rank],_xlfn.XLOOKUP(Table1624[[#This Row],[Name]],Table21112[Name],Table21112[True Rank],"DNP",0,1)),"DNP")</f>
        <v>DNP</v>
      </c>
      <c r="J328" s="26" t="str">
        <f>IFERROR(_xlfn.PERCENTRANK.INC(Table21112164[True Rank],_xlfn.XLOOKUP(Table1624[[#This Row],[Name]],Table21112164[Name],Table21112164[True Rank],"DNP",0,1)),"DNP")</f>
        <v>DNP</v>
      </c>
      <c r="K328" s="26" t="str">
        <f>IFERROR(_xlfn.PERCENTRANK.INC(Table2111216420[True Rank],_xlfn.XLOOKUP(Table1624[[#This Row],[Name]],Table2111216420[Name],Table2111216420[True Rank],"DNP",0,1)),"DNP")</f>
        <v>DNP</v>
      </c>
      <c r="L328" s="26" t="str">
        <f>IFERROR(_xlfn.PERCENTRANK.INC(Table211121642021[True Rank],_xlfn.XLOOKUP(Table1624[[#This Row],[Name]],Table211121642021[Name],Table211121642021[True Rank],"DNP",0,1)),"DNP")</f>
        <v>DNP</v>
      </c>
      <c r="M328" s="26" t="str">
        <f>IFERROR(_xlfn.PERCENTRANK.INC(Table21112164202122[True Rank],_xlfn.XLOOKUP(Table1624[[#This Row],[Name]],Table21112164202122[Name],Table21112164202122[True Rank],"DNP",0,1)),"DNP")</f>
        <v>DNP</v>
      </c>
      <c r="N328" s="26" t="str">
        <f>IFERROR(_xlfn.PERCENTRANK.INC(Table2111216420212223[True Rank],_xlfn.XLOOKUP(Table1624[[#This Row],[Name]],Table2111216420212223[Name],Table2111216420212223[True Rank],"DNP",0,1)),"DNP")</f>
        <v>DNP</v>
      </c>
      <c r="O328" s="26" t="str">
        <f>IFERROR(_xlfn.PERCENTRANK.INC(Table211121642021222325[True Rank],_xlfn.XLOOKUP(Table1624[[#This Row],[Name]],Table211121642021222325[Name],Table211121642021222325[True Rank],"DNP",0,1)),"DNP")</f>
        <v>DNP</v>
      </c>
      <c r="P328" s="26" t="str">
        <f>IFERROR(_xlfn.PERCENTRANK.INC(Table21112164202122232534[True Rank],_xlfn.XLOOKUP(Table1624[[#This Row],[Name]],Table21112164202122232534[Name],Table21112164202122232534[True Rank],"DNP",0,1)),"DNP")</f>
        <v>DNP</v>
      </c>
      <c r="Q32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2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2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2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spans="2:33">
      <c r="B329" t="str">
        <f>IFERROR(Table5[[#This Row],[Full name]],"")</f>
        <v>Tommy Truong</v>
      </c>
      <c r="C329" s="108">
        <f>IFERROR(AVERAGE(Table1624[[#This Row],[September 30, 2025]:[Column18]]),"N/A")</f>
        <v>0.38953333333333334</v>
      </c>
      <c r="D329" s="26">
        <f>IFERROR(_xlfn.PERCENTRANK.INC(Table4[True Rank],_xlfn.XLOOKUP(Table1624[[#This Row],[Name]],Table4[Name],Table4[True Rank],"DNP",0,1)),"DNP")</f>
        <v>0.128</v>
      </c>
      <c r="E329" s="26">
        <f>IFERROR(_xlfn.PERCENTRANK.INC(Table9[True Rank],_xlfn.XLOOKUP(Table1624[[#This Row],[Name]],Table9[Name],Table9[True Rank],"DNP",0,1)),"DNP")</f>
        <v>0.45900000000000002</v>
      </c>
      <c r="F329" s="26">
        <f>IFERROR(_xlfn.PERCENTRANK.INC(Table18[True Rank],_xlfn.XLOOKUP(Table1624[[#This Row],[Name]],Table18[Name],Table18[True Rank],"DNP",0,1)),"DNP")</f>
        <v>0.434</v>
      </c>
      <c r="G329" s="26" t="str">
        <f>IFERROR(_xlfn.PERCENTRANK.INC(Table2[True Rank],_xlfn.XLOOKUP(Table1624[[#This Row],[Name]],Table2[Name],Table2[True Rank],"DNP",0,1)),"DNP")</f>
        <v>DNP</v>
      </c>
      <c r="H329" s="26">
        <f>IFERROR(_xlfn.PERCENTRANK.INC(Table211[True Rank],_xlfn.XLOOKUP(Table1624[[#This Row],[Name]],Table211[Name],Table211[True Rank],"DNP",0,1)),"DNP")</f>
        <v>0.154</v>
      </c>
      <c r="I329" s="26">
        <f>IFERROR(_xlfn.PERCENTRANK.INC(Table21112[True Rank],_xlfn.XLOOKUP(Table1624[[#This Row],[Name]],Table21112[Name],Table21112[True Rank],"DNP",0,1)),"DNP")</f>
        <v>1.2E-2</v>
      </c>
      <c r="J329" s="26">
        <f>IFERROR(_xlfn.PERCENTRANK.INC(Table21112164[True Rank],_xlfn.XLOOKUP(Table1624[[#This Row],[Name]],Table21112164[Name],Table21112164[True Rank],"DNP",0,1)),"DNP")</f>
        <v>0.67400000000000004</v>
      </c>
      <c r="K329" s="26">
        <f>IFERROR(_xlfn.PERCENTRANK.INC(Table2111216420[True Rank],_xlfn.XLOOKUP(Table1624[[#This Row],[Name]],Table2111216420[Name],Table2111216420[True Rank],"DNP",0,1)),"DNP")</f>
        <v>0.14799999999999999</v>
      </c>
      <c r="L329" s="26">
        <f>IFERROR(_xlfn.PERCENTRANK.INC(Table211121642021[True Rank],_xlfn.XLOOKUP(Table1624[[#This Row],[Name]],Table211121642021[Name],Table211121642021[True Rank],"DNP",0,1)),"DNP")</f>
        <v>0.11799999999999999</v>
      </c>
      <c r="M329" s="26">
        <f>IFERROR(_xlfn.PERCENTRANK.INC(Table21112164202122[True Rank],_xlfn.XLOOKUP(Table1624[[#This Row],[Name]],Table21112164202122[Name],Table21112164202122[True Rank],"DNP",0,1)),"DNP")</f>
        <v>0.10199999999999999</v>
      </c>
      <c r="N329" s="26" t="str">
        <f>IFERROR(_xlfn.PERCENTRANK.INC(Table2111216420212223[True Rank],_xlfn.XLOOKUP(Table1624[[#This Row],[Name]],Table2111216420212223[Name],Table2111216420212223[True Rank],"DNP",0,1)),"DNP")</f>
        <v>DNP</v>
      </c>
      <c r="O329" s="26">
        <f>IFERROR(_xlfn.PERCENTRANK.INC(Table211121642021222325[True Rank],_xlfn.XLOOKUP(Table1624[[#This Row],[Name]],Table211121642021222325[Name],Table211121642021222325[True Rank],"DNP",0,1)),"DNP")</f>
        <v>0.86799999999999999</v>
      </c>
      <c r="P329" s="26">
        <f>IFERROR(_xlfn.PERCENTRANK.INC(Table21112164202122232534[True Rank],_xlfn.XLOOKUP(Table1624[[#This Row],[Name]],Table21112164202122232534[Name],Table21112164202122232534[True Rank],"DNP",0,1)),"DNP")</f>
        <v>0.56000000000000005</v>
      </c>
      <c r="Q329" s="26">
        <f>IFERROR(_xlfn.PERCENTRANK.INC(Table2111216420212223253435[True Rank],_xlfn.XLOOKUP(Table1624[[#This Row],[Name]],Table2111216420212223253435[Name],Table2111216420212223253435[True Rank],"DNP",0,1)),"DNP")</f>
        <v>0.78600000000000003</v>
      </c>
      <c r="R329" s="26">
        <f>IFERROR(_xlfn.PERCENTRANK.INC(Table211121642021222325343536[True Rank],_xlfn.XLOOKUP(Table1624[[#This Row],[Name]],Table211121642021222325343536[Name],Table211121642021222325343536[True Rank],"DNP",0,1)),"DNP")</f>
        <v>0.439</v>
      </c>
      <c r="S329" s="26">
        <f>IFERROR(_xlfn.PERCENTRANK.INC(Table21112164202122232534353637[True Rank],_xlfn.XLOOKUP(Table1624[[#This Row],[Name]],Table21112164202122232534353637[Name],Table21112164202122232534353637[True Rank],"DNP",0,1)),"DNP")</f>
        <v>0.68899999999999995</v>
      </c>
      <c r="T329" s="26">
        <f>IFERROR(_xlfn.PERCENTRANK.INC(Table2111216420212223253435363738[True Rank],_xlfn.XLOOKUP(Table1624[[#This Row],[Name]],Table2111216420212223253435363738[Name],Table2111216420212223253435363738[True Rank],"DNP",0,1)),"DNP")</f>
        <v>0.27200000000000002</v>
      </c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spans="2:33">
      <c r="B330" t="str">
        <f>IFERROR(Table5[[#This Row],[Full name]],"")</f>
        <v>Tyler Griffiths</v>
      </c>
      <c r="C330" s="108" t="str">
        <f>IFERROR(AVERAGE(Table1624[[#This Row],[September 30, 2025]:[Column18]]),"N/A")</f>
        <v>N/A</v>
      </c>
      <c r="D330" s="26" t="str">
        <f>IFERROR(_xlfn.PERCENTRANK.INC(Table4[True Rank],_xlfn.XLOOKUP(Table1624[[#This Row],[Name]],Table4[Name],Table4[True Rank],"DNP",0,1)),"DNP")</f>
        <v>DNP</v>
      </c>
      <c r="E330" s="26" t="str">
        <f>IFERROR(_xlfn.PERCENTRANK.INC(Table9[True Rank],_xlfn.XLOOKUP(Table1624[[#This Row],[Name]],Table9[Name],Table9[True Rank],"DNP",0,1)),"DNP")</f>
        <v>DNP</v>
      </c>
      <c r="F330" s="26" t="str">
        <f>IFERROR(_xlfn.PERCENTRANK.INC(Table18[True Rank],_xlfn.XLOOKUP(Table1624[[#This Row],[Name]],Table18[Name],Table18[True Rank],"DNP",0,1)),"DNP")</f>
        <v>DNP</v>
      </c>
      <c r="G330" s="26" t="str">
        <f>IFERROR(_xlfn.PERCENTRANK.INC(Table2[True Rank],_xlfn.XLOOKUP(Table1624[[#This Row],[Name]],Table2[Name],Table2[True Rank],"DNP",0,1)),"DNP")</f>
        <v>DNP</v>
      </c>
      <c r="H330" s="26" t="str">
        <f>IFERROR(_xlfn.PERCENTRANK.INC(Table211[True Rank],_xlfn.XLOOKUP(Table1624[[#This Row],[Name]],Table211[Name],Table211[True Rank],"DNP",0,1)),"DNP")</f>
        <v>DNP</v>
      </c>
      <c r="I330" s="26" t="str">
        <f>IFERROR(_xlfn.PERCENTRANK.INC(Table21112[True Rank],_xlfn.XLOOKUP(Table1624[[#This Row],[Name]],Table21112[Name],Table21112[True Rank],"DNP",0,1)),"DNP")</f>
        <v>DNP</v>
      </c>
      <c r="J330" s="26" t="str">
        <f>IFERROR(_xlfn.PERCENTRANK.INC(Table21112164[True Rank],_xlfn.XLOOKUP(Table1624[[#This Row],[Name]],Table21112164[Name],Table21112164[True Rank],"DNP",0,1)),"DNP")</f>
        <v>DNP</v>
      </c>
      <c r="K330" s="26" t="str">
        <f>IFERROR(_xlfn.PERCENTRANK.INC(Table2111216420[True Rank],_xlfn.XLOOKUP(Table1624[[#This Row],[Name]],Table2111216420[Name],Table2111216420[True Rank],"DNP",0,1)),"DNP")</f>
        <v>DNP</v>
      </c>
      <c r="L330" s="26" t="str">
        <f>IFERROR(_xlfn.PERCENTRANK.INC(Table211121642021[True Rank],_xlfn.XLOOKUP(Table1624[[#This Row],[Name]],Table211121642021[Name],Table211121642021[True Rank],"DNP",0,1)),"DNP")</f>
        <v>DNP</v>
      </c>
      <c r="M330" s="26" t="str">
        <f>IFERROR(_xlfn.PERCENTRANK.INC(Table21112164202122[True Rank],_xlfn.XLOOKUP(Table1624[[#This Row],[Name]],Table21112164202122[Name],Table21112164202122[True Rank],"DNP",0,1)),"DNP")</f>
        <v>DNP</v>
      </c>
      <c r="N330" s="26" t="str">
        <f>IFERROR(_xlfn.PERCENTRANK.INC(Table2111216420212223[True Rank],_xlfn.XLOOKUP(Table1624[[#This Row],[Name]],Table2111216420212223[Name],Table2111216420212223[True Rank],"DNP",0,1)),"DNP")</f>
        <v>DNP</v>
      </c>
      <c r="O330" s="26" t="str">
        <f>IFERROR(_xlfn.PERCENTRANK.INC(Table211121642021222325[True Rank],_xlfn.XLOOKUP(Table1624[[#This Row],[Name]],Table211121642021222325[Name],Table211121642021222325[True Rank],"DNP",0,1)),"DNP")</f>
        <v>DNP</v>
      </c>
      <c r="P330" s="26" t="str">
        <f>IFERROR(_xlfn.PERCENTRANK.INC(Table21112164202122232534[True Rank],_xlfn.XLOOKUP(Table1624[[#This Row],[Name]],Table21112164202122232534[Name],Table21112164202122232534[True Rank],"DNP",0,1)),"DNP")</f>
        <v>DNP</v>
      </c>
      <c r="Q33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spans="2:33">
      <c r="B331" t="str">
        <f>IFERROR(Table5[[#This Row],[Full name]],"")</f>
        <v>Tyler Maddox</v>
      </c>
      <c r="C331" s="108">
        <f>IFERROR(AVERAGE(Table1624[[#This Row],[September 30, 2025]:[Column18]]),"N/A")</f>
        <v>0.878</v>
      </c>
      <c r="D331" s="26" t="str">
        <f>IFERROR(_xlfn.PERCENTRANK.INC(Table4[True Rank],_xlfn.XLOOKUP(Table1624[[#This Row],[Name]],Table4[Name],Table4[True Rank],"DNP",0,1)),"DNP")</f>
        <v>DNP</v>
      </c>
      <c r="E331" s="26" t="str">
        <f>IFERROR(_xlfn.PERCENTRANK.INC(Table9[True Rank],_xlfn.XLOOKUP(Table1624[[#This Row],[Name]],Table9[Name],Table9[True Rank],"DNP",0,1)),"DNP")</f>
        <v>DNP</v>
      </c>
      <c r="F331" s="26">
        <f>IFERROR(_xlfn.PERCENTRANK.INC(Table18[True Rank],_xlfn.XLOOKUP(Table1624[[#This Row],[Name]],Table18[Name],Table18[True Rank],"DNP",0,1)),"DNP")</f>
        <v>0.878</v>
      </c>
      <c r="G331" s="26" t="str">
        <f>IFERROR(_xlfn.PERCENTRANK.INC(Table2[True Rank],_xlfn.XLOOKUP(Table1624[[#This Row],[Name]],Table2[Name],Table2[True Rank],"DNP",0,1)),"DNP")</f>
        <v>DNP</v>
      </c>
      <c r="H331" s="26" t="str">
        <f>IFERROR(_xlfn.PERCENTRANK.INC(Table211[True Rank],_xlfn.XLOOKUP(Table1624[[#This Row],[Name]],Table211[Name],Table211[True Rank],"DNP",0,1)),"DNP")</f>
        <v>DNP</v>
      </c>
      <c r="I331" s="26" t="str">
        <f>IFERROR(_xlfn.PERCENTRANK.INC(Table21112[True Rank],_xlfn.XLOOKUP(Table1624[[#This Row],[Name]],Table21112[Name],Table21112[True Rank],"DNP",0,1)),"DNP")</f>
        <v>DNP</v>
      </c>
      <c r="J331" s="26" t="str">
        <f>IFERROR(_xlfn.PERCENTRANK.INC(Table21112164[True Rank],_xlfn.XLOOKUP(Table1624[[#This Row],[Name]],Table21112164[Name],Table21112164[True Rank],"DNP",0,1)),"DNP")</f>
        <v>DNP</v>
      </c>
      <c r="K331" s="26" t="str">
        <f>IFERROR(_xlfn.PERCENTRANK.INC(Table2111216420[True Rank],_xlfn.XLOOKUP(Table1624[[#This Row],[Name]],Table2111216420[Name],Table2111216420[True Rank],"DNP",0,1)),"DNP")</f>
        <v>DNP</v>
      </c>
      <c r="L331" s="26" t="str">
        <f>IFERROR(_xlfn.PERCENTRANK.INC(Table211121642021[True Rank],_xlfn.XLOOKUP(Table1624[[#This Row],[Name]],Table211121642021[Name],Table211121642021[True Rank],"DNP",0,1)),"DNP")</f>
        <v>DNP</v>
      </c>
      <c r="M331" s="26" t="str">
        <f>IFERROR(_xlfn.PERCENTRANK.INC(Table21112164202122[True Rank],_xlfn.XLOOKUP(Table1624[[#This Row],[Name]],Table21112164202122[Name],Table21112164202122[True Rank],"DNP",0,1)),"DNP")</f>
        <v>DNP</v>
      </c>
      <c r="N331" s="26" t="str">
        <f>IFERROR(_xlfn.PERCENTRANK.INC(Table2111216420212223[True Rank],_xlfn.XLOOKUP(Table1624[[#This Row],[Name]],Table2111216420212223[Name],Table2111216420212223[True Rank],"DNP",0,1)),"DNP")</f>
        <v>DNP</v>
      </c>
      <c r="O331" s="26" t="str">
        <f>IFERROR(_xlfn.PERCENTRANK.INC(Table211121642021222325[True Rank],_xlfn.XLOOKUP(Table1624[[#This Row],[Name]],Table211121642021222325[Name],Table211121642021222325[True Rank],"DNP",0,1)),"DNP")</f>
        <v>DNP</v>
      </c>
      <c r="P331" s="26" t="str">
        <f>IFERROR(_xlfn.PERCENTRANK.INC(Table21112164202122232534[True Rank],_xlfn.XLOOKUP(Table1624[[#This Row],[Name]],Table21112164202122232534[Name],Table21112164202122232534[True Rank],"DNP",0,1)),"DNP")</f>
        <v>DNP</v>
      </c>
      <c r="Q33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spans="2:33">
      <c r="B332" t="str">
        <f>IFERROR(Table5[[#This Row],[Full name]],"")</f>
        <v>Vanessa Olutayo</v>
      </c>
      <c r="C332" s="108">
        <f>IFERROR(AVERAGE(Table1624[[#This Row],[September 30, 2025]:[Column18]]),"N/A")</f>
        <v>0.42049999999999998</v>
      </c>
      <c r="D332" s="26" t="str">
        <f>IFERROR(_xlfn.PERCENTRANK.INC(Table4[True Rank],_xlfn.XLOOKUP(Table1624[[#This Row],[Name]],Table4[Name],Table4[True Rank],"DNP",0,1)),"DNP")</f>
        <v>DNP</v>
      </c>
      <c r="E332" s="26" t="str">
        <f>IFERROR(_xlfn.PERCENTRANK.INC(Table9[True Rank],_xlfn.XLOOKUP(Table1624[[#This Row],[Name]],Table9[Name],Table9[True Rank],"DNP",0,1)),"DNP")</f>
        <v>DNP</v>
      </c>
      <c r="F332" s="26" t="str">
        <f>IFERROR(_xlfn.PERCENTRANK.INC(Table18[True Rank],_xlfn.XLOOKUP(Table1624[[#This Row],[Name]],Table18[Name],Table18[True Rank],"DNP",0,1)),"DNP")</f>
        <v>DNP</v>
      </c>
      <c r="G332" s="26" t="str">
        <f>IFERROR(_xlfn.PERCENTRANK.INC(Table2[True Rank],_xlfn.XLOOKUP(Table1624[[#This Row],[Name]],Table2[Name],Table2[True Rank],"DNP",0,1)),"DNP")</f>
        <v>DNP</v>
      </c>
      <c r="H332" s="26" t="str">
        <f>IFERROR(_xlfn.PERCENTRANK.INC(Table211[True Rank],_xlfn.XLOOKUP(Table1624[[#This Row],[Name]],Table211[Name],Table211[True Rank],"DNP",0,1)),"DNP")</f>
        <v>DNP</v>
      </c>
      <c r="I332" s="26" t="str">
        <f>IFERROR(_xlfn.PERCENTRANK.INC(Table21112[True Rank],_xlfn.XLOOKUP(Table1624[[#This Row],[Name]],Table21112[Name],Table21112[True Rank],"DNP",0,1)),"DNP")</f>
        <v>DNP</v>
      </c>
      <c r="J332" s="26" t="str">
        <f>IFERROR(_xlfn.PERCENTRANK.INC(Table21112164[True Rank],_xlfn.XLOOKUP(Table1624[[#This Row],[Name]],Table21112164[Name],Table21112164[True Rank],"DNP",0,1)),"DNP")</f>
        <v>DNP</v>
      </c>
      <c r="K332" s="26" t="str">
        <f>IFERROR(_xlfn.PERCENTRANK.INC(Table2111216420[True Rank],_xlfn.XLOOKUP(Table1624[[#This Row],[Name]],Table2111216420[Name],Table2111216420[True Rank],"DNP",0,1)),"DNP")</f>
        <v>DNP</v>
      </c>
      <c r="L332" s="26" t="str">
        <f>IFERROR(_xlfn.PERCENTRANK.INC(Table211121642021[True Rank],_xlfn.XLOOKUP(Table1624[[#This Row],[Name]],Table211121642021[Name],Table211121642021[True Rank],"DNP",0,1)),"DNP")</f>
        <v>DNP</v>
      </c>
      <c r="M332" s="26">
        <f>IFERROR(_xlfn.PERCENTRANK.INC(Table21112164202122[True Rank],_xlfn.XLOOKUP(Table1624[[#This Row],[Name]],Table21112164202122[Name],Table21112164202122[True Rank],"DNP",0,1)),"DNP")</f>
        <v>0.76100000000000001</v>
      </c>
      <c r="N332" s="26" t="str">
        <f>IFERROR(_xlfn.PERCENTRANK.INC(Table2111216420212223[True Rank],_xlfn.XLOOKUP(Table1624[[#This Row],[Name]],Table2111216420212223[Name],Table2111216420212223[True Rank],"DNP",0,1)),"DNP")</f>
        <v>DNP</v>
      </c>
      <c r="O332" s="26" t="str">
        <f>IFERROR(_xlfn.PERCENTRANK.INC(Table211121642021222325[True Rank],_xlfn.XLOOKUP(Table1624[[#This Row],[Name]],Table211121642021222325[Name],Table211121642021222325[True Rank],"DNP",0,1)),"DNP")</f>
        <v>DNP</v>
      </c>
      <c r="P332" s="26" t="str">
        <f>IFERROR(_xlfn.PERCENTRANK.INC(Table21112164202122232534[True Rank],_xlfn.XLOOKUP(Table1624[[#This Row],[Name]],Table21112164202122232534[Name],Table21112164202122232534[True Rank],"DNP",0,1)),"DNP")</f>
        <v>DNP</v>
      </c>
      <c r="Q332" s="26">
        <f>IFERROR(_xlfn.PERCENTRANK.INC(Table2111216420212223253435[True Rank],_xlfn.XLOOKUP(Table1624[[#This Row],[Name]],Table2111216420212223253435[Name],Table2111216420212223253435[True Rank],"DNP",0,1)),"DNP")</f>
        <v>0.08</v>
      </c>
      <c r="R33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spans="2:33">
      <c r="B333" t="str">
        <f>IFERROR(Table5[[#This Row],[Full name]],"")</f>
        <v>Victor Pivtoran</v>
      </c>
      <c r="C333" s="108">
        <f>IFERROR(AVERAGE(Table1624[[#This Row],[September 30, 2025]:[Column18]]),"N/A")</f>
        <v>0.40692307692307694</v>
      </c>
      <c r="D333" s="26" t="str">
        <f>IFERROR(_xlfn.PERCENTRANK.INC(Table4[True Rank],_xlfn.XLOOKUP(Table1624[[#This Row],[Name]],Table4[Name],Table4[True Rank],"DNP",0,1)),"DNP")</f>
        <v>DNP</v>
      </c>
      <c r="E333" s="26">
        <f>IFERROR(_xlfn.PERCENTRANK.INC(Table9[True Rank],_xlfn.XLOOKUP(Table1624[[#This Row],[Name]],Table9[Name],Table9[True Rank],"DNP",0,1)),"DNP")</f>
        <v>0.873</v>
      </c>
      <c r="F333" s="26">
        <f>IFERROR(_xlfn.PERCENTRANK.INC(Table18[True Rank],_xlfn.XLOOKUP(Table1624[[#This Row],[Name]],Table18[Name],Table18[True Rank],"DNP",0,1)),"DNP")</f>
        <v>0.03</v>
      </c>
      <c r="G333" s="26">
        <f>IFERROR(_xlfn.PERCENTRANK.INC(Table2[True Rank],_xlfn.XLOOKUP(Table1624[[#This Row],[Name]],Table2[Name],Table2[True Rank],"DNP",0,1)),"DNP")</f>
        <v>3.5000000000000003E-2</v>
      </c>
      <c r="H333" s="26" t="str">
        <f>IFERROR(_xlfn.PERCENTRANK.INC(Table211[True Rank],_xlfn.XLOOKUP(Table1624[[#This Row],[Name]],Table211[Name],Table211[True Rank],"DNP",0,1)),"DNP")</f>
        <v>DNP</v>
      </c>
      <c r="I333" s="26">
        <f>IFERROR(_xlfn.PERCENTRANK.INC(Table21112[True Rank],_xlfn.XLOOKUP(Table1624[[#This Row],[Name]],Table21112[Name],Table21112[True Rank],"DNP",0,1)),"DNP")</f>
        <v>0.70499999999999996</v>
      </c>
      <c r="J333" s="26">
        <f>IFERROR(_xlfn.PERCENTRANK.INC(Table21112164[True Rank],_xlfn.XLOOKUP(Table1624[[#This Row],[Name]],Table21112164[Name],Table21112164[True Rank],"DNP",0,1)),"DNP")</f>
        <v>0.20200000000000001</v>
      </c>
      <c r="K333" s="26">
        <f>IFERROR(_xlfn.PERCENTRANK.INC(Table2111216420[True Rank],_xlfn.XLOOKUP(Table1624[[#This Row],[Name]],Table2111216420[Name],Table2111216420[True Rank],"DNP",0,1)),"DNP")</f>
        <v>0.86099999999999999</v>
      </c>
      <c r="L333" s="26" t="str">
        <f>IFERROR(_xlfn.PERCENTRANK.INC(Table211121642021[True Rank],_xlfn.XLOOKUP(Table1624[[#This Row],[Name]],Table211121642021[Name],Table211121642021[True Rank],"DNP",0,1)),"DNP")</f>
        <v>DNP</v>
      </c>
      <c r="M333" s="26">
        <f>IFERROR(_xlfn.PERCENTRANK.INC(Table21112164202122[True Rank],_xlfn.XLOOKUP(Table1624[[#This Row],[Name]],Table21112164202122[Name],Table21112164202122[True Rank],"DNP",0,1)),"DNP")</f>
        <v>7.9000000000000001E-2</v>
      </c>
      <c r="N333" s="26">
        <f>IFERROR(_xlfn.PERCENTRANK.INC(Table2111216420212223[True Rank],_xlfn.XLOOKUP(Table1624[[#This Row],[Name]],Table2111216420212223[Name],Table2111216420212223[True Rank],"DNP",0,1)),"DNP")</f>
        <v>3.2000000000000001E-2</v>
      </c>
      <c r="O333" s="26">
        <f>IFERROR(_xlfn.PERCENTRANK.INC(Table211121642021222325[True Rank],_xlfn.XLOOKUP(Table1624[[#This Row],[Name]],Table211121642021222325[Name],Table211121642021222325[True Rank],"DNP",0,1)),"DNP")</f>
        <v>0.82399999999999995</v>
      </c>
      <c r="P333" s="26">
        <f>IFERROR(_xlfn.PERCENTRANK.INC(Table21112164202122232534[True Rank],_xlfn.XLOOKUP(Table1624[[#This Row],[Name]],Table21112164202122232534[Name],Table21112164202122232534[True Rank],"DNP",0,1)),"DNP")</f>
        <v>0.70299999999999996</v>
      </c>
      <c r="Q333" s="26">
        <f>IFERROR(_xlfn.PERCENTRANK.INC(Table2111216420212223253435[True Rank],_xlfn.XLOOKUP(Table1624[[#This Row],[Name]],Table2111216420212223253435[Name],Table2111216420212223253435[True Rank],"DNP",0,1)),"DNP")</f>
        <v>5.2999999999999999E-2</v>
      </c>
      <c r="R333" s="26">
        <f>IFERROR(_xlfn.PERCENTRANK.INC(Table211121642021222325343536[True Rank],_xlfn.XLOOKUP(Table1624[[#This Row],[Name]],Table211121642021222325343536[Name],Table211121642021222325343536[True Rank],"DNP",0,1)),"DNP")</f>
        <v>0.39300000000000002</v>
      </c>
      <c r="S333" s="26">
        <f>IFERROR(_xlfn.PERCENTRANK.INC(Table21112164202122232534353637[True Rank],_xlfn.XLOOKUP(Table1624[[#This Row],[Name]],Table21112164202122232534353637[Name],Table21112164202122232534353637[True Rank],"DNP",0,1)),"DNP")</f>
        <v>0.5</v>
      </c>
      <c r="T33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spans="2:33">
      <c r="B334" t="str">
        <f>IFERROR(Table5[[#This Row],[Full name]],"")</f>
        <v>Vik Anandkmar</v>
      </c>
      <c r="C334" s="108">
        <f>IFERROR(AVERAGE(Table1624[[#This Row],[September 30, 2025]:[Column18]]),"N/A")</f>
        <v>0.58200000000000007</v>
      </c>
      <c r="D334" s="26" t="str">
        <f>IFERROR(_xlfn.PERCENTRANK.INC(Table4[True Rank],_xlfn.XLOOKUP(Table1624[[#This Row],[Name]],Table4[Name],Table4[True Rank],"DNP",0,1)),"DNP")</f>
        <v>DNP</v>
      </c>
      <c r="E334" s="26" t="str">
        <f>IFERROR(_xlfn.PERCENTRANK.INC(Table9[True Rank],_xlfn.XLOOKUP(Table1624[[#This Row],[Name]],Table9[Name],Table9[True Rank],"DNP",0,1)),"DNP")</f>
        <v>DNP</v>
      </c>
      <c r="F334" s="26" t="str">
        <f>IFERROR(_xlfn.PERCENTRANK.INC(Table18[True Rank],_xlfn.XLOOKUP(Table1624[[#This Row],[Name]],Table18[Name],Table18[True Rank],"DNP",0,1)),"DNP")</f>
        <v>DNP</v>
      </c>
      <c r="G334" s="26" t="str">
        <f>IFERROR(_xlfn.PERCENTRANK.INC(Table2[True Rank],_xlfn.XLOOKUP(Table1624[[#This Row],[Name]],Table2[Name],Table2[True Rank],"DNP",0,1)),"DNP")</f>
        <v>DNP</v>
      </c>
      <c r="H334" s="26" t="str">
        <f>IFERROR(_xlfn.PERCENTRANK.INC(Table211[True Rank],_xlfn.XLOOKUP(Table1624[[#This Row],[Name]],Table211[Name],Table211[True Rank],"DNP",0,1)),"DNP")</f>
        <v>DNP</v>
      </c>
      <c r="I334" s="26" t="str">
        <f>IFERROR(_xlfn.PERCENTRANK.INC(Table21112[True Rank],_xlfn.XLOOKUP(Table1624[[#This Row],[Name]],Table21112[Name],Table21112[True Rank],"DNP",0,1)),"DNP")</f>
        <v>DNP</v>
      </c>
      <c r="J334" s="26" t="str">
        <f>IFERROR(_xlfn.PERCENTRANK.INC(Table21112164[True Rank],_xlfn.XLOOKUP(Table1624[[#This Row],[Name]],Table21112164[Name],Table21112164[True Rank],"DNP",0,1)),"DNP")</f>
        <v>DNP</v>
      </c>
      <c r="K334" s="26">
        <f>IFERROR(_xlfn.PERCENTRANK.INC(Table2111216420[True Rank],_xlfn.XLOOKUP(Table1624[[#This Row],[Name]],Table2111216420[Name],Table2111216420[True Rank],"DNP",0,1)),"DNP")</f>
        <v>0.63800000000000001</v>
      </c>
      <c r="L334" s="26">
        <f>IFERROR(_xlfn.PERCENTRANK.INC(Table211121642021[True Rank],_xlfn.XLOOKUP(Table1624[[#This Row],[Name]],Table211121642021[Name],Table211121642021[True Rank],"DNP",0,1)),"DNP")</f>
        <v>0.92400000000000004</v>
      </c>
      <c r="M334" s="26">
        <f>IFERROR(_xlfn.PERCENTRANK.INC(Table21112164202122[True Rank],_xlfn.XLOOKUP(Table1624[[#This Row],[Name]],Table21112164202122[Name],Table21112164202122[True Rank],"DNP",0,1)),"DNP")</f>
        <v>0.375</v>
      </c>
      <c r="N334" s="26">
        <f>IFERROR(_xlfn.PERCENTRANK.INC(Table2111216420212223[True Rank],_xlfn.XLOOKUP(Table1624[[#This Row],[Name]],Table2111216420212223[Name],Table2111216420212223[True Rank],"DNP",0,1)),"DNP")</f>
        <v>0.95599999999999996</v>
      </c>
      <c r="O334" s="26">
        <f>IFERROR(_xlfn.PERCENTRANK.INC(Table211121642021222325[True Rank],_xlfn.XLOOKUP(Table1624[[#This Row],[Name]],Table211121642021222325[Name],Table211121642021222325[True Rank],"DNP",0,1)),"DNP")</f>
        <v>5.3999999999999999E-2</v>
      </c>
      <c r="P334" s="26">
        <f>IFERROR(_xlfn.PERCENTRANK.INC(Table21112164202122232534[True Rank],_xlfn.XLOOKUP(Table1624[[#This Row],[Name]],Table21112164202122232534[Name],Table21112164202122232534[True Rank],"DNP",0,1)),"DNP")</f>
        <v>0.26300000000000001</v>
      </c>
      <c r="Q334" s="26">
        <f>IFERROR(_xlfn.PERCENTRANK.INC(Table2111216420212223253435[True Rank],_xlfn.XLOOKUP(Table1624[[#This Row],[Name]],Table2111216420212223253435[Name],Table2111216420212223253435[True Rank],"DNP",0,1)),"DNP")</f>
        <v>0.746</v>
      </c>
      <c r="R334" s="26">
        <f>IFERROR(_xlfn.PERCENTRANK.INC(Table211121642021222325343536[True Rank],_xlfn.XLOOKUP(Table1624[[#This Row],[Name]],Table211121642021222325343536[Name],Table211121642021222325343536[True Rank],"DNP",0,1)),"DNP")</f>
        <v>7.4999999999999997E-2</v>
      </c>
      <c r="S334" s="26">
        <f>IFERROR(_xlfn.PERCENTRANK.INC(Table21112164202122232534353637[True Rank],_xlfn.XLOOKUP(Table1624[[#This Row],[Name]],Table21112164202122232534353637[Name],Table21112164202122232534353637[True Rank],"DNP",0,1)),"DNP")</f>
        <v>0.86199999999999999</v>
      </c>
      <c r="T334" s="26">
        <f>IFERROR(_xlfn.PERCENTRANK.INC(Table2111216420212223253435363738[True Rank],_xlfn.XLOOKUP(Table1624[[#This Row],[Name]],Table2111216420212223253435363738[Name],Table2111216420212223253435363738[True Rank],"DNP",0,1)),"DNP")</f>
        <v>0.92700000000000005</v>
      </c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spans="2:33">
      <c r="B335" t="str">
        <f>IFERROR(Table5[[#This Row],[Full name]],"")</f>
        <v>Vishall Balaji Balakrishnan</v>
      </c>
      <c r="C335" s="108">
        <f>IFERROR(AVERAGE(Table1624[[#This Row],[September 30, 2025]:[Column18]]),"N/A")</f>
        <v>0.39983333333333326</v>
      </c>
      <c r="D335" s="26" t="str">
        <f>IFERROR(_xlfn.PERCENTRANK.INC(Table4[True Rank],_xlfn.XLOOKUP(Table1624[[#This Row],[Name]],Table4[Name],Table4[True Rank],"DNP",0,1)),"DNP")</f>
        <v>DNP</v>
      </c>
      <c r="E335" s="26">
        <f>IFERROR(_xlfn.PERCENTRANK.INC(Table9[True Rank],_xlfn.XLOOKUP(Table1624[[#This Row],[Name]],Table9[Name],Table9[True Rank],"DNP",0,1)),"DNP")</f>
        <v>0.90800000000000003</v>
      </c>
      <c r="F335" s="26">
        <f>IFERROR(_xlfn.PERCENTRANK.INC(Table18[True Rank],_xlfn.XLOOKUP(Table1624[[#This Row],[Name]],Table18[Name],Table18[True Rank],"DNP",0,1)),"DNP")</f>
        <v>0.17100000000000001</v>
      </c>
      <c r="G335" s="26" t="str">
        <f>IFERROR(_xlfn.PERCENTRANK.INC(Table2[True Rank],_xlfn.XLOOKUP(Table1624[[#This Row],[Name]],Table2[Name],Table2[True Rank],"DNP",0,1)),"DNP")</f>
        <v>DNP</v>
      </c>
      <c r="H335" s="26" t="str">
        <f>IFERROR(_xlfn.PERCENTRANK.INC(Table211[True Rank],_xlfn.XLOOKUP(Table1624[[#This Row],[Name]],Table211[Name],Table211[True Rank],"DNP",0,1)),"DNP")</f>
        <v>DNP</v>
      </c>
      <c r="I335" s="26" t="str">
        <f>IFERROR(_xlfn.PERCENTRANK.INC(Table21112[True Rank],_xlfn.XLOOKUP(Table1624[[#This Row],[Name]],Table21112[Name],Table21112[True Rank],"DNP",0,1)),"DNP")</f>
        <v>DNP</v>
      </c>
      <c r="J335" s="26" t="str">
        <f>IFERROR(_xlfn.PERCENTRANK.INC(Table21112164[True Rank],_xlfn.XLOOKUP(Table1624[[#This Row],[Name]],Table21112164[Name],Table21112164[True Rank],"DNP",0,1)),"DNP")</f>
        <v>DNP</v>
      </c>
      <c r="K335" s="26" t="str">
        <f>IFERROR(_xlfn.PERCENTRANK.INC(Table2111216420[True Rank],_xlfn.XLOOKUP(Table1624[[#This Row],[Name]],Table2111216420[Name],Table2111216420[True Rank],"DNP",0,1)),"DNP")</f>
        <v>DNP</v>
      </c>
      <c r="L335" s="26" t="str">
        <f>IFERROR(_xlfn.PERCENTRANK.INC(Table211121642021[True Rank],_xlfn.XLOOKUP(Table1624[[#This Row],[Name]],Table211121642021[Name],Table211121642021[True Rank],"DNP",0,1)),"DNP")</f>
        <v>DNP</v>
      </c>
      <c r="M335" s="26" t="str">
        <f>IFERROR(_xlfn.PERCENTRANK.INC(Table21112164202122[True Rank],_xlfn.XLOOKUP(Table1624[[#This Row],[Name]],Table21112164202122[Name],Table21112164202122[True Rank],"DNP",0,1)),"DNP")</f>
        <v>DNP</v>
      </c>
      <c r="N335" s="26">
        <f>IFERROR(_xlfn.PERCENTRANK.INC(Table2111216420212223[True Rank],_xlfn.XLOOKUP(Table1624[[#This Row],[Name]],Table2111216420212223[Name],Table2111216420212223[True Rank],"DNP",0,1)),"DNP")</f>
        <v>0.24099999999999999</v>
      </c>
      <c r="O335" s="26">
        <f>IFERROR(_xlfn.PERCENTRANK.INC(Table211121642021222325[True Rank],_xlfn.XLOOKUP(Table1624[[#This Row],[Name]],Table211121642021222325[Name],Table211121642021222325[True Rank],"DNP",0,1)),"DNP")</f>
        <v>0.76900000000000002</v>
      </c>
      <c r="P335" s="26" t="str">
        <f>IFERROR(_xlfn.PERCENTRANK.INC(Table21112164202122232534[True Rank],_xlfn.XLOOKUP(Table1624[[#This Row],[Name]],Table21112164202122232534[Name],Table21112164202122232534[True Rank],"DNP",0,1)),"DNP")</f>
        <v>DNP</v>
      </c>
      <c r="Q335" s="26">
        <f>IFERROR(_xlfn.PERCENTRANK.INC(Table2111216420212223253435[True Rank],_xlfn.XLOOKUP(Table1624[[#This Row],[Name]],Table2111216420212223253435[Name],Table2111216420212223253435[True Rank],"DNP",0,1)),"DNP")</f>
        <v>0.28000000000000003</v>
      </c>
      <c r="R335" s="26">
        <f>IFERROR(_xlfn.PERCENTRANK.INC(Table211121642021222325343536[True Rank],_xlfn.XLOOKUP(Table1624[[#This Row],[Name]],Table211121642021222325343536[Name],Table211121642021222325343536[True Rank],"DNP",0,1)),"DNP")</f>
        <v>0.03</v>
      </c>
      <c r="S33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spans="2:33">
      <c r="B336" t="str">
        <f>IFERROR(Table5[[#This Row],[Full name]],"")</f>
        <v>Vivaan Master</v>
      </c>
      <c r="C336" s="108" t="str">
        <f>IFERROR(AVERAGE(Table1624[[#This Row],[September 30, 2025]:[Column18]]),"N/A")</f>
        <v>N/A</v>
      </c>
      <c r="D336" s="26" t="str">
        <f>IFERROR(_xlfn.PERCENTRANK.INC(Table4[True Rank],_xlfn.XLOOKUP(Table1624[[#This Row],[Name]],Table4[Name],Table4[True Rank],"DNP",0,1)),"DNP")</f>
        <v>DNP</v>
      </c>
      <c r="E336" s="26" t="str">
        <f>IFERROR(_xlfn.PERCENTRANK.INC(Table9[True Rank],_xlfn.XLOOKUP(Table1624[[#This Row],[Name]],Table9[Name],Table9[True Rank],"DNP",0,1)),"DNP")</f>
        <v>DNP</v>
      </c>
      <c r="F336" s="26" t="str">
        <f>IFERROR(_xlfn.PERCENTRANK.INC(Table18[True Rank],_xlfn.XLOOKUP(Table1624[[#This Row],[Name]],Table18[Name],Table18[True Rank],"DNP",0,1)),"DNP")</f>
        <v>DNP</v>
      </c>
      <c r="G336" s="26" t="str">
        <f>IFERROR(_xlfn.PERCENTRANK.INC(Table2[True Rank],_xlfn.XLOOKUP(Table1624[[#This Row],[Name]],Table2[Name],Table2[True Rank],"DNP",0,1)),"DNP")</f>
        <v>DNP</v>
      </c>
      <c r="H336" s="26" t="str">
        <f>IFERROR(_xlfn.PERCENTRANK.INC(Table211[True Rank],_xlfn.XLOOKUP(Table1624[[#This Row],[Name]],Table211[Name],Table211[True Rank],"DNP",0,1)),"DNP")</f>
        <v>DNP</v>
      </c>
      <c r="I336" s="26" t="str">
        <f>IFERROR(_xlfn.PERCENTRANK.INC(Table21112[True Rank],_xlfn.XLOOKUP(Table1624[[#This Row],[Name]],Table21112[Name],Table21112[True Rank],"DNP",0,1)),"DNP")</f>
        <v>DNP</v>
      </c>
      <c r="J336" s="26" t="str">
        <f>IFERROR(_xlfn.PERCENTRANK.INC(Table21112164[True Rank],_xlfn.XLOOKUP(Table1624[[#This Row],[Name]],Table21112164[Name],Table21112164[True Rank],"DNP",0,1)),"DNP")</f>
        <v>DNP</v>
      </c>
      <c r="K336" s="26" t="str">
        <f>IFERROR(_xlfn.PERCENTRANK.INC(Table2111216420[True Rank],_xlfn.XLOOKUP(Table1624[[#This Row],[Name]],Table2111216420[Name],Table2111216420[True Rank],"DNP",0,1)),"DNP")</f>
        <v>DNP</v>
      </c>
      <c r="L336" s="26" t="str">
        <f>IFERROR(_xlfn.PERCENTRANK.INC(Table211121642021[True Rank],_xlfn.XLOOKUP(Table1624[[#This Row],[Name]],Table211121642021[Name],Table211121642021[True Rank],"DNP",0,1)),"DNP")</f>
        <v>DNP</v>
      </c>
      <c r="M336" s="26" t="str">
        <f>IFERROR(_xlfn.PERCENTRANK.INC(Table21112164202122[True Rank],_xlfn.XLOOKUP(Table1624[[#This Row],[Name]],Table21112164202122[Name],Table21112164202122[True Rank],"DNP",0,1)),"DNP")</f>
        <v>DNP</v>
      </c>
      <c r="N336" s="26" t="str">
        <f>IFERROR(_xlfn.PERCENTRANK.INC(Table2111216420212223[True Rank],_xlfn.XLOOKUP(Table1624[[#This Row],[Name]],Table2111216420212223[Name],Table2111216420212223[True Rank],"DNP",0,1)),"DNP")</f>
        <v>DNP</v>
      </c>
      <c r="O336" s="26" t="str">
        <f>IFERROR(_xlfn.PERCENTRANK.INC(Table211121642021222325[True Rank],_xlfn.XLOOKUP(Table1624[[#This Row],[Name]],Table211121642021222325[Name],Table211121642021222325[True Rank],"DNP",0,1)),"DNP")</f>
        <v>DNP</v>
      </c>
      <c r="P336" s="26" t="str">
        <f>IFERROR(_xlfn.PERCENTRANK.INC(Table21112164202122232534[True Rank],_xlfn.XLOOKUP(Table1624[[#This Row],[Name]],Table21112164202122232534[Name],Table21112164202122232534[True Rank],"DNP",0,1)),"DNP")</f>
        <v>DNP</v>
      </c>
      <c r="Q33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spans="2:33">
      <c r="B337" t="str">
        <f>IFERROR(Table5[[#This Row],[Full name]],"")</f>
        <v>William Meldrum</v>
      </c>
      <c r="C337" s="108" t="str">
        <f>IFERROR(AVERAGE(Table1624[[#This Row],[September 30, 2025]:[Column18]]),"N/A")</f>
        <v>N/A</v>
      </c>
      <c r="D337" s="26" t="str">
        <f>IFERROR(_xlfn.PERCENTRANK.INC(Table4[True Rank],_xlfn.XLOOKUP(Table1624[[#This Row],[Name]],Table4[Name],Table4[True Rank],"DNP",0,1)),"DNP")</f>
        <v>DNP</v>
      </c>
      <c r="E337" s="26" t="str">
        <f>IFERROR(_xlfn.PERCENTRANK.INC(Table9[True Rank],_xlfn.XLOOKUP(Table1624[[#This Row],[Name]],Table9[Name],Table9[True Rank],"DNP",0,1)),"DNP")</f>
        <v>DNP</v>
      </c>
      <c r="F337" s="26" t="str">
        <f>IFERROR(_xlfn.PERCENTRANK.INC(Table18[True Rank],_xlfn.XLOOKUP(Table1624[[#This Row],[Name]],Table18[Name],Table18[True Rank],"DNP",0,1)),"DNP")</f>
        <v>DNP</v>
      </c>
      <c r="G337" s="26" t="str">
        <f>IFERROR(_xlfn.PERCENTRANK.INC(Table2[True Rank],_xlfn.XLOOKUP(Table1624[[#This Row],[Name]],Table2[Name],Table2[True Rank],"DNP",0,1)),"DNP")</f>
        <v>DNP</v>
      </c>
      <c r="H337" s="26" t="str">
        <f>IFERROR(_xlfn.PERCENTRANK.INC(Table211[True Rank],_xlfn.XLOOKUP(Table1624[[#This Row],[Name]],Table211[Name],Table211[True Rank],"DNP",0,1)),"DNP")</f>
        <v>DNP</v>
      </c>
      <c r="I337" s="26" t="str">
        <f>IFERROR(_xlfn.PERCENTRANK.INC(Table21112[True Rank],_xlfn.XLOOKUP(Table1624[[#This Row],[Name]],Table21112[Name],Table21112[True Rank],"DNP",0,1)),"DNP")</f>
        <v>DNP</v>
      </c>
      <c r="J337" s="26" t="str">
        <f>IFERROR(_xlfn.PERCENTRANK.INC(Table21112164[True Rank],_xlfn.XLOOKUP(Table1624[[#This Row],[Name]],Table21112164[Name],Table21112164[True Rank],"DNP",0,1)),"DNP")</f>
        <v>DNP</v>
      </c>
      <c r="K337" s="26" t="str">
        <f>IFERROR(_xlfn.PERCENTRANK.INC(Table2111216420[True Rank],_xlfn.XLOOKUP(Table1624[[#This Row],[Name]],Table2111216420[Name],Table2111216420[True Rank],"DNP",0,1)),"DNP")</f>
        <v>DNP</v>
      </c>
      <c r="L337" s="26" t="str">
        <f>IFERROR(_xlfn.PERCENTRANK.INC(Table211121642021[True Rank],_xlfn.XLOOKUP(Table1624[[#This Row],[Name]],Table211121642021[Name],Table211121642021[True Rank],"DNP",0,1)),"DNP")</f>
        <v>DNP</v>
      </c>
      <c r="M337" s="26" t="str">
        <f>IFERROR(_xlfn.PERCENTRANK.INC(Table21112164202122[True Rank],_xlfn.XLOOKUP(Table1624[[#This Row],[Name]],Table21112164202122[Name],Table21112164202122[True Rank],"DNP",0,1)),"DNP")</f>
        <v>DNP</v>
      </c>
      <c r="N337" s="26" t="str">
        <f>IFERROR(_xlfn.PERCENTRANK.INC(Table2111216420212223[True Rank],_xlfn.XLOOKUP(Table1624[[#This Row],[Name]],Table2111216420212223[Name],Table2111216420212223[True Rank],"DNP",0,1)),"DNP")</f>
        <v>DNP</v>
      </c>
      <c r="O337" s="26" t="str">
        <f>IFERROR(_xlfn.PERCENTRANK.INC(Table211121642021222325[True Rank],_xlfn.XLOOKUP(Table1624[[#This Row],[Name]],Table211121642021222325[Name],Table211121642021222325[True Rank],"DNP",0,1)),"DNP")</f>
        <v>DNP</v>
      </c>
      <c r="P337" s="26" t="str">
        <f>IFERROR(_xlfn.PERCENTRANK.INC(Table21112164202122232534[True Rank],_xlfn.XLOOKUP(Table1624[[#This Row],[Name]],Table21112164202122232534[Name],Table21112164202122232534[True Rank],"DNP",0,1)),"DNP")</f>
        <v>DNP</v>
      </c>
      <c r="Q33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spans="2:33">
      <c r="B338" t="str">
        <f>IFERROR(Table5[[#This Row],[Full name]],"")</f>
        <v>William Vu</v>
      </c>
      <c r="C338" s="108">
        <f>IFERROR(AVERAGE(Table1624[[#This Row],[September 30, 2025]:[Column18]]),"N/A")</f>
        <v>0.5796</v>
      </c>
      <c r="D338" s="26">
        <f>IFERROR(_xlfn.PERCENTRANK.INC(Table4[True Rank],_xlfn.XLOOKUP(Table1624[[#This Row],[Name]],Table4[Name],Table4[True Rank],"DNP",0,1)),"DNP")</f>
        <v>1.7999999999999999E-2</v>
      </c>
      <c r="E338" s="26">
        <f>IFERROR(_xlfn.PERCENTRANK.INC(Table9[True Rank],_xlfn.XLOOKUP(Table1624[[#This Row],[Name]],Table9[Name],Table9[True Rank],"DNP",0,1)),"DNP")</f>
        <v>0.75800000000000001</v>
      </c>
      <c r="F338" s="26">
        <f>IFERROR(_xlfn.PERCENTRANK.INC(Table18[True Rank],_xlfn.XLOOKUP(Table1624[[#This Row],[Name]],Table18[Name],Table18[True Rank],"DNP",0,1)),"DNP")</f>
        <v>0.90900000000000003</v>
      </c>
      <c r="G338" s="26">
        <f>IFERROR(_xlfn.PERCENTRANK.INC(Table2[True Rank],_xlfn.XLOOKUP(Table1624[[#This Row],[Name]],Table2[Name],Table2[True Rank],"DNP",0,1)),"DNP")</f>
        <v>0.88</v>
      </c>
      <c r="H338" s="26" t="str">
        <f>IFERROR(_xlfn.PERCENTRANK.INC(Table211[True Rank],_xlfn.XLOOKUP(Table1624[[#This Row],[Name]],Table211[Name],Table211[True Rank],"DNP",0,1)),"DNP")</f>
        <v>DNP</v>
      </c>
      <c r="I338" s="26">
        <f>IFERROR(_xlfn.PERCENTRANK.INC(Table21112[True Rank],_xlfn.XLOOKUP(Table1624[[#This Row],[Name]],Table21112[Name],Table21112[True Rank],"DNP",0,1)),"DNP")</f>
        <v>0.33300000000000002</v>
      </c>
      <c r="J338" s="26" t="str">
        <f>IFERROR(_xlfn.PERCENTRANK.INC(Table21112164[True Rank],_xlfn.XLOOKUP(Table1624[[#This Row],[Name]],Table21112164[Name],Table21112164[True Rank],"DNP",0,1)),"DNP")</f>
        <v>DNP</v>
      </c>
      <c r="K338" s="26" t="str">
        <f>IFERROR(_xlfn.PERCENTRANK.INC(Table2111216420[True Rank],_xlfn.XLOOKUP(Table1624[[#This Row],[Name]],Table2111216420[Name],Table2111216420[True Rank],"DNP",0,1)),"DNP")</f>
        <v>DNP</v>
      </c>
      <c r="L338" s="26" t="str">
        <f>IFERROR(_xlfn.PERCENTRANK.INC(Table211121642021[True Rank],_xlfn.XLOOKUP(Table1624[[#This Row],[Name]],Table211121642021[Name],Table211121642021[True Rank],"DNP",0,1)),"DNP")</f>
        <v>DNP</v>
      </c>
      <c r="M338" s="26" t="str">
        <f>IFERROR(_xlfn.PERCENTRANK.INC(Table21112164202122[True Rank],_xlfn.XLOOKUP(Table1624[[#This Row],[Name]],Table21112164202122[Name],Table21112164202122[True Rank],"DNP",0,1)),"DNP")</f>
        <v>DNP</v>
      </c>
      <c r="N338" s="26" t="str">
        <f>IFERROR(_xlfn.PERCENTRANK.INC(Table2111216420212223[True Rank],_xlfn.XLOOKUP(Table1624[[#This Row],[Name]],Table2111216420212223[Name],Table2111216420212223[True Rank],"DNP",0,1)),"DNP")</f>
        <v>DNP</v>
      </c>
      <c r="O338" s="26" t="str">
        <f>IFERROR(_xlfn.PERCENTRANK.INC(Table211121642021222325[True Rank],_xlfn.XLOOKUP(Table1624[[#This Row],[Name]],Table211121642021222325[Name],Table211121642021222325[True Rank],"DNP",0,1)),"DNP")</f>
        <v>DNP</v>
      </c>
      <c r="P338" s="26" t="str">
        <f>IFERROR(_xlfn.PERCENTRANK.INC(Table21112164202122232534[True Rank],_xlfn.XLOOKUP(Table1624[[#This Row],[Name]],Table21112164202122232534[Name],Table21112164202122232534[True Rank],"DNP",0,1)),"DNP")</f>
        <v>DNP</v>
      </c>
      <c r="Q33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spans="2:33">
      <c r="B339" t="str">
        <f>IFERROR(Table5[[#This Row],[Full name]],"")</f>
        <v>William Wang</v>
      </c>
      <c r="C339" s="108" t="str">
        <f>IFERROR(AVERAGE(Table1624[[#This Row],[September 30, 2025]:[Column18]]),"N/A")</f>
        <v>N/A</v>
      </c>
      <c r="D339" s="26" t="str">
        <f>IFERROR(_xlfn.PERCENTRANK.INC(Table4[True Rank],_xlfn.XLOOKUP(Table1624[[#This Row],[Name]],Table4[Name],Table4[True Rank],"DNP",0,1)),"DNP")</f>
        <v>DNP</v>
      </c>
      <c r="E339" s="26" t="str">
        <f>IFERROR(_xlfn.PERCENTRANK.INC(Table9[True Rank],_xlfn.XLOOKUP(Table1624[[#This Row],[Name]],Table9[Name],Table9[True Rank],"DNP",0,1)),"DNP")</f>
        <v>DNP</v>
      </c>
      <c r="F339" s="26" t="str">
        <f>IFERROR(_xlfn.PERCENTRANK.INC(Table18[True Rank],_xlfn.XLOOKUP(Table1624[[#This Row],[Name]],Table18[Name],Table18[True Rank],"DNP",0,1)),"DNP")</f>
        <v>DNP</v>
      </c>
      <c r="G339" s="26" t="str">
        <f>IFERROR(_xlfn.PERCENTRANK.INC(Table2[True Rank],_xlfn.XLOOKUP(Table1624[[#This Row],[Name]],Table2[Name],Table2[True Rank],"DNP",0,1)),"DNP")</f>
        <v>DNP</v>
      </c>
      <c r="H339" s="26" t="str">
        <f>IFERROR(_xlfn.PERCENTRANK.INC(Table211[True Rank],_xlfn.XLOOKUP(Table1624[[#This Row],[Name]],Table211[Name],Table211[True Rank],"DNP",0,1)),"DNP")</f>
        <v>DNP</v>
      </c>
      <c r="I339" s="26" t="str">
        <f>IFERROR(_xlfn.PERCENTRANK.INC(Table21112[True Rank],_xlfn.XLOOKUP(Table1624[[#This Row],[Name]],Table21112[Name],Table21112[True Rank],"DNP",0,1)),"DNP")</f>
        <v>DNP</v>
      </c>
      <c r="J339" s="26" t="str">
        <f>IFERROR(_xlfn.PERCENTRANK.INC(Table21112164[True Rank],_xlfn.XLOOKUP(Table1624[[#This Row],[Name]],Table21112164[Name],Table21112164[True Rank],"DNP",0,1)),"DNP")</f>
        <v>DNP</v>
      </c>
      <c r="K339" s="26" t="str">
        <f>IFERROR(_xlfn.PERCENTRANK.INC(Table2111216420[True Rank],_xlfn.XLOOKUP(Table1624[[#This Row],[Name]],Table2111216420[Name],Table2111216420[True Rank],"DNP",0,1)),"DNP")</f>
        <v>DNP</v>
      </c>
      <c r="L339" s="26" t="str">
        <f>IFERROR(_xlfn.PERCENTRANK.INC(Table211121642021[True Rank],_xlfn.XLOOKUP(Table1624[[#This Row],[Name]],Table211121642021[Name],Table211121642021[True Rank],"DNP",0,1)),"DNP")</f>
        <v>DNP</v>
      </c>
      <c r="M339" s="26" t="str">
        <f>IFERROR(_xlfn.PERCENTRANK.INC(Table21112164202122[True Rank],_xlfn.XLOOKUP(Table1624[[#This Row],[Name]],Table21112164202122[Name],Table21112164202122[True Rank],"DNP",0,1)),"DNP")</f>
        <v>DNP</v>
      </c>
      <c r="N339" s="26" t="str">
        <f>IFERROR(_xlfn.PERCENTRANK.INC(Table2111216420212223[True Rank],_xlfn.XLOOKUP(Table1624[[#This Row],[Name]],Table2111216420212223[Name],Table2111216420212223[True Rank],"DNP",0,1)),"DNP")</f>
        <v>DNP</v>
      </c>
      <c r="O339" s="26" t="str">
        <f>IFERROR(_xlfn.PERCENTRANK.INC(Table211121642021222325[True Rank],_xlfn.XLOOKUP(Table1624[[#This Row],[Name]],Table211121642021222325[Name],Table211121642021222325[True Rank],"DNP",0,1)),"DNP")</f>
        <v>DNP</v>
      </c>
      <c r="P339" s="26" t="str">
        <f>IFERROR(_xlfn.PERCENTRANK.INC(Table21112164202122232534[True Rank],_xlfn.XLOOKUP(Table1624[[#This Row],[Name]],Table21112164202122232534[Name],Table21112164202122232534[True Rank],"DNP",0,1)),"DNP")</f>
        <v>DNP</v>
      </c>
      <c r="Q33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3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3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3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 spans="2:33">
      <c r="B340" t="str">
        <f>IFERROR(Table5[[#This Row],[Full name]],"")</f>
        <v>Yahvi Patel</v>
      </c>
      <c r="C340" s="108">
        <f>IFERROR(AVERAGE(Table1624[[#This Row],[September 30, 2025]:[Column18]]),"N/A")</f>
        <v>0.44424999999999998</v>
      </c>
      <c r="D340" s="26" t="str">
        <f>IFERROR(_xlfn.PERCENTRANK.INC(Table4[True Rank],_xlfn.XLOOKUP(Table1624[[#This Row],[Name]],Table4[Name],Table4[True Rank],"DNP",0,1)),"DNP")</f>
        <v>DNP</v>
      </c>
      <c r="E340" s="26" t="str">
        <f>IFERROR(_xlfn.PERCENTRANK.INC(Table9[True Rank],_xlfn.XLOOKUP(Table1624[[#This Row],[Name]],Table9[Name],Table9[True Rank],"DNP",0,1)),"DNP")</f>
        <v>DNP</v>
      </c>
      <c r="F340" s="26" t="str">
        <f>IFERROR(_xlfn.PERCENTRANK.INC(Table18[True Rank],_xlfn.XLOOKUP(Table1624[[#This Row],[Name]],Table18[Name],Table18[True Rank],"DNP",0,1)),"DNP")</f>
        <v>DNP</v>
      </c>
      <c r="G340" s="26" t="str">
        <f>IFERROR(_xlfn.PERCENTRANK.INC(Table2[True Rank],_xlfn.XLOOKUP(Table1624[[#This Row],[Name]],Table2[Name],Table2[True Rank],"DNP",0,1)),"DNP")</f>
        <v>DNP</v>
      </c>
      <c r="H340" s="26" t="str">
        <f>IFERROR(_xlfn.PERCENTRANK.INC(Table211[True Rank],_xlfn.XLOOKUP(Table1624[[#This Row],[Name]],Table211[Name],Table211[True Rank],"DNP",0,1)),"DNP")</f>
        <v>DNP</v>
      </c>
      <c r="I340" s="26" t="str">
        <f>IFERROR(_xlfn.PERCENTRANK.INC(Table21112[True Rank],_xlfn.XLOOKUP(Table1624[[#This Row],[Name]],Table21112[Name],Table21112[True Rank],"DNP",0,1)),"DNP")</f>
        <v>DNP</v>
      </c>
      <c r="J340" s="26" t="str">
        <f>IFERROR(_xlfn.PERCENTRANK.INC(Table21112164[True Rank],_xlfn.XLOOKUP(Table1624[[#This Row],[Name]],Table21112164[Name],Table21112164[True Rank],"DNP",0,1)),"DNP")</f>
        <v>DNP</v>
      </c>
      <c r="K340" s="26" t="str">
        <f>IFERROR(_xlfn.PERCENTRANK.INC(Table2111216420[True Rank],_xlfn.XLOOKUP(Table1624[[#This Row],[Name]],Table2111216420[Name],Table2111216420[True Rank],"DNP",0,1)),"DNP")</f>
        <v>DNP</v>
      </c>
      <c r="L340" s="26" t="str">
        <f>IFERROR(_xlfn.PERCENTRANK.INC(Table211121642021[True Rank],_xlfn.XLOOKUP(Table1624[[#This Row],[Name]],Table211121642021[Name],Table211121642021[True Rank],"DNP",0,1)),"DNP")</f>
        <v>DNP</v>
      </c>
      <c r="M340" s="26" t="str">
        <f>IFERROR(_xlfn.PERCENTRANK.INC(Table21112164202122[True Rank],_xlfn.XLOOKUP(Table1624[[#This Row],[Name]],Table21112164202122[Name],Table21112164202122[True Rank],"DNP",0,1)),"DNP")</f>
        <v>DNP</v>
      </c>
      <c r="N340" s="26">
        <f>IFERROR(_xlfn.PERCENTRANK.INC(Table2111216420212223[True Rank],_xlfn.XLOOKUP(Table1624[[#This Row],[Name]],Table2111216420212223[Name],Table2111216420212223[True Rank],"DNP",0,1)),"DNP")</f>
        <v>0.186</v>
      </c>
      <c r="O340" s="26" t="str">
        <f>IFERROR(_xlfn.PERCENTRANK.INC(Table211121642021222325[True Rank],_xlfn.XLOOKUP(Table1624[[#This Row],[Name]],Table211121642021222325[Name],Table211121642021222325[True Rank],"DNP",0,1)),"DNP")</f>
        <v>DNP</v>
      </c>
      <c r="P340" s="26" t="str">
        <f>IFERROR(_xlfn.PERCENTRANK.INC(Table21112164202122232534[True Rank],_xlfn.XLOOKUP(Table1624[[#This Row],[Name]],Table21112164202122232534[Name],Table21112164202122232534[True Rank],"DNP",0,1)),"DNP")</f>
        <v>DNP</v>
      </c>
      <c r="Q340" s="26">
        <f>IFERROR(_xlfn.PERCENTRANK.INC(Table2111216420212223253435[True Rank],_xlfn.XLOOKUP(Table1624[[#This Row],[Name]],Table2111216420212223253435[Name],Table2111216420212223253435[True Rank],"DNP",0,1)),"DNP")</f>
        <v>0.746</v>
      </c>
      <c r="R340" s="26">
        <f>IFERROR(_xlfn.PERCENTRANK.INC(Table211121642021222325343536[True Rank],_xlfn.XLOOKUP(Table1624[[#This Row],[Name]],Table211121642021222325343536[Name],Table211121642021222325343536[True Rank],"DNP",0,1)),"DNP")</f>
        <v>0.5</v>
      </c>
      <c r="S34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0" s="26">
        <f>IFERROR(_xlfn.PERCENTRANK.INC(Table2111216420212223253435363738[True Rank],_xlfn.XLOOKUP(Table1624[[#This Row],[Name]],Table2111216420212223253435363738[Name],Table2111216420212223253435363738[True Rank],"DNP",0,1)),"DNP")</f>
        <v>0.34499999999999997</v>
      </c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 spans="2:33">
      <c r="B341" t="str">
        <f>IFERROR(Table5[[#This Row],[Full name]],"")</f>
        <v>Yan Xiang Zou</v>
      </c>
      <c r="C341" s="108">
        <f>IFERROR(AVERAGE(Table1624[[#This Row],[September 30, 2025]:[Column18]]),"N/A")</f>
        <v>0.56925000000000003</v>
      </c>
      <c r="D341" s="26" t="str">
        <f>IFERROR(_xlfn.PERCENTRANK.INC(Table4[True Rank],_xlfn.XLOOKUP(Table1624[[#This Row],[Name]],Table4[Name],Table4[True Rank],"DNP",0,1)),"DNP")</f>
        <v>DNP</v>
      </c>
      <c r="E341" s="26" t="str">
        <f>IFERROR(_xlfn.PERCENTRANK.INC(Table9[True Rank],_xlfn.XLOOKUP(Table1624[[#This Row],[Name]],Table9[Name],Table9[True Rank],"DNP",0,1)),"DNP")</f>
        <v>DNP</v>
      </c>
      <c r="F341" s="26" t="str">
        <f>IFERROR(_xlfn.PERCENTRANK.INC(Table18[True Rank],_xlfn.XLOOKUP(Table1624[[#This Row],[Name]],Table18[Name],Table18[True Rank],"DNP",0,1)),"DNP")</f>
        <v>DNP</v>
      </c>
      <c r="G341" s="26" t="str">
        <f>IFERROR(_xlfn.PERCENTRANK.INC(Table2[True Rank],_xlfn.XLOOKUP(Table1624[[#This Row],[Name]],Table2[Name],Table2[True Rank],"DNP",0,1)),"DNP")</f>
        <v>DNP</v>
      </c>
      <c r="H341" s="26" t="str">
        <f>IFERROR(_xlfn.PERCENTRANK.INC(Table211[True Rank],_xlfn.XLOOKUP(Table1624[[#This Row],[Name]],Table211[Name],Table211[True Rank],"DNP",0,1)),"DNP")</f>
        <v>DNP</v>
      </c>
      <c r="I341" s="26" t="str">
        <f>IFERROR(_xlfn.PERCENTRANK.INC(Table21112[True Rank],_xlfn.XLOOKUP(Table1624[[#This Row],[Name]],Table21112[Name],Table21112[True Rank],"DNP",0,1)),"DNP")</f>
        <v>DNP</v>
      </c>
      <c r="J341" s="26" t="str">
        <f>IFERROR(_xlfn.PERCENTRANK.INC(Table21112164[True Rank],_xlfn.XLOOKUP(Table1624[[#This Row],[Name]],Table21112164[Name],Table21112164[True Rank],"DNP",0,1)),"DNP")</f>
        <v>DNP</v>
      </c>
      <c r="K341" s="26" t="str">
        <f>IFERROR(_xlfn.PERCENTRANK.INC(Table2111216420[True Rank],_xlfn.XLOOKUP(Table1624[[#This Row],[Name]],Table2111216420[Name],Table2111216420[True Rank],"DNP",0,1)),"DNP")</f>
        <v>DNP</v>
      </c>
      <c r="L341" s="26" t="str">
        <f>IFERROR(_xlfn.PERCENTRANK.INC(Table211121642021[True Rank],_xlfn.XLOOKUP(Table1624[[#This Row],[Name]],Table211121642021[Name],Table211121642021[True Rank],"DNP",0,1)),"DNP")</f>
        <v>DNP</v>
      </c>
      <c r="M341" s="26" t="str">
        <f>IFERROR(_xlfn.PERCENTRANK.INC(Table21112164202122[True Rank],_xlfn.XLOOKUP(Table1624[[#This Row],[Name]],Table21112164202122[Name],Table21112164202122[True Rank],"DNP",0,1)),"DNP")</f>
        <v>DNP</v>
      </c>
      <c r="N341" s="26">
        <f>IFERROR(_xlfn.PERCENTRANK.INC(Table2111216420212223[True Rank],_xlfn.XLOOKUP(Table1624[[#This Row],[Name]],Table2111216420212223[Name],Table2111216420212223[True Rank],"DNP",0,1)),"DNP")</f>
        <v>0.505</v>
      </c>
      <c r="O341" s="26">
        <f>IFERROR(_xlfn.PERCENTRANK.INC(Table211121642021222325[True Rank],_xlfn.XLOOKUP(Table1624[[#This Row],[Name]],Table211121642021222325[Name],Table211121642021222325[True Rank],"DNP",0,1)),"DNP")</f>
        <v>0.72499999999999998</v>
      </c>
      <c r="P341" s="26" t="str">
        <f>IFERROR(_xlfn.PERCENTRANK.INC(Table21112164202122232534[True Rank],_xlfn.XLOOKUP(Table1624[[#This Row],[Name]],Table21112164202122232534[Name],Table21112164202122232534[True Rank],"DNP",0,1)),"DNP")</f>
        <v>DNP</v>
      </c>
      <c r="Q341" s="26">
        <f>IFERROR(_xlfn.PERCENTRANK.INC(Table2111216420212223253435[True Rank],_xlfn.XLOOKUP(Table1624[[#This Row],[Name]],Table2111216420212223253435[Name],Table2111216420212223253435[True Rank],"DNP",0,1)),"DNP")</f>
        <v>0.92</v>
      </c>
      <c r="R34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1" s="26">
        <f>IFERROR(_xlfn.PERCENTRANK.INC(Table2111216420212223253435363738[True Rank],_xlfn.XLOOKUP(Table1624[[#This Row],[Name]],Table2111216420212223253435363738[Name],Table2111216420212223253435363738[True Rank],"DNP",0,1)),"DNP")</f>
        <v>0.127</v>
      </c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 spans="2:33">
      <c r="B342" t="str">
        <f>IFERROR(Table5[[#This Row],[Full name]],"")</f>
        <v>Yassin Mohamed</v>
      </c>
      <c r="C342" s="108">
        <f>IFERROR(AVERAGE(Table1624[[#This Row],[September 30, 2025]:[Column18]]),"N/A")</f>
        <v>0.63300000000000001</v>
      </c>
      <c r="D342" s="26" t="str">
        <f>IFERROR(_xlfn.PERCENTRANK.INC(Table4[True Rank],_xlfn.XLOOKUP(Table1624[[#This Row],[Name]],Table4[Name],Table4[True Rank],"DNP",0,1)),"DNP")</f>
        <v>DNP</v>
      </c>
      <c r="E342" s="26" t="str">
        <f>IFERROR(_xlfn.PERCENTRANK.INC(Table9[True Rank],_xlfn.XLOOKUP(Table1624[[#This Row],[Name]],Table9[Name],Table9[True Rank],"DNP",0,1)),"DNP")</f>
        <v>DNP</v>
      </c>
      <c r="F342" s="26" t="str">
        <f>IFERROR(_xlfn.PERCENTRANK.INC(Table18[True Rank],_xlfn.XLOOKUP(Table1624[[#This Row],[Name]],Table18[Name],Table18[True Rank],"DNP",0,1)),"DNP")</f>
        <v>DNP</v>
      </c>
      <c r="G342" s="26" t="str">
        <f>IFERROR(_xlfn.PERCENTRANK.INC(Table2[True Rank],_xlfn.XLOOKUP(Table1624[[#This Row],[Name]],Table2[Name],Table2[True Rank],"DNP",0,1)),"DNP")</f>
        <v>DNP</v>
      </c>
      <c r="H342" s="26">
        <f>IFERROR(_xlfn.PERCENTRANK.INC(Table211[True Rank],_xlfn.XLOOKUP(Table1624[[#This Row],[Name]],Table211[Name],Table211[True Rank],"DNP",0,1)),"DNP")</f>
        <v>0.63300000000000001</v>
      </c>
      <c r="I342" s="26" t="str">
        <f>IFERROR(_xlfn.PERCENTRANK.INC(Table21112[True Rank],_xlfn.XLOOKUP(Table1624[[#This Row],[Name]],Table21112[Name],Table21112[True Rank],"DNP",0,1)),"DNP")</f>
        <v>DNP</v>
      </c>
      <c r="J342" s="26" t="str">
        <f>IFERROR(_xlfn.PERCENTRANK.INC(Table21112164[True Rank],_xlfn.XLOOKUP(Table1624[[#This Row],[Name]],Table21112164[Name],Table21112164[True Rank],"DNP",0,1)),"DNP")</f>
        <v>DNP</v>
      </c>
      <c r="K342" s="26" t="str">
        <f>IFERROR(_xlfn.PERCENTRANK.INC(Table2111216420[True Rank],_xlfn.XLOOKUP(Table1624[[#This Row],[Name]],Table2111216420[Name],Table2111216420[True Rank],"DNP",0,1)),"DNP")</f>
        <v>DNP</v>
      </c>
      <c r="L342" s="26" t="str">
        <f>IFERROR(_xlfn.PERCENTRANK.INC(Table211121642021[True Rank],_xlfn.XLOOKUP(Table1624[[#This Row],[Name]],Table211121642021[Name],Table211121642021[True Rank],"DNP",0,1)),"DNP")</f>
        <v>DNP</v>
      </c>
      <c r="M342" s="26" t="str">
        <f>IFERROR(_xlfn.PERCENTRANK.INC(Table21112164202122[True Rank],_xlfn.XLOOKUP(Table1624[[#This Row],[Name]],Table21112164202122[Name],Table21112164202122[True Rank],"DNP",0,1)),"DNP")</f>
        <v>DNP</v>
      </c>
      <c r="N342" s="26" t="str">
        <f>IFERROR(_xlfn.PERCENTRANK.INC(Table2111216420212223[True Rank],_xlfn.XLOOKUP(Table1624[[#This Row],[Name]],Table2111216420212223[Name],Table2111216420212223[True Rank],"DNP",0,1)),"DNP")</f>
        <v>DNP</v>
      </c>
      <c r="O342" s="26" t="str">
        <f>IFERROR(_xlfn.PERCENTRANK.INC(Table211121642021222325[True Rank],_xlfn.XLOOKUP(Table1624[[#This Row],[Name]],Table211121642021222325[Name],Table211121642021222325[True Rank],"DNP",0,1)),"DNP")</f>
        <v>DNP</v>
      </c>
      <c r="P342" s="26" t="str">
        <f>IFERROR(_xlfn.PERCENTRANK.INC(Table21112164202122232534[True Rank],_xlfn.XLOOKUP(Table1624[[#This Row],[Name]],Table21112164202122232534[Name],Table21112164202122232534[True Rank],"DNP",0,1)),"DNP")</f>
        <v>DNP</v>
      </c>
      <c r="Q34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 spans="2:33">
      <c r="B343" t="str">
        <f>IFERROR(Table5[[#This Row],[Full name]],"")</f>
        <v>Yoni Silbershatz</v>
      </c>
      <c r="C343" s="108">
        <f>IFERROR(AVERAGE(Table1624[[#This Row],[September 30, 2025]:[Column18]]),"N/A")</f>
        <v>0.45263636363636356</v>
      </c>
      <c r="D343" s="26">
        <f>IFERROR(_xlfn.PERCENTRANK.INC(Table4[True Rank],_xlfn.XLOOKUP(Table1624[[#This Row],[Name]],Table4[Name],Table4[True Rank],"DNP",0,1)),"DNP")</f>
        <v>0.76100000000000001</v>
      </c>
      <c r="E343" s="26" t="str">
        <f>IFERROR(_xlfn.PERCENTRANK.INC(Table9[True Rank],_xlfn.XLOOKUP(Table1624[[#This Row],[Name]],Table9[Name],Table9[True Rank],"DNP",0,1)),"DNP")</f>
        <v>DNP</v>
      </c>
      <c r="F343" s="26">
        <f>IFERROR(_xlfn.PERCENTRANK.INC(Table18[True Rank],_xlfn.XLOOKUP(Table1624[[#This Row],[Name]],Table18[Name],Table18[True Rank],"DNP",0,1)),"DNP")</f>
        <v>0.13100000000000001</v>
      </c>
      <c r="G343" s="26" t="str">
        <f>IFERROR(_xlfn.PERCENTRANK.INC(Table2[True Rank],_xlfn.XLOOKUP(Table1624[[#This Row],[Name]],Table2[Name],Table2[True Rank],"DNP",0,1)),"DNP")</f>
        <v>DNP</v>
      </c>
      <c r="H343" s="26">
        <f>IFERROR(_xlfn.PERCENTRANK.INC(Table211[True Rank],_xlfn.XLOOKUP(Table1624[[#This Row],[Name]],Table211[Name],Table211[True Rank],"DNP",0,1)),"DNP")</f>
        <v>0.40799999999999997</v>
      </c>
      <c r="I343" s="26">
        <f>IFERROR(_xlfn.PERCENTRANK.INC(Table21112[True Rank],_xlfn.XLOOKUP(Table1624[[#This Row],[Name]],Table21112[Name],Table21112[True Rank],"DNP",0,1)),"DNP")</f>
        <v>0.91</v>
      </c>
      <c r="J343" s="26">
        <f>IFERROR(_xlfn.PERCENTRANK.INC(Table21112164[True Rank],_xlfn.XLOOKUP(Table1624[[#This Row],[Name]],Table21112164[Name],Table21112164[True Rank],"DNP",0,1)),"DNP")</f>
        <v>0.68500000000000005</v>
      </c>
      <c r="K343" s="26">
        <f>IFERROR(_xlfn.PERCENTRANK.INC(Table2111216420[True Rank],_xlfn.XLOOKUP(Table1624[[#This Row],[Name]],Table2111216420[Name],Table2111216420[True Rank],"DNP",0,1)),"DNP")</f>
        <v>0.35099999999999998</v>
      </c>
      <c r="L343" s="26">
        <f>IFERROR(_xlfn.PERCENTRANK.INC(Table211121642021[True Rank],_xlfn.XLOOKUP(Table1624[[#This Row],[Name]],Table211121642021[Name],Table211121642021[True Rank],"DNP",0,1)),"DNP")</f>
        <v>0.13900000000000001</v>
      </c>
      <c r="M343" s="26">
        <f>IFERROR(_xlfn.PERCENTRANK.INC(Table21112164202122[True Rank],_xlfn.XLOOKUP(Table1624[[#This Row],[Name]],Table21112164202122[Name],Table21112164202122[True Rank],"DNP",0,1)),"DNP")</f>
        <v>0.88600000000000001</v>
      </c>
      <c r="N343" s="26" t="str">
        <f>IFERROR(_xlfn.PERCENTRANK.INC(Table2111216420212223[True Rank],_xlfn.XLOOKUP(Table1624[[#This Row],[Name]],Table2111216420212223[Name],Table2111216420212223[True Rank],"DNP",0,1)),"DNP")</f>
        <v>DNP</v>
      </c>
      <c r="O343" s="26" t="str">
        <f>IFERROR(_xlfn.PERCENTRANK.INC(Table211121642021222325[True Rank],_xlfn.XLOOKUP(Table1624[[#This Row],[Name]],Table211121642021222325[Name],Table211121642021222325[True Rank],"DNP",0,1)),"DNP")</f>
        <v>DNP</v>
      </c>
      <c r="P343" s="26">
        <f>IFERROR(_xlfn.PERCENTRANK.INC(Table21112164202122232534[True Rank],_xlfn.XLOOKUP(Table1624[[#This Row],[Name]],Table21112164202122232534[Name],Table21112164202122232534[True Rank],"DNP",0,1)),"DNP")</f>
        <v>7.5999999999999998E-2</v>
      </c>
      <c r="Q34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3" s="26">
        <f>IFERROR(_xlfn.PERCENTRANK.INC(Table21112164202122232534353637[True Rank],_xlfn.XLOOKUP(Table1624[[#This Row],[Name]],Table21112164202122232534353637[Name],Table21112164202122232534353637[True Rank],"DNP",0,1)),"DNP")</f>
        <v>0.39600000000000002</v>
      </c>
      <c r="T343" s="26">
        <f>IFERROR(_xlfn.PERCENTRANK.INC(Table2111216420212223253435363738[True Rank],_xlfn.XLOOKUP(Table1624[[#This Row],[Name]],Table2111216420212223253435363738[Name],Table2111216420212223253435363738[True Rank],"DNP",0,1)),"DNP")</f>
        <v>0.23599999999999999</v>
      </c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 spans="2:33">
      <c r="B344" t="str">
        <f>IFERROR(Table5[[#This Row],[Full name]],"")</f>
        <v>Youngjun Cho</v>
      </c>
      <c r="C344" s="108">
        <f>IFERROR(AVERAGE(Table1624[[#This Row],[September 30, 2025]:[Column18]]),"N/A")</f>
        <v>0.77175000000000005</v>
      </c>
      <c r="D344" s="26" t="str">
        <f>IFERROR(_xlfn.PERCENTRANK.INC(Table4[True Rank],_xlfn.XLOOKUP(Table1624[[#This Row],[Name]],Table4[Name],Table4[True Rank],"DNP",0,1)),"DNP")</f>
        <v>DNP</v>
      </c>
      <c r="E344" s="26" t="str">
        <f>IFERROR(_xlfn.PERCENTRANK.INC(Table9[True Rank],_xlfn.XLOOKUP(Table1624[[#This Row],[Name]],Table9[Name],Table9[True Rank],"DNP",0,1)),"DNP")</f>
        <v>DNP</v>
      </c>
      <c r="F344" s="26" t="str">
        <f>IFERROR(_xlfn.PERCENTRANK.INC(Table18[True Rank],_xlfn.XLOOKUP(Table1624[[#This Row],[Name]],Table18[Name],Table18[True Rank],"DNP",0,1)),"DNP")</f>
        <v>DNP</v>
      </c>
      <c r="G344" s="26" t="str">
        <f>IFERROR(_xlfn.PERCENTRANK.INC(Table2[True Rank],_xlfn.XLOOKUP(Table1624[[#This Row],[Name]],Table2[Name],Table2[True Rank],"DNP",0,1)),"DNP")</f>
        <v>DNP</v>
      </c>
      <c r="H344" s="26" t="str">
        <f>IFERROR(_xlfn.PERCENTRANK.INC(Table211[True Rank],_xlfn.XLOOKUP(Table1624[[#This Row],[Name]],Table211[Name],Table211[True Rank],"DNP",0,1)),"DNP")</f>
        <v>DNP</v>
      </c>
      <c r="I344" s="26" t="str">
        <f>IFERROR(_xlfn.PERCENTRANK.INC(Table21112[True Rank],_xlfn.XLOOKUP(Table1624[[#This Row],[Name]],Table21112[Name],Table21112[True Rank],"DNP",0,1)),"DNP")</f>
        <v>DNP</v>
      </c>
      <c r="J344" s="26" t="str">
        <f>IFERROR(_xlfn.PERCENTRANK.INC(Table21112164[True Rank],_xlfn.XLOOKUP(Table1624[[#This Row],[Name]],Table21112164[Name],Table21112164[True Rank],"DNP",0,1)),"DNP")</f>
        <v>DNP</v>
      </c>
      <c r="K344" s="26">
        <f>IFERROR(_xlfn.PERCENTRANK.INC(Table2111216420[True Rank],_xlfn.XLOOKUP(Table1624[[#This Row],[Name]],Table2111216420[Name],Table2111216420[True Rank],"DNP",0,1)),"DNP")</f>
        <v>0.68</v>
      </c>
      <c r="L344" s="26" t="str">
        <f>IFERROR(_xlfn.PERCENTRANK.INC(Table211121642021[True Rank],_xlfn.XLOOKUP(Table1624[[#This Row],[Name]],Table211121642021[Name],Table211121642021[True Rank],"DNP",0,1)),"DNP")</f>
        <v>DNP</v>
      </c>
      <c r="M344" s="26" t="str">
        <f>IFERROR(_xlfn.PERCENTRANK.INC(Table21112164202122[True Rank],_xlfn.XLOOKUP(Table1624[[#This Row],[Name]],Table21112164202122[Name],Table21112164202122[True Rank],"DNP",0,1)),"DNP")</f>
        <v>DNP</v>
      </c>
      <c r="N344" s="26" t="str">
        <f>IFERROR(_xlfn.PERCENTRANK.INC(Table2111216420212223[True Rank],_xlfn.XLOOKUP(Table1624[[#This Row],[Name]],Table2111216420212223[Name],Table2111216420212223[True Rank],"DNP",0,1)),"DNP")</f>
        <v>DNP</v>
      </c>
      <c r="O344" s="26" t="str">
        <f>IFERROR(_xlfn.PERCENTRANK.INC(Table211121642021222325[True Rank],_xlfn.XLOOKUP(Table1624[[#This Row],[Name]],Table211121642021222325[Name],Table211121642021222325[True Rank],"DNP",0,1)),"DNP")</f>
        <v>DNP</v>
      </c>
      <c r="P344" s="26">
        <f>IFERROR(_xlfn.PERCENTRANK.INC(Table21112164202122232534[True Rank],_xlfn.XLOOKUP(Table1624[[#This Row],[Name]],Table21112164202122232534[Name],Table21112164202122232534[True Rank],"DNP",0,1)),"DNP")</f>
        <v>0.82399999999999995</v>
      </c>
      <c r="Q344" s="26">
        <f>IFERROR(_xlfn.PERCENTRANK.INC(Table2111216420212223253435[True Rank],_xlfn.XLOOKUP(Table1624[[#This Row],[Name]],Table2111216420212223253435[Name],Table2111216420212223253435[True Rank],"DNP",0,1)),"DNP")</f>
        <v>0.94599999999999995</v>
      </c>
      <c r="R34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4" s="26">
        <f>IFERROR(_xlfn.PERCENTRANK.INC(Table21112164202122232534353637[True Rank],_xlfn.XLOOKUP(Table1624[[#This Row],[Name]],Table21112164202122232534353637[Name],Table21112164202122232534353637[True Rank],"DNP",0,1)),"DNP")</f>
        <v>0.63700000000000001</v>
      </c>
      <c r="T34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 spans="2:33">
      <c r="B345" t="str">
        <f>IFERROR(Table5[[#This Row],[Full name]],"")</f>
        <v>Yue Wang</v>
      </c>
      <c r="C345" s="108">
        <f>IFERROR(AVERAGE(Table1624[[#This Row],[September 30, 2025]:[Column18]]),"N/A")</f>
        <v>0.40500000000000003</v>
      </c>
      <c r="D345" s="26" t="str">
        <f>IFERROR(_xlfn.PERCENTRANK.INC(Table4[True Rank],_xlfn.XLOOKUP(Table1624[[#This Row],[Name]],Table4[Name],Table4[True Rank],"DNP",0,1)),"DNP")</f>
        <v>DNP</v>
      </c>
      <c r="E345" s="26" t="str">
        <f>IFERROR(_xlfn.PERCENTRANK.INC(Table9[True Rank],_xlfn.XLOOKUP(Table1624[[#This Row],[Name]],Table9[Name],Table9[True Rank],"DNP",0,1)),"DNP")</f>
        <v>DNP</v>
      </c>
      <c r="F345" s="26" t="str">
        <f>IFERROR(_xlfn.PERCENTRANK.INC(Table18[True Rank],_xlfn.XLOOKUP(Table1624[[#This Row],[Name]],Table18[Name],Table18[True Rank],"DNP",0,1)),"DNP")</f>
        <v>DNP</v>
      </c>
      <c r="G345" s="26">
        <f>IFERROR(_xlfn.PERCENTRANK.INC(Table2[True Rank],_xlfn.XLOOKUP(Table1624[[#This Row],[Name]],Table2[Name],Table2[True Rank],"DNP",0,1)),"DNP")</f>
        <v>0.88</v>
      </c>
      <c r="H345" s="26" t="str">
        <f>IFERROR(_xlfn.PERCENTRANK.INC(Table211[True Rank],_xlfn.XLOOKUP(Table1624[[#This Row],[Name]],Table211[Name],Table211[True Rank],"DNP",0,1)),"DNP")</f>
        <v>DNP</v>
      </c>
      <c r="I345" s="26">
        <f>IFERROR(_xlfn.PERCENTRANK.INC(Table21112[True Rank],_xlfn.XLOOKUP(Table1624[[#This Row],[Name]],Table21112[Name],Table21112[True Rank],"DNP",0,1)),"DNP")</f>
        <v>2.5000000000000001E-2</v>
      </c>
      <c r="J345" s="26">
        <f>IFERROR(_xlfn.PERCENTRANK.INC(Table21112164[True Rank],_xlfn.XLOOKUP(Table1624[[#This Row],[Name]],Table21112164[Name],Table21112164[True Rank],"DNP",0,1)),"DNP")</f>
        <v>1.0999999999999999E-2</v>
      </c>
      <c r="K345" s="26" t="str">
        <f>IFERROR(_xlfn.PERCENTRANK.INC(Table2111216420[True Rank],_xlfn.XLOOKUP(Table1624[[#This Row],[Name]],Table2111216420[Name],Table2111216420[True Rank],"DNP",0,1)),"DNP")</f>
        <v>DNP</v>
      </c>
      <c r="L345" s="26" t="str">
        <f>IFERROR(_xlfn.PERCENTRANK.INC(Table211121642021[True Rank],_xlfn.XLOOKUP(Table1624[[#This Row],[Name]],Table211121642021[Name],Table211121642021[True Rank],"DNP",0,1)),"DNP")</f>
        <v>DNP</v>
      </c>
      <c r="M345" s="26">
        <f>IFERROR(_xlfn.PERCENTRANK.INC(Table21112164202122[True Rank],_xlfn.XLOOKUP(Table1624[[#This Row],[Name]],Table21112164202122[Name],Table21112164202122[True Rank],"DNP",0,1)),"DNP")</f>
        <v>0.70399999999999996</v>
      </c>
      <c r="N345" s="26" t="str">
        <f>IFERROR(_xlfn.PERCENTRANK.INC(Table2111216420212223[True Rank],_xlfn.XLOOKUP(Table1624[[#This Row],[Name]],Table2111216420212223[Name],Table2111216420212223[True Rank],"DNP",0,1)),"DNP")</f>
        <v>DNP</v>
      </c>
      <c r="O345" s="26" t="str">
        <f>IFERROR(_xlfn.PERCENTRANK.INC(Table211121642021222325[True Rank],_xlfn.XLOOKUP(Table1624[[#This Row],[Name]],Table211121642021222325[Name],Table211121642021222325[True Rank],"DNP",0,1)),"DNP")</f>
        <v>DNP</v>
      </c>
      <c r="P345" s="26" t="str">
        <f>IFERROR(_xlfn.PERCENTRANK.INC(Table21112164202122232534[True Rank],_xlfn.XLOOKUP(Table1624[[#This Row],[Name]],Table21112164202122232534[Name],Table21112164202122232534[True Rank],"DNP",0,1)),"DNP")</f>
        <v>DNP</v>
      </c>
      <c r="Q34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 spans="2:33">
      <c r="B346" t="str">
        <f>IFERROR(Table5[[#This Row],[Full name]],"")</f>
        <v>Yusuf Mohmand</v>
      </c>
      <c r="C346" s="108">
        <f>IFERROR(AVERAGE(Table1624[[#This Row],[September 30, 2025]:[Column18]]),"N/A")</f>
        <v>0.92300000000000004</v>
      </c>
      <c r="D346" s="26" t="str">
        <f>IFERROR(_xlfn.PERCENTRANK.INC(Table4[True Rank],_xlfn.XLOOKUP(Table1624[[#This Row],[Name]],Table4[Name],Table4[True Rank],"DNP",0,1)),"DNP")</f>
        <v>DNP</v>
      </c>
      <c r="E346" s="26" t="str">
        <f>IFERROR(_xlfn.PERCENTRANK.INC(Table9[True Rank],_xlfn.XLOOKUP(Table1624[[#This Row],[Name]],Table9[Name],Table9[True Rank],"DNP",0,1)),"DNP")</f>
        <v>DNP</v>
      </c>
      <c r="F346" s="26" t="str">
        <f>IFERROR(_xlfn.PERCENTRANK.INC(Table18[True Rank],_xlfn.XLOOKUP(Table1624[[#This Row],[Name]],Table18[Name],Table18[True Rank],"DNP",0,1)),"DNP")</f>
        <v>DNP</v>
      </c>
      <c r="G346" s="26" t="str">
        <f>IFERROR(_xlfn.PERCENTRANK.INC(Table2[True Rank],_xlfn.XLOOKUP(Table1624[[#This Row],[Name]],Table2[Name],Table2[True Rank],"DNP",0,1)),"DNP")</f>
        <v>DNP</v>
      </c>
      <c r="H346" s="26" t="str">
        <f>IFERROR(_xlfn.PERCENTRANK.INC(Table211[True Rank],_xlfn.XLOOKUP(Table1624[[#This Row],[Name]],Table211[Name],Table211[True Rank],"DNP",0,1)),"DNP")</f>
        <v>DNP</v>
      </c>
      <c r="I346" s="26">
        <f>IFERROR(_xlfn.PERCENTRANK.INC(Table21112[True Rank],_xlfn.XLOOKUP(Table1624[[#This Row],[Name]],Table21112[Name],Table21112[True Rank],"DNP",0,1)),"DNP")</f>
        <v>0.92300000000000004</v>
      </c>
      <c r="J346" s="26" t="str">
        <f>IFERROR(_xlfn.PERCENTRANK.INC(Table21112164[True Rank],_xlfn.XLOOKUP(Table1624[[#This Row],[Name]],Table21112164[Name],Table21112164[True Rank],"DNP",0,1)),"DNP")</f>
        <v>DNP</v>
      </c>
      <c r="K346" s="26" t="str">
        <f>IFERROR(_xlfn.PERCENTRANK.INC(Table2111216420[True Rank],_xlfn.XLOOKUP(Table1624[[#This Row],[Name]],Table2111216420[Name],Table2111216420[True Rank],"DNP",0,1)),"DNP")</f>
        <v>DNP</v>
      </c>
      <c r="L346" s="26" t="str">
        <f>IFERROR(_xlfn.PERCENTRANK.INC(Table211121642021[True Rank],_xlfn.XLOOKUP(Table1624[[#This Row],[Name]],Table211121642021[Name],Table211121642021[True Rank],"DNP",0,1)),"DNP")</f>
        <v>DNP</v>
      </c>
      <c r="M346" s="26" t="str">
        <f>IFERROR(_xlfn.PERCENTRANK.INC(Table21112164202122[True Rank],_xlfn.XLOOKUP(Table1624[[#This Row],[Name]],Table21112164202122[Name],Table21112164202122[True Rank],"DNP",0,1)),"DNP")</f>
        <v>DNP</v>
      </c>
      <c r="N346" s="26" t="str">
        <f>IFERROR(_xlfn.PERCENTRANK.INC(Table2111216420212223[True Rank],_xlfn.XLOOKUP(Table1624[[#This Row],[Name]],Table2111216420212223[Name],Table2111216420212223[True Rank],"DNP",0,1)),"DNP")</f>
        <v>DNP</v>
      </c>
      <c r="O346" s="26" t="str">
        <f>IFERROR(_xlfn.PERCENTRANK.INC(Table211121642021222325[True Rank],_xlfn.XLOOKUP(Table1624[[#This Row],[Name]],Table211121642021222325[Name],Table211121642021222325[True Rank],"DNP",0,1)),"DNP")</f>
        <v>DNP</v>
      </c>
      <c r="P346" s="26" t="str">
        <f>IFERROR(_xlfn.PERCENTRANK.INC(Table21112164202122232534[True Rank],_xlfn.XLOOKUP(Table1624[[#This Row],[Name]],Table21112164202122232534[Name],Table21112164202122232534[True Rank],"DNP",0,1)),"DNP")</f>
        <v>DNP</v>
      </c>
      <c r="Q34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 spans="2:33">
      <c r="B347" t="str">
        <f>IFERROR(Table5[[#This Row],[Full name]],"")</f>
        <v>Zachary Hersi</v>
      </c>
      <c r="C347" s="108">
        <f>IFERROR(AVERAGE(Table1624[[#This Row],[September 30, 2025]:[Column18]]),"N/A")</f>
        <v>0.44450000000000001</v>
      </c>
      <c r="D347" s="26" t="str">
        <f>IFERROR(_xlfn.PERCENTRANK.INC(Table4[True Rank],_xlfn.XLOOKUP(Table1624[[#This Row],[Name]],Table4[Name],Table4[True Rank],"DNP",0,1)),"DNP")</f>
        <v>DNP</v>
      </c>
      <c r="E347" s="26">
        <f>IFERROR(_xlfn.PERCENTRANK.INC(Table9[True Rank],_xlfn.XLOOKUP(Table1624[[#This Row],[Name]],Table9[Name],Table9[True Rank],"DNP",0,1)),"DNP")</f>
        <v>0.72399999999999998</v>
      </c>
      <c r="F347" s="26" t="str">
        <f>IFERROR(_xlfn.PERCENTRANK.INC(Table18[True Rank],_xlfn.XLOOKUP(Table1624[[#This Row],[Name]],Table18[Name],Table18[True Rank],"DNP",0,1)),"DNP")</f>
        <v>DNP</v>
      </c>
      <c r="G347" s="26">
        <f>IFERROR(_xlfn.PERCENTRANK.INC(Table2[True Rank],_xlfn.XLOOKUP(Table1624[[#This Row],[Name]],Table2[Name],Table2[True Rank],"DNP",0,1)),"DNP")</f>
        <v>0.47599999999999998</v>
      </c>
      <c r="H347" s="26">
        <f>IFERROR(_xlfn.PERCENTRANK.INC(Table211[True Rank],_xlfn.XLOOKUP(Table1624[[#This Row],[Name]],Table211[Name],Table211[True Rank],"DNP",0,1)),"DNP")</f>
        <v>0.39400000000000002</v>
      </c>
      <c r="I347" s="26">
        <f>IFERROR(_xlfn.PERCENTRANK.INC(Table21112[True Rank],_xlfn.XLOOKUP(Table1624[[#This Row],[Name]],Table21112[Name],Table21112[True Rank],"DNP",0,1)),"DNP")</f>
        <v>0.51200000000000001</v>
      </c>
      <c r="J347" s="26">
        <f>IFERROR(_xlfn.PERCENTRANK.INC(Table21112164[True Rank],_xlfn.XLOOKUP(Table1624[[#This Row],[Name]],Table21112164[Name],Table21112164[True Rank],"DNP",0,1)),"DNP")</f>
        <v>0.17899999999999999</v>
      </c>
      <c r="K347" s="26">
        <f>IFERROR(_xlfn.PERCENTRANK.INC(Table2111216420[True Rank],_xlfn.XLOOKUP(Table1624[[#This Row],[Name]],Table2111216420[Name],Table2111216420[True Rank],"DNP",0,1)),"DNP")</f>
        <v>0.89300000000000002</v>
      </c>
      <c r="L347" s="26">
        <f>IFERROR(_xlfn.PERCENTRANK.INC(Table211121642021[True Rank],_xlfn.XLOOKUP(Table1624[[#This Row],[Name]],Table211121642021[Name],Table211121642021[True Rank],"DNP",0,1)),"DNP")</f>
        <v>0.53700000000000003</v>
      </c>
      <c r="M347" s="26">
        <f>IFERROR(_xlfn.PERCENTRANK.INC(Table21112164202122[True Rank],_xlfn.XLOOKUP(Table1624[[#This Row],[Name]],Table21112164202122[Name],Table21112164202122[True Rank],"DNP",0,1)),"DNP")</f>
        <v>0.75</v>
      </c>
      <c r="N347" s="26">
        <f>IFERROR(_xlfn.PERCENTRANK.INC(Table2111216420212223[True Rank],_xlfn.XLOOKUP(Table1624[[#This Row],[Name]],Table2111216420212223[Name],Table2111216420212223[True Rank],"DNP",0,1)),"DNP")</f>
        <v>0.57099999999999995</v>
      </c>
      <c r="O347" s="26">
        <f>IFERROR(_xlfn.PERCENTRANK.INC(Table211121642021222325[True Rank],_xlfn.XLOOKUP(Table1624[[#This Row],[Name]],Table211121642021222325[Name],Table211121642021222325[True Rank],"DNP",0,1)),"DNP")</f>
        <v>0.42799999999999999</v>
      </c>
      <c r="P347" s="26">
        <f>IFERROR(_xlfn.PERCENTRANK.INC(Table21112164202122232534[True Rank],_xlfn.XLOOKUP(Table1624[[#This Row],[Name]],Table21112164202122232534[Name],Table21112164202122232534[True Rank],"DNP",0,1)),"DNP")</f>
        <v>0.13100000000000001</v>
      </c>
      <c r="Q347" s="26">
        <f>IFERROR(_xlfn.PERCENTRANK.INC(Table2111216420212223253435[True Rank],_xlfn.XLOOKUP(Table1624[[#This Row],[Name]],Table2111216420212223253435[Name],Table2111216420212223253435[True Rank],"DNP",0,1)),"DNP")</f>
        <v>0.186</v>
      </c>
      <c r="R34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7" s="26">
        <f>IFERROR(_xlfn.PERCENTRANK.INC(Table21112164202122232534353637[True Rank],_xlfn.XLOOKUP(Table1624[[#This Row],[Name]],Table21112164202122232534353637[Name],Table21112164202122232534353637[True Rank],"DNP",0,1)),"DNP")</f>
        <v>0.224</v>
      </c>
      <c r="T347" s="26">
        <f>IFERROR(_xlfn.PERCENTRANK.INC(Table2111216420212223253435363738[True Rank],_xlfn.XLOOKUP(Table1624[[#This Row],[Name]],Table2111216420212223253435363738[Name],Table2111216420212223253435363738[True Rank],"DNP",0,1)),"DNP")</f>
        <v>0.218</v>
      </c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 spans="2:33">
      <c r="B348" t="str">
        <f>IFERROR(Table5[[#This Row],[Full name]],"")</f>
        <v>Zain Husain</v>
      </c>
      <c r="C348" s="108">
        <f>IFERROR(AVERAGE(Table1624[[#This Row],[September 30, 2025]:[Column18]]),"N/A")</f>
        <v>0.37730000000000008</v>
      </c>
      <c r="D348" s="26">
        <f>IFERROR(_xlfn.PERCENTRANK.INC(Table4[True Rank],_xlfn.XLOOKUP(Table1624[[#This Row],[Name]],Table4[Name],Table4[True Rank],"DNP",0,1)),"DNP")</f>
        <v>0.78800000000000003</v>
      </c>
      <c r="E348" s="26" t="str">
        <f>IFERROR(_xlfn.PERCENTRANK.INC(Table9[True Rank],_xlfn.XLOOKUP(Table1624[[#This Row],[Name]],Table9[Name],Table9[True Rank],"DNP",0,1)),"DNP")</f>
        <v>DNP</v>
      </c>
      <c r="F348" s="26">
        <f>IFERROR(_xlfn.PERCENTRANK.INC(Table18[True Rank],_xlfn.XLOOKUP(Table1624[[#This Row],[Name]],Table18[Name],Table18[True Rank],"DNP",0,1)),"DNP")</f>
        <v>0.64600000000000002</v>
      </c>
      <c r="G348" s="26">
        <f>IFERROR(_xlfn.PERCENTRANK.INC(Table2[True Rank],_xlfn.XLOOKUP(Table1624[[#This Row],[Name]],Table2[Name],Table2[True Rank],"DNP",0,1)),"DNP")</f>
        <v>8.3000000000000004E-2</v>
      </c>
      <c r="H348" s="26">
        <f>IFERROR(_xlfn.PERCENTRANK.INC(Table211[True Rank],_xlfn.XLOOKUP(Table1624[[#This Row],[Name]],Table211[Name],Table211[True Rank],"DNP",0,1)),"DNP")</f>
        <v>0.26700000000000002</v>
      </c>
      <c r="I348" s="26">
        <f>IFERROR(_xlfn.PERCENTRANK.INC(Table21112[True Rank],_xlfn.XLOOKUP(Table1624[[#This Row],[Name]],Table21112[Name],Table21112[True Rank],"DNP",0,1)),"DNP")</f>
        <v>0.115</v>
      </c>
      <c r="J348" s="26" t="str">
        <f>IFERROR(_xlfn.PERCENTRANK.INC(Table21112164[True Rank],_xlfn.XLOOKUP(Table1624[[#This Row],[Name]],Table21112164[Name],Table21112164[True Rank],"DNP",0,1)),"DNP")</f>
        <v>DNP</v>
      </c>
      <c r="K348" s="26">
        <f>IFERROR(_xlfn.PERCENTRANK.INC(Table2111216420[True Rank],_xlfn.XLOOKUP(Table1624[[#This Row],[Name]],Table2111216420[Name],Table2111216420[True Rank],"DNP",0,1)),"DNP")</f>
        <v>4.2000000000000003E-2</v>
      </c>
      <c r="L348" s="26">
        <f>IFERROR(_xlfn.PERCENTRANK.INC(Table211121642021[True Rank],_xlfn.XLOOKUP(Table1624[[#This Row],[Name]],Table211121642021[Name],Table211121642021[True Rank],"DNP",0,1)),"DNP")</f>
        <v>0.20399999999999999</v>
      </c>
      <c r="M348" s="26">
        <f>IFERROR(_xlfn.PERCENTRANK.INC(Table21112164202122[True Rank],_xlfn.XLOOKUP(Table1624[[#This Row],[Name]],Table21112164202122[Name],Table21112164202122[True Rank],"DNP",0,1)),"DNP")</f>
        <v>0.46500000000000002</v>
      </c>
      <c r="N348" s="26" t="str">
        <f>IFERROR(_xlfn.PERCENTRANK.INC(Table2111216420212223[True Rank],_xlfn.XLOOKUP(Table1624[[#This Row],[Name]],Table2111216420212223[Name],Table2111216420212223[True Rank],"DNP",0,1)),"DNP")</f>
        <v>DNP</v>
      </c>
      <c r="O348" s="26">
        <f>IFERROR(_xlfn.PERCENTRANK.INC(Table211121642021222325[True Rank],_xlfn.XLOOKUP(Table1624[[#This Row],[Name]],Table211121642021222325[Name],Table211121642021222325[True Rank],"DNP",0,1)),"DNP")</f>
        <v>0.92300000000000004</v>
      </c>
      <c r="P348" s="26" t="str">
        <f>IFERROR(_xlfn.PERCENTRANK.INC(Table21112164202122232534[True Rank],_xlfn.XLOOKUP(Table1624[[#This Row],[Name]],Table21112164202122232534[Name],Table21112164202122232534[True Rank],"DNP",0,1)),"DNP")</f>
        <v>DNP</v>
      </c>
      <c r="Q348" s="26">
        <f>IFERROR(_xlfn.PERCENTRANK.INC(Table2111216420212223253435[True Rank],_xlfn.XLOOKUP(Table1624[[#This Row],[Name]],Table2111216420212223253435[Name],Table2111216420212223253435[True Rank],"DNP",0,1)),"DNP")</f>
        <v>0.24</v>
      </c>
      <c r="R34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4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 spans="2:33">
      <c r="B349" t="str">
        <f>IFERROR(Table5[[#This Row],[Full name]],"")</f>
        <v>Zain Ahmed</v>
      </c>
      <c r="C349" s="108">
        <f>IFERROR(AVERAGE(Table1624[[#This Row],[September 30, 2025]:[Column18]]),"N/A")</f>
        <v>0.48399999999999999</v>
      </c>
      <c r="D349" s="26" t="str">
        <f>IFERROR(_xlfn.PERCENTRANK.INC(Table4[True Rank],_xlfn.XLOOKUP(Table1624[[#This Row],[Name]],Table4[Name],Table4[True Rank],"DNP",0,1)),"DNP")</f>
        <v>DNP</v>
      </c>
      <c r="E349" s="26" t="str">
        <f>IFERROR(_xlfn.PERCENTRANK.INC(Table9[True Rank],_xlfn.XLOOKUP(Table1624[[#This Row],[Name]],Table9[Name],Table9[True Rank],"DNP",0,1)),"DNP")</f>
        <v>DNP</v>
      </c>
      <c r="F349" s="26" t="str">
        <f>IFERROR(_xlfn.PERCENTRANK.INC(Table18[True Rank],_xlfn.XLOOKUP(Table1624[[#This Row],[Name]],Table18[Name],Table18[True Rank],"DNP",0,1)),"DNP")</f>
        <v>DNP</v>
      </c>
      <c r="G349" s="26" t="str">
        <f>IFERROR(_xlfn.PERCENTRANK.INC(Table2[True Rank],_xlfn.XLOOKUP(Table1624[[#This Row],[Name]],Table2[Name],Table2[True Rank],"DNP",0,1)),"DNP")</f>
        <v>DNP</v>
      </c>
      <c r="H349" s="26" t="str">
        <f>IFERROR(_xlfn.PERCENTRANK.INC(Table211[True Rank],_xlfn.XLOOKUP(Table1624[[#This Row],[Name]],Table211[Name],Table211[True Rank],"DNP",0,1)),"DNP")</f>
        <v>DNP</v>
      </c>
      <c r="I349" s="26" t="str">
        <f>IFERROR(_xlfn.PERCENTRANK.INC(Table21112[True Rank],_xlfn.XLOOKUP(Table1624[[#This Row],[Name]],Table21112[Name],Table21112[True Rank],"DNP",0,1)),"DNP")</f>
        <v>DNP</v>
      </c>
      <c r="J349" s="26" t="str">
        <f>IFERROR(_xlfn.PERCENTRANK.INC(Table21112164[True Rank],_xlfn.XLOOKUP(Table1624[[#This Row],[Name]],Table21112164[Name],Table21112164[True Rank],"DNP",0,1)),"DNP")</f>
        <v>DNP</v>
      </c>
      <c r="K349" s="26" t="str">
        <f>IFERROR(_xlfn.PERCENTRANK.INC(Table2111216420[True Rank],_xlfn.XLOOKUP(Table1624[[#This Row],[Name]],Table2111216420[Name],Table2111216420[True Rank],"DNP",0,1)),"DNP")</f>
        <v>DNP</v>
      </c>
      <c r="L349" s="26" t="str">
        <f>IFERROR(_xlfn.PERCENTRANK.INC(Table211121642021[True Rank],_xlfn.XLOOKUP(Table1624[[#This Row],[Name]],Table211121642021[Name],Table211121642021[True Rank],"DNP",0,1)),"DNP")</f>
        <v>DNP</v>
      </c>
      <c r="M349" s="26" t="str">
        <f>IFERROR(_xlfn.PERCENTRANK.INC(Table21112164202122[True Rank],_xlfn.XLOOKUP(Table1624[[#This Row],[Name]],Table21112164202122[Name],Table21112164202122[True Rank],"DNP",0,1)),"DNP")</f>
        <v>DNP</v>
      </c>
      <c r="N349" s="26" t="str">
        <f>IFERROR(_xlfn.PERCENTRANK.INC(Table2111216420212223[True Rank],_xlfn.XLOOKUP(Table1624[[#This Row],[Name]],Table2111216420212223[Name],Table2111216420212223[True Rank],"DNP",0,1)),"DNP")</f>
        <v>DNP</v>
      </c>
      <c r="O349" s="26" t="str">
        <f>IFERROR(_xlfn.PERCENTRANK.INC(Table211121642021222325[True Rank],_xlfn.XLOOKUP(Table1624[[#This Row],[Name]],Table211121642021222325[Name],Table211121642021222325[True Rank],"DNP",0,1)),"DNP")</f>
        <v>DNP</v>
      </c>
      <c r="P349" s="26" t="str">
        <f>IFERROR(_xlfn.PERCENTRANK.INC(Table21112164202122232534[True Rank],_xlfn.XLOOKUP(Table1624[[#This Row],[Name]],Table21112164202122232534[Name],Table21112164202122232534[True Rank],"DNP",0,1)),"DNP")</f>
        <v>DNP</v>
      </c>
      <c r="Q34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49" s="26">
        <f>IFERROR(_xlfn.PERCENTRANK.INC(Table211121642021222325343536[True Rank],_xlfn.XLOOKUP(Table1624[[#This Row],[Name]],Table211121642021222325343536[Name],Table211121642021222325343536[True Rank],"DNP",0,1)),"DNP")</f>
        <v>0.48399999999999999</v>
      </c>
      <c r="S34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4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 spans="2:33">
      <c r="B350" t="str">
        <f>IFERROR(Table5[[#This Row],[Full name]],"")</f>
        <v>Zeeshan Khan</v>
      </c>
      <c r="C350" s="108">
        <f>IFERROR(AVERAGE(Table1624[[#This Row],[September 30, 2025]:[Column18]]),"N/A")</f>
        <v>0.56824999999999992</v>
      </c>
      <c r="D350" s="26" t="str">
        <f>IFERROR(_xlfn.PERCENTRANK.INC(Table4[True Rank],_xlfn.XLOOKUP(Table1624[[#This Row],[Name]],Table4[Name],Table4[True Rank],"DNP",0,1)),"DNP")</f>
        <v>DNP</v>
      </c>
      <c r="E350" s="26" t="str">
        <f>IFERROR(_xlfn.PERCENTRANK.INC(Table9[True Rank],_xlfn.XLOOKUP(Table1624[[#This Row],[Name]],Table9[Name],Table9[True Rank],"DNP",0,1)),"DNP")</f>
        <v>DNP</v>
      </c>
      <c r="F350" s="26" t="str">
        <f>IFERROR(_xlfn.PERCENTRANK.INC(Table18[True Rank],_xlfn.XLOOKUP(Table1624[[#This Row],[Name]],Table18[Name],Table18[True Rank],"DNP",0,1)),"DNP")</f>
        <v>DNP</v>
      </c>
      <c r="G350" s="26" t="str">
        <f>IFERROR(_xlfn.PERCENTRANK.INC(Table2[True Rank],_xlfn.XLOOKUP(Table1624[[#This Row],[Name]],Table2[Name],Table2[True Rank],"DNP",0,1)),"DNP")</f>
        <v>DNP</v>
      </c>
      <c r="H350" s="26" t="str">
        <f>IFERROR(_xlfn.PERCENTRANK.INC(Table211[True Rank],_xlfn.XLOOKUP(Table1624[[#This Row],[Name]],Table211[Name],Table211[True Rank],"DNP",0,1)),"DNP")</f>
        <v>DNP</v>
      </c>
      <c r="I350" s="26" t="str">
        <f>IFERROR(_xlfn.PERCENTRANK.INC(Table21112[True Rank],_xlfn.XLOOKUP(Table1624[[#This Row],[Name]],Table21112[Name],Table21112[True Rank],"DNP",0,1)),"DNP")</f>
        <v>DNP</v>
      </c>
      <c r="J350" s="26" t="str">
        <f>IFERROR(_xlfn.PERCENTRANK.INC(Table21112164[True Rank],_xlfn.XLOOKUP(Table1624[[#This Row],[Name]],Table21112164[Name],Table21112164[True Rank],"DNP",0,1)),"DNP")</f>
        <v>DNP</v>
      </c>
      <c r="K350" s="26" t="str">
        <f>IFERROR(_xlfn.PERCENTRANK.INC(Table2111216420[True Rank],_xlfn.XLOOKUP(Table1624[[#This Row],[Name]],Table2111216420[Name],Table2111216420[True Rank],"DNP",0,1)),"DNP")</f>
        <v>DNP</v>
      </c>
      <c r="L350" s="26">
        <f>IFERROR(_xlfn.PERCENTRANK.INC(Table211121642021[True Rank],_xlfn.XLOOKUP(Table1624[[#This Row],[Name]],Table211121642021[Name],Table211121642021[True Rank],"DNP",0,1)),"DNP")</f>
        <v>0.33300000000000002</v>
      </c>
      <c r="M350" s="26">
        <f>IFERROR(_xlfn.PERCENTRANK.INC(Table21112164202122[True Rank],_xlfn.XLOOKUP(Table1624[[#This Row],[Name]],Table21112164202122[Name],Table21112164202122[True Rank],"DNP",0,1)),"DNP")</f>
        <v>0.82899999999999996</v>
      </c>
      <c r="N350" s="26" t="str">
        <f>IFERROR(_xlfn.PERCENTRANK.INC(Table2111216420212223[True Rank],_xlfn.XLOOKUP(Table1624[[#This Row],[Name]],Table2111216420212223[Name],Table2111216420212223[True Rank],"DNP",0,1)),"DNP")</f>
        <v>DNP</v>
      </c>
      <c r="O350" s="26" t="str">
        <f>IFERROR(_xlfn.PERCENTRANK.INC(Table211121642021222325[True Rank],_xlfn.XLOOKUP(Table1624[[#This Row],[Name]],Table211121642021222325[Name],Table211121642021222325[True Rank],"DNP",0,1)),"DNP")</f>
        <v>DNP</v>
      </c>
      <c r="P350" s="26">
        <f>IFERROR(_xlfn.PERCENTRANK.INC(Table21112164202122232534[True Rank],_xlfn.XLOOKUP(Table1624[[#This Row],[Name]],Table21112164202122232534[Name],Table21112164202122232534[True Rank],"DNP",0,1)),"DNP")</f>
        <v>0.14199999999999999</v>
      </c>
      <c r="Q35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0" s="26">
        <f>IFERROR(_xlfn.PERCENTRANK.INC(Table211121642021222325343536[True Rank],_xlfn.XLOOKUP(Table1624[[#This Row],[Name]],Table211121642021222325343536[Name],Table211121642021222325343536[True Rank],"DNP",0,1)),"DNP")</f>
        <v>0.96899999999999997</v>
      </c>
      <c r="S35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 spans="2:33">
      <c r="B351" t="str">
        <f>IFERROR(Table5[[#This Row],[Full name]],"")</f>
        <v>Zhen Hao Huang</v>
      </c>
      <c r="C351" s="108">
        <f>IFERROR(AVERAGE(Table1624[[#This Row],[September 30, 2025]:[Column18]]),"N/A")</f>
        <v>0.41799999999999998</v>
      </c>
      <c r="D351" s="26">
        <f>IFERROR(_xlfn.PERCENTRANK.INC(Table4[True Rank],_xlfn.XLOOKUP(Table1624[[#This Row],[Name]],Table4[Name],Table4[True Rank],"DNP",0,1)),"DNP")</f>
        <v>0.76100000000000001</v>
      </c>
      <c r="E351" s="26" t="str">
        <f>IFERROR(_xlfn.PERCENTRANK.INC(Table9[True Rank],_xlfn.XLOOKUP(Table1624[[#This Row],[Name]],Table9[Name],Table9[True Rank],"DNP",0,1)),"DNP")</f>
        <v>DNP</v>
      </c>
      <c r="F351" s="26" t="str">
        <f>IFERROR(_xlfn.PERCENTRANK.INC(Table18[True Rank],_xlfn.XLOOKUP(Table1624[[#This Row],[Name]],Table18[Name],Table18[True Rank],"DNP",0,1)),"DNP")</f>
        <v>DNP</v>
      </c>
      <c r="G351" s="26" t="str">
        <f>IFERROR(_xlfn.PERCENTRANK.INC(Table2[True Rank],_xlfn.XLOOKUP(Table1624[[#This Row],[Name]],Table2[Name],Table2[True Rank],"DNP",0,1)),"DNP")</f>
        <v>DNP</v>
      </c>
      <c r="H351" s="26" t="str">
        <f>IFERROR(_xlfn.PERCENTRANK.INC(Table211[True Rank],_xlfn.XLOOKUP(Table1624[[#This Row],[Name]],Table211[Name],Table211[True Rank],"DNP",0,1)),"DNP")</f>
        <v>DNP</v>
      </c>
      <c r="I351" s="26" t="str">
        <f>IFERROR(_xlfn.PERCENTRANK.INC(Table21112[True Rank],_xlfn.XLOOKUP(Table1624[[#This Row],[Name]],Table21112[Name],Table21112[True Rank],"DNP",0,1)),"DNP")</f>
        <v>DNP</v>
      </c>
      <c r="J351" s="26" t="str">
        <f>IFERROR(_xlfn.PERCENTRANK.INC(Table21112164[True Rank],_xlfn.XLOOKUP(Table1624[[#This Row],[Name]],Table21112164[Name],Table21112164[True Rank],"DNP",0,1)),"DNP")</f>
        <v>DNP</v>
      </c>
      <c r="K351" s="26" t="str">
        <f>IFERROR(_xlfn.PERCENTRANK.INC(Table2111216420[True Rank],_xlfn.XLOOKUP(Table1624[[#This Row],[Name]],Table2111216420[Name],Table2111216420[True Rank],"DNP",0,1)),"DNP")</f>
        <v>DNP</v>
      </c>
      <c r="L351" s="26">
        <f>IFERROR(_xlfn.PERCENTRANK.INC(Table211121642021[True Rank],_xlfn.XLOOKUP(Table1624[[#This Row],[Name]],Table211121642021[Name],Table211121642021[True Rank],"DNP",0,1)),"DNP")</f>
        <v>7.4999999999999997E-2</v>
      </c>
      <c r="M351" s="26" t="str">
        <f>IFERROR(_xlfn.PERCENTRANK.INC(Table21112164202122[True Rank],_xlfn.XLOOKUP(Table1624[[#This Row],[Name]],Table21112164202122[Name],Table21112164202122[True Rank],"DNP",0,1)),"DNP")</f>
        <v>DNP</v>
      </c>
      <c r="N351" s="26" t="str">
        <f>IFERROR(_xlfn.PERCENTRANK.INC(Table2111216420212223[True Rank],_xlfn.XLOOKUP(Table1624[[#This Row],[Name]],Table2111216420212223[Name],Table2111216420212223[True Rank],"DNP",0,1)),"DNP")</f>
        <v>DNP</v>
      </c>
      <c r="O351" s="26" t="str">
        <f>IFERROR(_xlfn.PERCENTRANK.INC(Table211121642021222325[True Rank],_xlfn.XLOOKUP(Table1624[[#This Row],[Name]],Table211121642021222325[Name],Table211121642021222325[True Rank],"DNP",0,1)),"DNP")</f>
        <v>DNP</v>
      </c>
      <c r="P351" s="26" t="str">
        <f>IFERROR(_xlfn.PERCENTRANK.INC(Table21112164202122232534[True Rank],_xlfn.XLOOKUP(Table1624[[#This Row],[Name]],Table21112164202122232534[Name],Table21112164202122232534[True Rank],"DNP",0,1)),"DNP")</f>
        <v>DNP</v>
      </c>
      <c r="Q35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 spans="2:33">
      <c r="B352" t="str">
        <f>IFERROR(Table5[[#This Row],[Full name]],"")</f>
        <v>Zhiye Liu</v>
      </c>
      <c r="C352" s="108">
        <f>IFERROR(AVERAGE(Table1624[[#This Row],[September 30, 2025]:[Column18]]),"N/A")</f>
        <v>0.81299999999999994</v>
      </c>
      <c r="D352" s="26">
        <f>IFERROR(_xlfn.PERCENTRANK.INC(Table4[True Rank],_xlfn.XLOOKUP(Table1624[[#This Row],[Name]],Table4[Name],Table4[True Rank],"DNP",0,1)),"DNP")</f>
        <v>0.78800000000000003</v>
      </c>
      <c r="E352" s="26" t="str">
        <f>IFERROR(_xlfn.PERCENTRANK.INC(Table9[True Rank],_xlfn.XLOOKUP(Table1624[[#This Row],[Name]],Table9[Name],Table9[True Rank],"DNP",0,1)),"DNP")</f>
        <v>DNP</v>
      </c>
      <c r="F352" s="26">
        <f>IFERROR(_xlfn.PERCENTRANK.INC(Table18[True Rank],_xlfn.XLOOKUP(Table1624[[#This Row],[Name]],Table18[Name],Table18[True Rank],"DNP",0,1)),"DNP")</f>
        <v>0.83799999999999997</v>
      </c>
      <c r="G352" s="26" t="str">
        <f>IFERROR(_xlfn.PERCENTRANK.INC(Table2[True Rank],_xlfn.XLOOKUP(Table1624[[#This Row],[Name]],Table2[Name],Table2[True Rank],"DNP",0,1)),"DNP")</f>
        <v>DNP</v>
      </c>
      <c r="H352" s="26" t="str">
        <f>IFERROR(_xlfn.PERCENTRANK.INC(Table211[True Rank],_xlfn.XLOOKUP(Table1624[[#This Row],[Name]],Table211[Name],Table211[True Rank],"DNP",0,1)),"DNP")</f>
        <v>DNP</v>
      </c>
      <c r="I352" s="26" t="str">
        <f>IFERROR(_xlfn.PERCENTRANK.INC(Table21112[True Rank],_xlfn.XLOOKUP(Table1624[[#This Row],[Name]],Table21112[Name],Table21112[True Rank],"DNP",0,1)),"DNP")</f>
        <v>DNP</v>
      </c>
      <c r="J352" s="26" t="str">
        <f>IFERROR(_xlfn.PERCENTRANK.INC(Table21112164[True Rank],_xlfn.XLOOKUP(Table1624[[#This Row],[Name]],Table21112164[Name],Table21112164[True Rank],"DNP",0,1)),"DNP")</f>
        <v>DNP</v>
      </c>
      <c r="K352" s="26" t="str">
        <f>IFERROR(_xlfn.PERCENTRANK.INC(Table2111216420[True Rank],_xlfn.XLOOKUP(Table1624[[#This Row],[Name]],Table2111216420[Name],Table2111216420[True Rank],"DNP",0,1)),"DNP")</f>
        <v>DNP</v>
      </c>
      <c r="L352" s="26" t="str">
        <f>IFERROR(_xlfn.PERCENTRANK.INC(Table211121642021[True Rank],_xlfn.XLOOKUP(Table1624[[#This Row],[Name]],Table211121642021[Name],Table211121642021[True Rank],"DNP",0,1)),"DNP")</f>
        <v>DNP</v>
      </c>
      <c r="M352" s="26" t="str">
        <f>IFERROR(_xlfn.PERCENTRANK.INC(Table21112164202122[True Rank],_xlfn.XLOOKUP(Table1624[[#This Row],[Name]],Table21112164202122[Name],Table21112164202122[True Rank],"DNP",0,1)),"DNP")</f>
        <v>DNP</v>
      </c>
      <c r="N352" s="26" t="str">
        <f>IFERROR(_xlfn.PERCENTRANK.INC(Table2111216420212223[True Rank],_xlfn.XLOOKUP(Table1624[[#This Row],[Name]],Table2111216420212223[Name],Table2111216420212223[True Rank],"DNP",0,1)),"DNP")</f>
        <v>DNP</v>
      </c>
      <c r="O352" s="26" t="str">
        <f>IFERROR(_xlfn.PERCENTRANK.INC(Table211121642021222325[True Rank],_xlfn.XLOOKUP(Table1624[[#This Row],[Name]],Table211121642021222325[Name],Table211121642021222325[True Rank],"DNP",0,1)),"DNP")</f>
        <v>DNP</v>
      </c>
      <c r="P352" s="26" t="str">
        <f>IFERROR(_xlfn.PERCENTRANK.INC(Table21112164202122232534[True Rank],_xlfn.XLOOKUP(Table1624[[#This Row],[Name]],Table21112164202122232534[Name],Table21112164202122232534[True Rank],"DNP",0,1)),"DNP")</f>
        <v>DNP</v>
      </c>
      <c r="Q35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 spans="2:33">
      <c r="B353" t="str">
        <f>IFERROR(Table5[[#This Row],[Full name]],"")</f>
        <v>Ziad Elnagar</v>
      </c>
      <c r="C353" s="108">
        <f>IFERROR(AVERAGE(Table1624[[#This Row],[September 30, 2025]:[Column18]]),"N/A")</f>
        <v>0.32624999999999998</v>
      </c>
      <c r="D353" s="26" t="str">
        <f>IFERROR(_xlfn.PERCENTRANK.INC(Table4[True Rank],_xlfn.XLOOKUP(Table1624[[#This Row],[Name]],Table4[Name],Table4[True Rank],"DNP",0,1)),"DNP")</f>
        <v>DNP</v>
      </c>
      <c r="E353" s="26" t="str">
        <f>IFERROR(_xlfn.PERCENTRANK.INC(Table9[True Rank],_xlfn.XLOOKUP(Table1624[[#This Row],[Name]],Table9[Name],Table9[True Rank],"DNP",0,1)),"DNP")</f>
        <v>DNP</v>
      </c>
      <c r="F353" s="26" t="str">
        <f>IFERROR(_xlfn.PERCENTRANK.INC(Table18[True Rank],_xlfn.XLOOKUP(Table1624[[#This Row],[Name]],Table18[Name],Table18[True Rank],"DNP",0,1)),"DNP")</f>
        <v>DNP</v>
      </c>
      <c r="G353" s="26" t="str">
        <f>IFERROR(_xlfn.PERCENTRANK.INC(Table2[True Rank],_xlfn.XLOOKUP(Table1624[[#This Row],[Name]],Table2[Name],Table2[True Rank],"DNP",0,1)),"DNP")</f>
        <v>DNP</v>
      </c>
      <c r="H353" s="26" t="str">
        <f>IFERROR(_xlfn.PERCENTRANK.INC(Table211[True Rank],_xlfn.XLOOKUP(Table1624[[#This Row],[Name]],Table211[Name],Table211[True Rank],"DNP",0,1)),"DNP")</f>
        <v>DNP</v>
      </c>
      <c r="I353" s="26" t="str">
        <f>IFERROR(_xlfn.PERCENTRANK.INC(Table21112[True Rank],_xlfn.XLOOKUP(Table1624[[#This Row],[Name]],Table21112[Name],Table21112[True Rank],"DNP",0,1)),"DNP")</f>
        <v>DNP</v>
      </c>
      <c r="J353" s="26" t="str">
        <f>IFERROR(_xlfn.PERCENTRANK.INC(Table21112164[True Rank],_xlfn.XLOOKUP(Table1624[[#This Row],[Name]],Table21112164[Name],Table21112164[True Rank],"DNP",0,1)),"DNP")</f>
        <v>DNP</v>
      </c>
      <c r="K353" s="26" t="str">
        <f>IFERROR(_xlfn.PERCENTRANK.INC(Table2111216420[True Rank],_xlfn.XLOOKUP(Table1624[[#This Row],[Name]],Table2111216420[Name],Table2111216420[True Rank],"DNP",0,1)),"DNP")</f>
        <v>DNP</v>
      </c>
      <c r="L353" s="26" t="str">
        <f>IFERROR(_xlfn.PERCENTRANK.INC(Table211121642021[True Rank],_xlfn.XLOOKUP(Table1624[[#This Row],[Name]],Table211121642021[Name],Table211121642021[True Rank],"DNP",0,1)),"DNP")</f>
        <v>DNP</v>
      </c>
      <c r="M353" s="26" t="str">
        <f>IFERROR(_xlfn.PERCENTRANK.INC(Table21112164202122[True Rank],_xlfn.XLOOKUP(Table1624[[#This Row],[Name]],Table21112164202122[Name],Table21112164202122[True Rank],"DNP",0,1)),"DNP")</f>
        <v>DNP</v>
      </c>
      <c r="N353" s="26">
        <f>IFERROR(_xlfn.PERCENTRANK.INC(Table2111216420212223[True Rank],_xlfn.XLOOKUP(Table1624[[#This Row],[Name]],Table2111216420212223[Name],Table2111216420212223[True Rank],"DNP",0,1)),"DNP")</f>
        <v>0.60399999999999998</v>
      </c>
      <c r="O353" s="26">
        <f>IFERROR(_xlfn.PERCENTRANK.INC(Table211121642021222325[True Rank],_xlfn.XLOOKUP(Table1624[[#This Row],[Name]],Table211121642021222325[Name],Table211121642021222325[True Rank],"DNP",0,1)),"DNP")</f>
        <v>0.153</v>
      </c>
      <c r="P353" s="26">
        <f>IFERROR(_xlfn.PERCENTRANK.INC(Table21112164202122232534[True Rank],_xlfn.XLOOKUP(Table1624[[#This Row],[Name]],Table21112164202122232534[Name],Table21112164202122232534[True Rank],"DNP",0,1)),"DNP")</f>
        <v>0.17499999999999999</v>
      </c>
      <c r="Q353" s="26">
        <f>IFERROR(_xlfn.PERCENTRANK.INC(Table2111216420212223253435[True Rank],_xlfn.XLOOKUP(Table1624[[#This Row],[Name]],Table2111216420212223253435[Name],Table2111216420212223253435[True Rank],"DNP",0,1)),"DNP")</f>
        <v>0.373</v>
      </c>
      <c r="R35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 spans="2:33">
      <c r="B354" t="str">
        <f>IFERROR(Table5[[#This Row],[Full name]],"")</f>
        <v>Zoe Rosenfeld</v>
      </c>
      <c r="C354" s="108" t="str">
        <f>IFERROR(AVERAGE(Table1624[[#This Row],[September 30, 2025]:[Column18]]),"N/A")</f>
        <v>N/A</v>
      </c>
      <c r="D354" s="26" t="str">
        <f>IFERROR(_xlfn.PERCENTRANK.INC(Table4[True Rank],_xlfn.XLOOKUP(Table1624[[#This Row],[Name]],Table4[Name],Table4[True Rank],"DNP",0,1)),"DNP")</f>
        <v>DNP</v>
      </c>
      <c r="E354" s="26" t="str">
        <f>IFERROR(_xlfn.PERCENTRANK.INC(Table9[True Rank],_xlfn.XLOOKUP(Table1624[[#This Row],[Name]],Table9[Name],Table9[True Rank],"DNP",0,1)),"DNP")</f>
        <v>DNP</v>
      </c>
      <c r="F354" s="26" t="str">
        <f>IFERROR(_xlfn.PERCENTRANK.INC(Table18[True Rank],_xlfn.XLOOKUP(Table1624[[#This Row],[Name]],Table18[Name],Table18[True Rank],"DNP",0,1)),"DNP")</f>
        <v>DNP</v>
      </c>
      <c r="G354" s="26" t="str">
        <f>IFERROR(_xlfn.PERCENTRANK.INC(Table2[True Rank],_xlfn.XLOOKUP(Table1624[[#This Row],[Name]],Table2[Name],Table2[True Rank],"DNP",0,1)),"DNP")</f>
        <v>DNP</v>
      </c>
      <c r="H354" s="26" t="str">
        <f>IFERROR(_xlfn.PERCENTRANK.INC(Table211[True Rank],_xlfn.XLOOKUP(Table1624[[#This Row],[Name]],Table211[Name],Table211[True Rank],"DNP",0,1)),"DNP")</f>
        <v>DNP</v>
      </c>
      <c r="I354" s="26" t="str">
        <f>IFERROR(_xlfn.PERCENTRANK.INC(Table21112[True Rank],_xlfn.XLOOKUP(Table1624[[#This Row],[Name]],Table21112[Name],Table21112[True Rank],"DNP",0,1)),"DNP")</f>
        <v>DNP</v>
      </c>
      <c r="J354" s="26" t="str">
        <f>IFERROR(_xlfn.PERCENTRANK.INC(Table21112164[True Rank],_xlfn.XLOOKUP(Table1624[[#This Row],[Name]],Table21112164[Name],Table21112164[True Rank],"DNP",0,1)),"DNP")</f>
        <v>DNP</v>
      </c>
      <c r="K354" s="26" t="str">
        <f>IFERROR(_xlfn.PERCENTRANK.INC(Table2111216420[True Rank],_xlfn.XLOOKUP(Table1624[[#This Row],[Name]],Table2111216420[Name],Table2111216420[True Rank],"DNP",0,1)),"DNP")</f>
        <v>DNP</v>
      </c>
      <c r="L354" s="26" t="str">
        <f>IFERROR(_xlfn.PERCENTRANK.INC(Table211121642021[True Rank],_xlfn.XLOOKUP(Table1624[[#This Row],[Name]],Table211121642021[Name],Table211121642021[True Rank],"DNP",0,1)),"DNP")</f>
        <v>DNP</v>
      </c>
      <c r="M354" s="26" t="str">
        <f>IFERROR(_xlfn.PERCENTRANK.INC(Table21112164202122[True Rank],_xlfn.XLOOKUP(Table1624[[#This Row],[Name]],Table21112164202122[Name],Table21112164202122[True Rank],"DNP",0,1)),"DNP")</f>
        <v>DNP</v>
      </c>
      <c r="N354" s="26" t="str">
        <f>IFERROR(_xlfn.PERCENTRANK.INC(Table2111216420212223[True Rank],_xlfn.XLOOKUP(Table1624[[#This Row],[Name]],Table2111216420212223[Name],Table2111216420212223[True Rank],"DNP",0,1)),"DNP")</f>
        <v>DNP</v>
      </c>
      <c r="O354" s="26" t="str">
        <f>IFERROR(_xlfn.PERCENTRANK.INC(Table211121642021222325[True Rank],_xlfn.XLOOKUP(Table1624[[#This Row],[Name]],Table211121642021222325[Name],Table211121642021222325[True Rank],"DNP",0,1)),"DNP")</f>
        <v>DNP</v>
      </c>
      <c r="P354" s="26" t="str">
        <f>IFERROR(_xlfn.PERCENTRANK.INC(Table21112164202122232534[True Rank],_xlfn.XLOOKUP(Table1624[[#This Row],[Name]],Table21112164202122232534[Name],Table21112164202122232534[True Rank],"DNP",0,1)),"DNP")</f>
        <v>DNP</v>
      </c>
      <c r="Q35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 spans="2:33">
      <c r="B355" t="str">
        <f>IFERROR(Table5[[#This Row],[Full name]],"")</f>
        <v>Rayane Jouhere</v>
      </c>
      <c r="C355" s="108" t="str">
        <f>IFERROR(AVERAGE(Table1624[[#This Row],[September 30, 2025]:[Column18]]),"N/A")</f>
        <v>N/A</v>
      </c>
      <c r="D355" s="26" t="str">
        <f>IFERROR(_xlfn.PERCENTRANK.INC(Table4[True Rank],_xlfn.XLOOKUP(Table1624[[#This Row],[Name]],Table4[Name],Table4[True Rank],"DNP",0,1)),"DNP")</f>
        <v>DNP</v>
      </c>
      <c r="E355" s="26" t="str">
        <f>IFERROR(_xlfn.PERCENTRANK.INC(Table9[True Rank],_xlfn.XLOOKUP(Table1624[[#This Row],[Name]],Table9[Name],Table9[True Rank],"DNP",0,1)),"DNP")</f>
        <v>DNP</v>
      </c>
      <c r="F355" s="26" t="str">
        <f>IFERROR(_xlfn.PERCENTRANK.INC(Table18[True Rank],_xlfn.XLOOKUP(Table1624[[#This Row],[Name]],Table18[Name],Table18[True Rank],"DNP",0,1)),"DNP")</f>
        <v>DNP</v>
      </c>
      <c r="G355" s="26" t="str">
        <f>IFERROR(_xlfn.PERCENTRANK.INC(Table2[True Rank],_xlfn.XLOOKUP(Table1624[[#This Row],[Name]],Table2[Name],Table2[True Rank],"DNP",0,1)),"DNP")</f>
        <v>DNP</v>
      </c>
      <c r="H355" s="26" t="str">
        <f>IFERROR(_xlfn.PERCENTRANK.INC(Table211[True Rank],_xlfn.XLOOKUP(Table1624[[#This Row],[Name]],Table211[Name],Table211[True Rank],"DNP",0,1)),"DNP")</f>
        <v>DNP</v>
      </c>
      <c r="I355" s="26" t="str">
        <f>IFERROR(_xlfn.PERCENTRANK.INC(Table21112[True Rank],_xlfn.XLOOKUP(Table1624[[#This Row],[Name]],Table21112[Name],Table21112[True Rank],"DNP",0,1)),"DNP")</f>
        <v>DNP</v>
      </c>
      <c r="J355" s="26" t="str">
        <f>IFERROR(_xlfn.PERCENTRANK.INC(Table21112164[True Rank],_xlfn.XLOOKUP(Table1624[[#This Row],[Name]],Table21112164[Name],Table21112164[True Rank],"DNP",0,1)),"DNP")</f>
        <v>DNP</v>
      </c>
      <c r="K355" s="26" t="str">
        <f>IFERROR(_xlfn.PERCENTRANK.INC(Table2111216420[True Rank],_xlfn.XLOOKUP(Table1624[[#This Row],[Name]],Table2111216420[Name],Table2111216420[True Rank],"DNP",0,1)),"DNP")</f>
        <v>DNP</v>
      </c>
      <c r="L355" s="26" t="str">
        <f>IFERROR(_xlfn.PERCENTRANK.INC(Table211121642021[True Rank],_xlfn.XLOOKUP(Table1624[[#This Row],[Name]],Table211121642021[Name],Table211121642021[True Rank],"DNP",0,1)),"DNP")</f>
        <v>DNP</v>
      </c>
      <c r="M355" s="26" t="str">
        <f>IFERROR(_xlfn.PERCENTRANK.INC(Table21112164202122[True Rank],_xlfn.XLOOKUP(Table1624[[#This Row],[Name]],Table21112164202122[Name],Table21112164202122[True Rank],"DNP",0,1)),"DNP")</f>
        <v>DNP</v>
      </c>
      <c r="N355" s="26" t="str">
        <f>IFERROR(_xlfn.PERCENTRANK.INC(Table2111216420212223[True Rank],_xlfn.XLOOKUP(Table1624[[#This Row],[Name]],Table2111216420212223[Name],Table2111216420212223[True Rank],"DNP",0,1)),"DNP")</f>
        <v>DNP</v>
      </c>
      <c r="O355" s="26" t="str">
        <f>IFERROR(_xlfn.PERCENTRANK.INC(Table211121642021222325[True Rank],_xlfn.XLOOKUP(Table1624[[#This Row],[Name]],Table211121642021222325[Name],Table211121642021222325[True Rank],"DNP",0,1)),"DNP")</f>
        <v>DNP</v>
      </c>
      <c r="P355" s="26" t="str">
        <f>IFERROR(_xlfn.PERCENTRANK.INC(Table21112164202122232534[True Rank],_xlfn.XLOOKUP(Table1624[[#This Row],[Name]],Table21112164202122232534[Name],Table21112164202122232534[True Rank],"DNP",0,1)),"DNP")</f>
        <v>DNP</v>
      </c>
      <c r="Q35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 spans="2:33">
      <c r="B356" t="str">
        <f>IFERROR(Table5[[#This Row],[Full name]],"")</f>
        <v/>
      </c>
      <c r="C356" s="108" t="str">
        <f>IFERROR(AVERAGE(Table1624[[#This Row],[September 30, 2025]:[Column18]]),"N/A")</f>
        <v>N/A</v>
      </c>
      <c r="D356" s="26" t="str">
        <f>IFERROR(_xlfn.PERCENTRANK.INC(Table4[True Rank],_xlfn.XLOOKUP(Table1624[[#This Row],[Name]],Table4[Name],Table4[True Rank],"DNP",0,1)),"DNP")</f>
        <v>DNP</v>
      </c>
      <c r="E356" s="26" t="str">
        <f>IFERROR(_xlfn.PERCENTRANK.INC(Table9[True Rank],_xlfn.XLOOKUP(Table1624[[#This Row],[Name]],Table9[Name],Table9[True Rank],"DNP",0,1)),"DNP")</f>
        <v>DNP</v>
      </c>
      <c r="F356" s="26" t="str">
        <f>IFERROR(_xlfn.PERCENTRANK.INC(Table18[True Rank],_xlfn.XLOOKUP(Table1624[[#This Row],[Name]],Table18[Name],Table18[True Rank],"DNP",0,1)),"DNP")</f>
        <v>DNP</v>
      </c>
      <c r="G356" s="26" t="str">
        <f>IFERROR(_xlfn.PERCENTRANK.INC(Table2[True Rank],_xlfn.XLOOKUP(Table1624[[#This Row],[Name]],Table2[Name],Table2[True Rank],"DNP",0,1)),"DNP")</f>
        <v>DNP</v>
      </c>
      <c r="H356" s="26" t="str">
        <f>IFERROR(_xlfn.PERCENTRANK.INC(Table211[True Rank],_xlfn.XLOOKUP(Table1624[[#This Row],[Name]],Table211[Name],Table211[True Rank],"DNP",0,1)),"DNP")</f>
        <v>DNP</v>
      </c>
      <c r="I356" s="26" t="str">
        <f>IFERROR(_xlfn.PERCENTRANK.INC(Table21112[True Rank],_xlfn.XLOOKUP(Table1624[[#This Row],[Name]],Table21112[Name],Table21112[True Rank],"DNP",0,1)),"DNP")</f>
        <v>DNP</v>
      </c>
      <c r="J356" s="26" t="str">
        <f>IFERROR(_xlfn.PERCENTRANK.INC(Table21112164[True Rank],_xlfn.XLOOKUP(Table1624[[#This Row],[Name]],Table21112164[Name],Table21112164[True Rank],"DNP",0,1)),"DNP")</f>
        <v>DNP</v>
      </c>
      <c r="K356" s="26" t="str">
        <f>IFERROR(_xlfn.PERCENTRANK.INC(Table2111216420[True Rank],_xlfn.XLOOKUP(Table1624[[#This Row],[Name]],Table2111216420[Name],Table2111216420[True Rank],"DNP",0,1)),"DNP")</f>
        <v>DNP</v>
      </c>
      <c r="L356" s="26" t="str">
        <f>IFERROR(_xlfn.PERCENTRANK.INC(Table211121642021[True Rank],_xlfn.XLOOKUP(Table1624[[#This Row],[Name]],Table211121642021[Name],Table211121642021[True Rank],"DNP",0,1)),"DNP")</f>
        <v>DNP</v>
      </c>
      <c r="M356" s="26" t="str">
        <f>IFERROR(_xlfn.PERCENTRANK.INC(Table21112164202122[True Rank],_xlfn.XLOOKUP(Table1624[[#This Row],[Name]],Table21112164202122[Name],Table21112164202122[True Rank],"DNP",0,1)),"DNP")</f>
        <v>DNP</v>
      </c>
      <c r="N356" s="26" t="str">
        <f>IFERROR(_xlfn.PERCENTRANK.INC(Table2111216420212223[True Rank],_xlfn.XLOOKUP(Table1624[[#This Row],[Name]],Table2111216420212223[Name],Table2111216420212223[True Rank],"DNP",0,1)),"DNP")</f>
        <v>DNP</v>
      </c>
      <c r="O356" s="26" t="str">
        <f>IFERROR(_xlfn.PERCENTRANK.INC(Table211121642021222325[True Rank],_xlfn.XLOOKUP(Table1624[[#This Row],[Name]],Table211121642021222325[Name],Table211121642021222325[True Rank],"DNP",0,1)),"DNP")</f>
        <v>DNP</v>
      </c>
      <c r="P356" s="26" t="str">
        <f>IFERROR(_xlfn.PERCENTRANK.INC(Table21112164202122232534[True Rank],_xlfn.XLOOKUP(Table1624[[#This Row],[Name]],Table21112164202122232534[Name],Table21112164202122232534[True Rank],"DNP",0,1)),"DNP")</f>
        <v>DNP</v>
      </c>
      <c r="Q35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 spans="2:33">
      <c r="B357" t="str">
        <f>IFERROR(Table5[[#This Row],[Full name]],"")</f>
        <v/>
      </c>
      <c r="C357" s="108" t="str">
        <f>IFERROR(AVERAGE(Table1624[[#This Row],[September 30, 2025]:[Column18]]),"N/A")</f>
        <v>N/A</v>
      </c>
      <c r="D357" s="26" t="str">
        <f>IFERROR(_xlfn.PERCENTRANK.INC(Table4[True Rank],_xlfn.XLOOKUP(Table1624[[#This Row],[Name]],Table4[Name],Table4[True Rank],"DNP",0,1)),"DNP")</f>
        <v>DNP</v>
      </c>
      <c r="E357" s="26" t="str">
        <f>IFERROR(_xlfn.PERCENTRANK.INC(Table9[True Rank],_xlfn.XLOOKUP(Table1624[[#This Row],[Name]],Table9[Name],Table9[True Rank],"DNP",0,1)),"DNP")</f>
        <v>DNP</v>
      </c>
      <c r="F357" s="26" t="str">
        <f>IFERROR(_xlfn.PERCENTRANK.INC(Table18[True Rank],_xlfn.XLOOKUP(Table1624[[#This Row],[Name]],Table18[Name],Table18[True Rank],"DNP",0,1)),"DNP")</f>
        <v>DNP</v>
      </c>
      <c r="G357" s="26" t="str">
        <f>IFERROR(_xlfn.PERCENTRANK.INC(Table2[True Rank],_xlfn.XLOOKUP(Table1624[[#This Row],[Name]],Table2[Name],Table2[True Rank],"DNP",0,1)),"DNP")</f>
        <v>DNP</v>
      </c>
      <c r="H357" s="26" t="str">
        <f>IFERROR(_xlfn.PERCENTRANK.INC(Table211[True Rank],_xlfn.XLOOKUP(Table1624[[#This Row],[Name]],Table211[Name],Table211[True Rank],"DNP",0,1)),"DNP")</f>
        <v>DNP</v>
      </c>
      <c r="I357" s="26" t="str">
        <f>IFERROR(_xlfn.PERCENTRANK.INC(Table21112[True Rank],_xlfn.XLOOKUP(Table1624[[#This Row],[Name]],Table21112[Name],Table21112[True Rank],"DNP",0,1)),"DNP")</f>
        <v>DNP</v>
      </c>
      <c r="J357" s="26" t="str">
        <f>IFERROR(_xlfn.PERCENTRANK.INC(Table21112164[True Rank],_xlfn.XLOOKUP(Table1624[[#This Row],[Name]],Table21112164[Name],Table21112164[True Rank],"DNP",0,1)),"DNP")</f>
        <v>DNP</v>
      </c>
      <c r="K357" s="26" t="str">
        <f>IFERROR(_xlfn.PERCENTRANK.INC(Table2111216420[True Rank],_xlfn.XLOOKUP(Table1624[[#This Row],[Name]],Table2111216420[Name],Table2111216420[True Rank],"DNP",0,1)),"DNP")</f>
        <v>DNP</v>
      </c>
      <c r="L357" s="26" t="str">
        <f>IFERROR(_xlfn.PERCENTRANK.INC(Table211121642021[True Rank],_xlfn.XLOOKUP(Table1624[[#This Row],[Name]],Table211121642021[Name],Table211121642021[True Rank],"DNP",0,1)),"DNP")</f>
        <v>DNP</v>
      </c>
      <c r="M357" s="26" t="str">
        <f>IFERROR(_xlfn.PERCENTRANK.INC(Table21112164202122[True Rank],_xlfn.XLOOKUP(Table1624[[#This Row],[Name]],Table21112164202122[Name],Table21112164202122[True Rank],"DNP",0,1)),"DNP")</f>
        <v>DNP</v>
      </c>
      <c r="N357" s="26" t="str">
        <f>IFERROR(_xlfn.PERCENTRANK.INC(Table2111216420212223[True Rank],_xlfn.XLOOKUP(Table1624[[#This Row],[Name]],Table2111216420212223[Name],Table2111216420212223[True Rank],"DNP",0,1)),"DNP")</f>
        <v>DNP</v>
      </c>
      <c r="O357" s="26" t="str">
        <f>IFERROR(_xlfn.PERCENTRANK.INC(Table211121642021222325[True Rank],_xlfn.XLOOKUP(Table1624[[#This Row],[Name]],Table211121642021222325[Name],Table211121642021222325[True Rank],"DNP",0,1)),"DNP")</f>
        <v>DNP</v>
      </c>
      <c r="P357" s="26" t="str">
        <f>IFERROR(_xlfn.PERCENTRANK.INC(Table21112164202122232534[True Rank],_xlfn.XLOOKUP(Table1624[[#This Row],[Name]],Table21112164202122232534[Name],Table21112164202122232534[True Rank],"DNP",0,1)),"DNP")</f>
        <v>DNP</v>
      </c>
      <c r="Q35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 spans="2:33">
      <c r="B358" t="str">
        <f>IFERROR(Table5[[#This Row],[Full name]],"")</f>
        <v/>
      </c>
      <c r="C358" s="108" t="str">
        <f>IFERROR(AVERAGE(Table1624[[#This Row],[September 30, 2025]:[Column18]]),"N/A")</f>
        <v>N/A</v>
      </c>
      <c r="D358" s="26" t="str">
        <f>IFERROR(_xlfn.PERCENTRANK.INC(Table4[True Rank],_xlfn.XLOOKUP(Table1624[[#This Row],[Name]],Table4[Name],Table4[True Rank],"DNP",0,1)),"DNP")</f>
        <v>DNP</v>
      </c>
      <c r="E358" s="26" t="str">
        <f>IFERROR(_xlfn.PERCENTRANK.INC(Table9[True Rank],_xlfn.XLOOKUP(Table1624[[#This Row],[Name]],Table9[Name],Table9[True Rank],"DNP",0,1)),"DNP")</f>
        <v>DNP</v>
      </c>
      <c r="F358" s="26" t="str">
        <f>IFERROR(_xlfn.PERCENTRANK.INC(Table18[True Rank],_xlfn.XLOOKUP(Table1624[[#This Row],[Name]],Table18[Name],Table18[True Rank],"DNP",0,1)),"DNP")</f>
        <v>DNP</v>
      </c>
      <c r="G358" s="26" t="str">
        <f>IFERROR(_xlfn.PERCENTRANK.INC(Table2[True Rank],_xlfn.XLOOKUP(Table1624[[#This Row],[Name]],Table2[Name],Table2[True Rank],"DNP",0,1)),"DNP")</f>
        <v>DNP</v>
      </c>
      <c r="H358" s="26" t="str">
        <f>IFERROR(_xlfn.PERCENTRANK.INC(Table211[True Rank],_xlfn.XLOOKUP(Table1624[[#This Row],[Name]],Table211[Name],Table211[True Rank],"DNP",0,1)),"DNP")</f>
        <v>DNP</v>
      </c>
      <c r="I358" s="26" t="str">
        <f>IFERROR(_xlfn.PERCENTRANK.INC(Table21112[True Rank],_xlfn.XLOOKUP(Table1624[[#This Row],[Name]],Table21112[Name],Table21112[True Rank],"DNP",0,1)),"DNP")</f>
        <v>DNP</v>
      </c>
      <c r="J358" s="26" t="str">
        <f>IFERROR(_xlfn.PERCENTRANK.INC(Table21112164[True Rank],_xlfn.XLOOKUP(Table1624[[#This Row],[Name]],Table21112164[Name],Table21112164[True Rank],"DNP",0,1)),"DNP")</f>
        <v>DNP</v>
      </c>
      <c r="K358" s="26" t="str">
        <f>IFERROR(_xlfn.PERCENTRANK.INC(Table2111216420[True Rank],_xlfn.XLOOKUP(Table1624[[#This Row],[Name]],Table2111216420[Name],Table2111216420[True Rank],"DNP",0,1)),"DNP")</f>
        <v>DNP</v>
      </c>
      <c r="L358" s="26" t="str">
        <f>IFERROR(_xlfn.PERCENTRANK.INC(Table211121642021[True Rank],_xlfn.XLOOKUP(Table1624[[#This Row],[Name]],Table211121642021[Name],Table211121642021[True Rank],"DNP",0,1)),"DNP")</f>
        <v>DNP</v>
      </c>
      <c r="M358" s="26" t="str">
        <f>IFERROR(_xlfn.PERCENTRANK.INC(Table21112164202122[True Rank],_xlfn.XLOOKUP(Table1624[[#This Row],[Name]],Table21112164202122[Name],Table21112164202122[True Rank],"DNP",0,1)),"DNP")</f>
        <v>DNP</v>
      </c>
      <c r="N358" s="26" t="str">
        <f>IFERROR(_xlfn.PERCENTRANK.INC(Table2111216420212223[True Rank],_xlfn.XLOOKUP(Table1624[[#This Row],[Name]],Table2111216420212223[Name],Table2111216420212223[True Rank],"DNP",0,1)),"DNP")</f>
        <v>DNP</v>
      </c>
      <c r="O358" s="26" t="str">
        <f>IFERROR(_xlfn.PERCENTRANK.INC(Table211121642021222325[True Rank],_xlfn.XLOOKUP(Table1624[[#This Row],[Name]],Table211121642021222325[Name],Table211121642021222325[True Rank],"DNP",0,1)),"DNP")</f>
        <v>DNP</v>
      </c>
      <c r="P358" s="26" t="str">
        <f>IFERROR(_xlfn.PERCENTRANK.INC(Table21112164202122232534[True Rank],_xlfn.XLOOKUP(Table1624[[#This Row],[Name]],Table21112164202122232534[Name],Table21112164202122232534[True Rank],"DNP",0,1)),"DNP")</f>
        <v>DNP</v>
      </c>
      <c r="Q35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 spans="2:33">
      <c r="B359" t="str">
        <f>IFERROR(Table5[[#This Row],[Full name]],"")</f>
        <v/>
      </c>
      <c r="C359" s="108" t="str">
        <f>IFERROR(AVERAGE(Table1624[[#This Row],[September 30, 2025]:[Column18]]),"N/A")</f>
        <v>N/A</v>
      </c>
      <c r="D359" s="26" t="str">
        <f>IFERROR(_xlfn.PERCENTRANK.INC(Table4[True Rank],_xlfn.XLOOKUP(Table1624[[#This Row],[Name]],Table4[Name],Table4[True Rank],"DNP",0,1)),"DNP")</f>
        <v>DNP</v>
      </c>
      <c r="E359" s="26" t="str">
        <f>IFERROR(_xlfn.PERCENTRANK.INC(Table9[True Rank],_xlfn.XLOOKUP(Table1624[[#This Row],[Name]],Table9[Name],Table9[True Rank],"DNP",0,1)),"DNP")</f>
        <v>DNP</v>
      </c>
      <c r="F359" s="26" t="str">
        <f>IFERROR(_xlfn.PERCENTRANK.INC(Table18[True Rank],_xlfn.XLOOKUP(Table1624[[#This Row],[Name]],Table18[Name],Table18[True Rank],"DNP",0,1)),"DNP")</f>
        <v>DNP</v>
      </c>
      <c r="G359" s="26" t="str">
        <f>IFERROR(_xlfn.PERCENTRANK.INC(Table2[True Rank],_xlfn.XLOOKUP(Table1624[[#This Row],[Name]],Table2[Name],Table2[True Rank],"DNP",0,1)),"DNP")</f>
        <v>DNP</v>
      </c>
      <c r="H359" s="26" t="str">
        <f>IFERROR(_xlfn.PERCENTRANK.INC(Table211[True Rank],_xlfn.XLOOKUP(Table1624[[#This Row],[Name]],Table211[Name],Table211[True Rank],"DNP",0,1)),"DNP")</f>
        <v>DNP</v>
      </c>
      <c r="I359" s="26" t="str">
        <f>IFERROR(_xlfn.PERCENTRANK.INC(Table21112[True Rank],_xlfn.XLOOKUP(Table1624[[#This Row],[Name]],Table21112[Name],Table21112[True Rank],"DNP",0,1)),"DNP")</f>
        <v>DNP</v>
      </c>
      <c r="J359" s="26" t="str">
        <f>IFERROR(_xlfn.PERCENTRANK.INC(Table21112164[True Rank],_xlfn.XLOOKUP(Table1624[[#This Row],[Name]],Table21112164[Name],Table21112164[True Rank],"DNP",0,1)),"DNP")</f>
        <v>DNP</v>
      </c>
      <c r="K359" s="26" t="str">
        <f>IFERROR(_xlfn.PERCENTRANK.INC(Table2111216420[True Rank],_xlfn.XLOOKUP(Table1624[[#This Row],[Name]],Table2111216420[Name],Table2111216420[True Rank],"DNP",0,1)),"DNP")</f>
        <v>DNP</v>
      </c>
      <c r="L359" s="26" t="str">
        <f>IFERROR(_xlfn.PERCENTRANK.INC(Table211121642021[True Rank],_xlfn.XLOOKUP(Table1624[[#This Row],[Name]],Table211121642021[Name],Table211121642021[True Rank],"DNP",0,1)),"DNP")</f>
        <v>DNP</v>
      </c>
      <c r="M359" s="26" t="str">
        <f>IFERROR(_xlfn.PERCENTRANK.INC(Table21112164202122[True Rank],_xlfn.XLOOKUP(Table1624[[#This Row],[Name]],Table21112164202122[Name],Table21112164202122[True Rank],"DNP",0,1)),"DNP")</f>
        <v>DNP</v>
      </c>
      <c r="N359" s="26" t="str">
        <f>IFERROR(_xlfn.PERCENTRANK.INC(Table2111216420212223[True Rank],_xlfn.XLOOKUP(Table1624[[#This Row],[Name]],Table2111216420212223[Name],Table2111216420212223[True Rank],"DNP",0,1)),"DNP")</f>
        <v>DNP</v>
      </c>
      <c r="O359" s="26" t="str">
        <f>IFERROR(_xlfn.PERCENTRANK.INC(Table211121642021222325[True Rank],_xlfn.XLOOKUP(Table1624[[#This Row],[Name]],Table211121642021222325[Name],Table211121642021222325[True Rank],"DNP",0,1)),"DNP")</f>
        <v>DNP</v>
      </c>
      <c r="P359" s="26" t="str">
        <f>IFERROR(_xlfn.PERCENTRANK.INC(Table21112164202122232534[True Rank],_xlfn.XLOOKUP(Table1624[[#This Row],[Name]],Table21112164202122232534[Name],Table21112164202122232534[True Rank],"DNP",0,1)),"DNP")</f>
        <v>DNP</v>
      </c>
      <c r="Q35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5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5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5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 spans="2:33">
      <c r="B360" t="str">
        <f>IFERROR(Table5[[#This Row],[Full name]],"")</f>
        <v/>
      </c>
      <c r="C360" s="108" t="str">
        <f>IFERROR(AVERAGE(Table1624[[#This Row],[September 30, 2025]:[Column18]]),"N/A")</f>
        <v>N/A</v>
      </c>
      <c r="D360" s="26" t="str">
        <f>IFERROR(_xlfn.PERCENTRANK.INC(Table4[True Rank],_xlfn.XLOOKUP(Table1624[[#This Row],[Name]],Table4[Name],Table4[True Rank],"DNP",0,1)),"DNP")</f>
        <v>DNP</v>
      </c>
      <c r="E360" s="26" t="str">
        <f>IFERROR(_xlfn.PERCENTRANK.INC(Table9[True Rank],_xlfn.XLOOKUP(Table1624[[#This Row],[Name]],Table9[Name],Table9[True Rank],"DNP",0,1)),"DNP")</f>
        <v>DNP</v>
      </c>
      <c r="F360" s="26" t="str">
        <f>IFERROR(_xlfn.PERCENTRANK.INC(Table18[True Rank],_xlfn.XLOOKUP(Table1624[[#This Row],[Name]],Table18[Name],Table18[True Rank],"DNP",0,1)),"DNP")</f>
        <v>DNP</v>
      </c>
      <c r="G360" s="26" t="str">
        <f>IFERROR(_xlfn.PERCENTRANK.INC(Table2[True Rank],_xlfn.XLOOKUP(Table1624[[#This Row],[Name]],Table2[Name],Table2[True Rank],"DNP",0,1)),"DNP")</f>
        <v>DNP</v>
      </c>
      <c r="H360" s="26" t="str">
        <f>IFERROR(_xlfn.PERCENTRANK.INC(Table211[True Rank],_xlfn.XLOOKUP(Table1624[[#This Row],[Name]],Table211[Name],Table211[True Rank],"DNP",0,1)),"DNP")</f>
        <v>DNP</v>
      </c>
      <c r="I360" s="26" t="str">
        <f>IFERROR(_xlfn.PERCENTRANK.INC(Table21112[True Rank],_xlfn.XLOOKUP(Table1624[[#This Row],[Name]],Table21112[Name],Table21112[True Rank],"DNP",0,1)),"DNP")</f>
        <v>DNP</v>
      </c>
      <c r="J360" s="26" t="str">
        <f>IFERROR(_xlfn.PERCENTRANK.INC(Table21112164[True Rank],_xlfn.XLOOKUP(Table1624[[#This Row],[Name]],Table21112164[Name],Table21112164[True Rank],"DNP",0,1)),"DNP")</f>
        <v>DNP</v>
      </c>
      <c r="K360" s="26" t="str">
        <f>IFERROR(_xlfn.PERCENTRANK.INC(Table2111216420[True Rank],_xlfn.XLOOKUP(Table1624[[#This Row],[Name]],Table2111216420[Name],Table2111216420[True Rank],"DNP",0,1)),"DNP")</f>
        <v>DNP</v>
      </c>
      <c r="L360" s="26" t="str">
        <f>IFERROR(_xlfn.PERCENTRANK.INC(Table211121642021[True Rank],_xlfn.XLOOKUP(Table1624[[#This Row],[Name]],Table211121642021[Name],Table211121642021[True Rank],"DNP",0,1)),"DNP")</f>
        <v>DNP</v>
      </c>
      <c r="M360" s="26" t="str">
        <f>IFERROR(_xlfn.PERCENTRANK.INC(Table21112164202122[True Rank],_xlfn.XLOOKUP(Table1624[[#This Row],[Name]],Table21112164202122[Name],Table21112164202122[True Rank],"DNP",0,1)),"DNP")</f>
        <v>DNP</v>
      </c>
      <c r="N360" s="26" t="str">
        <f>IFERROR(_xlfn.PERCENTRANK.INC(Table2111216420212223[True Rank],_xlfn.XLOOKUP(Table1624[[#This Row],[Name]],Table2111216420212223[Name],Table2111216420212223[True Rank],"DNP",0,1)),"DNP")</f>
        <v>DNP</v>
      </c>
      <c r="O360" s="26" t="str">
        <f>IFERROR(_xlfn.PERCENTRANK.INC(Table211121642021222325[True Rank],_xlfn.XLOOKUP(Table1624[[#This Row],[Name]],Table211121642021222325[Name],Table211121642021222325[True Rank],"DNP",0,1)),"DNP")</f>
        <v>DNP</v>
      </c>
      <c r="P360" s="26" t="str">
        <f>IFERROR(_xlfn.PERCENTRANK.INC(Table21112164202122232534[True Rank],_xlfn.XLOOKUP(Table1624[[#This Row],[Name]],Table21112164202122232534[Name],Table21112164202122232534[True Rank],"DNP",0,1)),"DNP")</f>
        <v>DNP</v>
      </c>
      <c r="Q36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 spans="2:33">
      <c r="B361" t="str">
        <f>IFERROR(Table5[[#This Row],[Full name]],"")</f>
        <v/>
      </c>
      <c r="C361" s="108" t="str">
        <f>IFERROR(AVERAGE(Table1624[[#This Row],[September 30, 2025]:[Column18]]),"N/A")</f>
        <v>N/A</v>
      </c>
      <c r="D361" s="26" t="str">
        <f>IFERROR(_xlfn.PERCENTRANK.INC(Table4[True Rank],_xlfn.XLOOKUP(Table1624[[#This Row],[Name]],Table4[Name],Table4[True Rank],"DNP",0,1)),"DNP")</f>
        <v>DNP</v>
      </c>
      <c r="E361" s="26" t="str">
        <f>IFERROR(_xlfn.PERCENTRANK.INC(Table9[True Rank],_xlfn.XLOOKUP(Table1624[[#This Row],[Name]],Table9[Name],Table9[True Rank],"DNP",0,1)),"DNP")</f>
        <v>DNP</v>
      </c>
      <c r="F361" s="26" t="str">
        <f>IFERROR(_xlfn.PERCENTRANK.INC(Table18[True Rank],_xlfn.XLOOKUP(Table1624[[#This Row],[Name]],Table18[Name],Table18[True Rank],"DNP",0,1)),"DNP")</f>
        <v>DNP</v>
      </c>
      <c r="G361" s="26" t="str">
        <f>IFERROR(_xlfn.PERCENTRANK.INC(Table2[True Rank],_xlfn.XLOOKUP(Table1624[[#This Row],[Name]],Table2[Name],Table2[True Rank],"DNP",0,1)),"DNP")</f>
        <v>DNP</v>
      </c>
      <c r="H361" s="26" t="str">
        <f>IFERROR(_xlfn.PERCENTRANK.INC(Table211[True Rank],_xlfn.XLOOKUP(Table1624[[#This Row],[Name]],Table211[Name],Table211[True Rank],"DNP",0,1)),"DNP")</f>
        <v>DNP</v>
      </c>
      <c r="I361" s="26" t="str">
        <f>IFERROR(_xlfn.PERCENTRANK.INC(Table21112[True Rank],_xlfn.XLOOKUP(Table1624[[#This Row],[Name]],Table21112[Name],Table21112[True Rank],"DNP",0,1)),"DNP")</f>
        <v>DNP</v>
      </c>
      <c r="J361" s="26" t="str">
        <f>IFERROR(_xlfn.PERCENTRANK.INC(Table21112164[True Rank],_xlfn.XLOOKUP(Table1624[[#This Row],[Name]],Table21112164[Name],Table21112164[True Rank],"DNP",0,1)),"DNP")</f>
        <v>DNP</v>
      </c>
      <c r="K361" s="26" t="str">
        <f>IFERROR(_xlfn.PERCENTRANK.INC(Table2111216420[True Rank],_xlfn.XLOOKUP(Table1624[[#This Row],[Name]],Table2111216420[Name],Table2111216420[True Rank],"DNP",0,1)),"DNP")</f>
        <v>DNP</v>
      </c>
      <c r="L361" s="26" t="str">
        <f>IFERROR(_xlfn.PERCENTRANK.INC(Table211121642021[True Rank],_xlfn.XLOOKUP(Table1624[[#This Row],[Name]],Table211121642021[Name],Table211121642021[True Rank],"DNP",0,1)),"DNP")</f>
        <v>DNP</v>
      </c>
      <c r="M361" s="26" t="str">
        <f>IFERROR(_xlfn.PERCENTRANK.INC(Table21112164202122[True Rank],_xlfn.XLOOKUP(Table1624[[#This Row],[Name]],Table21112164202122[Name],Table21112164202122[True Rank],"DNP",0,1)),"DNP")</f>
        <v>DNP</v>
      </c>
      <c r="N361" s="26" t="str">
        <f>IFERROR(_xlfn.PERCENTRANK.INC(Table2111216420212223[True Rank],_xlfn.XLOOKUP(Table1624[[#This Row],[Name]],Table2111216420212223[Name],Table2111216420212223[True Rank],"DNP",0,1)),"DNP")</f>
        <v>DNP</v>
      </c>
      <c r="O361" s="26" t="str">
        <f>IFERROR(_xlfn.PERCENTRANK.INC(Table211121642021222325[True Rank],_xlfn.XLOOKUP(Table1624[[#This Row],[Name]],Table211121642021222325[Name],Table211121642021222325[True Rank],"DNP",0,1)),"DNP")</f>
        <v>DNP</v>
      </c>
      <c r="P361" s="26" t="str">
        <f>IFERROR(_xlfn.PERCENTRANK.INC(Table21112164202122232534[True Rank],_xlfn.XLOOKUP(Table1624[[#This Row],[Name]],Table21112164202122232534[Name],Table21112164202122232534[True Rank],"DNP",0,1)),"DNP")</f>
        <v>DNP</v>
      </c>
      <c r="Q36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 spans="2:33">
      <c r="B362" t="str">
        <f>IFERROR(Table5[[#This Row],[Full name]],"")</f>
        <v/>
      </c>
      <c r="C362" s="108" t="str">
        <f>IFERROR(AVERAGE(Table1624[[#This Row],[September 30, 2025]:[Column18]]),"N/A")</f>
        <v>N/A</v>
      </c>
      <c r="D362" s="26" t="str">
        <f>IFERROR(_xlfn.PERCENTRANK.INC(Table4[True Rank],_xlfn.XLOOKUP(Table1624[[#This Row],[Name]],Table4[Name],Table4[True Rank],"DNP",0,1)),"DNP")</f>
        <v>DNP</v>
      </c>
      <c r="E362" s="26" t="str">
        <f>IFERROR(_xlfn.PERCENTRANK.INC(Table9[True Rank],_xlfn.XLOOKUP(Table1624[[#This Row],[Name]],Table9[Name],Table9[True Rank],"DNP",0,1)),"DNP")</f>
        <v>DNP</v>
      </c>
      <c r="F362" s="26" t="str">
        <f>IFERROR(_xlfn.PERCENTRANK.INC(Table18[True Rank],_xlfn.XLOOKUP(Table1624[[#This Row],[Name]],Table18[Name],Table18[True Rank],"DNP",0,1)),"DNP")</f>
        <v>DNP</v>
      </c>
      <c r="G362" s="26" t="str">
        <f>IFERROR(_xlfn.PERCENTRANK.INC(Table2[True Rank],_xlfn.XLOOKUP(Table1624[[#This Row],[Name]],Table2[Name],Table2[True Rank],"DNP",0,1)),"DNP")</f>
        <v>DNP</v>
      </c>
      <c r="H362" s="26" t="str">
        <f>IFERROR(_xlfn.PERCENTRANK.INC(Table211[True Rank],_xlfn.XLOOKUP(Table1624[[#This Row],[Name]],Table211[Name],Table211[True Rank],"DNP",0,1)),"DNP")</f>
        <v>DNP</v>
      </c>
      <c r="I362" s="26" t="str">
        <f>IFERROR(_xlfn.PERCENTRANK.INC(Table21112[True Rank],_xlfn.XLOOKUP(Table1624[[#This Row],[Name]],Table21112[Name],Table21112[True Rank],"DNP",0,1)),"DNP")</f>
        <v>DNP</v>
      </c>
      <c r="J362" s="26" t="str">
        <f>IFERROR(_xlfn.PERCENTRANK.INC(Table21112164[True Rank],_xlfn.XLOOKUP(Table1624[[#This Row],[Name]],Table21112164[Name],Table21112164[True Rank],"DNP",0,1)),"DNP")</f>
        <v>DNP</v>
      </c>
      <c r="K362" s="26" t="str">
        <f>IFERROR(_xlfn.PERCENTRANK.INC(Table2111216420[True Rank],_xlfn.XLOOKUP(Table1624[[#This Row],[Name]],Table2111216420[Name],Table2111216420[True Rank],"DNP",0,1)),"DNP")</f>
        <v>DNP</v>
      </c>
      <c r="L362" s="26" t="str">
        <f>IFERROR(_xlfn.PERCENTRANK.INC(Table211121642021[True Rank],_xlfn.XLOOKUP(Table1624[[#This Row],[Name]],Table211121642021[Name],Table211121642021[True Rank],"DNP",0,1)),"DNP")</f>
        <v>DNP</v>
      </c>
      <c r="M362" s="26" t="str">
        <f>IFERROR(_xlfn.PERCENTRANK.INC(Table21112164202122[True Rank],_xlfn.XLOOKUP(Table1624[[#This Row],[Name]],Table21112164202122[Name],Table21112164202122[True Rank],"DNP",0,1)),"DNP")</f>
        <v>DNP</v>
      </c>
      <c r="N362" s="26" t="str">
        <f>IFERROR(_xlfn.PERCENTRANK.INC(Table2111216420212223[True Rank],_xlfn.XLOOKUP(Table1624[[#This Row],[Name]],Table2111216420212223[Name],Table2111216420212223[True Rank],"DNP",0,1)),"DNP")</f>
        <v>DNP</v>
      </c>
      <c r="O362" s="26" t="str">
        <f>IFERROR(_xlfn.PERCENTRANK.INC(Table211121642021222325[True Rank],_xlfn.XLOOKUP(Table1624[[#This Row],[Name]],Table211121642021222325[Name],Table211121642021222325[True Rank],"DNP",0,1)),"DNP")</f>
        <v>DNP</v>
      </c>
      <c r="P362" s="26" t="str">
        <f>IFERROR(_xlfn.PERCENTRANK.INC(Table21112164202122232534[True Rank],_xlfn.XLOOKUP(Table1624[[#This Row],[Name]],Table21112164202122232534[Name],Table21112164202122232534[True Rank],"DNP",0,1)),"DNP")</f>
        <v>DNP</v>
      </c>
      <c r="Q36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 spans="2:33">
      <c r="B363" t="str">
        <f>IFERROR(Table5[[#This Row],[Full name]],"")</f>
        <v/>
      </c>
      <c r="C363" s="108" t="str">
        <f>IFERROR(AVERAGE(Table1624[[#This Row],[September 30, 2025]:[Column18]]),"N/A")</f>
        <v>N/A</v>
      </c>
      <c r="D363" s="26" t="str">
        <f>IFERROR(_xlfn.PERCENTRANK.INC(Table4[True Rank],_xlfn.XLOOKUP(Table1624[[#This Row],[Name]],Table4[Name],Table4[True Rank],"DNP",0,1)),"DNP")</f>
        <v>DNP</v>
      </c>
      <c r="E363" s="26" t="str">
        <f>IFERROR(_xlfn.PERCENTRANK.INC(Table9[True Rank],_xlfn.XLOOKUP(Table1624[[#This Row],[Name]],Table9[Name],Table9[True Rank],"DNP",0,1)),"DNP")</f>
        <v>DNP</v>
      </c>
      <c r="F363" s="26" t="str">
        <f>IFERROR(_xlfn.PERCENTRANK.INC(Table18[True Rank],_xlfn.XLOOKUP(Table1624[[#This Row],[Name]],Table18[Name],Table18[True Rank],"DNP",0,1)),"DNP")</f>
        <v>DNP</v>
      </c>
      <c r="G363" s="26" t="str">
        <f>IFERROR(_xlfn.PERCENTRANK.INC(Table2[True Rank],_xlfn.XLOOKUP(Table1624[[#This Row],[Name]],Table2[Name],Table2[True Rank],"DNP",0,1)),"DNP")</f>
        <v>DNP</v>
      </c>
      <c r="H363" s="26" t="str">
        <f>IFERROR(_xlfn.PERCENTRANK.INC(Table211[True Rank],_xlfn.XLOOKUP(Table1624[[#This Row],[Name]],Table211[Name],Table211[True Rank],"DNP",0,1)),"DNP")</f>
        <v>DNP</v>
      </c>
      <c r="I363" s="26" t="str">
        <f>IFERROR(_xlfn.PERCENTRANK.INC(Table21112[True Rank],_xlfn.XLOOKUP(Table1624[[#This Row],[Name]],Table21112[Name],Table21112[True Rank],"DNP",0,1)),"DNP")</f>
        <v>DNP</v>
      </c>
      <c r="J363" s="26" t="str">
        <f>IFERROR(_xlfn.PERCENTRANK.INC(Table21112164[True Rank],_xlfn.XLOOKUP(Table1624[[#This Row],[Name]],Table21112164[Name],Table21112164[True Rank],"DNP",0,1)),"DNP")</f>
        <v>DNP</v>
      </c>
      <c r="K363" s="26" t="str">
        <f>IFERROR(_xlfn.PERCENTRANK.INC(Table2111216420[True Rank],_xlfn.XLOOKUP(Table1624[[#This Row],[Name]],Table2111216420[Name],Table2111216420[True Rank],"DNP",0,1)),"DNP")</f>
        <v>DNP</v>
      </c>
      <c r="L363" s="26" t="str">
        <f>IFERROR(_xlfn.PERCENTRANK.INC(Table211121642021[True Rank],_xlfn.XLOOKUP(Table1624[[#This Row],[Name]],Table211121642021[Name],Table211121642021[True Rank],"DNP",0,1)),"DNP")</f>
        <v>DNP</v>
      </c>
      <c r="M363" s="26" t="str">
        <f>IFERROR(_xlfn.PERCENTRANK.INC(Table21112164202122[True Rank],_xlfn.XLOOKUP(Table1624[[#This Row],[Name]],Table21112164202122[Name],Table21112164202122[True Rank],"DNP",0,1)),"DNP")</f>
        <v>DNP</v>
      </c>
      <c r="N363" s="26" t="str">
        <f>IFERROR(_xlfn.PERCENTRANK.INC(Table2111216420212223[True Rank],_xlfn.XLOOKUP(Table1624[[#This Row],[Name]],Table2111216420212223[Name],Table2111216420212223[True Rank],"DNP",0,1)),"DNP")</f>
        <v>DNP</v>
      </c>
      <c r="O363" s="26" t="str">
        <f>IFERROR(_xlfn.PERCENTRANK.INC(Table211121642021222325[True Rank],_xlfn.XLOOKUP(Table1624[[#This Row],[Name]],Table211121642021222325[Name],Table211121642021222325[True Rank],"DNP",0,1)),"DNP")</f>
        <v>DNP</v>
      </c>
      <c r="P363" s="26" t="str">
        <f>IFERROR(_xlfn.PERCENTRANK.INC(Table21112164202122232534[True Rank],_xlfn.XLOOKUP(Table1624[[#This Row],[Name]],Table21112164202122232534[Name],Table21112164202122232534[True Rank],"DNP",0,1)),"DNP")</f>
        <v>DNP</v>
      </c>
      <c r="Q36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 spans="2:33">
      <c r="B364" t="str">
        <f>IFERROR(Table5[[#This Row],[Full name]],"")</f>
        <v/>
      </c>
      <c r="C364" s="108" t="str">
        <f>IFERROR(AVERAGE(Table1624[[#This Row],[September 30, 2025]:[Column18]]),"N/A")</f>
        <v>N/A</v>
      </c>
      <c r="D364" s="26" t="str">
        <f>IFERROR(_xlfn.PERCENTRANK.INC(Table4[True Rank],_xlfn.XLOOKUP(Table1624[[#This Row],[Name]],Table4[Name],Table4[True Rank],"DNP",0,1)),"DNP")</f>
        <v>DNP</v>
      </c>
      <c r="E364" s="26" t="str">
        <f>IFERROR(_xlfn.PERCENTRANK.INC(Table9[True Rank],_xlfn.XLOOKUP(Table1624[[#This Row],[Name]],Table9[Name],Table9[True Rank],"DNP",0,1)),"DNP")</f>
        <v>DNP</v>
      </c>
      <c r="F364" s="26" t="str">
        <f>IFERROR(_xlfn.PERCENTRANK.INC(Table18[True Rank],_xlfn.XLOOKUP(Table1624[[#This Row],[Name]],Table18[Name],Table18[True Rank],"DNP",0,1)),"DNP")</f>
        <v>DNP</v>
      </c>
      <c r="G364" s="26" t="str">
        <f>IFERROR(_xlfn.PERCENTRANK.INC(Table2[True Rank],_xlfn.XLOOKUP(Table1624[[#This Row],[Name]],Table2[Name],Table2[True Rank],"DNP",0,1)),"DNP")</f>
        <v>DNP</v>
      </c>
      <c r="H364" s="26" t="str">
        <f>IFERROR(_xlfn.PERCENTRANK.INC(Table211[True Rank],_xlfn.XLOOKUP(Table1624[[#This Row],[Name]],Table211[Name],Table211[True Rank],"DNP",0,1)),"DNP")</f>
        <v>DNP</v>
      </c>
      <c r="I364" s="26" t="str">
        <f>IFERROR(_xlfn.PERCENTRANK.INC(Table21112[True Rank],_xlfn.XLOOKUP(Table1624[[#This Row],[Name]],Table21112[Name],Table21112[True Rank],"DNP",0,1)),"DNP")</f>
        <v>DNP</v>
      </c>
      <c r="J364" s="26" t="str">
        <f>IFERROR(_xlfn.PERCENTRANK.INC(Table21112164[True Rank],_xlfn.XLOOKUP(Table1624[[#This Row],[Name]],Table21112164[Name],Table21112164[True Rank],"DNP",0,1)),"DNP")</f>
        <v>DNP</v>
      </c>
      <c r="K364" s="26" t="str">
        <f>IFERROR(_xlfn.PERCENTRANK.INC(Table2111216420[True Rank],_xlfn.XLOOKUP(Table1624[[#This Row],[Name]],Table2111216420[Name],Table2111216420[True Rank],"DNP",0,1)),"DNP")</f>
        <v>DNP</v>
      </c>
      <c r="L364" s="26" t="str">
        <f>IFERROR(_xlfn.PERCENTRANK.INC(Table211121642021[True Rank],_xlfn.XLOOKUP(Table1624[[#This Row],[Name]],Table211121642021[Name],Table211121642021[True Rank],"DNP",0,1)),"DNP")</f>
        <v>DNP</v>
      </c>
      <c r="M364" s="26" t="str">
        <f>IFERROR(_xlfn.PERCENTRANK.INC(Table21112164202122[True Rank],_xlfn.XLOOKUP(Table1624[[#This Row],[Name]],Table21112164202122[Name],Table21112164202122[True Rank],"DNP",0,1)),"DNP")</f>
        <v>DNP</v>
      </c>
      <c r="N364" s="26" t="str">
        <f>IFERROR(_xlfn.PERCENTRANK.INC(Table2111216420212223[True Rank],_xlfn.XLOOKUP(Table1624[[#This Row],[Name]],Table2111216420212223[Name],Table2111216420212223[True Rank],"DNP",0,1)),"DNP")</f>
        <v>DNP</v>
      </c>
      <c r="O364" s="26" t="str">
        <f>IFERROR(_xlfn.PERCENTRANK.INC(Table211121642021222325[True Rank],_xlfn.XLOOKUP(Table1624[[#This Row],[Name]],Table211121642021222325[Name],Table211121642021222325[True Rank],"DNP",0,1)),"DNP")</f>
        <v>DNP</v>
      </c>
      <c r="P364" s="26" t="str">
        <f>IFERROR(_xlfn.PERCENTRANK.INC(Table21112164202122232534[True Rank],_xlfn.XLOOKUP(Table1624[[#This Row],[Name]],Table21112164202122232534[Name],Table21112164202122232534[True Rank],"DNP",0,1)),"DNP")</f>
        <v>DNP</v>
      </c>
      <c r="Q36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 spans="2:33">
      <c r="B365" t="str">
        <f>IFERROR(Table5[[#This Row],[Full name]],"")</f>
        <v/>
      </c>
      <c r="C365" s="108" t="str">
        <f>IFERROR(AVERAGE(Table1624[[#This Row],[September 30, 2025]:[Column18]]),"N/A")</f>
        <v>N/A</v>
      </c>
      <c r="D365" s="26" t="str">
        <f>IFERROR(_xlfn.PERCENTRANK.INC(Table4[True Rank],_xlfn.XLOOKUP(Table1624[[#This Row],[Name]],Table4[Name],Table4[True Rank],"DNP",0,1)),"DNP")</f>
        <v>DNP</v>
      </c>
      <c r="E365" s="26" t="str">
        <f>IFERROR(_xlfn.PERCENTRANK.INC(Table9[True Rank],_xlfn.XLOOKUP(Table1624[[#This Row],[Name]],Table9[Name],Table9[True Rank],"DNP",0,1)),"DNP")</f>
        <v>DNP</v>
      </c>
      <c r="F365" s="26" t="str">
        <f>IFERROR(_xlfn.PERCENTRANK.INC(Table18[True Rank],_xlfn.XLOOKUP(Table1624[[#This Row],[Name]],Table18[Name],Table18[True Rank],"DNP",0,1)),"DNP")</f>
        <v>DNP</v>
      </c>
      <c r="G365" s="26" t="str">
        <f>IFERROR(_xlfn.PERCENTRANK.INC(Table2[True Rank],_xlfn.XLOOKUP(Table1624[[#This Row],[Name]],Table2[Name],Table2[True Rank],"DNP",0,1)),"DNP")</f>
        <v>DNP</v>
      </c>
      <c r="H365" s="26" t="str">
        <f>IFERROR(_xlfn.PERCENTRANK.INC(Table211[True Rank],_xlfn.XLOOKUP(Table1624[[#This Row],[Name]],Table211[Name],Table211[True Rank],"DNP",0,1)),"DNP")</f>
        <v>DNP</v>
      </c>
      <c r="I365" s="26" t="str">
        <f>IFERROR(_xlfn.PERCENTRANK.INC(Table21112[True Rank],_xlfn.XLOOKUP(Table1624[[#This Row],[Name]],Table21112[Name],Table21112[True Rank],"DNP",0,1)),"DNP")</f>
        <v>DNP</v>
      </c>
      <c r="J365" s="26" t="str">
        <f>IFERROR(_xlfn.PERCENTRANK.INC(Table21112164[True Rank],_xlfn.XLOOKUP(Table1624[[#This Row],[Name]],Table21112164[Name],Table21112164[True Rank],"DNP",0,1)),"DNP")</f>
        <v>DNP</v>
      </c>
      <c r="K365" s="26" t="str">
        <f>IFERROR(_xlfn.PERCENTRANK.INC(Table2111216420[True Rank],_xlfn.XLOOKUP(Table1624[[#This Row],[Name]],Table2111216420[Name],Table2111216420[True Rank],"DNP",0,1)),"DNP")</f>
        <v>DNP</v>
      </c>
      <c r="L365" s="26" t="str">
        <f>IFERROR(_xlfn.PERCENTRANK.INC(Table211121642021[True Rank],_xlfn.XLOOKUP(Table1624[[#This Row],[Name]],Table211121642021[Name],Table211121642021[True Rank],"DNP",0,1)),"DNP")</f>
        <v>DNP</v>
      </c>
      <c r="M365" s="26" t="str">
        <f>IFERROR(_xlfn.PERCENTRANK.INC(Table21112164202122[True Rank],_xlfn.XLOOKUP(Table1624[[#This Row],[Name]],Table21112164202122[Name],Table21112164202122[True Rank],"DNP",0,1)),"DNP")</f>
        <v>DNP</v>
      </c>
      <c r="N365" s="26" t="str">
        <f>IFERROR(_xlfn.PERCENTRANK.INC(Table2111216420212223[True Rank],_xlfn.XLOOKUP(Table1624[[#This Row],[Name]],Table2111216420212223[Name],Table2111216420212223[True Rank],"DNP",0,1)),"DNP")</f>
        <v>DNP</v>
      </c>
      <c r="O365" s="26" t="str">
        <f>IFERROR(_xlfn.PERCENTRANK.INC(Table211121642021222325[True Rank],_xlfn.XLOOKUP(Table1624[[#This Row],[Name]],Table211121642021222325[Name],Table211121642021222325[True Rank],"DNP",0,1)),"DNP")</f>
        <v>DNP</v>
      </c>
      <c r="P365" s="26" t="str">
        <f>IFERROR(_xlfn.PERCENTRANK.INC(Table21112164202122232534[True Rank],_xlfn.XLOOKUP(Table1624[[#This Row],[Name]],Table21112164202122232534[Name],Table21112164202122232534[True Rank],"DNP",0,1)),"DNP")</f>
        <v>DNP</v>
      </c>
      <c r="Q36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 spans="2:33">
      <c r="B366" t="str">
        <f>IFERROR(Table5[[#This Row],[Full name]],"")</f>
        <v/>
      </c>
      <c r="C366" s="108" t="str">
        <f>IFERROR(AVERAGE(Table1624[[#This Row],[September 30, 2025]:[Column18]]),"N/A")</f>
        <v>N/A</v>
      </c>
      <c r="D366" s="26" t="str">
        <f>IFERROR(_xlfn.PERCENTRANK.INC(Table4[True Rank],_xlfn.XLOOKUP(Table1624[[#This Row],[Name]],Table4[Name],Table4[True Rank],"DNP",0,1)),"DNP")</f>
        <v>DNP</v>
      </c>
      <c r="E366" s="26" t="str">
        <f>IFERROR(_xlfn.PERCENTRANK.INC(Table9[True Rank],_xlfn.XLOOKUP(Table1624[[#This Row],[Name]],Table9[Name],Table9[True Rank],"DNP",0,1)),"DNP")</f>
        <v>DNP</v>
      </c>
      <c r="F366" s="26" t="str">
        <f>IFERROR(_xlfn.PERCENTRANK.INC(Table18[True Rank],_xlfn.XLOOKUP(Table1624[[#This Row],[Name]],Table18[Name],Table18[True Rank],"DNP",0,1)),"DNP")</f>
        <v>DNP</v>
      </c>
      <c r="G366" s="26" t="str">
        <f>IFERROR(_xlfn.PERCENTRANK.INC(Table2[True Rank],_xlfn.XLOOKUP(Table1624[[#This Row],[Name]],Table2[Name],Table2[True Rank],"DNP",0,1)),"DNP")</f>
        <v>DNP</v>
      </c>
      <c r="H366" s="26" t="str">
        <f>IFERROR(_xlfn.PERCENTRANK.INC(Table211[True Rank],_xlfn.XLOOKUP(Table1624[[#This Row],[Name]],Table211[Name],Table211[True Rank],"DNP",0,1)),"DNP")</f>
        <v>DNP</v>
      </c>
      <c r="I366" s="26" t="str">
        <f>IFERROR(_xlfn.PERCENTRANK.INC(Table21112[True Rank],_xlfn.XLOOKUP(Table1624[[#This Row],[Name]],Table21112[Name],Table21112[True Rank],"DNP",0,1)),"DNP")</f>
        <v>DNP</v>
      </c>
      <c r="J366" s="26" t="str">
        <f>IFERROR(_xlfn.PERCENTRANK.INC(Table21112164[True Rank],_xlfn.XLOOKUP(Table1624[[#This Row],[Name]],Table21112164[Name],Table21112164[True Rank],"DNP",0,1)),"DNP")</f>
        <v>DNP</v>
      </c>
      <c r="K366" s="26" t="str">
        <f>IFERROR(_xlfn.PERCENTRANK.INC(Table2111216420[True Rank],_xlfn.XLOOKUP(Table1624[[#This Row],[Name]],Table2111216420[Name],Table2111216420[True Rank],"DNP",0,1)),"DNP")</f>
        <v>DNP</v>
      </c>
      <c r="L366" s="26" t="str">
        <f>IFERROR(_xlfn.PERCENTRANK.INC(Table211121642021[True Rank],_xlfn.XLOOKUP(Table1624[[#This Row],[Name]],Table211121642021[Name],Table211121642021[True Rank],"DNP",0,1)),"DNP")</f>
        <v>DNP</v>
      </c>
      <c r="M366" s="26" t="str">
        <f>IFERROR(_xlfn.PERCENTRANK.INC(Table21112164202122[True Rank],_xlfn.XLOOKUP(Table1624[[#This Row],[Name]],Table21112164202122[Name],Table21112164202122[True Rank],"DNP",0,1)),"DNP")</f>
        <v>DNP</v>
      </c>
      <c r="N366" s="26" t="str">
        <f>IFERROR(_xlfn.PERCENTRANK.INC(Table2111216420212223[True Rank],_xlfn.XLOOKUP(Table1624[[#This Row],[Name]],Table2111216420212223[Name],Table2111216420212223[True Rank],"DNP",0,1)),"DNP")</f>
        <v>DNP</v>
      </c>
      <c r="O366" s="26" t="str">
        <f>IFERROR(_xlfn.PERCENTRANK.INC(Table211121642021222325[True Rank],_xlfn.XLOOKUP(Table1624[[#This Row],[Name]],Table211121642021222325[Name],Table211121642021222325[True Rank],"DNP",0,1)),"DNP")</f>
        <v>DNP</v>
      </c>
      <c r="P366" s="26" t="str">
        <f>IFERROR(_xlfn.PERCENTRANK.INC(Table21112164202122232534[True Rank],_xlfn.XLOOKUP(Table1624[[#This Row],[Name]],Table21112164202122232534[Name],Table21112164202122232534[True Rank],"DNP",0,1)),"DNP")</f>
        <v>DNP</v>
      </c>
      <c r="Q36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 spans="2:33">
      <c r="B367" t="str">
        <f>IFERROR(Table5[[#This Row],[Full name]],"")</f>
        <v/>
      </c>
      <c r="C367" s="108" t="str">
        <f>IFERROR(AVERAGE(Table1624[[#This Row],[September 30, 2025]:[Column18]]),"N/A")</f>
        <v>N/A</v>
      </c>
      <c r="D367" s="26" t="str">
        <f>IFERROR(_xlfn.PERCENTRANK.INC(Table4[True Rank],_xlfn.XLOOKUP(Table1624[[#This Row],[Name]],Table4[Name],Table4[True Rank],"DNP",0,1)),"DNP")</f>
        <v>DNP</v>
      </c>
      <c r="E367" s="26" t="str">
        <f>IFERROR(_xlfn.PERCENTRANK.INC(Table9[True Rank],_xlfn.XLOOKUP(Table1624[[#This Row],[Name]],Table9[Name],Table9[True Rank],"DNP",0,1)),"DNP")</f>
        <v>DNP</v>
      </c>
      <c r="F367" s="26" t="str">
        <f>IFERROR(_xlfn.PERCENTRANK.INC(Table18[True Rank],_xlfn.XLOOKUP(Table1624[[#This Row],[Name]],Table18[Name],Table18[True Rank],"DNP",0,1)),"DNP")</f>
        <v>DNP</v>
      </c>
      <c r="G367" s="26" t="str">
        <f>IFERROR(_xlfn.PERCENTRANK.INC(Table2[True Rank],_xlfn.XLOOKUP(Table1624[[#This Row],[Name]],Table2[Name],Table2[True Rank],"DNP",0,1)),"DNP")</f>
        <v>DNP</v>
      </c>
      <c r="H367" s="26" t="str">
        <f>IFERROR(_xlfn.PERCENTRANK.INC(Table211[True Rank],_xlfn.XLOOKUP(Table1624[[#This Row],[Name]],Table211[Name],Table211[True Rank],"DNP",0,1)),"DNP")</f>
        <v>DNP</v>
      </c>
      <c r="I367" s="26" t="str">
        <f>IFERROR(_xlfn.PERCENTRANK.INC(Table21112[True Rank],_xlfn.XLOOKUP(Table1624[[#This Row],[Name]],Table21112[Name],Table21112[True Rank],"DNP",0,1)),"DNP")</f>
        <v>DNP</v>
      </c>
      <c r="J367" s="26" t="str">
        <f>IFERROR(_xlfn.PERCENTRANK.INC(Table21112164[True Rank],_xlfn.XLOOKUP(Table1624[[#This Row],[Name]],Table21112164[Name],Table21112164[True Rank],"DNP",0,1)),"DNP")</f>
        <v>DNP</v>
      </c>
      <c r="K367" s="26" t="str">
        <f>IFERROR(_xlfn.PERCENTRANK.INC(Table2111216420[True Rank],_xlfn.XLOOKUP(Table1624[[#This Row],[Name]],Table2111216420[Name],Table2111216420[True Rank],"DNP",0,1)),"DNP")</f>
        <v>DNP</v>
      </c>
      <c r="L367" s="26" t="str">
        <f>IFERROR(_xlfn.PERCENTRANK.INC(Table211121642021[True Rank],_xlfn.XLOOKUP(Table1624[[#This Row],[Name]],Table211121642021[Name],Table211121642021[True Rank],"DNP",0,1)),"DNP")</f>
        <v>DNP</v>
      </c>
      <c r="M367" s="26" t="str">
        <f>IFERROR(_xlfn.PERCENTRANK.INC(Table21112164202122[True Rank],_xlfn.XLOOKUP(Table1624[[#This Row],[Name]],Table21112164202122[Name],Table21112164202122[True Rank],"DNP",0,1)),"DNP")</f>
        <v>DNP</v>
      </c>
      <c r="N367" s="26" t="str">
        <f>IFERROR(_xlfn.PERCENTRANK.INC(Table2111216420212223[True Rank],_xlfn.XLOOKUP(Table1624[[#This Row],[Name]],Table2111216420212223[Name],Table2111216420212223[True Rank],"DNP",0,1)),"DNP")</f>
        <v>DNP</v>
      </c>
      <c r="O367" s="26" t="str">
        <f>IFERROR(_xlfn.PERCENTRANK.INC(Table211121642021222325[True Rank],_xlfn.XLOOKUP(Table1624[[#This Row],[Name]],Table211121642021222325[Name],Table211121642021222325[True Rank],"DNP",0,1)),"DNP")</f>
        <v>DNP</v>
      </c>
      <c r="P367" s="26" t="str">
        <f>IFERROR(_xlfn.PERCENTRANK.INC(Table21112164202122232534[True Rank],_xlfn.XLOOKUP(Table1624[[#This Row],[Name]],Table21112164202122232534[Name],Table21112164202122232534[True Rank],"DNP",0,1)),"DNP")</f>
        <v>DNP</v>
      </c>
      <c r="Q36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 spans="2:33">
      <c r="B368" t="str">
        <f>IFERROR(Table5[[#This Row],[Full name]],"")</f>
        <v/>
      </c>
      <c r="C368" s="108" t="str">
        <f>IFERROR(AVERAGE(Table1624[[#This Row],[September 30, 2025]:[Column18]]),"N/A")</f>
        <v>N/A</v>
      </c>
      <c r="D368" s="26" t="str">
        <f>IFERROR(_xlfn.PERCENTRANK.INC(Table4[True Rank],_xlfn.XLOOKUP(Table1624[[#This Row],[Name]],Table4[Name],Table4[True Rank],"DNP",0,1)),"DNP")</f>
        <v>DNP</v>
      </c>
      <c r="E368" s="26" t="str">
        <f>IFERROR(_xlfn.PERCENTRANK.INC(Table9[True Rank],_xlfn.XLOOKUP(Table1624[[#This Row],[Name]],Table9[Name],Table9[True Rank],"DNP",0,1)),"DNP")</f>
        <v>DNP</v>
      </c>
      <c r="F368" s="26" t="str">
        <f>IFERROR(_xlfn.PERCENTRANK.INC(Table18[True Rank],_xlfn.XLOOKUP(Table1624[[#This Row],[Name]],Table18[Name],Table18[True Rank],"DNP",0,1)),"DNP")</f>
        <v>DNP</v>
      </c>
      <c r="G368" s="26" t="str">
        <f>IFERROR(_xlfn.PERCENTRANK.INC(Table2[True Rank],_xlfn.XLOOKUP(Table1624[[#This Row],[Name]],Table2[Name],Table2[True Rank],"DNP",0,1)),"DNP")</f>
        <v>DNP</v>
      </c>
      <c r="H368" s="26" t="str">
        <f>IFERROR(_xlfn.PERCENTRANK.INC(Table211[True Rank],_xlfn.XLOOKUP(Table1624[[#This Row],[Name]],Table211[Name],Table211[True Rank],"DNP",0,1)),"DNP")</f>
        <v>DNP</v>
      </c>
      <c r="I368" s="26" t="str">
        <f>IFERROR(_xlfn.PERCENTRANK.INC(Table21112[True Rank],_xlfn.XLOOKUP(Table1624[[#This Row],[Name]],Table21112[Name],Table21112[True Rank],"DNP",0,1)),"DNP")</f>
        <v>DNP</v>
      </c>
      <c r="J368" s="26" t="str">
        <f>IFERROR(_xlfn.PERCENTRANK.INC(Table21112164[True Rank],_xlfn.XLOOKUP(Table1624[[#This Row],[Name]],Table21112164[Name],Table21112164[True Rank],"DNP",0,1)),"DNP")</f>
        <v>DNP</v>
      </c>
      <c r="K368" s="26" t="str">
        <f>IFERROR(_xlfn.PERCENTRANK.INC(Table2111216420[True Rank],_xlfn.XLOOKUP(Table1624[[#This Row],[Name]],Table2111216420[Name],Table2111216420[True Rank],"DNP",0,1)),"DNP")</f>
        <v>DNP</v>
      </c>
      <c r="L368" s="26" t="str">
        <f>IFERROR(_xlfn.PERCENTRANK.INC(Table211121642021[True Rank],_xlfn.XLOOKUP(Table1624[[#This Row],[Name]],Table211121642021[Name],Table211121642021[True Rank],"DNP",0,1)),"DNP")</f>
        <v>DNP</v>
      </c>
      <c r="M368" s="26" t="str">
        <f>IFERROR(_xlfn.PERCENTRANK.INC(Table21112164202122[True Rank],_xlfn.XLOOKUP(Table1624[[#This Row],[Name]],Table21112164202122[Name],Table21112164202122[True Rank],"DNP",0,1)),"DNP")</f>
        <v>DNP</v>
      </c>
      <c r="N368" s="26" t="str">
        <f>IFERROR(_xlfn.PERCENTRANK.INC(Table2111216420212223[True Rank],_xlfn.XLOOKUP(Table1624[[#This Row],[Name]],Table2111216420212223[Name],Table2111216420212223[True Rank],"DNP",0,1)),"DNP")</f>
        <v>DNP</v>
      </c>
      <c r="O368" s="26" t="str">
        <f>IFERROR(_xlfn.PERCENTRANK.INC(Table211121642021222325[True Rank],_xlfn.XLOOKUP(Table1624[[#This Row],[Name]],Table211121642021222325[Name],Table211121642021222325[True Rank],"DNP",0,1)),"DNP")</f>
        <v>DNP</v>
      </c>
      <c r="P368" s="26" t="str">
        <f>IFERROR(_xlfn.PERCENTRANK.INC(Table21112164202122232534[True Rank],_xlfn.XLOOKUP(Table1624[[#This Row],[Name]],Table21112164202122232534[Name],Table21112164202122232534[True Rank],"DNP",0,1)),"DNP")</f>
        <v>DNP</v>
      </c>
      <c r="Q36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 spans="2:33">
      <c r="B369" t="str">
        <f>IFERROR(Table5[[#This Row],[Full name]],"")</f>
        <v/>
      </c>
      <c r="C369" s="108" t="str">
        <f>IFERROR(AVERAGE(Table1624[[#This Row],[September 30, 2025]:[Column18]]),"N/A")</f>
        <v>N/A</v>
      </c>
      <c r="D369" s="26" t="str">
        <f>IFERROR(_xlfn.PERCENTRANK.INC(Table4[True Rank],_xlfn.XLOOKUP(Table1624[[#This Row],[Name]],Table4[Name],Table4[True Rank],"DNP",0,1)),"DNP")</f>
        <v>DNP</v>
      </c>
      <c r="E369" s="26" t="str">
        <f>IFERROR(_xlfn.PERCENTRANK.INC(Table9[True Rank],_xlfn.XLOOKUP(Table1624[[#This Row],[Name]],Table9[Name],Table9[True Rank],"DNP",0,1)),"DNP")</f>
        <v>DNP</v>
      </c>
      <c r="F369" s="26" t="str">
        <f>IFERROR(_xlfn.PERCENTRANK.INC(Table18[True Rank],_xlfn.XLOOKUP(Table1624[[#This Row],[Name]],Table18[Name],Table18[True Rank],"DNP",0,1)),"DNP")</f>
        <v>DNP</v>
      </c>
      <c r="G369" s="26" t="str">
        <f>IFERROR(_xlfn.PERCENTRANK.INC(Table2[True Rank],_xlfn.XLOOKUP(Table1624[[#This Row],[Name]],Table2[Name],Table2[True Rank],"DNP",0,1)),"DNP")</f>
        <v>DNP</v>
      </c>
      <c r="H369" s="26" t="str">
        <f>IFERROR(_xlfn.PERCENTRANK.INC(Table211[True Rank],_xlfn.XLOOKUP(Table1624[[#This Row],[Name]],Table211[Name],Table211[True Rank],"DNP",0,1)),"DNP")</f>
        <v>DNP</v>
      </c>
      <c r="I369" s="26" t="str">
        <f>IFERROR(_xlfn.PERCENTRANK.INC(Table21112[True Rank],_xlfn.XLOOKUP(Table1624[[#This Row],[Name]],Table21112[Name],Table21112[True Rank],"DNP",0,1)),"DNP")</f>
        <v>DNP</v>
      </c>
      <c r="J369" s="26" t="str">
        <f>IFERROR(_xlfn.PERCENTRANK.INC(Table21112164[True Rank],_xlfn.XLOOKUP(Table1624[[#This Row],[Name]],Table21112164[Name],Table21112164[True Rank],"DNP",0,1)),"DNP")</f>
        <v>DNP</v>
      </c>
      <c r="K369" s="26" t="str">
        <f>IFERROR(_xlfn.PERCENTRANK.INC(Table2111216420[True Rank],_xlfn.XLOOKUP(Table1624[[#This Row],[Name]],Table2111216420[Name],Table2111216420[True Rank],"DNP",0,1)),"DNP")</f>
        <v>DNP</v>
      </c>
      <c r="L369" s="26" t="str">
        <f>IFERROR(_xlfn.PERCENTRANK.INC(Table211121642021[True Rank],_xlfn.XLOOKUP(Table1624[[#This Row],[Name]],Table211121642021[Name],Table211121642021[True Rank],"DNP",0,1)),"DNP")</f>
        <v>DNP</v>
      </c>
      <c r="M369" s="26" t="str">
        <f>IFERROR(_xlfn.PERCENTRANK.INC(Table21112164202122[True Rank],_xlfn.XLOOKUP(Table1624[[#This Row],[Name]],Table21112164202122[Name],Table21112164202122[True Rank],"DNP",0,1)),"DNP")</f>
        <v>DNP</v>
      </c>
      <c r="N369" s="26" t="str">
        <f>IFERROR(_xlfn.PERCENTRANK.INC(Table2111216420212223[True Rank],_xlfn.XLOOKUP(Table1624[[#This Row],[Name]],Table2111216420212223[Name],Table2111216420212223[True Rank],"DNP",0,1)),"DNP")</f>
        <v>DNP</v>
      </c>
      <c r="O369" s="26" t="str">
        <f>IFERROR(_xlfn.PERCENTRANK.INC(Table211121642021222325[True Rank],_xlfn.XLOOKUP(Table1624[[#This Row],[Name]],Table211121642021222325[Name],Table211121642021222325[True Rank],"DNP",0,1)),"DNP")</f>
        <v>DNP</v>
      </c>
      <c r="P369" s="26" t="str">
        <f>IFERROR(_xlfn.PERCENTRANK.INC(Table21112164202122232534[True Rank],_xlfn.XLOOKUP(Table1624[[#This Row],[Name]],Table21112164202122232534[Name],Table21112164202122232534[True Rank],"DNP",0,1)),"DNP")</f>
        <v>DNP</v>
      </c>
      <c r="Q36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6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6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6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 spans="2:33">
      <c r="B370" t="str">
        <f>IFERROR(Table5[[#This Row],[Full name]],"")</f>
        <v/>
      </c>
      <c r="C370" s="108" t="str">
        <f>IFERROR(AVERAGE(Table1624[[#This Row],[September 30, 2025]:[Column18]]),"N/A")</f>
        <v>N/A</v>
      </c>
      <c r="D370" s="26" t="str">
        <f>IFERROR(_xlfn.PERCENTRANK.INC(Table4[True Rank],_xlfn.XLOOKUP(Table1624[[#This Row],[Name]],Table4[Name],Table4[True Rank],"DNP",0,1)),"DNP")</f>
        <v>DNP</v>
      </c>
      <c r="E370" s="26" t="str">
        <f>IFERROR(_xlfn.PERCENTRANK.INC(Table9[True Rank],_xlfn.XLOOKUP(Table1624[[#This Row],[Name]],Table9[Name],Table9[True Rank],"DNP",0,1)),"DNP")</f>
        <v>DNP</v>
      </c>
      <c r="F370" s="26" t="str">
        <f>IFERROR(_xlfn.PERCENTRANK.INC(Table18[True Rank],_xlfn.XLOOKUP(Table1624[[#This Row],[Name]],Table18[Name],Table18[True Rank],"DNP",0,1)),"DNP")</f>
        <v>DNP</v>
      </c>
      <c r="G370" s="26" t="str">
        <f>IFERROR(_xlfn.PERCENTRANK.INC(Table2[True Rank],_xlfn.XLOOKUP(Table1624[[#This Row],[Name]],Table2[Name],Table2[True Rank],"DNP",0,1)),"DNP")</f>
        <v>DNP</v>
      </c>
      <c r="H370" s="26" t="str">
        <f>IFERROR(_xlfn.PERCENTRANK.INC(Table211[True Rank],_xlfn.XLOOKUP(Table1624[[#This Row],[Name]],Table211[Name],Table211[True Rank],"DNP",0,1)),"DNP")</f>
        <v>DNP</v>
      </c>
      <c r="I370" s="26" t="str">
        <f>IFERROR(_xlfn.PERCENTRANK.INC(Table21112[True Rank],_xlfn.XLOOKUP(Table1624[[#This Row],[Name]],Table21112[Name],Table21112[True Rank],"DNP",0,1)),"DNP")</f>
        <v>DNP</v>
      </c>
      <c r="J370" s="26" t="str">
        <f>IFERROR(_xlfn.PERCENTRANK.INC(Table21112164[True Rank],_xlfn.XLOOKUP(Table1624[[#This Row],[Name]],Table21112164[Name],Table21112164[True Rank],"DNP",0,1)),"DNP")</f>
        <v>DNP</v>
      </c>
      <c r="K370" s="26" t="str">
        <f>IFERROR(_xlfn.PERCENTRANK.INC(Table2111216420[True Rank],_xlfn.XLOOKUP(Table1624[[#This Row],[Name]],Table2111216420[Name],Table2111216420[True Rank],"DNP",0,1)),"DNP")</f>
        <v>DNP</v>
      </c>
      <c r="L370" s="26" t="str">
        <f>IFERROR(_xlfn.PERCENTRANK.INC(Table211121642021[True Rank],_xlfn.XLOOKUP(Table1624[[#This Row],[Name]],Table211121642021[Name],Table211121642021[True Rank],"DNP",0,1)),"DNP")</f>
        <v>DNP</v>
      </c>
      <c r="M370" s="26" t="str">
        <f>IFERROR(_xlfn.PERCENTRANK.INC(Table21112164202122[True Rank],_xlfn.XLOOKUP(Table1624[[#This Row],[Name]],Table21112164202122[Name],Table21112164202122[True Rank],"DNP",0,1)),"DNP")</f>
        <v>DNP</v>
      </c>
      <c r="N370" s="26" t="str">
        <f>IFERROR(_xlfn.PERCENTRANK.INC(Table2111216420212223[True Rank],_xlfn.XLOOKUP(Table1624[[#This Row],[Name]],Table2111216420212223[Name],Table2111216420212223[True Rank],"DNP",0,1)),"DNP")</f>
        <v>DNP</v>
      </c>
      <c r="O370" s="26" t="str">
        <f>IFERROR(_xlfn.PERCENTRANK.INC(Table211121642021222325[True Rank],_xlfn.XLOOKUP(Table1624[[#This Row],[Name]],Table211121642021222325[Name],Table211121642021222325[True Rank],"DNP",0,1)),"DNP")</f>
        <v>DNP</v>
      </c>
      <c r="P370" s="26" t="str">
        <f>IFERROR(_xlfn.PERCENTRANK.INC(Table21112164202122232534[True Rank],_xlfn.XLOOKUP(Table1624[[#This Row],[Name]],Table21112164202122232534[Name],Table21112164202122232534[True Rank],"DNP",0,1)),"DNP")</f>
        <v>DNP</v>
      </c>
      <c r="Q37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 spans="2:33">
      <c r="B371" t="str">
        <f>IFERROR(Table5[[#This Row],[Full name]],"")</f>
        <v/>
      </c>
      <c r="C371" s="108" t="str">
        <f>IFERROR(AVERAGE(Table1624[[#This Row],[September 30, 2025]:[Column18]]),"N/A")</f>
        <v>N/A</v>
      </c>
      <c r="D371" s="26" t="str">
        <f>IFERROR(_xlfn.PERCENTRANK.INC(Table4[True Rank],_xlfn.XLOOKUP(Table1624[[#This Row],[Name]],Table4[Name],Table4[True Rank],"DNP",0,1)),"DNP")</f>
        <v>DNP</v>
      </c>
      <c r="E371" s="26" t="str">
        <f>IFERROR(_xlfn.PERCENTRANK.INC(Table9[True Rank],_xlfn.XLOOKUP(Table1624[[#This Row],[Name]],Table9[Name],Table9[True Rank],"DNP",0,1)),"DNP")</f>
        <v>DNP</v>
      </c>
      <c r="F371" s="26" t="str">
        <f>IFERROR(_xlfn.PERCENTRANK.INC(Table18[True Rank],_xlfn.XLOOKUP(Table1624[[#This Row],[Name]],Table18[Name],Table18[True Rank],"DNP",0,1)),"DNP")</f>
        <v>DNP</v>
      </c>
      <c r="G371" s="26" t="str">
        <f>IFERROR(_xlfn.PERCENTRANK.INC(Table2[True Rank],_xlfn.XLOOKUP(Table1624[[#This Row],[Name]],Table2[Name],Table2[True Rank],"DNP",0,1)),"DNP")</f>
        <v>DNP</v>
      </c>
      <c r="H371" s="26" t="str">
        <f>IFERROR(_xlfn.PERCENTRANK.INC(Table211[True Rank],_xlfn.XLOOKUP(Table1624[[#This Row],[Name]],Table211[Name],Table211[True Rank],"DNP",0,1)),"DNP")</f>
        <v>DNP</v>
      </c>
      <c r="I371" s="26" t="str">
        <f>IFERROR(_xlfn.PERCENTRANK.INC(Table21112[True Rank],_xlfn.XLOOKUP(Table1624[[#This Row],[Name]],Table21112[Name],Table21112[True Rank],"DNP",0,1)),"DNP")</f>
        <v>DNP</v>
      </c>
      <c r="J371" s="26" t="str">
        <f>IFERROR(_xlfn.PERCENTRANK.INC(Table21112164[True Rank],_xlfn.XLOOKUP(Table1624[[#This Row],[Name]],Table21112164[Name],Table21112164[True Rank],"DNP",0,1)),"DNP")</f>
        <v>DNP</v>
      </c>
      <c r="K371" s="26" t="str">
        <f>IFERROR(_xlfn.PERCENTRANK.INC(Table2111216420[True Rank],_xlfn.XLOOKUP(Table1624[[#This Row],[Name]],Table2111216420[Name],Table2111216420[True Rank],"DNP",0,1)),"DNP")</f>
        <v>DNP</v>
      </c>
      <c r="L371" s="26" t="str">
        <f>IFERROR(_xlfn.PERCENTRANK.INC(Table211121642021[True Rank],_xlfn.XLOOKUP(Table1624[[#This Row],[Name]],Table211121642021[Name],Table211121642021[True Rank],"DNP",0,1)),"DNP")</f>
        <v>DNP</v>
      </c>
      <c r="M371" s="26" t="str">
        <f>IFERROR(_xlfn.PERCENTRANK.INC(Table21112164202122[True Rank],_xlfn.XLOOKUP(Table1624[[#This Row],[Name]],Table21112164202122[Name],Table21112164202122[True Rank],"DNP",0,1)),"DNP")</f>
        <v>DNP</v>
      </c>
      <c r="N371" s="26" t="str">
        <f>IFERROR(_xlfn.PERCENTRANK.INC(Table2111216420212223[True Rank],_xlfn.XLOOKUP(Table1624[[#This Row],[Name]],Table2111216420212223[Name],Table2111216420212223[True Rank],"DNP",0,1)),"DNP")</f>
        <v>DNP</v>
      </c>
      <c r="O371" s="26" t="str">
        <f>IFERROR(_xlfn.PERCENTRANK.INC(Table211121642021222325[True Rank],_xlfn.XLOOKUP(Table1624[[#This Row],[Name]],Table211121642021222325[Name],Table211121642021222325[True Rank],"DNP",0,1)),"DNP")</f>
        <v>DNP</v>
      </c>
      <c r="P371" s="26" t="str">
        <f>IFERROR(_xlfn.PERCENTRANK.INC(Table21112164202122232534[True Rank],_xlfn.XLOOKUP(Table1624[[#This Row],[Name]],Table21112164202122232534[Name],Table21112164202122232534[True Rank],"DNP",0,1)),"DNP")</f>
        <v>DNP</v>
      </c>
      <c r="Q37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 spans="2:33">
      <c r="B372" t="str">
        <f>IFERROR(Table5[[#This Row],[Full name]],"")</f>
        <v/>
      </c>
      <c r="C372" s="108" t="str">
        <f>IFERROR(AVERAGE(Table1624[[#This Row],[September 30, 2025]:[Column18]]),"N/A")</f>
        <v>N/A</v>
      </c>
      <c r="D372" s="26" t="str">
        <f>IFERROR(_xlfn.PERCENTRANK.INC(Table4[True Rank],_xlfn.XLOOKUP(Table1624[[#This Row],[Name]],Table4[Name],Table4[True Rank],"DNP",0,1)),"DNP")</f>
        <v>DNP</v>
      </c>
      <c r="E372" s="26" t="str">
        <f>IFERROR(_xlfn.PERCENTRANK.INC(Table9[True Rank],_xlfn.XLOOKUP(Table1624[[#This Row],[Name]],Table9[Name],Table9[True Rank],"DNP",0,1)),"DNP")</f>
        <v>DNP</v>
      </c>
      <c r="F372" s="26" t="str">
        <f>IFERROR(_xlfn.PERCENTRANK.INC(Table18[True Rank],_xlfn.XLOOKUP(Table1624[[#This Row],[Name]],Table18[Name],Table18[True Rank],"DNP",0,1)),"DNP")</f>
        <v>DNP</v>
      </c>
      <c r="G372" s="26" t="str">
        <f>IFERROR(_xlfn.PERCENTRANK.INC(Table2[True Rank],_xlfn.XLOOKUP(Table1624[[#This Row],[Name]],Table2[Name],Table2[True Rank],"DNP",0,1)),"DNP")</f>
        <v>DNP</v>
      </c>
      <c r="H372" s="26" t="str">
        <f>IFERROR(_xlfn.PERCENTRANK.INC(Table211[True Rank],_xlfn.XLOOKUP(Table1624[[#This Row],[Name]],Table211[Name],Table211[True Rank],"DNP",0,1)),"DNP")</f>
        <v>DNP</v>
      </c>
      <c r="I372" s="26" t="str">
        <f>IFERROR(_xlfn.PERCENTRANK.INC(Table21112[True Rank],_xlfn.XLOOKUP(Table1624[[#This Row],[Name]],Table21112[Name],Table21112[True Rank],"DNP",0,1)),"DNP")</f>
        <v>DNP</v>
      </c>
      <c r="J372" s="26" t="str">
        <f>IFERROR(_xlfn.PERCENTRANK.INC(Table21112164[True Rank],_xlfn.XLOOKUP(Table1624[[#This Row],[Name]],Table21112164[Name],Table21112164[True Rank],"DNP",0,1)),"DNP")</f>
        <v>DNP</v>
      </c>
      <c r="K372" s="26" t="str">
        <f>IFERROR(_xlfn.PERCENTRANK.INC(Table2111216420[True Rank],_xlfn.XLOOKUP(Table1624[[#This Row],[Name]],Table2111216420[Name],Table2111216420[True Rank],"DNP",0,1)),"DNP")</f>
        <v>DNP</v>
      </c>
      <c r="L372" s="26" t="str">
        <f>IFERROR(_xlfn.PERCENTRANK.INC(Table211121642021[True Rank],_xlfn.XLOOKUP(Table1624[[#This Row],[Name]],Table211121642021[Name],Table211121642021[True Rank],"DNP",0,1)),"DNP")</f>
        <v>DNP</v>
      </c>
      <c r="M372" s="26" t="str">
        <f>IFERROR(_xlfn.PERCENTRANK.INC(Table21112164202122[True Rank],_xlfn.XLOOKUP(Table1624[[#This Row],[Name]],Table21112164202122[Name],Table21112164202122[True Rank],"DNP",0,1)),"DNP")</f>
        <v>DNP</v>
      </c>
      <c r="N372" s="26" t="str">
        <f>IFERROR(_xlfn.PERCENTRANK.INC(Table2111216420212223[True Rank],_xlfn.XLOOKUP(Table1624[[#This Row],[Name]],Table2111216420212223[Name],Table2111216420212223[True Rank],"DNP",0,1)),"DNP")</f>
        <v>DNP</v>
      </c>
      <c r="O372" s="26" t="str">
        <f>IFERROR(_xlfn.PERCENTRANK.INC(Table211121642021222325[True Rank],_xlfn.XLOOKUP(Table1624[[#This Row],[Name]],Table211121642021222325[Name],Table211121642021222325[True Rank],"DNP",0,1)),"DNP")</f>
        <v>DNP</v>
      </c>
      <c r="P372" s="26" t="str">
        <f>IFERROR(_xlfn.PERCENTRANK.INC(Table21112164202122232534[True Rank],_xlfn.XLOOKUP(Table1624[[#This Row],[Name]],Table21112164202122232534[Name],Table21112164202122232534[True Rank],"DNP",0,1)),"DNP")</f>
        <v>DNP</v>
      </c>
      <c r="Q37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 spans="2:33">
      <c r="B373" t="str">
        <f>IFERROR(Table5[[#This Row],[Full name]],"")</f>
        <v/>
      </c>
      <c r="C373" s="108" t="str">
        <f>IFERROR(AVERAGE(Table1624[[#This Row],[September 30, 2025]:[Column18]]),"N/A")</f>
        <v>N/A</v>
      </c>
      <c r="D373" s="26" t="str">
        <f>IFERROR(_xlfn.PERCENTRANK.INC(Table4[True Rank],_xlfn.XLOOKUP(Table1624[[#This Row],[Name]],Table4[Name],Table4[True Rank],"DNP",0,1)),"DNP")</f>
        <v>DNP</v>
      </c>
      <c r="E373" s="26" t="str">
        <f>IFERROR(_xlfn.PERCENTRANK.INC(Table9[True Rank],_xlfn.XLOOKUP(Table1624[[#This Row],[Name]],Table9[Name],Table9[True Rank],"DNP",0,1)),"DNP")</f>
        <v>DNP</v>
      </c>
      <c r="F373" s="26" t="str">
        <f>IFERROR(_xlfn.PERCENTRANK.INC(Table18[True Rank],_xlfn.XLOOKUP(Table1624[[#This Row],[Name]],Table18[Name],Table18[True Rank],"DNP",0,1)),"DNP")</f>
        <v>DNP</v>
      </c>
      <c r="G373" s="26" t="str">
        <f>IFERROR(_xlfn.PERCENTRANK.INC(Table2[True Rank],_xlfn.XLOOKUP(Table1624[[#This Row],[Name]],Table2[Name],Table2[True Rank],"DNP",0,1)),"DNP")</f>
        <v>DNP</v>
      </c>
      <c r="H373" s="26" t="str">
        <f>IFERROR(_xlfn.PERCENTRANK.INC(Table211[True Rank],_xlfn.XLOOKUP(Table1624[[#This Row],[Name]],Table211[Name],Table211[True Rank],"DNP",0,1)),"DNP")</f>
        <v>DNP</v>
      </c>
      <c r="I373" s="26" t="str">
        <f>IFERROR(_xlfn.PERCENTRANK.INC(Table21112[True Rank],_xlfn.XLOOKUP(Table1624[[#This Row],[Name]],Table21112[Name],Table21112[True Rank],"DNP",0,1)),"DNP")</f>
        <v>DNP</v>
      </c>
      <c r="J373" s="26" t="str">
        <f>IFERROR(_xlfn.PERCENTRANK.INC(Table21112164[True Rank],_xlfn.XLOOKUP(Table1624[[#This Row],[Name]],Table21112164[Name],Table21112164[True Rank],"DNP",0,1)),"DNP")</f>
        <v>DNP</v>
      </c>
      <c r="K373" s="26" t="str">
        <f>IFERROR(_xlfn.PERCENTRANK.INC(Table2111216420[True Rank],_xlfn.XLOOKUP(Table1624[[#This Row],[Name]],Table2111216420[Name],Table2111216420[True Rank],"DNP",0,1)),"DNP")</f>
        <v>DNP</v>
      </c>
      <c r="L373" s="26" t="str">
        <f>IFERROR(_xlfn.PERCENTRANK.INC(Table211121642021[True Rank],_xlfn.XLOOKUP(Table1624[[#This Row],[Name]],Table211121642021[Name],Table211121642021[True Rank],"DNP",0,1)),"DNP")</f>
        <v>DNP</v>
      </c>
      <c r="M373" s="26" t="str">
        <f>IFERROR(_xlfn.PERCENTRANK.INC(Table21112164202122[True Rank],_xlfn.XLOOKUP(Table1624[[#This Row],[Name]],Table21112164202122[Name],Table21112164202122[True Rank],"DNP",0,1)),"DNP")</f>
        <v>DNP</v>
      </c>
      <c r="N373" s="26" t="str">
        <f>IFERROR(_xlfn.PERCENTRANK.INC(Table2111216420212223[True Rank],_xlfn.XLOOKUP(Table1624[[#This Row],[Name]],Table2111216420212223[Name],Table2111216420212223[True Rank],"DNP",0,1)),"DNP")</f>
        <v>DNP</v>
      </c>
      <c r="O373" s="26" t="str">
        <f>IFERROR(_xlfn.PERCENTRANK.INC(Table211121642021222325[True Rank],_xlfn.XLOOKUP(Table1624[[#This Row],[Name]],Table211121642021222325[Name],Table211121642021222325[True Rank],"DNP",0,1)),"DNP")</f>
        <v>DNP</v>
      </c>
      <c r="P373" s="26" t="str">
        <f>IFERROR(_xlfn.PERCENTRANK.INC(Table21112164202122232534[True Rank],_xlfn.XLOOKUP(Table1624[[#This Row],[Name]],Table21112164202122232534[Name],Table21112164202122232534[True Rank],"DNP",0,1)),"DNP")</f>
        <v>DNP</v>
      </c>
      <c r="Q37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 spans="2:33">
      <c r="B374" t="str">
        <f>IFERROR(Table5[[#This Row],[Full name]],"")</f>
        <v/>
      </c>
      <c r="C374" s="108" t="str">
        <f>IFERROR(AVERAGE(Table1624[[#This Row],[September 30, 2025]:[Column18]]),"N/A")</f>
        <v>N/A</v>
      </c>
      <c r="D374" s="26" t="str">
        <f>IFERROR(_xlfn.PERCENTRANK.INC(Table4[True Rank],_xlfn.XLOOKUP(Table1624[[#This Row],[Name]],Table4[Name],Table4[True Rank],"DNP",0,1)),"DNP")</f>
        <v>DNP</v>
      </c>
      <c r="E374" s="26" t="str">
        <f>IFERROR(_xlfn.PERCENTRANK.INC(Table9[True Rank],_xlfn.XLOOKUP(Table1624[[#This Row],[Name]],Table9[Name],Table9[True Rank],"DNP",0,1)),"DNP")</f>
        <v>DNP</v>
      </c>
      <c r="F374" s="26" t="str">
        <f>IFERROR(_xlfn.PERCENTRANK.INC(Table18[True Rank],_xlfn.XLOOKUP(Table1624[[#This Row],[Name]],Table18[Name],Table18[True Rank],"DNP",0,1)),"DNP")</f>
        <v>DNP</v>
      </c>
      <c r="G374" s="26" t="str">
        <f>IFERROR(_xlfn.PERCENTRANK.INC(Table2[True Rank],_xlfn.XLOOKUP(Table1624[[#This Row],[Name]],Table2[Name],Table2[True Rank],"DNP",0,1)),"DNP")</f>
        <v>DNP</v>
      </c>
      <c r="H374" s="26" t="str">
        <f>IFERROR(_xlfn.PERCENTRANK.INC(Table211[True Rank],_xlfn.XLOOKUP(Table1624[[#This Row],[Name]],Table211[Name],Table211[True Rank],"DNP",0,1)),"DNP")</f>
        <v>DNP</v>
      </c>
      <c r="I374" s="26" t="str">
        <f>IFERROR(_xlfn.PERCENTRANK.INC(Table21112[True Rank],_xlfn.XLOOKUP(Table1624[[#This Row],[Name]],Table21112[Name],Table21112[True Rank],"DNP",0,1)),"DNP")</f>
        <v>DNP</v>
      </c>
      <c r="J374" s="26" t="str">
        <f>IFERROR(_xlfn.PERCENTRANK.INC(Table21112164[True Rank],_xlfn.XLOOKUP(Table1624[[#This Row],[Name]],Table21112164[Name],Table21112164[True Rank],"DNP",0,1)),"DNP")</f>
        <v>DNP</v>
      </c>
      <c r="K374" s="26" t="str">
        <f>IFERROR(_xlfn.PERCENTRANK.INC(Table2111216420[True Rank],_xlfn.XLOOKUP(Table1624[[#This Row],[Name]],Table2111216420[Name],Table2111216420[True Rank],"DNP",0,1)),"DNP")</f>
        <v>DNP</v>
      </c>
      <c r="L374" s="26" t="str">
        <f>IFERROR(_xlfn.PERCENTRANK.INC(Table211121642021[True Rank],_xlfn.XLOOKUP(Table1624[[#This Row],[Name]],Table211121642021[Name],Table211121642021[True Rank],"DNP",0,1)),"DNP")</f>
        <v>DNP</v>
      </c>
      <c r="M374" s="26" t="str">
        <f>IFERROR(_xlfn.PERCENTRANK.INC(Table21112164202122[True Rank],_xlfn.XLOOKUP(Table1624[[#This Row],[Name]],Table21112164202122[Name],Table21112164202122[True Rank],"DNP",0,1)),"DNP")</f>
        <v>DNP</v>
      </c>
      <c r="N374" s="26" t="str">
        <f>IFERROR(_xlfn.PERCENTRANK.INC(Table2111216420212223[True Rank],_xlfn.XLOOKUP(Table1624[[#This Row],[Name]],Table2111216420212223[Name],Table2111216420212223[True Rank],"DNP",0,1)),"DNP")</f>
        <v>DNP</v>
      </c>
      <c r="O374" s="26" t="str">
        <f>IFERROR(_xlfn.PERCENTRANK.INC(Table211121642021222325[True Rank],_xlfn.XLOOKUP(Table1624[[#This Row],[Name]],Table211121642021222325[Name],Table211121642021222325[True Rank],"DNP",0,1)),"DNP")</f>
        <v>DNP</v>
      </c>
      <c r="P374" s="26" t="str">
        <f>IFERROR(_xlfn.PERCENTRANK.INC(Table21112164202122232534[True Rank],_xlfn.XLOOKUP(Table1624[[#This Row],[Name]],Table21112164202122232534[Name],Table21112164202122232534[True Rank],"DNP",0,1)),"DNP")</f>
        <v>DNP</v>
      </c>
      <c r="Q37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 spans="2:33">
      <c r="B375" t="str">
        <f>IFERROR(Table5[[#This Row],[Full name]],"")</f>
        <v/>
      </c>
      <c r="C375" s="108" t="str">
        <f>IFERROR(AVERAGE(Table1624[[#This Row],[September 30, 2025]:[Column18]]),"N/A")</f>
        <v>N/A</v>
      </c>
      <c r="D375" s="26" t="str">
        <f>IFERROR(_xlfn.PERCENTRANK.INC(Table4[True Rank],_xlfn.XLOOKUP(Table1624[[#This Row],[Name]],Table4[Name],Table4[True Rank],"DNP",0,1)),"DNP")</f>
        <v>DNP</v>
      </c>
      <c r="E375" s="26" t="str">
        <f>IFERROR(_xlfn.PERCENTRANK.INC(Table9[True Rank],_xlfn.XLOOKUP(Table1624[[#This Row],[Name]],Table9[Name],Table9[True Rank],"DNP",0,1)),"DNP")</f>
        <v>DNP</v>
      </c>
      <c r="F375" s="26" t="str">
        <f>IFERROR(_xlfn.PERCENTRANK.INC(Table18[True Rank],_xlfn.XLOOKUP(Table1624[[#This Row],[Name]],Table18[Name],Table18[True Rank],"DNP",0,1)),"DNP")</f>
        <v>DNP</v>
      </c>
      <c r="G375" s="26" t="str">
        <f>IFERROR(_xlfn.PERCENTRANK.INC(Table2[True Rank],_xlfn.XLOOKUP(Table1624[[#This Row],[Name]],Table2[Name],Table2[True Rank],"DNP",0,1)),"DNP")</f>
        <v>DNP</v>
      </c>
      <c r="H375" s="26" t="str">
        <f>IFERROR(_xlfn.PERCENTRANK.INC(Table211[True Rank],_xlfn.XLOOKUP(Table1624[[#This Row],[Name]],Table211[Name],Table211[True Rank],"DNP",0,1)),"DNP")</f>
        <v>DNP</v>
      </c>
      <c r="I375" s="26" t="str">
        <f>IFERROR(_xlfn.PERCENTRANK.INC(Table21112[True Rank],_xlfn.XLOOKUP(Table1624[[#This Row],[Name]],Table21112[Name],Table21112[True Rank],"DNP",0,1)),"DNP")</f>
        <v>DNP</v>
      </c>
      <c r="J375" s="26" t="str">
        <f>IFERROR(_xlfn.PERCENTRANK.INC(Table21112164[True Rank],_xlfn.XLOOKUP(Table1624[[#This Row],[Name]],Table21112164[Name],Table21112164[True Rank],"DNP",0,1)),"DNP")</f>
        <v>DNP</v>
      </c>
      <c r="K375" s="26" t="str">
        <f>IFERROR(_xlfn.PERCENTRANK.INC(Table2111216420[True Rank],_xlfn.XLOOKUP(Table1624[[#This Row],[Name]],Table2111216420[Name],Table2111216420[True Rank],"DNP",0,1)),"DNP")</f>
        <v>DNP</v>
      </c>
      <c r="L375" s="26" t="str">
        <f>IFERROR(_xlfn.PERCENTRANK.INC(Table211121642021[True Rank],_xlfn.XLOOKUP(Table1624[[#This Row],[Name]],Table211121642021[Name],Table211121642021[True Rank],"DNP",0,1)),"DNP")</f>
        <v>DNP</v>
      </c>
      <c r="M375" s="26" t="str">
        <f>IFERROR(_xlfn.PERCENTRANK.INC(Table21112164202122[True Rank],_xlfn.XLOOKUP(Table1624[[#This Row],[Name]],Table21112164202122[Name],Table21112164202122[True Rank],"DNP",0,1)),"DNP")</f>
        <v>DNP</v>
      </c>
      <c r="N375" s="26" t="str">
        <f>IFERROR(_xlfn.PERCENTRANK.INC(Table2111216420212223[True Rank],_xlfn.XLOOKUP(Table1624[[#This Row],[Name]],Table2111216420212223[Name],Table2111216420212223[True Rank],"DNP",0,1)),"DNP")</f>
        <v>DNP</v>
      </c>
      <c r="O375" s="26" t="str">
        <f>IFERROR(_xlfn.PERCENTRANK.INC(Table211121642021222325[True Rank],_xlfn.XLOOKUP(Table1624[[#This Row],[Name]],Table211121642021222325[Name],Table211121642021222325[True Rank],"DNP",0,1)),"DNP")</f>
        <v>DNP</v>
      </c>
      <c r="P375" s="26" t="str">
        <f>IFERROR(_xlfn.PERCENTRANK.INC(Table21112164202122232534[True Rank],_xlfn.XLOOKUP(Table1624[[#This Row],[Name]],Table21112164202122232534[Name],Table21112164202122232534[True Rank],"DNP",0,1)),"DNP")</f>
        <v>DNP</v>
      </c>
      <c r="Q37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 spans="2:33">
      <c r="B376" t="str">
        <f>IFERROR(Table5[[#This Row],[Full name]],"")</f>
        <v/>
      </c>
      <c r="C376" s="108" t="str">
        <f>IFERROR(AVERAGE(Table1624[[#This Row],[September 30, 2025]:[Column18]]),"N/A")</f>
        <v>N/A</v>
      </c>
      <c r="D376" s="26" t="str">
        <f>IFERROR(_xlfn.PERCENTRANK.INC(Table4[True Rank],_xlfn.XLOOKUP(Table1624[[#This Row],[Name]],Table4[Name],Table4[True Rank],"DNP",0,1)),"DNP")</f>
        <v>DNP</v>
      </c>
      <c r="E376" s="26" t="str">
        <f>IFERROR(_xlfn.PERCENTRANK.INC(Table9[True Rank],_xlfn.XLOOKUP(Table1624[[#This Row],[Name]],Table9[Name],Table9[True Rank],"DNP",0,1)),"DNP")</f>
        <v>DNP</v>
      </c>
      <c r="F376" s="26" t="str">
        <f>IFERROR(_xlfn.PERCENTRANK.INC(Table18[True Rank],_xlfn.XLOOKUP(Table1624[[#This Row],[Name]],Table18[Name],Table18[True Rank],"DNP",0,1)),"DNP")</f>
        <v>DNP</v>
      </c>
      <c r="G376" s="26" t="str">
        <f>IFERROR(_xlfn.PERCENTRANK.INC(Table2[True Rank],_xlfn.XLOOKUP(Table1624[[#This Row],[Name]],Table2[Name],Table2[True Rank],"DNP",0,1)),"DNP")</f>
        <v>DNP</v>
      </c>
      <c r="H376" s="26" t="str">
        <f>IFERROR(_xlfn.PERCENTRANK.INC(Table211[True Rank],_xlfn.XLOOKUP(Table1624[[#This Row],[Name]],Table211[Name],Table211[True Rank],"DNP",0,1)),"DNP")</f>
        <v>DNP</v>
      </c>
      <c r="I376" s="26" t="str">
        <f>IFERROR(_xlfn.PERCENTRANK.INC(Table21112[True Rank],_xlfn.XLOOKUP(Table1624[[#This Row],[Name]],Table21112[Name],Table21112[True Rank],"DNP",0,1)),"DNP")</f>
        <v>DNP</v>
      </c>
      <c r="J376" s="26" t="str">
        <f>IFERROR(_xlfn.PERCENTRANK.INC(Table21112164[True Rank],_xlfn.XLOOKUP(Table1624[[#This Row],[Name]],Table21112164[Name],Table21112164[True Rank],"DNP",0,1)),"DNP")</f>
        <v>DNP</v>
      </c>
      <c r="K376" s="26" t="str">
        <f>IFERROR(_xlfn.PERCENTRANK.INC(Table2111216420[True Rank],_xlfn.XLOOKUP(Table1624[[#This Row],[Name]],Table2111216420[Name],Table2111216420[True Rank],"DNP",0,1)),"DNP")</f>
        <v>DNP</v>
      </c>
      <c r="L376" s="26" t="str">
        <f>IFERROR(_xlfn.PERCENTRANK.INC(Table211121642021[True Rank],_xlfn.XLOOKUP(Table1624[[#This Row],[Name]],Table211121642021[Name],Table211121642021[True Rank],"DNP",0,1)),"DNP")</f>
        <v>DNP</v>
      </c>
      <c r="M376" s="26" t="str">
        <f>IFERROR(_xlfn.PERCENTRANK.INC(Table21112164202122[True Rank],_xlfn.XLOOKUP(Table1624[[#This Row],[Name]],Table21112164202122[Name],Table21112164202122[True Rank],"DNP",0,1)),"DNP")</f>
        <v>DNP</v>
      </c>
      <c r="N376" s="26" t="str">
        <f>IFERROR(_xlfn.PERCENTRANK.INC(Table2111216420212223[True Rank],_xlfn.XLOOKUP(Table1624[[#This Row],[Name]],Table2111216420212223[Name],Table2111216420212223[True Rank],"DNP",0,1)),"DNP")</f>
        <v>DNP</v>
      </c>
      <c r="O376" s="26" t="str">
        <f>IFERROR(_xlfn.PERCENTRANK.INC(Table211121642021222325[True Rank],_xlfn.XLOOKUP(Table1624[[#This Row],[Name]],Table211121642021222325[Name],Table211121642021222325[True Rank],"DNP",0,1)),"DNP")</f>
        <v>DNP</v>
      </c>
      <c r="P376" s="26" t="str">
        <f>IFERROR(_xlfn.PERCENTRANK.INC(Table21112164202122232534[True Rank],_xlfn.XLOOKUP(Table1624[[#This Row],[Name]],Table21112164202122232534[Name],Table21112164202122232534[True Rank],"DNP",0,1)),"DNP")</f>
        <v>DNP</v>
      </c>
      <c r="Q37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 spans="2:33">
      <c r="B377" t="str">
        <f>IFERROR(Table5[[#This Row],[Full name]],"")</f>
        <v/>
      </c>
      <c r="C377" s="108" t="str">
        <f>IFERROR(AVERAGE(Table1624[[#This Row],[September 30, 2025]:[Column18]]),"N/A")</f>
        <v>N/A</v>
      </c>
      <c r="D377" s="26" t="str">
        <f>IFERROR(_xlfn.PERCENTRANK.INC(Table4[True Rank],_xlfn.XLOOKUP(Table1624[[#This Row],[Name]],Table4[Name],Table4[True Rank],"DNP",0,1)),"DNP")</f>
        <v>DNP</v>
      </c>
      <c r="E377" s="26" t="str">
        <f>IFERROR(_xlfn.PERCENTRANK.INC(Table9[True Rank],_xlfn.XLOOKUP(Table1624[[#This Row],[Name]],Table9[Name],Table9[True Rank],"DNP",0,1)),"DNP")</f>
        <v>DNP</v>
      </c>
      <c r="F377" s="26" t="str">
        <f>IFERROR(_xlfn.PERCENTRANK.INC(Table18[True Rank],_xlfn.XLOOKUP(Table1624[[#This Row],[Name]],Table18[Name],Table18[True Rank],"DNP",0,1)),"DNP")</f>
        <v>DNP</v>
      </c>
      <c r="G377" s="26" t="str">
        <f>IFERROR(_xlfn.PERCENTRANK.INC(Table2[True Rank],_xlfn.XLOOKUP(Table1624[[#This Row],[Name]],Table2[Name],Table2[True Rank],"DNP",0,1)),"DNP")</f>
        <v>DNP</v>
      </c>
      <c r="H377" s="26" t="str">
        <f>IFERROR(_xlfn.PERCENTRANK.INC(Table211[True Rank],_xlfn.XLOOKUP(Table1624[[#This Row],[Name]],Table211[Name],Table211[True Rank],"DNP",0,1)),"DNP")</f>
        <v>DNP</v>
      </c>
      <c r="I377" s="26" t="str">
        <f>IFERROR(_xlfn.PERCENTRANK.INC(Table21112[True Rank],_xlfn.XLOOKUP(Table1624[[#This Row],[Name]],Table21112[Name],Table21112[True Rank],"DNP",0,1)),"DNP")</f>
        <v>DNP</v>
      </c>
      <c r="J377" s="26" t="str">
        <f>IFERROR(_xlfn.PERCENTRANK.INC(Table21112164[True Rank],_xlfn.XLOOKUP(Table1624[[#This Row],[Name]],Table21112164[Name],Table21112164[True Rank],"DNP",0,1)),"DNP")</f>
        <v>DNP</v>
      </c>
      <c r="K377" s="26" t="str">
        <f>IFERROR(_xlfn.PERCENTRANK.INC(Table2111216420[True Rank],_xlfn.XLOOKUP(Table1624[[#This Row],[Name]],Table2111216420[Name],Table2111216420[True Rank],"DNP",0,1)),"DNP")</f>
        <v>DNP</v>
      </c>
      <c r="L377" s="26" t="str">
        <f>IFERROR(_xlfn.PERCENTRANK.INC(Table211121642021[True Rank],_xlfn.XLOOKUP(Table1624[[#This Row],[Name]],Table211121642021[Name],Table211121642021[True Rank],"DNP",0,1)),"DNP")</f>
        <v>DNP</v>
      </c>
      <c r="M377" s="26" t="str">
        <f>IFERROR(_xlfn.PERCENTRANK.INC(Table21112164202122[True Rank],_xlfn.XLOOKUP(Table1624[[#This Row],[Name]],Table21112164202122[Name],Table21112164202122[True Rank],"DNP",0,1)),"DNP")</f>
        <v>DNP</v>
      </c>
      <c r="N377" s="26" t="str">
        <f>IFERROR(_xlfn.PERCENTRANK.INC(Table2111216420212223[True Rank],_xlfn.XLOOKUP(Table1624[[#This Row],[Name]],Table2111216420212223[Name],Table2111216420212223[True Rank],"DNP",0,1)),"DNP")</f>
        <v>DNP</v>
      </c>
      <c r="O377" s="26" t="str">
        <f>IFERROR(_xlfn.PERCENTRANK.INC(Table211121642021222325[True Rank],_xlfn.XLOOKUP(Table1624[[#This Row],[Name]],Table211121642021222325[Name],Table211121642021222325[True Rank],"DNP",0,1)),"DNP")</f>
        <v>DNP</v>
      </c>
      <c r="P377" s="26" t="str">
        <f>IFERROR(_xlfn.PERCENTRANK.INC(Table21112164202122232534[True Rank],_xlfn.XLOOKUP(Table1624[[#This Row],[Name]],Table21112164202122232534[Name],Table21112164202122232534[True Rank],"DNP",0,1)),"DNP")</f>
        <v>DNP</v>
      </c>
      <c r="Q37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 spans="2:33">
      <c r="B378" t="str">
        <f>IFERROR(Table5[[#This Row],[Full name]],"")</f>
        <v/>
      </c>
      <c r="C378" s="108" t="str">
        <f>IFERROR(AVERAGE(Table1624[[#This Row],[September 30, 2025]:[Column18]]),"N/A")</f>
        <v>N/A</v>
      </c>
      <c r="D378" s="26" t="str">
        <f>IFERROR(_xlfn.PERCENTRANK.INC(Table4[True Rank],_xlfn.XLOOKUP(Table1624[[#This Row],[Name]],Table4[Name],Table4[True Rank],"DNP",0,1)),"DNP")</f>
        <v>DNP</v>
      </c>
      <c r="E378" s="26" t="str">
        <f>IFERROR(_xlfn.PERCENTRANK.INC(Table9[True Rank],_xlfn.XLOOKUP(Table1624[[#This Row],[Name]],Table9[Name],Table9[True Rank],"DNP",0,1)),"DNP")</f>
        <v>DNP</v>
      </c>
      <c r="F378" s="26" t="str">
        <f>IFERROR(_xlfn.PERCENTRANK.INC(Table18[True Rank],_xlfn.XLOOKUP(Table1624[[#This Row],[Name]],Table18[Name],Table18[True Rank],"DNP",0,1)),"DNP")</f>
        <v>DNP</v>
      </c>
      <c r="G378" s="26" t="str">
        <f>IFERROR(_xlfn.PERCENTRANK.INC(Table2[True Rank],_xlfn.XLOOKUP(Table1624[[#This Row],[Name]],Table2[Name],Table2[True Rank],"DNP",0,1)),"DNP")</f>
        <v>DNP</v>
      </c>
      <c r="H378" s="26" t="str">
        <f>IFERROR(_xlfn.PERCENTRANK.INC(Table211[True Rank],_xlfn.XLOOKUP(Table1624[[#This Row],[Name]],Table211[Name],Table211[True Rank],"DNP",0,1)),"DNP")</f>
        <v>DNP</v>
      </c>
      <c r="I378" s="26" t="str">
        <f>IFERROR(_xlfn.PERCENTRANK.INC(Table21112[True Rank],_xlfn.XLOOKUP(Table1624[[#This Row],[Name]],Table21112[Name],Table21112[True Rank],"DNP",0,1)),"DNP")</f>
        <v>DNP</v>
      </c>
      <c r="J378" s="26" t="str">
        <f>IFERROR(_xlfn.PERCENTRANK.INC(Table21112164[True Rank],_xlfn.XLOOKUP(Table1624[[#This Row],[Name]],Table21112164[Name],Table21112164[True Rank],"DNP",0,1)),"DNP")</f>
        <v>DNP</v>
      </c>
      <c r="K378" s="26" t="str">
        <f>IFERROR(_xlfn.PERCENTRANK.INC(Table2111216420[True Rank],_xlfn.XLOOKUP(Table1624[[#This Row],[Name]],Table2111216420[Name],Table2111216420[True Rank],"DNP",0,1)),"DNP")</f>
        <v>DNP</v>
      </c>
      <c r="L378" s="26" t="str">
        <f>IFERROR(_xlfn.PERCENTRANK.INC(Table211121642021[True Rank],_xlfn.XLOOKUP(Table1624[[#This Row],[Name]],Table211121642021[Name],Table211121642021[True Rank],"DNP",0,1)),"DNP")</f>
        <v>DNP</v>
      </c>
      <c r="M378" s="26" t="str">
        <f>IFERROR(_xlfn.PERCENTRANK.INC(Table21112164202122[True Rank],_xlfn.XLOOKUP(Table1624[[#This Row],[Name]],Table21112164202122[Name],Table21112164202122[True Rank],"DNP",0,1)),"DNP")</f>
        <v>DNP</v>
      </c>
      <c r="N378" s="26" t="str">
        <f>IFERROR(_xlfn.PERCENTRANK.INC(Table2111216420212223[True Rank],_xlfn.XLOOKUP(Table1624[[#This Row],[Name]],Table2111216420212223[Name],Table2111216420212223[True Rank],"DNP",0,1)),"DNP")</f>
        <v>DNP</v>
      </c>
      <c r="O378" s="26" t="str">
        <f>IFERROR(_xlfn.PERCENTRANK.INC(Table211121642021222325[True Rank],_xlfn.XLOOKUP(Table1624[[#This Row],[Name]],Table211121642021222325[Name],Table211121642021222325[True Rank],"DNP",0,1)),"DNP")</f>
        <v>DNP</v>
      </c>
      <c r="P378" s="26" t="str">
        <f>IFERROR(_xlfn.PERCENTRANK.INC(Table21112164202122232534[True Rank],_xlfn.XLOOKUP(Table1624[[#This Row],[Name]],Table21112164202122232534[Name],Table21112164202122232534[True Rank],"DNP",0,1)),"DNP")</f>
        <v>DNP</v>
      </c>
      <c r="Q37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 spans="2:33">
      <c r="B379" t="str">
        <f>IFERROR(Table5[[#This Row],[Full name]],"")</f>
        <v/>
      </c>
      <c r="C379" s="108" t="str">
        <f>IFERROR(AVERAGE(Table1624[[#This Row],[September 30, 2025]:[Column18]]),"N/A")</f>
        <v>N/A</v>
      </c>
      <c r="D379" s="26" t="str">
        <f>IFERROR(_xlfn.PERCENTRANK.INC(Table4[True Rank],_xlfn.XLOOKUP(Table1624[[#This Row],[Name]],Table4[Name],Table4[True Rank],"DNP",0,1)),"DNP")</f>
        <v>DNP</v>
      </c>
      <c r="E379" s="26" t="str">
        <f>IFERROR(_xlfn.PERCENTRANK.INC(Table9[True Rank],_xlfn.XLOOKUP(Table1624[[#This Row],[Name]],Table9[Name],Table9[True Rank],"DNP",0,1)),"DNP")</f>
        <v>DNP</v>
      </c>
      <c r="F379" s="26" t="str">
        <f>IFERROR(_xlfn.PERCENTRANK.INC(Table18[True Rank],_xlfn.XLOOKUP(Table1624[[#This Row],[Name]],Table18[Name],Table18[True Rank],"DNP",0,1)),"DNP")</f>
        <v>DNP</v>
      </c>
      <c r="G379" s="26" t="str">
        <f>IFERROR(_xlfn.PERCENTRANK.INC(Table2[True Rank],_xlfn.XLOOKUP(Table1624[[#This Row],[Name]],Table2[Name],Table2[True Rank],"DNP",0,1)),"DNP")</f>
        <v>DNP</v>
      </c>
      <c r="H379" s="26" t="str">
        <f>IFERROR(_xlfn.PERCENTRANK.INC(Table211[True Rank],_xlfn.XLOOKUP(Table1624[[#This Row],[Name]],Table211[Name],Table211[True Rank],"DNP",0,1)),"DNP")</f>
        <v>DNP</v>
      </c>
      <c r="I379" s="26" t="str">
        <f>IFERROR(_xlfn.PERCENTRANK.INC(Table21112[True Rank],_xlfn.XLOOKUP(Table1624[[#This Row],[Name]],Table21112[Name],Table21112[True Rank],"DNP",0,1)),"DNP")</f>
        <v>DNP</v>
      </c>
      <c r="J379" s="26" t="str">
        <f>IFERROR(_xlfn.PERCENTRANK.INC(Table21112164[True Rank],_xlfn.XLOOKUP(Table1624[[#This Row],[Name]],Table21112164[Name],Table21112164[True Rank],"DNP",0,1)),"DNP")</f>
        <v>DNP</v>
      </c>
      <c r="K379" s="26" t="str">
        <f>IFERROR(_xlfn.PERCENTRANK.INC(Table2111216420[True Rank],_xlfn.XLOOKUP(Table1624[[#This Row],[Name]],Table2111216420[Name],Table2111216420[True Rank],"DNP",0,1)),"DNP")</f>
        <v>DNP</v>
      </c>
      <c r="L379" s="26" t="str">
        <f>IFERROR(_xlfn.PERCENTRANK.INC(Table211121642021[True Rank],_xlfn.XLOOKUP(Table1624[[#This Row],[Name]],Table211121642021[Name],Table211121642021[True Rank],"DNP",0,1)),"DNP")</f>
        <v>DNP</v>
      </c>
      <c r="M379" s="26" t="str">
        <f>IFERROR(_xlfn.PERCENTRANK.INC(Table21112164202122[True Rank],_xlfn.XLOOKUP(Table1624[[#This Row],[Name]],Table21112164202122[Name],Table21112164202122[True Rank],"DNP",0,1)),"DNP")</f>
        <v>DNP</v>
      </c>
      <c r="N379" s="26" t="str">
        <f>IFERROR(_xlfn.PERCENTRANK.INC(Table2111216420212223[True Rank],_xlfn.XLOOKUP(Table1624[[#This Row],[Name]],Table2111216420212223[Name],Table2111216420212223[True Rank],"DNP",0,1)),"DNP")</f>
        <v>DNP</v>
      </c>
      <c r="O379" s="26" t="str">
        <f>IFERROR(_xlfn.PERCENTRANK.INC(Table211121642021222325[True Rank],_xlfn.XLOOKUP(Table1624[[#This Row],[Name]],Table211121642021222325[Name],Table211121642021222325[True Rank],"DNP",0,1)),"DNP")</f>
        <v>DNP</v>
      </c>
      <c r="P379" s="26" t="str">
        <f>IFERROR(_xlfn.PERCENTRANK.INC(Table21112164202122232534[True Rank],_xlfn.XLOOKUP(Table1624[[#This Row],[Name]],Table21112164202122232534[Name],Table21112164202122232534[True Rank],"DNP",0,1)),"DNP")</f>
        <v>DNP</v>
      </c>
      <c r="Q37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7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7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7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 spans="2:33">
      <c r="B380" t="str">
        <f>IFERROR(Table5[[#This Row],[Full name]],"")</f>
        <v/>
      </c>
      <c r="C380" s="108" t="str">
        <f>IFERROR(AVERAGE(Table1624[[#This Row],[September 30, 2025]:[Column18]]),"N/A")</f>
        <v>N/A</v>
      </c>
      <c r="D380" s="26" t="str">
        <f>IFERROR(_xlfn.PERCENTRANK.INC(Table4[True Rank],_xlfn.XLOOKUP(Table1624[[#This Row],[Name]],Table4[Name],Table4[True Rank],"DNP",0,1)),"DNP")</f>
        <v>DNP</v>
      </c>
      <c r="E380" s="26" t="str">
        <f>IFERROR(_xlfn.PERCENTRANK.INC(Table9[True Rank],_xlfn.XLOOKUP(Table1624[[#This Row],[Name]],Table9[Name],Table9[True Rank],"DNP",0,1)),"DNP")</f>
        <v>DNP</v>
      </c>
      <c r="F380" s="26" t="str">
        <f>IFERROR(_xlfn.PERCENTRANK.INC(Table18[True Rank],_xlfn.XLOOKUP(Table1624[[#This Row],[Name]],Table18[Name],Table18[True Rank],"DNP",0,1)),"DNP")</f>
        <v>DNP</v>
      </c>
      <c r="G380" s="26" t="str">
        <f>IFERROR(_xlfn.PERCENTRANK.INC(Table2[True Rank],_xlfn.XLOOKUP(Table1624[[#This Row],[Name]],Table2[Name],Table2[True Rank],"DNP",0,1)),"DNP")</f>
        <v>DNP</v>
      </c>
      <c r="H380" s="26" t="str">
        <f>IFERROR(_xlfn.PERCENTRANK.INC(Table211[True Rank],_xlfn.XLOOKUP(Table1624[[#This Row],[Name]],Table211[Name],Table211[True Rank],"DNP",0,1)),"DNP")</f>
        <v>DNP</v>
      </c>
      <c r="I380" s="26" t="str">
        <f>IFERROR(_xlfn.PERCENTRANK.INC(Table21112[True Rank],_xlfn.XLOOKUP(Table1624[[#This Row],[Name]],Table21112[Name],Table21112[True Rank],"DNP",0,1)),"DNP")</f>
        <v>DNP</v>
      </c>
      <c r="J380" s="26" t="str">
        <f>IFERROR(_xlfn.PERCENTRANK.INC(Table21112164[True Rank],_xlfn.XLOOKUP(Table1624[[#This Row],[Name]],Table21112164[Name],Table21112164[True Rank],"DNP",0,1)),"DNP")</f>
        <v>DNP</v>
      </c>
      <c r="K380" s="26" t="str">
        <f>IFERROR(_xlfn.PERCENTRANK.INC(Table2111216420[True Rank],_xlfn.XLOOKUP(Table1624[[#This Row],[Name]],Table2111216420[Name],Table2111216420[True Rank],"DNP",0,1)),"DNP")</f>
        <v>DNP</v>
      </c>
      <c r="L380" s="26" t="str">
        <f>IFERROR(_xlfn.PERCENTRANK.INC(Table211121642021[True Rank],_xlfn.XLOOKUP(Table1624[[#This Row],[Name]],Table211121642021[Name],Table211121642021[True Rank],"DNP",0,1)),"DNP")</f>
        <v>DNP</v>
      </c>
      <c r="M380" s="26" t="str">
        <f>IFERROR(_xlfn.PERCENTRANK.INC(Table21112164202122[True Rank],_xlfn.XLOOKUP(Table1624[[#This Row],[Name]],Table21112164202122[Name],Table21112164202122[True Rank],"DNP",0,1)),"DNP")</f>
        <v>DNP</v>
      </c>
      <c r="N380" s="26" t="str">
        <f>IFERROR(_xlfn.PERCENTRANK.INC(Table2111216420212223[True Rank],_xlfn.XLOOKUP(Table1624[[#This Row],[Name]],Table2111216420212223[Name],Table2111216420212223[True Rank],"DNP",0,1)),"DNP")</f>
        <v>DNP</v>
      </c>
      <c r="O380" s="26" t="str">
        <f>IFERROR(_xlfn.PERCENTRANK.INC(Table211121642021222325[True Rank],_xlfn.XLOOKUP(Table1624[[#This Row],[Name]],Table211121642021222325[Name],Table211121642021222325[True Rank],"DNP",0,1)),"DNP")</f>
        <v>DNP</v>
      </c>
      <c r="P380" s="26" t="str">
        <f>IFERROR(_xlfn.PERCENTRANK.INC(Table21112164202122232534[True Rank],_xlfn.XLOOKUP(Table1624[[#This Row],[Name]],Table21112164202122232534[Name],Table21112164202122232534[True Rank],"DNP",0,1)),"DNP")</f>
        <v>DNP</v>
      </c>
      <c r="Q38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 spans="2:33">
      <c r="B381" t="str">
        <f>IFERROR(Table5[[#This Row],[Full name]],"")</f>
        <v/>
      </c>
      <c r="C381" s="108" t="str">
        <f>IFERROR(AVERAGE(Table1624[[#This Row],[September 30, 2025]:[Column18]]),"N/A")</f>
        <v>N/A</v>
      </c>
      <c r="D381" s="26" t="str">
        <f>IFERROR(_xlfn.PERCENTRANK.INC(Table4[True Rank],_xlfn.XLOOKUP(Table1624[[#This Row],[Name]],Table4[Name],Table4[True Rank],"DNP",0,1)),"DNP")</f>
        <v>DNP</v>
      </c>
      <c r="E381" s="26" t="str">
        <f>IFERROR(_xlfn.PERCENTRANK.INC(Table9[True Rank],_xlfn.XLOOKUP(Table1624[[#This Row],[Name]],Table9[Name],Table9[True Rank],"DNP",0,1)),"DNP")</f>
        <v>DNP</v>
      </c>
      <c r="F381" s="26" t="str">
        <f>IFERROR(_xlfn.PERCENTRANK.INC(Table18[True Rank],_xlfn.XLOOKUP(Table1624[[#This Row],[Name]],Table18[Name],Table18[True Rank],"DNP",0,1)),"DNP")</f>
        <v>DNP</v>
      </c>
      <c r="G381" s="26" t="str">
        <f>IFERROR(_xlfn.PERCENTRANK.INC(Table2[True Rank],_xlfn.XLOOKUP(Table1624[[#This Row],[Name]],Table2[Name],Table2[True Rank],"DNP",0,1)),"DNP")</f>
        <v>DNP</v>
      </c>
      <c r="H381" s="26" t="str">
        <f>IFERROR(_xlfn.PERCENTRANK.INC(Table211[True Rank],_xlfn.XLOOKUP(Table1624[[#This Row],[Name]],Table211[Name],Table211[True Rank],"DNP",0,1)),"DNP")</f>
        <v>DNP</v>
      </c>
      <c r="I381" s="26" t="str">
        <f>IFERROR(_xlfn.PERCENTRANK.INC(Table21112[True Rank],_xlfn.XLOOKUP(Table1624[[#This Row],[Name]],Table21112[Name],Table21112[True Rank],"DNP",0,1)),"DNP")</f>
        <v>DNP</v>
      </c>
      <c r="J381" s="26" t="str">
        <f>IFERROR(_xlfn.PERCENTRANK.INC(Table21112164[True Rank],_xlfn.XLOOKUP(Table1624[[#This Row],[Name]],Table21112164[Name],Table21112164[True Rank],"DNP",0,1)),"DNP")</f>
        <v>DNP</v>
      </c>
      <c r="K381" s="26" t="str">
        <f>IFERROR(_xlfn.PERCENTRANK.INC(Table2111216420[True Rank],_xlfn.XLOOKUP(Table1624[[#This Row],[Name]],Table2111216420[Name],Table2111216420[True Rank],"DNP",0,1)),"DNP")</f>
        <v>DNP</v>
      </c>
      <c r="L381" s="26" t="str">
        <f>IFERROR(_xlfn.PERCENTRANK.INC(Table211121642021[True Rank],_xlfn.XLOOKUP(Table1624[[#This Row],[Name]],Table211121642021[Name],Table211121642021[True Rank],"DNP",0,1)),"DNP")</f>
        <v>DNP</v>
      </c>
      <c r="M381" s="26" t="str">
        <f>IFERROR(_xlfn.PERCENTRANK.INC(Table21112164202122[True Rank],_xlfn.XLOOKUP(Table1624[[#This Row],[Name]],Table21112164202122[Name],Table21112164202122[True Rank],"DNP",0,1)),"DNP")</f>
        <v>DNP</v>
      </c>
      <c r="N381" s="26" t="str">
        <f>IFERROR(_xlfn.PERCENTRANK.INC(Table2111216420212223[True Rank],_xlfn.XLOOKUP(Table1624[[#This Row],[Name]],Table2111216420212223[Name],Table2111216420212223[True Rank],"DNP",0,1)),"DNP")</f>
        <v>DNP</v>
      </c>
      <c r="O381" s="26" t="str">
        <f>IFERROR(_xlfn.PERCENTRANK.INC(Table211121642021222325[True Rank],_xlfn.XLOOKUP(Table1624[[#This Row],[Name]],Table211121642021222325[Name],Table211121642021222325[True Rank],"DNP",0,1)),"DNP")</f>
        <v>DNP</v>
      </c>
      <c r="P381" s="26" t="str">
        <f>IFERROR(_xlfn.PERCENTRANK.INC(Table21112164202122232534[True Rank],_xlfn.XLOOKUP(Table1624[[#This Row],[Name]],Table21112164202122232534[Name],Table21112164202122232534[True Rank],"DNP",0,1)),"DNP")</f>
        <v>DNP</v>
      </c>
      <c r="Q381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1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1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1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 spans="2:33">
      <c r="B382" t="str">
        <f>IFERROR(Table5[[#This Row],[Full name]],"")</f>
        <v/>
      </c>
      <c r="C382" s="108" t="str">
        <f>IFERROR(AVERAGE(Table1624[[#This Row],[September 30, 2025]:[Column18]]),"N/A")</f>
        <v>N/A</v>
      </c>
      <c r="D382" s="26" t="str">
        <f>IFERROR(_xlfn.PERCENTRANK.INC(Table4[True Rank],_xlfn.XLOOKUP(Table1624[[#This Row],[Name]],Table4[Name],Table4[True Rank],"DNP",0,1)),"DNP")</f>
        <v>DNP</v>
      </c>
      <c r="E382" s="26" t="str">
        <f>IFERROR(_xlfn.PERCENTRANK.INC(Table9[True Rank],_xlfn.XLOOKUP(Table1624[[#This Row],[Name]],Table9[Name],Table9[True Rank],"DNP",0,1)),"DNP")</f>
        <v>DNP</v>
      </c>
      <c r="F382" s="26" t="str">
        <f>IFERROR(_xlfn.PERCENTRANK.INC(Table18[True Rank],_xlfn.XLOOKUP(Table1624[[#This Row],[Name]],Table18[Name],Table18[True Rank],"DNP",0,1)),"DNP")</f>
        <v>DNP</v>
      </c>
      <c r="G382" s="26" t="str">
        <f>IFERROR(_xlfn.PERCENTRANK.INC(Table2[True Rank],_xlfn.XLOOKUP(Table1624[[#This Row],[Name]],Table2[Name],Table2[True Rank],"DNP",0,1)),"DNP")</f>
        <v>DNP</v>
      </c>
      <c r="H382" s="26" t="str">
        <f>IFERROR(_xlfn.PERCENTRANK.INC(Table211[True Rank],_xlfn.XLOOKUP(Table1624[[#This Row],[Name]],Table211[Name],Table211[True Rank],"DNP",0,1)),"DNP")</f>
        <v>DNP</v>
      </c>
      <c r="I382" s="26" t="str">
        <f>IFERROR(_xlfn.PERCENTRANK.INC(Table21112[True Rank],_xlfn.XLOOKUP(Table1624[[#This Row],[Name]],Table21112[Name],Table21112[True Rank],"DNP",0,1)),"DNP")</f>
        <v>DNP</v>
      </c>
      <c r="J382" s="26" t="str">
        <f>IFERROR(_xlfn.PERCENTRANK.INC(Table21112164[True Rank],_xlfn.XLOOKUP(Table1624[[#This Row],[Name]],Table21112164[Name],Table21112164[True Rank],"DNP",0,1)),"DNP")</f>
        <v>DNP</v>
      </c>
      <c r="K382" s="26" t="str">
        <f>IFERROR(_xlfn.PERCENTRANK.INC(Table2111216420[True Rank],_xlfn.XLOOKUP(Table1624[[#This Row],[Name]],Table2111216420[Name],Table2111216420[True Rank],"DNP",0,1)),"DNP")</f>
        <v>DNP</v>
      </c>
      <c r="L382" s="26" t="str">
        <f>IFERROR(_xlfn.PERCENTRANK.INC(Table211121642021[True Rank],_xlfn.XLOOKUP(Table1624[[#This Row],[Name]],Table211121642021[Name],Table211121642021[True Rank],"DNP",0,1)),"DNP")</f>
        <v>DNP</v>
      </c>
      <c r="M382" s="26" t="str">
        <f>IFERROR(_xlfn.PERCENTRANK.INC(Table21112164202122[True Rank],_xlfn.XLOOKUP(Table1624[[#This Row],[Name]],Table21112164202122[Name],Table21112164202122[True Rank],"DNP",0,1)),"DNP")</f>
        <v>DNP</v>
      </c>
      <c r="N382" s="26" t="str">
        <f>IFERROR(_xlfn.PERCENTRANK.INC(Table2111216420212223[True Rank],_xlfn.XLOOKUP(Table1624[[#This Row],[Name]],Table2111216420212223[Name],Table2111216420212223[True Rank],"DNP",0,1)),"DNP")</f>
        <v>DNP</v>
      </c>
      <c r="O382" s="26" t="str">
        <f>IFERROR(_xlfn.PERCENTRANK.INC(Table211121642021222325[True Rank],_xlfn.XLOOKUP(Table1624[[#This Row],[Name]],Table211121642021222325[Name],Table211121642021222325[True Rank],"DNP",0,1)),"DNP")</f>
        <v>DNP</v>
      </c>
      <c r="P382" s="26" t="str">
        <f>IFERROR(_xlfn.PERCENTRANK.INC(Table21112164202122232534[True Rank],_xlfn.XLOOKUP(Table1624[[#This Row],[Name]],Table21112164202122232534[Name],Table21112164202122232534[True Rank],"DNP",0,1)),"DNP")</f>
        <v>DNP</v>
      </c>
      <c r="Q382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2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2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2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 spans="2:33">
      <c r="B383" t="str">
        <f>IFERROR(Table5[[#This Row],[Full name]],"")</f>
        <v/>
      </c>
      <c r="C383" s="108" t="str">
        <f>IFERROR(AVERAGE(Table1624[[#This Row],[September 30, 2025]:[Column18]]),"N/A")</f>
        <v>N/A</v>
      </c>
      <c r="D383" s="26" t="str">
        <f>IFERROR(_xlfn.PERCENTRANK.INC(Table4[True Rank],_xlfn.XLOOKUP(Table1624[[#This Row],[Name]],Table4[Name],Table4[True Rank],"DNP",0,1)),"DNP")</f>
        <v>DNP</v>
      </c>
      <c r="E383" s="26" t="str">
        <f>IFERROR(_xlfn.PERCENTRANK.INC(Table9[True Rank],_xlfn.XLOOKUP(Table1624[[#This Row],[Name]],Table9[Name],Table9[True Rank],"DNP",0,1)),"DNP")</f>
        <v>DNP</v>
      </c>
      <c r="F383" s="26" t="str">
        <f>IFERROR(_xlfn.PERCENTRANK.INC(Table18[True Rank],_xlfn.XLOOKUP(Table1624[[#This Row],[Name]],Table18[Name],Table18[True Rank],"DNP",0,1)),"DNP")</f>
        <v>DNP</v>
      </c>
      <c r="G383" s="26" t="str">
        <f>IFERROR(_xlfn.PERCENTRANK.INC(Table2[True Rank],_xlfn.XLOOKUP(Table1624[[#This Row],[Name]],Table2[Name],Table2[True Rank],"DNP",0,1)),"DNP")</f>
        <v>DNP</v>
      </c>
      <c r="H383" s="26" t="str">
        <f>IFERROR(_xlfn.PERCENTRANK.INC(Table211[True Rank],_xlfn.XLOOKUP(Table1624[[#This Row],[Name]],Table211[Name],Table211[True Rank],"DNP",0,1)),"DNP")</f>
        <v>DNP</v>
      </c>
      <c r="I383" s="26" t="str">
        <f>IFERROR(_xlfn.PERCENTRANK.INC(Table21112[True Rank],_xlfn.XLOOKUP(Table1624[[#This Row],[Name]],Table21112[Name],Table21112[True Rank],"DNP",0,1)),"DNP")</f>
        <v>DNP</v>
      </c>
      <c r="J383" s="26" t="str">
        <f>IFERROR(_xlfn.PERCENTRANK.INC(Table21112164[True Rank],_xlfn.XLOOKUP(Table1624[[#This Row],[Name]],Table21112164[Name],Table21112164[True Rank],"DNP",0,1)),"DNP")</f>
        <v>DNP</v>
      </c>
      <c r="K383" s="26" t="str">
        <f>IFERROR(_xlfn.PERCENTRANK.INC(Table2111216420[True Rank],_xlfn.XLOOKUP(Table1624[[#This Row],[Name]],Table2111216420[Name],Table2111216420[True Rank],"DNP",0,1)),"DNP")</f>
        <v>DNP</v>
      </c>
      <c r="L383" s="26" t="str">
        <f>IFERROR(_xlfn.PERCENTRANK.INC(Table211121642021[True Rank],_xlfn.XLOOKUP(Table1624[[#This Row],[Name]],Table211121642021[Name],Table211121642021[True Rank],"DNP",0,1)),"DNP")</f>
        <v>DNP</v>
      </c>
      <c r="M383" s="26" t="str">
        <f>IFERROR(_xlfn.PERCENTRANK.INC(Table21112164202122[True Rank],_xlfn.XLOOKUP(Table1624[[#This Row],[Name]],Table21112164202122[Name],Table21112164202122[True Rank],"DNP",0,1)),"DNP")</f>
        <v>DNP</v>
      </c>
      <c r="N383" s="26" t="str">
        <f>IFERROR(_xlfn.PERCENTRANK.INC(Table2111216420212223[True Rank],_xlfn.XLOOKUP(Table1624[[#This Row],[Name]],Table2111216420212223[Name],Table2111216420212223[True Rank],"DNP",0,1)),"DNP")</f>
        <v>DNP</v>
      </c>
      <c r="O383" s="26" t="str">
        <f>IFERROR(_xlfn.PERCENTRANK.INC(Table211121642021222325[True Rank],_xlfn.XLOOKUP(Table1624[[#This Row],[Name]],Table211121642021222325[Name],Table211121642021222325[True Rank],"DNP",0,1)),"DNP")</f>
        <v>DNP</v>
      </c>
      <c r="P383" s="26" t="str">
        <f>IFERROR(_xlfn.PERCENTRANK.INC(Table21112164202122232534[True Rank],_xlfn.XLOOKUP(Table1624[[#This Row],[Name]],Table21112164202122232534[Name],Table21112164202122232534[True Rank],"DNP",0,1)),"DNP")</f>
        <v>DNP</v>
      </c>
      <c r="Q383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3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3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3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 spans="2:33">
      <c r="B384" t="str">
        <f>IFERROR(Table5[[#This Row],[Full name]],"")</f>
        <v/>
      </c>
      <c r="C384" s="108" t="str">
        <f>IFERROR(AVERAGE(Table1624[[#This Row],[September 30, 2025]:[Column18]]),"N/A")</f>
        <v>N/A</v>
      </c>
      <c r="D384" s="26" t="str">
        <f>IFERROR(_xlfn.PERCENTRANK.INC(Table4[True Rank],_xlfn.XLOOKUP(Table1624[[#This Row],[Name]],Table4[Name],Table4[True Rank],"DNP",0,1)),"DNP")</f>
        <v>DNP</v>
      </c>
      <c r="E384" s="26" t="str">
        <f>IFERROR(_xlfn.PERCENTRANK.INC(Table9[True Rank],_xlfn.XLOOKUP(Table1624[[#This Row],[Name]],Table9[Name],Table9[True Rank],"DNP",0,1)),"DNP")</f>
        <v>DNP</v>
      </c>
      <c r="F384" s="26" t="str">
        <f>IFERROR(_xlfn.PERCENTRANK.INC(Table18[True Rank],_xlfn.XLOOKUP(Table1624[[#This Row],[Name]],Table18[Name],Table18[True Rank],"DNP",0,1)),"DNP")</f>
        <v>DNP</v>
      </c>
      <c r="G384" s="26" t="str">
        <f>IFERROR(_xlfn.PERCENTRANK.INC(Table2[True Rank],_xlfn.XLOOKUP(Table1624[[#This Row],[Name]],Table2[Name],Table2[True Rank],"DNP",0,1)),"DNP")</f>
        <v>DNP</v>
      </c>
      <c r="H384" s="26" t="str">
        <f>IFERROR(_xlfn.PERCENTRANK.INC(Table211[True Rank],_xlfn.XLOOKUP(Table1624[[#This Row],[Name]],Table211[Name],Table211[True Rank],"DNP",0,1)),"DNP")</f>
        <v>DNP</v>
      </c>
      <c r="I384" s="26" t="str">
        <f>IFERROR(_xlfn.PERCENTRANK.INC(Table21112[True Rank],_xlfn.XLOOKUP(Table1624[[#This Row],[Name]],Table21112[Name],Table21112[True Rank],"DNP",0,1)),"DNP")</f>
        <v>DNP</v>
      </c>
      <c r="J384" s="26" t="str">
        <f>IFERROR(_xlfn.PERCENTRANK.INC(Table21112164[True Rank],_xlfn.XLOOKUP(Table1624[[#This Row],[Name]],Table21112164[Name],Table21112164[True Rank],"DNP",0,1)),"DNP")</f>
        <v>DNP</v>
      </c>
      <c r="K384" s="26" t="str">
        <f>IFERROR(_xlfn.PERCENTRANK.INC(Table2111216420[True Rank],_xlfn.XLOOKUP(Table1624[[#This Row],[Name]],Table2111216420[Name],Table2111216420[True Rank],"DNP",0,1)),"DNP")</f>
        <v>DNP</v>
      </c>
      <c r="L384" s="26" t="str">
        <f>IFERROR(_xlfn.PERCENTRANK.INC(Table211121642021[True Rank],_xlfn.XLOOKUP(Table1624[[#This Row],[Name]],Table211121642021[Name],Table211121642021[True Rank],"DNP",0,1)),"DNP")</f>
        <v>DNP</v>
      </c>
      <c r="M384" s="26" t="str">
        <f>IFERROR(_xlfn.PERCENTRANK.INC(Table21112164202122[True Rank],_xlfn.XLOOKUP(Table1624[[#This Row],[Name]],Table21112164202122[Name],Table21112164202122[True Rank],"DNP",0,1)),"DNP")</f>
        <v>DNP</v>
      </c>
      <c r="N384" s="26" t="str">
        <f>IFERROR(_xlfn.PERCENTRANK.INC(Table2111216420212223[True Rank],_xlfn.XLOOKUP(Table1624[[#This Row],[Name]],Table2111216420212223[Name],Table2111216420212223[True Rank],"DNP",0,1)),"DNP")</f>
        <v>DNP</v>
      </c>
      <c r="O384" s="26" t="str">
        <f>IFERROR(_xlfn.PERCENTRANK.INC(Table211121642021222325[True Rank],_xlfn.XLOOKUP(Table1624[[#This Row],[Name]],Table211121642021222325[Name],Table211121642021222325[True Rank],"DNP",0,1)),"DNP")</f>
        <v>DNP</v>
      </c>
      <c r="P384" s="26" t="str">
        <f>IFERROR(_xlfn.PERCENTRANK.INC(Table21112164202122232534[True Rank],_xlfn.XLOOKUP(Table1624[[#This Row],[Name]],Table21112164202122232534[Name],Table21112164202122232534[True Rank],"DNP",0,1)),"DNP")</f>
        <v>DNP</v>
      </c>
      <c r="Q384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4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4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4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 spans="2:33">
      <c r="B385" t="str">
        <f>IFERROR(Table5[[#This Row],[Full name]],"")</f>
        <v/>
      </c>
      <c r="C385" s="108" t="str">
        <f>IFERROR(AVERAGE(Table1624[[#This Row],[September 30, 2025]:[Column18]]),"N/A")</f>
        <v>N/A</v>
      </c>
      <c r="D385" s="26" t="str">
        <f>IFERROR(_xlfn.PERCENTRANK.INC(Table4[True Rank],_xlfn.XLOOKUP(Table1624[[#This Row],[Name]],Table4[Name],Table4[True Rank],"DNP",0,1)),"DNP")</f>
        <v>DNP</v>
      </c>
      <c r="E385" s="26" t="str">
        <f>IFERROR(_xlfn.PERCENTRANK.INC(Table9[True Rank],_xlfn.XLOOKUP(Table1624[[#This Row],[Name]],Table9[Name],Table9[True Rank],"DNP",0,1)),"DNP")</f>
        <v>DNP</v>
      </c>
      <c r="F385" s="26" t="str">
        <f>IFERROR(_xlfn.PERCENTRANK.INC(Table18[True Rank],_xlfn.XLOOKUP(Table1624[[#This Row],[Name]],Table18[Name],Table18[True Rank],"DNP",0,1)),"DNP")</f>
        <v>DNP</v>
      </c>
      <c r="G385" s="26" t="str">
        <f>IFERROR(_xlfn.PERCENTRANK.INC(Table2[True Rank],_xlfn.XLOOKUP(Table1624[[#This Row],[Name]],Table2[Name],Table2[True Rank],"DNP",0,1)),"DNP")</f>
        <v>DNP</v>
      </c>
      <c r="H385" s="26" t="str">
        <f>IFERROR(_xlfn.PERCENTRANK.INC(Table211[True Rank],_xlfn.XLOOKUP(Table1624[[#This Row],[Name]],Table211[Name],Table211[True Rank],"DNP",0,1)),"DNP")</f>
        <v>DNP</v>
      </c>
      <c r="I385" s="26" t="str">
        <f>IFERROR(_xlfn.PERCENTRANK.INC(Table21112[True Rank],_xlfn.XLOOKUP(Table1624[[#This Row],[Name]],Table21112[Name],Table21112[True Rank],"DNP",0,1)),"DNP")</f>
        <v>DNP</v>
      </c>
      <c r="J385" s="26" t="str">
        <f>IFERROR(_xlfn.PERCENTRANK.INC(Table21112164[True Rank],_xlfn.XLOOKUP(Table1624[[#This Row],[Name]],Table21112164[Name],Table21112164[True Rank],"DNP",0,1)),"DNP")</f>
        <v>DNP</v>
      </c>
      <c r="K385" s="26" t="str">
        <f>IFERROR(_xlfn.PERCENTRANK.INC(Table2111216420[True Rank],_xlfn.XLOOKUP(Table1624[[#This Row],[Name]],Table2111216420[Name],Table2111216420[True Rank],"DNP",0,1)),"DNP")</f>
        <v>DNP</v>
      </c>
      <c r="L385" s="26" t="str">
        <f>IFERROR(_xlfn.PERCENTRANK.INC(Table211121642021[True Rank],_xlfn.XLOOKUP(Table1624[[#This Row],[Name]],Table211121642021[Name],Table211121642021[True Rank],"DNP",0,1)),"DNP")</f>
        <v>DNP</v>
      </c>
      <c r="M385" s="26" t="str">
        <f>IFERROR(_xlfn.PERCENTRANK.INC(Table21112164202122[True Rank],_xlfn.XLOOKUP(Table1624[[#This Row],[Name]],Table21112164202122[Name],Table21112164202122[True Rank],"DNP",0,1)),"DNP")</f>
        <v>DNP</v>
      </c>
      <c r="N385" s="26" t="str">
        <f>IFERROR(_xlfn.PERCENTRANK.INC(Table2111216420212223[True Rank],_xlfn.XLOOKUP(Table1624[[#This Row],[Name]],Table2111216420212223[Name],Table2111216420212223[True Rank],"DNP",0,1)),"DNP")</f>
        <v>DNP</v>
      </c>
      <c r="O385" s="26" t="str">
        <f>IFERROR(_xlfn.PERCENTRANK.INC(Table211121642021222325[True Rank],_xlfn.XLOOKUP(Table1624[[#This Row],[Name]],Table211121642021222325[Name],Table211121642021222325[True Rank],"DNP",0,1)),"DNP")</f>
        <v>DNP</v>
      </c>
      <c r="P385" s="26" t="str">
        <f>IFERROR(_xlfn.PERCENTRANK.INC(Table21112164202122232534[True Rank],_xlfn.XLOOKUP(Table1624[[#This Row],[Name]],Table21112164202122232534[Name],Table21112164202122232534[True Rank],"DNP",0,1)),"DNP")</f>
        <v>DNP</v>
      </c>
      <c r="Q385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5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5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5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 spans="2:33">
      <c r="B386" t="str">
        <f>IFERROR(Table5[[#This Row],[Full name]],"")</f>
        <v/>
      </c>
      <c r="C386" s="108" t="str">
        <f>IFERROR(AVERAGE(Table1624[[#This Row],[September 30, 2025]:[Column18]]),"N/A")</f>
        <v>N/A</v>
      </c>
      <c r="D386" s="26" t="str">
        <f>IFERROR(_xlfn.PERCENTRANK.INC(Table4[True Rank],_xlfn.XLOOKUP(Table1624[[#This Row],[Name]],Table4[Name],Table4[True Rank],"DNP",0,1)),"DNP")</f>
        <v>DNP</v>
      </c>
      <c r="E386" s="26" t="str">
        <f>IFERROR(_xlfn.PERCENTRANK.INC(Table9[True Rank],_xlfn.XLOOKUP(Table1624[[#This Row],[Name]],Table9[Name],Table9[True Rank],"DNP",0,1)),"DNP")</f>
        <v>DNP</v>
      </c>
      <c r="F386" s="26" t="str">
        <f>IFERROR(_xlfn.PERCENTRANK.INC(Table18[True Rank],_xlfn.XLOOKUP(Table1624[[#This Row],[Name]],Table18[Name],Table18[True Rank],"DNP",0,1)),"DNP")</f>
        <v>DNP</v>
      </c>
      <c r="G386" s="26" t="str">
        <f>IFERROR(_xlfn.PERCENTRANK.INC(Table2[True Rank],_xlfn.XLOOKUP(Table1624[[#This Row],[Name]],Table2[Name],Table2[True Rank],"DNP",0,1)),"DNP")</f>
        <v>DNP</v>
      </c>
      <c r="H386" s="26" t="str">
        <f>IFERROR(_xlfn.PERCENTRANK.INC(Table211[True Rank],_xlfn.XLOOKUP(Table1624[[#This Row],[Name]],Table211[Name],Table211[True Rank],"DNP",0,1)),"DNP")</f>
        <v>DNP</v>
      </c>
      <c r="I386" s="26" t="str">
        <f>IFERROR(_xlfn.PERCENTRANK.INC(Table21112[True Rank],_xlfn.XLOOKUP(Table1624[[#This Row],[Name]],Table21112[Name],Table21112[True Rank],"DNP",0,1)),"DNP")</f>
        <v>DNP</v>
      </c>
      <c r="J386" s="26" t="str">
        <f>IFERROR(_xlfn.PERCENTRANK.INC(Table21112164[True Rank],_xlfn.XLOOKUP(Table1624[[#This Row],[Name]],Table21112164[Name],Table21112164[True Rank],"DNP",0,1)),"DNP")</f>
        <v>DNP</v>
      </c>
      <c r="K386" s="26" t="str">
        <f>IFERROR(_xlfn.PERCENTRANK.INC(Table2111216420[True Rank],_xlfn.XLOOKUP(Table1624[[#This Row],[Name]],Table2111216420[Name],Table2111216420[True Rank],"DNP",0,1)),"DNP")</f>
        <v>DNP</v>
      </c>
      <c r="L386" s="26" t="str">
        <f>IFERROR(_xlfn.PERCENTRANK.INC(Table211121642021[True Rank],_xlfn.XLOOKUP(Table1624[[#This Row],[Name]],Table211121642021[Name],Table211121642021[True Rank],"DNP",0,1)),"DNP")</f>
        <v>DNP</v>
      </c>
      <c r="M386" s="26" t="str">
        <f>IFERROR(_xlfn.PERCENTRANK.INC(Table21112164202122[True Rank],_xlfn.XLOOKUP(Table1624[[#This Row],[Name]],Table21112164202122[Name],Table21112164202122[True Rank],"DNP",0,1)),"DNP")</f>
        <v>DNP</v>
      </c>
      <c r="N386" s="26" t="str">
        <f>IFERROR(_xlfn.PERCENTRANK.INC(Table2111216420212223[True Rank],_xlfn.XLOOKUP(Table1624[[#This Row],[Name]],Table2111216420212223[Name],Table2111216420212223[True Rank],"DNP",0,1)),"DNP")</f>
        <v>DNP</v>
      </c>
      <c r="O386" s="26" t="str">
        <f>IFERROR(_xlfn.PERCENTRANK.INC(Table211121642021222325[True Rank],_xlfn.XLOOKUP(Table1624[[#This Row],[Name]],Table211121642021222325[Name],Table211121642021222325[True Rank],"DNP",0,1)),"DNP")</f>
        <v>DNP</v>
      </c>
      <c r="P386" s="26" t="str">
        <f>IFERROR(_xlfn.PERCENTRANK.INC(Table21112164202122232534[True Rank],_xlfn.XLOOKUP(Table1624[[#This Row],[Name]],Table21112164202122232534[Name],Table21112164202122232534[True Rank],"DNP",0,1)),"DNP")</f>
        <v>DNP</v>
      </c>
      <c r="Q386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6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6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6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 spans="2:33">
      <c r="B387" t="str">
        <f>IFERROR(Table5[[#This Row],[Full name]],"")</f>
        <v/>
      </c>
      <c r="C387" s="108" t="str">
        <f>IFERROR(AVERAGE(Table1624[[#This Row],[September 30, 2025]:[Column18]]),"N/A")</f>
        <v>N/A</v>
      </c>
      <c r="D387" s="26" t="str">
        <f>IFERROR(_xlfn.PERCENTRANK.INC(Table4[True Rank],_xlfn.XLOOKUP(Table1624[[#This Row],[Name]],Table4[Name],Table4[True Rank],"DNP",0,1)),"DNP")</f>
        <v>DNP</v>
      </c>
      <c r="E387" s="26" t="str">
        <f>IFERROR(_xlfn.PERCENTRANK.INC(Table9[True Rank],_xlfn.XLOOKUP(Table1624[[#This Row],[Name]],Table9[Name],Table9[True Rank],"DNP",0,1)),"DNP")</f>
        <v>DNP</v>
      </c>
      <c r="F387" s="26" t="str">
        <f>IFERROR(_xlfn.PERCENTRANK.INC(Table18[True Rank],_xlfn.XLOOKUP(Table1624[[#This Row],[Name]],Table18[Name],Table18[True Rank],"DNP",0,1)),"DNP")</f>
        <v>DNP</v>
      </c>
      <c r="G387" s="26" t="str">
        <f>IFERROR(_xlfn.PERCENTRANK.INC(Table2[True Rank],_xlfn.XLOOKUP(Table1624[[#This Row],[Name]],Table2[Name],Table2[True Rank],"DNP",0,1)),"DNP")</f>
        <v>DNP</v>
      </c>
      <c r="H387" s="26" t="str">
        <f>IFERROR(_xlfn.PERCENTRANK.INC(Table211[True Rank],_xlfn.XLOOKUP(Table1624[[#This Row],[Name]],Table211[Name],Table211[True Rank],"DNP",0,1)),"DNP")</f>
        <v>DNP</v>
      </c>
      <c r="I387" s="26" t="str">
        <f>IFERROR(_xlfn.PERCENTRANK.INC(Table21112[True Rank],_xlfn.XLOOKUP(Table1624[[#This Row],[Name]],Table21112[Name],Table21112[True Rank],"DNP",0,1)),"DNP")</f>
        <v>DNP</v>
      </c>
      <c r="J387" s="26" t="str">
        <f>IFERROR(_xlfn.PERCENTRANK.INC(Table21112164[True Rank],_xlfn.XLOOKUP(Table1624[[#This Row],[Name]],Table21112164[Name],Table21112164[True Rank],"DNP",0,1)),"DNP")</f>
        <v>DNP</v>
      </c>
      <c r="K387" s="26" t="str">
        <f>IFERROR(_xlfn.PERCENTRANK.INC(Table2111216420[True Rank],_xlfn.XLOOKUP(Table1624[[#This Row],[Name]],Table2111216420[Name],Table2111216420[True Rank],"DNP",0,1)),"DNP")</f>
        <v>DNP</v>
      </c>
      <c r="L387" s="26" t="str">
        <f>IFERROR(_xlfn.PERCENTRANK.INC(Table211121642021[True Rank],_xlfn.XLOOKUP(Table1624[[#This Row],[Name]],Table211121642021[Name],Table211121642021[True Rank],"DNP",0,1)),"DNP")</f>
        <v>DNP</v>
      </c>
      <c r="M387" s="26" t="str">
        <f>IFERROR(_xlfn.PERCENTRANK.INC(Table21112164202122[True Rank],_xlfn.XLOOKUP(Table1624[[#This Row],[Name]],Table21112164202122[Name],Table21112164202122[True Rank],"DNP",0,1)),"DNP")</f>
        <v>DNP</v>
      </c>
      <c r="N387" s="26" t="str">
        <f>IFERROR(_xlfn.PERCENTRANK.INC(Table2111216420212223[True Rank],_xlfn.XLOOKUP(Table1624[[#This Row],[Name]],Table2111216420212223[Name],Table2111216420212223[True Rank],"DNP",0,1)),"DNP")</f>
        <v>DNP</v>
      </c>
      <c r="O387" s="26" t="str">
        <f>IFERROR(_xlfn.PERCENTRANK.INC(Table211121642021222325[True Rank],_xlfn.XLOOKUP(Table1624[[#This Row],[Name]],Table211121642021222325[Name],Table211121642021222325[True Rank],"DNP",0,1)),"DNP")</f>
        <v>DNP</v>
      </c>
      <c r="P387" s="26" t="str">
        <f>IFERROR(_xlfn.PERCENTRANK.INC(Table21112164202122232534[True Rank],_xlfn.XLOOKUP(Table1624[[#This Row],[Name]],Table21112164202122232534[Name],Table21112164202122232534[True Rank],"DNP",0,1)),"DNP")</f>
        <v>DNP</v>
      </c>
      <c r="Q387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7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7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7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 spans="2:33">
      <c r="B388" t="str">
        <f>IFERROR(Table5[[#This Row],[Full name]],"")</f>
        <v/>
      </c>
      <c r="C388" s="108" t="str">
        <f>IFERROR(AVERAGE(Table1624[[#This Row],[September 30, 2025]:[Column18]]),"N/A")</f>
        <v>N/A</v>
      </c>
      <c r="D388" s="26" t="str">
        <f>IFERROR(_xlfn.PERCENTRANK.INC(Table4[True Rank],_xlfn.XLOOKUP(Table1624[[#This Row],[Name]],Table4[Name],Table4[True Rank],"DNP",0,1)),"DNP")</f>
        <v>DNP</v>
      </c>
      <c r="E388" s="26" t="str">
        <f>IFERROR(_xlfn.PERCENTRANK.INC(Table9[True Rank],_xlfn.XLOOKUP(Table1624[[#This Row],[Name]],Table9[Name],Table9[True Rank],"DNP",0,1)),"DNP")</f>
        <v>DNP</v>
      </c>
      <c r="F388" s="26" t="str">
        <f>IFERROR(_xlfn.PERCENTRANK.INC(Table18[True Rank],_xlfn.XLOOKUP(Table1624[[#This Row],[Name]],Table18[Name],Table18[True Rank],"DNP",0,1)),"DNP")</f>
        <v>DNP</v>
      </c>
      <c r="G388" s="26" t="str">
        <f>IFERROR(_xlfn.PERCENTRANK.INC(Table2[True Rank],_xlfn.XLOOKUP(Table1624[[#This Row],[Name]],Table2[Name],Table2[True Rank],"DNP",0,1)),"DNP")</f>
        <v>DNP</v>
      </c>
      <c r="H388" s="26" t="str">
        <f>IFERROR(_xlfn.PERCENTRANK.INC(Table211[True Rank],_xlfn.XLOOKUP(Table1624[[#This Row],[Name]],Table211[Name],Table211[True Rank],"DNP",0,1)),"DNP")</f>
        <v>DNP</v>
      </c>
      <c r="I388" s="26" t="str">
        <f>IFERROR(_xlfn.PERCENTRANK.INC(Table21112[True Rank],_xlfn.XLOOKUP(Table1624[[#This Row],[Name]],Table21112[Name],Table21112[True Rank],"DNP",0,1)),"DNP")</f>
        <v>DNP</v>
      </c>
      <c r="J388" s="26" t="str">
        <f>IFERROR(_xlfn.PERCENTRANK.INC(Table21112164[True Rank],_xlfn.XLOOKUP(Table1624[[#This Row],[Name]],Table21112164[Name],Table21112164[True Rank],"DNP",0,1)),"DNP")</f>
        <v>DNP</v>
      </c>
      <c r="K388" s="26" t="str">
        <f>IFERROR(_xlfn.PERCENTRANK.INC(Table2111216420[True Rank],_xlfn.XLOOKUP(Table1624[[#This Row],[Name]],Table2111216420[Name],Table2111216420[True Rank],"DNP",0,1)),"DNP")</f>
        <v>DNP</v>
      </c>
      <c r="L388" s="26" t="str">
        <f>IFERROR(_xlfn.PERCENTRANK.INC(Table211121642021[True Rank],_xlfn.XLOOKUP(Table1624[[#This Row],[Name]],Table211121642021[Name],Table211121642021[True Rank],"DNP",0,1)),"DNP")</f>
        <v>DNP</v>
      </c>
      <c r="M388" s="26" t="str">
        <f>IFERROR(_xlfn.PERCENTRANK.INC(Table21112164202122[True Rank],_xlfn.XLOOKUP(Table1624[[#This Row],[Name]],Table21112164202122[Name],Table21112164202122[True Rank],"DNP",0,1)),"DNP")</f>
        <v>DNP</v>
      </c>
      <c r="N388" s="26" t="str">
        <f>IFERROR(_xlfn.PERCENTRANK.INC(Table2111216420212223[True Rank],_xlfn.XLOOKUP(Table1624[[#This Row],[Name]],Table2111216420212223[Name],Table2111216420212223[True Rank],"DNP",0,1)),"DNP")</f>
        <v>DNP</v>
      </c>
      <c r="O388" s="26" t="str">
        <f>IFERROR(_xlfn.PERCENTRANK.INC(Table211121642021222325[True Rank],_xlfn.XLOOKUP(Table1624[[#This Row],[Name]],Table211121642021222325[Name],Table211121642021222325[True Rank],"DNP",0,1)),"DNP")</f>
        <v>DNP</v>
      </c>
      <c r="P388" s="26" t="str">
        <f>IFERROR(_xlfn.PERCENTRANK.INC(Table21112164202122232534[True Rank],_xlfn.XLOOKUP(Table1624[[#This Row],[Name]],Table21112164202122232534[Name],Table21112164202122232534[True Rank],"DNP",0,1)),"DNP")</f>
        <v>DNP</v>
      </c>
      <c r="Q388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8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8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8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 spans="2:33">
      <c r="B389" t="str">
        <f>IFERROR(Table5[[#This Row],[Full name]],"")</f>
        <v/>
      </c>
      <c r="C389" s="108" t="str">
        <f>IFERROR(AVERAGE(Table1624[[#This Row],[September 30, 2025]:[Column18]]),"N/A")</f>
        <v>N/A</v>
      </c>
      <c r="D389" s="26" t="str">
        <f>IFERROR(_xlfn.PERCENTRANK.INC(Table4[True Rank],_xlfn.XLOOKUP(Table1624[[#This Row],[Name]],Table4[Name],Table4[True Rank],"DNP",0,1)),"DNP")</f>
        <v>DNP</v>
      </c>
      <c r="E389" s="26" t="str">
        <f>IFERROR(_xlfn.PERCENTRANK.INC(Table9[True Rank],_xlfn.XLOOKUP(Table1624[[#This Row],[Name]],Table9[Name],Table9[True Rank],"DNP",0,1)),"DNP")</f>
        <v>DNP</v>
      </c>
      <c r="F389" s="26" t="str">
        <f>IFERROR(_xlfn.PERCENTRANK.INC(Table18[True Rank],_xlfn.XLOOKUP(Table1624[[#This Row],[Name]],Table18[Name],Table18[True Rank],"DNP",0,1)),"DNP")</f>
        <v>DNP</v>
      </c>
      <c r="G389" s="26" t="str">
        <f>IFERROR(_xlfn.PERCENTRANK.INC(Table2[True Rank],_xlfn.XLOOKUP(Table1624[[#This Row],[Name]],Table2[Name],Table2[True Rank],"DNP",0,1)),"DNP")</f>
        <v>DNP</v>
      </c>
      <c r="H389" s="26" t="str">
        <f>IFERROR(_xlfn.PERCENTRANK.INC(Table211[True Rank],_xlfn.XLOOKUP(Table1624[[#This Row],[Name]],Table211[Name],Table211[True Rank],"DNP",0,1)),"DNP")</f>
        <v>DNP</v>
      </c>
      <c r="I389" s="26" t="str">
        <f>IFERROR(_xlfn.PERCENTRANK.INC(Table21112[True Rank],_xlfn.XLOOKUP(Table1624[[#This Row],[Name]],Table21112[Name],Table21112[True Rank],"DNP",0,1)),"DNP")</f>
        <v>DNP</v>
      </c>
      <c r="J389" s="26" t="str">
        <f>IFERROR(_xlfn.PERCENTRANK.INC(Table21112164[True Rank],_xlfn.XLOOKUP(Table1624[[#This Row],[Name]],Table21112164[Name],Table21112164[True Rank],"DNP",0,1)),"DNP")</f>
        <v>DNP</v>
      </c>
      <c r="K389" s="26" t="str">
        <f>IFERROR(_xlfn.PERCENTRANK.INC(Table2111216420[True Rank],_xlfn.XLOOKUP(Table1624[[#This Row],[Name]],Table2111216420[Name],Table2111216420[True Rank],"DNP",0,1)),"DNP")</f>
        <v>DNP</v>
      </c>
      <c r="L389" s="26" t="str">
        <f>IFERROR(_xlfn.PERCENTRANK.INC(Table211121642021[True Rank],_xlfn.XLOOKUP(Table1624[[#This Row],[Name]],Table211121642021[Name],Table211121642021[True Rank],"DNP",0,1)),"DNP")</f>
        <v>DNP</v>
      </c>
      <c r="M389" s="26" t="str">
        <f>IFERROR(_xlfn.PERCENTRANK.INC(Table21112164202122[True Rank],_xlfn.XLOOKUP(Table1624[[#This Row],[Name]],Table21112164202122[Name],Table21112164202122[True Rank],"DNP",0,1)),"DNP")</f>
        <v>DNP</v>
      </c>
      <c r="N389" s="26" t="str">
        <f>IFERROR(_xlfn.PERCENTRANK.INC(Table2111216420212223[True Rank],_xlfn.XLOOKUP(Table1624[[#This Row],[Name]],Table2111216420212223[Name],Table2111216420212223[True Rank],"DNP",0,1)),"DNP")</f>
        <v>DNP</v>
      </c>
      <c r="O389" s="26" t="str">
        <f>IFERROR(_xlfn.PERCENTRANK.INC(Table211121642021222325[True Rank],_xlfn.XLOOKUP(Table1624[[#This Row],[Name]],Table211121642021222325[Name],Table211121642021222325[True Rank],"DNP",0,1)),"DNP")</f>
        <v>DNP</v>
      </c>
      <c r="P389" s="26" t="str">
        <f>IFERROR(_xlfn.PERCENTRANK.INC(Table21112164202122232534[True Rank],_xlfn.XLOOKUP(Table1624[[#This Row],[Name]],Table21112164202122232534[Name],Table21112164202122232534[True Rank],"DNP",0,1)),"DNP")</f>
        <v>DNP</v>
      </c>
      <c r="Q389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89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89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89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 spans="2:33">
      <c r="B390" t="str">
        <f>IFERROR(Table5[[#This Row],[Full name]],"")</f>
        <v/>
      </c>
      <c r="C390" s="108" t="str">
        <f>IFERROR(AVERAGE(Table1624[[#This Row],[September 30, 2025]:[Column18]]),"N/A")</f>
        <v>N/A</v>
      </c>
      <c r="D390" s="26" t="str">
        <f>IFERROR(_xlfn.PERCENTRANK.INC(Table4[True Rank],_xlfn.XLOOKUP(Table1624[[#This Row],[Name]],Table4[Name],Table4[True Rank],"DNP",0,1)),"DNP")</f>
        <v>DNP</v>
      </c>
      <c r="E390" s="26" t="str">
        <f>IFERROR(_xlfn.PERCENTRANK.INC(Table9[True Rank],_xlfn.XLOOKUP(Table1624[[#This Row],[Name]],Table9[Name],Table9[True Rank],"DNP",0,1)),"DNP")</f>
        <v>DNP</v>
      </c>
      <c r="F390" s="26" t="str">
        <f>IFERROR(_xlfn.PERCENTRANK.INC(Table18[True Rank],_xlfn.XLOOKUP(Table1624[[#This Row],[Name]],Table18[Name],Table18[True Rank],"DNP",0,1)),"DNP")</f>
        <v>DNP</v>
      </c>
      <c r="G390" s="26" t="str">
        <f>IFERROR(_xlfn.PERCENTRANK.INC(Table2[True Rank],_xlfn.XLOOKUP(Table1624[[#This Row],[Name]],Table2[Name],Table2[True Rank],"DNP",0,1)),"DNP")</f>
        <v>DNP</v>
      </c>
      <c r="H390" s="26" t="str">
        <f>IFERROR(_xlfn.PERCENTRANK.INC(Table211[True Rank],_xlfn.XLOOKUP(Table1624[[#This Row],[Name]],Table211[Name],Table211[True Rank],"DNP",0,1)),"DNP")</f>
        <v>DNP</v>
      </c>
      <c r="I390" s="26" t="str">
        <f>IFERROR(_xlfn.PERCENTRANK.INC(Table21112[True Rank],_xlfn.XLOOKUP(Table1624[[#This Row],[Name]],Table21112[Name],Table21112[True Rank],"DNP",0,1)),"DNP")</f>
        <v>DNP</v>
      </c>
      <c r="J390" s="26" t="str">
        <f>IFERROR(_xlfn.PERCENTRANK.INC(Table21112164[True Rank],_xlfn.XLOOKUP(Table1624[[#This Row],[Name]],Table21112164[Name],Table21112164[True Rank],"DNP",0,1)),"DNP")</f>
        <v>DNP</v>
      </c>
      <c r="K390" s="26" t="str">
        <f>IFERROR(_xlfn.PERCENTRANK.INC(Table2111216420[True Rank],_xlfn.XLOOKUP(Table1624[[#This Row],[Name]],Table2111216420[Name],Table2111216420[True Rank],"DNP",0,1)),"DNP")</f>
        <v>DNP</v>
      </c>
      <c r="L390" s="26" t="str">
        <f>IFERROR(_xlfn.PERCENTRANK.INC(Table211121642021[True Rank],_xlfn.XLOOKUP(Table1624[[#This Row],[Name]],Table211121642021[Name],Table211121642021[True Rank],"DNP",0,1)),"DNP")</f>
        <v>DNP</v>
      </c>
      <c r="M390" s="26" t="str">
        <f>IFERROR(_xlfn.PERCENTRANK.INC(Table21112164202122[True Rank],_xlfn.XLOOKUP(Table1624[[#This Row],[Name]],Table21112164202122[Name],Table21112164202122[True Rank],"DNP",0,1)),"DNP")</f>
        <v>DNP</v>
      </c>
      <c r="N390" s="26" t="str">
        <f>IFERROR(_xlfn.PERCENTRANK.INC(Table2111216420212223[True Rank],_xlfn.XLOOKUP(Table1624[[#This Row],[Name]],Table2111216420212223[Name],Table2111216420212223[True Rank],"DNP",0,1)),"DNP")</f>
        <v>DNP</v>
      </c>
      <c r="O390" s="26" t="str">
        <f>IFERROR(_xlfn.PERCENTRANK.INC(Table211121642021222325[True Rank],_xlfn.XLOOKUP(Table1624[[#This Row],[Name]],Table211121642021222325[Name],Table211121642021222325[True Rank],"DNP",0,1)),"DNP")</f>
        <v>DNP</v>
      </c>
      <c r="P390" s="26" t="str">
        <f>IFERROR(_xlfn.PERCENTRANK.INC(Table21112164202122232534[True Rank],_xlfn.XLOOKUP(Table1624[[#This Row],[Name]],Table21112164202122232534[Name],Table21112164202122232534[True Rank],"DNP",0,1)),"DNP")</f>
        <v>DNP</v>
      </c>
      <c r="Q390" s="26" t="str">
        <f>IFERROR(_xlfn.PERCENTRANK.INC(Table2111216420212223253435[True Rank],_xlfn.XLOOKUP(Table1624[[#This Row],[Name]],Table2111216420212223253435[Name],Table2111216420212223253435[True Rank],"DNP",0,1)),"DNP")</f>
        <v>DNP</v>
      </c>
      <c r="R390" s="26" t="str">
        <f>IFERROR(_xlfn.PERCENTRANK.INC(Table211121642021222325343536[True Rank],_xlfn.XLOOKUP(Table1624[[#This Row],[Name]],Table211121642021222325343536[Name],Table211121642021222325343536[True Rank],"DNP",0,1)),"DNP")</f>
        <v>DNP</v>
      </c>
      <c r="S390" s="26" t="str">
        <f>IFERROR(_xlfn.PERCENTRANK.INC(Table21112164202122232534353637[True Rank],_xlfn.XLOOKUP(Table1624[[#This Row],[Name]],Table21112164202122232534353637[Name],Table21112164202122232534353637[True Rank],"DNP",0,1)),"DNP")</f>
        <v>DNP</v>
      </c>
      <c r="T390" s="26" t="str">
        <f>IFERROR(_xlfn.PERCENTRANK.INC(Table2111216420212223253435363738[True Rank],_xlfn.XLOOKUP(Table1624[[#This Row],[Name]],Table2111216420212223253435363738[Name],Table2111216420212223253435363738[True Rank],"DNP",0,1)),"DNP")</f>
        <v>DNP</v>
      </c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</sheetData>
  <conditionalFormatting sqref="A1">
    <cfRule type="expression" dxfId="51" priority="3">
      <formula>A1&lt;40%</formula>
    </cfRule>
  </conditionalFormatting>
  <conditionalFormatting sqref="C6:AG390">
    <cfRule type="colorScale" priority="1">
      <colorScale>
        <cfvo type="percent" val="0"/>
        <cfvo type="percentile" val="50"/>
        <cfvo type="percent" val="100"/>
        <color rgb="FF2A77C4"/>
        <color rgb="FF8DBAE7"/>
        <color theme="0"/>
      </colorScale>
    </cfRule>
    <cfRule type="colorScale" priority="4">
      <colorScale>
        <cfvo type="percent" val="0"/>
        <cfvo type="percent" val="100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C83A40-1A32-4856-9112-46301CF0F6A9}">
          <x14:formula1>
            <xm:f>Structures!$O$3:$O$33</xm:f>
          </x14:formula1>
          <xm:sqref>D5:AG5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60F3-6742-4BA8-B29B-017CB6E7AC5C}">
  <sheetPr codeName="Sheet4"/>
  <dimension ref="A3:K600"/>
  <sheetViews>
    <sheetView topLeftCell="A68" zoomScale="84" zoomScaleNormal="90" workbookViewId="0">
      <selection activeCell="C2" sqref="C2"/>
    </sheetView>
  </sheetViews>
  <sheetFormatPr defaultColWidth="9.140625" defaultRowHeight="16.5"/>
  <cols>
    <col min="1" max="1" width="12.42578125" style="56" customWidth="1"/>
    <col min="2" max="2" width="18.85546875" style="56" customWidth="1"/>
    <col min="3" max="3" width="26.140625" style="56" bestFit="1" customWidth="1"/>
    <col min="4" max="4" width="9.140625" style="56" bestFit="1" customWidth="1"/>
    <col min="5" max="5" width="14.42578125" style="56" customWidth="1"/>
    <col min="6" max="6" width="24.140625" style="56" customWidth="1"/>
    <col min="7" max="7" width="23.85546875" style="56" customWidth="1"/>
    <col min="8" max="8" width="23.42578125" style="56" bestFit="1" customWidth="1"/>
    <col min="9" max="9" width="20" style="56" bestFit="1" customWidth="1"/>
    <col min="10" max="10" width="26.85546875" style="56" bestFit="1" customWidth="1"/>
    <col min="11" max="11" width="10.7109375" style="56" customWidth="1"/>
    <col min="12" max="16384" width="9.140625" style="56"/>
  </cols>
  <sheetData>
    <row r="3" spans="1:11" ht="24.75">
      <c r="D3" s="170" t="s">
        <v>1193</v>
      </c>
      <c r="E3" s="170"/>
      <c r="F3" s="170"/>
      <c r="G3" s="170"/>
      <c r="H3" s="170"/>
      <c r="I3" s="170"/>
      <c r="J3" s="170"/>
    </row>
    <row r="4" spans="1:11" ht="17.25" thickBot="1">
      <c r="E4" s="56" t="s">
        <v>1194</v>
      </c>
      <c r="F4" s="56" t="s">
        <v>1195</v>
      </c>
      <c r="G4" s="56" t="s">
        <v>1196</v>
      </c>
      <c r="H4" s="56" t="s">
        <v>1197</v>
      </c>
      <c r="I4" s="56" t="s">
        <v>1198</v>
      </c>
      <c r="J4" s="56" t="s">
        <v>1199</v>
      </c>
      <c r="K4" s="56" t="s">
        <v>1200</v>
      </c>
    </row>
    <row r="5" spans="1:11" ht="15.75" customHeight="1">
      <c r="A5" s="63"/>
      <c r="B5" s="79" t="s">
        <v>177</v>
      </c>
      <c r="C5" s="80" t="s">
        <v>17</v>
      </c>
      <c r="D5" s="81" t="s">
        <v>179</v>
      </c>
      <c r="E5" s="63" t="s">
        <v>1201</v>
      </c>
      <c r="F5" s="63" t="s">
        <v>1202</v>
      </c>
      <c r="G5" s="63" t="s">
        <v>1203</v>
      </c>
      <c r="H5" s="63" t="s">
        <v>1204</v>
      </c>
      <c r="I5" s="63" t="s">
        <v>1205</v>
      </c>
      <c r="J5" s="63" t="s">
        <v>1206</v>
      </c>
      <c r="K5" s="63" t="s">
        <v>1207</v>
      </c>
    </row>
    <row r="6" spans="1:11" ht="15" customHeight="1">
      <c r="A6" s="69"/>
      <c r="B6" s="82">
        <f>INDEX(AllTime1[All-time rank], MATCH(SMALL(AllTime1[Helper], ROW(Structures!$G1)), AllTime1[Helper], 0))</f>
        <v>1</v>
      </c>
      <c r="C6" s="64" t="str">
        <f>TEXT(INDEX(AllTime1[Name], MATCH(SMALL(AllTime1[Helper], ROW(Structures!$G1)), AllTime1[Helper], 0)),"@")</f>
        <v>Sam Ahn</v>
      </c>
      <c r="D6" s="64">
        <f>INDEX(AllTime1[All-time score], MATCH(LARGE(AllTime1[Helper2], ROW(Structures!$G1)), AllTime1[Helper2], 0))</f>
        <v>216</v>
      </c>
      <c r="E6" s="64">
        <f>COUNTIF(_xlfn.XLOOKUP(Table1215[[#This Row],[Name]],Table16[Name],Table16[[September 30, 2025]:[Column18]],,0,1),"&gt;=0")</f>
        <v>18</v>
      </c>
      <c r="F6" s="109">
        <f>_xlfn.XLOOKUP(Table1215[[#This Row],[Name]],Table1624[Name],Table1624[Totals],,0,1)</f>
        <v>0.26318750000000002</v>
      </c>
      <c r="G6" s="65">
        <f>IFERROR(Table1215[[#This Row],[Points]]/Table1215[[#This Row],[GP]],"N/A")</f>
        <v>12</v>
      </c>
      <c r="H6" s="64">
        <f>COUNTIF(_xlfn.XLOOKUP(Table1215[[#This Row],[Name]],Table16[Name],Table16[[September 30, 2025]:[Column18]],,0,1),"&gt;=8")</f>
        <v>8</v>
      </c>
      <c r="I6" s="110">
        <f>IFERROR(AVERAGEIF(_xlfn.XLOOKUP(Table1215[[#This Row],[Name]],Table16[Name],Table16[[September 30, 2025]:[Column18]],,0,1),"&gt;=8"),"N/A")</f>
        <v>24.75</v>
      </c>
      <c r="J6" s="66">
        <f>IFERROR(Table1215[[#This Row],[FTA]]/Table1215[[#This Row],[GP]],"N/A")</f>
        <v>0.44444444444444442</v>
      </c>
      <c r="K6" s="64">
        <f>COUNTIF(_xlfn.XLOOKUP(Table1215[[#This Row],[Name]],Table16[Name],Table16[[September 30, 2025]:[Column18]],,0,1),"&gt;=15")</f>
        <v>5</v>
      </c>
    </row>
    <row r="7" spans="1:11">
      <c r="A7" s="69"/>
      <c r="B7" s="82">
        <f>INDEX(AllTime1[All-time rank], MATCH(SMALL(AllTime1[Helper], ROW(Structures!$G2)), AllTime1[Helper], 0))</f>
        <v>2</v>
      </c>
      <c r="C7" s="64" t="str">
        <f>TEXT(INDEX(AllTime1[Name], MATCH(SMALL(AllTime1[Helper], ROW(Structures!$G2)), AllTime1[Helper], 0)),"@")</f>
        <v>Liam Carter</v>
      </c>
      <c r="D7" s="64">
        <f>INDEX(AllTime1[All-time score], MATCH(LARGE(AllTime1[Helper2], ROW(Structures!$G2)), AllTime1[Helper2], 0))</f>
        <v>138</v>
      </c>
      <c r="E7" s="64">
        <f>COUNTIF(_xlfn.XLOOKUP(Table1215[[#This Row],[Name]],Table16[Name],Table16[[September 30, 2025]:[Column18]],,0,1),"&gt;=0")</f>
        <v>12</v>
      </c>
      <c r="F7" s="109">
        <f>_xlfn.XLOOKUP(Table1215[[#This Row],[Name]],Table1624[Name],Table1624[Totals],,0,1)</f>
        <v>0.21049999999999996</v>
      </c>
      <c r="G7" s="65">
        <f>IFERROR(Table1215[[#This Row],[Points]]/Table1215[[#This Row],[GP]],"N/A")</f>
        <v>11.5</v>
      </c>
      <c r="H7" s="64">
        <f>COUNTIF(_xlfn.XLOOKUP(Table1215[[#This Row],[Name]],Table16[Name],Table16[[September 30, 2025]:[Column18]],,0,1),"&gt;=8")</f>
        <v>4</v>
      </c>
      <c r="I7" s="110">
        <f>IFERROR(AVERAGEIF(_xlfn.XLOOKUP(Table1215[[#This Row],[Name]],Table16[Name],Table16[[September 30, 2025]:[Column18]],,0,1),"&gt;=8"),"N/A")</f>
        <v>29</v>
      </c>
      <c r="J7" s="66">
        <f>IFERROR(Table1215[[#This Row],[FTA]]/Table1215[[#This Row],[GP]],"N/A")</f>
        <v>0.33333333333333331</v>
      </c>
      <c r="K7" s="67">
        <f>COUNTIF(_xlfn.XLOOKUP(Table1215[[#This Row],[Name]],Table16[Name],Table16[[September 30, 2025]:[Column18]],,0,1),"&gt;=15")</f>
        <v>4</v>
      </c>
    </row>
    <row r="8" spans="1:11">
      <c r="A8" s="69"/>
      <c r="B8" s="82">
        <f>INDEX(AllTime1[All-time rank], MATCH(SMALL(AllTime1[Helper], ROW(Structures!$G3)), AllTime1[Helper], 0))</f>
        <v>3</v>
      </c>
      <c r="C8" s="64" t="str">
        <f>TEXT(INDEX(AllTime1[Name], MATCH(SMALL(AllTime1[Helper], ROW(Structures!$G3)), AllTime1[Helper], 0)),"@")</f>
        <v>Samuel Sax-Marton</v>
      </c>
      <c r="D8" s="64">
        <f>INDEX(AllTime1[All-time score], MATCH(LARGE(AllTime1[Helper2], ROW(Structures!$G3)), AllTime1[Helper2], 0))</f>
        <v>110</v>
      </c>
      <c r="E8" s="64">
        <f>COUNTIF(_xlfn.XLOOKUP(Table1215[[#This Row],[Name]],Table16[Name],Table16[[September 30, 2025]:[Column18]],,0,1),"&gt;=0")</f>
        <v>17</v>
      </c>
      <c r="F8" s="109">
        <f>_xlfn.XLOOKUP(Table1215[[#This Row],[Name]],Table1624[Name],Table1624[Totals],,0,1)</f>
        <v>0.3992666666666666</v>
      </c>
      <c r="G8" s="65">
        <f>IFERROR(Table1215[[#This Row],[Points]]/Table1215[[#This Row],[GP]],"N/A")</f>
        <v>6.4705882352941178</v>
      </c>
      <c r="H8" s="64">
        <f>COUNTIF(_xlfn.XLOOKUP(Table1215[[#This Row],[Name]],Table16[Name],Table16[[September 30, 2025]:[Column18]],,0,1),"&gt;=8")</f>
        <v>4</v>
      </c>
      <c r="I8" s="110">
        <f>IFERROR(AVERAGEIF(_xlfn.XLOOKUP(Table1215[[#This Row],[Name]],Table16[Name],Table16[[September 30, 2025]:[Column18]],,0,1),"&gt;=8"),"N/A")</f>
        <v>21.5</v>
      </c>
      <c r="J8" s="66">
        <f>IFERROR(Table1215[[#This Row],[FTA]]/Table1215[[#This Row],[GP]],"N/A")</f>
        <v>0.23529411764705882</v>
      </c>
      <c r="K8" s="67">
        <f>COUNTIF(_xlfn.XLOOKUP(Table1215[[#This Row],[Name]],Table16[Name],Table16[[September 30, 2025]:[Column18]],,0,1),"&gt;=15")</f>
        <v>2</v>
      </c>
    </row>
    <row r="9" spans="1:11">
      <c r="A9" s="69"/>
      <c r="B9" s="82">
        <f>INDEX(AllTime1[All-time rank], MATCH(SMALL(AllTime1[Helper], ROW(Structures!$G4)), AllTime1[Helper], 0))</f>
        <v>4</v>
      </c>
      <c r="C9" s="64" t="str">
        <f>TEXT(INDEX(AllTime1[Name], MATCH(SMALL(AllTime1[Helper], ROW(Structures!$G4)), AllTime1[Helper], 0)),"@")</f>
        <v>Taidhg Tajalli</v>
      </c>
      <c r="D9" s="64">
        <f>INDEX(AllTime1[All-time score], MATCH(LARGE(AllTime1[Helper2], ROW(Structures!$G4)), AllTime1[Helper2], 0))</f>
        <v>101</v>
      </c>
      <c r="E9" s="64">
        <f>COUNTIF(_xlfn.XLOOKUP(Table1215[[#This Row],[Name]],Table16[Name],Table16[[September 30, 2025]:[Column18]],,0,1),"&gt;=0")</f>
        <v>15</v>
      </c>
      <c r="F9" s="109">
        <f>_xlfn.XLOOKUP(Table1215[[#This Row],[Name]],Table1624[Name],Table1624[Totals],,0,1)</f>
        <v>0.44771428571428579</v>
      </c>
      <c r="G9" s="65">
        <f>IFERROR(Table1215[[#This Row],[Points]]/Table1215[[#This Row],[GP]],"N/A")</f>
        <v>6.7333333333333334</v>
      </c>
      <c r="H9" s="64">
        <f>COUNTIF(_xlfn.XLOOKUP(Table1215[[#This Row],[Name]],Table16[Name],Table16[[September 30, 2025]:[Column18]],,0,1),"&gt;=8")</f>
        <v>4</v>
      </c>
      <c r="I9" s="110">
        <f>IFERROR(AVERAGEIF(_xlfn.XLOOKUP(Table1215[[#This Row],[Name]],Table16[Name],Table16[[September 30, 2025]:[Column18]],,0,1),"&gt;=8"),"N/A")</f>
        <v>20</v>
      </c>
      <c r="J9" s="66">
        <f>IFERROR(Table1215[[#This Row],[FTA]]/Table1215[[#This Row],[GP]],"N/A")</f>
        <v>0.26666666666666666</v>
      </c>
      <c r="K9" s="67">
        <f>COUNTIF(_xlfn.XLOOKUP(Table1215[[#This Row],[Name]],Table16[Name],Table16[[September 30, 2025]:[Column18]],,0,1),"&gt;=15")</f>
        <v>1</v>
      </c>
    </row>
    <row r="10" spans="1:11">
      <c r="A10" s="69"/>
      <c r="B10" s="82">
        <f>INDEX(AllTime1[All-time rank], MATCH(SMALL(AllTime1[Helper], ROW(Structures!$G5)), AllTime1[Helper], 0))</f>
        <v>5</v>
      </c>
      <c r="C10" s="64" t="str">
        <f>TEXT(INDEX(AllTime1[Name], MATCH(SMALL(AllTime1[Helper], ROW(Structures!$G5)), AllTime1[Helper], 0)),"@")</f>
        <v>Dipraman Ghosh</v>
      </c>
      <c r="D10" s="64">
        <f>INDEX(AllTime1[All-time score], MATCH(LARGE(AllTime1[Helper2], ROW(Structures!$G5)), AllTime1[Helper2], 0))</f>
        <v>98</v>
      </c>
      <c r="E10" s="64">
        <f>COUNTIF(_xlfn.XLOOKUP(Table1215[[#This Row],[Name]],Table16[Name],Table16[[September 30, 2025]:[Column18]],,0,1),"&gt;=0")</f>
        <v>7</v>
      </c>
      <c r="F10" s="109">
        <f>_xlfn.XLOOKUP(Table1215[[#This Row],[Name]],Table1624[Name],Table1624[Totals],,0,1)</f>
        <v>0.25240000000000001</v>
      </c>
      <c r="G10" s="65">
        <f>IFERROR(Table1215[[#This Row],[Points]]/Table1215[[#This Row],[GP]],"N/A")</f>
        <v>14</v>
      </c>
      <c r="H10" s="64">
        <f>COUNTIF(_xlfn.XLOOKUP(Table1215[[#This Row],[Name]],Table16[Name],Table16[[September 30, 2025]:[Column18]],,0,1),"&gt;=8")</f>
        <v>2</v>
      </c>
      <c r="I10" s="110">
        <f>IFERROR(AVERAGEIF(_xlfn.XLOOKUP(Table1215[[#This Row],[Name]],Table16[Name],Table16[[September 30, 2025]:[Column18]],,0,1),"&gt;=8"),"N/A")</f>
        <v>44</v>
      </c>
      <c r="J10" s="66">
        <f>IFERROR(Table1215[[#This Row],[FTA]]/Table1215[[#This Row],[GP]],"N/A")</f>
        <v>0.2857142857142857</v>
      </c>
      <c r="K10" s="67">
        <f>COUNTIF(_xlfn.XLOOKUP(Table1215[[#This Row],[Name]],Table16[Name],Table16[[September 30, 2025]:[Column18]],,0,1),"&gt;=15")</f>
        <v>2</v>
      </c>
    </row>
    <row r="11" spans="1:11">
      <c r="A11" s="69"/>
      <c r="B11" s="82">
        <f>INDEX(AllTime1[All-time rank], MATCH(SMALL(AllTime1[Helper], ROW(Structures!$G6)), AllTime1[Helper], 0))</f>
        <v>6</v>
      </c>
      <c r="C11" s="64" t="str">
        <f>TEXT(INDEX(AllTime1[Name], MATCH(SMALL(AllTime1[Helper], ROW(Structures!$G6)), AllTime1[Helper], 0)),"@")</f>
        <v>Elliott Beames</v>
      </c>
      <c r="D11" s="64">
        <f>INDEX(AllTime1[All-time score], MATCH(LARGE(AllTime1[Helper2], ROW(Structures!$G6)), AllTime1[Helper2], 0))</f>
        <v>94</v>
      </c>
      <c r="E11" s="64">
        <f>COUNTIF(_xlfn.XLOOKUP(Table1215[[#This Row],[Name]],Table16[Name],Table16[[September 30, 2025]:[Column18]],,0,1),"&gt;=0")</f>
        <v>15</v>
      </c>
      <c r="F11" s="109">
        <f>_xlfn.XLOOKUP(Table1215[[#This Row],[Name]],Table1624[Name],Table1624[Totals],,0,1)</f>
        <v>0.42615384615384616</v>
      </c>
      <c r="G11" s="65">
        <f>IFERROR(Table1215[[#This Row],[Points]]/Table1215[[#This Row],[GP]],"N/A")</f>
        <v>6.2666666666666666</v>
      </c>
      <c r="H11" s="64">
        <f>COUNTIF(_xlfn.XLOOKUP(Table1215[[#This Row],[Name]],Table16[Name],Table16[[September 30, 2025]:[Column18]],,0,1),"&gt;=8")</f>
        <v>4</v>
      </c>
      <c r="I11" s="110">
        <f>IFERROR(AVERAGEIF(_xlfn.XLOOKUP(Table1215[[#This Row],[Name]],Table16[Name],Table16[[September 30, 2025]:[Column18]],,0,1),"&gt;=8"),"N/A")</f>
        <v>18.5</v>
      </c>
      <c r="J11" s="66">
        <f>IFERROR(Table1215[[#This Row],[FTA]]/Table1215[[#This Row],[GP]],"N/A")</f>
        <v>0.26666666666666666</v>
      </c>
      <c r="K11" s="67">
        <f>COUNTIF(_xlfn.XLOOKUP(Table1215[[#This Row],[Name]],Table16[Name],Table16[[September 30, 2025]:[Column18]],,0,1),"&gt;=15")</f>
        <v>1</v>
      </c>
    </row>
    <row r="12" spans="1:11">
      <c r="A12" s="69"/>
      <c r="B12" s="82">
        <f>INDEX(AllTime1[All-time rank], MATCH(SMALL(AllTime1[Helper], ROW(Structures!$G7)), AllTime1[Helper], 0))</f>
        <v>7</v>
      </c>
      <c r="C12" s="64" t="str">
        <f>TEXT(INDEX(AllTime1[Name], MATCH(SMALL(AllTime1[Helper], ROW(Structures!$G7)), AllTime1[Helper], 0)),"@")</f>
        <v>Chris Kim</v>
      </c>
      <c r="D12" s="64">
        <f>INDEX(AllTime1[All-time score], MATCH(LARGE(AllTime1[Helper2], ROW(Structures!$G7)), AllTime1[Helper2], 0))</f>
        <v>82</v>
      </c>
      <c r="E12" s="64">
        <f>COUNTIF(_xlfn.XLOOKUP(Table1215[[#This Row],[Name]],Table16[Name],Table16[[September 30, 2025]:[Column18]],,0,1),"&gt;=0")</f>
        <v>8</v>
      </c>
      <c r="F12" s="109">
        <f>_xlfn.XLOOKUP(Table1215[[#This Row],[Name]],Table1624[Name],Table1624[Totals],,0,1)</f>
        <v>0.33087500000000003</v>
      </c>
      <c r="G12" s="65">
        <f>IFERROR(Table1215[[#This Row],[Points]]/Table1215[[#This Row],[GP]],"N/A")</f>
        <v>10.25</v>
      </c>
      <c r="H12" s="64">
        <f>COUNTIF(_xlfn.XLOOKUP(Table1215[[#This Row],[Name]],Table16[Name],Table16[[September 30, 2025]:[Column18]],,0,1),"&gt;=8")</f>
        <v>3</v>
      </c>
      <c r="I12" s="110">
        <f>IFERROR(AVERAGEIF(_xlfn.XLOOKUP(Table1215[[#This Row],[Name]],Table16[Name],Table16[[September 30, 2025]:[Column18]],,0,1),"&gt;=8"),"N/A")</f>
        <v>25</v>
      </c>
      <c r="J12" s="66">
        <f>IFERROR(Table1215[[#This Row],[FTA]]/Table1215[[#This Row],[GP]],"N/A")</f>
        <v>0.375</v>
      </c>
      <c r="K12" s="67">
        <f>COUNTIF(_xlfn.XLOOKUP(Table1215[[#This Row],[Name]],Table16[Name],Table16[[September 30, 2025]:[Column18]],,0,1),"&gt;=15")</f>
        <v>2</v>
      </c>
    </row>
    <row r="13" spans="1:11">
      <c r="A13" s="69"/>
      <c r="B13" s="82">
        <f>INDEX(AllTime1[All-time rank], MATCH(SMALL(AllTime1[Helper], ROW(Structures!$G8)), AllTime1[Helper], 0))</f>
        <v>8</v>
      </c>
      <c r="C13" s="64" t="str">
        <f>TEXT(INDEX(AllTime1[Name], MATCH(SMALL(AllTime1[Helper], ROW(Structures!$G8)), AllTime1[Helper], 0)),"@")</f>
        <v>Hatim Adamjee</v>
      </c>
      <c r="D13" s="64">
        <f>INDEX(AllTime1[All-time score], MATCH(LARGE(AllTime1[Helper2], ROW(Structures!$G8)), AllTime1[Helper2], 0))</f>
        <v>81</v>
      </c>
      <c r="E13" s="64">
        <f>COUNTIF(_xlfn.XLOOKUP(Table1215[[#This Row],[Name]],Table16[Name],Table16[[September 30, 2025]:[Column18]],,0,1),"&gt;=0")</f>
        <v>18</v>
      </c>
      <c r="F13" s="109">
        <f>_xlfn.XLOOKUP(Table1215[[#This Row],[Name]],Table1624[Name],Table1624[Totals],,0,1)</f>
        <v>0.48856249999999996</v>
      </c>
      <c r="G13" s="65">
        <f>IFERROR(Table1215[[#This Row],[Points]]/Table1215[[#This Row],[GP]],"N/A")</f>
        <v>4.5</v>
      </c>
      <c r="H13" s="64">
        <f>COUNTIF(_xlfn.XLOOKUP(Table1215[[#This Row],[Name]],Table16[Name],Table16[[September 30, 2025]:[Column18]],,0,1),"&gt;=8")</f>
        <v>4</v>
      </c>
      <c r="I13" s="110">
        <f>IFERROR(AVERAGEIF(_xlfn.XLOOKUP(Table1215[[#This Row],[Name]],Table16[Name],Table16[[September 30, 2025]:[Column18]],,0,1),"&gt;=8"),"N/A")</f>
        <v>14.5</v>
      </c>
      <c r="J13" s="66">
        <f>IFERROR(Table1215[[#This Row],[FTA]]/Table1215[[#This Row],[GP]],"N/A")</f>
        <v>0.22222222222222221</v>
      </c>
      <c r="K13" s="67">
        <f>COUNTIF(_xlfn.XLOOKUP(Table1215[[#This Row],[Name]],Table16[Name],Table16[[September 30, 2025]:[Column18]],,0,1),"&gt;=15")</f>
        <v>1</v>
      </c>
    </row>
    <row r="14" spans="1:11">
      <c r="A14" s="69"/>
      <c r="B14" s="82">
        <f>INDEX(AllTime1[All-time rank], MATCH(SMALL(AllTime1[Helper], ROW(Structures!$G9)), AllTime1[Helper], 0))</f>
        <v>8</v>
      </c>
      <c r="C14" s="64" t="str">
        <f>TEXT(INDEX(AllTime1[Name], MATCH(SMALL(AllTime1[Helper], ROW(Structures!$G9)), AllTime1[Helper], 0)),"@")</f>
        <v>River Jiang</v>
      </c>
      <c r="D14" s="64">
        <f>INDEX(AllTime1[All-time score], MATCH(LARGE(AllTime1[Helper2], ROW(Structures!$G9)), AllTime1[Helper2], 0))</f>
        <v>81</v>
      </c>
      <c r="E14" s="64">
        <f>COUNTIF(_xlfn.XLOOKUP(Table1215[[#This Row],[Name]],Table16[Name],Table16[[September 30, 2025]:[Column18]],,0,1),"&gt;=0")</f>
        <v>15</v>
      </c>
      <c r="F14" s="109">
        <f>_xlfn.XLOOKUP(Table1215[[#This Row],[Name]],Table1624[Name],Table1624[Totals],,0,1)</f>
        <v>0.31485714285714284</v>
      </c>
      <c r="G14" s="65">
        <f>IFERROR(Table1215[[#This Row],[Points]]/Table1215[[#This Row],[GP]],"N/A")</f>
        <v>5.4</v>
      </c>
      <c r="H14" s="64">
        <f>COUNTIF(_xlfn.XLOOKUP(Table1215[[#This Row],[Name]],Table16[Name],Table16[[September 30, 2025]:[Column18]],,0,1),"&gt;=8")</f>
        <v>4</v>
      </c>
      <c r="I14" s="110">
        <f>IFERROR(AVERAGEIF(_xlfn.XLOOKUP(Table1215[[#This Row],[Name]],Table16[Name],Table16[[September 30, 2025]:[Column18]],,0,1),"&gt;=8"),"N/A")</f>
        <v>15.25</v>
      </c>
      <c r="J14" s="66">
        <f>IFERROR(Table1215[[#This Row],[FTA]]/Table1215[[#This Row],[GP]],"N/A")</f>
        <v>0.26666666666666666</v>
      </c>
      <c r="K14" s="67">
        <f>COUNTIF(_xlfn.XLOOKUP(Table1215[[#This Row],[Name]],Table16[Name],Table16[[September 30, 2025]:[Column18]],,0,1),"&gt;=15")</f>
        <v>2</v>
      </c>
    </row>
    <row r="15" spans="1:11">
      <c r="A15" s="69"/>
      <c r="B15" s="82">
        <f>INDEX(AllTime1[All-time rank], MATCH(SMALL(AllTime1[Helper], ROW(Structures!$G10)), AllTime1[Helper], 0))</f>
        <v>10</v>
      </c>
      <c r="C15" s="64" t="str">
        <f>TEXT(INDEX(AllTime1[Name], MATCH(SMALL(AllTime1[Helper], ROW(Structures!$G10)), AllTime1[Helper], 0)),"@")</f>
        <v>Ian Imrie</v>
      </c>
      <c r="D15" s="64">
        <f>INDEX(AllTime1[All-time score], MATCH(LARGE(AllTime1[Helper2], ROW(Structures!$G10)), AllTime1[Helper2], 0))</f>
        <v>78</v>
      </c>
      <c r="E15" s="64">
        <f>COUNTIF(_xlfn.XLOOKUP(Table1215[[#This Row],[Name]],Table16[Name],Table16[[September 30, 2025]:[Column18]],,0,1),"&gt;=0")</f>
        <v>15</v>
      </c>
      <c r="F15" s="109">
        <f>_xlfn.XLOOKUP(Table1215[[#This Row],[Name]],Table1624[Name],Table1624[Totals],,0,1)</f>
        <v>0.49223076923076914</v>
      </c>
      <c r="G15" s="65">
        <f>IFERROR(Table1215[[#This Row],[Points]]/Table1215[[#This Row],[GP]],"N/A")</f>
        <v>5.2</v>
      </c>
      <c r="H15" s="64">
        <f>COUNTIF(_xlfn.XLOOKUP(Table1215[[#This Row],[Name]],Table16[Name],Table16[[September 30, 2025]:[Column18]],,0,1),"&gt;=8")</f>
        <v>1</v>
      </c>
      <c r="I15" s="110">
        <f>IFERROR(AVERAGEIF(_xlfn.XLOOKUP(Table1215[[#This Row],[Name]],Table16[Name],Table16[[September 30, 2025]:[Column18]],,0,1),"&gt;=8"),"N/A")</f>
        <v>50</v>
      </c>
      <c r="J15" s="66">
        <f>IFERROR(Table1215[[#This Row],[FTA]]/Table1215[[#This Row],[GP]],"N/A")</f>
        <v>6.6666666666666666E-2</v>
      </c>
      <c r="K15" s="67">
        <f>COUNTIF(_xlfn.XLOOKUP(Table1215[[#This Row],[Name]],Table16[Name],Table16[[September 30, 2025]:[Column18]],,0,1),"&gt;=15")</f>
        <v>1</v>
      </c>
    </row>
    <row r="16" spans="1:11">
      <c r="A16" s="69"/>
      <c r="B16" s="82">
        <f>INDEX(AllTime1[All-time rank], MATCH(SMALL(AllTime1[Helper], ROW(Structures!$G11)), AllTime1[Helper], 0))</f>
        <v>11</v>
      </c>
      <c r="C16" s="64" t="str">
        <f>TEXT(INDEX(AllTime1[Name], MATCH(SMALL(AllTime1[Helper], ROW(Structures!$G11)), AllTime1[Helper], 0)),"@")</f>
        <v>Eric Song</v>
      </c>
      <c r="D16" s="64">
        <f>INDEX(AllTime1[All-time score], MATCH(LARGE(AllTime1[Helper2], ROW(Structures!$G11)), AllTime1[Helper2], 0))</f>
        <v>74</v>
      </c>
      <c r="E16" s="64">
        <f>COUNTIF(_xlfn.XLOOKUP(Table1215[[#This Row],[Name]],Table16[Name],Table16[[September 30, 2025]:[Column18]],,0,1),"&gt;=0")</f>
        <v>13</v>
      </c>
      <c r="F16" s="109">
        <f>_xlfn.XLOOKUP(Table1215[[#This Row],[Name]],Table1624[Name],Table1624[Totals],,0,1)</f>
        <v>0.43958333333333338</v>
      </c>
      <c r="G16" s="65">
        <f>IFERROR(Table1215[[#This Row],[Points]]/Table1215[[#This Row],[GP]],"N/A")</f>
        <v>5.6923076923076925</v>
      </c>
      <c r="H16" s="64">
        <f>COUNTIF(_xlfn.XLOOKUP(Table1215[[#This Row],[Name]],Table16[Name],Table16[[September 30, 2025]:[Column18]],,0,1),"&gt;=8")</f>
        <v>3</v>
      </c>
      <c r="I16" s="110">
        <f>IFERROR(AVERAGEIF(_xlfn.XLOOKUP(Table1215[[#This Row],[Name]],Table16[Name],Table16[[September 30, 2025]:[Column18]],,0,1),"&gt;=8"),"N/A")</f>
        <v>18.666666666666668</v>
      </c>
      <c r="J16" s="66">
        <f>IFERROR(Table1215[[#This Row],[FTA]]/Table1215[[#This Row],[GP]],"N/A")</f>
        <v>0.23076923076923078</v>
      </c>
      <c r="K16" s="67">
        <f>COUNTIF(_xlfn.XLOOKUP(Table1215[[#This Row],[Name]],Table16[Name],Table16[[September 30, 2025]:[Column18]],,0,1),"&gt;=15")</f>
        <v>1</v>
      </c>
    </row>
    <row r="17" spans="1:11">
      <c r="A17" s="69"/>
      <c r="B17" s="82">
        <f>INDEX(AllTime1[All-time rank], MATCH(SMALL(AllTime1[Helper], ROW(Structures!$G12)), AllTime1[Helper], 0))</f>
        <v>12</v>
      </c>
      <c r="C17" s="64" t="str">
        <f>TEXT(INDEX(AllTime1[Name], MATCH(SMALL(AllTime1[Helper], ROW(Structures!$G12)), AllTime1[Helper], 0)),"@")</f>
        <v>Matthew Fernandes</v>
      </c>
      <c r="D17" s="64">
        <f>INDEX(AllTime1[All-time score], MATCH(LARGE(AllTime1[Helper2], ROW(Structures!$G12)), AllTime1[Helper2], 0))</f>
        <v>71</v>
      </c>
      <c r="E17" s="64">
        <f>COUNTIF(_xlfn.XLOOKUP(Table1215[[#This Row],[Name]],Table16[Name],Table16[[September 30, 2025]:[Column18]],,0,1),"&gt;=0")</f>
        <v>10</v>
      </c>
      <c r="F17" s="109">
        <f>_xlfn.XLOOKUP(Table1215[[#This Row],[Name]],Table1624[Name],Table1624[Totals],,0,1)</f>
        <v>0.42288888888888893</v>
      </c>
      <c r="G17" s="65">
        <f>IFERROR(Table1215[[#This Row],[Points]]/Table1215[[#This Row],[GP]],"N/A")</f>
        <v>7.1</v>
      </c>
      <c r="H17" s="64">
        <f>COUNTIF(_xlfn.XLOOKUP(Table1215[[#This Row],[Name]],Table16[Name],Table16[[September 30, 2025]:[Column18]],,0,1),"&gt;=8")</f>
        <v>2</v>
      </c>
      <c r="I17" s="110">
        <f>IFERROR(AVERAGEIF(_xlfn.XLOOKUP(Table1215[[#This Row],[Name]],Table16[Name],Table16[[September 30, 2025]:[Column18]],,0,1),"&gt;=8"),"N/A")</f>
        <v>29</v>
      </c>
      <c r="J17" s="66">
        <f>IFERROR(Table1215[[#This Row],[FTA]]/Table1215[[#This Row],[GP]],"N/A")</f>
        <v>0.2</v>
      </c>
      <c r="K17" s="67">
        <f>COUNTIF(_xlfn.XLOOKUP(Table1215[[#This Row],[Name]],Table16[Name],Table16[[September 30, 2025]:[Column18]],,0,1),"&gt;=15")</f>
        <v>1</v>
      </c>
    </row>
    <row r="18" spans="1:11">
      <c r="A18" s="69"/>
      <c r="B18" s="82">
        <f>INDEX(AllTime1[All-time rank], MATCH(SMALL(AllTime1[Helper], ROW(Structures!$G13)), AllTime1[Helper], 0))</f>
        <v>13</v>
      </c>
      <c r="C18" s="64" t="str">
        <f>TEXT(INDEX(AllTime1[Name], MATCH(SMALL(AllTime1[Helper], ROW(Structures!$G13)), AllTime1[Helper], 0)),"@")</f>
        <v>Vik Anandkmar</v>
      </c>
      <c r="D18" s="64">
        <f>INDEX(AllTime1[All-time score], MATCH(LARGE(AllTime1[Helper2], ROW(Structures!$G13)), AllTime1[Helper2], 0))</f>
        <v>67</v>
      </c>
      <c r="E18" s="64">
        <f>COUNTIF(_xlfn.XLOOKUP(Table1215[[#This Row],[Name]],Table16[Name],Table16[[September 30, 2025]:[Column18]],,0,1),"&gt;=0")</f>
        <v>12</v>
      </c>
      <c r="F18" s="109">
        <f>_xlfn.XLOOKUP(Table1215[[#This Row],[Name]],Table1624[Name],Table1624[Totals],,0,1)</f>
        <v>0.58200000000000007</v>
      </c>
      <c r="G18" s="65">
        <f>IFERROR(Table1215[[#This Row],[Points]]/Table1215[[#This Row],[GP]],"N/A")</f>
        <v>5.583333333333333</v>
      </c>
      <c r="H18" s="64">
        <f>COUNTIF(_xlfn.XLOOKUP(Table1215[[#This Row],[Name]],Table16[Name],Table16[[September 30, 2025]:[Column18]],,0,1),"&gt;=8")</f>
        <v>3</v>
      </c>
      <c r="I18" s="110">
        <f>IFERROR(AVERAGEIF(_xlfn.XLOOKUP(Table1215[[#This Row],[Name]],Table16[Name],Table16[[September 30, 2025]:[Column18]],,0,1),"&gt;=8"),"N/A")</f>
        <v>18.666666666666668</v>
      </c>
      <c r="J18" s="66">
        <f>IFERROR(Table1215[[#This Row],[FTA]]/Table1215[[#This Row],[GP]],"N/A")</f>
        <v>0.25</v>
      </c>
      <c r="K18" s="67">
        <f>COUNTIF(_xlfn.XLOOKUP(Table1215[[#This Row],[Name]],Table16[Name],Table16[[September 30, 2025]:[Column18]],,0,1),"&gt;=15")</f>
        <v>1</v>
      </c>
    </row>
    <row r="19" spans="1:11">
      <c r="A19" s="69"/>
      <c r="B19" s="82">
        <f>INDEX(AllTime1[All-time rank], MATCH(SMALL(AllTime1[Helper], ROW(Structures!$G14)), AllTime1[Helper], 0))</f>
        <v>14</v>
      </c>
      <c r="C19" s="64" t="str">
        <f>TEXT(INDEX(AllTime1[Name], MATCH(SMALL(AllTime1[Helper], ROW(Structures!$G14)), AllTime1[Helper], 0)),"@")</f>
        <v>Pavel Zykmund</v>
      </c>
      <c r="D19" s="64">
        <f>INDEX(AllTime1[All-time score], MATCH(LARGE(AllTime1[Helper2], ROW(Structures!$G14)), AllTime1[Helper2], 0))</f>
        <v>66</v>
      </c>
      <c r="E19" s="64">
        <f>COUNTIF(_xlfn.XLOOKUP(Table1215[[#This Row],[Name]],Table16[Name],Table16[[September 30, 2025]:[Column18]],,0,1),"&gt;=0")</f>
        <v>7</v>
      </c>
      <c r="F19" s="109">
        <f>_xlfn.XLOOKUP(Table1215[[#This Row],[Name]],Table1624[Name],Table1624[Totals],,0,1)</f>
        <v>0.21899999999999997</v>
      </c>
      <c r="G19" s="65">
        <f>IFERROR(Table1215[[#This Row],[Points]]/Table1215[[#This Row],[GP]],"N/A")</f>
        <v>9.4285714285714288</v>
      </c>
      <c r="H19" s="64">
        <f>COUNTIF(_xlfn.XLOOKUP(Table1215[[#This Row],[Name]],Table16[Name],Table16[[September 30, 2025]:[Column18]],,0,1),"&gt;=8")</f>
        <v>1</v>
      </c>
      <c r="I19" s="110">
        <f>IFERROR(AVERAGEIF(_xlfn.XLOOKUP(Table1215[[#This Row],[Name]],Table16[Name],Table16[[September 30, 2025]:[Column18]],,0,1),"&gt;=8"),"N/A")</f>
        <v>50</v>
      </c>
      <c r="J19" s="66">
        <f>IFERROR(Table1215[[#This Row],[FTA]]/Table1215[[#This Row],[GP]],"N/A")</f>
        <v>0.14285714285714285</v>
      </c>
      <c r="K19" s="67">
        <f>COUNTIF(_xlfn.XLOOKUP(Table1215[[#This Row],[Name]],Table16[Name],Table16[[September 30, 2025]:[Column18]],,0,1),"&gt;=15")</f>
        <v>1</v>
      </c>
    </row>
    <row r="20" spans="1:11">
      <c r="A20" s="69"/>
      <c r="B20" s="82">
        <f>INDEX(AllTime1[All-time rank], MATCH(SMALL(AllTime1[Helper], ROW(Structures!$G15)), AllTime1[Helper], 0))</f>
        <v>15</v>
      </c>
      <c r="C20" s="64" t="str">
        <f>TEXT(INDEX(AllTime1[Name], MATCH(SMALL(AllTime1[Helper], ROW(Structures!$G15)), AllTime1[Helper], 0)),"@")</f>
        <v>Tommy Truong</v>
      </c>
      <c r="D20" s="64">
        <f>INDEX(AllTime1[All-time score], MATCH(LARGE(AllTime1[Helper2], ROW(Structures!$G15)), AllTime1[Helper2], 0))</f>
        <v>64</v>
      </c>
      <c r="E20" s="64">
        <f>COUNTIF(_xlfn.XLOOKUP(Table1215[[#This Row],[Name]],Table16[Name],Table16[[September 30, 2025]:[Column18]],,0,1),"&gt;=0")</f>
        <v>17</v>
      </c>
      <c r="F20" s="109">
        <f>_xlfn.XLOOKUP(Table1215[[#This Row],[Name]],Table1624[Name],Table1624[Totals],,0,1)</f>
        <v>0.38953333333333334</v>
      </c>
      <c r="G20" s="65">
        <f>IFERROR(Table1215[[#This Row],[Points]]/Table1215[[#This Row],[GP]],"N/A")</f>
        <v>3.7647058823529411</v>
      </c>
      <c r="H20" s="64">
        <f>COUNTIF(_xlfn.XLOOKUP(Table1215[[#This Row],[Name]],Table16[Name],Table16[[September 30, 2025]:[Column18]],,0,1),"&gt;=8")</f>
        <v>1</v>
      </c>
      <c r="I20" s="110">
        <f>IFERROR(AVERAGEIF(_xlfn.XLOOKUP(Table1215[[#This Row],[Name]],Table16[Name],Table16[[September 30, 2025]:[Column18]],,0,1),"&gt;=8"),"N/A")</f>
        <v>30</v>
      </c>
      <c r="J20" s="66">
        <f>IFERROR(Table1215[[#This Row],[FTA]]/Table1215[[#This Row],[GP]],"N/A")</f>
        <v>5.8823529411764705E-2</v>
      </c>
      <c r="K20" s="67">
        <f>COUNTIF(_xlfn.XLOOKUP(Table1215[[#This Row],[Name]],Table16[Name],Table16[[September 30, 2025]:[Column18]],,0,1),"&gt;=15")</f>
        <v>1</v>
      </c>
    </row>
    <row r="21" spans="1:11">
      <c r="A21" s="69"/>
      <c r="B21" s="82">
        <f>INDEX(AllTime1[All-time rank], MATCH(SMALL(AllTime1[Helper], ROW(Structures!$G16)), AllTime1[Helper], 0))</f>
        <v>16</v>
      </c>
      <c r="C21" s="64" t="str">
        <f>TEXT(INDEX(AllTime1[Name], MATCH(SMALL(AllTime1[Helper], ROW(Structures!$G16)), AllTime1[Helper], 0)),"@")</f>
        <v>Daniel Li</v>
      </c>
      <c r="D21" s="64">
        <f>INDEX(AllTime1[All-time score], MATCH(LARGE(AllTime1[Helper2], ROW(Structures!$G16)), AllTime1[Helper2], 0))</f>
        <v>63</v>
      </c>
      <c r="E21" s="64">
        <f>COUNTIF(_xlfn.XLOOKUP(Table1215[[#This Row],[Name]],Table16[Name],Table16[[September 30, 2025]:[Column18]],,0,1),"&gt;=0")</f>
        <v>17</v>
      </c>
      <c r="F21" s="109">
        <f>_xlfn.XLOOKUP(Table1215[[#This Row],[Name]],Table1624[Name],Table1624[Totals],,0,1)</f>
        <v>0.37400000000000005</v>
      </c>
      <c r="G21" s="65">
        <f>IFERROR(Table1215[[#This Row],[Points]]/Table1215[[#This Row],[GP]],"N/A")</f>
        <v>3.7058823529411766</v>
      </c>
      <c r="H21" s="64">
        <f>COUNTIF(_xlfn.XLOOKUP(Table1215[[#This Row],[Name]],Table16[Name],Table16[[September 30, 2025]:[Column18]],,0,1),"&gt;=8")</f>
        <v>4</v>
      </c>
      <c r="I21" s="110">
        <f>IFERROR(AVERAGEIF(_xlfn.XLOOKUP(Table1215[[#This Row],[Name]],Table16[Name],Table16[[September 30, 2025]:[Column18]],,0,1),"&gt;=8"),"N/A")</f>
        <v>10.25</v>
      </c>
      <c r="J21" s="66">
        <f>IFERROR(Table1215[[#This Row],[FTA]]/Table1215[[#This Row],[GP]],"N/A")</f>
        <v>0.23529411764705882</v>
      </c>
      <c r="K21" s="67">
        <f>COUNTIF(_xlfn.XLOOKUP(Table1215[[#This Row],[Name]],Table16[Name],Table16[[September 30, 2025]:[Column18]],,0,1),"&gt;=15")</f>
        <v>1</v>
      </c>
    </row>
    <row r="22" spans="1:11">
      <c r="A22" s="69"/>
      <c r="B22" s="82">
        <f>INDEX(AllTime1[All-time rank], MATCH(SMALL(AllTime1[Helper], ROW(Structures!$G17)), AllTime1[Helper], 0))</f>
        <v>17</v>
      </c>
      <c r="C22" s="64" t="str">
        <f>TEXT(INDEX(AllTime1[Name], MATCH(SMALL(AllTime1[Helper], ROW(Structures!$G17)), AllTime1[Helper], 0)),"@")</f>
        <v>Mukund Gupta</v>
      </c>
      <c r="D22" s="64">
        <f>INDEX(AllTime1[All-time score], MATCH(LARGE(AllTime1[Helper2], ROW(Structures!$G17)), AllTime1[Helper2], 0))</f>
        <v>60</v>
      </c>
      <c r="E22" s="64">
        <f>COUNTIF(_xlfn.XLOOKUP(Table1215[[#This Row],[Name]],Table16[Name],Table16[[September 30, 2025]:[Column18]],,0,1),"&gt;=0")</f>
        <v>9</v>
      </c>
      <c r="F22" s="109">
        <f>_xlfn.XLOOKUP(Table1215[[#This Row],[Name]],Table1624[Name],Table1624[Totals],,0,1)</f>
        <v>0.65242857142857147</v>
      </c>
      <c r="G22" s="65">
        <f>IFERROR(Table1215[[#This Row],[Points]]/Table1215[[#This Row],[GP]],"N/A")</f>
        <v>6.666666666666667</v>
      </c>
      <c r="H22" s="64">
        <f>COUNTIF(_xlfn.XLOOKUP(Table1215[[#This Row],[Name]],Table16[Name],Table16[[September 30, 2025]:[Column18]],,0,1),"&gt;=8")</f>
        <v>1</v>
      </c>
      <c r="I22" s="110">
        <f>IFERROR(AVERAGEIF(_xlfn.XLOOKUP(Table1215[[#This Row],[Name]],Table16[Name],Table16[[September 30, 2025]:[Column18]],,0,1),"&gt;=8"),"N/A")</f>
        <v>50</v>
      </c>
      <c r="J22" s="66">
        <f>IFERROR(Table1215[[#This Row],[FTA]]/Table1215[[#This Row],[GP]],"N/A")</f>
        <v>0.1111111111111111</v>
      </c>
      <c r="K22" s="67">
        <f>COUNTIF(_xlfn.XLOOKUP(Table1215[[#This Row],[Name]],Table16[Name],Table16[[September 30, 2025]:[Column18]],,0,1),"&gt;=15")</f>
        <v>1</v>
      </c>
    </row>
    <row r="23" spans="1:11">
      <c r="A23" s="69"/>
      <c r="B23" s="82">
        <f>INDEX(AllTime1[All-time rank], MATCH(SMALL(AllTime1[Helper], ROW(Structures!$G18)), AllTime1[Helper], 0))</f>
        <v>18</v>
      </c>
      <c r="C23" s="64" t="str">
        <f>TEXT(INDEX(AllTime1[Name], MATCH(SMALL(AllTime1[Helper], ROW(Structures!$G18)), AllTime1[Helper], 0)),"@")</f>
        <v>Verissa Liu</v>
      </c>
      <c r="D23" s="64">
        <f>INDEX(AllTime1[All-time score], MATCH(LARGE(AllTime1[Helper2], ROW(Structures!$G18)), AllTime1[Helper2], 0))</f>
        <v>59</v>
      </c>
      <c r="E23" s="64">
        <f>COUNTIF(_xlfn.XLOOKUP(Table1215[[#This Row],[Name]],Table16[Name],Table16[[September 30, 2025]:[Column18]],,0,1),"&gt;=0")</f>
        <v>19</v>
      </c>
      <c r="F23" s="109">
        <f>_xlfn.XLOOKUP(Table1215[[#This Row],[Name]],Table1624[Name],Table1624[Totals],,0,1)</f>
        <v>0.40241176470588236</v>
      </c>
      <c r="G23" s="65">
        <f>IFERROR(Table1215[[#This Row],[Points]]/Table1215[[#This Row],[GP]],"N/A")</f>
        <v>3.1052631578947367</v>
      </c>
      <c r="H23" s="64">
        <f>COUNTIF(_xlfn.XLOOKUP(Table1215[[#This Row],[Name]],Table16[Name],Table16[[September 30, 2025]:[Column18]],,0,1),"&gt;=8")</f>
        <v>2</v>
      </c>
      <c r="I23" s="110">
        <f>IFERROR(AVERAGEIF(_xlfn.XLOOKUP(Table1215[[#This Row],[Name]],Table16[Name],Table16[[September 30, 2025]:[Column18]],,0,1),"&gt;=8"),"N/A")</f>
        <v>14</v>
      </c>
      <c r="J23" s="66">
        <f>IFERROR(Table1215[[#This Row],[FTA]]/Table1215[[#This Row],[GP]],"N/A")</f>
        <v>0.10526315789473684</v>
      </c>
      <c r="K23" s="67">
        <f>COUNTIF(_xlfn.XLOOKUP(Table1215[[#This Row],[Name]],Table16[Name],Table16[[September 30, 2025]:[Column18]],,0,1),"&gt;=15")</f>
        <v>1</v>
      </c>
    </row>
    <row r="24" spans="1:11">
      <c r="A24" s="69"/>
      <c r="B24" s="82">
        <f>INDEX(AllTime1[All-time rank], MATCH(SMALL(AllTime1[Helper], ROW(Structures!$G19)), AllTime1[Helper], 0))</f>
        <v>18</v>
      </c>
      <c r="C24" s="64" t="str">
        <f>TEXT(INDEX(AllTime1[Name], MATCH(SMALL(AllTime1[Helper], ROW(Structures!$G19)), AllTime1[Helper], 0)),"@")</f>
        <v>Edison Li</v>
      </c>
      <c r="D24" s="64">
        <f>INDEX(AllTime1[All-time score], MATCH(LARGE(AllTime1[Helper2], ROW(Structures!$G19)), AllTime1[Helper2], 0))</f>
        <v>59</v>
      </c>
      <c r="E24" s="64">
        <f>COUNTIF(_xlfn.XLOOKUP(Table1215[[#This Row],[Name]],Table16[Name],Table16[[September 30, 2025]:[Column18]],,0,1),"&gt;=0")</f>
        <v>5</v>
      </c>
      <c r="F24" s="109">
        <f>_xlfn.XLOOKUP(Table1215[[#This Row],[Name]],Table1624[Name],Table1624[Totals],,0,1)</f>
        <v>0.34100000000000003</v>
      </c>
      <c r="G24" s="65">
        <f>IFERROR(Table1215[[#This Row],[Points]]/Table1215[[#This Row],[GP]],"N/A")</f>
        <v>11.8</v>
      </c>
      <c r="H24" s="64">
        <f>COUNTIF(_xlfn.XLOOKUP(Table1215[[#This Row],[Name]],Table16[Name],Table16[[September 30, 2025]:[Column18]],,0,1),"&gt;=8")</f>
        <v>1</v>
      </c>
      <c r="I24" s="110">
        <f>IFERROR(AVERAGEIF(_xlfn.XLOOKUP(Table1215[[#This Row],[Name]],Table16[Name],Table16[[September 30, 2025]:[Column18]],,0,1),"&gt;=8"),"N/A")</f>
        <v>50</v>
      </c>
      <c r="J24" s="66">
        <f>IFERROR(Table1215[[#This Row],[FTA]]/Table1215[[#This Row],[GP]],"N/A")</f>
        <v>0.2</v>
      </c>
      <c r="K24" s="67">
        <f>COUNTIF(_xlfn.XLOOKUP(Table1215[[#This Row],[Name]],Table16[Name],Table16[[September 30, 2025]:[Column18]],,0,1),"&gt;=15")</f>
        <v>1</v>
      </c>
    </row>
    <row r="25" spans="1:11">
      <c r="A25" s="69"/>
      <c r="B25" s="82">
        <f>INDEX(AllTime1[All-time rank], MATCH(SMALL(AllTime1[Helper], ROW(Structures!$G20)), AllTime1[Helper], 0))</f>
        <v>20</v>
      </c>
      <c r="C25" s="64" t="str">
        <f>TEXT(INDEX(AllTime1[Name], MATCH(SMALL(AllTime1[Helper], ROW(Structures!$G20)), AllTime1[Helper], 0)),"@")</f>
        <v>Matthew Pape</v>
      </c>
      <c r="D25" s="64">
        <f>INDEX(AllTime1[All-time score], MATCH(LARGE(AllTime1[Helper2], ROW(Structures!$G20)), AllTime1[Helper2], 0))</f>
        <v>58</v>
      </c>
      <c r="E25" s="64">
        <f>COUNTIF(_xlfn.XLOOKUP(Table1215[[#This Row],[Name]],Table16[Name],Table16[[September 30, 2025]:[Column18]],,0,1),"&gt;=0")</f>
        <v>8</v>
      </c>
      <c r="F25" s="109">
        <f>_xlfn.XLOOKUP(Table1215[[#This Row],[Name]],Table1624[Name],Table1624[Totals],,0,1)</f>
        <v>0.45375000000000004</v>
      </c>
      <c r="G25" s="65">
        <f>IFERROR(Table1215[[#This Row],[Points]]/Table1215[[#This Row],[GP]],"N/A")</f>
        <v>7.25</v>
      </c>
      <c r="H25" s="64">
        <f>COUNTIF(_xlfn.XLOOKUP(Table1215[[#This Row],[Name]],Table16[Name],Table16[[September 30, 2025]:[Column18]],,0,1),"&gt;=8")</f>
        <v>2</v>
      </c>
      <c r="I25" s="110">
        <f>IFERROR(AVERAGEIF(_xlfn.XLOOKUP(Table1215[[#This Row],[Name]],Table16[Name],Table16[[September 30, 2025]:[Column18]],,0,1),"&gt;=8"),"N/A")</f>
        <v>24</v>
      </c>
      <c r="J25" s="66">
        <f>IFERROR(Table1215[[#This Row],[FTA]]/Table1215[[#This Row],[GP]],"N/A")</f>
        <v>0.25</v>
      </c>
      <c r="K25" s="67">
        <f>COUNTIF(_xlfn.XLOOKUP(Table1215[[#This Row],[Name]],Table16[Name],Table16[[September 30, 2025]:[Column18]],,0,1),"&gt;=15")</f>
        <v>1</v>
      </c>
    </row>
    <row r="26" spans="1:11">
      <c r="A26" s="69"/>
      <c r="B26" s="82">
        <f>INDEX(AllTime1[All-time rank], MATCH(SMALL(AllTime1[Helper], ROW(Structures!$G21)), AllTime1[Helper], 0))</f>
        <v>20</v>
      </c>
      <c r="C26" s="64" t="str">
        <f>TEXT(INDEX(AllTime1[Name], MATCH(SMALL(AllTime1[Helper], ROW(Structures!$G21)), AllTime1[Helper], 0)),"@")</f>
        <v>Richard Pan</v>
      </c>
      <c r="D26" s="64">
        <f>INDEX(AllTime1[All-time score], MATCH(LARGE(AllTime1[Helper2], ROW(Structures!$G21)), AllTime1[Helper2], 0))</f>
        <v>58</v>
      </c>
      <c r="E26" s="64">
        <f>COUNTIF(_xlfn.XLOOKUP(Table1215[[#This Row],[Name]],Table16[Name],Table16[[September 30, 2025]:[Column18]],,0,1),"&gt;=0")</f>
        <v>16</v>
      </c>
      <c r="F26" s="109">
        <f>_xlfn.XLOOKUP(Table1215[[#This Row],[Name]],Table1624[Name],Table1624[Totals],,0,1)</f>
        <v>0.47393333333333326</v>
      </c>
      <c r="G26" s="65">
        <f>IFERROR(Table1215[[#This Row],[Points]]/Table1215[[#This Row],[GP]],"N/A")</f>
        <v>3.625</v>
      </c>
      <c r="H26" s="64">
        <f>COUNTIF(_xlfn.XLOOKUP(Table1215[[#This Row],[Name]],Table16[Name],Table16[[September 30, 2025]:[Column18]],,0,1),"&gt;=8")</f>
        <v>1</v>
      </c>
      <c r="I26" s="110">
        <f>IFERROR(AVERAGEIF(_xlfn.XLOOKUP(Table1215[[#This Row],[Name]],Table16[Name],Table16[[September 30, 2025]:[Column18]],,0,1),"&gt;=8"),"N/A")</f>
        <v>30</v>
      </c>
      <c r="J26" s="66">
        <f>IFERROR(Table1215[[#This Row],[FTA]]/Table1215[[#This Row],[GP]],"N/A")</f>
        <v>6.25E-2</v>
      </c>
      <c r="K26" s="67">
        <f>COUNTIF(_xlfn.XLOOKUP(Table1215[[#This Row],[Name]],Table16[Name],Table16[[September 30, 2025]:[Column18]],,0,1),"&gt;=15")</f>
        <v>1</v>
      </c>
    </row>
    <row r="27" spans="1:11">
      <c r="A27" s="69"/>
      <c r="B27" s="82">
        <f>INDEX(AllTime1[All-time rank], MATCH(SMALL(AllTime1[Helper], ROW(Structures!$G22)), AllTime1[Helper], 0))</f>
        <v>22</v>
      </c>
      <c r="C27" s="64" t="str">
        <f>TEXT(INDEX(AllTime1[Name], MATCH(SMALL(AllTime1[Helper], ROW(Structures!$G22)), AllTime1[Helper], 0)),"@")</f>
        <v>Matthew Barclay</v>
      </c>
      <c r="D27" s="64">
        <f>INDEX(AllTime1[All-time score], MATCH(LARGE(AllTime1[Helper2], ROW(Structures!$G22)), AllTime1[Helper2], 0))</f>
        <v>57</v>
      </c>
      <c r="E27" s="64">
        <f>COUNTIF(_xlfn.XLOOKUP(Table1215[[#This Row],[Name]],Table16[Name],Table16[[September 30, 2025]:[Column18]],,0,1),"&gt;=0")</f>
        <v>15</v>
      </c>
      <c r="F27" s="109">
        <f>_xlfn.XLOOKUP(Table1215[[#This Row],[Name]],Table1624[Name],Table1624[Totals],,0,1)</f>
        <v>0.38376923076923081</v>
      </c>
      <c r="G27" s="65">
        <f>IFERROR(Table1215[[#This Row],[Points]]/Table1215[[#This Row],[GP]],"N/A")</f>
        <v>3.8</v>
      </c>
      <c r="H27" s="64">
        <f>COUNTIF(_xlfn.XLOOKUP(Table1215[[#This Row],[Name]],Table16[Name],Table16[[September 30, 2025]:[Column18]],,0,1),"&gt;=8")</f>
        <v>4</v>
      </c>
      <c r="I27" s="110">
        <f>IFERROR(AVERAGEIF(_xlfn.XLOOKUP(Table1215[[#This Row],[Name]],Table16[Name],Table16[[September 30, 2025]:[Column18]],,0,1),"&gt;=8"),"N/A")</f>
        <v>9</v>
      </c>
      <c r="J27" s="66">
        <f>IFERROR(Table1215[[#This Row],[FTA]]/Table1215[[#This Row],[GP]],"N/A")</f>
        <v>0.26666666666666666</v>
      </c>
      <c r="K27" s="67">
        <f>COUNTIF(_xlfn.XLOOKUP(Table1215[[#This Row],[Name]],Table16[Name],Table16[[September 30, 2025]:[Column18]],,0,1),"&gt;=15")</f>
        <v>0</v>
      </c>
    </row>
    <row r="28" spans="1:11">
      <c r="A28" s="69"/>
      <c r="B28" s="82">
        <f>INDEX(AllTime1[All-time rank], MATCH(SMALL(AllTime1[Helper], ROW(Structures!$G23)), AllTime1[Helper], 0))</f>
        <v>22</v>
      </c>
      <c r="C28" s="64" t="str">
        <f>TEXT(INDEX(AllTime1[Name], MATCH(SMALL(AllTime1[Helper], ROW(Structures!$G23)), AllTime1[Helper], 0)),"@")</f>
        <v>Aidan Kwong</v>
      </c>
      <c r="D28" s="64">
        <f>INDEX(AllTime1[All-time score], MATCH(LARGE(AllTime1[Helper2], ROW(Structures!$G23)), AllTime1[Helper2], 0))</f>
        <v>57</v>
      </c>
      <c r="E28" s="64">
        <f>COUNTIF(_xlfn.XLOOKUP(Table1215[[#This Row],[Name]],Table16[Name],Table16[[September 30, 2025]:[Column18]],,0,1),"&gt;=0")</f>
        <v>15</v>
      </c>
      <c r="F28" s="109">
        <f>_xlfn.XLOOKUP(Table1215[[#This Row],[Name]],Table1624[Name],Table1624[Totals],,0,1)</f>
        <v>0.36414285714285716</v>
      </c>
      <c r="G28" s="65">
        <f>IFERROR(Table1215[[#This Row],[Points]]/Table1215[[#This Row],[GP]],"N/A")</f>
        <v>3.8</v>
      </c>
      <c r="H28" s="64">
        <f>COUNTIF(_xlfn.XLOOKUP(Table1215[[#This Row],[Name]],Table16[Name],Table16[[September 30, 2025]:[Column18]],,0,1),"&gt;=8")</f>
        <v>2</v>
      </c>
      <c r="I28" s="110">
        <f>IFERROR(AVERAGEIF(_xlfn.XLOOKUP(Table1215[[#This Row],[Name]],Table16[Name],Table16[[September 30, 2025]:[Column18]],,0,1),"&gt;=8"),"N/A")</f>
        <v>15</v>
      </c>
      <c r="J28" s="66">
        <f>IFERROR(Table1215[[#This Row],[FTA]]/Table1215[[#This Row],[GP]],"N/A")</f>
        <v>0.13333333333333333</v>
      </c>
      <c r="K28" s="67">
        <f>COUNTIF(_xlfn.XLOOKUP(Table1215[[#This Row],[Name]],Table16[Name],Table16[[September 30, 2025]:[Column18]],,0,1),"&gt;=15")</f>
        <v>1</v>
      </c>
    </row>
    <row r="29" spans="1:11">
      <c r="A29" s="69"/>
      <c r="B29" s="82">
        <f>INDEX(AllTime1[All-time rank], MATCH(SMALL(AllTime1[Helper], ROW(Structures!$G24)), AllTime1[Helper], 0))</f>
        <v>22</v>
      </c>
      <c r="C29" s="64" t="str">
        <f>TEXT(INDEX(AllTime1[Name], MATCH(SMALL(AllTime1[Helper], ROW(Structures!$G24)), AllTime1[Helper], 0)),"@")</f>
        <v>Victor Pivtoran</v>
      </c>
      <c r="D29" s="64">
        <f>INDEX(AllTime1[All-time score], MATCH(LARGE(AllTime1[Helper2], ROW(Structures!$G24)), AllTime1[Helper2], 0))</f>
        <v>57</v>
      </c>
      <c r="E29" s="64">
        <f>COUNTIF(_xlfn.XLOOKUP(Table1215[[#This Row],[Name]],Table16[Name],Table16[[September 30, 2025]:[Column18]],,0,1),"&gt;=0")</f>
        <v>14</v>
      </c>
      <c r="F29" s="109">
        <f>_xlfn.XLOOKUP(Table1215[[#This Row],[Name]],Table1624[Name],Table1624[Totals],,0,1)</f>
        <v>0.40692307692307694</v>
      </c>
      <c r="G29" s="65">
        <f>IFERROR(Table1215[[#This Row],[Points]]/Table1215[[#This Row],[GP]],"N/A")</f>
        <v>4.0714285714285712</v>
      </c>
      <c r="H29" s="64">
        <f>COUNTIF(_xlfn.XLOOKUP(Table1215[[#This Row],[Name]],Table16[Name],Table16[[September 30, 2025]:[Column18]],,0,1),"&gt;=8")</f>
        <v>5</v>
      </c>
      <c r="I29" s="110">
        <f>IFERROR(AVERAGEIF(_xlfn.XLOOKUP(Table1215[[#This Row],[Name]],Table16[Name],Table16[[September 30, 2025]:[Column18]],,0,1),"&gt;=8"),"N/A")</f>
        <v>8.8000000000000007</v>
      </c>
      <c r="J29" s="66">
        <f>IFERROR(Table1215[[#This Row],[FTA]]/Table1215[[#This Row],[GP]],"N/A")</f>
        <v>0.35714285714285715</v>
      </c>
      <c r="K29" s="67">
        <f>COUNTIF(_xlfn.XLOOKUP(Table1215[[#This Row],[Name]],Table16[Name],Table16[[September 30, 2025]:[Column18]],,0,1),"&gt;=15")</f>
        <v>0</v>
      </c>
    </row>
    <row r="30" spans="1:11">
      <c r="A30" s="69"/>
      <c r="B30" s="82">
        <f>INDEX(AllTime1[All-time rank], MATCH(SMALL(AllTime1[Helper], ROW(Structures!$G25)), AllTime1[Helper], 0))</f>
        <v>25</v>
      </c>
      <c r="C30" s="64" t="str">
        <f>TEXT(INDEX(AllTime1[Name], MATCH(SMALL(AllTime1[Helper], ROW(Structures!$G25)), AllTime1[Helper], 0)),"@")</f>
        <v>Marcus Athwal</v>
      </c>
      <c r="D30" s="64">
        <f>INDEX(AllTime1[All-time score], MATCH(LARGE(AllTime1[Helper2], ROW(Structures!$G25)), AllTime1[Helper2], 0))</f>
        <v>55</v>
      </c>
      <c r="E30" s="64">
        <f>COUNTIF(_xlfn.XLOOKUP(Table1215[[#This Row],[Name]],Table16[Name],Table16[[September 30, 2025]:[Column18]],,0,1),"&gt;=0")</f>
        <v>16</v>
      </c>
      <c r="F30" s="109">
        <f>_xlfn.XLOOKUP(Table1215[[#This Row],[Name]],Table1624[Name],Table1624[Totals],,0,1)</f>
        <v>0.35235714285714276</v>
      </c>
      <c r="G30" s="65">
        <f>IFERROR(Table1215[[#This Row],[Points]]/Table1215[[#This Row],[GP]],"N/A")</f>
        <v>3.4375</v>
      </c>
      <c r="H30" s="64">
        <f>COUNTIF(_xlfn.XLOOKUP(Table1215[[#This Row],[Name]],Table16[Name],Table16[[September 30, 2025]:[Column18]],,0,1),"&gt;=8")</f>
        <v>2</v>
      </c>
      <c r="I30" s="110">
        <f>IFERROR(AVERAGEIF(_xlfn.XLOOKUP(Table1215[[#This Row],[Name]],Table16[Name],Table16[[September 30, 2025]:[Column18]],,0,1),"&gt;=8"),"N/A")</f>
        <v>9</v>
      </c>
      <c r="J30" s="66">
        <f>IFERROR(Table1215[[#This Row],[FTA]]/Table1215[[#This Row],[GP]],"N/A")</f>
        <v>0.125</v>
      </c>
      <c r="K30" s="67">
        <f>COUNTIF(_xlfn.XLOOKUP(Table1215[[#This Row],[Name]],Table16[Name],Table16[[September 30, 2025]:[Column18]],,0,1),"&gt;=15")</f>
        <v>0</v>
      </c>
    </row>
    <row r="31" spans="1:11">
      <c r="A31" s="69"/>
      <c r="B31" s="82">
        <f>INDEX(AllTime1[All-time rank], MATCH(SMALL(AllTime1[Helper], ROW(Structures!$G26)), AllTime1[Helper], 0))</f>
        <v>25</v>
      </c>
      <c r="C31" s="64" t="str">
        <f>TEXT(INDEX(AllTime1[Name], MATCH(SMALL(AllTime1[Helper], ROW(Structures!$G26)), AllTime1[Helper], 0)),"@")</f>
        <v>Gabe Mclellan</v>
      </c>
      <c r="D31" s="64">
        <f>INDEX(AllTime1[All-time score], MATCH(LARGE(AllTime1[Helper2], ROW(Structures!$G26)), AllTime1[Helper2], 0))</f>
        <v>55</v>
      </c>
      <c r="E31" s="64">
        <f>COUNTIF(_xlfn.XLOOKUP(Table1215[[#This Row],[Name]],Table16[Name],Table16[[September 30, 2025]:[Column18]],,0,1),"&gt;=0")</f>
        <v>5</v>
      </c>
      <c r="F31" s="109">
        <f>_xlfn.XLOOKUP(Table1215[[#This Row],[Name]],Table1624[Name],Table1624[Totals],,0,1)</f>
        <v>0.56279999999999997</v>
      </c>
      <c r="G31" s="65">
        <f>IFERROR(Table1215[[#This Row],[Points]]/Table1215[[#This Row],[GP]],"N/A")</f>
        <v>11</v>
      </c>
      <c r="H31" s="64">
        <f>COUNTIF(_xlfn.XLOOKUP(Table1215[[#This Row],[Name]],Table16[Name],Table16[[September 30, 2025]:[Column18]],,0,1),"&gt;=8")</f>
        <v>1</v>
      </c>
      <c r="I31" s="110">
        <f>IFERROR(AVERAGEIF(_xlfn.XLOOKUP(Table1215[[#This Row],[Name]],Table16[Name],Table16[[September 30, 2025]:[Column18]],,0,1),"&gt;=8"),"N/A")</f>
        <v>50</v>
      </c>
      <c r="J31" s="66">
        <f>IFERROR(Table1215[[#This Row],[FTA]]/Table1215[[#This Row],[GP]],"N/A")</f>
        <v>0.2</v>
      </c>
      <c r="K31" s="67">
        <f>COUNTIF(_xlfn.XLOOKUP(Table1215[[#This Row],[Name]],Table16[Name],Table16[[September 30, 2025]:[Column18]],,0,1),"&gt;=15")</f>
        <v>1</v>
      </c>
    </row>
    <row r="32" spans="1:11">
      <c r="A32" s="69"/>
      <c r="B32" s="82">
        <f>INDEX(AllTime1[All-time rank], MATCH(SMALL(AllTime1[Helper], ROW(Structures!$G27)), AllTime1[Helper], 0))</f>
        <v>25</v>
      </c>
      <c r="C32" s="64" t="str">
        <f>TEXT(INDEX(AllTime1[Name], MATCH(SMALL(AllTime1[Helper], ROW(Structures!$G27)), AllTime1[Helper], 0)),"@")</f>
        <v>Maxim Skubitsky</v>
      </c>
      <c r="D32" s="64">
        <f>INDEX(AllTime1[All-time score], MATCH(LARGE(AllTime1[Helper2], ROW(Structures!$G27)), AllTime1[Helper2], 0))</f>
        <v>55</v>
      </c>
      <c r="E32" s="64">
        <f>COUNTIF(_xlfn.XLOOKUP(Table1215[[#This Row],[Name]],Table16[Name],Table16[[September 30, 2025]:[Column18]],,0,1),"&gt;=0")</f>
        <v>4</v>
      </c>
      <c r="F32" s="109">
        <f>_xlfn.XLOOKUP(Table1215[[#This Row],[Name]],Table1624[Name],Table1624[Totals],,0,1)</f>
        <v>0.57650000000000001</v>
      </c>
      <c r="G32" s="65">
        <f>IFERROR(Table1215[[#This Row],[Points]]/Table1215[[#This Row],[GP]],"N/A")</f>
        <v>13.75</v>
      </c>
      <c r="H32" s="64">
        <f>COUNTIF(_xlfn.XLOOKUP(Table1215[[#This Row],[Name]],Table16[Name],Table16[[September 30, 2025]:[Column18]],,0,1),"&gt;=8")</f>
        <v>1</v>
      </c>
      <c r="I32" s="110">
        <f>IFERROR(AVERAGEIF(_xlfn.XLOOKUP(Table1215[[#This Row],[Name]],Table16[Name],Table16[[September 30, 2025]:[Column18]],,0,1),"&gt;=8"),"N/A")</f>
        <v>50</v>
      </c>
      <c r="J32" s="66">
        <f>IFERROR(Table1215[[#This Row],[FTA]]/Table1215[[#This Row],[GP]],"N/A")</f>
        <v>0.25</v>
      </c>
      <c r="K32" s="67">
        <f>COUNTIF(_xlfn.XLOOKUP(Table1215[[#This Row],[Name]],Table16[Name],Table16[[September 30, 2025]:[Column18]],,0,1),"&gt;=15")</f>
        <v>1</v>
      </c>
    </row>
    <row r="33" spans="1:11">
      <c r="A33" s="69"/>
      <c r="B33" s="82">
        <f>INDEX(AllTime1[All-time rank], MATCH(SMALL(AllTime1[Helper], ROW(Structures!$G28)), AllTime1[Helper], 0))</f>
        <v>28</v>
      </c>
      <c r="C33" s="64" t="str">
        <f>TEXT(INDEX(AllTime1[Name], MATCH(SMALL(AllTime1[Helper], ROW(Structures!$G28)), AllTime1[Helper], 0)),"@")</f>
        <v>Kongduo Li</v>
      </c>
      <c r="D33" s="64">
        <f>INDEX(AllTime1[All-time score], MATCH(LARGE(AllTime1[Helper2], ROW(Structures!$G28)), AllTime1[Helper2], 0))</f>
        <v>54</v>
      </c>
      <c r="E33" s="64">
        <f>COUNTIF(_xlfn.XLOOKUP(Table1215[[#This Row],[Name]],Table16[Name],Table16[[September 30, 2025]:[Column18]],,0,1),"&gt;=0")</f>
        <v>13</v>
      </c>
      <c r="F33" s="109">
        <f>_xlfn.XLOOKUP(Table1215[[#This Row],[Name]],Table1624[Name],Table1624[Totals],,0,1)</f>
        <v>0.37645454545454543</v>
      </c>
      <c r="G33" s="65">
        <f>IFERROR(Table1215[[#This Row],[Points]]/Table1215[[#This Row],[GP]],"N/A")</f>
        <v>4.1538461538461542</v>
      </c>
      <c r="H33" s="64">
        <f>COUNTIF(_xlfn.XLOOKUP(Table1215[[#This Row],[Name]],Table16[Name],Table16[[September 30, 2025]:[Column18]],,0,1),"&gt;=8")</f>
        <v>1</v>
      </c>
      <c r="I33" s="110">
        <f>IFERROR(AVERAGEIF(_xlfn.XLOOKUP(Table1215[[#This Row],[Name]],Table16[Name],Table16[[September 30, 2025]:[Column18]],,0,1),"&gt;=8"),"N/A")</f>
        <v>30</v>
      </c>
      <c r="J33" s="66">
        <f>IFERROR(Table1215[[#This Row],[FTA]]/Table1215[[#This Row],[GP]],"N/A")</f>
        <v>7.6923076923076927E-2</v>
      </c>
      <c r="K33" s="67">
        <f>COUNTIF(_xlfn.XLOOKUP(Table1215[[#This Row],[Name]],Table16[Name],Table16[[September 30, 2025]:[Column18]],,0,1),"&gt;=15")</f>
        <v>1</v>
      </c>
    </row>
    <row r="34" spans="1:11">
      <c r="A34" s="69"/>
      <c r="B34" s="82">
        <f>INDEX(AllTime1[All-time rank], MATCH(SMALL(AllTime1[Helper], ROW(Structures!$G29)), AllTime1[Helper], 0))</f>
        <v>29</v>
      </c>
      <c r="C34" s="64" t="str">
        <f>TEXT(INDEX(AllTime1[Name], MATCH(SMALL(AllTime1[Helper], ROW(Structures!$G29)), AllTime1[Helper], 0)),"@")</f>
        <v>Daniel Musoni</v>
      </c>
      <c r="D34" s="64">
        <f>INDEX(AllTime1[All-time score], MATCH(LARGE(AllTime1[Helper2], ROW(Structures!$G29)), AllTime1[Helper2], 0))</f>
        <v>51</v>
      </c>
      <c r="E34" s="64">
        <f>COUNTIF(_xlfn.XLOOKUP(Table1215[[#This Row],[Name]],Table16[Name],Table16[[September 30, 2025]:[Column18]],,0,1),"&gt;=0")</f>
        <v>10</v>
      </c>
      <c r="F34" s="109">
        <f>_xlfn.XLOOKUP(Table1215[[#This Row],[Name]],Table1624[Name],Table1624[Totals],,0,1)</f>
        <v>0.48644444444444446</v>
      </c>
      <c r="G34" s="65">
        <f>IFERROR(Table1215[[#This Row],[Points]]/Table1215[[#This Row],[GP]],"N/A")</f>
        <v>5.0999999999999996</v>
      </c>
      <c r="H34" s="64">
        <f>COUNTIF(_xlfn.XLOOKUP(Table1215[[#This Row],[Name]],Table16[Name],Table16[[September 30, 2025]:[Column18]],,0,1),"&gt;=8")</f>
        <v>1</v>
      </c>
      <c r="I34" s="110">
        <f>IFERROR(AVERAGEIF(_xlfn.XLOOKUP(Table1215[[#This Row],[Name]],Table16[Name],Table16[[September 30, 2025]:[Column18]],,0,1),"&gt;=8"),"N/A")</f>
        <v>38</v>
      </c>
      <c r="J34" s="66">
        <f>IFERROR(Table1215[[#This Row],[FTA]]/Table1215[[#This Row],[GP]],"N/A")</f>
        <v>0.1</v>
      </c>
      <c r="K34" s="67">
        <f>COUNTIF(_xlfn.XLOOKUP(Table1215[[#This Row],[Name]],Table16[Name],Table16[[September 30, 2025]:[Column18]],,0,1),"&gt;=15")</f>
        <v>1</v>
      </c>
    </row>
    <row r="35" spans="1:11">
      <c r="A35" s="69"/>
      <c r="B35" s="82">
        <f>INDEX(AllTime1[All-time rank], MATCH(SMALL(AllTime1[Helper], ROW(Structures!$G30)), AllTime1[Helper], 0))</f>
        <v>30</v>
      </c>
      <c r="C35" s="64" t="str">
        <f>TEXT(INDEX(AllTime1[Name], MATCH(SMALL(AllTime1[Helper], ROW(Structures!$G30)), AllTime1[Helper], 0)),"@")</f>
        <v>Dikang Fu</v>
      </c>
      <c r="D35" s="64">
        <f>INDEX(AllTime1[All-time score], MATCH(LARGE(AllTime1[Helper2], ROW(Structures!$G30)), AllTime1[Helper2], 0))</f>
        <v>50</v>
      </c>
      <c r="E35" s="64">
        <f>COUNTIF(_xlfn.XLOOKUP(Table1215[[#This Row],[Name]],Table16[Name],Table16[[September 30, 2025]:[Column18]],,0,1),"&gt;=0")</f>
        <v>15</v>
      </c>
      <c r="F35" s="109">
        <f>_xlfn.XLOOKUP(Table1215[[#This Row],[Name]],Table1624[Name],Table1624[Totals],,0,1)</f>
        <v>0.50569230769230766</v>
      </c>
      <c r="G35" s="65">
        <f>IFERROR(Table1215[[#This Row],[Points]]/Table1215[[#This Row],[GP]],"N/A")</f>
        <v>3.3333333333333335</v>
      </c>
      <c r="H35" s="64">
        <f>COUNTIF(_xlfn.XLOOKUP(Table1215[[#This Row],[Name]],Table16[Name],Table16[[September 30, 2025]:[Column18]],,0,1),"&gt;=8")</f>
        <v>2</v>
      </c>
      <c r="I35" s="110">
        <f>IFERROR(AVERAGEIF(_xlfn.XLOOKUP(Table1215[[#This Row],[Name]],Table16[Name],Table16[[September 30, 2025]:[Column18]],,0,1),"&gt;=8"),"N/A")</f>
        <v>12.5</v>
      </c>
      <c r="J35" s="66">
        <f>IFERROR(Table1215[[#This Row],[FTA]]/Table1215[[#This Row],[GP]],"N/A")</f>
        <v>0.13333333333333333</v>
      </c>
      <c r="K35" s="67">
        <f>COUNTIF(_xlfn.XLOOKUP(Table1215[[#This Row],[Name]],Table16[Name],Table16[[September 30, 2025]:[Column18]],,0,1),"&gt;=15")</f>
        <v>1</v>
      </c>
    </row>
    <row r="36" spans="1:11">
      <c r="A36" s="69"/>
      <c r="B36" s="82">
        <f>INDEX(AllTime1[All-time rank], MATCH(SMALL(AllTime1[Helper], ROW(Structures!$G31)), AllTime1[Helper], 0))</f>
        <v>30</v>
      </c>
      <c r="C36" s="64" t="str">
        <f>TEXT(INDEX(AllTime1[Name], MATCH(SMALL(AllTime1[Helper], ROW(Structures!$G31)), AllTime1[Helper], 0)),"@")</f>
        <v>Pari Shah</v>
      </c>
      <c r="D36" s="64">
        <f>INDEX(AllTime1[All-time score], MATCH(LARGE(AllTime1[Helper2], ROW(Structures!$G31)), AllTime1[Helper2], 0))</f>
        <v>50</v>
      </c>
      <c r="E36" s="64">
        <f>COUNTIF(_xlfn.XLOOKUP(Table1215[[#This Row],[Name]],Table16[Name],Table16[[September 30, 2025]:[Column18]],,0,1),"&gt;=0")</f>
        <v>19</v>
      </c>
      <c r="F36" s="109">
        <f>_xlfn.XLOOKUP(Table1215[[#This Row],[Name]],Table1624[Name],Table1624[Totals],,0,1)</f>
        <v>0.50376470588235289</v>
      </c>
      <c r="G36" s="65">
        <f>IFERROR(Table1215[[#This Row],[Points]]/Table1215[[#This Row],[GP]],"N/A")</f>
        <v>2.6315789473684212</v>
      </c>
      <c r="H36" s="64">
        <f>COUNTIF(_xlfn.XLOOKUP(Table1215[[#This Row],[Name]],Table16[Name],Table16[[September 30, 2025]:[Column18]],,0,1),"&gt;=8")</f>
        <v>1</v>
      </c>
      <c r="I36" s="110">
        <f>IFERROR(AVERAGEIF(_xlfn.XLOOKUP(Table1215[[#This Row],[Name]],Table16[Name],Table16[[September 30, 2025]:[Column18]],,0,1),"&gt;=8"),"N/A")</f>
        <v>23</v>
      </c>
      <c r="J36" s="66">
        <f>IFERROR(Table1215[[#This Row],[FTA]]/Table1215[[#This Row],[GP]],"N/A")</f>
        <v>5.2631578947368418E-2</v>
      </c>
      <c r="K36" s="67">
        <f>COUNTIF(_xlfn.XLOOKUP(Table1215[[#This Row],[Name]],Table16[Name],Table16[[September 30, 2025]:[Column18]],,0,1),"&gt;=15")</f>
        <v>1</v>
      </c>
    </row>
    <row r="37" spans="1:11">
      <c r="A37" s="69"/>
      <c r="B37" s="82">
        <f>INDEX(AllTime1[All-time rank], MATCH(SMALL(AllTime1[Helper], ROW(Structures!$G32)), AllTime1[Helper], 0))</f>
        <v>30</v>
      </c>
      <c r="C37" s="64" t="str">
        <f>TEXT(INDEX(AllTime1[Name], MATCH(SMALL(AllTime1[Helper], ROW(Structures!$G32)), AllTime1[Helper], 0)),"@")</f>
        <v>Thomas Liu</v>
      </c>
      <c r="D37" s="64">
        <f>INDEX(AllTime1[All-time score], MATCH(LARGE(AllTime1[Helper2], ROW(Structures!$G32)), AllTime1[Helper2], 0))</f>
        <v>50</v>
      </c>
      <c r="E37" s="64">
        <f>COUNTIF(_xlfn.XLOOKUP(Table1215[[#This Row],[Name]],Table16[Name],Table16[[September 30, 2025]:[Column18]],,0,1),"&gt;=0")</f>
        <v>16</v>
      </c>
      <c r="F37" s="109">
        <f>_xlfn.XLOOKUP(Table1215[[#This Row],[Name]],Table1624[Name],Table1624[Totals],,0,1)</f>
        <v>0.64806666666666668</v>
      </c>
      <c r="G37" s="65">
        <f>IFERROR(Table1215[[#This Row],[Points]]/Table1215[[#This Row],[GP]],"N/A")</f>
        <v>3.125</v>
      </c>
      <c r="H37" s="64">
        <f>COUNTIF(_xlfn.XLOOKUP(Table1215[[#This Row],[Name]],Table16[Name],Table16[[September 30, 2025]:[Column18]],,0,1),"&gt;=8")</f>
        <v>2</v>
      </c>
      <c r="I37" s="110">
        <f>IFERROR(AVERAGEIF(_xlfn.XLOOKUP(Table1215[[#This Row],[Name]],Table16[Name],Table16[[September 30, 2025]:[Column18]],,0,1),"&gt;=8"),"N/A")</f>
        <v>15.5</v>
      </c>
      <c r="J37" s="66">
        <f>IFERROR(Table1215[[#This Row],[FTA]]/Table1215[[#This Row],[GP]],"N/A")</f>
        <v>0.125</v>
      </c>
      <c r="K37" s="67">
        <f>COUNTIF(_xlfn.XLOOKUP(Table1215[[#This Row],[Name]],Table16[Name],Table16[[September 30, 2025]:[Column18]],,0,1),"&gt;=15")</f>
        <v>1</v>
      </c>
    </row>
    <row r="38" spans="1:11">
      <c r="A38" s="69"/>
      <c r="B38" s="82">
        <f>INDEX(AllTime1[All-time rank], MATCH(SMALL(AllTime1[Helper], ROW(Structures!$G33)), AllTime1[Helper], 0))</f>
        <v>33</v>
      </c>
      <c r="C38" s="64" t="str">
        <f>TEXT(INDEX(AllTime1[Name], MATCH(SMALL(AllTime1[Helper], ROW(Structures!$G33)), AllTime1[Helper], 0)),"@")</f>
        <v xml:space="preserve">Dan De Leary </v>
      </c>
      <c r="D38" s="64">
        <f>INDEX(AllTime1[All-time score], MATCH(LARGE(AllTime1[Helper2], ROW(Structures!$G33)), AllTime1[Helper2], 0))</f>
        <v>48</v>
      </c>
      <c r="E38" s="64">
        <f>COUNTIF(_xlfn.XLOOKUP(Table1215[[#This Row],[Name]],Table16[Name],Table16[[September 30, 2025]:[Column18]],,0,1),"&gt;=0")</f>
        <v>17</v>
      </c>
      <c r="F38" s="109">
        <f>_xlfn.XLOOKUP(Table1215[[#This Row],[Name]],Table1624[Name],Table1624[Totals],,0,1)</f>
        <v>0.33806666666666668</v>
      </c>
      <c r="G38" s="65">
        <f>IFERROR(Table1215[[#This Row],[Points]]/Table1215[[#This Row],[GP]],"N/A")</f>
        <v>2.8235294117647061</v>
      </c>
      <c r="H38" s="64">
        <f>COUNTIF(_xlfn.XLOOKUP(Table1215[[#This Row],[Name]],Table16[Name],Table16[[September 30, 2025]:[Column18]],,0,1),"&gt;=8")</f>
        <v>2</v>
      </c>
      <c r="I38" s="110">
        <f>IFERROR(AVERAGEIF(_xlfn.XLOOKUP(Table1215[[#This Row],[Name]],Table16[Name],Table16[[September 30, 2025]:[Column18]],,0,1),"&gt;=8"),"N/A")</f>
        <v>8</v>
      </c>
      <c r="J38" s="66">
        <f>IFERROR(Table1215[[#This Row],[FTA]]/Table1215[[#This Row],[GP]],"N/A")</f>
        <v>0.11764705882352941</v>
      </c>
      <c r="K38" s="67">
        <f>COUNTIF(_xlfn.XLOOKUP(Table1215[[#This Row],[Name]],Table16[Name],Table16[[September 30, 2025]:[Column18]],,0,1),"&gt;=15")</f>
        <v>0</v>
      </c>
    </row>
    <row r="39" spans="1:11">
      <c r="A39" s="69"/>
      <c r="B39" s="82">
        <f>INDEX(AllTime1[All-time rank], MATCH(SMALL(AllTime1[Helper], ROW(Structures!$G34)), AllTime1[Helper], 0))</f>
        <v>34</v>
      </c>
      <c r="C39" s="64" t="str">
        <f>TEXT(INDEX(AllTime1[Name], MATCH(SMALL(AllTime1[Helper], ROW(Structures!$G34)), AllTime1[Helper], 0)),"@")</f>
        <v>Yue Wang</v>
      </c>
      <c r="D39" s="64">
        <f>INDEX(AllTime1[All-time score], MATCH(LARGE(AllTime1[Helper2], ROW(Structures!$G34)), AllTime1[Helper2], 0))</f>
        <v>47</v>
      </c>
      <c r="E39" s="64">
        <f>COUNTIF(_xlfn.XLOOKUP(Table1215[[#This Row],[Name]],Table16[Name],Table16[[September 30, 2025]:[Column18]],,0,1),"&gt;=0")</f>
        <v>4</v>
      </c>
      <c r="F39" s="109">
        <f>_xlfn.XLOOKUP(Table1215[[#This Row],[Name]],Table1624[Name],Table1624[Totals],,0,1)</f>
        <v>0.40500000000000003</v>
      </c>
      <c r="G39" s="65">
        <f>IFERROR(Table1215[[#This Row],[Points]]/Table1215[[#This Row],[GP]],"N/A")</f>
        <v>11.75</v>
      </c>
      <c r="H39" s="64">
        <f>COUNTIF(_xlfn.XLOOKUP(Table1215[[#This Row],[Name]],Table16[Name],Table16[[September 30, 2025]:[Column18]],,0,1),"&gt;=8")</f>
        <v>2</v>
      </c>
      <c r="I39" s="110">
        <f>IFERROR(AVERAGEIF(_xlfn.XLOOKUP(Table1215[[#This Row],[Name]],Table16[Name],Table16[[September 30, 2025]:[Column18]],,0,1),"&gt;=8"),"N/A")</f>
        <v>22.5</v>
      </c>
      <c r="J39" s="66">
        <f>IFERROR(Table1215[[#This Row],[FTA]]/Table1215[[#This Row],[GP]],"N/A")</f>
        <v>0.5</v>
      </c>
      <c r="K39" s="67">
        <f>COUNTIF(_xlfn.XLOOKUP(Table1215[[#This Row],[Name]],Table16[Name],Table16[[September 30, 2025]:[Column18]],,0,1),"&gt;=15")</f>
        <v>2</v>
      </c>
    </row>
    <row r="40" spans="1:11">
      <c r="A40" s="69"/>
      <c r="B40" s="82">
        <f>INDEX(AllTime1[All-time rank], MATCH(SMALL(AllTime1[Helper], ROW(Structures!$G35)), AllTime1[Helper], 0))</f>
        <v>35</v>
      </c>
      <c r="C40" s="64" t="str">
        <f>TEXT(INDEX(AllTime1[Name], MATCH(SMALL(AllTime1[Helper], ROW(Structures!$G35)), AllTime1[Helper], 0)),"@")</f>
        <v>Kalundi Serumaga</v>
      </c>
      <c r="D40" s="64">
        <f>INDEX(AllTime1[All-time score], MATCH(LARGE(AllTime1[Helper2], ROW(Structures!$G35)), AllTime1[Helper2], 0))</f>
        <v>44</v>
      </c>
      <c r="E40" s="64">
        <f>COUNTIF(_xlfn.XLOOKUP(Table1215[[#This Row],[Name]],Table16[Name],Table16[[September 30, 2025]:[Column18]],,0,1),"&gt;=0")</f>
        <v>3</v>
      </c>
      <c r="F40" s="109">
        <f>_xlfn.XLOOKUP(Table1215[[#This Row],[Name]],Table1624[Name],Table1624[Totals],,0,1)</f>
        <v>7.9666666666666663E-2</v>
      </c>
      <c r="G40" s="65">
        <f>IFERROR(Table1215[[#This Row],[Points]]/Table1215[[#This Row],[GP]],"N/A")</f>
        <v>14.666666666666666</v>
      </c>
      <c r="H40" s="64">
        <f>COUNTIF(_xlfn.XLOOKUP(Table1215[[#This Row],[Name]],Table16[Name],Table16[[September 30, 2025]:[Column18]],,0,1),"&gt;=8")</f>
        <v>2</v>
      </c>
      <c r="I40" s="110">
        <f>IFERROR(AVERAGEIF(_xlfn.XLOOKUP(Table1215[[#This Row],[Name]],Table16[Name],Table16[[September 30, 2025]:[Column18]],,0,1),"&gt;=8"),"N/A")</f>
        <v>20</v>
      </c>
      <c r="J40" s="66">
        <f>IFERROR(Table1215[[#This Row],[FTA]]/Table1215[[#This Row],[GP]],"N/A")</f>
        <v>0.66666666666666663</v>
      </c>
      <c r="K40" s="67">
        <f>COUNTIF(_xlfn.XLOOKUP(Table1215[[#This Row],[Name]],Table16[Name],Table16[[September 30, 2025]:[Column18]],,0,1),"&gt;=15")</f>
        <v>1</v>
      </c>
    </row>
    <row r="41" spans="1:11">
      <c r="A41" s="69"/>
      <c r="B41" s="82">
        <f>INDEX(AllTime1[All-time rank], MATCH(SMALL(AllTime1[Helper], ROW(Structures!$G36)), AllTime1[Helper], 0))</f>
        <v>36</v>
      </c>
      <c r="C41" s="64" t="str">
        <f>TEXT(INDEX(AllTime1[Name], MATCH(SMALL(AllTime1[Helper], ROW(Structures!$G36)), AllTime1[Helper], 0)),"@")</f>
        <v>Curtis Elve</v>
      </c>
      <c r="D41" s="64">
        <f>INDEX(AllTime1[All-time score], MATCH(LARGE(AllTime1[Helper2], ROW(Structures!$G36)), AllTime1[Helper2], 0))</f>
        <v>42</v>
      </c>
      <c r="E41" s="64">
        <f>COUNTIF(_xlfn.XLOOKUP(Table1215[[#This Row],[Name]],Table16[Name],Table16[[September 30, 2025]:[Column18]],,0,1),"&gt;=0")</f>
        <v>6</v>
      </c>
      <c r="F41" s="109">
        <f>_xlfn.XLOOKUP(Table1215[[#This Row],[Name]],Table1624[Name],Table1624[Totals],,0,1)</f>
        <v>0.39649999999999996</v>
      </c>
      <c r="G41" s="65">
        <f>IFERROR(Table1215[[#This Row],[Points]]/Table1215[[#This Row],[GP]],"N/A")</f>
        <v>7</v>
      </c>
      <c r="H41" s="64">
        <f>COUNTIF(_xlfn.XLOOKUP(Table1215[[#This Row],[Name]],Table16[Name],Table16[[September 30, 2025]:[Column18]],,0,1),"&gt;=8")</f>
        <v>2</v>
      </c>
      <c r="I41" s="110">
        <f>IFERROR(AVERAGEIF(_xlfn.XLOOKUP(Table1215[[#This Row],[Name]],Table16[Name],Table16[[September 30, 2025]:[Column18]],,0,1),"&gt;=8"),"N/A")</f>
        <v>19</v>
      </c>
      <c r="J41" s="66">
        <f>IFERROR(Table1215[[#This Row],[FTA]]/Table1215[[#This Row],[GP]],"N/A")</f>
        <v>0.33333333333333331</v>
      </c>
      <c r="K41" s="67">
        <f>COUNTIF(_xlfn.XLOOKUP(Table1215[[#This Row],[Name]],Table16[Name],Table16[[September 30, 2025]:[Column18]],,0,1),"&gt;=15")</f>
        <v>1</v>
      </c>
    </row>
    <row r="42" spans="1:11">
      <c r="A42" s="69"/>
      <c r="B42" s="82">
        <f>INDEX(AllTime1[All-time rank], MATCH(SMALL(AllTime1[Helper], ROW(Structures!$G37)), AllTime1[Helper], 0))</f>
        <v>37</v>
      </c>
      <c r="C42" s="64" t="str">
        <f>TEXT(INDEX(AllTime1[Name], MATCH(SMALL(AllTime1[Helper], ROW(Structures!$G37)), AllTime1[Helper], 0)),"@")</f>
        <v>Emma Sproxton</v>
      </c>
      <c r="D42" s="64">
        <f>INDEX(AllTime1[All-time score], MATCH(LARGE(AllTime1[Helper2], ROW(Structures!$G37)), AllTime1[Helper2], 0))</f>
        <v>39</v>
      </c>
      <c r="E42" s="64">
        <f>COUNTIF(_xlfn.XLOOKUP(Table1215[[#This Row],[Name]],Table16[Name],Table16[[September 30, 2025]:[Column18]],,0,1),"&gt;=0")</f>
        <v>8</v>
      </c>
      <c r="F42" s="109">
        <f>_xlfn.XLOOKUP(Table1215[[#This Row],[Name]],Table1624[Name],Table1624[Totals],,0,1)</f>
        <v>0.47316666666666674</v>
      </c>
      <c r="G42" s="65">
        <f>IFERROR(Table1215[[#This Row],[Points]]/Table1215[[#This Row],[GP]],"N/A")</f>
        <v>4.875</v>
      </c>
      <c r="H42" s="64">
        <f>COUNTIF(_xlfn.XLOOKUP(Table1215[[#This Row],[Name]],Table16[Name],Table16[[September 30, 2025]:[Column18]],,0,1),"&gt;=8")</f>
        <v>1</v>
      </c>
      <c r="I42" s="110">
        <f>IFERROR(AVERAGEIF(_xlfn.XLOOKUP(Table1215[[#This Row],[Name]],Table16[Name],Table16[[September 30, 2025]:[Column18]],,0,1),"&gt;=8"),"N/A")</f>
        <v>30</v>
      </c>
      <c r="J42" s="66">
        <f>IFERROR(Table1215[[#This Row],[FTA]]/Table1215[[#This Row],[GP]],"N/A")</f>
        <v>0.125</v>
      </c>
      <c r="K42" s="67">
        <f>COUNTIF(_xlfn.XLOOKUP(Table1215[[#This Row],[Name]],Table16[Name],Table16[[September 30, 2025]:[Column18]],,0,1),"&gt;=15")</f>
        <v>1</v>
      </c>
    </row>
    <row r="43" spans="1:11">
      <c r="A43" s="69"/>
      <c r="B43" s="82">
        <f>INDEX(AllTime1[All-time rank], MATCH(SMALL(AllTime1[Helper], ROW(Structures!$G38)), AllTime1[Helper], 0))</f>
        <v>37</v>
      </c>
      <c r="C43" s="64" t="str">
        <f>TEXT(INDEX(AllTime1[Name], MATCH(SMALL(AllTime1[Helper], ROW(Structures!$G38)), AllTime1[Helper], 0)),"@")</f>
        <v>Priyansh Sharma</v>
      </c>
      <c r="D43" s="64">
        <f>INDEX(AllTime1[All-time score], MATCH(LARGE(AllTime1[Helper2], ROW(Structures!$G38)), AllTime1[Helper2], 0))</f>
        <v>39</v>
      </c>
      <c r="E43" s="64">
        <f>COUNTIF(_xlfn.XLOOKUP(Table1215[[#This Row],[Name]],Table16[Name],Table16[[September 30, 2025]:[Column18]],,0,1),"&gt;=0")</f>
        <v>16</v>
      </c>
      <c r="F43" s="109">
        <f>_xlfn.XLOOKUP(Table1215[[#This Row],[Name]],Table1624[Name],Table1624[Totals],,0,1)</f>
        <v>0.61706666666666665</v>
      </c>
      <c r="G43" s="65">
        <f>IFERROR(Table1215[[#This Row],[Points]]/Table1215[[#This Row],[GP]],"N/A")</f>
        <v>2.4375</v>
      </c>
      <c r="H43" s="64">
        <f>COUNTIF(_xlfn.XLOOKUP(Table1215[[#This Row],[Name]],Table16[Name],Table16[[September 30, 2025]:[Column18]],,0,1),"&gt;=8")</f>
        <v>2</v>
      </c>
      <c r="I43" s="110">
        <f>IFERROR(AVERAGEIF(_xlfn.XLOOKUP(Table1215[[#This Row],[Name]],Table16[Name],Table16[[September 30, 2025]:[Column18]],,0,1),"&gt;=8"),"N/A")</f>
        <v>10</v>
      </c>
      <c r="J43" s="66">
        <f>IFERROR(Table1215[[#This Row],[FTA]]/Table1215[[#This Row],[GP]],"N/A")</f>
        <v>0.125</v>
      </c>
      <c r="K43" s="67">
        <f>COUNTIF(_xlfn.XLOOKUP(Table1215[[#This Row],[Name]],Table16[Name],Table16[[September 30, 2025]:[Column18]],,0,1),"&gt;=15")</f>
        <v>0</v>
      </c>
    </row>
    <row r="44" spans="1:11">
      <c r="A44" s="69"/>
      <c r="B44" s="82">
        <f>INDEX(AllTime1[All-time rank], MATCH(SMALL(AllTime1[Helper], ROW(Structures!$G39)), AllTime1[Helper], 0))</f>
        <v>37</v>
      </c>
      <c r="C44" s="64" t="str">
        <f>TEXT(INDEX(AllTime1[Name], MATCH(SMALL(AllTime1[Helper], ROW(Structures!$G39)), AllTime1[Helper], 0)),"@")</f>
        <v>Alexander Kowalski</v>
      </c>
      <c r="D44" s="64">
        <f>INDEX(AllTime1[All-time score], MATCH(LARGE(AllTime1[Helper2], ROW(Structures!$G39)), AllTime1[Helper2], 0))</f>
        <v>39</v>
      </c>
      <c r="E44" s="64">
        <f>COUNTIF(_xlfn.XLOOKUP(Table1215[[#This Row],[Name]],Table16[Name],Table16[[September 30, 2025]:[Column18]],,0,1),"&gt;=0")</f>
        <v>9</v>
      </c>
      <c r="F44" s="109">
        <f>_xlfn.XLOOKUP(Table1215[[#This Row],[Name]],Table1624[Name],Table1624[Totals],,0,1)</f>
        <v>0.50844444444444437</v>
      </c>
      <c r="G44" s="65">
        <f>IFERROR(Table1215[[#This Row],[Points]]/Table1215[[#This Row],[GP]],"N/A")</f>
        <v>4.333333333333333</v>
      </c>
      <c r="H44" s="64">
        <f>COUNTIF(_xlfn.XLOOKUP(Table1215[[#This Row],[Name]],Table16[Name],Table16[[September 30, 2025]:[Column18]],,0,1),"&gt;=8")</f>
        <v>2</v>
      </c>
      <c r="I44" s="110">
        <f>IFERROR(AVERAGEIF(_xlfn.XLOOKUP(Table1215[[#This Row],[Name]],Table16[Name],Table16[[September 30, 2025]:[Column18]],,0,1),"&gt;=8"),"N/A")</f>
        <v>15</v>
      </c>
      <c r="J44" s="66">
        <f>IFERROR(Table1215[[#This Row],[FTA]]/Table1215[[#This Row],[GP]],"N/A")</f>
        <v>0.22222222222222221</v>
      </c>
      <c r="K44" s="67">
        <f>COUNTIF(_xlfn.XLOOKUP(Table1215[[#This Row],[Name]],Table16[Name],Table16[[September 30, 2025]:[Column18]],,0,1),"&gt;=15")</f>
        <v>1</v>
      </c>
    </row>
    <row r="45" spans="1:11">
      <c r="A45" s="69"/>
      <c r="B45" s="82">
        <f>INDEX(AllTime1[All-time rank], MATCH(SMALL(AllTime1[Helper], ROW(Structures!$G40)), AllTime1[Helper], 0))</f>
        <v>37</v>
      </c>
      <c r="C45" s="64" t="str">
        <f>TEXT(INDEX(AllTime1[Name], MATCH(SMALL(AllTime1[Helper], ROW(Structures!$G40)), AllTime1[Helper], 0)),"@")</f>
        <v>Krish Chandola</v>
      </c>
      <c r="D45" s="64">
        <f>INDEX(AllTime1[All-time score], MATCH(LARGE(AllTime1[Helper2], ROW(Structures!$G40)), AllTime1[Helper2], 0))</f>
        <v>39</v>
      </c>
      <c r="E45" s="64">
        <f>COUNTIF(_xlfn.XLOOKUP(Table1215[[#This Row],[Name]],Table16[Name],Table16[[September 30, 2025]:[Column18]],,0,1),"&gt;=0")</f>
        <v>15</v>
      </c>
      <c r="F45" s="109">
        <f>_xlfn.XLOOKUP(Table1215[[#This Row],[Name]],Table1624[Name],Table1624[Totals],,0,1)</f>
        <v>0.35800000000000004</v>
      </c>
      <c r="G45" s="65">
        <f>IFERROR(Table1215[[#This Row],[Points]]/Table1215[[#This Row],[GP]],"N/A")</f>
        <v>2.6</v>
      </c>
      <c r="H45" s="64">
        <f>COUNTIF(_xlfn.XLOOKUP(Table1215[[#This Row],[Name]],Table16[Name],Table16[[September 30, 2025]:[Column18]],,0,1),"&gt;=8")</f>
        <v>1</v>
      </c>
      <c r="I45" s="110">
        <f>IFERROR(AVERAGEIF(_xlfn.XLOOKUP(Table1215[[#This Row],[Name]],Table16[Name],Table16[[September 30, 2025]:[Column18]],,0,1),"&gt;=8"),"N/A")</f>
        <v>10</v>
      </c>
      <c r="J45" s="66">
        <f>IFERROR(Table1215[[#This Row],[FTA]]/Table1215[[#This Row],[GP]],"N/A")</f>
        <v>6.6666666666666666E-2</v>
      </c>
      <c r="K45" s="67">
        <f>COUNTIF(_xlfn.XLOOKUP(Table1215[[#This Row],[Name]],Table16[Name],Table16[[September 30, 2025]:[Column18]],,0,1),"&gt;=15")</f>
        <v>0</v>
      </c>
    </row>
    <row r="46" spans="1:11">
      <c r="A46" s="69"/>
      <c r="B46" s="82">
        <f>INDEX(AllTime1[All-time rank], MATCH(SMALL(AllTime1[Helper], ROW(Structures!$G41)), AllTime1[Helper], 0))</f>
        <v>37</v>
      </c>
      <c r="C46" s="64" t="str">
        <f>TEXT(INDEX(AllTime1[Name], MATCH(SMALL(AllTime1[Helper], ROW(Structures!$G41)), AllTime1[Helper], 0)),"@")</f>
        <v>Lucy Kim</v>
      </c>
      <c r="D46" s="64">
        <f>INDEX(AllTime1[All-time score], MATCH(LARGE(AllTime1[Helper2], ROW(Structures!$G41)), AllTime1[Helper2], 0))</f>
        <v>39</v>
      </c>
      <c r="E46" s="64">
        <f>COUNTIF(_xlfn.XLOOKUP(Table1215[[#This Row],[Name]],Table16[Name],Table16[[September 30, 2025]:[Column18]],,0,1),"&gt;=0")</f>
        <v>15</v>
      </c>
      <c r="F46" s="109">
        <f>_xlfn.XLOOKUP(Table1215[[#This Row],[Name]],Table1624[Name],Table1624[Totals],,0,1)</f>
        <v>0.36892307692307696</v>
      </c>
      <c r="G46" s="65">
        <f>IFERROR(Table1215[[#This Row],[Points]]/Table1215[[#This Row],[GP]],"N/A")</f>
        <v>2.6</v>
      </c>
      <c r="H46" s="64">
        <f>COUNTIF(_xlfn.XLOOKUP(Table1215[[#This Row],[Name]],Table16[Name],Table16[[September 30, 2025]:[Column18]],,0,1),"&gt;=8")</f>
        <v>1</v>
      </c>
      <c r="I46" s="110">
        <f>IFERROR(AVERAGEIF(_xlfn.XLOOKUP(Table1215[[#This Row],[Name]],Table16[Name],Table16[[September 30, 2025]:[Column18]],,0,1),"&gt;=8"),"N/A")</f>
        <v>10</v>
      </c>
      <c r="J46" s="66">
        <f>IFERROR(Table1215[[#This Row],[FTA]]/Table1215[[#This Row],[GP]],"N/A")</f>
        <v>6.6666666666666666E-2</v>
      </c>
      <c r="K46" s="67">
        <f>COUNTIF(_xlfn.XLOOKUP(Table1215[[#This Row],[Name]],Table16[Name],Table16[[September 30, 2025]:[Column18]],,0,1),"&gt;=15")</f>
        <v>0</v>
      </c>
    </row>
    <row r="47" spans="1:11">
      <c r="A47" s="69"/>
      <c r="B47" s="82">
        <f>INDEX(AllTime1[All-time rank], MATCH(SMALL(AllTime1[Helper], ROW(Structures!$G42)), AllTime1[Helper], 0))</f>
        <v>42</v>
      </c>
      <c r="C47" s="64" t="str">
        <f>TEXT(INDEX(AllTime1[Name], MATCH(SMALL(AllTime1[Helper], ROW(Structures!$G42)), AllTime1[Helper], 0)),"@")</f>
        <v>Zain Husain</v>
      </c>
      <c r="D47" s="64">
        <f>INDEX(AllTime1[All-time score], MATCH(LARGE(AllTime1[Helper2], ROW(Structures!$G42)), AllTime1[Helper2], 0))</f>
        <v>37</v>
      </c>
      <c r="E47" s="64">
        <f>COUNTIF(_xlfn.XLOOKUP(Table1215[[#This Row],[Name]],Table16[Name],Table16[[September 30, 2025]:[Column18]],,0,1),"&gt;=0")</f>
        <v>10</v>
      </c>
      <c r="F47" s="109">
        <f>_xlfn.XLOOKUP(Table1215[[#This Row],[Name]],Table1624[Name],Table1624[Totals],,0,1)</f>
        <v>0.37730000000000008</v>
      </c>
      <c r="G47" s="65">
        <f>IFERROR(Table1215[[#This Row],[Points]]/Table1215[[#This Row],[GP]],"N/A")</f>
        <v>3.7</v>
      </c>
      <c r="H47" s="64">
        <f>COUNTIF(_xlfn.XLOOKUP(Table1215[[#This Row],[Name]],Table16[Name],Table16[[September 30, 2025]:[Column18]],,0,1),"&gt;=8")</f>
        <v>2</v>
      </c>
      <c r="I47" s="110">
        <f>IFERROR(AVERAGEIF(_xlfn.XLOOKUP(Table1215[[#This Row],[Name]],Table16[Name],Table16[[September 30, 2025]:[Column18]],,0,1),"&gt;=8"),"N/A")</f>
        <v>10</v>
      </c>
      <c r="J47" s="66">
        <f>IFERROR(Table1215[[#This Row],[FTA]]/Table1215[[#This Row],[GP]],"N/A")</f>
        <v>0.2</v>
      </c>
      <c r="K47" s="67">
        <f>COUNTIF(_xlfn.XLOOKUP(Table1215[[#This Row],[Name]],Table16[Name],Table16[[September 30, 2025]:[Column18]],,0,1),"&gt;=15")</f>
        <v>0</v>
      </c>
    </row>
    <row r="48" spans="1:11">
      <c r="A48" s="69"/>
      <c r="B48" s="82">
        <f>INDEX(AllTime1[All-time rank], MATCH(SMALL(AllTime1[Helper], ROW(Structures!$G43)), AllTime1[Helper], 0))</f>
        <v>43</v>
      </c>
      <c r="C48" s="64" t="str">
        <f>TEXT(INDEX(AllTime1[Name], MATCH(SMALL(AllTime1[Helper], ROW(Structures!$G43)), AllTime1[Helper], 0)),"@")</f>
        <v>Dominic Chiera</v>
      </c>
      <c r="D48" s="64">
        <f>INDEX(AllTime1[All-time score], MATCH(LARGE(AllTime1[Helper2], ROW(Structures!$G43)), AllTime1[Helper2], 0))</f>
        <v>36</v>
      </c>
      <c r="E48" s="64">
        <f>COUNTIF(_xlfn.XLOOKUP(Table1215[[#This Row],[Name]],Table16[Name],Table16[[September 30, 2025]:[Column18]],,0,1),"&gt;=0")</f>
        <v>15</v>
      </c>
      <c r="F48" s="109">
        <f>_xlfn.XLOOKUP(Table1215[[#This Row],[Name]],Table1624[Name],Table1624[Totals],,0,1)</f>
        <v>0.42176923076923073</v>
      </c>
      <c r="G48" s="65">
        <f>IFERROR(Table1215[[#This Row],[Points]]/Table1215[[#This Row],[GP]],"N/A")</f>
        <v>2.4</v>
      </c>
      <c r="H48" s="64">
        <f>COUNTIF(_xlfn.XLOOKUP(Table1215[[#This Row],[Name]],Table16[Name],Table16[[September 30, 2025]:[Column18]],,0,1),"&gt;=8")</f>
        <v>1</v>
      </c>
      <c r="I48" s="110">
        <f>IFERROR(AVERAGEIF(_xlfn.XLOOKUP(Table1215[[#This Row],[Name]],Table16[Name],Table16[[September 30, 2025]:[Column18]],,0,1),"&gt;=8"),"N/A")</f>
        <v>10</v>
      </c>
      <c r="J48" s="66">
        <f>IFERROR(Table1215[[#This Row],[FTA]]/Table1215[[#This Row],[GP]],"N/A")</f>
        <v>6.6666666666666666E-2</v>
      </c>
      <c r="K48" s="67">
        <f>COUNTIF(_xlfn.XLOOKUP(Table1215[[#This Row],[Name]],Table16[Name],Table16[[September 30, 2025]:[Column18]],,0,1),"&gt;=15")</f>
        <v>0</v>
      </c>
    </row>
    <row r="49" spans="1:11">
      <c r="A49" s="69"/>
      <c r="B49" s="82">
        <f>INDEX(AllTime1[All-time rank], MATCH(SMALL(AllTime1[Helper], ROW(Structures!$G44)), AllTime1[Helper], 0))</f>
        <v>43</v>
      </c>
      <c r="C49" s="64" t="str">
        <f>TEXT(INDEX(AllTime1[Name], MATCH(SMALL(AllTime1[Helper], ROW(Structures!$G44)), AllTime1[Helper], 0)),"@")</f>
        <v>Justin Chow</v>
      </c>
      <c r="D49" s="64">
        <f>INDEX(AllTime1[All-time score], MATCH(LARGE(AllTime1[Helper2], ROW(Structures!$G44)), AllTime1[Helper2], 0))</f>
        <v>36</v>
      </c>
      <c r="E49" s="64">
        <f>COUNTIF(_xlfn.XLOOKUP(Table1215[[#This Row],[Name]],Table16[Name],Table16[[September 30, 2025]:[Column18]],,0,1),"&gt;=0")</f>
        <v>9</v>
      </c>
      <c r="F49" s="109">
        <f>_xlfn.XLOOKUP(Table1215[[#This Row],[Name]],Table1624[Name],Table1624[Totals],,0,1)</f>
        <v>0.56937499999999996</v>
      </c>
      <c r="G49" s="65">
        <f>IFERROR(Table1215[[#This Row],[Points]]/Table1215[[#This Row],[GP]],"N/A")</f>
        <v>4</v>
      </c>
      <c r="H49" s="64">
        <f>COUNTIF(_xlfn.XLOOKUP(Table1215[[#This Row],[Name]],Table16[Name],Table16[[September 30, 2025]:[Column18]],,0,1),"&gt;=8")</f>
        <v>1</v>
      </c>
      <c r="I49" s="110">
        <f>IFERROR(AVERAGEIF(_xlfn.XLOOKUP(Table1215[[#This Row],[Name]],Table16[Name],Table16[[September 30, 2025]:[Column18]],,0,1),"&gt;=8"),"N/A")</f>
        <v>23</v>
      </c>
      <c r="J49" s="66">
        <f>IFERROR(Table1215[[#This Row],[FTA]]/Table1215[[#This Row],[GP]],"N/A")</f>
        <v>0.1111111111111111</v>
      </c>
      <c r="K49" s="67">
        <f>COUNTIF(_xlfn.XLOOKUP(Table1215[[#This Row],[Name]],Table16[Name],Table16[[September 30, 2025]:[Column18]],,0,1),"&gt;=15")</f>
        <v>1</v>
      </c>
    </row>
    <row r="50" spans="1:11">
      <c r="A50" s="69"/>
      <c r="B50" s="82">
        <f>INDEX(AllTime1[All-time rank], MATCH(SMALL(AllTime1[Helper], ROW(Structures!$G45)), AllTime1[Helper], 0))</f>
        <v>45</v>
      </c>
      <c r="C50" s="64" t="str">
        <f>TEXT(INDEX(AllTime1[Name], MATCH(SMALL(AllTime1[Helper], ROW(Structures!$G45)), AllTime1[Helper], 0)),"@")</f>
        <v>Ryan Chen</v>
      </c>
      <c r="D50" s="64">
        <f>INDEX(AllTime1[All-time score], MATCH(LARGE(AllTime1[Helper2], ROW(Structures!$G45)), AllTime1[Helper2], 0))</f>
        <v>34</v>
      </c>
      <c r="E50" s="64">
        <f>COUNTIF(_xlfn.XLOOKUP(Table1215[[#This Row],[Name]],Table16[Name],Table16[[September 30, 2025]:[Column18]],,0,1),"&gt;=0")</f>
        <v>14</v>
      </c>
      <c r="F50" s="109">
        <f>_xlfn.XLOOKUP(Table1215[[#This Row],[Name]],Table1624[Name],Table1624[Totals],,0,1)</f>
        <v>0.37208333333333332</v>
      </c>
      <c r="G50" s="65">
        <f>IFERROR(Table1215[[#This Row],[Points]]/Table1215[[#This Row],[GP]],"N/A")</f>
        <v>2.4285714285714284</v>
      </c>
      <c r="H50" s="64">
        <f>COUNTIF(_xlfn.XLOOKUP(Table1215[[#This Row],[Name]],Table16[Name],Table16[[September 30, 2025]:[Column18]],,0,1),"&gt;=8")</f>
        <v>1</v>
      </c>
      <c r="I50" s="110">
        <f>IFERROR(AVERAGEIF(_xlfn.XLOOKUP(Table1215[[#This Row],[Name]],Table16[Name],Table16[[September 30, 2025]:[Column18]],,0,1),"&gt;=8"),"N/A")</f>
        <v>8</v>
      </c>
      <c r="J50" s="66">
        <f>IFERROR(Table1215[[#This Row],[FTA]]/Table1215[[#This Row],[GP]],"N/A")</f>
        <v>7.1428571428571425E-2</v>
      </c>
      <c r="K50" s="67">
        <f>COUNTIF(_xlfn.XLOOKUP(Table1215[[#This Row],[Name]],Table16[Name],Table16[[September 30, 2025]:[Column18]],,0,1),"&gt;=15")</f>
        <v>0</v>
      </c>
    </row>
    <row r="51" spans="1:11">
      <c r="A51" s="69"/>
      <c r="B51" s="82">
        <f>INDEX(AllTime1[All-time rank], MATCH(SMALL(AllTime1[Helper], ROW(Structures!$G46)), AllTime1[Helper], 0))</f>
        <v>45</v>
      </c>
      <c r="C51" s="64" t="str">
        <f>TEXT(INDEX(AllTime1[Name], MATCH(SMALL(AllTime1[Helper], ROW(Structures!$G46)), AllTime1[Helper], 0)),"@")</f>
        <v>Andrew Liu</v>
      </c>
      <c r="D51" s="64">
        <f>INDEX(AllTime1[All-time score], MATCH(LARGE(AllTime1[Helper2], ROW(Structures!$G46)), AllTime1[Helper2], 0))</f>
        <v>34</v>
      </c>
      <c r="E51" s="64">
        <f>COUNTIF(_xlfn.XLOOKUP(Table1215[[#This Row],[Name]],Table16[Name],Table16[[September 30, 2025]:[Column18]],,0,1),"&gt;=0")</f>
        <v>9</v>
      </c>
      <c r="F51" s="109">
        <f>_xlfn.XLOOKUP(Table1215[[#This Row],[Name]],Table1624[Name],Table1624[Totals],,0,1)</f>
        <v>0.38912500000000005</v>
      </c>
      <c r="G51" s="65">
        <f>IFERROR(Table1215[[#This Row],[Points]]/Table1215[[#This Row],[GP]],"N/A")</f>
        <v>3.7777777777777777</v>
      </c>
      <c r="H51" s="64">
        <f>COUNTIF(_xlfn.XLOOKUP(Table1215[[#This Row],[Name]],Table16[Name],Table16[[September 30, 2025]:[Column18]],,0,1),"&gt;=8")</f>
        <v>2</v>
      </c>
      <c r="I51" s="110">
        <f>IFERROR(AVERAGEIF(_xlfn.XLOOKUP(Table1215[[#This Row],[Name]],Table16[Name],Table16[[September 30, 2025]:[Column18]],,0,1),"&gt;=8"),"N/A")</f>
        <v>10</v>
      </c>
      <c r="J51" s="66">
        <f>IFERROR(Table1215[[#This Row],[FTA]]/Table1215[[#This Row],[GP]],"N/A")</f>
        <v>0.22222222222222221</v>
      </c>
      <c r="K51" s="67">
        <f>COUNTIF(_xlfn.XLOOKUP(Table1215[[#This Row],[Name]],Table16[Name],Table16[[September 30, 2025]:[Column18]],,0,1),"&gt;=15")</f>
        <v>0</v>
      </c>
    </row>
    <row r="52" spans="1:11">
      <c r="A52" s="69"/>
      <c r="B52" s="82">
        <f>INDEX(AllTime1[All-time rank], MATCH(SMALL(AllTime1[Helper], ROW(Structures!$G47)), AllTime1[Helper], 0))</f>
        <v>47</v>
      </c>
      <c r="C52" s="64" t="str">
        <f>TEXT(INDEX(AllTime1[Name], MATCH(SMALL(AllTime1[Helper], ROW(Structures!$G47)), AllTime1[Helper], 0)),"@")</f>
        <v>Qingtong Hu</v>
      </c>
      <c r="D52" s="64">
        <f>INDEX(AllTime1[All-time score], MATCH(LARGE(AllTime1[Helper2], ROW(Structures!$G47)), AllTime1[Helper2], 0))</f>
        <v>33</v>
      </c>
      <c r="E52" s="64">
        <f>COUNTIF(_xlfn.XLOOKUP(Table1215[[#This Row],[Name]],Table16[Name],Table16[[September 30, 2025]:[Column18]],,0,1),"&gt;=0")</f>
        <v>15</v>
      </c>
      <c r="F52" s="109">
        <f>_xlfn.XLOOKUP(Table1215[[#This Row],[Name]],Table1624[Name],Table1624[Totals],,0,1)</f>
        <v>0.41761538461538461</v>
      </c>
      <c r="G52" s="65">
        <f>IFERROR(Table1215[[#This Row],[Points]]/Table1215[[#This Row],[GP]],"N/A")</f>
        <v>2.2000000000000002</v>
      </c>
      <c r="H52" s="64">
        <f>COUNTIF(_xlfn.XLOOKUP(Table1215[[#This Row],[Name]],Table16[Name],Table16[[September 30, 2025]:[Column18]],,0,1),"&gt;=8")</f>
        <v>0</v>
      </c>
      <c r="I52" s="110" t="str">
        <f>IFERROR(AVERAGEIF(_xlfn.XLOOKUP(Table1215[[#This Row],[Name]],Table16[Name],Table16[[September 30, 2025]:[Column18]],,0,1),"&gt;=8"),"N/A")</f>
        <v>N/A</v>
      </c>
      <c r="J52" s="66">
        <f>IFERROR(Table1215[[#This Row],[FTA]]/Table1215[[#This Row],[GP]],"N/A")</f>
        <v>0</v>
      </c>
      <c r="K52" s="67">
        <f>COUNTIF(_xlfn.XLOOKUP(Table1215[[#This Row],[Name]],Table16[Name],Table16[[September 30, 2025]:[Column18]],,0,1),"&gt;=15")</f>
        <v>0</v>
      </c>
    </row>
    <row r="53" spans="1:11">
      <c r="A53" s="69"/>
      <c r="B53" s="82">
        <f>INDEX(AllTime1[All-time rank], MATCH(SMALL(AllTime1[Helper], ROW(Structures!$G48)), AllTime1[Helper], 0))</f>
        <v>47</v>
      </c>
      <c r="C53" s="64" t="str">
        <f>TEXT(INDEX(AllTime1[Name], MATCH(SMALL(AllTime1[Helper], ROW(Structures!$G48)), AllTime1[Helper], 0)),"@")</f>
        <v>Yoni Silbershatz</v>
      </c>
      <c r="D53" s="64">
        <f>INDEX(AllTime1[All-time score], MATCH(LARGE(AllTime1[Helper2], ROW(Structures!$G48)), AllTime1[Helper2], 0))</f>
        <v>33</v>
      </c>
      <c r="E53" s="64">
        <f>COUNTIF(_xlfn.XLOOKUP(Table1215[[#This Row],[Name]],Table16[Name],Table16[[September 30, 2025]:[Column18]],,0,1),"&gt;=0")</f>
        <v>13</v>
      </c>
      <c r="F53" s="109">
        <f>_xlfn.XLOOKUP(Table1215[[#This Row],[Name]],Table1624[Name],Table1624[Totals],,0,1)</f>
        <v>0.45263636363636356</v>
      </c>
      <c r="G53" s="65">
        <f>IFERROR(Table1215[[#This Row],[Points]]/Table1215[[#This Row],[GP]],"N/A")</f>
        <v>2.5384615384615383</v>
      </c>
      <c r="H53" s="64">
        <f>COUNTIF(_xlfn.XLOOKUP(Table1215[[#This Row],[Name]],Table16[Name],Table16[[September 30, 2025]:[Column18]],,0,1),"&gt;=8")</f>
        <v>1</v>
      </c>
      <c r="I53" s="110">
        <f>IFERROR(AVERAGEIF(_xlfn.XLOOKUP(Table1215[[#This Row],[Name]],Table16[Name],Table16[[September 30, 2025]:[Column18]],,0,1),"&gt;=8"),"N/A")</f>
        <v>10</v>
      </c>
      <c r="J53" s="66">
        <f>IFERROR(Table1215[[#This Row],[FTA]]/Table1215[[#This Row],[GP]],"N/A")</f>
        <v>7.6923076923076927E-2</v>
      </c>
      <c r="K53" s="67">
        <f>COUNTIF(_xlfn.XLOOKUP(Table1215[[#This Row],[Name]],Table16[Name],Table16[[September 30, 2025]:[Column18]],,0,1),"&gt;=15")</f>
        <v>0</v>
      </c>
    </row>
    <row r="54" spans="1:11">
      <c r="A54" s="69"/>
      <c r="B54" s="82">
        <f>INDEX(AllTime1[All-time rank], MATCH(SMALL(AllTime1[Helper], ROW(Structures!$G49)), AllTime1[Helper], 0))</f>
        <v>49</v>
      </c>
      <c r="C54" s="64" t="str">
        <f>TEXT(INDEX(AllTime1[Name], MATCH(SMALL(AllTime1[Helper], ROW(Structures!$G49)), AllTime1[Helper], 0)),"@")</f>
        <v>Ilya Beuermann</v>
      </c>
      <c r="D54" s="64">
        <f>INDEX(AllTime1[All-time score], MATCH(LARGE(AllTime1[Helper2], ROW(Structures!$G49)), AllTime1[Helper2], 0))</f>
        <v>32</v>
      </c>
      <c r="E54" s="64">
        <f>COUNTIF(_xlfn.XLOOKUP(Table1215[[#This Row],[Name]],Table16[Name],Table16[[September 30, 2025]:[Column18]],,0,1),"&gt;=0")</f>
        <v>19</v>
      </c>
      <c r="F54" s="109">
        <f>_xlfn.XLOOKUP(Table1215[[#This Row],[Name]],Table1624[Name],Table1624[Totals],,0,1)</f>
        <v>0.55164705882352938</v>
      </c>
      <c r="G54" s="65">
        <f>IFERROR(Table1215[[#This Row],[Points]]/Table1215[[#This Row],[GP]],"N/A")</f>
        <v>1.6842105263157894</v>
      </c>
      <c r="H54" s="64">
        <f>COUNTIF(_xlfn.XLOOKUP(Table1215[[#This Row],[Name]],Table16[Name],Table16[[September 30, 2025]:[Column18]],,0,1),"&gt;=8")</f>
        <v>0</v>
      </c>
      <c r="I54" s="110" t="str">
        <f>IFERROR(AVERAGEIF(_xlfn.XLOOKUP(Table1215[[#This Row],[Name]],Table16[Name],Table16[[September 30, 2025]:[Column18]],,0,1),"&gt;=8"),"N/A")</f>
        <v>N/A</v>
      </c>
      <c r="J54" s="66">
        <f>IFERROR(Table1215[[#This Row],[FTA]]/Table1215[[#This Row],[GP]],"N/A")</f>
        <v>0</v>
      </c>
      <c r="K54" s="67">
        <f>COUNTIF(_xlfn.XLOOKUP(Table1215[[#This Row],[Name]],Table16[Name],Table16[[September 30, 2025]:[Column18]],,0,1),"&gt;=15")</f>
        <v>0</v>
      </c>
    </row>
    <row r="55" spans="1:11">
      <c r="A55" s="69"/>
      <c r="B55" s="82">
        <f>INDEX(AllTime1[All-time rank], MATCH(SMALL(AllTime1[Helper], ROW(Structures!$G50)), AllTime1[Helper], 0))</f>
        <v>49</v>
      </c>
      <c r="C55" s="64" t="str">
        <f>TEXT(INDEX(AllTime1[Name], MATCH(SMALL(AllTime1[Helper], ROW(Structures!$G50)), AllTime1[Helper], 0)),"@")</f>
        <v>Konrad Zawadzki</v>
      </c>
      <c r="D55" s="64">
        <f>INDEX(AllTime1[All-time score], MATCH(LARGE(AllTime1[Helper2], ROW(Structures!$G50)), AllTime1[Helper2], 0))</f>
        <v>32</v>
      </c>
      <c r="E55" s="64">
        <f>COUNTIF(_xlfn.XLOOKUP(Table1215[[#This Row],[Name]],Table16[Name],Table16[[September 30, 2025]:[Column18]],,0,1),"&gt;=0")</f>
        <v>3</v>
      </c>
      <c r="F55" s="109">
        <f>_xlfn.XLOOKUP(Table1215[[#This Row],[Name]],Table1624[Name],Table1624[Totals],,0,1)</f>
        <v>0.96299999999999997</v>
      </c>
      <c r="G55" s="65">
        <f>IFERROR(Table1215[[#This Row],[Points]]/Table1215[[#This Row],[GP]],"N/A")</f>
        <v>10.666666666666666</v>
      </c>
      <c r="H55" s="64">
        <f>COUNTIF(_xlfn.XLOOKUP(Table1215[[#This Row],[Name]],Table16[Name],Table16[[September 30, 2025]:[Column18]],,0,1),"&gt;=8")</f>
        <v>1</v>
      </c>
      <c r="I55" s="110">
        <f>IFERROR(AVERAGEIF(_xlfn.XLOOKUP(Table1215[[#This Row],[Name]],Table16[Name],Table16[[September 30, 2025]:[Column18]],,0,1),"&gt;=8"),"N/A")</f>
        <v>30</v>
      </c>
      <c r="J55" s="66">
        <f>IFERROR(Table1215[[#This Row],[FTA]]/Table1215[[#This Row],[GP]],"N/A")</f>
        <v>0.33333333333333331</v>
      </c>
      <c r="K55" s="67">
        <f>COUNTIF(_xlfn.XLOOKUP(Table1215[[#This Row],[Name]],Table16[Name],Table16[[September 30, 2025]:[Column18]],,0,1),"&gt;=15")</f>
        <v>1</v>
      </c>
    </row>
    <row r="56" spans="1:11">
      <c r="A56" s="69"/>
      <c r="B56" s="82">
        <f>INDEX(AllTime1[All-time rank], MATCH(SMALL(AllTime1[Helper], ROW(Structures!$G51)), AllTime1[Helper], 0))</f>
        <v>49</v>
      </c>
      <c r="C56" s="64" t="str">
        <f>TEXT(INDEX(AllTime1[Name], MATCH(SMALL(AllTime1[Helper], ROW(Structures!$G51)), AllTime1[Helper], 0)),"@")</f>
        <v>Zachary Hersi</v>
      </c>
      <c r="D56" s="64">
        <f>INDEX(AllTime1[All-time score], MATCH(LARGE(AllTime1[Helper2], ROW(Structures!$G51)), AllTime1[Helper2], 0))</f>
        <v>32</v>
      </c>
      <c r="E56" s="64">
        <f>COUNTIF(_xlfn.XLOOKUP(Table1215[[#This Row],[Name]],Table16[Name],Table16[[September 30, 2025]:[Column18]],,0,1),"&gt;=0")</f>
        <v>15</v>
      </c>
      <c r="F56" s="109">
        <f>_xlfn.XLOOKUP(Table1215[[#This Row],[Name]],Table1624[Name],Table1624[Totals],,0,1)</f>
        <v>0.44450000000000001</v>
      </c>
      <c r="G56" s="65">
        <f>IFERROR(Table1215[[#This Row],[Points]]/Table1215[[#This Row],[GP]],"N/A")</f>
        <v>2.1333333333333333</v>
      </c>
      <c r="H56" s="64">
        <f>COUNTIF(_xlfn.XLOOKUP(Table1215[[#This Row],[Name]],Table16[Name],Table16[[September 30, 2025]:[Column18]],,0,1),"&gt;=8")</f>
        <v>0</v>
      </c>
      <c r="I56" s="110" t="str">
        <f>IFERROR(AVERAGEIF(_xlfn.XLOOKUP(Table1215[[#This Row],[Name]],Table16[Name],Table16[[September 30, 2025]:[Column18]],,0,1),"&gt;=8"),"N/A")</f>
        <v>N/A</v>
      </c>
      <c r="J56" s="66">
        <f>IFERROR(Table1215[[#This Row],[FTA]]/Table1215[[#This Row],[GP]],"N/A")</f>
        <v>0</v>
      </c>
      <c r="K56" s="67">
        <f>COUNTIF(_xlfn.XLOOKUP(Table1215[[#This Row],[Name]],Table16[Name],Table16[[September 30, 2025]:[Column18]],,0,1),"&gt;=15")</f>
        <v>0</v>
      </c>
    </row>
    <row r="57" spans="1:11">
      <c r="A57" s="69"/>
      <c r="B57" s="82">
        <f>INDEX(AllTime1[All-time rank], MATCH(SMALL(AllTime1[Helper], ROW(Structures!$G52)), AllTime1[Helper], 0))</f>
        <v>52</v>
      </c>
      <c r="C57" s="64" t="str">
        <f>TEXT(INDEX(AllTime1[Name], MATCH(SMALL(AllTime1[Helper], ROW(Structures!$G52)), AllTime1[Helper], 0)),"@")</f>
        <v>Noella Or</v>
      </c>
      <c r="D57" s="64">
        <f>INDEX(AllTime1[All-time score], MATCH(LARGE(AllTime1[Helper2], ROW(Structures!$G52)), AllTime1[Helper2], 0))</f>
        <v>31</v>
      </c>
      <c r="E57" s="64">
        <f>COUNTIF(_xlfn.XLOOKUP(Table1215[[#This Row],[Name]],Table16[Name],Table16[[September 30, 2025]:[Column18]],,0,1),"&gt;=0")</f>
        <v>10</v>
      </c>
      <c r="F57" s="109">
        <f>_xlfn.XLOOKUP(Table1215[[#This Row],[Name]],Table1624[Name],Table1624[Totals],,0,1)</f>
        <v>0.33011111111111113</v>
      </c>
      <c r="G57" s="65">
        <f>IFERROR(Table1215[[#This Row],[Points]]/Table1215[[#This Row],[GP]],"N/A")</f>
        <v>3.1</v>
      </c>
      <c r="H57" s="64">
        <f>COUNTIF(_xlfn.XLOOKUP(Table1215[[#This Row],[Name]],Table16[Name],Table16[[September 30, 2025]:[Column18]],,0,1),"&gt;=8")</f>
        <v>1</v>
      </c>
      <c r="I57" s="110">
        <f>IFERROR(AVERAGEIF(_xlfn.XLOOKUP(Table1215[[#This Row],[Name]],Table16[Name],Table16[[September 30, 2025]:[Column18]],,0,1),"&gt;=8"),"N/A")</f>
        <v>10</v>
      </c>
      <c r="J57" s="66">
        <f>IFERROR(Table1215[[#This Row],[FTA]]/Table1215[[#This Row],[GP]],"N/A")</f>
        <v>0.1</v>
      </c>
      <c r="K57" s="67">
        <f>COUNTIF(_xlfn.XLOOKUP(Table1215[[#This Row],[Name]],Table16[Name],Table16[[September 30, 2025]:[Column18]],,0,1),"&gt;=15")</f>
        <v>0</v>
      </c>
    </row>
    <row r="58" spans="1:11">
      <c r="A58" s="69"/>
      <c r="B58" s="82">
        <f>INDEX(AllTime1[All-time rank], MATCH(SMALL(AllTime1[Helper], ROW(Structures!$G53)), AllTime1[Helper], 0))</f>
        <v>53</v>
      </c>
      <c r="C58" s="64" t="str">
        <f>TEXT(INDEX(AllTime1[Name], MATCH(SMALL(AllTime1[Helper], ROW(Structures!$G53)), AllTime1[Helper], 0)),"@")</f>
        <v>Luckshane Imparaza</v>
      </c>
      <c r="D58" s="64">
        <f>INDEX(AllTime1[All-time score], MATCH(LARGE(AllTime1[Helper2], ROW(Structures!$G53)), AllTime1[Helper2], 0))</f>
        <v>30</v>
      </c>
      <c r="E58" s="64">
        <f>COUNTIF(_xlfn.XLOOKUP(Table1215[[#This Row],[Name]],Table16[Name],Table16[[September 30, 2025]:[Column18]],,0,1),"&gt;=0")</f>
        <v>10</v>
      </c>
      <c r="F58" s="109">
        <f>_xlfn.XLOOKUP(Table1215[[#This Row],[Name]],Table1624[Name],Table1624[Totals],,0,1)</f>
        <v>0.34439999999999993</v>
      </c>
      <c r="G58" s="65">
        <f>IFERROR(Table1215[[#This Row],[Points]]/Table1215[[#This Row],[GP]],"N/A")</f>
        <v>3</v>
      </c>
      <c r="H58" s="64">
        <f>COUNTIF(_xlfn.XLOOKUP(Table1215[[#This Row],[Name]],Table16[Name],Table16[[September 30, 2025]:[Column18]],,0,1),"&gt;=8")</f>
        <v>1</v>
      </c>
      <c r="I58" s="110">
        <f>IFERROR(AVERAGEIF(_xlfn.XLOOKUP(Table1215[[#This Row],[Name]],Table16[Name],Table16[[September 30, 2025]:[Column18]],,0,1),"&gt;=8"),"N/A")</f>
        <v>8</v>
      </c>
      <c r="J58" s="66">
        <f>IFERROR(Table1215[[#This Row],[FTA]]/Table1215[[#This Row],[GP]],"N/A")</f>
        <v>0.1</v>
      </c>
      <c r="K58" s="67">
        <f>COUNTIF(_xlfn.XLOOKUP(Table1215[[#This Row],[Name]],Table16[Name],Table16[[September 30, 2025]:[Column18]],,0,1),"&gt;=15")</f>
        <v>0</v>
      </c>
    </row>
    <row r="59" spans="1:11">
      <c r="A59" s="69"/>
      <c r="B59" s="82">
        <f>INDEX(AllTime1[All-time rank], MATCH(SMALL(AllTime1[Helper], ROW(Structures!$G54)), AllTime1[Helper], 0))</f>
        <v>53</v>
      </c>
      <c r="C59" s="64" t="str">
        <f>TEXT(INDEX(AllTime1[Name], MATCH(SMALL(AllTime1[Helper], ROW(Structures!$G54)), AllTime1[Helper], 0)),"@")</f>
        <v>Richard Sonibare</v>
      </c>
      <c r="D59" s="64">
        <f>INDEX(AllTime1[All-time score], MATCH(LARGE(AllTime1[Helper2], ROW(Structures!$G54)), AllTime1[Helper2], 0))</f>
        <v>30</v>
      </c>
      <c r="E59" s="64">
        <f>COUNTIF(_xlfn.XLOOKUP(Table1215[[#This Row],[Name]],Table16[Name],Table16[[September 30, 2025]:[Column18]],,0,1),"&gt;=0")</f>
        <v>1</v>
      </c>
      <c r="F59" s="109">
        <f>_xlfn.XLOOKUP(Table1215[[#This Row],[Name]],Table1624[Name],Table1624[Totals],,0,1)</f>
        <v>0.01</v>
      </c>
      <c r="G59" s="65">
        <f>IFERROR(Table1215[[#This Row],[Points]]/Table1215[[#This Row],[GP]],"N/A")</f>
        <v>30</v>
      </c>
      <c r="H59" s="64">
        <f>COUNTIF(_xlfn.XLOOKUP(Table1215[[#This Row],[Name]],Table16[Name],Table16[[September 30, 2025]:[Column18]],,0,1),"&gt;=8")</f>
        <v>1</v>
      </c>
      <c r="I59" s="110">
        <f>IFERROR(AVERAGEIF(_xlfn.XLOOKUP(Table1215[[#This Row],[Name]],Table16[Name],Table16[[September 30, 2025]:[Column18]],,0,1),"&gt;=8"),"N/A")</f>
        <v>30</v>
      </c>
      <c r="J59" s="66">
        <f>IFERROR(Table1215[[#This Row],[FTA]]/Table1215[[#This Row],[GP]],"N/A")</f>
        <v>1</v>
      </c>
      <c r="K59" s="67">
        <f>COUNTIF(_xlfn.XLOOKUP(Table1215[[#This Row],[Name]],Table16[Name],Table16[[September 30, 2025]:[Column18]],,0,1),"&gt;=15")</f>
        <v>1</v>
      </c>
    </row>
    <row r="60" spans="1:11">
      <c r="A60" s="69"/>
      <c r="B60" s="82">
        <f>INDEX(AllTime1[All-time rank], MATCH(SMALL(AllTime1[Helper], ROW(Structures!$G55)), AllTime1[Helper], 0))</f>
        <v>55</v>
      </c>
      <c r="C60" s="64" t="str">
        <f>TEXT(INDEX(AllTime1[Name], MATCH(SMALL(AllTime1[Helper], ROW(Structures!$G55)), AllTime1[Helper], 0)),"@")</f>
        <v>Anna Yu</v>
      </c>
      <c r="D60" s="64">
        <f>INDEX(AllTime1[All-time score], MATCH(LARGE(AllTime1[Helper2], ROW(Structures!$G55)), AllTime1[Helper2], 0))</f>
        <v>29</v>
      </c>
      <c r="E60" s="64">
        <f>COUNTIF(_xlfn.XLOOKUP(Table1215[[#This Row],[Name]],Table16[Name],Table16[[September 30, 2025]:[Column18]],,0,1),"&gt;=0")</f>
        <v>16</v>
      </c>
      <c r="F60" s="109">
        <f>_xlfn.XLOOKUP(Table1215[[#This Row],[Name]],Table1624[Name],Table1624[Totals],,0,1)</f>
        <v>0.47828571428571426</v>
      </c>
      <c r="G60" s="65">
        <f>IFERROR(Table1215[[#This Row],[Points]]/Table1215[[#This Row],[GP]],"N/A")</f>
        <v>1.8125</v>
      </c>
      <c r="H60" s="64">
        <f>COUNTIF(_xlfn.XLOOKUP(Table1215[[#This Row],[Name]],Table16[Name],Table16[[September 30, 2025]:[Column18]],,0,1),"&gt;=8")</f>
        <v>0</v>
      </c>
      <c r="I60" s="110" t="str">
        <f>IFERROR(AVERAGEIF(_xlfn.XLOOKUP(Table1215[[#This Row],[Name]],Table16[Name],Table16[[September 30, 2025]:[Column18]],,0,1),"&gt;=8"),"N/A")</f>
        <v>N/A</v>
      </c>
      <c r="J60" s="66">
        <f>IFERROR(Table1215[[#This Row],[FTA]]/Table1215[[#This Row],[GP]],"N/A")</f>
        <v>0</v>
      </c>
      <c r="K60" s="67">
        <f>COUNTIF(_xlfn.XLOOKUP(Table1215[[#This Row],[Name]],Table16[Name],Table16[[September 30, 2025]:[Column18]],,0,1),"&gt;=15")</f>
        <v>0</v>
      </c>
    </row>
    <row r="61" spans="1:11">
      <c r="A61" s="69"/>
      <c r="B61" s="82">
        <f>INDEX(AllTime1[All-time rank], MATCH(SMALL(AllTime1[Helper], ROW(Structures!$G56)), AllTime1[Helper], 0))</f>
        <v>55</v>
      </c>
      <c r="C61" s="64" t="str">
        <f>TEXT(INDEX(AllTime1[Name], MATCH(SMALL(AllTime1[Helper], ROW(Structures!$G56)), AllTime1[Helper], 0)),"@")</f>
        <v>Kyle  Chen</v>
      </c>
      <c r="D61" s="64">
        <f>INDEX(AllTime1[All-time score], MATCH(LARGE(AllTime1[Helper2], ROW(Structures!$G56)), AllTime1[Helper2], 0))</f>
        <v>29</v>
      </c>
      <c r="E61" s="64">
        <f>COUNTIF(_xlfn.XLOOKUP(Table1215[[#This Row],[Name]],Table16[Name],Table16[[September 30, 2025]:[Column18]],,0,1),"&gt;=0")</f>
        <v>7</v>
      </c>
      <c r="F61" s="109">
        <f>_xlfn.XLOOKUP(Table1215[[#This Row],[Name]],Table1624[Name],Table1624[Totals],,0,1)</f>
        <v>0.41850000000000004</v>
      </c>
      <c r="G61" s="65">
        <f>IFERROR(Table1215[[#This Row],[Points]]/Table1215[[#This Row],[GP]],"N/A")</f>
        <v>4.1428571428571432</v>
      </c>
      <c r="H61" s="64">
        <f>COUNTIF(_xlfn.XLOOKUP(Table1215[[#This Row],[Name]],Table16[Name],Table16[[September 30, 2025]:[Column18]],,0,1),"&gt;=8")</f>
        <v>2</v>
      </c>
      <c r="I61" s="110">
        <f>IFERROR(AVERAGEIF(_xlfn.XLOOKUP(Table1215[[#This Row],[Name]],Table16[Name],Table16[[September 30, 2025]:[Column18]],,0,1),"&gt;=8"),"N/A")</f>
        <v>10</v>
      </c>
      <c r="J61" s="66">
        <f>IFERROR(Table1215[[#This Row],[FTA]]/Table1215[[#This Row],[GP]],"N/A")</f>
        <v>0.2857142857142857</v>
      </c>
      <c r="K61" s="67">
        <f>COUNTIF(_xlfn.XLOOKUP(Table1215[[#This Row],[Name]],Table16[Name],Table16[[September 30, 2025]:[Column18]],,0,1),"&gt;=15")</f>
        <v>0</v>
      </c>
    </row>
    <row r="62" spans="1:11">
      <c r="A62" s="69"/>
      <c r="B62" s="82">
        <f>INDEX(AllTime1[All-time rank], MATCH(SMALL(AllTime1[Helper], ROW(Structures!$G57)), AllTime1[Helper], 0))</f>
        <v>57</v>
      </c>
      <c r="C62" s="64" t="str">
        <f>TEXT(INDEX(AllTime1[Name], MATCH(SMALL(AllTime1[Helper], ROW(Structures!$G57)), AllTime1[Helper], 0)),"@")</f>
        <v>Allen Liu</v>
      </c>
      <c r="D62" s="64">
        <f>INDEX(AllTime1[All-time score], MATCH(LARGE(AllTime1[Helper2], ROW(Structures!$G57)), AllTime1[Helper2], 0))</f>
        <v>28</v>
      </c>
      <c r="E62" s="64">
        <f>COUNTIF(_xlfn.XLOOKUP(Table1215[[#This Row],[Name]],Table16[Name],Table16[[September 30, 2025]:[Column18]],,0,1),"&gt;=0")</f>
        <v>8</v>
      </c>
      <c r="F62" s="109">
        <f>_xlfn.XLOOKUP(Table1215[[#This Row],[Name]],Table1624[Name],Table1624[Totals],,0,1)</f>
        <v>0.50371428571428578</v>
      </c>
      <c r="G62" s="65">
        <f>IFERROR(Table1215[[#This Row],[Points]]/Table1215[[#This Row],[GP]],"N/A")</f>
        <v>3.5</v>
      </c>
      <c r="H62" s="64">
        <f>COUNTIF(_xlfn.XLOOKUP(Table1215[[#This Row],[Name]],Table16[Name],Table16[[September 30, 2025]:[Column18]],,0,1),"&gt;=8")</f>
        <v>2</v>
      </c>
      <c r="I62" s="110">
        <f>IFERROR(AVERAGEIF(_xlfn.XLOOKUP(Table1215[[#This Row],[Name]],Table16[Name],Table16[[September 30, 2025]:[Column18]],,0,1),"&gt;=8"),"N/A")</f>
        <v>10</v>
      </c>
      <c r="J62" s="66">
        <f>IFERROR(Table1215[[#This Row],[FTA]]/Table1215[[#This Row],[GP]],"N/A")</f>
        <v>0.25</v>
      </c>
      <c r="K62" s="67">
        <f>COUNTIF(_xlfn.XLOOKUP(Table1215[[#This Row],[Name]],Table16[Name],Table16[[September 30, 2025]:[Column18]],,0,1),"&gt;=15")</f>
        <v>0</v>
      </c>
    </row>
    <row r="63" spans="1:11">
      <c r="A63" s="69"/>
      <c r="B63" s="82">
        <f>INDEX(AllTime1[All-time rank], MATCH(SMALL(AllTime1[Helper], ROW(Structures!$G58)), AllTime1[Helper], 0))</f>
        <v>57</v>
      </c>
      <c r="C63" s="64" t="str">
        <f>TEXT(INDEX(AllTime1[Name], MATCH(SMALL(AllTime1[Helper], ROW(Structures!$G58)), AllTime1[Helper], 0)),"@")</f>
        <v>Damon Deng</v>
      </c>
      <c r="D63" s="64">
        <f>INDEX(AllTime1[All-time score], MATCH(LARGE(AllTime1[Helper2], ROW(Structures!$G58)), AllTime1[Helper2], 0))</f>
        <v>28</v>
      </c>
      <c r="E63" s="64">
        <f>COUNTIF(_xlfn.XLOOKUP(Table1215[[#This Row],[Name]],Table16[Name],Table16[[September 30, 2025]:[Column18]],,0,1),"&gt;=0")</f>
        <v>5</v>
      </c>
      <c r="F63" s="109">
        <f>_xlfn.XLOOKUP(Table1215[[#This Row],[Name]],Table1624[Name],Table1624[Totals],,0,1)</f>
        <v>0.33075000000000004</v>
      </c>
      <c r="G63" s="65">
        <f>IFERROR(Table1215[[#This Row],[Points]]/Table1215[[#This Row],[GP]],"N/A")</f>
        <v>5.6</v>
      </c>
      <c r="H63" s="64">
        <f>COUNTIF(_xlfn.XLOOKUP(Table1215[[#This Row],[Name]],Table16[Name],Table16[[September 30, 2025]:[Column18]],,0,1),"&gt;=8")</f>
        <v>1</v>
      </c>
      <c r="I63" s="110">
        <f>IFERROR(AVERAGEIF(_xlfn.XLOOKUP(Table1215[[#This Row],[Name]],Table16[Name],Table16[[September 30, 2025]:[Column18]],,0,1),"&gt;=8"),"N/A")</f>
        <v>20</v>
      </c>
      <c r="J63" s="66">
        <f>IFERROR(Table1215[[#This Row],[FTA]]/Table1215[[#This Row],[GP]],"N/A")</f>
        <v>0.2</v>
      </c>
      <c r="K63" s="67">
        <f>COUNTIF(_xlfn.XLOOKUP(Table1215[[#This Row],[Name]],Table16[Name],Table16[[September 30, 2025]:[Column18]],,0,1),"&gt;=15")</f>
        <v>1</v>
      </c>
    </row>
    <row r="64" spans="1:11">
      <c r="A64" s="69"/>
      <c r="B64" s="82">
        <f>INDEX(AllTime1[All-time rank], MATCH(SMALL(AllTime1[Helper], ROW(Structures!$G59)), AllTime1[Helper], 0))</f>
        <v>57</v>
      </c>
      <c r="C64" s="64" t="str">
        <f>TEXT(INDEX(AllTime1[Name], MATCH(SMALL(AllTime1[Helper], ROW(Structures!$G59)), AllTime1[Helper], 0)),"@")</f>
        <v>Pavel Tsymbalyuk</v>
      </c>
      <c r="D64" s="64">
        <f>INDEX(AllTime1[All-time score], MATCH(LARGE(AllTime1[Helper2], ROW(Structures!$G59)), AllTime1[Helper2], 0))</f>
        <v>28</v>
      </c>
      <c r="E64" s="64">
        <f>COUNTIF(_xlfn.XLOOKUP(Table1215[[#This Row],[Name]],Table16[Name],Table16[[September 30, 2025]:[Column18]],,0,1),"&gt;=0")</f>
        <v>10</v>
      </c>
      <c r="F64" s="109">
        <f>_xlfn.XLOOKUP(Table1215[[#This Row],[Name]],Table1624[Name],Table1624[Totals],,0,1)</f>
        <v>0.44500000000000001</v>
      </c>
      <c r="G64" s="65">
        <f>IFERROR(Table1215[[#This Row],[Points]]/Table1215[[#This Row],[GP]],"N/A")</f>
        <v>2.8</v>
      </c>
      <c r="H64" s="64">
        <f>COUNTIF(_xlfn.XLOOKUP(Table1215[[#This Row],[Name]],Table16[Name],Table16[[September 30, 2025]:[Column18]],,0,1),"&gt;=8")</f>
        <v>1</v>
      </c>
      <c r="I64" s="110">
        <f>IFERROR(AVERAGEIF(_xlfn.XLOOKUP(Table1215[[#This Row],[Name]],Table16[Name],Table16[[September 30, 2025]:[Column18]],,0,1),"&gt;=8"),"N/A")</f>
        <v>10</v>
      </c>
      <c r="J64" s="66">
        <f>IFERROR(Table1215[[#This Row],[FTA]]/Table1215[[#This Row],[GP]],"N/A")</f>
        <v>0.1</v>
      </c>
      <c r="K64" s="67">
        <f>COUNTIF(_xlfn.XLOOKUP(Table1215[[#This Row],[Name]],Table16[Name],Table16[[September 30, 2025]:[Column18]],,0,1),"&gt;=15")</f>
        <v>0</v>
      </c>
    </row>
    <row r="65" spans="1:11">
      <c r="A65" s="69"/>
      <c r="B65" s="82">
        <f>INDEX(AllTime1[All-time rank], MATCH(SMALL(AllTime1[Helper], ROW(Structures!$G60)), AllTime1[Helper], 0))</f>
        <v>57</v>
      </c>
      <c r="C65" s="64" t="str">
        <f>TEXT(INDEX(AllTime1[Name], MATCH(SMALL(AllTime1[Helper], ROW(Structures!$G60)), AllTime1[Helper], 0)),"@")</f>
        <v>Jacob Dusza</v>
      </c>
      <c r="D65" s="64">
        <f>INDEX(AllTime1[All-time score], MATCH(LARGE(AllTime1[Helper2], ROW(Structures!$G60)), AllTime1[Helper2], 0))</f>
        <v>28</v>
      </c>
      <c r="E65" s="64">
        <f>COUNTIF(_xlfn.XLOOKUP(Table1215[[#This Row],[Name]],Table16[Name],Table16[[September 30, 2025]:[Column18]],,0,1),"&gt;=0")</f>
        <v>5</v>
      </c>
      <c r="F65" s="109">
        <f>_xlfn.XLOOKUP(Table1215[[#This Row],[Name]],Table1624[Name],Table1624[Totals],,0,1)</f>
        <v>0.33274999999999999</v>
      </c>
      <c r="G65" s="65">
        <f>IFERROR(Table1215[[#This Row],[Points]]/Table1215[[#This Row],[GP]],"N/A")</f>
        <v>5.6</v>
      </c>
      <c r="H65" s="64">
        <f>COUNTIF(_xlfn.XLOOKUP(Table1215[[#This Row],[Name]],Table16[Name],Table16[[September 30, 2025]:[Column18]],,0,1),"&gt;=8")</f>
        <v>1</v>
      </c>
      <c r="I65" s="110">
        <f>IFERROR(AVERAGEIF(_xlfn.XLOOKUP(Table1215[[#This Row],[Name]],Table16[Name],Table16[[September 30, 2025]:[Column18]],,0,1),"&gt;=8"),"N/A")</f>
        <v>20</v>
      </c>
      <c r="J65" s="66">
        <f>IFERROR(Table1215[[#This Row],[FTA]]/Table1215[[#This Row],[GP]],"N/A")</f>
        <v>0.2</v>
      </c>
      <c r="K65" s="67">
        <f>COUNTIF(_xlfn.XLOOKUP(Table1215[[#This Row],[Name]],Table16[Name],Table16[[September 30, 2025]:[Column18]],,0,1),"&gt;=15")</f>
        <v>1</v>
      </c>
    </row>
    <row r="66" spans="1:11">
      <c r="A66" s="69"/>
      <c r="B66" s="82">
        <f>INDEX(AllTime1[All-time rank], MATCH(SMALL(AllTime1[Helper], ROW(Structures!$G61)), AllTime1[Helper], 0))</f>
        <v>61</v>
      </c>
      <c r="C66" s="64" t="str">
        <f>TEXT(INDEX(AllTime1[Name], MATCH(SMALL(AllTime1[Helper], ROW(Structures!$G61)), AllTime1[Helper], 0)),"@")</f>
        <v>Sawyer Sanderson</v>
      </c>
      <c r="D66" s="64">
        <f>INDEX(AllTime1[All-time score], MATCH(LARGE(AllTime1[Helper2], ROW(Structures!$G61)), AllTime1[Helper2], 0))</f>
        <v>27</v>
      </c>
      <c r="E66" s="64">
        <f>COUNTIF(_xlfn.XLOOKUP(Table1215[[#This Row],[Name]],Table16[Name],Table16[[September 30, 2025]:[Column18]],,0,1),"&gt;=0")</f>
        <v>13</v>
      </c>
      <c r="F66" s="109">
        <f>_xlfn.XLOOKUP(Table1215[[#This Row],[Name]],Table1624[Name],Table1624[Totals],,0,1)</f>
        <v>0.48383333333333334</v>
      </c>
      <c r="G66" s="65">
        <f>IFERROR(Table1215[[#This Row],[Points]]/Table1215[[#This Row],[GP]],"N/A")</f>
        <v>2.0769230769230771</v>
      </c>
      <c r="H66" s="64">
        <f>COUNTIF(_xlfn.XLOOKUP(Table1215[[#This Row],[Name]],Table16[Name],Table16[[September 30, 2025]:[Column18]],,0,1),"&gt;=8")</f>
        <v>1</v>
      </c>
      <c r="I66" s="110">
        <f>IFERROR(AVERAGEIF(_xlfn.XLOOKUP(Table1215[[#This Row],[Name]],Table16[Name],Table16[[September 30, 2025]:[Column18]],,0,1),"&gt;=8"),"N/A")</f>
        <v>10</v>
      </c>
      <c r="J66" s="66">
        <f>IFERROR(Table1215[[#This Row],[FTA]]/Table1215[[#This Row],[GP]],"N/A")</f>
        <v>7.6923076923076927E-2</v>
      </c>
      <c r="K66" s="67">
        <f>COUNTIF(_xlfn.XLOOKUP(Table1215[[#This Row],[Name]],Table16[Name],Table16[[September 30, 2025]:[Column18]],,0,1),"&gt;=15")</f>
        <v>0</v>
      </c>
    </row>
    <row r="67" spans="1:11">
      <c r="A67" s="69"/>
      <c r="B67" s="82">
        <f>INDEX(AllTime1[All-time rank], MATCH(SMALL(AllTime1[Helper], ROW(Structures!$G62)), AllTime1[Helper], 0))</f>
        <v>61</v>
      </c>
      <c r="C67" s="64" t="str">
        <f>TEXT(INDEX(AllTime1[Name], MATCH(SMALL(AllTime1[Helper], ROW(Structures!$G62)), AllTime1[Helper], 0)),"@")</f>
        <v>Vishall Balaji Balakrishnan</v>
      </c>
      <c r="D67" s="64">
        <f>INDEX(AllTime1[All-time score], MATCH(LARGE(AllTime1[Helper2], ROW(Structures!$G62)), AllTime1[Helper2], 0))</f>
        <v>27</v>
      </c>
      <c r="E67" s="64">
        <f>COUNTIF(_xlfn.XLOOKUP(Table1215[[#This Row],[Name]],Table16[Name],Table16[[September 30, 2025]:[Column18]],,0,1),"&gt;=0")</f>
        <v>6</v>
      </c>
      <c r="F67" s="109">
        <f>_xlfn.XLOOKUP(Table1215[[#This Row],[Name]],Table1624[Name],Table1624[Totals],,0,1)</f>
        <v>0.39983333333333326</v>
      </c>
      <c r="G67" s="65">
        <f>IFERROR(Table1215[[#This Row],[Points]]/Table1215[[#This Row],[GP]],"N/A")</f>
        <v>4.5</v>
      </c>
      <c r="H67" s="64">
        <f>COUNTIF(_xlfn.XLOOKUP(Table1215[[#This Row],[Name]],Table16[Name],Table16[[September 30, 2025]:[Column18]],,0,1),"&gt;=8")</f>
        <v>1</v>
      </c>
      <c r="I67" s="110">
        <f>IFERROR(AVERAGEIF(_xlfn.XLOOKUP(Table1215[[#This Row],[Name]],Table16[Name],Table16[[September 30, 2025]:[Column18]],,0,1),"&gt;=8"),"N/A")</f>
        <v>15</v>
      </c>
      <c r="J67" s="66">
        <f>IFERROR(Table1215[[#This Row],[FTA]]/Table1215[[#This Row],[GP]],"N/A")</f>
        <v>0.16666666666666666</v>
      </c>
      <c r="K67" s="67">
        <f>COUNTIF(_xlfn.XLOOKUP(Table1215[[#This Row],[Name]],Table16[Name],Table16[[September 30, 2025]:[Column18]],,0,1),"&gt;=15")</f>
        <v>1</v>
      </c>
    </row>
    <row r="68" spans="1:11">
      <c r="A68" s="69"/>
      <c r="B68" s="82">
        <f>INDEX(AllTime1[All-time rank], MATCH(SMALL(AllTime1[Helper], ROW(Structures!$G63)), AllTime1[Helper], 0))</f>
        <v>63</v>
      </c>
      <c r="C68" s="64" t="str">
        <f>TEXT(INDEX(AllTime1[Name], MATCH(SMALL(AllTime1[Helper], ROW(Structures!$G63)), AllTime1[Helper], 0)),"@")</f>
        <v>Shayaan Tanvir</v>
      </c>
      <c r="D68" s="64">
        <f>INDEX(AllTime1[All-time score], MATCH(LARGE(AllTime1[Helper2], ROW(Structures!$G63)), AllTime1[Helper2], 0))</f>
        <v>26</v>
      </c>
      <c r="E68" s="64">
        <f>COUNTIF(_xlfn.XLOOKUP(Table1215[[#This Row],[Name]],Table16[Name],Table16[[September 30, 2025]:[Column18]],,0,1),"&gt;=0")</f>
        <v>9</v>
      </c>
      <c r="F68" s="109">
        <f>_xlfn.XLOOKUP(Table1215[[#This Row],[Name]],Table1624[Name],Table1624[Totals],,0,1)</f>
        <v>0.37142857142857144</v>
      </c>
      <c r="G68" s="65">
        <f>IFERROR(Table1215[[#This Row],[Points]]/Table1215[[#This Row],[GP]],"N/A")</f>
        <v>2.8888888888888888</v>
      </c>
      <c r="H68" s="64">
        <f>COUNTIF(_xlfn.XLOOKUP(Table1215[[#This Row],[Name]],Table16[Name],Table16[[September 30, 2025]:[Column18]],,0,1),"&gt;=8")</f>
        <v>1</v>
      </c>
      <c r="I68" s="110">
        <f>IFERROR(AVERAGEIF(_xlfn.XLOOKUP(Table1215[[#This Row],[Name]],Table16[Name],Table16[[September 30, 2025]:[Column18]],,0,1),"&gt;=8"),"N/A")</f>
        <v>10</v>
      </c>
      <c r="J68" s="66">
        <f>IFERROR(Table1215[[#This Row],[FTA]]/Table1215[[#This Row],[GP]],"N/A")</f>
        <v>0.1111111111111111</v>
      </c>
      <c r="K68" s="67">
        <f>COUNTIF(_xlfn.XLOOKUP(Table1215[[#This Row],[Name]],Table16[Name],Table16[[September 30, 2025]:[Column18]],,0,1),"&gt;=15")</f>
        <v>0</v>
      </c>
    </row>
    <row r="69" spans="1:11">
      <c r="A69" s="69"/>
      <c r="B69" s="82">
        <f>INDEX(AllTime1[All-time rank], MATCH(SMALL(AllTime1[Helper], ROW(Structures!$G64)), AllTime1[Helper], 0))</f>
        <v>64</v>
      </c>
      <c r="C69" s="64" t="str">
        <f>TEXT(INDEX(AllTime1[Name], MATCH(SMALL(AllTime1[Helper], ROW(Structures!$G64)), AllTime1[Helper], 0)),"@")</f>
        <v>Aliran Kadashev</v>
      </c>
      <c r="D69" s="64">
        <f>INDEX(AllTime1[All-time score], MATCH(LARGE(AllTime1[Helper2], ROW(Structures!$G64)), AllTime1[Helper2], 0))</f>
        <v>25</v>
      </c>
      <c r="E69" s="64">
        <f>COUNTIF(_xlfn.XLOOKUP(Table1215[[#This Row],[Name]],Table16[Name],Table16[[September 30, 2025]:[Column18]],,0,1),"&gt;=0")</f>
        <v>8</v>
      </c>
      <c r="F69" s="109">
        <f>_xlfn.XLOOKUP(Table1215[[#This Row],[Name]],Table1624[Name],Table1624[Totals],,0,1)</f>
        <v>0.47950000000000004</v>
      </c>
      <c r="G69" s="65">
        <f>IFERROR(Table1215[[#This Row],[Points]]/Table1215[[#This Row],[GP]],"N/A")</f>
        <v>3.125</v>
      </c>
      <c r="H69" s="64">
        <f>COUNTIF(_xlfn.XLOOKUP(Table1215[[#This Row],[Name]],Table16[Name],Table16[[September 30, 2025]:[Column18]],,0,1),"&gt;=8")</f>
        <v>2</v>
      </c>
      <c r="I69" s="110">
        <f>IFERROR(AVERAGEIF(_xlfn.XLOOKUP(Table1215[[#This Row],[Name]],Table16[Name],Table16[[September 30, 2025]:[Column18]],,0,1),"&gt;=8"),"N/A")</f>
        <v>9</v>
      </c>
      <c r="J69" s="66">
        <f>IFERROR(Table1215[[#This Row],[FTA]]/Table1215[[#This Row],[GP]],"N/A")</f>
        <v>0.25</v>
      </c>
      <c r="K69" s="67">
        <f>COUNTIF(_xlfn.XLOOKUP(Table1215[[#This Row],[Name]],Table16[Name],Table16[[September 30, 2025]:[Column18]],,0,1),"&gt;=15")</f>
        <v>0</v>
      </c>
    </row>
    <row r="70" spans="1:11">
      <c r="A70" s="69"/>
      <c r="B70" s="82">
        <f>INDEX(AllTime1[All-time rank], MATCH(SMALL(AllTime1[Helper], ROW(Structures!$G65)), AllTime1[Helper], 0))</f>
        <v>64</v>
      </c>
      <c r="C70" s="64" t="str">
        <f>TEXT(INDEX(AllTime1[Name], MATCH(SMALL(AllTime1[Helper], ROW(Structures!$G65)), AllTime1[Helper], 0)),"@")</f>
        <v>Hooman Nozari</v>
      </c>
      <c r="D70" s="64">
        <f>INDEX(AllTime1[All-time score], MATCH(LARGE(AllTime1[Helper2], ROW(Structures!$G65)), AllTime1[Helper2], 0))</f>
        <v>25</v>
      </c>
      <c r="E70" s="64">
        <f>COUNTIF(_xlfn.XLOOKUP(Table1215[[#This Row],[Name]],Table16[Name],Table16[[September 30, 2025]:[Column18]],,0,1),"&gt;=0")</f>
        <v>5</v>
      </c>
      <c r="F70" s="109">
        <f>_xlfn.XLOOKUP(Table1215[[#This Row],[Name]],Table1624[Name],Table1624[Totals],,0,1)</f>
        <v>0.29199999999999998</v>
      </c>
      <c r="G70" s="65">
        <f>IFERROR(Table1215[[#This Row],[Points]]/Table1215[[#This Row],[GP]],"N/A")</f>
        <v>5</v>
      </c>
      <c r="H70" s="64">
        <f>COUNTIF(_xlfn.XLOOKUP(Table1215[[#This Row],[Name]],Table16[Name],Table16[[September 30, 2025]:[Column18]],,0,1),"&gt;=8")</f>
        <v>2</v>
      </c>
      <c r="I70" s="110">
        <f>IFERROR(AVERAGEIF(_xlfn.XLOOKUP(Table1215[[#This Row],[Name]],Table16[Name],Table16[[September 30, 2025]:[Column18]],,0,1),"&gt;=8"),"N/A")</f>
        <v>10</v>
      </c>
      <c r="J70" s="66">
        <f>IFERROR(Table1215[[#This Row],[FTA]]/Table1215[[#This Row],[GP]],"N/A")</f>
        <v>0.4</v>
      </c>
      <c r="K70" s="67">
        <f>COUNTIF(_xlfn.XLOOKUP(Table1215[[#This Row],[Name]],Table16[Name],Table16[[September 30, 2025]:[Column18]],,0,1),"&gt;=15")</f>
        <v>0</v>
      </c>
    </row>
    <row r="71" spans="1:11">
      <c r="A71" s="69"/>
      <c r="B71" s="82">
        <f>INDEX(AllTime1[All-time rank], MATCH(SMALL(AllTime1[Helper], ROW(Structures!$G66)), AllTime1[Helper], 0))</f>
        <v>64</v>
      </c>
      <c r="C71" s="64" t="str">
        <f>TEXT(INDEX(AllTime1[Name], MATCH(SMALL(AllTime1[Helper], ROW(Structures!$G66)), AllTime1[Helper], 0)),"@")</f>
        <v>William Vu</v>
      </c>
      <c r="D71" s="64">
        <f>INDEX(AllTime1[All-time score], MATCH(LARGE(AllTime1[Helper2], ROW(Structures!$G66)), AllTime1[Helper2], 0))</f>
        <v>25</v>
      </c>
      <c r="E71" s="64">
        <f>COUNTIF(_xlfn.XLOOKUP(Table1215[[#This Row],[Name]],Table16[Name],Table16[[September 30, 2025]:[Column18]],,0,1),"&gt;=0")</f>
        <v>5</v>
      </c>
      <c r="F71" s="109">
        <f>_xlfn.XLOOKUP(Table1215[[#This Row],[Name]],Table1624[Name],Table1624[Totals],,0,1)</f>
        <v>0.5796</v>
      </c>
      <c r="G71" s="65">
        <f>IFERROR(Table1215[[#This Row],[Points]]/Table1215[[#This Row],[GP]],"N/A")</f>
        <v>5</v>
      </c>
      <c r="H71" s="64">
        <f>COUNTIF(_xlfn.XLOOKUP(Table1215[[#This Row],[Name]],Table16[Name],Table16[[September 30, 2025]:[Column18]],,0,1),"&gt;=8")</f>
        <v>1</v>
      </c>
      <c r="I71" s="110">
        <f>IFERROR(AVERAGEIF(_xlfn.XLOOKUP(Table1215[[#This Row],[Name]],Table16[Name],Table16[[September 30, 2025]:[Column18]],,0,1),"&gt;=8"),"N/A")</f>
        <v>20</v>
      </c>
      <c r="J71" s="66">
        <f>IFERROR(Table1215[[#This Row],[FTA]]/Table1215[[#This Row],[GP]],"N/A")</f>
        <v>0.2</v>
      </c>
      <c r="K71" s="67">
        <f>COUNTIF(_xlfn.XLOOKUP(Table1215[[#This Row],[Name]],Table16[Name],Table16[[September 30, 2025]:[Column18]],,0,1),"&gt;=15")</f>
        <v>1</v>
      </c>
    </row>
    <row r="72" spans="1:11">
      <c r="A72" s="69"/>
      <c r="B72" s="82">
        <f>INDEX(AllTime1[All-time rank], MATCH(SMALL(AllTime1[Helper], ROW(Structures!$G67)), AllTime1[Helper], 0))</f>
        <v>67</v>
      </c>
      <c r="C72" s="64" t="str">
        <f>TEXT(INDEX(AllTime1[Name], MATCH(SMALL(AllTime1[Helper], ROW(Structures!$G67)), AllTime1[Helper], 0)),"@")</f>
        <v>Cyrus Bechtold</v>
      </c>
      <c r="D72" s="64">
        <f>INDEX(AllTime1[All-time score], MATCH(LARGE(AllTime1[Helper2], ROW(Structures!$G67)), AllTime1[Helper2], 0))</f>
        <v>24</v>
      </c>
      <c r="E72" s="64">
        <f>COUNTIF(_xlfn.XLOOKUP(Table1215[[#This Row],[Name]],Table16[Name],Table16[[September 30, 2025]:[Column18]],,0,1),"&gt;=0")</f>
        <v>10</v>
      </c>
      <c r="F72" s="109">
        <f>_xlfn.XLOOKUP(Table1215[[#This Row],[Name]],Table1624[Name],Table1624[Totals],,0,1)</f>
        <v>0.4976666666666667</v>
      </c>
      <c r="G72" s="65">
        <f>IFERROR(Table1215[[#This Row],[Points]]/Table1215[[#This Row],[GP]],"N/A")</f>
        <v>2.4</v>
      </c>
      <c r="H72" s="64">
        <f>COUNTIF(_xlfn.XLOOKUP(Table1215[[#This Row],[Name]],Table16[Name],Table16[[September 30, 2025]:[Column18]],,0,1),"&gt;=8")</f>
        <v>1</v>
      </c>
      <c r="I72" s="110">
        <f>IFERROR(AVERAGEIF(_xlfn.XLOOKUP(Table1215[[#This Row],[Name]],Table16[Name],Table16[[September 30, 2025]:[Column18]],,0,1),"&gt;=8"),"N/A")</f>
        <v>10</v>
      </c>
      <c r="J72" s="66">
        <f>IFERROR(Table1215[[#This Row],[FTA]]/Table1215[[#This Row],[GP]],"N/A")</f>
        <v>0.1</v>
      </c>
      <c r="K72" s="67">
        <f>COUNTIF(_xlfn.XLOOKUP(Table1215[[#This Row],[Name]],Table16[Name],Table16[[September 30, 2025]:[Column18]],,0,1),"&gt;=15")</f>
        <v>0</v>
      </c>
    </row>
    <row r="73" spans="1:11">
      <c r="A73" s="69"/>
      <c r="B73" s="82">
        <f>INDEX(AllTime1[All-time rank], MATCH(SMALL(AllTime1[Helper], ROW(Structures!$G68)), AllTime1[Helper], 0))</f>
        <v>67</v>
      </c>
      <c r="C73" s="64" t="str">
        <f>TEXT(INDEX(AllTime1[Name], MATCH(SMALL(AllTime1[Helper], ROW(Structures!$G68)), AllTime1[Helper], 0)),"@")</f>
        <v>Kalyan Jande</v>
      </c>
      <c r="D73" s="64">
        <f>INDEX(AllTime1[All-time score], MATCH(LARGE(AllTime1[Helper2], ROW(Structures!$G68)), AllTime1[Helper2], 0))</f>
        <v>24</v>
      </c>
      <c r="E73" s="64">
        <f>COUNTIF(_xlfn.XLOOKUP(Table1215[[#This Row],[Name]],Table16[Name],Table16[[September 30, 2025]:[Column18]],,0,1),"&gt;=0")</f>
        <v>11</v>
      </c>
      <c r="F73" s="109">
        <f>_xlfn.XLOOKUP(Table1215[[#This Row],[Name]],Table1624[Name],Table1624[Totals],,0,1)</f>
        <v>0.56750000000000012</v>
      </c>
      <c r="G73" s="65">
        <f>IFERROR(Table1215[[#This Row],[Points]]/Table1215[[#This Row],[GP]],"N/A")</f>
        <v>2.1818181818181817</v>
      </c>
      <c r="H73" s="64">
        <f>COUNTIF(_xlfn.XLOOKUP(Table1215[[#This Row],[Name]],Table16[Name],Table16[[September 30, 2025]:[Column18]],,0,1),"&gt;=8")</f>
        <v>1</v>
      </c>
      <c r="I73" s="110">
        <f>IFERROR(AVERAGEIF(_xlfn.XLOOKUP(Table1215[[#This Row],[Name]],Table16[Name],Table16[[September 30, 2025]:[Column18]],,0,1),"&gt;=8"),"N/A")</f>
        <v>8</v>
      </c>
      <c r="J73" s="66">
        <f>IFERROR(Table1215[[#This Row],[FTA]]/Table1215[[#This Row],[GP]],"N/A")</f>
        <v>9.0909090909090912E-2</v>
      </c>
      <c r="K73" s="67">
        <f>COUNTIF(_xlfn.XLOOKUP(Table1215[[#This Row],[Name]],Table16[Name],Table16[[September 30, 2025]:[Column18]],,0,1),"&gt;=15")</f>
        <v>0</v>
      </c>
    </row>
    <row r="74" spans="1:11">
      <c r="A74" s="69"/>
      <c r="B74" s="82">
        <f>INDEX(AllTime1[All-time rank], MATCH(SMALL(AllTime1[Helper], ROW(Structures!$G69)), AllTime1[Helper], 0))</f>
        <v>69</v>
      </c>
      <c r="C74" s="64" t="str">
        <f>TEXT(INDEX(AllTime1[Name], MATCH(SMALL(AllTime1[Helper], ROW(Structures!$G69)), AllTime1[Helper], 0)),"@")</f>
        <v>Alex Nguyen</v>
      </c>
      <c r="D74" s="64">
        <f>INDEX(AllTime1[All-time score], MATCH(LARGE(AllTime1[Helper2], ROW(Structures!$G69)), AllTime1[Helper2], 0))</f>
        <v>23</v>
      </c>
      <c r="E74" s="64">
        <f>COUNTIF(_xlfn.XLOOKUP(Table1215[[#This Row],[Name]],Table16[Name],Table16[[September 30, 2025]:[Column18]],,0,1),"&gt;=0")</f>
        <v>5</v>
      </c>
      <c r="F74" s="109">
        <f>_xlfn.XLOOKUP(Table1215[[#This Row],[Name]],Table1624[Name],Table1624[Totals],,0,1)</f>
        <v>0.48450000000000004</v>
      </c>
      <c r="G74" s="65">
        <f>IFERROR(Table1215[[#This Row],[Points]]/Table1215[[#This Row],[GP]],"N/A")</f>
        <v>4.5999999999999996</v>
      </c>
      <c r="H74" s="64">
        <f>COUNTIF(_xlfn.XLOOKUP(Table1215[[#This Row],[Name]],Table16[Name],Table16[[September 30, 2025]:[Column18]],,0,1),"&gt;=8")</f>
        <v>2</v>
      </c>
      <c r="I74" s="110">
        <f>IFERROR(AVERAGEIF(_xlfn.XLOOKUP(Table1215[[#This Row],[Name]],Table16[Name],Table16[[September 30, 2025]:[Column18]],,0,1),"&gt;=8"),"N/A")</f>
        <v>10</v>
      </c>
      <c r="J74" s="66">
        <f>IFERROR(Table1215[[#This Row],[FTA]]/Table1215[[#This Row],[GP]],"N/A")</f>
        <v>0.4</v>
      </c>
      <c r="K74" s="67">
        <f>COUNTIF(_xlfn.XLOOKUP(Table1215[[#This Row],[Name]],Table16[Name],Table16[[September 30, 2025]:[Column18]],,0,1),"&gt;=15")</f>
        <v>0</v>
      </c>
    </row>
    <row r="75" spans="1:11">
      <c r="A75" s="69"/>
      <c r="B75" s="82">
        <f>INDEX(AllTime1[All-time rank], MATCH(SMALL(AllTime1[Helper], ROW(Structures!$G70)), AllTime1[Helper], 0))</f>
        <v>69</v>
      </c>
      <c r="C75" s="64" t="str">
        <f>TEXT(INDEX(AllTime1[Name], MATCH(SMALL(AllTime1[Helper], ROW(Structures!$G70)), AllTime1[Helper], 0)),"@")</f>
        <v>Jiawei Bai</v>
      </c>
      <c r="D75" s="64">
        <f>INDEX(AllTime1[All-time score], MATCH(LARGE(AllTime1[Helper2], ROW(Structures!$G70)), AllTime1[Helper2], 0))</f>
        <v>23</v>
      </c>
      <c r="E75" s="64">
        <f>COUNTIF(_xlfn.XLOOKUP(Table1215[[#This Row],[Name]],Table16[Name],Table16[[September 30, 2025]:[Column18]],,0,1),"&gt;=0")</f>
        <v>11</v>
      </c>
      <c r="F75" s="109">
        <f>_xlfn.XLOOKUP(Table1215[[#This Row],[Name]],Table1624[Name],Table1624[Totals],,0,1)</f>
        <v>0.51340000000000008</v>
      </c>
      <c r="G75" s="65">
        <f>IFERROR(Table1215[[#This Row],[Points]]/Table1215[[#This Row],[GP]],"N/A")</f>
        <v>2.0909090909090908</v>
      </c>
      <c r="H75" s="64">
        <f>COUNTIF(_xlfn.XLOOKUP(Table1215[[#This Row],[Name]],Table16[Name],Table16[[September 30, 2025]:[Column18]],,0,1),"&gt;=8")</f>
        <v>0</v>
      </c>
      <c r="I75" s="110" t="str">
        <f>IFERROR(AVERAGEIF(_xlfn.XLOOKUP(Table1215[[#This Row],[Name]],Table16[Name],Table16[[September 30, 2025]:[Column18]],,0,1),"&gt;=8"),"N/A")</f>
        <v>N/A</v>
      </c>
      <c r="J75" s="66">
        <f>IFERROR(Table1215[[#This Row],[FTA]]/Table1215[[#This Row],[GP]],"N/A")</f>
        <v>0</v>
      </c>
      <c r="K75" s="67">
        <f>COUNTIF(_xlfn.XLOOKUP(Table1215[[#This Row],[Name]],Table16[Name],Table16[[September 30, 2025]:[Column18]],,0,1),"&gt;=15")</f>
        <v>0</v>
      </c>
    </row>
    <row r="76" spans="1:11">
      <c r="A76" s="69"/>
      <c r="B76" s="82">
        <f>INDEX(AllTime1[All-time rank], MATCH(SMALL(AllTime1[Helper], ROW(Structures!$G71)), AllTime1[Helper], 0))</f>
        <v>69</v>
      </c>
      <c r="C76" s="64" t="str">
        <f>TEXT(INDEX(AllTime1[Name], MATCH(SMALL(AllTime1[Helper], ROW(Structures!$G71)), AllTime1[Helper], 0)),"@")</f>
        <v>Kenneth Liu</v>
      </c>
      <c r="D76" s="64">
        <f>INDEX(AllTime1[All-time score], MATCH(LARGE(AllTime1[Helper2], ROW(Structures!$G71)), AllTime1[Helper2], 0))</f>
        <v>23</v>
      </c>
      <c r="E76" s="64">
        <f>COUNTIF(_xlfn.XLOOKUP(Table1215[[#This Row],[Name]],Table16[Name],Table16[[September 30, 2025]:[Column18]],,0,1),"&gt;=0")</f>
        <v>12</v>
      </c>
      <c r="F76" s="109">
        <f>_xlfn.XLOOKUP(Table1215[[#This Row],[Name]],Table1624[Name],Table1624[Totals],,0,1)</f>
        <v>0.51850000000000007</v>
      </c>
      <c r="G76" s="65">
        <f>IFERROR(Table1215[[#This Row],[Points]]/Table1215[[#This Row],[GP]],"N/A")</f>
        <v>1.9166666666666667</v>
      </c>
      <c r="H76" s="64">
        <f>COUNTIF(_xlfn.XLOOKUP(Table1215[[#This Row],[Name]],Table16[Name],Table16[[September 30, 2025]:[Column18]],,0,1),"&gt;=8")</f>
        <v>0</v>
      </c>
      <c r="I76" s="110" t="str">
        <f>IFERROR(AVERAGEIF(_xlfn.XLOOKUP(Table1215[[#This Row],[Name]],Table16[Name],Table16[[September 30, 2025]:[Column18]],,0,1),"&gt;=8"),"N/A")</f>
        <v>N/A</v>
      </c>
      <c r="J76" s="66">
        <f>IFERROR(Table1215[[#This Row],[FTA]]/Table1215[[#This Row],[GP]],"N/A")</f>
        <v>0</v>
      </c>
      <c r="K76" s="67">
        <f>COUNTIF(_xlfn.XLOOKUP(Table1215[[#This Row],[Name]],Table16[Name],Table16[[September 30, 2025]:[Column18]],,0,1),"&gt;=15")</f>
        <v>0</v>
      </c>
    </row>
    <row r="77" spans="1:11">
      <c r="A77" s="69"/>
      <c r="B77" s="82">
        <f>INDEX(AllTime1[All-time rank], MATCH(SMALL(AllTime1[Helper], ROW(Structures!$G72)), AllTime1[Helper], 0))</f>
        <v>69</v>
      </c>
      <c r="C77" s="64" t="str">
        <f>TEXT(INDEX(AllTime1[Name], MATCH(SMALL(AllTime1[Helper], ROW(Structures!$G72)), AllTime1[Helper], 0)),"@")</f>
        <v>Mark Ejakpomewhe</v>
      </c>
      <c r="D77" s="64">
        <f>INDEX(AllTime1[All-time score], MATCH(LARGE(AllTime1[Helper2], ROW(Structures!$G72)), AllTime1[Helper2], 0))</f>
        <v>23</v>
      </c>
      <c r="E77" s="64">
        <f>COUNTIF(_xlfn.XLOOKUP(Table1215[[#This Row],[Name]],Table16[Name],Table16[[September 30, 2025]:[Column18]],,0,1),"&gt;=0")</f>
        <v>8</v>
      </c>
      <c r="F77" s="109">
        <f>_xlfn.XLOOKUP(Table1215[[#This Row],[Name]],Table1624[Name],Table1624[Totals],,0,1)</f>
        <v>0.46714285714285714</v>
      </c>
      <c r="G77" s="65">
        <f>IFERROR(Table1215[[#This Row],[Points]]/Table1215[[#This Row],[GP]],"N/A")</f>
        <v>2.875</v>
      </c>
      <c r="H77" s="64">
        <f>COUNTIF(_xlfn.XLOOKUP(Table1215[[#This Row],[Name]],Table16[Name],Table16[[September 30, 2025]:[Column18]],,0,1),"&gt;=8")</f>
        <v>1</v>
      </c>
      <c r="I77" s="110">
        <f>IFERROR(AVERAGEIF(_xlfn.XLOOKUP(Table1215[[#This Row],[Name]],Table16[Name],Table16[[September 30, 2025]:[Column18]],,0,1),"&gt;=8"),"N/A")</f>
        <v>10</v>
      </c>
      <c r="J77" s="66">
        <f>IFERROR(Table1215[[#This Row],[FTA]]/Table1215[[#This Row],[GP]],"N/A")</f>
        <v>0.125</v>
      </c>
      <c r="K77" s="67">
        <f>COUNTIF(_xlfn.XLOOKUP(Table1215[[#This Row],[Name]],Table16[Name],Table16[[September 30, 2025]:[Column18]],,0,1),"&gt;=15")</f>
        <v>0</v>
      </c>
    </row>
    <row r="78" spans="1:11">
      <c r="A78" s="69"/>
      <c r="B78" s="82">
        <f>INDEX(AllTime1[All-time rank], MATCH(SMALL(AllTime1[Helper], ROW(Structures!$G73)), AllTime1[Helper], 0))</f>
        <v>69</v>
      </c>
      <c r="C78" s="64" t="str">
        <f>TEXT(INDEX(AllTime1[Name], MATCH(SMALL(AllTime1[Helper], ROW(Structures!$G73)), AllTime1[Helper], 0)),"@")</f>
        <v>Muhammad Abdullah</v>
      </c>
      <c r="D78" s="64">
        <f>INDEX(AllTime1[All-time score], MATCH(LARGE(AllTime1[Helper2], ROW(Structures!$G73)), AllTime1[Helper2], 0))</f>
        <v>23</v>
      </c>
      <c r="E78" s="64">
        <f>COUNTIF(_xlfn.XLOOKUP(Table1215[[#This Row],[Name]],Table16[Name],Table16[[September 30, 2025]:[Column18]],,0,1),"&gt;=0")</f>
        <v>8</v>
      </c>
      <c r="F78" s="109">
        <f>_xlfn.XLOOKUP(Table1215[[#This Row],[Name]],Table1624[Name],Table1624[Totals],,0,1)</f>
        <v>0.48033333333333333</v>
      </c>
      <c r="G78" s="65">
        <f>IFERROR(Table1215[[#This Row],[Points]]/Table1215[[#This Row],[GP]],"N/A")</f>
        <v>2.875</v>
      </c>
      <c r="H78" s="64">
        <f>COUNTIF(_xlfn.XLOOKUP(Table1215[[#This Row],[Name]],Table16[Name],Table16[[September 30, 2025]:[Column18]],,0,1),"&gt;=8")</f>
        <v>2</v>
      </c>
      <c r="I78" s="110">
        <f>IFERROR(AVERAGEIF(_xlfn.XLOOKUP(Table1215[[#This Row],[Name]],Table16[Name],Table16[[September 30, 2025]:[Column18]],,0,1),"&gt;=8"),"N/A")</f>
        <v>8</v>
      </c>
      <c r="J78" s="66">
        <f>IFERROR(Table1215[[#This Row],[FTA]]/Table1215[[#This Row],[GP]],"N/A")</f>
        <v>0.25</v>
      </c>
      <c r="K78" s="67">
        <f>COUNTIF(_xlfn.XLOOKUP(Table1215[[#This Row],[Name]],Table16[Name],Table16[[September 30, 2025]:[Column18]],,0,1),"&gt;=15")</f>
        <v>0</v>
      </c>
    </row>
    <row r="79" spans="1:11">
      <c r="A79" s="69"/>
      <c r="B79" s="82">
        <f>INDEX(AllTime1[All-time rank], MATCH(SMALL(AllTime1[Helper], ROW(Structures!$G74)), AllTime1[Helper], 0))</f>
        <v>69</v>
      </c>
      <c r="C79" s="64" t="str">
        <f>TEXT(INDEX(AllTime1[Name], MATCH(SMALL(AllTime1[Helper], ROW(Structures!$G74)), AllTime1[Helper], 0)),"@")</f>
        <v>Oliver Good</v>
      </c>
      <c r="D79" s="64">
        <f>INDEX(AllTime1[All-time score], MATCH(LARGE(AllTime1[Helper2], ROW(Structures!$G74)), AllTime1[Helper2], 0))</f>
        <v>23</v>
      </c>
      <c r="E79" s="64">
        <f>COUNTIF(_xlfn.XLOOKUP(Table1215[[#This Row],[Name]],Table16[Name],Table16[[September 30, 2025]:[Column18]],,0,1),"&gt;=0")</f>
        <v>3</v>
      </c>
      <c r="F79" s="109">
        <f>_xlfn.XLOOKUP(Table1215[[#This Row],[Name]],Table1624[Name],Table1624[Totals],,0,1)</f>
        <v>0.3755</v>
      </c>
      <c r="G79" s="65">
        <f>IFERROR(Table1215[[#This Row],[Points]]/Table1215[[#This Row],[GP]],"N/A")</f>
        <v>7.666666666666667</v>
      </c>
      <c r="H79" s="64">
        <f>COUNTIF(_xlfn.XLOOKUP(Table1215[[#This Row],[Name]],Table16[Name],Table16[[September 30, 2025]:[Column18]],,0,1),"&gt;=8")</f>
        <v>1</v>
      </c>
      <c r="I79" s="110">
        <f>IFERROR(AVERAGEIF(_xlfn.XLOOKUP(Table1215[[#This Row],[Name]],Table16[Name],Table16[[September 30, 2025]:[Column18]],,0,1),"&gt;=8"),"N/A")</f>
        <v>20</v>
      </c>
      <c r="J79" s="66">
        <f>IFERROR(Table1215[[#This Row],[FTA]]/Table1215[[#This Row],[GP]],"N/A")</f>
        <v>0.33333333333333331</v>
      </c>
      <c r="K79" s="67">
        <f>COUNTIF(_xlfn.XLOOKUP(Table1215[[#This Row],[Name]],Table16[Name],Table16[[September 30, 2025]:[Column18]],,0,1),"&gt;=15")</f>
        <v>1</v>
      </c>
    </row>
    <row r="80" spans="1:11">
      <c r="A80" s="69"/>
      <c r="B80" s="82">
        <f>INDEX(AllTime1[All-time rank], MATCH(SMALL(AllTime1[Helper], ROW(Structures!$G75)), AllTime1[Helper], 0))</f>
        <v>69</v>
      </c>
      <c r="C80" s="64" t="str">
        <f>TEXT(INDEX(AllTime1[Name], MATCH(SMALL(AllTime1[Helper], ROW(Structures!$G75)), AllTime1[Helper], 0)),"@")</f>
        <v xml:space="preserve">Patrick Tendon </v>
      </c>
      <c r="D80" s="64">
        <f>INDEX(AllTime1[All-time score], MATCH(LARGE(AllTime1[Helper2], ROW(Structures!$G75)), AllTime1[Helper2], 0))</f>
        <v>23</v>
      </c>
      <c r="E80" s="64">
        <f>COUNTIF(_xlfn.XLOOKUP(Table1215[[#This Row],[Name]],Table16[Name],Table16[[September 30, 2025]:[Column18]],,0,1),"&gt;=0")</f>
        <v>10</v>
      </c>
      <c r="F80" s="109">
        <f>_xlfn.XLOOKUP(Table1215[[#This Row],[Name]],Table1624[Name],Table1624[Totals],,0,1)</f>
        <v>0.41937499999999994</v>
      </c>
      <c r="G80" s="65">
        <f>IFERROR(Table1215[[#This Row],[Points]]/Table1215[[#This Row],[GP]],"N/A")</f>
        <v>2.2999999999999998</v>
      </c>
      <c r="H80" s="64">
        <f>COUNTIF(_xlfn.XLOOKUP(Table1215[[#This Row],[Name]],Table16[Name],Table16[[September 30, 2025]:[Column18]],,0,1),"&gt;=8")</f>
        <v>1</v>
      </c>
      <c r="I80" s="110">
        <f>IFERROR(AVERAGEIF(_xlfn.XLOOKUP(Table1215[[#This Row],[Name]],Table16[Name],Table16[[September 30, 2025]:[Column18]],,0,1),"&gt;=8"),"N/A")</f>
        <v>8</v>
      </c>
      <c r="J80" s="66">
        <f>IFERROR(Table1215[[#This Row],[FTA]]/Table1215[[#This Row],[GP]],"N/A")</f>
        <v>0.1</v>
      </c>
      <c r="K80" s="67">
        <f>COUNTIF(_xlfn.XLOOKUP(Table1215[[#This Row],[Name]],Table16[Name],Table16[[September 30, 2025]:[Column18]],,0,1),"&gt;=15")</f>
        <v>0</v>
      </c>
    </row>
    <row r="81" spans="1:11">
      <c r="A81" s="69"/>
      <c r="B81" s="82">
        <f>INDEX(AllTime1[All-time rank], MATCH(SMALL(AllTime1[Helper], ROW(Structures!$G76)), AllTime1[Helper], 0))</f>
        <v>69</v>
      </c>
      <c r="C81" s="64" t="str">
        <f>TEXT(INDEX(AllTime1[Name], MATCH(SMALL(AllTime1[Helper], ROW(Structures!$G76)), AllTime1[Helper], 0)),"@")</f>
        <v>Punit Guddeti</v>
      </c>
      <c r="D81" s="64">
        <f>INDEX(AllTime1[All-time score], MATCH(LARGE(AllTime1[Helper2], ROW(Structures!$G76)), AllTime1[Helper2], 0))</f>
        <v>23</v>
      </c>
      <c r="E81" s="64">
        <f>COUNTIF(_xlfn.XLOOKUP(Table1215[[#This Row],[Name]],Table16[Name],Table16[[September 30, 2025]:[Column18]],,0,1),"&gt;=0")</f>
        <v>12</v>
      </c>
      <c r="F81" s="109">
        <f>_xlfn.XLOOKUP(Table1215[[#This Row],[Name]],Table1624[Name],Table1624[Totals],,0,1)</f>
        <v>0.57510000000000006</v>
      </c>
      <c r="G81" s="65">
        <f>IFERROR(Table1215[[#This Row],[Points]]/Table1215[[#This Row],[GP]],"N/A")</f>
        <v>1.9166666666666667</v>
      </c>
      <c r="H81" s="64">
        <f>COUNTIF(_xlfn.XLOOKUP(Table1215[[#This Row],[Name]],Table16[Name],Table16[[September 30, 2025]:[Column18]],,0,1),"&gt;=8")</f>
        <v>1</v>
      </c>
      <c r="I81" s="110">
        <f>IFERROR(AVERAGEIF(_xlfn.XLOOKUP(Table1215[[#This Row],[Name]],Table16[Name],Table16[[September 30, 2025]:[Column18]],,0,1),"&gt;=8"),"N/A")</f>
        <v>10</v>
      </c>
      <c r="J81" s="66">
        <f>IFERROR(Table1215[[#This Row],[FTA]]/Table1215[[#This Row],[GP]],"N/A")</f>
        <v>8.3333333333333329E-2</v>
      </c>
      <c r="K81" s="67">
        <f>COUNTIF(_xlfn.XLOOKUP(Table1215[[#This Row],[Name]],Table16[Name],Table16[[September 30, 2025]:[Column18]],,0,1),"&gt;=15")</f>
        <v>0</v>
      </c>
    </row>
    <row r="82" spans="1:11">
      <c r="A82" s="69"/>
      <c r="B82" s="82">
        <f>INDEX(AllTime1[All-time rank], MATCH(SMALL(AllTime1[Helper], ROW(Structures!$G77)), AllTime1[Helper], 0))</f>
        <v>77</v>
      </c>
      <c r="C82" s="64" t="str">
        <f>TEXT(INDEX(AllTime1[Name], MATCH(SMALL(AllTime1[Helper], ROW(Structures!$G77)), AllTime1[Helper], 0)),"@")</f>
        <v>Aaron Hamilton</v>
      </c>
      <c r="D82" s="64">
        <f>INDEX(AllTime1[All-time score], MATCH(LARGE(AllTime1[Helper2], ROW(Structures!$G77)), AllTime1[Helper2], 0))</f>
        <v>22</v>
      </c>
      <c r="E82" s="64">
        <f>COUNTIF(_xlfn.XLOOKUP(Table1215[[#This Row],[Name]],Table16[Name],Table16[[September 30, 2025]:[Column18]],,0,1),"&gt;=0")</f>
        <v>6</v>
      </c>
      <c r="F82" s="109">
        <f>_xlfn.XLOOKUP(Table1215[[#This Row],[Name]],Table1624[Name],Table1624[Totals],,0,1)</f>
        <v>0.64060000000000006</v>
      </c>
      <c r="G82" s="65">
        <f>IFERROR(Table1215[[#This Row],[Points]]/Table1215[[#This Row],[GP]],"N/A")</f>
        <v>3.6666666666666665</v>
      </c>
      <c r="H82" s="64">
        <f>COUNTIF(_xlfn.XLOOKUP(Table1215[[#This Row],[Name]],Table16[Name],Table16[[September 30, 2025]:[Column18]],,0,1),"&gt;=8")</f>
        <v>1</v>
      </c>
      <c r="I82" s="110">
        <f>IFERROR(AVERAGEIF(_xlfn.XLOOKUP(Table1215[[#This Row],[Name]],Table16[Name],Table16[[September 30, 2025]:[Column18]],,0,1),"&gt;=8"),"N/A")</f>
        <v>15</v>
      </c>
      <c r="J82" s="66">
        <f>IFERROR(Table1215[[#This Row],[FTA]]/Table1215[[#This Row],[GP]],"N/A")</f>
        <v>0.16666666666666666</v>
      </c>
      <c r="K82" s="67">
        <f>COUNTIF(_xlfn.XLOOKUP(Table1215[[#This Row],[Name]],Table16[Name],Table16[[September 30, 2025]:[Column18]],,0,1),"&gt;=15")</f>
        <v>1</v>
      </c>
    </row>
    <row r="83" spans="1:11">
      <c r="A83" s="69"/>
      <c r="B83" s="82">
        <f>INDEX(AllTime1[All-time rank], MATCH(SMALL(AllTime1[Helper], ROW(Structures!$G78)), AllTime1[Helper], 0))</f>
        <v>77</v>
      </c>
      <c r="C83" s="64" t="str">
        <f>TEXT(INDEX(AllTime1[Name], MATCH(SMALL(AllTime1[Helper], ROW(Structures!$G78)), AllTime1[Helper], 0)),"@")</f>
        <v>Abdullah Imran</v>
      </c>
      <c r="D83" s="64">
        <f>INDEX(AllTime1[All-time score], MATCH(LARGE(AllTime1[Helper2], ROW(Structures!$G78)), AllTime1[Helper2], 0))</f>
        <v>22</v>
      </c>
      <c r="E83" s="64">
        <f>COUNTIF(_xlfn.XLOOKUP(Table1215[[#This Row],[Name]],Table16[Name],Table16[[September 30, 2025]:[Column18]],,0,1),"&gt;=0")</f>
        <v>7</v>
      </c>
      <c r="F83" s="109">
        <f>_xlfn.XLOOKUP(Table1215[[#This Row],[Name]],Table1624[Name],Table1624[Totals],,0,1)</f>
        <v>0.36399999999999993</v>
      </c>
      <c r="G83" s="65">
        <f>IFERROR(Table1215[[#This Row],[Points]]/Table1215[[#This Row],[GP]],"N/A")</f>
        <v>3.1428571428571428</v>
      </c>
      <c r="H83" s="64">
        <f>COUNTIF(_xlfn.XLOOKUP(Table1215[[#This Row],[Name]],Table16[Name],Table16[[September 30, 2025]:[Column18]],,0,1),"&gt;=8")</f>
        <v>1</v>
      </c>
      <c r="I83" s="110">
        <f>IFERROR(AVERAGEIF(_xlfn.XLOOKUP(Table1215[[#This Row],[Name]],Table16[Name],Table16[[September 30, 2025]:[Column18]],,0,1),"&gt;=8"),"N/A")</f>
        <v>10</v>
      </c>
      <c r="J83" s="66">
        <f>IFERROR(Table1215[[#This Row],[FTA]]/Table1215[[#This Row],[GP]],"N/A")</f>
        <v>0.14285714285714285</v>
      </c>
      <c r="K83" s="67">
        <f>COUNTIF(_xlfn.XLOOKUP(Table1215[[#This Row],[Name]],Table16[Name],Table16[[September 30, 2025]:[Column18]],,0,1),"&gt;=15")</f>
        <v>0</v>
      </c>
    </row>
    <row r="84" spans="1:11">
      <c r="A84" s="69"/>
      <c r="B84" s="82">
        <f>INDEX(AllTime1[All-time rank], MATCH(SMALL(AllTime1[Helper], ROW(Structures!$G79)), AllTime1[Helper], 0))</f>
        <v>77</v>
      </c>
      <c r="C84" s="64" t="str">
        <f>TEXT(INDEX(AllTime1[Name], MATCH(SMALL(AllTime1[Helper], ROW(Structures!$G79)), AllTime1[Helper], 0)),"@")</f>
        <v>Anthony Braccio</v>
      </c>
      <c r="D84" s="64">
        <f>INDEX(AllTime1[All-time score], MATCH(LARGE(AllTime1[Helper2], ROW(Structures!$G79)), AllTime1[Helper2], 0))</f>
        <v>22</v>
      </c>
      <c r="E84" s="64">
        <f>COUNTIF(_xlfn.XLOOKUP(Table1215[[#This Row],[Name]],Table16[Name],Table16[[September 30, 2025]:[Column18]],,0,1),"&gt;=0")</f>
        <v>9</v>
      </c>
      <c r="F84" s="109">
        <f>_xlfn.XLOOKUP(Table1215[[#This Row],[Name]],Table1624[Name],Table1624[Totals],,0,1)</f>
        <v>0.38800000000000007</v>
      </c>
      <c r="G84" s="65">
        <f>IFERROR(Table1215[[#This Row],[Points]]/Table1215[[#This Row],[GP]],"N/A")</f>
        <v>2.4444444444444446</v>
      </c>
      <c r="H84" s="64">
        <f>COUNTIF(_xlfn.XLOOKUP(Table1215[[#This Row],[Name]],Table16[Name],Table16[[September 30, 2025]:[Column18]],,0,1),"&gt;=8")</f>
        <v>1</v>
      </c>
      <c r="I84" s="110">
        <f>IFERROR(AVERAGEIF(_xlfn.XLOOKUP(Table1215[[#This Row],[Name]],Table16[Name],Table16[[September 30, 2025]:[Column18]],,0,1),"&gt;=8"),"N/A")</f>
        <v>8</v>
      </c>
      <c r="J84" s="66">
        <f>IFERROR(Table1215[[#This Row],[FTA]]/Table1215[[#This Row],[GP]],"N/A")</f>
        <v>0.1111111111111111</v>
      </c>
      <c r="K84" s="67">
        <f>COUNTIF(_xlfn.XLOOKUP(Table1215[[#This Row],[Name]],Table16[Name],Table16[[September 30, 2025]:[Column18]],,0,1),"&gt;=15")</f>
        <v>0</v>
      </c>
    </row>
    <row r="85" spans="1:11">
      <c r="A85" s="69"/>
      <c r="B85" s="82">
        <f>INDEX(AllTime1[All-time rank], MATCH(SMALL(AllTime1[Helper], ROW(Structures!$G80)), AllTime1[Helper], 0))</f>
        <v>80</v>
      </c>
      <c r="C85" s="64" t="str">
        <f>TEXT(INDEX(AllTime1[Name], MATCH(SMALL(AllTime1[Helper], ROW(Structures!$G80)), AllTime1[Helper], 0)),"@")</f>
        <v>Jackie Cai</v>
      </c>
      <c r="D85" s="64">
        <f>INDEX(AllTime1[All-time score], MATCH(LARGE(AllTime1[Helper2], ROW(Structures!$G80)), AllTime1[Helper2], 0))</f>
        <v>21</v>
      </c>
      <c r="E85" s="64">
        <f>COUNTIF(_xlfn.XLOOKUP(Table1215[[#This Row],[Name]],Table16[Name],Table16[[September 30, 2025]:[Column18]],,0,1),"&gt;=0")</f>
        <v>6</v>
      </c>
      <c r="F85" s="109">
        <f>_xlfn.XLOOKUP(Table1215[[#This Row],[Name]],Table1624[Name],Table1624[Totals],,0,1)</f>
        <v>0.38919999999999999</v>
      </c>
      <c r="G85" s="65">
        <f>IFERROR(Table1215[[#This Row],[Points]]/Table1215[[#This Row],[GP]],"N/A")</f>
        <v>3.5</v>
      </c>
      <c r="H85" s="64">
        <f>COUNTIF(_xlfn.XLOOKUP(Table1215[[#This Row],[Name]],Table16[Name],Table16[[September 30, 2025]:[Column18]],,0,1),"&gt;=8")</f>
        <v>1</v>
      </c>
      <c r="I85" s="110">
        <f>IFERROR(AVERAGEIF(_xlfn.XLOOKUP(Table1215[[#This Row],[Name]],Table16[Name],Table16[[September 30, 2025]:[Column18]],,0,1),"&gt;=8"),"N/A")</f>
        <v>10</v>
      </c>
      <c r="J85" s="66">
        <f>IFERROR(Table1215[[#This Row],[FTA]]/Table1215[[#This Row],[GP]],"N/A")</f>
        <v>0.16666666666666666</v>
      </c>
      <c r="K85" s="67">
        <f>COUNTIF(_xlfn.XLOOKUP(Table1215[[#This Row],[Name]],Table16[Name],Table16[[September 30, 2025]:[Column18]],,0,1),"&gt;=15")</f>
        <v>0</v>
      </c>
    </row>
    <row r="86" spans="1:11">
      <c r="A86" s="69"/>
      <c r="B86" s="82">
        <f>INDEX(AllTime1[All-time rank], MATCH(SMALL(AllTime1[Helper], ROW(Structures!$G81)), AllTime1[Helper], 0))</f>
        <v>80</v>
      </c>
      <c r="C86" s="64" t="str">
        <f>TEXT(INDEX(AllTime1[Name], MATCH(SMALL(AllTime1[Helper], ROW(Structures!$G81)), AllTime1[Helper], 0)),"@")</f>
        <v>Noah George</v>
      </c>
      <c r="D86" s="64">
        <f>INDEX(AllTime1[All-time score], MATCH(LARGE(AllTime1[Helper2], ROW(Structures!$G81)), AllTime1[Helper2], 0))</f>
        <v>21</v>
      </c>
      <c r="E86" s="64">
        <f>COUNTIF(_xlfn.XLOOKUP(Table1215[[#This Row],[Name]],Table16[Name],Table16[[September 30, 2025]:[Column18]],,0,1),"&gt;=0")</f>
        <v>15</v>
      </c>
      <c r="F86" s="109">
        <f>_xlfn.XLOOKUP(Table1215[[#This Row],[Name]],Table1624[Name],Table1624[Totals],,0,1)</f>
        <v>0.67223076923076919</v>
      </c>
      <c r="G86" s="65">
        <f>IFERROR(Table1215[[#This Row],[Points]]/Table1215[[#This Row],[GP]],"N/A")</f>
        <v>1.4</v>
      </c>
      <c r="H86" s="64">
        <f>COUNTIF(_xlfn.XLOOKUP(Table1215[[#This Row],[Name]],Table16[Name],Table16[[September 30, 2025]:[Column18]],,0,1),"&gt;=8")</f>
        <v>0</v>
      </c>
      <c r="I86" s="110" t="str">
        <f>IFERROR(AVERAGEIF(_xlfn.XLOOKUP(Table1215[[#This Row],[Name]],Table16[Name],Table16[[September 30, 2025]:[Column18]],,0,1),"&gt;=8"),"N/A")</f>
        <v>N/A</v>
      </c>
      <c r="J86" s="66">
        <f>IFERROR(Table1215[[#This Row],[FTA]]/Table1215[[#This Row],[GP]],"N/A")</f>
        <v>0</v>
      </c>
      <c r="K86" s="67">
        <f>COUNTIF(_xlfn.XLOOKUP(Table1215[[#This Row],[Name]],Table16[Name],Table16[[September 30, 2025]:[Column18]],,0,1),"&gt;=15")</f>
        <v>0</v>
      </c>
    </row>
    <row r="87" spans="1:11">
      <c r="A87" s="69"/>
      <c r="B87" s="82">
        <f>INDEX(AllTime1[All-time rank], MATCH(SMALL(AllTime1[Helper], ROW(Structures!$G82)), AllTime1[Helper], 0))</f>
        <v>80</v>
      </c>
      <c r="C87" s="64" t="str">
        <f>TEXT(INDEX(AllTime1[Name], MATCH(SMALL(AllTime1[Helper], ROW(Structures!$G82)), AllTime1[Helper], 0)),"@")</f>
        <v>Alexander Musarai</v>
      </c>
      <c r="D87" s="64">
        <f>INDEX(AllTime1[All-time score], MATCH(LARGE(AllTime1[Helper2], ROW(Structures!$G82)), AllTime1[Helper2], 0))</f>
        <v>21</v>
      </c>
      <c r="E87" s="64">
        <f>COUNTIF(_xlfn.XLOOKUP(Table1215[[#This Row],[Name]],Table16[Name],Table16[[September 30, 2025]:[Column18]],,0,1),"&gt;=0")</f>
        <v>12</v>
      </c>
      <c r="F87" s="109">
        <f>_xlfn.XLOOKUP(Table1215[[#This Row],[Name]],Table1624[Name],Table1624[Totals],,0,1)</f>
        <v>0.44589999999999996</v>
      </c>
      <c r="G87" s="65">
        <f>IFERROR(Table1215[[#This Row],[Points]]/Table1215[[#This Row],[GP]],"N/A")</f>
        <v>1.75</v>
      </c>
      <c r="H87" s="64">
        <f>COUNTIF(_xlfn.XLOOKUP(Table1215[[#This Row],[Name]],Table16[Name],Table16[[September 30, 2025]:[Column18]],,0,1),"&gt;=8")</f>
        <v>0</v>
      </c>
      <c r="I87" s="110" t="str">
        <f>IFERROR(AVERAGEIF(_xlfn.XLOOKUP(Table1215[[#This Row],[Name]],Table16[Name],Table16[[September 30, 2025]:[Column18]],,0,1),"&gt;=8"),"N/A")</f>
        <v>N/A</v>
      </c>
      <c r="J87" s="66">
        <f>IFERROR(Table1215[[#This Row],[FTA]]/Table1215[[#This Row],[GP]],"N/A")</f>
        <v>0</v>
      </c>
      <c r="K87" s="67">
        <f>COUNTIF(_xlfn.XLOOKUP(Table1215[[#This Row],[Name]],Table16[Name],Table16[[September 30, 2025]:[Column18]],,0,1),"&gt;=15")</f>
        <v>0</v>
      </c>
    </row>
    <row r="88" spans="1:11">
      <c r="A88" s="69"/>
      <c r="B88" s="82">
        <f>INDEX(AllTime1[All-time rank], MATCH(SMALL(AllTime1[Helper], ROW(Structures!$G83)), AllTime1[Helper], 0))</f>
        <v>83</v>
      </c>
      <c r="C88" s="64" t="str">
        <f>TEXT(INDEX(AllTime1[Name], MATCH(SMALL(AllTime1[Helper], ROW(Structures!$G83)), AllTime1[Helper], 0)),"@")</f>
        <v>David Ribkoff</v>
      </c>
      <c r="D88" s="64">
        <f>INDEX(AllTime1[All-time score], MATCH(LARGE(AllTime1[Helper2], ROW(Structures!$G83)), AllTime1[Helper2], 0))</f>
        <v>20</v>
      </c>
      <c r="E88" s="64">
        <f>COUNTIF(_xlfn.XLOOKUP(Table1215[[#This Row],[Name]],Table16[Name],Table16[[September 30, 2025]:[Column18]],,0,1),"&gt;=0")</f>
        <v>7</v>
      </c>
      <c r="F88" s="109">
        <f>_xlfn.XLOOKUP(Table1215[[#This Row],[Name]],Table1624[Name],Table1624[Totals],,0,1)</f>
        <v>0.53071428571428581</v>
      </c>
      <c r="G88" s="65">
        <f>IFERROR(Table1215[[#This Row],[Points]]/Table1215[[#This Row],[GP]],"N/A")</f>
        <v>2.8571428571428572</v>
      </c>
      <c r="H88" s="64">
        <f>COUNTIF(_xlfn.XLOOKUP(Table1215[[#This Row],[Name]],Table16[Name],Table16[[September 30, 2025]:[Column18]],,0,1),"&gt;=8")</f>
        <v>1</v>
      </c>
      <c r="I88" s="110">
        <f>IFERROR(AVERAGEIF(_xlfn.XLOOKUP(Table1215[[#This Row],[Name]],Table16[Name],Table16[[September 30, 2025]:[Column18]],,0,1),"&gt;=8"),"N/A")</f>
        <v>10</v>
      </c>
      <c r="J88" s="66">
        <f>IFERROR(Table1215[[#This Row],[FTA]]/Table1215[[#This Row],[GP]],"N/A")</f>
        <v>0.14285714285714285</v>
      </c>
      <c r="K88" s="67">
        <f>COUNTIF(_xlfn.XLOOKUP(Table1215[[#This Row],[Name]],Table16[Name],Table16[[September 30, 2025]:[Column18]],,0,1),"&gt;=15")</f>
        <v>0</v>
      </c>
    </row>
    <row r="89" spans="1:11">
      <c r="A89" s="69"/>
      <c r="B89" s="82">
        <f>INDEX(AllTime1[All-time rank], MATCH(SMALL(AllTime1[Helper], ROW(Structures!$G84)), AllTime1[Helper], 0))</f>
        <v>83</v>
      </c>
      <c r="C89" s="64" t="str">
        <f>TEXT(INDEX(AllTime1[Name], MATCH(SMALL(AllTime1[Helper], ROW(Structures!$G84)), AllTime1[Helper], 0)),"@")</f>
        <v>Rahil Kochhar</v>
      </c>
      <c r="D89" s="64">
        <f>INDEX(AllTime1[All-time score], MATCH(LARGE(AllTime1[Helper2], ROW(Structures!$G84)), AllTime1[Helper2], 0))</f>
        <v>20</v>
      </c>
      <c r="E89" s="64">
        <f>COUNTIF(_xlfn.XLOOKUP(Table1215[[#This Row],[Name]],Table16[Name],Table16[[September 30, 2025]:[Column18]],,0,1),"&gt;=0")</f>
        <v>8</v>
      </c>
      <c r="F89" s="109">
        <f>_xlfn.XLOOKUP(Table1215[[#This Row],[Name]],Table1624[Name],Table1624[Totals],,0,1)</f>
        <v>0.39649999999999996</v>
      </c>
      <c r="G89" s="65">
        <f>IFERROR(Table1215[[#This Row],[Points]]/Table1215[[#This Row],[GP]],"N/A")</f>
        <v>2.5</v>
      </c>
      <c r="H89" s="64">
        <f>COUNTIF(_xlfn.XLOOKUP(Table1215[[#This Row],[Name]],Table16[Name],Table16[[September 30, 2025]:[Column18]],,0,1),"&gt;=8")</f>
        <v>1</v>
      </c>
      <c r="I89" s="110">
        <f>IFERROR(AVERAGEIF(_xlfn.XLOOKUP(Table1215[[#This Row],[Name]],Table16[Name],Table16[[September 30, 2025]:[Column18]],,0,1),"&gt;=8"),"N/A")</f>
        <v>8</v>
      </c>
      <c r="J89" s="66">
        <f>IFERROR(Table1215[[#This Row],[FTA]]/Table1215[[#This Row],[GP]],"N/A")</f>
        <v>0.125</v>
      </c>
      <c r="K89" s="67">
        <f>COUNTIF(_xlfn.XLOOKUP(Table1215[[#This Row],[Name]],Table16[Name],Table16[[September 30, 2025]:[Column18]],,0,1),"&gt;=15")</f>
        <v>0</v>
      </c>
    </row>
    <row r="90" spans="1:11">
      <c r="A90" s="69"/>
      <c r="B90" s="82">
        <f>INDEX(AllTime1[All-time rank], MATCH(SMALL(AllTime1[Helper], ROW(Structures!$G85)), AllTime1[Helper], 0))</f>
        <v>85</v>
      </c>
      <c r="C90" s="64" t="str">
        <f>TEXT(INDEX(AllTime1[Name], MATCH(SMALL(AllTime1[Helper], ROW(Structures!$G85)), AllTime1[Helper], 0)),"@")</f>
        <v>Sabrina Vong</v>
      </c>
      <c r="D90" s="64">
        <f>INDEX(AllTime1[All-time score], MATCH(LARGE(AllTime1[Helper2], ROW(Structures!$G85)), AllTime1[Helper2], 0))</f>
        <v>19</v>
      </c>
      <c r="E90" s="64">
        <f>COUNTIF(_xlfn.XLOOKUP(Table1215[[#This Row],[Name]],Table16[Name],Table16[[September 30, 2025]:[Column18]],,0,1),"&gt;=0")</f>
        <v>11</v>
      </c>
      <c r="F90" s="109">
        <f>_xlfn.XLOOKUP(Table1215[[#This Row],[Name]],Table1624[Name],Table1624[Totals],,0,1)</f>
        <v>0.46690000000000004</v>
      </c>
      <c r="G90" s="65">
        <f>IFERROR(Table1215[[#This Row],[Points]]/Table1215[[#This Row],[GP]],"N/A")</f>
        <v>1.7272727272727273</v>
      </c>
      <c r="H90" s="64">
        <f>COUNTIF(_xlfn.XLOOKUP(Table1215[[#This Row],[Name]],Table16[Name],Table16[[September 30, 2025]:[Column18]],,0,1),"&gt;=8")</f>
        <v>0</v>
      </c>
      <c r="I90" s="110" t="str">
        <f>IFERROR(AVERAGEIF(_xlfn.XLOOKUP(Table1215[[#This Row],[Name]],Table16[Name],Table16[[September 30, 2025]:[Column18]],,0,1),"&gt;=8"),"N/A")</f>
        <v>N/A</v>
      </c>
      <c r="J90" s="66">
        <f>IFERROR(Table1215[[#This Row],[FTA]]/Table1215[[#This Row],[GP]],"N/A")</f>
        <v>0</v>
      </c>
      <c r="K90" s="67">
        <f>COUNTIF(_xlfn.XLOOKUP(Table1215[[#This Row],[Name]],Table16[Name],Table16[[September 30, 2025]:[Column18]],,0,1),"&gt;=15")</f>
        <v>0</v>
      </c>
    </row>
    <row r="91" spans="1:11">
      <c r="A91" s="69"/>
      <c r="B91" s="82">
        <f>INDEX(AllTime1[All-time rank], MATCH(SMALL(AllTime1[Helper], ROW(Structures!$G86)), AllTime1[Helper], 0))</f>
        <v>85</v>
      </c>
      <c r="C91" s="64" t="str">
        <f>TEXT(INDEX(AllTime1[Name], MATCH(SMALL(AllTime1[Helper], ROW(Structures!$G86)), AllTime1[Helper], 0)),"@")</f>
        <v>Daniel Zheng</v>
      </c>
      <c r="D91" s="64">
        <f>INDEX(AllTime1[All-time score], MATCH(LARGE(AllTime1[Helper2], ROW(Structures!$G86)), AllTime1[Helper2], 0))</f>
        <v>19</v>
      </c>
      <c r="E91" s="64">
        <f>COUNTIF(_xlfn.XLOOKUP(Table1215[[#This Row],[Name]],Table16[Name],Table16[[September 30, 2025]:[Column18]],,0,1),"&gt;=0")</f>
        <v>8</v>
      </c>
      <c r="F91" s="109">
        <f>_xlfn.XLOOKUP(Table1215[[#This Row],[Name]],Table1624[Name],Table1624[Totals],,0,1)</f>
        <v>0.53375000000000006</v>
      </c>
      <c r="G91" s="65">
        <f>IFERROR(Table1215[[#This Row],[Points]]/Table1215[[#This Row],[GP]],"N/A")</f>
        <v>2.375</v>
      </c>
      <c r="H91" s="64">
        <f>COUNTIF(_xlfn.XLOOKUP(Table1215[[#This Row],[Name]],Table16[Name],Table16[[September 30, 2025]:[Column18]],,0,1),"&gt;=8")</f>
        <v>1</v>
      </c>
      <c r="I91" s="110">
        <f>IFERROR(AVERAGEIF(_xlfn.XLOOKUP(Table1215[[#This Row],[Name]],Table16[Name],Table16[[September 30, 2025]:[Column18]],,0,1),"&gt;=8"),"N/A")</f>
        <v>10</v>
      </c>
      <c r="J91" s="66">
        <f>IFERROR(Table1215[[#This Row],[FTA]]/Table1215[[#This Row],[GP]],"N/A")</f>
        <v>0.125</v>
      </c>
      <c r="K91" s="67">
        <f>COUNTIF(_xlfn.XLOOKUP(Table1215[[#This Row],[Name]],Table16[Name],Table16[[September 30, 2025]:[Column18]],,0,1),"&gt;=15")</f>
        <v>0</v>
      </c>
    </row>
    <row r="92" spans="1:11">
      <c r="A92" s="69"/>
      <c r="B92" s="82">
        <f>INDEX(AllTime1[All-time rank], MATCH(SMALL(AllTime1[Helper], ROW(Structures!$G87)), AllTime1[Helper], 0))</f>
        <v>87</v>
      </c>
      <c r="C92" s="64" t="str">
        <f>TEXT(INDEX(AllTime1[Name], MATCH(SMALL(AllTime1[Helper], ROW(Structures!$G87)), AllTime1[Helper], 0)),"@")</f>
        <v>Rohan Mandi</v>
      </c>
      <c r="D92" s="64">
        <f>INDEX(AllTime1[All-time score], MATCH(LARGE(AllTime1[Helper2], ROW(Structures!$G87)), AllTime1[Helper2], 0))</f>
        <v>18</v>
      </c>
      <c r="E92" s="64">
        <f>COUNTIF(_xlfn.XLOOKUP(Table1215[[#This Row],[Name]],Table16[Name],Table16[[September 30, 2025]:[Column18]],,0,1),"&gt;=0")</f>
        <v>8</v>
      </c>
      <c r="F92" s="109">
        <f>_xlfn.XLOOKUP(Table1215[[#This Row],[Name]],Table1624[Name],Table1624[Totals],,0,1)</f>
        <v>0.37957142857142856</v>
      </c>
      <c r="G92" s="65">
        <f>IFERROR(Table1215[[#This Row],[Points]]/Table1215[[#This Row],[GP]],"N/A")</f>
        <v>2.25</v>
      </c>
      <c r="H92" s="64">
        <f>COUNTIF(_xlfn.XLOOKUP(Table1215[[#This Row],[Name]],Table16[Name],Table16[[September 30, 2025]:[Column18]],,0,1),"&gt;=8")</f>
        <v>0</v>
      </c>
      <c r="I92" s="110" t="str">
        <f>IFERROR(AVERAGEIF(_xlfn.XLOOKUP(Table1215[[#This Row],[Name]],Table16[Name],Table16[[September 30, 2025]:[Column18]],,0,1),"&gt;=8"),"N/A")</f>
        <v>N/A</v>
      </c>
      <c r="J92" s="66">
        <f>IFERROR(Table1215[[#This Row],[FTA]]/Table1215[[#This Row],[GP]],"N/A")</f>
        <v>0</v>
      </c>
      <c r="K92" s="67">
        <f>COUNTIF(_xlfn.XLOOKUP(Table1215[[#This Row],[Name]],Table16[Name],Table16[[September 30, 2025]:[Column18]],,0,1),"&gt;=15")</f>
        <v>0</v>
      </c>
    </row>
    <row r="93" spans="1:11">
      <c r="A93" s="69"/>
      <c r="B93" s="82">
        <f>INDEX(AllTime1[All-time rank], MATCH(SMALL(AllTime1[Helper], ROW(Structures!$G88)), AllTime1[Helper], 0))</f>
        <v>87</v>
      </c>
      <c r="C93" s="64" t="str">
        <f>TEXT(INDEX(AllTime1[Name], MATCH(SMALL(AllTime1[Helper], ROW(Structures!$G88)), AllTime1[Helper], 0)),"@")</f>
        <v>Jared Lipski</v>
      </c>
      <c r="D93" s="64">
        <f>INDEX(AllTime1[All-time score], MATCH(LARGE(AllTime1[Helper2], ROW(Structures!$G88)), AllTime1[Helper2], 0))</f>
        <v>18</v>
      </c>
      <c r="E93" s="64">
        <f>COUNTIF(_xlfn.XLOOKUP(Table1215[[#This Row],[Name]],Table16[Name],Table16[[September 30, 2025]:[Column18]],,0,1),"&gt;=0")</f>
        <v>9</v>
      </c>
      <c r="F93" s="109">
        <f>_xlfn.XLOOKUP(Table1215[[#This Row],[Name]],Table1624[Name],Table1624[Totals],,0,1)</f>
        <v>0.50812500000000005</v>
      </c>
      <c r="G93" s="65">
        <f>IFERROR(Table1215[[#This Row],[Points]]/Table1215[[#This Row],[GP]],"N/A")</f>
        <v>2</v>
      </c>
      <c r="H93" s="64">
        <f>COUNTIF(_xlfn.XLOOKUP(Table1215[[#This Row],[Name]],Table16[Name],Table16[[September 30, 2025]:[Column18]],,0,1),"&gt;=8")</f>
        <v>0</v>
      </c>
      <c r="I93" s="110" t="str">
        <f>IFERROR(AVERAGEIF(_xlfn.XLOOKUP(Table1215[[#This Row],[Name]],Table16[Name],Table16[[September 30, 2025]:[Column18]],,0,1),"&gt;=8"),"N/A")</f>
        <v>N/A</v>
      </c>
      <c r="J93" s="66">
        <f>IFERROR(Table1215[[#This Row],[FTA]]/Table1215[[#This Row],[GP]],"N/A")</f>
        <v>0</v>
      </c>
      <c r="K93" s="67">
        <f>COUNTIF(_xlfn.XLOOKUP(Table1215[[#This Row],[Name]],Table16[Name],Table16[[September 30, 2025]:[Column18]],,0,1),"&gt;=15")</f>
        <v>0</v>
      </c>
    </row>
    <row r="94" spans="1:11">
      <c r="A94" s="69"/>
      <c r="B94" s="82">
        <f>INDEX(AllTime1[All-time rank], MATCH(SMALL(AllTime1[Helper], ROW(Structures!$G89)), AllTime1[Helper], 0))</f>
        <v>87</v>
      </c>
      <c r="C94" s="64" t="str">
        <f>TEXT(INDEX(AllTime1[Name], MATCH(SMALL(AllTime1[Helper], ROW(Structures!$G89)), AllTime1[Helper], 0)),"@")</f>
        <v>Adrian Liu</v>
      </c>
      <c r="D94" s="64">
        <f>INDEX(AllTime1[All-time score], MATCH(LARGE(AllTime1[Helper2], ROW(Structures!$G89)), AllTime1[Helper2], 0))</f>
        <v>18</v>
      </c>
      <c r="E94" s="64">
        <f>COUNTIF(_xlfn.XLOOKUP(Table1215[[#This Row],[Name]],Table16[Name],Table16[[September 30, 2025]:[Column18]],,0,1),"&gt;=0")</f>
        <v>3</v>
      </c>
      <c r="F94" s="109">
        <f>_xlfn.XLOOKUP(Table1215[[#This Row],[Name]],Table1624[Name],Table1624[Totals],,0,1)</f>
        <v>0.38666666666666671</v>
      </c>
      <c r="G94" s="65">
        <f>IFERROR(Table1215[[#This Row],[Points]]/Table1215[[#This Row],[GP]],"N/A")</f>
        <v>6</v>
      </c>
      <c r="H94" s="64">
        <f>COUNTIF(_xlfn.XLOOKUP(Table1215[[#This Row],[Name]],Table16[Name],Table16[[September 30, 2025]:[Column18]],,0,1),"&gt;=8")</f>
        <v>1</v>
      </c>
      <c r="I94" s="110">
        <f>IFERROR(AVERAGEIF(_xlfn.XLOOKUP(Table1215[[#This Row],[Name]],Table16[Name],Table16[[September 30, 2025]:[Column18]],,0,1),"&gt;=8"),"N/A")</f>
        <v>15</v>
      </c>
      <c r="J94" s="66">
        <f>IFERROR(Table1215[[#This Row],[FTA]]/Table1215[[#This Row],[GP]],"N/A")</f>
        <v>0.33333333333333331</v>
      </c>
      <c r="K94" s="67">
        <f>COUNTIF(_xlfn.XLOOKUP(Table1215[[#This Row],[Name]],Table16[Name],Table16[[September 30, 2025]:[Column18]],,0,1),"&gt;=15")</f>
        <v>1</v>
      </c>
    </row>
    <row r="95" spans="1:11">
      <c r="A95" s="69"/>
      <c r="B95" s="82">
        <f>INDEX(AllTime1[All-time rank], MATCH(SMALL(AllTime1[Helper], ROW(Structures!$G90)), AllTime1[Helper], 0))</f>
        <v>87</v>
      </c>
      <c r="C95" s="64" t="str">
        <f>TEXT(INDEX(AllTime1[Name], MATCH(SMALL(AllTime1[Helper], ROW(Structures!$G90)), AllTime1[Helper], 0)),"@")</f>
        <v>Bhargav Kandlakuti</v>
      </c>
      <c r="D95" s="64">
        <f>INDEX(AllTime1[All-time score], MATCH(LARGE(AllTime1[Helper2], ROW(Structures!$G90)), AllTime1[Helper2], 0))</f>
        <v>18</v>
      </c>
      <c r="E95" s="64">
        <f>COUNTIF(_xlfn.XLOOKUP(Table1215[[#This Row],[Name]],Table16[Name],Table16[[September 30, 2025]:[Column18]],,0,1),"&gt;=0")</f>
        <v>8</v>
      </c>
      <c r="F95" s="109">
        <f>_xlfn.XLOOKUP(Table1215[[#This Row],[Name]],Table1624[Name],Table1624[Totals],,0,1)</f>
        <v>0.58466666666666667</v>
      </c>
      <c r="G95" s="65">
        <f>IFERROR(Table1215[[#This Row],[Points]]/Table1215[[#This Row],[GP]],"N/A")</f>
        <v>2.25</v>
      </c>
      <c r="H95" s="64">
        <f>COUNTIF(_xlfn.XLOOKUP(Table1215[[#This Row],[Name]],Table16[Name],Table16[[September 30, 2025]:[Column18]],,0,1),"&gt;=8")</f>
        <v>1</v>
      </c>
      <c r="I95" s="110">
        <f>IFERROR(AVERAGEIF(_xlfn.XLOOKUP(Table1215[[#This Row],[Name]],Table16[Name],Table16[[September 30, 2025]:[Column18]],,0,1),"&gt;=8"),"N/A")</f>
        <v>8</v>
      </c>
      <c r="J95" s="66">
        <f>IFERROR(Table1215[[#This Row],[FTA]]/Table1215[[#This Row],[GP]],"N/A")</f>
        <v>0.125</v>
      </c>
      <c r="K95" s="67">
        <f>COUNTIF(_xlfn.XLOOKUP(Table1215[[#This Row],[Name]],Table16[Name],Table16[[September 30, 2025]:[Column18]],,0,1),"&gt;=15")</f>
        <v>0</v>
      </c>
    </row>
    <row r="96" spans="1:11">
      <c r="A96" s="69"/>
      <c r="B96" s="82">
        <f>INDEX(AllTime1[All-time rank], MATCH(SMALL(AllTime1[Helper], ROW(Structures!$G91)), AllTime1[Helper], 0))</f>
        <v>87</v>
      </c>
      <c r="C96" s="64" t="str">
        <f>TEXT(INDEX(AllTime1[Name], MATCH(SMALL(AllTime1[Helper], ROW(Structures!$G91)), AllTime1[Helper], 0)),"@")</f>
        <v>Erfan Zarenia</v>
      </c>
      <c r="D96" s="64">
        <f>INDEX(AllTime1[All-time score], MATCH(LARGE(AllTime1[Helper2], ROW(Structures!$G91)), AllTime1[Helper2], 0))</f>
        <v>18</v>
      </c>
      <c r="E96" s="64">
        <f>COUNTIF(_xlfn.XLOOKUP(Table1215[[#This Row],[Name]],Table16[Name],Table16[[September 30, 2025]:[Column18]],,0,1),"&gt;=0")</f>
        <v>7</v>
      </c>
      <c r="F96" s="109">
        <f>_xlfn.XLOOKUP(Table1215[[#This Row],[Name]],Table1624[Name],Table1624[Totals],,0,1)</f>
        <v>0.51133333333333331</v>
      </c>
      <c r="G96" s="65">
        <f>IFERROR(Table1215[[#This Row],[Points]]/Table1215[[#This Row],[GP]],"N/A")</f>
        <v>2.5714285714285716</v>
      </c>
      <c r="H96" s="64">
        <f>COUNTIF(_xlfn.XLOOKUP(Table1215[[#This Row],[Name]],Table16[Name],Table16[[September 30, 2025]:[Column18]],,0,1),"&gt;=8")</f>
        <v>1</v>
      </c>
      <c r="I96" s="110">
        <f>IFERROR(AVERAGEIF(_xlfn.XLOOKUP(Table1215[[#This Row],[Name]],Table16[Name],Table16[[September 30, 2025]:[Column18]],,0,1),"&gt;=8"),"N/A")</f>
        <v>10</v>
      </c>
      <c r="J96" s="66">
        <f>IFERROR(Table1215[[#This Row],[FTA]]/Table1215[[#This Row],[GP]],"N/A")</f>
        <v>0.14285714285714285</v>
      </c>
      <c r="K96" s="67">
        <f>COUNTIF(_xlfn.XLOOKUP(Table1215[[#This Row],[Name]],Table16[Name],Table16[[September 30, 2025]:[Column18]],,0,1),"&gt;=15")</f>
        <v>0</v>
      </c>
    </row>
    <row r="97" spans="1:11">
      <c r="A97" s="69"/>
      <c r="B97" s="82">
        <f>INDEX(AllTime1[All-time rank], MATCH(SMALL(AllTime1[Helper], ROW(Structures!$G92)), AllTime1[Helper], 0))</f>
        <v>87</v>
      </c>
      <c r="C97" s="64" t="str">
        <f>TEXT(INDEX(AllTime1[Name], MATCH(SMALL(AllTime1[Helper], ROW(Structures!$G92)), AllTime1[Helper], 0)),"@")</f>
        <v>Ryan Sale</v>
      </c>
      <c r="D97" s="64">
        <f>INDEX(AllTime1[All-time score], MATCH(LARGE(AllTime1[Helper2], ROW(Structures!$G92)), AllTime1[Helper2], 0))</f>
        <v>18</v>
      </c>
      <c r="E97" s="64">
        <f>COUNTIF(_xlfn.XLOOKUP(Table1215[[#This Row],[Name]],Table16[Name],Table16[[September 30, 2025]:[Column18]],,0,1),"&gt;=0")</f>
        <v>8</v>
      </c>
      <c r="F97" s="109">
        <f>_xlfn.XLOOKUP(Table1215[[#This Row],[Name]],Table1624[Name],Table1624[Totals],,0,1)</f>
        <v>0.41600000000000004</v>
      </c>
      <c r="G97" s="65">
        <f>IFERROR(Table1215[[#This Row],[Points]]/Table1215[[#This Row],[GP]],"N/A")</f>
        <v>2.25</v>
      </c>
      <c r="H97" s="64">
        <f>COUNTIF(_xlfn.XLOOKUP(Table1215[[#This Row],[Name]],Table16[Name],Table16[[September 30, 2025]:[Column18]],,0,1),"&gt;=8")</f>
        <v>0</v>
      </c>
      <c r="I97" s="110" t="str">
        <f>IFERROR(AVERAGEIF(_xlfn.XLOOKUP(Table1215[[#This Row],[Name]],Table16[Name],Table16[[September 30, 2025]:[Column18]],,0,1),"&gt;=8"),"N/A")</f>
        <v>N/A</v>
      </c>
      <c r="J97" s="66">
        <f>IFERROR(Table1215[[#This Row],[FTA]]/Table1215[[#This Row],[GP]],"N/A")</f>
        <v>0</v>
      </c>
      <c r="K97" s="67">
        <f>COUNTIF(_xlfn.XLOOKUP(Table1215[[#This Row],[Name]],Table16[Name],Table16[[September 30, 2025]:[Column18]],,0,1),"&gt;=15")</f>
        <v>0</v>
      </c>
    </row>
    <row r="98" spans="1:11">
      <c r="A98" s="69"/>
      <c r="B98" s="82">
        <f>INDEX(AllTime1[All-time rank], MATCH(SMALL(AllTime1[Helper], ROW(Structures!$G93)), AllTime1[Helper], 0))</f>
        <v>93</v>
      </c>
      <c r="C98" s="64" t="str">
        <f>TEXT(INDEX(AllTime1[Name], MATCH(SMALL(AllTime1[Helper], ROW(Structures!$G93)), AllTime1[Helper], 0)),"@")</f>
        <v>Nasir Ghaibi</v>
      </c>
      <c r="D98" s="64">
        <f>INDEX(AllTime1[All-time score], MATCH(LARGE(AllTime1[Helper2], ROW(Structures!$G93)), AllTime1[Helper2], 0))</f>
        <v>17</v>
      </c>
      <c r="E98" s="64">
        <f>COUNTIF(_xlfn.XLOOKUP(Table1215[[#This Row],[Name]],Table16[Name],Table16[[September 30, 2025]:[Column18]],,0,1),"&gt;=0")</f>
        <v>10</v>
      </c>
      <c r="F98" s="109">
        <f>_xlfn.XLOOKUP(Table1215[[#This Row],[Name]],Table1624[Name],Table1624[Totals],,0,1)</f>
        <v>0.54309999999999992</v>
      </c>
      <c r="G98" s="65">
        <f>IFERROR(Table1215[[#This Row],[Points]]/Table1215[[#This Row],[GP]],"N/A")</f>
        <v>1.7</v>
      </c>
      <c r="H98" s="64">
        <f>COUNTIF(_xlfn.XLOOKUP(Table1215[[#This Row],[Name]],Table16[Name],Table16[[September 30, 2025]:[Column18]],,0,1),"&gt;=8")</f>
        <v>0</v>
      </c>
      <c r="I98" s="110" t="str">
        <f>IFERROR(AVERAGEIF(_xlfn.XLOOKUP(Table1215[[#This Row],[Name]],Table16[Name],Table16[[September 30, 2025]:[Column18]],,0,1),"&gt;=8"),"N/A")</f>
        <v>N/A</v>
      </c>
      <c r="J98" s="66">
        <f>IFERROR(Table1215[[#This Row],[FTA]]/Table1215[[#This Row],[GP]],"N/A")</f>
        <v>0</v>
      </c>
      <c r="K98" s="67">
        <f>COUNTIF(_xlfn.XLOOKUP(Table1215[[#This Row],[Name]],Table16[Name],Table16[[September 30, 2025]:[Column18]],,0,1),"&gt;=15")</f>
        <v>0</v>
      </c>
    </row>
    <row r="99" spans="1:11">
      <c r="A99" s="69"/>
      <c r="B99" s="82">
        <f>INDEX(AllTime1[All-time rank], MATCH(SMALL(AllTime1[Helper], ROW(Structures!$G94)), AllTime1[Helper], 0))</f>
        <v>93</v>
      </c>
      <c r="C99" s="64" t="str">
        <f>TEXT(INDEX(AllTime1[Name], MATCH(SMALL(AllTime1[Helper], ROW(Structures!$G94)), AllTime1[Helper], 0)),"@")</f>
        <v>Nathan Konotopsky</v>
      </c>
      <c r="D99" s="64">
        <f>INDEX(AllTime1[All-time score], MATCH(LARGE(AllTime1[Helper2], ROW(Structures!$G94)), AllTime1[Helper2], 0))</f>
        <v>17</v>
      </c>
      <c r="E99" s="64">
        <f>COUNTIF(_xlfn.XLOOKUP(Table1215[[#This Row],[Name]],Table16[Name],Table16[[September 30, 2025]:[Column18]],,0,1),"&gt;=0")</f>
        <v>8</v>
      </c>
      <c r="F99" s="109">
        <f>_xlfn.XLOOKUP(Table1215[[#This Row],[Name]],Table1624[Name],Table1624[Totals],,0,1)</f>
        <v>0.36471428571428566</v>
      </c>
      <c r="G99" s="65">
        <f>IFERROR(Table1215[[#This Row],[Points]]/Table1215[[#This Row],[GP]],"N/A")</f>
        <v>2.125</v>
      </c>
      <c r="H99" s="64">
        <f>COUNTIF(_xlfn.XLOOKUP(Table1215[[#This Row],[Name]],Table16[Name],Table16[[September 30, 2025]:[Column18]],,0,1),"&gt;=8")</f>
        <v>0</v>
      </c>
      <c r="I99" s="110" t="str">
        <f>IFERROR(AVERAGEIF(_xlfn.XLOOKUP(Table1215[[#This Row],[Name]],Table16[Name],Table16[[September 30, 2025]:[Column18]],,0,1),"&gt;=8"),"N/A")</f>
        <v>N/A</v>
      </c>
      <c r="J99" s="66">
        <f>IFERROR(Table1215[[#This Row],[FTA]]/Table1215[[#This Row],[GP]],"N/A")</f>
        <v>0</v>
      </c>
      <c r="K99" s="67">
        <f>COUNTIF(_xlfn.XLOOKUP(Table1215[[#This Row],[Name]],Table16[Name],Table16[[September 30, 2025]:[Column18]],,0,1),"&gt;=15")</f>
        <v>0</v>
      </c>
    </row>
    <row r="100" spans="1:11">
      <c r="A100" s="69"/>
      <c r="B100" s="82">
        <f>INDEX(AllTime1[All-time rank], MATCH(SMALL(AllTime1[Helper], ROW(Structures!$G95)), AllTime1[Helper], 0))</f>
        <v>93</v>
      </c>
      <c r="C100" s="64" t="str">
        <f>TEXT(INDEX(AllTime1[Name], MATCH(SMALL(AllTime1[Helper], ROW(Structures!$G95)), AllTime1[Helper], 0)),"@")</f>
        <v>Shayan Ahmed</v>
      </c>
      <c r="D100" s="64">
        <f>INDEX(AllTime1[All-time score], MATCH(LARGE(AllTime1[Helper2], ROW(Structures!$G95)), AllTime1[Helper2], 0))</f>
        <v>17</v>
      </c>
      <c r="E100" s="64">
        <f>COUNTIF(_xlfn.XLOOKUP(Table1215[[#This Row],[Name]],Table16[Name],Table16[[September 30, 2025]:[Column18]],,0,1),"&gt;=0")</f>
        <v>4</v>
      </c>
      <c r="F100" s="109">
        <f>_xlfn.XLOOKUP(Table1215[[#This Row],[Name]],Table1624[Name],Table1624[Totals],,0,1)</f>
        <v>0.30625000000000002</v>
      </c>
      <c r="G100" s="65">
        <f>IFERROR(Table1215[[#This Row],[Points]]/Table1215[[#This Row],[GP]],"N/A")</f>
        <v>4.25</v>
      </c>
      <c r="H100" s="64">
        <f>COUNTIF(_xlfn.XLOOKUP(Table1215[[#This Row],[Name]],Table16[Name],Table16[[September 30, 2025]:[Column18]],,0,1),"&gt;=8")</f>
        <v>1</v>
      </c>
      <c r="I100" s="110">
        <f>IFERROR(AVERAGEIF(_xlfn.XLOOKUP(Table1215[[#This Row],[Name]],Table16[Name],Table16[[September 30, 2025]:[Column18]],,0,1),"&gt;=8"),"N/A")</f>
        <v>10</v>
      </c>
      <c r="J100" s="66">
        <f>IFERROR(Table1215[[#This Row],[FTA]]/Table1215[[#This Row],[GP]],"N/A")</f>
        <v>0.25</v>
      </c>
      <c r="K100" s="67">
        <f>COUNTIF(_xlfn.XLOOKUP(Table1215[[#This Row],[Name]],Table16[Name],Table16[[September 30, 2025]:[Column18]],,0,1),"&gt;=15")</f>
        <v>0</v>
      </c>
    </row>
    <row r="101" spans="1:11">
      <c r="A101" s="69"/>
      <c r="B101" s="82">
        <f>INDEX(AllTime1[All-time rank], MATCH(SMALL(AllTime1[Helper], ROW(Structures!$G96)), AllTime1[Helper], 0))</f>
        <v>96</v>
      </c>
      <c r="C101" s="64" t="str">
        <f>TEXT(INDEX(AllTime1[Name], MATCH(SMALL(AllTime1[Helper], ROW(Structures!$G96)), AllTime1[Helper], 0)),"@")</f>
        <v>Rita Shweihat</v>
      </c>
      <c r="D101" s="64">
        <f>INDEX(AllTime1[All-time score], MATCH(LARGE(AllTime1[Helper2], ROW(Structures!$G96)), AllTime1[Helper2], 0))</f>
        <v>16</v>
      </c>
      <c r="E101" s="64">
        <f>COUNTIF(_xlfn.XLOOKUP(Table1215[[#This Row],[Name]],Table16[Name],Table16[[September 30, 2025]:[Column18]],,0,1),"&gt;=0")</f>
        <v>11</v>
      </c>
      <c r="F101" s="109">
        <f>_xlfn.XLOOKUP(Table1215[[#This Row],[Name]],Table1624[Name],Table1624[Totals],,0,1)</f>
        <v>0.54310000000000014</v>
      </c>
      <c r="G101" s="65">
        <f>IFERROR(Table1215[[#This Row],[Points]]/Table1215[[#This Row],[GP]],"N/A")</f>
        <v>1.4545454545454546</v>
      </c>
      <c r="H101" s="64">
        <f>COUNTIF(_xlfn.XLOOKUP(Table1215[[#This Row],[Name]],Table16[Name],Table16[[September 30, 2025]:[Column18]],,0,1),"&gt;=8")</f>
        <v>0</v>
      </c>
      <c r="I101" s="110" t="str">
        <f>IFERROR(AVERAGEIF(_xlfn.XLOOKUP(Table1215[[#This Row],[Name]],Table16[Name],Table16[[September 30, 2025]:[Column18]],,0,1),"&gt;=8"),"N/A")</f>
        <v>N/A</v>
      </c>
      <c r="J101" s="66">
        <f>IFERROR(Table1215[[#This Row],[FTA]]/Table1215[[#This Row],[GP]],"N/A")</f>
        <v>0</v>
      </c>
      <c r="K101" s="67">
        <f>COUNTIF(_xlfn.XLOOKUP(Table1215[[#This Row],[Name]],Table16[Name],Table16[[September 30, 2025]:[Column18]],,0,1),"&gt;=15")</f>
        <v>0</v>
      </c>
    </row>
    <row r="102" spans="1:11">
      <c r="A102" s="69"/>
      <c r="B102" s="82">
        <f>INDEX(AllTime1[All-time rank], MATCH(SMALL(AllTime1[Helper], ROW(Structures!$G97)), AllTime1[Helper], 0))</f>
        <v>96</v>
      </c>
      <c r="C102" s="64" t="str">
        <f>TEXT(INDEX(AllTime1[Name], MATCH(SMALL(AllTime1[Helper], ROW(Structures!$G97)), AllTime1[Helper], 0)),"@")</f>
        <v>Benjamin Zheng</v>
      </c>
      <c r="D102" s="64">
        <f>INDEX(AllTime1[All-time score], MATCH(LARGE(AllTime1[Helper2], ROW(Structures!$G97)), AllTime1[Helper2], 0))</f>
        <v>16</v>
      </c>
      <c r="E102" s="64">
        <f>COUNTIF(_xlfn.XLOOKUP(Table1215[[#This Row],[Name]],Table16[Name],Table16[[September 30, 2025]:[Column18]],,0,1),"&gt;=0")</f>
        <v>6</v>
      </c>
      <c r="F102" s="109">
        <f>_xlfn.XLOOKUP(Table1215[[#This Row],[Name]],Table1624[Name],Table1624[Totals],,0,1)</f>
        <v>0.40633333333333338</v>
      </c>
      <c r="G102" s="65">
        <f>IFERROR(Table1215[[#This Row],[Points]]/Table1215[[#This Row],[GP]],"N/A")</f>
        <v>2.6666666666666665</v>
      </c>
      <c r="H102" s="64">
        <f>COUNTIF(_xlfn.XLOOKUP(Table1215[[#This Row],[Name]],Table16[Name],Table16[[September 30, 2025]:[Column18]],,0,1),"&gt;=8")</f>
        <v>1</v>
      </c>
      <c r="I102" s="110">
        <f>IFERROR(AVERAGEIF(_xlfn.XLOOKUP(Table1215[[#This Row],[Name]],Table16[Name],Table16[[September 30, 2025]:[Column18]],,0,1),"&gt;=8"),"N/A")</f>
        <v>8</v>
      </c>
      <c r="J102" s="66">
        <f>IFERROR(Table1215[[#This Row],[FTA]]/Table1215[[#This Row],[GP]],"N/A")</f>
        <v>0.16666666666666666</v>
      </c>
      <c r="K102" s="67">
        <f>COUNTIF(_xlfn.XLOOKUP(Table1215[[#This Row],[Name]],Table16[Name],Table16[[September 30, 2025]:[Column18]],,0,1),"&gt;=15")</f>
        <v>0</v>
      </c>
    </row>
    <row r="103" spans="1:11">
      <c r="A103" s="69"/>
      <c r="B103" s="82">
        <f>INDEX(AllTime1[All-time rank], MATCH(SMALL(AllTime1[Helper], ROW(Structures!$G98)), AllTime1[Helper], 0))</f>
        <v>96</v>
      </c>
      <c r="C103" s="64" t="str">
        <f>TEXT(INDEX(AllTime1[Name], MATCH(SMALL(AllTime1[Helper], ROW(Structures!$G98)), AllTime1[Helper], 0)),"@")</f>
        <v>Gary Chung</v>
      </c>
      <c r="D103" s="64">
        <f>INDEX(AllTime1[All-time score], MATCH(LARGE(AllTime1[Helper2], ROW(Structures!$G98)), AllTime1[Helper2], 0))</f>
        <v>16</v>
      </c>
      <c r="E103" s="64">
        <f>COUNTIF(_xlfn.XLOOKUP(Table1215[[#This Row],[Name]],Table16[Name],Table16[[September 30, 2025]:[Column18]],,0,1),"&gt;=0")</f>
        <v>3</v>
      </c>
      <c r="F103" s="109">
        <f>_xlfn.XLOOKUP(Table1215[[#This Row],[Name]],Table1624[Name],Table1624[Totals],,0,1)</f>
        <v>0.36133333333333334</v>
      </c>
      <c r="G103" s="65">
        <f>IFERROR(Table1215[[#This Row],[Points]]/Table1215[[#This Row],[GP]],"N/A")</f>
        <v>5.333333333333333</v>
      </c>
      <c r="H103" s="64">
        <f>COUNTIF(_xlfn.XLOOKUP(Table1215[[#This Row],[Name]],Table16[Name],Table16[[September 30, 2025]:[Column18]],,0,1),"&gt;=8")</f>
        <v>1</v>
      </c>
      <c r="I103" s="110">
        <f>IFERROR(AVERAGEIF(_xlfn.XLOOKUP(Table1215[[#This Row],[Name]],Table16[Name],Table16[[September 30, 2025]:[Column18]],,0,1),"&gt;=8"),"N/A")</f>
        <v>10</v>
      </c>
      <c r="J103" s="66">
        <f>IFERROR(Table1215[[#This Row],[FTA]]/Table1215[[#This Row],[GP]],"N/A")</f>
        <v>0.33333333333333331</v>
      </c>
      <c r="K103" s="67">
        <f>COUNTIF(_xlfn.XLOOKUP(Table1215[[#This Row],[Name]],Table16[Name],Table16[[September 30, 2025]:[Column18]],,0,1),"&gt;=15")</f>
        <v>0</v>
      </c>
    </row>
    <row r="104" spans="1:11">
      <c r="A104" s="69"/>
      <c r="B104" s="82">
        <f>INDEX(AllTime1[All-time rank], MATCH(SMALL(AllTime1[Helper], ROW(Structures!$G99)), AllTime1[Helper], 0))</f>
        <v>96</v>
      </c>
      <c r="C104" s="64" t="str">
        <f>TEXT(INDEX(AllTime1[Name], MATCH(SMALL(AllTime1[Helper], ROW(Structures!$G99)), AllTime1[Helper], 0)),"@")</f>
        <v>Yan Xiang Zou</v>
      </c>
      <c r="D104" s="64">
        <f>INDEX(AllTime1[All-time score], MATCH(LARGE(AllTime1[Helper2], ROW(Structures!$G99)), AllTime1[Helper2], 0))</f>
        <v>16</v>
      </c>
      <c r="E104" s="64">
        <f>COUNTIF(_xlfn.XLOOKUP(Table1215[[#This Row],[Name]],Table16[Name],Table16[[September 30, 2025]:[Column18]],,0,1),"&gt;=0")</f>
        <v>5</v>
      </c>
      <c r="F104" s="109">
        <f>_xlfn.XLOOKUP(Table1215[[#This Row],[Name]],Table1624[Name],Table1624[Totals],,0,1)</f>
        <v>0.56925000000000003</v>
      </c>
      <c r="G104" s="65">
        <f>IFERROR(Table1215[[#This Row],[Points]]/Table1215[[#This Row],[GP]],"N/A")</f>
        <v>3.2</v>
      </c>
      <c r="H104" s="64">
        <f>COUNTIF(_xlfn.XLOOKUP(Table1215[[#This Row],[Name]],Table16[Name],Table16[[September 30, 2025]:[Column18]],,0,1),"&gt;=8")</f>
        <v>1</v>
      </c>
      <c r="I104" s="110">
        <f>IFERROR(AVERAGEIF(_xlfn.XLOOKUP(Table1215[[#This Row],[Name]],Table16[Name],Table16[[September 30, 2025]:[Column18]],,0,1),"&gt;=8"),"N/A")</f>
        <v>10</v>
      </c>
      <c r="J104" s="66">
        <f>IFERROR(Table1215[[#This Row],[FTA]]/Table1215[[#This Row],[GP]],"N/A")</f>
        <v>0.2</v>
      </c>
      <c r="K104" s="67">
        <f>COUNTIF(_xlfn.XLOOKUP(Table1215[[#This Row],[Name]],Table16[Name],Table16[[September 30, 2025]:[Column18]],,0,1),"&gt;=15")</f>
        <v>0</v>
      </c>
    </row>
    <row r="105" spans="1:11">
      <c r="A105" s="69"/>
      <c r="B105" s="82">
        <f>INDEX(AllTime1[All-time rank], MATCH(SMALL(AllTime1[Helper], ROW(Structures!$G100)), AllTime1[Helper], 0))</f>
        <v>100</v>
      </c>
      <c r="C105" s="64" t="str">
        <f>TEXT(INDEX(AllTime1[Name], MATCH(SMALL(AllTime1[Helper], ROW(Structures!$G100)), AllTime1[Helper], 0)),"@")</f>
        <v>Edward Dong</v>
      </c>
      <c r="D105" s="64">
        <f>INDEX(AllTime1[All-time score], MATCH(LARGE(AllTime1[Helper2], ROW(Structures!$G100)), AllTime1[Helper2], 0))</f>
        <v>15</v>
      </c>
      <c r="E105" s="64">
        <f>COUNTIF(_xlfn.XLOOKUP(Table1215[[#This Row],[Name]],Table16[Name],Table16[[September 30, 2025]:[Column18]],,0,1),"&gt;=0")</f>
        <v>7</v>
      </c>
      <c r="F105" s="109">
        <f>_xlfn.XLOOKUP(Table1215[[#This Row],[Name]],Table1624[Name],Table1624[Totals],,0,1)</f>
        <v>0.39071428571428574</v>
      </c>
      <c r="G105" s="65">
        <f>IFERROR(Table1215[[#This Row],[Points]]/Table1215[[#This Row],[GP]],"N/A")</f>
        <v>2.1428571428571428</v>
      </c>
      <c r="H105" s="64">
        <f>COUNTIF(_xlfn.XLOOKUP(Table1215[[#This Row],[Name]],Table16[Name],Table16[[September 30, 2025]:[Column18]],,0,1),"&gt;=8")</f>
        <v>0</v>
      </c>
      <c r="I105" s="110" t="str">
        <f>IFERROR(AVERAGEIF(_xlfn.XLOOKUP(Table1215[[#This Row],[Name]],Table16[Name],Table16[[September 30, 2025]:[Column18]],,0,1),"&gt;=8"),"N/A")</f>
        <v>N/A</v>
      </c>
      <c r="J105" s="66">
        <f>IFERROR(Table1215[[#This Row],[FTA]]/Table1215[[#This Row],[GP]],"N/A")</f>
        <v>0</v>
      </c>
      <c r="K105" s="67">
        <f>COUNTIF(_xlfn.XLOOKUP(Table1215[[#This Row],[Name]],Table16[Name],Table16[[September 30, 2025]:[Column18]],,0,1),"&gt;=15")</f>
        <v>0</v>
      </c>
    </row>
    <row r="106" spans="1:11">
      <c r="A106" s="69"/>
      <c r="B106" s="82">
        <f>INDEX(AllTime1[All-time rank], MATCH(SMALL(AllTime1[Helper], ROW(Structures!$G101)), AllTime1[Helper], 0))</f>
        <v>100</v>
      </c>
      <c r="C106" s="64" t="str">
        <f>TEXT(INDEX(AllTime1[Name], MATCH(SMALL(AllTime1[Helper], ROW(Structures!$G101)), AllTime1[Helper], 0)),"@")</f>
        <v>Carson Cull</v>
      </c>
      <c r="D106" s="64">
        <f>INDEX(AllTime1[All-time score], MATCH(LARGE(AllTime1[Helper2], ROW(Structures!$G101)), AllTime1[Helper2], 0))</f>
        <v>15</v>
      </c>
      <c r="E106" s="64">
        <f>COUNTIF(_xlfn.XLOOKUP(Table1215[[#This Row],[Name]],Table16[Name],Table16[[September 30, 2025]:[Column18]],,0,1),"&gt;=0")</f>
        <v>8</v>
      </c>
      <c r="F106" s="109">
        <f>_xlfn.XLOOKUP(Table1215[[#This Row],[Name]],Table1624[Name],Table1624[Totals],,0,1)</f>
        <v>0.46485714285714286</v>
      </c>
      <c r="G106" s="65">
        <f>IFERROR(Table1215[[#This Row],[Points]]/Table1215[[#This Row],[GP]],"N/A")</f>
        <v>1.875</v>
      </c>
      <c r="H106" s="64">
        <f>COUNTIF(_xlfn.XLOOKUP(Table1215[[#This Row],[Name]],Table16[Name],Table16[[September 30, 2025]:[Column18]],,0,1),"&gt;=8")</f>
        <v>0</v>
      </c>
      <c r="I106" s="110" t="str">
        <f>IFERROR(AVERAGEIF(_xlfn.XLOOKUP(Table1215[[#This Row],[Name]],Table16[Name],Table16[[September 30, 2025]:[Column18]],,0,1),"&gt;=8"),"N/A")</f>
        <v>N/A</v>
      </c>
      <c r="J106" s="66">
        <f>IFERROR(Table1215[[#This Row],[FTA]]/Table1215[[#This Row],[GP]],"N/A")</f>
        <v>0</v>
      </c>
      <c r="K106" s="67">
        <f>COUNTIF(_xlfn.XLOOKUP(Table1215[[#This Row],[Name]],Table16[Name],Table16[[September 30, 2025]:[Column18]],,0,1),"&gt;=15")</f>
        <v>0</v>
      </c>
    </row>
    <row r="107" spans="1:11">
      <c r="A107" s="69"/>
      <c r="B107" s="82">
        <f>INDEX(AllTime1[All-time rank], MATCH(SMALL(AllTime1[Helper], ROW(Structures!$G102)), AllTime1[Helper], 0))</f>
        <v>100</v>
      </c>
      <c r="C107" s="64" t="str">
        <f>TEXT(INDEX(AllTime1[Name], MATCH(SMALL(AllTime1[Helper], ROW(Structures!$G102)), AllTime1[Helper], 0)),"@")</f>
        <v>Jinglang Sun</v>
      </c>
      <c r="D107" s="64">
        <f>INDEX(AllTime1[All-time score], MATCH(LARGE(AllTime1[Helper2], ROW(Structures!$G102)), AllTime1[Helper2], 0))</f>
        <v>15</v>
      </c>
      <c r="E107" s="64">
        <f>COUNTIF(_xlfn.XLOOKUP(Table1215[[#This Row],[Name]],Table16[Name],Table16[[September 30, 2025]:[Column18]],,0,1),"&gt;=0")</f>
        <v>3</v>
      </c>
      <c r="F107" s="109">
        <f>_xlfn.XLOOKUP(Table1215[[#This Row],[Name]],Table1624[Name],Table1624[Totals],,0,1)</f>
        <v>0.36600000000000005</v>
      </c>
      <c r="G107" s="65">
        <f>IFERROR(Table1215[[#This Row],[Points]]/Table1215[[#This Row],[GP]],"N/A")</f>
        <v>5</v>
      </c>
      <c r="H107" s="64">
        <f>COUNTIF(_xlfn.XLOOKUP(Table1215[[#This Row],[Name]],Table16[Name],Table16[[September 30, 2025]:[Column18]],,0,1),"&gt;=8")</f>
        <v>1</v>
      </c>
      <c r="I107" s="110">
        <f>IFERROR(AVERAGEIF(_xlfn.XLOOKUP(Table1215[[#This Row],[Name]],Table16[Name],Table16[[September 30, 2025]:[Column18]],,0,1),"&gt;=8"),"N/A")</f>
        <v>10</v>
      </c>
      <c r="J107" s="66">
        <f>IFERROR(Table1215[[#This Row],[FTA]]/Table1215[[#This Row],[GP]],"N/A")</f>
        <v>0.33333333333333331</v>
      </c>
      <c r="K107" s="67">
        <f>COUNTIF(_xlfn.XLOOKUP(Table1215[[#This Row],[Name]],Table16[Name],Table16[[September 30, 2025]:[Column18]],,0,1),"&gt;=15")</f>
        <v>0</v>
      </c>
    </row>
    <row r="108" spans="1:11">
      <c r="A108" s="69"/>
      <c r="B108" s="82">
        <f>INDEX(AllTime1[All-time rank], MATCH(SMALL(AllTime1[Helper], ROW(Structures!$G103)), AllTime1[Helper], 0))</f>
        <v>100</v>
      </c>
      <c r="C108" s="64" t="str">
        <f>TEXT(INDEX(AllTime1[Name], MATCH(SMALL(AllTime1[Helper], ROW(Structures!$G103)), AllTime1[Helper], 0)),"@")</f>
        <v>Matthew Nazaruk</v>
      </c>
      <c r="D108" s="64">
        <f>INDEX(AllTime1[All-time score], MATCH(LARGE(AllTime1[Helper2], ROW(Structures!$G103)), AllTime1[Helper2], 0))</f>
        <v>15</v>
      </c>
      <c r="E108" s="64">
        <f>COUNTIF(_xlfn.XLOOKUP(Table1215[[#This Row],[Name]],Table16[Name],Table16[[September 30, 2025]:[Column18]],,0,1),"&gt;=0")</f>
        <v>8</v>
      </c>
      <c r="F108" s="109">
        <f>_xlfn.XLOOKUP(Table1215[[#This Row],[Name]],Table1624[Name],Table1624[Totals],,0,1)</f>
        <v>0.50262499999999999</v>
      </c>
      <c r="G108" s="65">
        <f>IFERROR(Table1215[[#This Row],[Points]]/Table1215[[#This Row],[GP]],"N/A")</f>
        <v>1.875</v>
      </c>
      <c r="H108" s="64">
        <f>COUNTIF(_xlfn.XLOOKUP(Table1215[[#This Row],[Name]],Table16[Name],Table16[[September 30, 2025]:[Column18]],,0,1),"&gt;=8")</f>
        <v>0</v>
      </c>
      <c r="I108" s="110" t="str">
        <f>IFERROR(AVERAGEIF(_xlfn.XLOOKUP(Table1215[[#This Row],[Name]],Table16[Name],Table16[[September 30, 2025]:[Column18]],,0,1),"&gt;=8"),"N/A")</f>
        <v>N/A</v>
      </c>
      <c r="J108" s="66">
        <f>IFERROR(Table1215[[#This Row],[FTA]]/Table1215[[#This Row],[GP]],"N/A")</f>
        <v>0</v>
      </c>
      <c r="K108" s="67">
        <f>COUNTIF(_xlfn.XLOOKUP(Table1215[[#This Row],[Name]],Table16[Name],Table16[[September 30, 2025]:[Column18]],,0,1),"&gt;=15")</f>
        <v>0</v>
      </c>
    </row>
    <row r="109" spans="1:11">
      <c r="A109" s="69"/>
      <c r="B109" s="82">
        <f>INDEX(AllTime1[All-time rank], MATCH(SMALL(AllTime1[Helper], ROW(Structures!$G104)), AllTime1[Helper], 0))</f>
        <v>100</v>
      </c>
      <c r="C109" s="64" t="str">
        <f>TEXT(INDEX(AllTime1[Name], MATCH(SMALL(AllTime1[Helper], ROW(Structures!$G104)), AllTime1[Helper], 0)),"@")</f>
        <v>Matthew Choi</v>
      </c>
      <c r="D109" s="64">
        <f>INDEX(AllTime1[All-time score], MATCH(LARGE(AllTime1[Helper2], ROW(Structures!$G104)), AllTime1[Helper2], 0))</f>
        <v>15</v>
      </c>
      <c r="E109" s="64">
        <f>COUNTIF(_xlfn.XLOOKUP(Table1215[[#This Row],[Name]],Table16[Name],Table16[[September 30, 2025]:[Column18]],,0,1),"&gt;=0")</f>
        <v>1</v>
      </c>
      <c r="F109" s="109" t="str">
        <f>_xlfn.XLOOKUP(Table1215[[#This Row],[Name]],Table1624[Name],Table1624[Totals],,0,1)</f>
        <v>N/A</v>
      </c>
      <c r="G109" s="65">
        <f>IFERROR(Table1215[[#This Row],[Points]]/Table1215[[#This Row],[GP]],"N/A")</f>
        <v>15</v>
      </c>
      <c r="H109" s="64">
        <f>COUNTIF(_xlfn.XLOOKUP(Table1215[[#This Row],[Name]],Table16[Name],Table16[[September 30, 2025]:[Column18]],,0,1),"&gt;=8")</f>
        <v>1</v>
      </c>
      <c r="I109" s="110">
        <f>IFERROR(AVERAGEIF(_xlfn.XLOOKUP(Table1215[[#This Row],[Name]],Table16[Name],Table16[[September 30, 2025]:[Column18]],,0,1),"&gt;=8"),"N/A")</f>
        <v>15</v>
      </c>
      <c r="J109" s="66">
        <f>IFERROR(Table1215[[#This Row],[FTA]]/Table1215[[#This Row],[GP]],"N/A")</f>
        <v>1</v>
      </c>
      <c r="K109" s="67">
        <f>COUNTIF(_xlfn.XLOOKUP(Table1215[[#This Row],[Name]],Table16[Name],Table16[[September 30, 2025]:[Column18]],,0,1),"&gt;=15")</f>
        <v>1</v>
      </c>
    </row>
    <row r="110" spans="1:11">
      <c r="A110" s="69"/>
      <c r="B110" s="82">
        <f>INDEX(AllTime1[All-time rank], MATCH(SMALL(AllTime1[Helper], ROW(Structures!$G105)), AllTime1[Helper], 0))</f>
        <v>100</v>
      </c>
      <c r="C110" s="64" t="str">
        <f>TEXT(INDEX(AllTime1[Name], MATCH(SMALL(AllTime1[Helper], ROW(Structures!$G105)), AllTime1[Helper], 0)),"@")</f>
        <v>Samuel Lu</v>
      </c>
      <c r="D110" s="64">
        <f>INDEX(AllTime1[All-time score], MATCH(LARGE(AllTime1[Helper2], ROW(Structures!$G105)), AllTime1[Helper2], 0))</f>
        <v>15</v>
      </c>
      <c r="E110" s="64">
        <f>COUNTIF(_xlfn.XLOOKUP(Table1215[[#This Row],[Name]],Table16[Name],Table16[[September 30, 2025]:[Column18]],,0,1),"&gt;=0")</f>
        <v>8</v>
      </c>
      <c r="F110" s="109">
        <f>_xlfn.XLOOKUP(Table1215[[#This Row],[Name]],Table1624[Name],Table1624[Totals],,0,1)</f>
        <v>0.58128571428571441</v>
      </c>
      <c r="G110" s="65">
        <f>IFERROR(Table1215[[#This Row],[Points]]/Table1215[[#This Row],[GP]],"N/A")</f>
        <v>1.875</v>
      </c>
      <c r="H110" s="64">
        <f>COUNTIF(_xlfn.XLOOKUP(Table1215[[#This Row],[Name]],Table16[Name],Table16[[September 30, 2025]:[Column18]],,0,1),"&gt;=8")</f>
        <v>0</v>
      </c>
      <c r="I110" s="110" t="str">
        <f>IFERROR(AVERAGEIF(_xlfn.XLOOKUP(Table1215[[#This Row],[Name]],Table16[Name],Table16[[September 30, 2025]:[Column18]],,0,1),"&gt;=8"),"N/A")</f>
        <v>N/A</v>
      </c>
      <c r="J110" s="66">
        <f>IFERROR(Table1215[[#This Row],[FTA]]/Table1215[[#This Row],[GP]],"N/A")</f>
        <v>0</v>
      </c>
      <c r="K110" s="67">
        <f>COUNTIF(_xlfn.XLOOKUP(Table1215[[#This Row],[Name]],Table16[Name],Table16[[September 30, 2025]:[Column18]],,0,1),"&gt;=15")</f>
        <v>0</v>
      </c>
    </row>
    <row r="111" spans="1:11">
      <c r="A111" s="69"/>
      <c r="B111" s="82">
        <f>INDEX(AllTime1[All-time rank], MATCH(SMALL(AllTime1[Helper], ROW(Structures!$G106)), AllTime1[Helper], 0))</f>
        <v>100</v>
      </c>
      <c r="C111" s="64" t="str">
        <f>TEXT(INDEX(AllTime1[Name], MATCH(SMALL(AllTime1[Helper], ROW(Structures!$G106)), AllTime1[Helper], 0)),"@")</f>
        <v>Timothy  Yeung</v>
      </c>
      <c r="D111" s="64">
        <f>INDEX(AllTime1[All-time score], MATCH(LARGE(AllTime1[Helper2], ROW(Structures!$G106)), AllTime1[Helper2], 0))</f>
        <v>15</v>
      </c>
      <c r="E111" s="64">
        <f>COUNTIF(_xlfn.XLOOKUP(Table1215[[#This Row],[Name]],Table16[Name],Table16[[September 30, 2025]:[Column18]],,0,1),"&gt;=0")</f>
        <v>5</v>
      </c>
      <c r="F111" s="109">
        <f>_xlfn.XLOOKUP(Table1215[[#This Row],[Name]],Table1624[Name],Table1624[Totals],,0,1)</f>
        <v>0.26900000000000002</v>
      </c>
      <c r="G111" s="65">
        <f>IFERROR(Table1215[[#This Row],[Points]]/Table1215[[#This Row],[GP]],"N/A")</f>
        <v>3</v>
      </c>
      <c r="H111" s="64">
        <f>COUNTIF(_xlfn.XLOOKUP(Table1215[[#This Row],[Name]],Table16[Name],Table16[[September 30, 2025]:[Column18]],,0,1),"&gt;=8")</f>
        <v>1</v>
      </c>
      <c r="I111" s="110">
        <f>IFERROR(AVERAGEIF(_xlfn.XLOOKUP(Table1215[[#This Row],[Name]],Table16[Name],Table16[[September 30, 2025]:[Column18]],,0,1),"&gt;=8"),"N/A")</f>
        <v>8</v>
      </c>
      <c r="J111" s="66">
        <f>IFERROR(Table1215[[#This Row],[FTA]]/Table1215[[#This Row],[GP]],"N/A")</f>
        <v>0.2</v>
      </c>
      <c r="K111" s="67">
        <f>COUNTIF(_xlfn.XLOOKUP(Table1215[[#This Row],[Name]],Table16[Name],Table16[[September 30, 2025]:[Column18]],,0,1),"&gt;=15")</f>
        <v>0</v>
      </c>
    </row>
    <row r="112" spans="1:11">
      <c r="A112" s="69"/>
      <c r="B112" s="82">
        <f>INDEX(AllTime1[All-time rank], MATCH(SMALL(AllTime1[Helper], ROW(Structures!$G107)), AllTime1[Helper], 0))</f>
        <v>107</v>
      </c>
      <c r="C112" s="64" t="str">
        <f>TEXT(INDEX(AllTime1[Name], MATCH(SMALL(AllTime1[Helper], ROW(Structures!$G107)), AllTime1[Helper], 0)),"@")</f>
        <v>Darren Poku</v>
      </c>
      <c r="D112" s="64">
        <f>INDEX(AllTime1[All-time score], MATCH(LARGE(AllTime1[Helper2], ROW(Structures!$G107)), AllTime1[Helper2], 0))</f>
        <v>14</v>
      </c>
      <c r="E112" s="64">
        <f>COUNTIF(_xlfn.XLOOKUP(Table1215[[#This Row],[Name]],Table16[Name],Table16[[September 30, 2025]:[Column18]],,0,1),"&gt;=0")</f>
        <v>4</v>
      </c>
      <c r="F112" s="109">
        <f>_xlfn.XLOOKUP(Table1215[[#This Row],[Name]],Table1624[Name],Table1624[Totals],,0,1)</f>
        <v>0.39700000000000002</v>
      </c>
      <c r="G112" s="65">
        <f>IFERROR(Table1215[[#This Row],[Points]]/Table1215[[#This Row],[GP]],"N/A")</f>
        <v>3.5</v>
      </c>
      <c r="H112" s="64">
        <f>COUNTIF(_xlfn.XLOOKUP(Table1215[[#This Row],[Name]],Table16[Name],Table16[[September 30, 2025]:[Column18]],,0,1),"&gt;=8")</f>
        <v>1</v>
      </c>
      <c r="I112" s="110">
        <f>IFERROR(AVERAGEIF(_xlfn.XLOOKUP(Table1215[[#This Row],[Name]],Table16[Name],Table16[[September 30, 2025]:[Column18]],,0,1),"&gt;=8"),"N/A")</f>
        <v>10</v>
      </c>
      <c r="J112" s="66">
        <f>IFERROR(Table1215[[#This Row],[FTA]]/Table1215[[#This Row],[GP]],"N/A")</f>
        <v>0.25</v>
      </c>
      <c r="K112" s="67">
        <f>COUNTIF(_xlfn.XLOOKUP(Table1215[[#This Row],[Name]],Table16[Name],Table16[[September 30, 2025]:[Column18]],,0,1),"&gt;=15")</f>
        <v>0</v>
      </c>
    </row>
    <row r="113" spans="1:11">
      <c r="A113" s="69"/>
      <c r="B113" s="82">
        <f>INDEX(AllTime1[All-time rank], MATCH(SMALL(AllTime1[Helper], ROW(Structures!$G108)), AllTime1[Helper], 0))</f>
        <v>107</v>
      </c>
      <c r="C113" s="64" t="str">
        <f>TEXT(INDEX(AllTime1[Name], MATCH(SMALL(AllTime1[Helper], ROW(Structures!$G108)), AllTime1[Helper], 0)),"@")</f>
        <v>Forrest Hermary</v>
      </c>
      <c r="D113" s="64">
        <f>INDEX(AllTime1[All-time score], MATCH(LARGE(AllTime1[Helper2], ROW(Structures!$G108)), AllTime1[Helper2], 0))</f>
        <v>14</v>
      </c>
      <c r="E113" s="64">
        <f>COUNTIF(_xlfn.XLOOKUP(Table1215[[#This Row],[Name]],Table16[Name],Table16[[September 30, 2025]:[Column18]],,0,1),"&gt;=0")</f>
        <v>6</v>
      </c>
      <c r="F113" s="109">
        <f>_xlfn.XLOOKUP(Table1215[[#This Row],[Name]],Table1624[Name],Table1624[Totals],,0,1)</f>
        <v>0.58783333333333332</v>
      </c>
      <c r="G113" s="65">
        <f>IFERROR(Table1215[[#This Row],[Points]]/Table1215[[#This Row],[GP]],"N/A")</f>
        <v>2.3333333333333335</v>
      </c>
      <c r="H113" s="64">
        <f>COUNTIF(_xlfn.XLOOKUP(Table1215[[#This Row],[Name]],Table16[Name],Table16[[September 30, 2025]:[Column18]],,0,1),"&gt;=8")</f>
        <v>1</v>
      </c>
      <c r="I113" s="110">
        <f>IFERROR(AVERAGEIF(_xlfn.XLOOKUP(Table1215[[#This Row],[Name]],Table16[Name],Table16[[September 30, 2025]:[Column18]],,0,1),"&gt;=8"),"N/A")</f>
        <v>8</v>
      </c>
      <c r="J113" s="66">
        <f>IFERROR(Table1215[[#This Row],[FTA]]/Table1215[[#This Row],[GP]],"N/A")</f>
        <v>0.16666666666666666</v>
      </c>
      <c r="K113" s="67">
        <f>COUNTIF(_xlfn.XLOOKUP(Table1215[[#This Row],[Name]],Table16[Name],Table16[[September 30, 2025]:[Column18]],,0,1),"&gt;=15")</f>
        <v>0</v>
      </c>
    </row>
    <row r="114" spans="1:11">
      <c r="A114" s="69"/>
      <c r="B114" s="82">
        <f>INDEX(AllTime1[All-time rank], MATCH(SMALL(AllTime1[Helper], ROW(Structures!$G109)), AllTime1[Helper], 0))</f>
        <v>107</v>
      </c>
      <c r="C114" s="64" t="str">
        <f>TEXT(INDEX(AllTime1[Name], MATCH(SMALL(AllTime1[Helper], ROW(Structures!$G109)), AllTime1[Helper], 0)),"@")</f>
        <v>Oscar Chen</v>
      </c>
      <c r="D114" s="64">
        <f>INDEX(AllTime1[All-time score], MATCH(LARGE(AllTime1[Helper2], ROW(Structures!$G109)), AllTime1[Helper2], 0))</f>
        <v>14</v>
      </c>
      <c r="E114" s="64">
        <f>COUNTIF(_xlfn.XLOOKUP(Table1215[[#This Row],[Name]],Table16[Name],Table16[[September 30, 2025]:[Column18]],,0,1),"&gt;=0")</f>
        <v>9</v>
      </c>
      <c r="F114" s="109">
        <f>_xlfn.XLOOKUP(Table1215[[#This Row],[Name]],Table1624[Name],Table1624[Totals],,0,1)</f>
        <v>0.54937500000000006</v>
      </c>
      <c r="G114" s="65">
        <f>IFERROR(Table1215[[#This Row],[Points]]/Table1215[[#This Row],[GP]],"N/A")</f>
        <v>1.5555555555555556</v>
      </c>
      <c r="H114" s="64">
        <f>COUNTIF(_xlfn.XLOOKUP(Table1215[[#This Row],[Name]],Table16[Name],Table16[[September 30, 2025]:[Column18]],,0,1),"&gt;=8")</f>
        <v>0</v>
      </c>
      <c r="I114" s="110" t="str">
        <f>IFERROR(AVERAGEIF(_xlfn.XLOOKUP(Table1215[[#This Row],[Name]],Table16[Name],Table16[[September 30, 2025]:[Column18]],,0,1),"&gt;=8"),"N/A")</f>
        <v>N/A</v>
      </c>
      <c r="J114" s="66">
        <f>IFERROR(Table1215[[#This Row],[FTA]]/Table1215[[#This Row],[GP]],"N/A")</f>
        <v>0</v>
      </c>
      <c r="K114" s="67">
        <f>COUNTIF(_xlfn.XLOOKUP(Table1215[[#This Row],[Name]],Table16[Name],Table16[[September 30, 2025]:[Column18]],,0,1),"&gt;=15")</f>
        <v>0</v>
      </c>
    </row>
    <row r="115" spans="1:11">
      <c r="A115" s="69"/>
      <c r="B115" s="82">
        <f>INDEX(AllTime1[All-time rank], MATCH(SMALL(AllTime1[Helper], ROW(Structures!$G110)), AllTime1[Helper], 0))</f>
        <v>107</v>
      </c>
      <c r="C115" s="64" t="str">
        <f>TEXT(INDEX(AllTime1[Name], MATCH(SMALL(AllTime1[Helper], ROW(Structures!$G110)), AllTime1[Helper], 0)),"@")</f>
        <v>Aaron Ye</v>
      </c>
      <c r="D115" s="64">
        <f>INDEX(AllTime1[All-time score], MATCH(LARGE(AllTime1[Helper2], ROW(Structures!$G110)), AllTime1[Helper2], 0))</f>
        <v>14</v>
      </c>
      <c r="E115" s="64">
        <f>COUNTIF(_xlfn.XLOOKUP(Table1215[[#This Row],[Name]],Table16[Name],Table16[[September 30, 2025]:[Column18]],,0,1),"&gt;=0")</f>
        <v>6</v>
      </c>
      <c r="F115" s="109">
        <f>_xlfn.XLOOKUP(Table1215[[#This Row],[Name]],Table1624[Name],Table1624[Totals],,0,1)</f>
        <v>0.49766666666666665</v>
      </c>
      <c r="G115" s="65">
        <f>IFERROR(Table1215[[#This Row],[Points]]/Table1215[[#This Row],[GP]],"N/A")</f>
        <v>2.3333333333333335</v>
      </c>
      <c r="H115" s="64">
        <f>COUNTIF(_xlfn.XLOOKUP(Table1215[[#This Row],[Name]],Table16[Name],Table16[[September 30, 2025]:[Column18]],,0,1),"&gt;=8")</f>
        <v>0</v>
      </c>
      <c r="I115" s="110" t="str">
        <f>IFERROR(AVERAGEIF(_xlfn.XLOOKUP(Table1215[[#This Row],[Name]],Table16[Name],Table16[[September 30, 2025]:[Column18]],,0,1),"&gt;=8"),"N/A")</f>
        <v>N/A</v>
      </c>
      <c r="J115" s="66">
        <f>IFERROR(Table1215[[#This Row],[FTA]]/Table1215[[#This Row],[GP]],"N/A")</f>
        <v>0</v>
      </c>
      <c r="K115" s="67">
        <f>COUNTIF(_xlfn.XLOOKUP(Table1215[[#This Row],[Name]],Table16[Name],Table16[[September 30, 2025]:[Column18]],,0,1),"&gt;=15")</f>
        <v>0</v>
      </c>
    </row>
    <row r="116" spans="1:11">
      <c r="A116" s="69"/>
      <c r="B116" s="82">
        <f>INDEX(AllTime1[All-time rank], MATCH(SMALL(AllTime1[Helper], ROW(Structures!$G111)), AllTime1[Helper], 0))</f>
        <v>107</v>
      </c>
      <c r="C116" s="64" t="str">
        <f>TEXT(INDEX(AllTime1[Name], MATCH(SMALL(AllTime1[Helper], ROW(Structures!$G111)), AllTime1[Helper], 0)),"@")</f>
        <v>Nikola Dora</v>
      </c>
      <c r="D116" s="64">
        <f>INDEX(AllTime1[All-time score], MATCH(LARGE(AllTime1[Helper2], ROW(Structures!$G111)), AllTime1[Helper2], 0))</f>
        <v>14</v>
      </c>
      <c r="E116" s="64">
        <f>COUNTIF(_xlfn.XLOOKUP(Table1215[[#This Row],[Name]],Table16[Name],Table16[[September 30, 2025]:[Column18]],,0,1),"&gt;=0")</f>
        <v>3</v>
      </c>
      <c r="F116" s="109">
        <f>_xlfn.XLOOKUP(Table1215[[#This Row],[Name]],Table1624[Name],Table1624[Totals],,0,1)</f>
        <v>0.22533333333333336</v>
      </c>
      <c r="G116" s="65">
        <f>IFERROR(Table1215[[#This Row],[Points]]/Table1215[[#This Row],[GP]],"N/A")</f>
        <v>4.666666666666667</v>
      </c>
      <c r="H116" s="64">
        <f>COUNTIF(_xlfn.XLOOKUP(Table1215[[#This Row],[Name]],Table16[Name],Table16[[September 30, 2025]:[Column18]],,0,1),"&gt;=8")</f>
        <v>1</v>
      </c>
      <c r="I116" s="110">
        <f>IFERROR(AVERAGEIF(_xlfn.XLOOKUP(Table1215[[#This Row],[Name]],Table16[Name],Table16[[September 30, 2025]:[Column18]],,0,1),"&gt;=8"),"N/A")</f>
        <v>10</v>
      </c>
      <c r="J116" s="66">
        <f>IFERROR(Table1215[[#This Row],[FTA]]/Table1215[[#This Row],[GP]],"N/A")</f>
        <v>0.33333333333333331</v>
      </c>
      <c r="K116" s="67">
        <f>COUNTIF(_xlfn.XLOOKUP(Table1215[[#This Row],[Name]],Table16[Name],Table16[[September 30, 2025]:[Column18]],,0,1),"&gt;=15")</f>
        <v>0</v>
      </c>
    </row>
    <row r="117" spans="1:11">
      <c r="A117" s="69"/>
      <c r="B117" s="82">
        <f>INDEX(AllTime1[All-time rank], MATCH(SMALL(AllTime1[Helper], ROW(Structures!$G112)), AllTime1[Helper], 0))</f>
        <v>107</v>
      </c>
      <c r="C117" s="64" t="str">
        <f>TEXT(INDEX(AllTime1[Name], MATCH(SMALL(AllTime1[Helper], ROW(Structures!$G112)), AllTime1[Helper], 0)),"@")</f>
        <v>Sarmad Siddiqui</v>
      </c>
      <c r="D117" s="64">
        <f>INDEX(AllTime1[All-time score], MATCH(LARGE(AllTime1[Helper2], ROW(Structures!$G112)), AllTime1[Helper2], 0))</f>
        <v>14</v>
      </c>
      <c r="E117" s="64">
        <f>COUNTIF(_xlfn.XLOOKUP(Table1215[[#This Row],[Name]],Table16[Name],Table16[[September 30, 2025]:[Column18]],,0,1),"&gt;=0")</f>
        <v>2</v>
      </c>
      <c r="F117" s="109">
        <f>_xlfn.XLOOKUP(Table1215[[#This Row],[Name]],Table1624[Name],Table1624[Totals],,0,1)</f>
        <v>8.0500000000000002E-2</v>
      </c>
      <c r="G117" s="65">
        <f>IFERROR(Table1215[[#This Row],[Points]]/Table1215[[#This Row],[GP]],"N/A")</f>
        <v>7</v>
      </c>
      <c r="H117" s="64">
        <f>COUNTIF(_xlfn.XLOOKUP(Table1215[[#This Row],[Name]],Table16[Name],Table16[[September 30, 2025]:[Column18]],,0,1),"&gt;=8")</f>
        <v>1</v>
      </c>
      <c r="I117" s="110">
        <f>IFERROR(AVERAGEIF(_xlfn.XLOOKUP(Table1215[[#This Row],[Name]],Table16[Name],Table16[[September 30, 2025]:[Column18]],,0,1),"&gt;=8"),"N/A")</f>
        <v>10</v>
      </c>
      <c r="J117" s="66">
        <f>IFERROR(Table1215[[#This Row],[FTA]]/Table1215[[#This Row],[GP]],"N/A")</f>
        <v>0.5</v>
      </c>
      <c r="K117" s="67">
        <f>COUNTIF(_xlfn.XLOOKUP(Table1215[[#This Row],[Name]],Table16[Name],Table16[[September 30, 2025]:[Column18]],,0,1),"&gt;=15")</f>
        <v>0</v>
      </c>
    </row>
    <row r="118" spans="1:11">
      <c r="A118" s="69"/>
      <c r="B118" s="82">
        <f>INDEX(AllTime1[All-time rank], MATCH(SMALL(AllTime1[Helper], ROW(Structures!$G113)), AllTime1[Helper], 0))</f>
        <v>113</v>
      </c>
      <c r="C118" s="64" t="str">
        <f>TEXT(INDEX(AllTime1[Name], MATCH(SMALL(AllTime1[Helper], ROW(Structures!$G113)), AllTime1[Helper], 0)),"@")</f>
        <v>Tyler Mah</v>
      </c>
      <c r="D118" s="64">
        <f>INDEX(AllTime1[All-time score], MATCH(LARGE(AllTime1[Helper2], ROW(Structures!$G113)), AllTime1[Helper2], 0))</f>
        <v>13</v>
      </c>
      <c r="E118" s="64">
        <f>COUNTIF(_xlfn.XLOOKUP(Table1215[[#This Row],[Name]],Table16[Name],Table16[[September 30, 2025]:[Column18]],,0,1),"&gt;=0")</f>
        <v>4</v>
      </c>
      <c r="F118" s="109">
        <f>_xlfn.XLOOKUP(Table1215[[#This Row],[Name]],Table1624[Name],Table1624[Totals],,0,1)</f>
        <v>0.65800000000000003</v>
      </c>
      <c r="G118" s="65">
        <f>IFERROR(Table1215[[#This Row],[Points]]/Table1215[[#This Row],[GP]],"N/A")</f>
        <v>3.25</v>
      </c>
      <c r="H118" s="64">
        <f>COUNTIF(_xlfn.XLOOKUP(Table1215[[#This Row],[Name]],Table16[Name],Table16[[September 30, 2025]:[Column18]],,0,1),"&gt;=8")</f>
        <v>1</v>
      </c>
      <c r="I118" s="110">
        <f>IFERROR(AVERAGEIF(_xlfn.XLOOKUP(Table1215[[#This Row],[Name]],Table16[Name],Table16[[September 30, 2025]:[Column18]],,0,1),"&gt;=8"),"N/A")</f>
        <v>10</v>
      </c>
      <c r="J118" s="66">
        <f>IFERROR(Table1215[[#This Row],[FTA]]/Table1215[[#This Row],[GP]],"N/A")</f>
        <v>0.25</v>
      </c>
      <c r="K118" s="67">
        <f>COUNTIF(_xlfn.XLOOKUP(Table1215[[#This Row],[Name]],Table16[Name],Table16[[September 30, 2025]:[Column18]],,0,1),"&gt;=15")</f>
        <v>0</v>
      </c>
    </row>
    <row r="119" spans="1:11">
      <c r="A119" s="69"/>
      <c r="B119" s="82">
        <f>INDEX(AllTime1[All-time rank], MATCH(SMALL(AllTime1[Helper], ROW(Structures!$G114)), AllTime1[Helper], 0))</f>
        <v>113</v>
      </c>
      <c r="C119" s="64" t="str">
        <f>TEXT(INDEX(AllTime1[Name], MATCH(SMALL(AllTime1[Helper], ROW(Structures!$G114)), AllTime1[Helper], 0)),"@")</f>
        <v>Kaden Ali</v>
      </c>
      <c r="D119" s="64">
        <f>INDEX(AllTime1[All-time score], MATCH(LARGE(AllTime1[Helper2], ROW(Structures!$G114)), AllTime1[Helper2], 0))</f>
        <v>13</v>
      </c>
      <c r="E119" s="64">
        <f>COUNTIF(_xlfn.XLOOKUP(Table1215[[#This Row],[Name]],Table16[Name],Table16[[September 30, 2025]:[Column18]],,0,1),"&gt;=0")</f>
        <v>7</v>
      </c>
      <c r="F119" s="109">
        <f>_xlfn.XLOOKUP(Table1215[[#This Row],[Name]],Table1624[Name],Table1624[Totals],,0,1)</f>
        <v>0.46600000000000003</v>
      </c>
      <c r="G119" s="65">
        <f>IFERROR(Table1215[[#This Row],[Points]]/Table1215[[#This Row],[GP]],"N/A")</f>
        <v>1.8571428571428572</v>
      </c>
      <c r="H119" s="64">
        <f>COUNTIF(_xlfn.XLOOKUP(Table1215[[#This Row],[Name]],Table16[Name],Table16[[September 30, 2025]:[Column18]],,0,1),"&gt;=8")</f>
        <v>0</v>
      </c>
      <c r="I119" s="110" t="str">
        <f>IFERROR(AVERAGEIF(_xlfn.XLOOKUP(Table1215[[#This Row],[Name]],Table16[Name],Table16[[September 30, 2025]:[Column18]],,0,1),"&gt;=8"),"N/A")</f>
        <v>N/A</v>
      </c>
      <c r="J119" s="66">
        <f>IFERROR(Table1215[[#This Row],[FTA]]/Table1215[[#This Row],[GP]],"N/A")</f>
        <v>0</v>
      </c>
      <c r="K119" s="67">
        <f>COUNTIF(_xlfn.XLOOKUP(Table1215[[#This Row],[Name]],Table16[Name],Table16[[September 30, 2025]:[Column18]],,0,1),"&gt;=15")</f>
        <v>0</v>
      </c>
    </row>
    <row r="120" spans="1:11">
      <c r="A120" s="69"/>
      <c r="B120" s="82">
        <f>INDEX(AllTime1[All-time rank], MATCH(SMALL(AllTime1[Helper], ROW(Structures!$G115)), AllTime1[Helper], 0))</f>
        <v>113</v>
      </c>
      <c r="C120" s="64" t="str">
        <f>TEXT(INDEX(AllTime1[Name], MATCH(SMALL(AllTime1[Helper], ROW(Structures!$G115)), AllTime1[Helper], 0)),"@")</f>
        <v>Brock Suidgeest</v>
      </c>
      <c r="D120" s="64">
        <f>INDEX(AllTime1[All-time score], MATCH(LARGE(AllTime1[Helper2], ROW(Structures!$G115)), AllTime1[Helper2], 0))</f>
        <v>13</v>
      </c>
      <c r="E120" s="64">
        <f>COUNTIF(_xlfn.XLOOKUP(Table1215[[#This Row],[Name]],Table16[Name],Table16[[September 30, 2025]:[Column18]],,0,1),"&gt;=0")</f>
        <v>4</v>
      </c>
      <c r="F120" s="109">
        <f>_xlfn.XLOOKUP(Table1215[[#This Row],[Name]],Table1624[Name],Table1624[Totals],,0,1)</f>
        <v>0.44375000000000003</v>
      </c>
      <c r="G120" s="65">
        <f>IFERROR(Table1215[[#This Row],[Points]]/Table1215[[#This Row],[GP]],"N/A")</f>
        <v>3.25</v>
      </c>
      <c r="H120" s="64">
        <f>COUNTIF(_xlfn.XLOOKUP(Table1215[[#This Row],[Name]],Table16[Name],Table16[[September 30, 2025]:[Column18]],,0,1),"&gt;=8")</f>
        <v>1</v>
      </c>
      <c r="I120" s="110">
        <f>IFERROR(AVERAGEIF(_xlfn.XLOOKUP(Table1215[[#This Row],[Name]],Table16[Name],Table16[[September 30, 2025]:[Column18]],,0,1),"&gt;=8"),"N/A")</f>
        <v>8</v>
      </c>
      <c r="J120" s="66">
        <f>IFERROR(Table1215[[#This Row],[FTA]]/Table1215[[#This Row],[GP]],"N/A")</f>
        <v>0.25</v>
      </c>
      <c r="K120" s="67">
        <f>COUNTIF(_xlfn.XLOOKUP(Table1215[[#This Row],[Name]],Table16[Name],Table16[[September 30, 2025]:[Column18]],,0,1),"&gt;=15")</f>
        <v>0</v>
      </c>
    </row>
    <row r="121" spans="1:11">
      <c r="A121" s="69"/>
      <c r="B121" s="82">
        <f>INDEX(AllTime1[All-time rank], MATCH(SMALL(AllTime1[Helper], ROW(Structures!$G116)), AllTime1[Helper], 0))</f>
        <v>113</v>
      </c>
      <c r="C121" s="64" t="str">
        <f>TEXT(INDEX(AllTime1[Name], MATCH(SMALL(AllTime1[Helper], ROW(Structures!$G116)), AllTime1[Helper], 0)),"@")</f>
        <v>Daniel Dillabough</v>
      </c>
      <c r="D121" s="64">
        <f>INDEX(AllTime1[All-time score], MATCH(LARGE(AllTime1[Helper2], ROW(Structures!$G116)), AllTime1[Helper2], 0))</f>
        <v>13</v>
      </c>
      <c r="E121" s="64">
        <f>COUNTIF(_xlfn.XLOOKUP(Table1215[[#This Row],[Name]],Table16[Name],Table16[[September 30, 2025]:[Column18]],,0,1),"&gt;=0")</f>
        <v>9</v>
      </c>
      <c r="F121" s="109">
        <f>_xlfn.XLOOKUP(Table1215[[#This Row],[Name]],Table1624[Name],Table1624[Totals],,0,1)</f>
        <v>0.58744444444444444</v>
      </c>
      <c r="G121" s="65">
        <f>IFERROR(Table1215[[#This Row],[Points]]/Table1215[[#This Row],[GP]],"N/A")</f>
        <v>1.4444444444444444</v>
      </c>
      <c r="H121" s="64">
        <f>COUNTIF(_xlfn.XLOOKUP(Table1215[[#This Row],[Name]],Table16[Name],Table16[[September 30, 2025]:[Column18]],,0,1),"&gt;=8")</f>
        <v>0</v>
      </c>
      <c r="I121" s="110" t="str">
        <f>IFERROR(AVERAGEIF(_xlfn.XLOOKUP(Table1215[[#This Row],[Name]],Table16[Name],Table16[[September 30, 2025]:[Column18]],,0,1),"&gt;=8"),"N/A")</f>
        <v>N/A</v>
      </c>
      <c r="J121" s="66">
        <f>IFERROR(Table1215[[#This Row],[FTA]]/Table1215[[#This Row],[GP]],"N/A")</f>
        <v>0</v>
      </c>
      <c r="K121" s="67">
        <f>COUNTIF(_xlfn.XLOOKUP(Table1215[[#This Row],[Name]],Table16[Name],Table16[[September 30, 2025]:[Column18]],,0,1),"&gt;=15")</f>
        <v>0</v>
      </c>
    </row>
    <row r="122" spans="1:11">
      <c r="A122" s="69"/>
      <c r="B122" s="82">
        <f>INDEX(AllTime1[All-time rank], MATCH(SMALL(AllTime1[Helper], ROW(Structures!$G117)), AllTime1[Helper], 0))</f>
        <v>113</v>
      </c>
      <c r="C122" s="64" t="str">
        <f>TEXT(INDEX(AllTime1[Name], MATCH(SMALL(AllTime1[Helper], ROW(Structures!$G117)), AllTime1[Helper], 0)),"@")</f>
        <v>James Kilfoil</v>
      </c>
      <c r="D122" s="64">
        <f>INDEX(AllTime1[All-time score], MATCH(LARGE(AllTime1[Helper2], ROW(Structures!$G117)), AllTime1[Helper2], 0))</f>
        <v>13</v>
      </c>
      <c r="E122" s="64">
        <f>COUNTIF(_xlfn.XLOOKUP(Table1215[[#This Row],[Name]],Table16[Name],Table16[[September 30, 2025]:[Column18]],,0,1),"&gt;=0")</f>
        <v>4</v>
      </c>
      <c r="F122" s="109">
        <f>_xlfn.XLOOKUP(Table1215[[#This Row],[Name]],Table1624[Name],Table1624[Totals],,0,1)</f>
        <v>0.45524999999999999</v>
      </c>
      <c r="G122" s="65">
        <f>IFERROR(Table1215[[#This Row],[Points]]/Table1215[[#This Row],[GP]],"N/A")</f>
        <v>3.25</v>
      </c>
      <c r="H122" s="64">
        <f>COUNTIF(_xlfn.XLOOKUP(Table1215[[#This Row],[Name]],Table16[Name],Table16[[September 30, 2025]:[Column18]],,0,1),"&gt;=8")</f>
        <v>1</v>
      </c>
      <c r="I122" s="110">
        <f>IFERROR(AVERAGEIF(_xlfn.XLOOKUP(Table1215[[#This Row],[Name]],Table16[Name],Table16[[September 30, 2025]:[Column18]],,0,1),"&gt;=8"),"N/A")</f>
        <v>10</v>
      </c>
      <c r="J122" s="66">
        <f>IFERROR(Table1215[[#This Row],[FTA]]/Table1215[[#This Row],[GP]],"N/A")</f>
        <v>0.25</v>
      </c>
      <c r="K122" s="67">
        <f>COUNTIF(_xlfn.XLOOKUP(Table1215[[#This Row],[Name]],Table16[Name],Table16[[September 30, 2025]:[Column18]],,0,1),"&gt;=15")</f>
        <v>0</v>
      </c>
    </row>
    <row r="123" spans="1:11">
      <c r="A123" s="69"/>
      <c r="B123" s="82">
        <f>INDEX(AllTime1[All-time rank], MATCH(SMALL(AllTime1[Helper], ROW(Structures!$G118)), AllTime1[Helper], 0))</f>
        <v>113</v>
      </c>
      <c r="C123" s="64" t="str">
        <f>TEXT(INDEX(AllTime1[Name], MATCH(SMALL(AllTime1[Helper], ROW(Structures!$G118)), AllTime1[Helper], 0)),"@")</f>
        <v>Hamza Khamissa</v>
      </c>
      <c r="D123" s="64">
        <f>INDEX(AllTime1[All-time score], MATCH(LARGE(AllTime1[Helper2], ROW(Structures!$G118)), AllTime1[Helper2], 0))</f>
        <v>13</v>
      </c>
      <c r="E123" s="64">
        <f>COUNTIF(_xlfn.XLOOKUP(Table1215[[#This Row],[Name]],Table16[Name],Table16[[September 30, 2025]:[Column18]],,0,1),"&gt;=0")</f>
        <v>5</v>
      </c>
      <c r="F123" s="109">
        <f>_xlfn.XLOOKUP(Table1215[[#This Row],[Name]],Table1624[Name],Table1624[Totals],,0,1)</f>
        <v>0.39319999999999999</v>
      </c>
      <c r="G123" s="65">
        <f>IFERROR(Table1215[[#This Row],[Points]]/Table1215[[#This Row],[GP]],"N/A")</f>
        <v>2.6</v>
      </c>
      <c r="H123" s="64">
        <f>COUNTIF(_xlfn.XLOOKUP(Table1215[[#This Row],[Name]],Table16[Name],Table16[[September 30, 2025]:[Column18]],,0,1),"&gt;=8")</f>
        <v>0</v>
      </c>
      <c r="I123" s="110" t="str">
        <f>IFERROR(AVERAGEIF(_xlfn.XLOOKUP(Table1215[[#This Row],[Name]],Table16[Name],Table16[[September 30, 2025]:[Column18]],,0,1),"&gt;=8"),"N/A")</f>
        <v>N/A</v>
      </c>
      <c r="J123" s="66">
        <f>IFERROR(Table1215[[#This Row],[FTA]]/Table1215[[#This Row],[GP]],"N/A")</f>
        <v>0</v>
      </c>
      <c r="K123" s="67">
        <f>COUNTIF(_xlfn.XLOOKUP(Table1215[[#This Row],[Name]],Table16[Name],Table16[[September 30, 2025]:[Column18]],,0,1),"&gt;=15")</f>
        <v>0</v>
      </c>
    </row>
    <row r="124" spans="1:11">
      <c r="A124" s="69"/>
      <c r="B124" s="82">
        <f>INDEX(AllTime1[All-time rank], MATCH(SMALL(AllTime1[Helper], ROW(Structures!$G119)), AllTime1[Helper], 0))</f>
        <v>113</v>
      </c>
      <c r="C124" s="64" t="str">
        <f>TEXT(INDEX(AllTime1[Name], MATCH(SMALL(AllTime1[Helper], ROW(Structures!$G119)), AllTime1[Helper], 0)),"@")</f>
        <v>Mahbod Miraly</v>
      </c>
      <c r="D124" s="64">
        <f>INDEX(AllTime1[All-time score], MATCH(LARGE(AllTime1[Helper2], ROW(Structures!$G119)), AllTime1[Helper2], 0))</f>
        <v>13</v>
      </c>
      <c r="E124" s="64">
        <f>COUNTIF(_xlfn.XLOOKUP(Table1215[[#This Row],[Name]],Table16[Name],Table16[[September 30, 2025]:[Column18]],,0,1),"&gt;=0")</f>
        <v>6</v>
      </c>
      <c r="F124" s="109">
        <f>_xlfn.XLOOKUP(Table1215[[#This Row],[Name]],Table1624[Name],Table1624[Totals],,0,1)</f>
        <v>0.45579999999999998</v>
      </c>
      <c r="G124" s="65">
        <f>IFERROR(Table1215[[#This Row],[Points]]/Table1215[[#This Row],[GP]],"N/A")</f>
        <v>2.1666666666666665</v>
      </c>
      <c r="H124" s="64">
        <f>COUNTIF(_xlfn.XLOOKUP(Table1215[[#This Row],[Name]],Table16[Name],Table16[[September 30, 2025]:[Column18]],,0,1),"&gt;=8")</f>
        <v>0</v>
      </c>
      <c r="I124" s="110" t="str">
        <f>IFERROR(AVERAGEIF(_xlfn.XLOOKUP(Table1215[[#This Row],[Name]],Table16[Name],Table16[[September 30, 2025]:[Column18]],,0,1),"&gt;=8"),"N/A")</f>
        <v>N/A</v>
      </c>
      <c r="J124" s="66">
        <f>IFERROR(Table1215[[#This Row],[FTA]]/Table1215[[#This Row],[GP]],"N/A")</f>
        <v>0</v>
      </c>
      <c r="K124" s="67">
        <f>COUNTIF(_xlfn.XLOOKUP(Table1215[[#This Row],[Name]],Table16[Name],Table16[[September 30, 2025]:[Column18]],,0,1),"&gt;=15")</f>
        <v>0</v>
      </c>
    </row>
    <row r="125" spans="1:11">
      <c r="A125" s="69"/>
      <c r="B125" s="82">
        <f>INDEX(AllTime1[All-time rank], MATCH(SMALL(AllTime1[Helper], ROW(Structures!$G120)), AllTime1[Helper], 0))</f>
        <v>113</v>
      </c>
      <c r="C125" s="64" t="str">
        <f>TEXT(INDEX(AllTime1[Name], MATCH(SMALL(AllTime1[Helper], ROW(Structures!$G120)), AllTime1[Helper], 0)),"@")</f>
        <v>Ziad Elnagar</v>
      </c>
      <c r="D125" s="64">
        <f>INDEX(AllTime1[All-time score], MATCH(LARGE(AllTime1[Helper2], ROW(Structures!$G120)), AllTime1[Helper2], 0))</f>
        <v>13</v>
      </c>
      <c r="E125" s="64">
        <f>COUNTIF(_xlfn.XLOOKUP(Table1215[[#This Row],[Name]],Table16[Name],Table16[[September 30, 2025]:[Column18]],,0,1),"&gt;=0")</f>
        <v>5</v>
      </c>
      <c r="F125" s="109">
        <f>_xlfn.XLOOKUP(Table1215[[#This Row],[Name]],Table1624[Name],Table1624[Totals],,0,1)</f>
        <v>0.32624999999999998</v>
      </c>
      <c r="G125" s="65">
        <f>IFERROR(Table1215[[#This Row],[Points]]/Table1215[[#This Row],[GP]],"N/A")</f>
        <v>2.6</v>
      </c>
      <c r="H125" s="64">
        <f>COUNTIF(_xlfn.XLOOKUP(Table1215[[#This Row],[Name]],Table16[Name],Table16[[September 30, 2025]:[Column18]],,0,1),"&gt;=8")</f>
        <v>0</v>
      </c>
      <c r="I125" s="110" t="str">
        <f>IFERROR(AVERAGEIF(_xlfn.XLOOKUP(Table1215[[#This Row],[Name]],Table16[Name],Table16[[September 30, 2025]:[Column18]],,0,1),"&gt;=8"),"N/A")</f>
        <v>N/A</v>
      </c>
      <c r="J125" s="66">
        <f>IFERROR(Table1215[[#This Row],[FTA]]/Table1215[[#This Row],[GP]],"N/A")</f>
        <v>0</v>
      </c>
      <c r="K125" s="67">
        <f>COUNTIF(_xlfn.XLOOKUP(Table1215[[#This Row],[Name]],Table16[Name],Table16[[September 30, 2025]:[Column18]],,0,1),"&gt;=15")</f>
        <v>0</v>
      </c>
    </row>
    <row r="126" spans="1:11">
      <c r="A126" s="69"/>
      <c r="B126" s="82">
        <f>INDEX(AllTime1[All-time rank], MATCH(SMALL(AllTime1[Helper], ROW(Structures!$G121)), AllTime1[Helper], 0))</f>
        <v>121</v>
      </c>
      <c r="C126" s="64" t="str">
        <f>TEXT(INDEX(AllTime1[Name], MATCH(SMALL(AllTime1[Helper], ROW(Structures!$G121)), AllTime1[Helper], 0)),"@")</f>
        <v>Zack Hao</v>
      </c>
      <c r="D126" s="64">
        <f>INDEX(AllTime1[All-time score], MATCH(LARGE(AllTime1[Helper2], ROW(Structures!$G121)), AllTime1[Helper2], 0))</f>
        <v>12</v>
      </c>
      <c r="E126" s="64">
        <f>COUNTIF(_xlfn.XLOOKUP(Table1215[[#This Row],[Name]],Table16[Name],Table16[[September 30, 2025]:[Column18]],,0,1),"&gt;=0")</f>
        <v>7</v>
      </c>
      <c r="F126" s="109">
        <f>_xlfn.XLOOKUP(Table1215[[#This Row],[Name]],Table1624[Name],Table1624[Totals],,0,1)</f>
        <v>0.52499999999999991</v>
      </c>
      <c r="G126" s="65">
        <f>IFERROR(Table1215[[#This Row],[Points]]/Table1215[[#This Row],[GP]],"N/A")</f>
        <v>1.7142857142857142</v>
      </c>
      <c r="H126" s="64">
        <f>COUNTIF(_xlfn.XLOOKUP(Table1215[[#This Row],[Name]],Table16[Name],Table16[[September 30, 2025]:[Column18]],,0,1),"&gt;=8")</f>
        <v>0</v>
      </c>
      <c r="I126" s="110" t="str">
        <f>IFERROR(AVERAGEIF(_xlfn.XLOOKUP(Table1215[[#This Row],[Name]],Table16[Name],Table16[[September 30, 2025]:[Column18]],,0,1),"&gt;=8"),"N/A")</f>
        <v>N/A</v>
      </c>
      <c r="J126" s="66">
        <f>IFERROR(Table1215[[#This Row],[FTA]]/Table1215[[#This Row],[GP]],"N/A")</f>
        <v>0</v>
      </c>
      <c r="K126" s="67">
        <f>COUNTIF(_xlfn.XLOOKUP(Table1215[[#This Row],[Name]],Table16[Name],Table16[[September 30, 2025]:[Column18]],,0,1),"&gt;=15")</f>
        <v>0</v>
      </c>
    </row>
    <row r="127" spans="1:11">
      <c r="A127" s="69"/>
      <c r="B127" s="82">
        <f>INDEX(AllTime1[All-time rank], MATCH(SMALL(AllTime1[Helper], ROW(Structures!$G122)), AllTime1[Helper], 0))</f>
        <v>121</v>
      </c>
      <c r="C127" s="64" t="str">
        <f>TEXT(INDEX(AllTime1[Name], MATCH(SMALL(AllTime1[Helper], ROW(Structures!$G122)), AllTime1[Helper], 0)),"@")</f>
        <v>Everett McEwen</v>
      </c>
      <c r="D127" s="64">
        <f>INDEX(AllTime1[All-time score], MATCH(LARGE(AllTime1[Helper2], ROW(Structures!$G122)), AllTime1[Helper2], 0))</f>
        <v>12</v>
      </c>
      <c r="E127" s="64">
        <f>COUNTIF(_xlfn.XLOOKUP(Table1215[[#This Row],[Name]],Table16[Name],Table16[[September 30, 2025]:[Column18]],,0,1),"&gt;=0")</f>
        <v>3</v>
      </c>
      <c r="F127" s="109">
        <f>_xlfn.XLOOKUP(Table1215[[#This Row],[Name]],Table1624[Name],Table1624[Totals],,0,1)</f>
        <v>0.96299999999999997</v>
      </c>
      <c r="G127" s="65">
        <f>IFERROR(Table1215[[#This Row],[Points]]/Table1215[[#This Row],[GP]],"N/A")</f>
        <v>4</v>
      </c>
      <c r="H127" s="64">
        <f>COUNTIF(_xlfn.XLOOKUP(Table1215[[#This Row],[Name]],Table16[Name],Table16[[September 30, 2025]:[Column18]],,0,1),"&gt;=8")</f>
        <v>1</v>
      </c>
      <c r="I127" s="110">
        <f>IFERROR(AVERAGEIF(_xlfn.XLOOKUP(Table1215[[#This Row],[Name]],Table16[Name],Table16[[September 30, 2025]:[Column18]],,0,1),"&gt;=8"),"N/A")</f>
        <v>10</v>
      </c>
      <c r="J127" s="66">
        <f>IFERROR(Table1215[[#This Row],[FTA]]/Table1215[[#This Row],[GP]],"N/A")</f>
        <v>0.33333333333333331</v>
      </c>
      <c r="K127" s="67">
        <f>COUNTIF(_xlfn.XLOOKUP(Table1215[[#This Row],[Name]],Table16[Name],Table16[[September 30, 2025]:[Column18]],,0,1),"&gt;=15")</f>
        <v>0</v>
      </c>
    </row>
    <row r="128" spans="1:11">
      <c r="A128" s="69"/>
      <c r="B128" s="82">
        <f>INDEX(AllTime1[All-time rank], MATCH(SMALL(AllTime1[Helper], ROW(Structures!$G123)), AllTime1[Helper], 0))</f>
        <v>121</v>
      </c>
      <c r="C128" s="64" t="str">
        <f>TEXT(INDEX(AllTime1[Name], MATCH(SMALL(AllTime1[Helper], ROW(Structures!$G123)), AllTime1[Helper], 0)),"@")</f>
        <v>Harold Zhang</v>
      </c>
      <c r="D128" s="64">
        <f>INDEX(AllTime1[All-time score], MATCH(LARGE(AllTime1[Helper2], ROW(Structures!$G123)), AllTime1[Helper2], 0))</f>
        <v>12</v>
      </c>
      <c r="E128" s="64">
        <f>COUNTIF(_xlfn.XLOOKUP(Table1215[[#This Row],[Name]],Table16[Name],Table16[[September 30, 2025]:[Column18]],,0,1),"&gt;=0")</f>
        <v>7</v>
      </c>
      <c r="F128" s="109">
        <f>_xlfn.XLOOKUP(Table1215[[#This Row],[Name]],Table1624[Name],Table1624[Totals],,0,1)</f>
        <v>0.49371428571428566</v>
      </c>
      <c r="G128" s="65">
        <f>IFERROR(Table1215[[#This Row],[Points]]/Table1215[[#This Row],[GP]],"N/A")</f>
        <v>1.7142857142857142</v>
      </c>
      <c r="H128" s="64">
        <f>COUNTIF(_xlfn.XLOOKUP(Table1215[[#This Row],[Name]],Table16[Name],Table16[[September 30, 2025]:[Column18]],,0,1),"&gt;=8")</f>
        <v>0</v>
      </c>
      <c r="I128" s="110" t="str">
        <f>IFERROR(AVERAGEIF(_xlfn.XLOOKUP(Table1215[[#This Row],[Name]],Table16[Name],Table16[[September 30, 2025]:[Column18]],,0,1),"&gt;=8"),"N/A")</f>
        <v>N/A</v>
      </c>
      <c r="J128" s="66">
        <f>IFERROR(Table1215[[#This Row],[FTA]]/Table1215[[#This Row],[GP]],"N/A")</f>
        <v>0</v>
      </c>
      <c r="K128" s="67">
        <f>COUNTIF(_xlfn.XLOOKUP(Table1215[[#This Row],[Name]],Table16[Name],Table16[[September 30, 2025]:[Column18]],,0,1),"&gt;=15")</f>
        <v>0</v>
      </c>
    </row>
    <row r="129" spans="1:11">
      <c r="A129" s="69"/>
      <c r="B129" s="82">
        <f>INDEX(AllTime1[All-time rank], MATCH(SMALL(AllTime1[Helper], ROW(Structures!$G124)), AllTime1[Helper], 0))</f>
        <v>121</v>
      </c>
      <c r="C129" s="64" t="str">
        <f>TEXT(INDEX(AllTime1[Name], MATCH(SMALL(AllTime1[Helper], ROW(Structures!$G124)), AllTime1[Helper], 0)),"@")</f>
        <v>Kieran Kwong</v>
      </c>
      <c r="D129" s="64">
        <f>INDEX(AllTime1[All-time score], MATCH(LARGE(AllTime1[Helper2], ROW(Structures!$G124)), AllTime1[Helper2], 0))</f>
        <v>12</v>
      </c>
      <c r="E129" s="64">
        <f>COUNTIF(_xlfn.XLOOKUP(Table1215[[#This Row],[Name]],Table16[Name],Table16[[September 30, 2025]:[Column18]],,0,1),"&gt;=0")</f>
        <v>5</v>
      </c>
      <c r="F129" s="109">
        <f>_xlfn.XLOOKUP(Table1215[[#This Row],[Name]],Table1624[Name],Table1624[Totals],,0,1)</f>
        <v>0.45779999999999993</v>
      </c>
      <c r="G129" s="65">
        <f>IFERROR(Table1215[[#This Row],[Points]]/Table1215[[#This Row],[GP]],"N/A")</f>
        <v>2.4</v>
      </c>
      <c r="H129" s="64">
        <f>COUNTIF(_xlfn.XLOOKUP(Table1215[[#This Row],[Name]],Table16[Name],Table16[[September 30, 2025]:[Column18]],,0,1),"&gt;=8")</f>
        <v>0</v>
      </c>
      <c r="I129" s="110" t="str">
        <f>IFERROR(AVERAGEIF(_xlfn.XLOOKUP(Table1215[[#This Row],[Name]],Table16[Name],Table16[[September 30, 2025]:[Column18]],,0,1),"&gt;=8"),"N/A")</f>
        <v>N/A</v>
      </c>
      <c r="J129" s="66">
        <f>IFERROR(Table1215[[#This Row],[FTA]]/Table1215[[#This Row],[GP]],"N/A")</f>
        <v>0</v>
      </c>
      <c r="K129" s="67">
        <f>COUNTIF(_xlfn.XLOOKUP(Table1215[[#This Row],[Name]],Table16[Name],Table16[[September 30, 2025]:[Column18]],,0,1),"&gt;=15")</f>
        <v>0</v>
      </c>
    </row>
    <row r="130" spans="1:11">
      <c r="A130" s="69"/>
      <c r="B130" s="82">
        <f>INDEX(AllTime1[All-time rank], MATCH(SMALL(AllTime1[Helper], ROW(Structures!$G125)), AllTime1[Helper], 0))</f>
        <v>121</v>
      </c>
      <c r="C130" s="64" t="str">
        <f>TEXT(INDEX(AllTime1[Name], MATCH(SMALL(AllTime1[Helper], ROW(Structures!$G125)), AllTime1[Helper], 0)),"@")</f>
        <v>Matthew Ji</v>
      </c>
      <c r="D130" s="64">
        <f>INDEX(AllTime1[All-time score], MATCH(LARGE(AllTime1[Helper2], ROW(Structures!$G125)), AllTime1[Helper2], 0))</f>
        <v>12</v>
      </c>
      <c r="E130" s="64">
        <f>COUNTIF(_xlfn.XLOOKUP(Table1215[[#This Row],[Name]],Table16[Name],Table16[[September 30, 2025]:[Column18]],,0,1),"&gt;=0")</f>
        <v>8</v>
      </c>
      <c r="F130" s="109">
        <f>_xlfn.XLOOKUP(Table1215[[#This Row],[Name]],Table1624[Name],Table1624[Totals],,0,1)</f>
        <v>0.54349999999999998</v>
      </c>
      <c r="G130" s="65">
        <f>IFERROR(Table1215[[#This Row],[Points]]/Table1215[[#This Row],[GP]],"N/A")</f>
        <v>1.5</v>
      </c>
      <c r="H130" s="64">
        <f>COUNTIF(_xlfn.XLOOKUP(Table1215[[#This Row],[Name]],Table16[Name],Table16[[September 30, 2025]:[Column18]],,0,1),"&gt;=8")</f>
        <v>0</v>
      </c>
      <c r="I130" s="110" t="str">
        <f>IFERROR(AVERAGEIF(_xlfn.XLOOKUP(Table1215[[#This Row],[Name]],Table16[Name],Table16[[September 30, 2025]:[Column18]],,0,1),"&gt;=8"),"N/A")</f>
        <v>N/A</v>
      </c>
      <c r="J130" s="66">
        <f>IFERROR(Table1215[[#This Row],[FTA]]/Table1215[[#This Row],[GP]],"N/A")</f>
        <v>0</v>
      </c>
      <c r="K130" s="67">
        <f>COUNTIF(_xlfn.XLOOKUP(Table1215[[#This Row],[Name]],Table16[Name],Table16[[September 30, 2025]:[Column18]],,0,1),"&gt;=15")</f>
        <v>0</v>
      </c>
    </row>
    <row r="131" spans="1:11">
      <c r="A131" s="69"/>
      <c r="B131" s="82">
        <f>INDEX(AllTime1[All-time rank], MATCH(SMALL(AllTime1[Helper], ROW(Structures!$G126)), AllTime1[Helper], 0))</f>
        <v>121</v>
      </c>
      <c r="C131" s="64" t="str">
        <f>TEXT(INDEX(AllTime1[Name], MATCH(SMALL(AllTime1[Helper], ROW(Structures!$G126)), AllTime1[Helper], 0)),"@")</f>
        <v>Owen Hu</v>
      </c>
      <c r="D131" s="64">
        <f>INDEX(AllTime1[All-time score], MATCH(LARGE(AllTime1[Helper2], ROW(Structures!$G126)), AllTime1[Helper2], 0))</f>
        <v>12</v>
      </c>
      <c r="E131" s="64">
        <f>COUNTIF(_xlfn.XLOOKUP(Table1215[[#This Row],[Name]],Table16[Name],Table16[[September 30, 2025]:[Column18]],,0,1),"&gt;=0")</f>
        <v>5</v>
      </c>
      <c r="F131" s="109">
        <f>_xlfn.XLOOKUP(Table1215[[#This Row],[Name]],Table1624[Name],Table1624[Totals],,0,1)</f>
        <v>0.6601999999999999</v>
      </c>
      <c r="G131" s="65">
        <f>IFERROR(Table1215[[#This Row],[Points]]/Table1215[[#This Row],[GP]],"N/A")</f>
        <v>2.4</v>
      </c>
      <c r="H131" s="64">
        <f>COUNTIF(_xlfn.XLOOKUP(Table1215[[#This Row],[Name]],Table16[Name],Table16[[September 30, 2025]:[Column18]],,0,1),"&gt;=8")</f>
        <v>1</v>
      </c>
      <c r="I131" s="110">
        <f>IFERROR(AVERAGEIF(_xlfn.XLOOKUP(Table1215[[#This Row],[Name]],Table16[Name],Table16[[September 30, 2025]:[Column18]],,0,1),"&gt;=8"),"N/A")</f>
        <v>8</v>
      </c>
      <c r="J131" s="66">
        <f>IFERROR(Table1215[[#This Row],[FTA]]/Table1215[[#This Row],[GP]],"N/A")</f>
        <v>0.2</v>
      </c>
      <c r="K131" s="67">
        <f>COUNTIF(_xlfn.XLOOKUP(Table1215[[#This Row],[Name]],Table16[Name],Table16[[September 30, 2025]:[Column18]],,0,1),"&gt;=15")</f>
        <v>0</v>
      </c>
    </row>
    <row r="132" spans="1:11">
      <c r="A132" s="69"/>
      <c r="B132" s="82">
        <f>INDEX(AllTime1[All-time rank], MATCH(SMALL(AllTime1[Helper], ROW(Structures!$G127)), AllTime1[Helper], 0))</f>
        <v>121</v>
      </c>
      <c r="C132" s="64" t="str">
        <f>TEXT(INDEX(AllTime1[Name], MATCH(SMALL(AllTime1[Helper], ROW(Structures!$G127)), AllTime1[Helper], 0)),"@")</f>
        <v>Ryan Qian</v>
      </c>
      <c r="D132" s="64">
        <f>INDEX(AllTime1[All-time score], MATCH(LARGE(AllTime1[Helper2], ROW(Structures!$G127)), AllTime1[Helper2], 0))</f>
        <v>12</v>
      </c>
      <c r="E132" s="64">
        <f>COUNTIF(_xlfn.XLOOKUP(Table1215[[#This Row],[Name]],Table16[Name],Table16[[September 30, 2025]:[Column18]],,0,1),"&gt;=0")</f>
        <v>3</v>
      </c>
      <c r="F132" s="109">
        <f>_xlfn.XLOOKUP(Table1215[[#This Row],[Name]],Table1624[Name],Table1624[Totals],,0,1)</f>
        <v>0.38549999999999995</v>
      </c>
      <c r="G132" s="65">
        <f>IFERROR(Table1215[[#This Row],[Points]]/Table1215[[#This Row],[GP]],"N/A")</f>
        <v>4</v>
      </c>
      <c r="H132" s="64">
        <f>COUNTIF(_xlfn.XLOOKUP(Table1215[[#This Row],[Name]],Table16[Name],Table16[[September 30, 2025]:[Column18]],,0,1),"&gt;=8")</f>
        <v>1</v>
      </c>
      <c r="I132" s="110">
        <f>IFERROR(AVERAGEIF(_xlfn.XLOOKUP(Table1215[[#This Row],[Name]],Table16[Name],Table16[[September 30, 2025]:[Column18]],,0,1),"&gt;=8"),"N/A")</f>
        <v>10</v>
      </c>
      <c r="J132" s="66">
        <f>IFERROR(Table1215[[#This Row],[FTA]]/Table1215[[#This Row],[GP]],"N/A")</f>
        <v>0.33333333333333331</v>
      </c>
      <c r="K132" s="67">
        <f>COUNTIF(_xlfn.XLOOKUP(Table1215[[#This Row],[Name]],Table16[Name],Table16[[September 30, 2025]:[Column18]],,0,1),"&gt;=15")</f>
        <v>0</v>
      </c>
    </row>
    <row r="133" spans="1:11">
      <c r="A133" s="69"/>
      <c r="B133" s="82">
        <f>INDEX(AllTime1[All-time rank], MATCH(SMALL(AllTime1[Helper], ROW(Structures!$G128)), AllTime1[Helper], 0))</f>
        <v>121</v>
      </c>
      <c r="C133" s="64" t="str">
        <f>TEXT(INDEX(AllTime1[Name], MATCH(SMALL(AllTime1[Helper], ROW(Structures!$G128)), AllTime1[Helper], 0)),"@")</f>
        <v>Sameer Aziz</v>
      </c>
      <c r="D133" s="64">
        <f>INDEX(AllTime1[All-time score], MATCH(LARGE(AllTime1[Helper2], ROW(Structures!$G128)), AllTime1[Helper2], 0))</f>
        <v>12</v>
      </c>
      <c r="E133" s="64">
        <f>COUNTIF(_xlfn.XLOOKUP(Table1215[[#This Row],[Name]],Table16[Name],Table16[[September 30, 2025]:[Column18]],,0,1),"&gt;=0")</f>
        <v>6</v>
      </c>
      <c r="F133" s="109">
        <f>_xlfn.XLOOKUP(Table1215[[#This Row],[Name]],Table1624[Name],Table1624[Totals],,0,1)</f>
        <v>0.55200000000000005</v>
      </c>
      <c r="G133" s="65">
        <f>IFERROR(Table1215[[#This Row],[Points]]/Table1215[[#This Row],[GP]],"N/A")</f>
        <v>2</v>
      </c>
      <c r="H133" s="64">
        <f>COUNTIF(_xlfn.XLOOKUP(Table1215[[#This Row],[Name]],Table16[Name],Table16[[September 30, 2025]:[Column18]],,0,1),"&gt;=8")</f>
        <v>0</v>
      </c>
      <c r="I133" s="110" t="str">
        <f>IFERROR(AVERAGEIF(_xlfn.XLOOKUP(Table1215[[#This Row],[Name]],Table16[Name],Table16[[September 30, 2025]:[Column18]],,0,1),"&gt;=8"),"N/A")</f>
        <v>N/A</v>
      </c>
      <c r="J133" s="66">
        <f>IFERROR(Table1215[[#This Row],[FTA]]/Table1215[[#This Row],[GP]],"N/A")</f>
        <v>0</v>
      </c>
      <c r="K133" s="67">
        <f>COUNTIF(_xlfn.XLOOKUP(Table1215[[#This Row],[Name]],Table16[Name],Table16[[September 30, 2025]:[Column18]],,0,1),"&gt;=15")</f>
        <v>0</v>
      </c>
    </row>
    <row r="134" spans="1:11">
      <c r="A134" s="69"/>
      <c r="B134" s="82">
        <f>INDEX(AllTime1[All-time rank], MATCH(SMALL(AllTime1[Helper], ROW(Structures!$G129)), AllTime1[Helper], 0))</f>
        <v>121</v>
      </c>
      <c r="C134" s="64" t="str">
        <f>TEXT(INDEX(AllTime1[Name], MATCH(SMALL(AllTime1[Helper], ROW(Structures!$G129)), AllTime1[Helper], 0)),"@")</f>
        <v>Yahvi Patel</v>
      </c>
      <c r="D134" s="64">
        <f>INDEX(AllTime1[All-time score], MATCH(LARGE(AllTime1[Helper2], ROW(Structures!$G129)), AllTime1[Helper2], 0))</f>
        <v>12</v>
      </c>
      <c r="E134" s="64">
        <f>COUNTIF(_xlfn.XLOOKUP(Table1215[[#This Row],[Name]],Table16[Name],Table16[[September 30, 2025]:[Column18]],,0,1),"&gt;=0")</f>
        <v>6</v>
      </c>
      <c r="F134" s="109">
        <f>_xlfn.XLOOKUP(Table1215[[#This Row],[Name]],Table1624[Name],Table1624[Totals],,0,1)</f>
        <v>0.44424999999999998</v>
      </c>
      <c r="G134" s="65">
        <f>IFERROR(Table1215[[#This Row],[Points]]/Table1215[[#This Row],[GP]],"N/A")</f>
        <v>2</v>
      </c>
      <c r="H134" s="64">
        <f>COUNTIF(_xlfn.XLOOKUP(Table1215[[#This Row],[Name]],Table16[Name],Table16[[September 30, 2025]:[Column18]],,0,1),"&gt;=8")</f>
        <v>0</v>
      </c>
      <c r="I134" s="110" t="str">
        <f>IFERROR(AVERAGEIF(_xlfn.XLOOKUP(Table1215[[#This Row],[Name]],Table16[Name],Table16[[September 30, 2025]:[Column18]],,0,1),"&gt;=8"),"N/A")</f>
        <v>N/A</v>
      </c>
      <c r="J134" s="66">
        <f>IFERROR(Table1215[[#This Row],[FTA]]/Table1215[[#This Row],[GP]],"N/A")</f>
        <v>0</v>
      </c>
      <c r="K134" s="67">
        <f>COUNTIF(_xlfn.XLOOKUP(Table1215[[#This Row],[Name]],Table16[Name],Table16[[September 30, 2025]:[Column18]],,0,1),"&gt;=15")</f>
        <v>0</v>
      </c>
    </row>
    <row r="135" spans="1:11">
      <c r="A135" s="69"/>
      <c r="B135" s="82">
        <f>INDEX(AllTime1[All-time rank], MATCH(SMALL(AllTime1[Helper], ROW(Structures!$G130)), AllTime1[Helper], 0))</f>
        <v>130</v>
      </c>
      <c r="C135" s="64" t="str">
        <f>TEXT(INDEX(AllTime1[Name], MATCH(SMALL(AllTime1[Helper], ROW(Structures!$G130)), AllTime1[Helper], 0)),"@")</f>
        <v>Nathan Visentin</v>
      </c>
      <c r="D135" s="64">
        <f>INDEX(AllTime1[All-time score], MATCH(LARGE(AllTime1[Helper2], ROW(Structures!$G130)), AllTime1[Helper2], 0))</f>
        <v>11</v>
      </c>
      <c r="E135" s="64">
        <f>COUNTIF(_xlfn.XLOOKUP(Table1215[[#This Row],[Name]],Table16[Name],Table16[[September 30, 2025]:[Column18]],,0,1),"&gt;=0")</f>
        <v>2</v>
      </c>
      <c r="F135" s="109">
        <f>_xlfn.XLOOKUP(Table1215[[#This Row],[Name]],Table1624[Name],Table1624[Totals],,0,1)</f>
        <v>0.40050000000000002</v>
      </c>
      <c r="G135" s="65">
        <f>IFERROR(Table1215[[#This Row],[Points]]/Table1215[[#This Row],[GP]],"N/A")</f>
        <v>5.5</v>
      </c>
      <c r="H135" s="64">
        <f>COUNTIF(_xlfn.XLOOKUP(Table1215[[#This Row],[Name]],Table16[Name],Table16[[September 30, 2025]:[Column18]],,0,1),"&gt;=8")</f>
        <v>1</v>
      </c>
      <c r="I135" s="110">
        <f>IFERROR(AVERAGEIF(_xlfn.XLOOKUP(Table1215[[#This Row],[Name]],Table16[Name],Table16[[September 30, 2025]:[Column18]],,0,1),"&gt;=8"),"N/A")</f>
        <v>10</v>
      </c>
      <c r="J135" s="66">
        <f>IFERROR(Table1215[[#This Row],[FTA]]/Table1215[[#This Row],[GP]],"N/A")</f>
        <v>0.5</v>
      </c>
      <c r="K135" s="67">
        <f>COUNTIF(_xlfn.XLOOKUP(Table1215[[#This Row],[Name]],Table16[Name],Table16[[September 30, 2025]:[Column18]],,0,1),"&gt;=15")</f>
        <v>0</v>
      </c>
    </row>
    <row r="136" spans="1:11">
      <c r="A136" s="69"/>
      <c r="B136" s="82">
        <f>INDEX(AllTime1[All-time rank], MATCH(SMALL(AllTime1[Helper], ROW(Structures!$G131)), AllTime1[Helper], 0))</f>
        <v>130</v>
      </c>
      <c r="C136" s="64" t="str">
        <f>TEXT(INDEX(AllTime1[Name], MATCH(SMALL(AllTime1[Helper], ROW(Structures!$G131)), AllTime1[Helper], 0)),"@")</f>
        <v>Carter Hollingsworth</v>
      </c>
      <c r="D136" s="64">
        <f>INDEX(AllTime1[All-time score], MATCH(LARGE(AllTime1[Helper2], ROW(Structures!$G131)), AllTime1[Helper2], 0))</f>
        <v>11</v>
      </c>
      <c r="E136" s="64">
        <f>COUNTIF(_xlfn.XLOOKUP(Table1215[[#This Row],[Name]],Table16[Name],Table16[[September 30, 2025]:[Column18]],,0,1),"&gt;=0")</f>
        <v>2</v>
      </c>
      <c r="F136" s="109">
        <f>_xlfn.XLOOKUP(Table1215[[#This Row],[Name]],Table1624[Name],Table1624[Totals],,0,1)</f>
        <v>0.30399999999999999</v>
      </c>
      <c r="G136" s="65">
        <f>IFERROR(Table1215[[#This Row],[Points]]/Table1215[[#This Row],[GP]],"N/A")</f>
        <v>5.5</v>
      </c>
      <c r="H136" s="64">
        <f>COUNTIF(_xlfn.XLOOKUP(Table1215[[#This Row],[Name]],Table16[Name],Table16[[September 30, 2025]:[Column18]],,0,1),"&gt;=8")</f>
        <v>1</v>
      </c>
      <c r="I136" s="110">
        <f>IFERROR(AVERAGEIF(_xlfn.XLOOKUP(Table1215[[#This Row],[Name]],Table16[Name],Table16[[September 30, 2025]:[Column18]],,0,1),"&gt;=8"),"N/A")</f>
        <v>10</v>
      </c>
      <c r="J136" s="66">
        <f>IFERROR(Table1215[[#This Row],[FTA]]/Table1215[[#This Row],[GP]],"N/A")</f>
        <v>0.5</v>
      </c>
      <c r="K136" s="67">
        <f>COUNTIF(_xlfn.XLOOKUP(Table1215[[#This Row],[Name]],Table16[Name],Table16[[September 30, 2025]:[Column18]],,0,1),"&gt;=15")</f>
        <v>0</v>
      </c>
    </row>
    <row r="137" spans="1:11">
      <c r="A137" s="69"/>
      <c r="B137" s="82">
        <f>INDEX(AllTime1[All-time rank], MATCH(SMALL(AllTime1[Helper], ROW(Structures!$G132)), AllTime1[Helper], 0))</f>
        <v>130</v>
      </c>
      <c r="C137" s="64" t="str">
        <f>TEXT(INDEX(AllTime1[Name], MATCH(SMALL(AllTime1[Helper], ROW(Structures!$G132)), AllTime1[Helper], 0)),"@")</f>
        <v>Marko Mladenovic</v>
      </c>
      <c r="D137" s="64">
        <f>INDEX(AllTime1[All-time score], MATCH(LARGE(AllTime1[Helper2], ROW(Structures!$G132)), AllTime1[Helper2], 0))</f>
        <v>11</v>
      </c>
      <c r="E137" s="64">
        <f>COUNTIF(_xlfn.XLOOKUP(Table1215[[#This Row],[Name]],Table16[Name],Table16[[September 30, 2025]:[Column18]],,0,1),"&gt;=0")</f>
        <v>2</v>
      </c>
      <c r="F137" s="109">
        <f>_xlfn.XLOOKUP(Table1215[[#This Row],[Name]],Table1624[Name],Table1624[Totals],,0,1)</f>
        <v>0.3765</v>
      </c>
      <c r="G137" s="65">
        <f>IFERROR(Table1215[[#This Row],[Points]]/Table1215[[#This Row],[GP]],"N/A")</f>
        <v>5.5</v>
      </c>
      <c r="H137" s="64">
        <f>COUNTIF(_xlfn.XLOOKUP(Table1215[[#This Row],[Name]],Table16[Name],Table16[[September 30, 2025]:[Column18]],,0,1),"&gt;=8")</f>
        <v>1</v>
      </c>
      <c r="I137" s="110">
        <f>IFERROR(AVERAGEIF(_xlfn.XLOOKUP(Table1215[[#This Row],[Name]],Table16[Name],Table16[[September 30, 2025]:[Column18]],,0,1),"&gt;=8"),"N/A")</f>
        <v>10</v>
      </c>
      <c r="J137" s="66">
        <f>IFERROR(Table1215[[#This Row],[FTA]]/Table1215[[#This Row],[GP]],"N/A")</f>
        <v>0.5</v>
      </c>
      <c r="K137" s="67">
        <f>COUNTIF(_xlfn.XLOOKUP(Table1215[[#This Row],[Name]],Table16[Name],Table16[[September 30, 2025]:[Column18]],,0,1),"&gt;=15")</f>
        <v>0</v>
      </c>
    </row>
    <row r="138" spans="1:11">
      <c r="A138" s="69"/>
      <c r="B138" s="82">
        <f>INDEX(AllTime1[All-time rank], MATCH(SMALL(AllTime1[Helper], ROW(Structures!$G133)), AllTime1[Helper], 0))</f>
        <v>130</v>
      </c>
      <c r="C138" s="64" t="str">
        <f>TEXT(INDEX(AllTime1[Name], MATCH(SMALL(AllTime1[Helper], ROW(Structures!$G133)), AllTime1[Helper], 0)),"@")</f>
        <v>Sunny Zhao</v>
      </c>
      <c r="D138" s="64">
        <f>INDEX(AllTime1[All-time score], MATCH(LARGE(AllTime1[Helper2], ROW(Structures!$G133)), AllTime1[Helper2], 0))</f>
        <v>11</v>
      </c>
      <c r="E138" s="64">
        <f>COUNTIF(_xlfn.XLOOKUP(Table1215[[#This Row],[Name]],Table16[Name],Table16[[September 30, 2025]:[Column18]],,0,1),"&gt;=0")</f>
        <v>2</v>
      </c>
      <c r="F138" s="109">
        <f>_xlfn.XLOOKUP(Table1215[[#This Row],[Name]],Table1624[Name],Table1624[Totals],,0,1)</f>
        <v>0.42949999999999999</v>
      </c>
      <c r="G138" s="65">
        <f>IFERROR(Table1215[[#This Row],[Points]]/Table1215[[#This Row],[GP]],"N/A")</f>
        <v>5.5</v>
      </c>
      <c r="H138" s="64">
        <f>COUNTIF(_xlfn.XLOOKUP(Table1215[[#This Row],[Name]],Table16[Name],Table16[[September 30, 2025]:[Column18]],,0,1),"&gt;=8")</f>
        <v>1</v>
      </c>
      <c r="I138" s="110">
        <f>IFERROR(AVERAGEIF(_xlfn.XLOOKUP(Table1215[[#This Row],[Name]],Table16[Name],Table16[[September 30, 2025]:[Column18]],,0,1),"&gt;=8"),"N/A")</f>
        <v>10</v>
      </c>
      <c r="J138" s="66">
        <f>IFERROR(Table1215[[#This Row],[FTA]]/Table1215[[#This Row],[GP]],"N/A")</f>
        <v>0.5</v>
      </c>
      <c r="K138" s="67">
        <f>COUNTIF(_xlfn.XLOOKUP(Table1215[[#This Row],[Name]],Table16[Name],Table16[[September 30, 2025]:[Column18]],,0,1),"&gt;=15")</f>
        <v>0</v>
      </c>
    </row>
    <row r="139" spans="1:11">
      <c r="A139" s="69"/>
      <c r="B139" s="82">
        <f>INDEX(AllTime1[All-time rank], MATCH(SMALL(AllTime1[Helper], ROW(Structures!$G134)), AllTime1[Helper], 0))</f>
        <v>130</v>
      </c>
      <c r="C139" s="64" t="str">
        <f>TEXT(INDEX(AllTime1[Name], MATCH(SMALL(AllTime1[Helper], ROW(Structures!$G134)), AllTime1[Helper], 0)),"@")</f>
        <v>Taowei Liu</v>
      </c>
      <c r="D139" s="64">
        <f>INDEX(AllTime1[All-time score], MATCH(LARGE(AllTime1[Helper2], ROW(Structures!$G134)), AllTime1[Helper2], 0))</f>
        <v>11</v>
      </c>
      <c r="E139" s="64">
        <f>COUNTIF(_xlfn.XLOOKUP(Table1215[[#This Row],[Name]],Table16[Name],Table16[[September 30, 2025]:[Column18]],,0,1),"&gt;=0")</f>
        <v>5</v>
      </c>
      <c r="F139" s="109">
        <f>_xlfn.XLOOKUP(Table1215[[#This Row],[Name]],Table1624[Name],Table1624[Totals],,0,1)</f>
        <v>0.46559999999999996</v>
      </c>
      <c r="G139" s="65">
        <f>IFERROR(Table1215[[#This Row],[Points]]/Table1215[[#This Row],[GP]],"N/A")</f>
        <v>2.2000000000000002</v>
      </c>
      <c r="H139" s="64">
        <f>COUNTIF(_xlfn.XLOOKUP(Table1215[[#This Row],[Name]],Table16[Name],Table16[[September 30, 2025]:[Column18]],,0,1),"&gt;=8")</f>
        <v>0</v>
      </c>
      <c r="I139" s="110" t="str">
        <f>IFERROR(AVERAGEIF(_xlfn.XLOOKUP(Table1215[[#This Row],[Name]],Table16[Name],Table16[[September 30, 2025]:[Column18]],,0,1),"&gt;=8"),"N/A")</f>
        <v>N/A</v>
      </c>
      <c r="J139" s="66">
        <f>IFERROR(Table1215[[#This Row],[FTA]]/Table1215[[#This Row],[GP]],"N/A")</f>
        <v>0</v>
      </c>
      <c r="K139" s="67">
        <f>COUNTIF(_xlfn.XLOOKUP(Table1215[[#This Row],[Name]],Table16[Name],Table16[[September 30, 2025]:[Column18]],,0,1),"&gt;=15")</f>
        <v>0</v>
      </c>
    </row>
    <row r="140" spans="1:11">
      <c r="A140" s="69"/>
      <c r="B140" s="82">
        <f>INDEX(AllTime1[All-time rank], MATCH(SMALL(AllTime1[Helper], ROW(Structures!$G135)), AllTime1[Helper], 0))</f>
        <v>130</v>
      </c>
      <c r="C140" s="64" t="str">
        <f>TEXT(INDEX(AllTime1[Name], MATCH(SMALL(AllTime1[Helper], ROW(Structures!$G135)), AllTime1[Helper], 0)),"@")</f>
        <v>Zhen Hao Huang</v>
      </c>
      <c r="D140" s="64">
        <f>INDEX(AllTime1[All-time score], MATCH(LARGE(AllTime1[Helper2], ROW(Structures!$G135)), AllTime1[Helper2], 0))</f>
        <v>11</v>
      </c>
      <c r="E140" s="64">
        <f>COUNTIF(_xlfn.XLOOKUP(Table1215[[#This Row],[Name]],Table16[Name],Table16[[September 30, 2025]:[Column18]],,0,1),"&gt;=0")</f>
        <v>2</v>
      </c>
      <c r="F140" s="109">
        <f>_xlfn.XLOOKUP(Table1215[[#This Row],[Name]],Table1624[Name],Table1624[Totals],,0,1)</f>
        <v>0.41799999999999998</v>
      </c>
      <c r="G140" s="65">
        <f>IFERROR(Table1215[[#This Row],[Points]]/Table1215[[#This Row],[GP]],"N/A")</f>
        <v>5.5</v>
      </c>
      <c r="H140" s="64">
        <f>COUNTIF(_xlfn.XLOOKUP(Table1215[[#This Row],[Name]],Table16[Name],Table16[[September 30, 2025]:[Column18]],,0,1),"&gt;=8")</f>
        <v>1</v>
      </c>
      <c r="I140" s="110">
        <f>IFERROR(AVERAGEIF(_xlfn.XLOOKUP(Table1215[[#This Row],[Name]],Table16[Name],Table16[[September 30, 2025]:[Column18]],,0,1),"&gt;=8"),"N/A")</f>
        <v>10</v>
      </c>
      <c r="J140" s="66">
        <f>IFERROR(Table1215[[#This Row],[FTA]]/Table1215[[#This Row],[GP]],"N/A")</f>
        <v>0.5</v>
      </c>
      <c r="K140" s="67">
        <f>COUNTIF(_xlfn.XLOOKUP(Table1215[[#This Row],[Name]],Table16[Name],Table16[[September 30, 2025]:[Column18]],,0,1),"&gt;=15")</f>
        <v>0</v>
      </c>
    </row>
    <row r="141" spans="1:11">
      <c r="A141" s="69"/>
      <c r="B141" s="82">
        <f>INDEX(AllTime1[All-time rank], MATCH(SMALL(AllTime1[Helper], ROW(Structures!$G136)), AllTime1[Helper], 0))</f>
        <v>136</v>
      </c>
      <c r="C141" s="64" t="str">
        <f>TEXT(INDEX(AllTime1[Name], MATCH(SMALL(AllTime1[Helper], ROW(Structures!$G136)), AllTime1[Helper], 0)),"@")</f>
        <v>Hao Bai</v>
      </c>
      <c r="D141" s="64">
        <f>INDEX(AllTime1[All-time score], MATCH(LARGE(AllTime1[Helper2], ROW(Structures!$G136)), AllTime1[Helper2], 0))</f>
        <v>10</v>
      </c>
      <c r="E141" s="64">
        <f>COUNTIF(_xlfn.XLOOKUP(Table1215[[#This Row],[Name]],Table16[Name],Table16[[September 30, 2025]:[Column18]],,0,1),"&gt;=0")</f>
        <v>6</v>
      </c>
      <c r="F141" s="109">
        <f>_xlfn.XLOOKUP(Table1215[[#This Row],[Name]],Table1624[Name],Table1624[Totals],,0,1)</f>
        <v>0.5541666666666667</v>
      </c>
      <c r="G141" s="65">
        <f>IFERROR(Table1215[[#This Row],[Points]]/Table1215[[#This Row],[GP]],"N/A")</f>
        <v>1.6666666666666667</v>
      </c>
      <c r="H141" s="64">
        <f>COUNTIF(_xlfn.XLOOKUP(Table1215[[#This Row],[Name]],Table16[Name],Table16[[September 30, 2025]:[Column18]],,0,1),"&gt;=8")</f>
        <v>0</v>
      </c>
      <c r="I141" s="110" t="str">
        <f>IFERROR(AVERAGEIF(_xlfn.XLOOKUP(Table1215[[#This Row],[Name]],Table16[Name],Table16[[September 30, 2025]:[Column18]],,0,1),"&gt;=8"),"N/A")</f>
        <v>N/A</v>
      </c>
      <c r="J141" s="66">
        <f>IFERROR(Table1215[[#This Row],[FTA]]/Table1215[[#This Row],[GP]],"N/A")</f>
        <v>0</v>
      </c>
      <c r="K141" s="67">
        <f>COUNTIF(_xlfn.XLOOKUP(Table1215[[#This Row],[Name]],Table16[Name],Table16[[September 30, 2025]:[Column18]],,0,1),"&gt;=15")</f>
        <v>0</v>
      </c>
    </row>
    <row r="142" spans="1:11">
      <c r="A142" s="69"/>
      <c r="B142" s="82">
        <f>INDEX(AllTime1[All-time rank], MATCH(SMALL(AllTime1[Helper], ROW(Structures!$G137)), AllTime1[Helper], 0))</f>
        <v>136</v>
      </c>
      <c r="C142" s="64" t="str">
        <f>TEXT(INDEX(AllTime1[Name], MATCH(SMALL(AllTime1[Helper], ROW(Structures!$G137)), AllTime1[Helper], 0)),"@")</f>
        <v>Amal Sathees</v>
      </c>
      <c r="D142" s="64">
        <f>INDEX(AllTime1[All-time score], MATCH(LARGE(AllTime1[Helper2], ROW(Structures!$G137)), AllTime1[Helper2], 0))</f>
        <v>10</v>
      </c>
      <c r="E142" s="64">
        <f>COUNTIF(_xlfn.XLOOKUP(Table1215[[#This Row],[Name]],Table16[Name],Table16[[September 30, 2025]:[Column18]],,0,1),"&gt;=0")</f>
        <v>9</v>
      </c>
      <c r="F142" s="109">
        <f>_xlfn.XLOOKUP(Table1215[[#This Row],[Name]],Table1624[Name],Table1624[Totals],,0,1)</f>
        <v>0.75071428571428578</v>
      </c>
      <c r="G142" s="65">
        <f>IFERROR(Table1215[[#This Row],[Points]]/Table1215[[#This Row],[GP]],"N/A")</f>
        <v>1.1111111111111112</v>
      </c>
      <c r="H142" s="64">
        <f>COUNTIF(_xlfn.XLOOKUP(Table1215[[#This Row],[Name]],Table16[Name],Table16[[September 30, 2025]:[Column18]],,0,1),"&gt;=8")</f>
        <v>0</v>
      </c>
      <c r="I142" s="110" t="str">
        <f>IFERROR(AVERAGEIF(_xlfn.XLOOKUP(Table1215[[#This Row],[Name]],Table16[Name],Table16[[September 30, 2025]:[Column18]],,0,1),"&gt;=8"),"N/A")</f>
        <v>N/A</v>
      </c>
      <c r="J142" s="66">
        <f>IFERROR(Table1215[[#This Row],[FTA]]/Table1215[[#This Row],[GP]],"N/A")</f>
        <v>0</v>
      </c>
      <c r="K142" s="67">
        <f>COUNTIF(_xlfn.XLOOKUP(Table1215[[#This Row],[Name]],Table16[Name],Table16[[September 30, 2025]:[Column18]],,0,1),"&gt;=15")</f>
        <v>0</v>
      </c>
    </row>
    <row r="143" spans="1:11">
      <c r="A143" s="69"/>
      <c r="B143" s="82">
        <f>INDEX(AllTime1[All-time rank], MATCH(SMALL(AllTime1[Helper], ROW(Structures!$G138)), AllTime1[Helper], 0))</f>
        <v>136</v>
      </c>
      <c r="C143" s="64" t="str">
        <f>TEXT(INDEX(AllTime1[Name], MATCH(SMALL(AllTime1[Helper], ROW(Structures!$G138)), AllTime1[Helper], 0)),"@")</f>
        <v>Anthony Di Pasquale</v>
      </c>
      <c r="D143" s="64">
        <f>INDEX(AllTime1[All-time score], MATCH(LARGE(AllTime1[Helper2], ROW(Structures!$G138)), AllTime1[Helper2], 0))</f>
        <v>10</v>
      </c>
      <c r="E143" s="64">
        <f>COUNTIF(_xlfn.XLOOKUP(Table1215[[#This Row],[Name]],Table16[Name],Table16[[September 30, 2025]:[Column18]],,0,1),"&gt;=0")</f>
        <v>7</v>
      </c>
      <c r="F143" s="109">
        <f>_xlfn.XLOOKUP(Table1215[[#This Row],[Name]],Table1624[Name],Table1624[Totals],,0,1)</f>
        <v>0.64633333333333332</v>
      </c>
      <c r="G143" s="65">
        <f>IFERROR(Table1215[[#This Row],[Points]]/Table1215[[#This Row],[GP]],"N/A")</f>
        <v>1.4285714285714286</v>
      </c>
      <c r="H143" s="64">
        <f>COUNTIF(_xlfn.XLOOKUP(Table1215[[#This Row],[Name]],Table16[Name],Table16[[September 30, 2025]:[Column18]],,0,1),"&gt;=8")</f>
        <v>0</v>
      </c>
      <c r="I143" s="110" t="str">
        <f>IFERROR(AVERAGEIF(_xlfn.XLOOKUP(Table1215[[#This Row],[Name]],Table16[Name],Table16[[September 30, 2025]:[Column18]],,0,1),"&gt;=8"),"N/A")</f>
        <v>N/A</v>
      </c>
      <c r="J143" s="66">
        <f>IFERROR(Table1215[[#This Row],[FTA]]/Table1215[[#This Row],[GP]],"N/A")</f>
        <v>0</v>
      </c>
      <c r="K143" s="67">
        <f>COUNTIF(_xlfn.XLOOKUP(Table1215[[#This Row],[Name]],Table16[Name],Table16[[September 30, 2025]:[Column18]],,0,1),"&gt;=15")</f>
        <v>0</v>
      </c>
    </row>
    <row r="144" spans="1:11">
      <c r="A144" s="69"/>
      <c r="B144" s="82">
        <f>INDEX(AllTime1[All-time rank], MATCH(SMALL(AllTime1[Helper], ROW(Structures!$G139)), AllTime1[Helper], 0))</f>
        <v>136</v>
      </c>
      <c r="C144" s="64" t="str">
        <f>TEXT(INDEX(AllTime1[Name], MATCH(SMALL(AllTime1[Helper], ROW(Structures!$G139)), AllTime1[Helper], 0)),"@")</f>
        <v>Dami Oyefeso</v>
      </c>
      <c r="D144" s="64">
        <f>INDEX(AllTime1[All-time score], MATCH(LARGE(AllTime1[Helper2], ROW(Structures!$G139)), AllTime1[Helper2], 0))</f>
        <v>10</v>
      </c>
      <c r="E144" s="64">
        <f>COUNTIF(_xlfn.XLOOKUP(Table1215[[#This Row],[Name]],Table16[Name],Table16[[September 30, 2025]:[Column18]],,0,1),"&gt;=0")</f>
        <v>2</v>
      </c>
      <c r="F144" s="109">
        <f>_xlfn.XLOOKUP(Table1215[[#This Row],[Name]],Table1624[Name],Table1624[Totals],,0,1)</f>
        <v>0.23300000000000001</v>
      </c>
      <c r="G144" s="65">
        <f>IFERROR(Table1215[[#This Row],[Points]]/Table1215[[#This Row],[GP]],"N/A")</f>
        <v>5</v>
      </c>
      <c r="H144" s="64">
        <f>COUNTIF(_xlfn.XLOOKUP(Table1215[[#This Row],[Name]],Table16[Name],Table16[[September 30, 2025]:[Column18]],,0,1),"&gt;=8")</f>
        <v>1</v>
      </c>
      <c r="I144" s="110">
        <f>IFERROR(AVERAGEIF(_xlfn.XLOOKUP(Table1215[[#This Row],[Name]],Table16[Name],Table16[[September 30, 2025]:[Column18]],,0,1),"&gt;=8"),"N/A")</f>
        <v>8</v>
      </c>
      <c r="J144" s="66">
        <f>IFERROR(Table1215[[#This Row],[FTA]]/Table1215[[#This Row],[GP]],"N/A")</f>
        <v>0.5</v>
      </c>
      <c r="K144" s="67">
        <f>COUNTIF(_xlfn.XLOOKUP(Table1215[[#This Row],[Name]],Table16[Name],Table16[[September 30, 2025]:[Column18]],,0,1),"&gt;=15")</f>
        <v>0</v>
      </c>
    </row>
    <row r="145" spans="1:11">
      <c r="A145" s="69"/>
      <c r="B145" s="82">
        <f>INDEX(AllTime1[All-time rank], MATCH(SMALL(AllTime1[Helper], ROW(Structures!$G140)), AllTime1[Helper], 0))</f>
        <v>136</v>
      </c>
      <c r="C145" s="64" t="str">
        <f>TEXT(INDEX(AllTime1[Name], MATCH(SMALL(AllTime1[Helper], ROW(Structures!$G140)), AllTime1[Helper], 0)),"@")</f>
        <v>Jack Watson</v>
      </c>
      <c r="D145" s="64">
        <f>INDEX(AllTime1[All-time score], MATCH(LARGE(AllTime1[Helper2], ROW(Structures!$G140)), AllTime1[Helper2], 0))</f>
        <v>10</v>
      </c>
      <c r="E145" s="64">
        <f>COUNTIF(_xlfn.XLOOKUP(Table1215[[#This Row],[Name]],Table16[Name],Table16[[September 30, 2025]:[Column18]],,0,1),"&gt;=0")</f>
        <v>9</v>
      </c>
      <c r="F145" s="109">
        <f>_xlfn.XLOOKUP(Table1215[[#This Row],[Name]],Table1624[Name],Table1624[Totals],,0,1)</f>
        <v>0.80162500000000003</v>
      </c>
      <c r="G145" s="65">
        <f>IFERROR(Table1215[[#This Row],[Points]]/Table1215[[#This Row],[GP]],"N/A")</f>
        <v>1.1111111111111112</v>
      </c>
      <c r="H145" s="64">
        <f>COUNTIF(_xlfn.XLOOKUP(Table1215[[#This Row],[Name]],Table16[Name],Table16[[September 30, 2025]:[Column18]],,0,1),"&gt;=8")</f>
        <v>0</v>
      </c>
      <c r="I145" s="110" t="str">
        <f>IFERROR(AVERAGEIF(_xlfn.XLOOKUP(Table1215[[#This Row],[Name]],Table16[Name],Table16[[September 30, 2025]:[Column18]],,0,1),"&gt;=8"),"N/A")</f>
        <v>N/A</v>
      </c>
      <c r="J145" s="66">
        <f>IFERROR(Table1215[[#This Row],[FTA]]/Table1215[[#This Row],[GP]],"N/A")</f>
        <v>0</v>
      </c>
      <c r="K145" s="67">
        <f>COUNTIF(_xlfn.XLOOKUP(Table1215[[#This Row],[Name]],Table16[Name],Table16[[September 30, 2025]:[Column18]],,0,1),"&gt;=15")</f>
        <v>0</v>
      </c>
    </row>
    <row r="146" spans="1:11">
      <c r="A146" s="69"/>
      <c r="B146" s="82">
        <f>INDEX(AllTime1[All-time rank], MATCH(SMALL(AllTime1[Helper], ROW(Structures!$G141)), AllTime1[Helper], 0))</f>
        <v>136</v>
      </c>
      <c r="C146" s="64" t="str">
        <f>TEXT(INDEX(AllTime1[Name], MATCH(SMALL(AllTime1[Helper], ROW(Structures!$G141)), AllTime1[Helper], 0)),"@")</f>
        <v>Jasmin Gu</v>
      </c>
      <c r="D146" s="64">
        <f>INDEX(AllTime1[All-time score], MATCH(LARGE(AllTime1[Helper2], ROW(Structures!$G141)), AllTime1[Helper2], 0))</f>
        <v>10</v>
      </c>
      <c r="E146" s="64">
        <f>COUNTIF(_xlfn.XLOOKUP(Table1215[[#This Row],[Name]],Table16[Name],Table16[[September 30, 2025]:[Column18]],,0,1),"&gt;=0")</f>
        <v>1</v>
      </c>
      <c r="F146" s="109">
        <f>_xlfn.XLOOKUP(Table1215[[#This Row],[Name]],Table1624[Name],Table1624[Totals],,0,1)</f>
        <v>7.3999999999999996E-2</v>
      </c>
      <c r="G146" s="65">
        <f>IFERROR(Table1215[[#This Row],[Points]]/Table1215[[#This Row],[GP]],"N/A")</f>
        <v>10</v>
      </c>
      <c r="H146" s="64">
        <f>COUNTIF(_xlfn.XLOOKUP(Table1215[[#This Row],[Name]],Table16[Name],Table16[[September 30, 2025]:[Column18]],,0,1),"&gt;=8")</f>
        <v>1</v>
      </c>
      <c r="I146" s="110">
        <f>IFERROR(AVERAGEIF(_xlfn.XLOOKUP(Table1215[[#This Row],[Name]],Table16[Name],Table16[[September 30, 2025]:[Column18]],,0,1),"&gt;=8"),"N/A")</f>
        <v>10</v>
      </c>
      <c r="J146" s="66">
        <f>IFERROR(Table1215[[#This Row],[FTA]]/Table1215[[#This Row],[GP]],"N/A")</f>
        <v>1</v>
      </c>
      <c r="K146" s="67">
        <f>COUNTIF(_xlfn.XLOOKUP(Table1215[[#This Row],[Name]],Table16[Name],Table16[[September 30, 2025]:[Column18]],,0,1),"&gt;=15")</f>
        <v>0</v>
      </c>
    </row>
    <row r="147" spans="1:11">
      <c r="A147" s="69"/>
      <c r="B147" s="82">
        <f>INDEX(AllTime1[All-time rank], MATCH(SMALL(AllTime1[Helper], ROW(Structures!$G142)), AllTime1[Helper], 0))</f>
        <v>136</v>
      </c>
      <c r="C147" s="64" t="str">
        <f>TEXT(INDEX(AllTime1[Name], MATCH(SMALL(AllTime1[Helper], ROW(Structures!$G142)), AllTime1[Helper], 0)),"@")</f>
        <v>Lawrence Xu</v>
      </c>
      <c r="D147" s="64">
        <f>INDEX(AllTime1[All-time score], MATCH(LARGE(AllTime1[Helper2], ROW(Structures!$G142)), AllTime1[Helper2], 0))</f>
        <v>10</v>
      </c>
      <c r="E147" s="64">
        <f>COUNTIF(_xlfn.XLOOKUP(Table1215[[#This Row],[Name]],Table16[Name],Table16[[September 30, 2025]:[Column18]],,0,1),"&gt;=0")</f>
        <v>6</v>
      </c>
      <c r="F147" s="109">
        <f>_xlfn.XLOOKUP(Table1215[[#This Row],[Name]],Table1624[Name],Table1624[Totals],,0,1)</f>
        <v>0.55500000000000005</v>
      </c>
      <c r="G147" s="65">
        <f>IFERROR(Table1215[[#This Row],[Points]]/Table1215[[#This Row],[GP]],"N/A")</f>
        <v>1.6666666666666667</v>
      </c>
      <c r="H147" s="64">
        <f>COUNTIF(_xlfn.XLOOKUP(Table1215[[#This Row],[Name]],Table16[Name],Table16[[September 30, 2025]:[Column18]],,0,1),"&gt;=8")</f>
        <v>0</v>
      </c>
      <c r="I147" s="110" t="str">
        <f>IFERROR(AVERAGEIF(_xlfn.XLOOKUP(Table1215[[#This Row],[Name]],Table16[Name],Table16[[September 30, 2025]:[Column18]],,0,1),"&gt;=8"),"N/A")</f>
        <v>N/A</v>
      </c>
      <c r="J147" s="66">
        <f>IFERROR(Table1215[[#This Row],[FTA]]/Table1215[[#This Row],[GP]],"N/A")</f>
        <v>0</v>
      </c>
      <c r="K147" s="67">
        <f>COUNTIF(_xlfn.XLOOKUP(Table1215[[#This Row],[Name]],Table16[Name],Table16[[September 30, 2025]:[Column18]],,0,1),"&gt;=15")</f>
        <v>0</v>
      </c>
    </row>
    <row r="148" spans="1:11">
      <c r="A148" s="69"/>
      <c r="B148" s="82">
        <f>INDEX(AllTime1[All-time rank], MATCH(SMALL(AllTime1[Helper], ROW(Structures!$G143)), AllTime1[Helper], 0))</f>
        <v>136</v>
      </c>
      <c r="C148" s="64" t="str">
        <f>TEXT(INDEX(AllTime1[Name], MATCH(SMALL(AllTime1[Helper], ROW(Structures!$G143)), AllTime1[Helper], 0)),"@")</f>
        <v>Moksh Shah</v>
      </c>
      <c r="D148" s="64">
        <f>INDEX(AllTime1[All-time score], MATCH(LARGE(AllTime1[Helper2], ROW(Structures!$G143)), AllTime1[Helper2], 0))</f>
        <v>10</v>
      </c>
      <c r="E148" s="64">
        <f>COUNTIF(_xlfn.XLOOKUP(Table1215[[#This Row],[Name]],Table16[Name],Table16[[September 30, 2025]:[Column18]],,0,1),"&gt;=0")</f>
        <v>3</v>
      </c>
      <c r="F148" s="109">
        <f>_xlfn.XLOOKUP(Table1215[[#This Row],[Name]],Table1624[Name],Table1624[Totals],,0,1)</f>
        <v>0.48</v>
      </c>
      <c r="G148" s="65">
        <f>IFERROR(Table1215[[#This Row],[Points]]/Table1215[[#This Row],[GP]],"N/A")</f>
        <v>3.3333333333333335</v>
      </c>
      <c r="H148" s="64">
        <f>COUNTIF(_xlfn.XLOOKUP(Table1215[[#This Row],[Name]],Table16[Name],Table16[[September 30, 2025]:[Column18]],,0,1),"&gt;=8")</f>
        <v>1</v>
      </c>
      <c r="I148" s="110">
        <f>IFERROR(AVERAGEIF(_xlfn.XLOOKUP(Table1215[[#This Row],[Name]],Table16[Name],Table16[[September 30, 2025]:[Column18]],,0,1),"&gt;=8"),"N/A")</f>
        <v>8</v>
      </c>
      <c r="J148" s="66">
        <f>IFERROR(Table1215[[#This Row],[FTA]]/Table1215[[#This Row],[GP]],"N/A")</f>
        <v>0.33333333333333331</v>
      </c>
      <c r="K148" s="67">
        <f>COUNTIF(_xlfn.XLOOKUP(Table1215[[#This Row],[Name]],Table16[Name],Table16[[September 30, 2025]:[Column18]],,0,1),"&gt;=15")</f>
        <v>0</v>
      </c>
    </row>
    <row r="149" spans="1:11">
      <c r="A149" s="69"/>
      <c r="B149" s="82">
        <f>INDEX(AllTime1[All-time rank], MATCH(SMALL(AllTime1[Helper], ROW(Structures!$G144)), AllTime1[Helper], 0))</f>
        <v>136</v>
      </c>
      <c r="C149" s="64" t="str">
        <f>TEXT(INDEX(AllTime1[Name], MATCH(SMALL(AllTime1[Helper], ROW(Structures!$G144)), AllTime1[Helper], 0)),"@")</f>
        <v>Noah Lee</v>
      </c>
      <c r="D149" s="64">
        <f>INDEX(AllTime1[All-time score], MATCH(LARGE(AllTime1[Helper2], ROW(Structures!$G144)), AllTime1[Helper2], 0))</f>
        <v>10</v>
      </c>
      <c r="E149" s="64">
        <f>COUNTIF(_xlfn.XLOOKUP(Table1215[[#This Row],[Name]],Table16[Name],Table16[[September 30, 2025]:[Column18]],,0,1),"&gt;=0")</f>
        <v>5</v>
      </c>
      <c r="F149" s="109">
        <f>_xlfn.XLOOKUP(Table1215[[#This Row],[Name]],Table1624[Name],Table1624[Totals],,0,1)</f>
        <v>0.39320000000000005</v>
      </c>
      <c r="G149" s="65">
        <f>IFERROR(Table1215[[#This Row],[Points]]/Table1215[[#This Row],[GP]],"N/A")</f>
        <v>2</v>
      </c>
      <c r="H149" s="64">
        <f>COUNTIF(_xlfn.XLOOKUP(Table1215[[#This Row],[Name]],Table16[Name],Table16[[September 30, 2025]:[Column18]],,0,1),"&gt;=8")</f>
        <v>0</v>
      </c>
      <c r="I149" s="110" t="str">
        <f>IFERROR(AVERAGEIF(_xlfn.XLOOKUP(Table1215[[#This Row],[Name]],Table16[Name],Table16[[September 30, 2025]:[Column18]],,0,1),"&gt;=8"),"N/A")</f>
        <v>N/A</v>
      </c>
      <c r="J149" s="66">
        <f>IFERROR(Table1215[[#This Row],[FTA]]/Table1215[[#This Row],[GP]],"N/A")</f>
        <v>0</v>
      </c>
      <c r="K149" s="67">
        <f>COUNTIF(_xlfn.XLOOKUP(Table1215[[#This Row],[Name]],Table16[Name],Table16[[September 30, 2025]:[Column18]],,0,1),"&gt;=15")</f>
        <v>0</v>
      </c>
    </row>
    <row r="150" spans="1:11">
      <c r="A150" s="69"/>
      <c r="B150" s="82">
        <f>INDEX(AllTime1[All-time rank], MATCH(SMALL(AllTime1[Helper], ROW(Structures!$G145)), AllTime1[Helper], 0))</f>
        <v>136</v>
      </c>
      <c r="C150" s="64" t="str">
        <f>TEXT(INDEX(AllTime1[Name], MATCH(SMALL(AllTime1[Helper], ROW(Structures!$G145)), AllTime1[Helper], 0)),"@")</f>
        <v>Param Agarwal</v>
      </c>
      <c r="D150" s="64">
        <f>INDEX(AllTime1[All-time score], MATCH(LARGE(AllTime1[Helper2], ROW(Structures!$G145)), AllTime1[Helper2], 0))</f>
        <v>10</v>
      </c>
      <c r="E150" s="64">
        <f>COUNTIF(_xlfn.XLOOKUP(Table1215[[#This Row],[Name]],Table16[Name],Table16[[September 30, 2025]:[Column18]],,0,1),"&gt;=0")</f>
        <v>4</v>
      </c>
      <c r="F150" s="109">
        <f>_xlfn.XLOOKUP(Table1215[[#This Row],[Name]],Table1624[Name],Table1624[Totals],,0,1)</f>
        <v>0.37333333333333335</v>
      </c>
      <c r="G150" s="65">
        <f>IFERROR(Table1215[[#This Row],[Points]]/Table1215[[#This Row],[GP]],"N/A")</f>
        <v>2.5</v>
      </c>
      <c r="H150" s="64">
        <f>COUNTIF(_xlfn.XLOOKUP(Table1215[[#This Row],[Name]],Table16[Name],Table16[[September 30, 2025]:[Column18]],,0,1),"&gt;=8")</f>
        <v>0</v>
      </c>
      <c r="I150" s="110" t="str">
        <f>IFERROR(AVERAGEIF(_xlfn.XLOOKUP(Table1215[[#This Row],[Name]],Table16[Name],Table16[[September 30, 2025]:[Column18]],,0,1),"&gt;=8"),"N/A")</f>
        <v>N/A</v>
      </c>
      <c r="J150" s="66">
        <f>IFERROR(Table1215[[#This Row],[FTA]]/Table1215[[#This Row],[GP]],"N/A")</f>
        <v>0</v>
      </c>
      <c r="K150" s="67">
        <f>COUNTIF(_xlfn.XLOOKUP(Table1215[[#This Row],[Name]],Table16[Name],Table16[[September 30, 2025]:[Column18]],,0,1),"&gt;=15")</f>
        <v>0</v>
      </c>
    </row>
    <row r="151" spans="1:11">
      <c r="A151" s="69"/>
      <c r="B151" s="82">
        <f>INDEX(AllTime1[All-time rank], MATCH(SMALL(AllTime1[Helper], ROW(Structures!$G146)), AllTime1[Helper], 0))</f>
        <v>136</v>
      </c>
      <c r="C151" s="64" t="str">
        <f>TEXT(INDEX(AllTime1[Name], MATCH(SMALL(AllTime1[Helper], ROW(Structures!$G146)), AllTime1[Helper], 0)),"@")</f>
        <v>Romina Tabesh</v>
      </c>
      <c r="D151" s="64">
        <f>INDEX(AllTime1[All-time score], MATCH(LARGE(AllTime1[Helper2], ROW(Structures!$G146)), AllTime1[Helper2], 0))</f>
        <v>10</v>
      </c>
      <c r="E151" s="64">
        <f>COUNTIF(_xlfn.XLOOKUP(Table1215[[#This Row],[Name]],Table16[Name],Table16[[September 30, 2025]:[Column18]],,0,1),"&gt;=0")</f>
        <v>1</v>
      </c>
      <c r="F151" s="109">
        <f>_xlfn.XLOOKUP(Table1215[[#This Row],[Name]],Table1624[Name],Table1624[Totals],,0,1)</f>
        <v>6.8000000000000005E-2</v>
      </c>
      <c r="G151" s="65">
        <f>IFERROR(Table1215[[#This Row],[Points]]/Table1215[[#This Row],[GP]],"N/A")</f>
        <v>10</v>
      </c>
      <c r="H151" s="64">
        <f>COUNTIF(_xlfn.XLOOKUP(Table1215[[#This Row],[Name]],Table16[Name],Table16[[September 30, 2025]:[Column18]],,0,1),"&gt;=8")</f>
        <v>1</v>
      </c>
      <c r="I151" s="110">
        <f>IFERROR(AVERAGEIF(_xlfn.XLOOKUP(Table1215[[#This Row],[Name]],Table16[Name],Table16[[September 30, 2025]:[Column18]],,0,1),"&gt;=8"),"N/A")</f>
        <v>10</v>
      </c>
      <c r="J151" s="66">
        <f>IFERROR(Table1215[[#This Row],[FTA]]/Table1215[[#This Row],[GP]],"N/A")</f>
        <v>1</v>
      </c>
      <c r="K151" s="67">
        <f>COUNTIF(_xlfn.XLOOKUP(Table1215[[#This Row],[Name]],Table16[Name],Table16[[September 30, 2025]:[Column18]],,0,1),"&gt;=15")</f>
        <v>0</v>
      </c>
    </row>
    <row r="152" spans="1:11">
      <c r="A152" s="69"/>
      <c r="B152" s="82">
        <f>INDEX(AllTime1[All-time rank], MATCH(SMALL(AllTime1[Helper], ROW(Structures!$G147)), AllTime1[Helper], 0))</f>
        <v>147</v>
      </c>
      <c r="C152" s="64" t="str">
        <f>TEXT(INDEX(AllTime1[Name], MATCH(SMALL(AllTime1[Helper], ROW(Structures!$G147)), AllTime1[Helper], 0)),"@")</f>
        <v>Jillian Ouyang</v>
      </c>
      <c r="D152" s="64">
        <f>INDEX(AllTime1[All-time score], MATCH(LARGE(AllTime1[Helper2], ROW(Structures!$G147)), AllTime1[Helper2], 0))</f>
        <v>9</v>
      </c>
      <c r="E152" s="64">
        <f>COUNTIF(_xlfn.XLOOKUP(Table1215[[#This Row],[Name]],Table16[Name],Table16[[September 30, 2025]:[Column18]],,0,1),"&gt;=0")</f>
        <v>6</v>
      </c>
      <c r="F152" s="109">
        <f>_xlfn.XLOOKUP(Table1215[[#This Row],[Name]],Table1624[Name],Table1624[Totals],,0,1)</f>
        <v>0.61716666666666664</v>
      </c>
      <c r="G152" s="65">
        <f>IFERROR(Table1215[[#This Row],[Points]]/Table1215[[#This Row],[GP]],"N/A")</f>
        <v>1.5</v>
      </c>
      <c r="H152" s="64">
        <f>COUNTIF(_xlfn.XLOOKUP(Table1215[[#This Row],[Name]],Table16[Name],Table16[[September 30, 2025]:[Column18]],,0,1),"&gt;=8")</f>
        <v>0</v>
      </c>
      <c r="I152" s="110" t="str">
        <f>IFERROR(AVERAGEIF(_xlfn.XLOOKUP(Table1215[[#This Row],[Name]],Table16[Name],Table16[[September 30, 2025]:[Column18]],,0,1),"&gt;=8"),"N/A")</f>
        <v>N/A</v>
      </c>
      <c r="J152" s="66">
        <f>IFERROR(Table1215[[#This Row],[FTA]]/Table1215[[#This Row],[GP]],"N/A")</f>
        <v>0</v>
      </c>
      <c r="K152" s="67">
        <f>COUNTIF(_xlfn.XLOOKUP(Table1215[[#This Row],[Name]],Table16[Name],Table16[[September 30, 2025]:[Column18]],,0,1),"&gt;=15")</f>
        <v>0</v>
      </c>
    </row>
    <row r="153" spans="1:11">
      <c r="A153" s="69"/>
      <c r="B153" s="82">
        <f>INDEX(AllTime1[All-time rank], MATCH(SMALL(AllTime1[Helper], ROW(Structures!$G148)), AllTime1[Helper], 0))</f>
        <v>147</v>
      </c>
      <c r="C153" s="64" t="str">
        <f>TEXT(INDEX(AllTime1[Name], MATCH(SMALL(AllTime1[Helper], ROW(Structures!$G148)), AllTime1[Helper], 0)),"@")</f>
        <v>Ray Macaulay</v>
      </c>
      <c r="D153" s="64">
        <f>INDEX(AllTime1[All-time score], MATCH(LARGE(AllTime1[Helper2], ROW(Structures!$G148)), AllTime1[Helper2], 0))</f>
        <v>9</v>
      </c>
      <c r="E153" s="64">
        <f>COUNTIF(_xlfn.XLOOKUP(Table1215[[#This Row],[Name]],Table16[Name],Table16[[September 30, 2025]:[Column18]],,0,1),"&gt;=0")</f>
        <v>8</v>
      </c>
      <c r="F153" s="109">
        <f>_xlfn.XLOOKUP(Table1215[[#This Row],[Name]],Table1624[Name],Table1624[Totals],,0,1)</f>
        <v>0.6904285714285715</v>
      </c>
      <c r="G153" s="65">
        <f>IFERROR(Table1215[[#This Row],[Points]]/Table1215[[#This Row],[GP]],"N/A")</f>
        <v>1.125</v>
      </c>
      <c r="H153" s="64">
        <f>COUNTIF(_xlfn.XLOOKUP(Table1215[[#This Row],[Name]],Table16[Name],Table16[[September 30, 2025]:[Column18]],,0,1),"&gt;=8")</f>
        <v>0</v>
      </c>
      <c r="I153" s="110" t="str">
        <f>IFERROR(AVERAGEIF(_xlfn.XLOOKUP(Table1215[[#This Row],[Name]],Table16[Name],Table16[[September 30, 2025]:[Column18]],,0,1),"&gt;=8"),"N/A")</f>
        <v>N/A</v>
      </c>
      <c r="J153" s="66">
        <f>IFERROR(Table1215[[#This Row],[FTA]]/Table1215[[#This Row],[GP]],"N/A")</f>
        <v>0</v>
      </c>
      <c r="K153" s="67">
        <f>COUNTIF(_xlfn.XLOOKUP(Table1215[[#This Row],[Name]],Table16[Name],Table16[[September 30, 2025]:[Column18]],,0,1),"&gt;=15")</f>
        <v>0</v>
      </c>
    </row>
    <row r="154" spans="1:11">
      <c r="A154" s="69"/>
      <c r="B154" s="82">
        <f>INDEX(AllTime1[All-time rank], MATCH(SMALL(AllTime1[Helper], ROW(Structures!$G149)), AllTime1[Helper], 0))</f>
        <v>147</v>
      </c>
      <c r="C154" s="64" t="str">
        <f>TEXT(INDEX(AllTime1[Name], MATCH(SMALL(AllTime1[Helper], ROW(Structures!$G149)), AllTime1[Helper], 0)),"@")</f>
        <v>Marcel Cannan La France</v>
      </c>
      <c r="D154" s="64">
        <f>INDEX(AllTime1[All-time score], MATCH(LARGE(AllTime1[Helper2], ROW(Structures!$G149)), AllTime1[Helper2], 0))</f>
        <v>9</v>
      </c>
      <c r="E154" s="64">
        <f>COUNTIF(_xlfn.XLOOKUP(Table1215[[#This Row],[Name]],Table16[Name],Table16[[September 30, 2025]:[Column18]],,0,1),"&gt;=0")</f>
        <v>5</v>
      </c>
      <c r="F154" s="109">
        <f>_xlfn.XLOOKUP(Table1215[[#This Row],[Name]],Table1624[Name],Table1624[Totals],,0,1)</f>
        <v>0.5848000000000001</v>
      </c>
      <c r="G154" s="65">
        <f>IFERROR(Table1215[[#This Row],[Points]]/Table1215[[#This Row],[GP]],"N/A")</f>
        <v>1.8</v>
      </c>
      <c r="H154" s="64">
        <f>COUNTIF(_xlfn.XLOOKUP(Table1215[[#This Row],[Name]],Table16[Name],Table16[[September 30, 2025]:[Column18]],,0,1),"&gt;=8")</f>
        <v>0</v>
      </c>
      <c r="I154" s="110" t="str">
        <f>IFERROR(AVERAGEIF(_xlfn.XLOOKUP(Table1215[[#This Row],[Name]],Table16[Name],Table16[[September 30, 2025]:[Column18]],,0,1),"&gt;=8"),"N/A")</f>
        <v>N/A</v>
      </c>
      <c r="J154" s="66">
        <f>IFERROR(Table1215[[#This Row],[FTA]]/Table1215[[#This Row],[GP]],"N/A")</f>
        <v>0</v>
      </c>
      <c r="K154" s="67">
        <f>COUNTIF(_xlfn.XLOOKUP(Table1215[[#This Row],[Name]],Table16[Name],Table16[[September 30, 2025]:[Column18]],,0,1),"&gt;=15")</f>
        <v>0</v>
      </c>
    </row>
    <row r="155" spans="1:11">
      <c r="A155" s="69"/>
      <c r="B155" s="82">
        <f>INDEX(AllTime1[All-time rank], MATCH(SMALL(AllTime1[Helper], ROW(Structures!$G150)), AllTime1[Helper], 0))</f>
        <v>147</v>
      </c>
      <c r="C155" s="64" t="str">
        <f>TEXT(INDEX(AllTime1[Name], MATCH(SMALL(AllTime1[Helper], ROW(Structures!$G150)), AllTime1[Helper], 0)),"@")</f>
        <v>Michael Salazar</v>
      </c>
      <c r="D155" s="64">
        <f>INDEX(AllTime1[All-time score], MATCH(LARGE(AllTime1[Helper2], ROW(Structures!$G150)), AllTime1[Helper2], 0))</f>
        <v>9</v>
      </c>
      <c r="E155" s="64">
        <f>COUNTIF(_xlfn.XLOOKUP(Table1215[[#This Row],[Name]],Table16[Name],Table16[[September 30, 2025]:[Column18]],,0,1),"&gt;=0")</f>
        <v>6</v>
      </c>
      <c r="F155" s="109">
        <f>_xlfn.XLOOKUP(Table1215[[#This Row],[Name]],Table1624[Name],Table1624[Totals],,0,1)</f>
        <v>0.66700000000000015</v>
      </c>
      <c r="G155" s="65">
        <f>IFERROR(Table1215[[#This Row],[Points]]/Table1215[[#This Row],[GP]],"N/A")</f>
        <v>1.5</v>
      </c>
      <c r="H155" s="64">
        <f>COUNTIF(_xlfn.XLOOKUP(Table1215[[#This Row],[Name]],Table16[Name],Table16[[September 30, 2025]:[Column18]],,0,1),"&gt;=8")</f>
        <v>0</v>
      </c>
      <c r="I155" s="110" t="str">
        <f>IFERROR(AVERAGEIF(_xlfn.XLOOKUP(Table1215[[#This Row],[Name]],Table16[Name],Table16[[September 30, 2025]:[Column18]],,0,1),"&gt;=8"),"N/A")</f>
        <v>N/A</v>
      </c>
      <c r="J155" s="66">
        <f>IFERROR(Table1215[[#This Row],[FTA]]/Table1215[[#This Row],[GP]],"N/A")</f>
        <v>0</v>
      </c>
      <c r="K155" s="67">
        <f>COUNTIF(_xlfn.XLOOKUP(Table1215[[#This Row],[Name]],Table16[Name],Table16[[September 30, 2025]:[Column18]],,0,1),"&gt;=15")</f>
        <v>0</v>
      </c>
    </row>
    <row r="156" spans="1:11">
      <c r="A156" s="69"/>
      <c r="B156" s="82">
        <f>INDEX(AllTime1[All-time rank], MATCH(SMALL(AllTime1[Helper], ROW(Structures!$G151)), AllTime1[Helper], 0))</f>
        <v>147</v>
      </c>
      <c r="C156" s="64" t="str">
        <f>TEXT(INDEX(AllTime1[Name], MATCH(SMALL(AllTime1[Helper], ROW(Structures!$G151)), AllTime1[Helper], 0)),"@")</f>
        <v>Shanbir Hira</v>
      </c>
      <c r="D156" s="64">
        <f>INDEX(AllTime1[All-time score], MATCH(LARGE(AllTime1[Helper2], ROW(Structures!$G151)), AllTime1[Helper2], 0))</f>
        <v>9</v>
      </c>
      <c r="E156" s="64">
        <f>COUNTIF(_xlfn.XLOOKUP(Table1215[[#This Row],[Name]],Table16[Name],Table16[[September 30, 2025]:[Column18]],,0,1),"&gt;=0")</f>
        <v>2</v>
      </c>
      <c r="F156" s="109">
        <f>_xlfn.XLOOKUP(Table1215[[#This Row],[Name]],Table1624[Name],Table1624[Totals],,0,1)</f>
        <v>0.36</v>
      </c>
      <c r="G156" s="65">
        <f>IFERROR(Table1215[[#This Row],[Points]]/Table1215[[#This Row],[GP]],"N/A")</f>
        <v>4.5</v>
      </c>
      <c r="H156" s="64">
        <f>COUNTIF(_xlfn.XLOOKUP(Table1215[[#This Row],[Name]],Table16[Name],Table16[[September 30, 2025]:[Column18]],,0,1),"&gt;=8")</f>
        <v>1</v>
      </c>
      <c r="I156" s="110">
        <f>IFERROR(AVERAGEIF(_xlfn.XLOOKUP(Table1215[[#This Row],[Name]],Table16[Name],Table16[[September 30, 2025]:[Column18]],,0,1),"&gt;=8"),"N/A")</f>
        <v>8</v>
      </c>
      <c r="J156" s="66">
        <f>IFERROR(Table1215[[#This Row],[FTA]]/Table1215[[#This Row],[GP]],"N/A")</f>
        <v>0.5</v>
      </c>
      <c r="K156" s="67">
        <f>COUNTIF(_xlfn.XLOOKUP(Table1215[[#This Row],[Name]],Table16[Name],Table16[[September 30, 2025]:[Column18]],,0,1),"&gt;=15")</f>
        <v>0</v>
      </c>
    </row>
    <row r="157" spans="1:11">
      <c r="A157" s="69"/>
      <c r="B157" s="82">
        <f>INDEX(AllTime1[All-time rank], MATCH(SMALL(AllTime1[Helper], ROW(Structures!$G152)), AllTime1[Helper], 0))</f>
        <v>147</v>
      </c>
      <c r="C157" s="64" t="str">
        <f>TEXT(INDEX(AllTime1[Name], MATCH(SMALL(AllTime1[Helper], ROW(Structures!$G152)), AllTime1[Helper], 0)),"@")</f>
        <v>Vanessa Olutayo</v>
      </c>
      <c r="D157" s="64">
        <f>INDEX(AllTime1[All-time score], MATCH(LARGE(AllTime1[Helper2], ROW(Structures!$G152)), AllTime1[Helper2], 0))</f>
        <v>9</v>
      </c>
      <c r="E157" s="64">
        <f>COUNTIF(_xlfn.XLOOKUP(Table1215[[#This Row],[Name]],Table16[Name],Table16[[September 30, 2025]:[Column18]],,0,1),"&gt;=0")</f>
        <v>2</v>
      </c>
      <c r="F157" s="109">
        <f>_xlfn.XLOOKUP(Table1215[[#This Row],[Name]],Table1624[Name],Table1624[Totals],,0,1)</f>
        <v>0.42049999999999998</v>
      </c>
      <c r="G157" s="65">
        <f>IFERROR(Table1215[[#This Row],[Points]]/Table1215[[#This Row],[GP]],"N/A")</f>
        <v>4.5</v>
      </c>
      <c r="H157" s="64">
        <f>COUNTIF(_xlfn.XLOOKUP(Table1215[[#This Row],[Name]],Table16[Name],Table16[[September 30, 2025]:[Column18]],,0,1),"&gt;=8")</f>
        <v>1</v>
      </c>
      <c r="I157" s="110">
        <f>IFERROR(AVERAGEIF(_xlfn.XLOOKUP(Table1215[[#This Row],[Name]],Table16[Name],Table16[[September 30, 2025]:[Column18]],,0,1),"&gt;=8"),"N/A")</f>
        <v>8</v>
      </c>
      <c r="J157" s="66">
        <f>IFERROR(Table1215[[#This Row],[FTA]]/Table1215[[#This Row],[GP]],"N/A")</f>
        <v>0.5</v>
      </c>
      <c r="K157" s="67">
        <f>COUNTIF(_xlfn.XLOOKUP(Table1215[[#This Row],[Name]],Table16[Name],Table16[[September 30, 2025]:[Column18]],,0,1),"&gt;=15")</f>
        <v>0</v>
      </c>
    </row>
    <row r="158" spans="1:11">
      <c r="A158" s="69"/>
      <c r="B158" s="82">
        <f>INDEX(AllTime1[All-time rank], MATCH(SMALL(AllTime1[Helper], ROW(Structures!$G153)), AllTime1[Helper], 0))</f>
        <v>147</v>
      </c>
      <c r="C158" s="64" t="str">
        <f>TEXT(INDEX(AllTime1[Name], MATCH(SMALL(AllTime1[Helper], ROW(Structures!$G153)), AllTime1[Helper], 0)),"@")</f>
        <v>Zeeshan Khan</v>
      </c>
      <c r="D158" s="64">
        <f>INDEX(AllTime1[All-time score], MATCH(LARGE(AllTime1[Helper2], ROW(Structures!$G153)), AllTime1[Helper2], 0))</f>
        <v>9</v>
      </c>
      <c r="E158" s="64">
        <f>COUNTIF(_xlfn.XLOOKUP(Table1215[[#This Row],[Name]],Table16[Name],Table16[[September 30, 2025]:[Column18]],,0,1),"&gt;=0")</f>
        <v>5</v>
      </c>
      <c r="F158" s="109">
        <f>_xlfn.XLOOKUP(Table1215[[#This Row],[Name]],Table1624[Name],Table1624[Totals],,0,1)</f>
        <v>0.56824999999999992</v>
      </c>
      <c r="G158" s="65">
        <f>IFERROR(Table1215[[#This Row],[Points]]/Table1215[[#This Row],[GP]],"N/A")</f>
        <v>1.8</v>
      </c>
      <c r="H158" s="64">
        <f>COUNTIF(_xlfn.XLOOKUP(Table1215[[#This Row],[Name]],Table16[Name],Table16[[September 30, 2025]:[Column18]],,0,1),"&gt;=8")</f>
        <v>0</v>
      </c>
      <c r="I158" s="110" t="str">
        <f>IFERROR(AVERAGEIF(_xlfn.XLOOKUP(Table1215[[#This Row],[Name]],Table16[Name],Table16[[September 30, 2025]:[Column18]],,0,1),"&gt;=8"),"N/A")</f>
        <v>N/A</v>
      </c>
      <c r="J158" s="66">
        <f>IFERROR(Table1215[[#This Row],[FTA]]/Table1215[[#This Row],[GP]],"N/A")</f>
        <v>0</v>
      </c>
      <c r="K158" s="67">
        <f>COUNTIF(_xlfn.XLOOKUP(Table1215[[#This Row],[Name]],Table16[Name],Table16[[September 30, 2025]:[Column18]],,0,1),"&gt;=15")</f>
        <v>0</v>
      </c>
    </row>
    <row r="159" spans="1:11">
      <c r="A159" s="69"/>
      <c r="B159" s="82">
        <f>INDEX(AllTime1[All-time rank], MATCH(SMALL(AllTime1[Helper], ROW(Structures!$G154)), AllTime1[Helper], 0))</f>
        <v>154</v>
      </c>
      <c r="C159" s="64" t="str">
        <f>TEXT(INDEX(AllTime1[Name], MATCH(SMALL(AllTime1[Helper], ROW(Structures!$G154)), AllTime1[Helper], 0)),"@")</f>
        <v>Cole Korchinski</v>
      </c>
      <c r="D159" s="64">
        <f>INDEX(AllTime1[All-time score], MATCH(LARGE(AllTime1[Helper2], ROW(Structures!$G154)), AllTime1[Helper2], 0))</f>
        <v>8</v>
      </c>
      <c r="E159" s="64">
        <f>COUNTIF(_xlfn.XLOOKUP(Table1215[[#This Row],[Name]],Table16[Name],Table16[[September 30, 2025]:[Column18]],,0,1),"&gt;=0")</f>
        <v>6</v>
      </c>
      <c r="F159" s="109">
        <f>_xlfn.XLOOKUP(Table1215[[#This Row],[Name]],Table1624[Name],Table1624[Totals],,0,1)</f>
        <v>0.61140000000000005</v>
      </c>
      <c r="G159" s="65">
        <f>IFERROR(Table1215[[#This Row],[Points]]/Table1215[[#This Row],[GP]],"N/A")</f>
        <v>1.3333333333333333</v>
      </c>
      <c r="H159" s="64">
        <f>COUNTIF(_xlfn.XLOOKUP(Table1215[[#This Row],[Name]],Table16[Name],Table16[[September 30, 2025]:[Column18]],,0,1),"&gt;=8")</f>
        <v>0</v>
      </c>
      <c r="I159" s="110" t="str">
        <f>IFERROR(AVERAGEIF(_xlfn.XLOOKUP(Table1215[[#This Row],[Name]],Table16[Name],Table16[[September 30, 2025]:[Column18]],,0,1),"&gt;=8"),"N/A")</f>
        <v>N/A</v>
      </c>
      <c r="J159" s="66">
        <f>IFERROR(Table1215[[#This Row],[FTA]]/Table1215[[#This Row],[GP]],"N/A")</f>
        <v>0</v>
      </c>
      <c r="K159" s="67">
        <f>COUNTIF(_xlfn.XLOOKUP(Table1215[[#This Row],[Name]],Table16[Name],Table16[[September 30, 2025]:[Column18]],,0,1),"&gt;=15")</f>
        <v>0</v>
      </c>
    </row>
    <row r="160" spans="1:11">
      <c r="A160" s="69"/>
      <c r="B160" s="82">
        <f>INDEX(AllTime1[All-time rank], MATCH(SMALL(AllTime1[Helper], ROW(Structures!$G155)), AllTime1[Helper], 0))</f>
        <v>154</v>
      </c>
      <c r="C160" s="64" t="str">
        <f>TEXT(INDEX(AllTime1[Name], MATCH(SMALL(AllTime1[Helper], ROW(Structures!$G155)), AllTime1[Helper], 0)),"@")</f>
        <v>Medet Kazbek</v>
      </c>
      <c r="D160" s="64">
        <f>INDEX(AllTime1[All-time score], MATCH(LARGE(AllTime1[Helper2], ROW(Structures!$G155)), AllTime1[Helper2], 0))</f>
        <v>8</v>
      </c>
      <c r="E160" s="64">
        <f>COUNTIF(_xlfn.XLOOKUP(Table1215[[#This Row],[Name]],Table16[Name],Table16[[September 30, 2025]:[Column18]],,0,1),"&gt;=0")</f>
        <v>5</v>
      </c>
      <c r="F160" s="109">
        <f>_xlfn.XLOOKUP(Table1215[[#This Row],[Name]],Table1624[Name],Table1624[Totals],,0,1)</f>
        <v>0.62780000000000002</v>
      </c>
      <c r="G160" s="65">
        <f>IFERROR(Table1215[[#This Row],[Points]]/Table1215[[#This Row],[GP]],"N/A")</f>
        <v>1.6</v>
      </c>
      <c r="H160" s="64">
        <f>COUNTIF(_xlfn.XLOOKUP(Table1215[[#This Row],[Name]],Table16[Name],Table16[[September 30, 2025]:[Column18]],,0,1),"&gt;=8")</f>
        <v>0</v>
      </c>
      <c r="I160" s="110" t="str">
        <f>IFERROR(AVERAGEIF(_xlfn.XLOOKUP(Table1215[[#This Row],[Name]],Table16[Name],Table16[[September 30, 2025]:[Column18]],,0,1),"&gt;=8"),"N/A")</f>
        <v>N/A</v>
      </c>
      <c r="J160" s="66">
        <f>IFERROR(Table1215[[#This Row],[FTA]]/Table1215[[#This Row],[GP]],"N/A")</f>
        <v>0</v>
      </c>
      <c r="K160" s="67">
        <f>COUNTIF(_xlfn.XLOOKUP(Table1215[[#This Row],[Name]],Table16[Name],Table16[[September 30, 2025]:[Column18]],,0,1),"&gt;=15")</f>
        <v>0</v>
      </c>
    </row>
    <row r="161" spans="1:11">
      <c r="A161" s="69"/>
      <c r="B161" s="82">
        <f>INDEX(AllTime1[All-time rank], MATCH(SMALL(AllTime1[Helper], ROW(Structures!$G156)), AllTime1[Helper], 0))</f>
        <v>154</v>
      </c>
      <c r="C161" s="64" t="str">
        <f>TEXT(INDEX(AllTime1[Name], MATCH(SMALL(AllTime1[Helper], ROW(Structures!$G156)), AllTime1[Helper], 0)),"@")</f>
        <v>Jahangir Abdullayev</v>
      </c>
      <c r="D161" s="64">
        <f>INDEX(AllTime1[All-time score], MATCH(LARGE(AllTime1[Helper2], ROW(Structures!$G156)), AllTime1[Helper2], 0))</f>
        <v>8</v>
      </c>
      <c r="E161" s="64">
        <f>COUNTIF(_xlfn.XLOOKUP(Table1215[[#This Row],[Name]],Table16[Name],Table16[[September 30, 2025]:[Column18]],,0,1),"&gt;=0")</f>
        <v>5</v>
      </c>
      <c r="F161" s="109">
        <f>_xlfn.XLOOKUP(Table1215[[#This Row],[Name]],Table1624[Name],Table1624[Totals],,0,1)</f>
        <v>0.62419999999999987</v>
      </c>
      <c r="G161" s="65">
        <f>IFERROR(Table1215[[#This Row],[Points]]/Table1215[[#This Row],[GP]],"N/A")</f>
        <v>1.6</v>
      </c>
      <c r="H161" s="64">
        <f>COUNTIF(_xlfn.XLOOKUP(Table1215[[#This Row],[Name]],Table16[Name],Table16[[September 30, 2025]:[Column18]],,0,1),"&gt;=8")</f>
        <v>0</v>
      </c>
      <c r="I161" s="110" t="str">
        <f>IFERROR(AVERAGEIF(_xlfn.XLOOKUP(Table1215[[#This Row],[Name]],Table16[Name],Table16[[September 30, 2025]:[Column18]],,0,1),"&gt;=8"),"N/A")</f>
        <v>N/A</v>
      </c>
      <c r="J161" s="66">
        <f>IFERROR(Table1215[[#This Row],[FTA]]/Table1215[[#This Row],[GP]],"N/A")</f>
        <v>0</v>
      </c>
      <c r="K161" s="67">
        <f>COUNTIF(_xlfn.XLOOKUP(Table1215[[#This Row],[Name]],Table16[Name],Table16[[September 30, 2025]:[Column18]],,0,1),"&gt;=15")</f>
        <v>0</v>
      </c>
    </row>
    <row r="162" spans="1:11">
      <c r="A162" s="69"/>
      <c r="B162" s="82">
        <f>INDEX(AllTime1[All-time rank], MATCH(SMALL(AllTime1[Helper], ROW(Structures!$G157)), AllTime1[Helper], 0))</f>
        <v>157</v>
      </c>
      <c r="C162" s="64" t="str">
        <f>TEXT(INDEX(AllTime1[Name], MATCH(SMALL(AllTime1[Helper], ROW(Structures!$G157)), AllTime1[Helper], 0)),"@")</f>
        <v>Zach Brotman</v>
      </c>
      <c r="D162" s="64">
        <f>INDEX(AllTime1[All-time score], MATCH(LARGE(AllTime1[Helper2], ROW(Structures!$G157)), AllTime1[Helper2], 0))</f>
        <v>7</v>
      </c>
      <c r="E162" s="64">
        <f>COUNTIF(_xlfn.XLOOKUP(Table1215[[#This Row],[Name]],Table16[Name],Table16[[September 30, 2025]:[Column18]],,0,1),"&gt;=0")</f>
        <v>5</v>
      </c>
      <c r="F162" s="109">
        <f>_xlfn.XLOOKUP(Table1215[[#This Row],[Name]],Table1624[Name],Table1624[Totals],,0,1)</f>
        <v>0.59424999999999994</v>
      </c>
      <c r="G162" s="65">
        <f>IFERROR(Table1215[[#This Row],[Points]]/Table1215[[#This Row],[GP]],"N/A")</f>
        <v>1.4</v>
      </c>
      <c r="H162" s="64">
        <f>COUNTIF(_xlfn.XLOOKUP(Table1215[[#This Row],[Name]],Table16[Name],Table16[[September 30, 2025]:[Column18]],,0,1),"&gt;=8")</f>
        <v>0</v>
      </c>
      <c r="I162" s="110" t="str">
        <f>IFERROR(AVERAGEIF(_xlfn.XLOOKUP(Table1215[[#This Row],[Name]],Table16[Name],Table16[[September 30, 2025]:[Column18]],,0,1),"&gt;=8"),"N/A")</f>
        <v>N/A</v>
      </c>
      <c r="J162" s="66">
        <f>IFERROR(Table1215[[#This Row],[FTA]]/Table1215[[#This Row],[GP]],"N/A")</f>
        <v>0</v>
      </c>
      <c r="K162" s="67">
        <f>COUNTIF(_xlfn.XLOOKUP(Table1215[[#This Row],[Name]],Table16[Name],Table16[[September 30, 2025]:[Column18]],,0,1),"&gt;=15")</f>
        <v>0</v>
      </c>
    </row>
    <row r="163" spans="1:11">
      <c r="A163" s="69"/>
      <c r="B163" s="82">
        <f>INDEX(AllTime1[All-time rank], MATCH(SMALL(AllTime1[Helper], ROW(Structures!$G158)), AllTime1[Helper], 0))</f>
        <v>157</v>
      </c>
      <c r="C163" s="64" t="str">
        <f>TEXT(INDEX(AllTime1[Name], MATCH(SMALL(AllTime1[Helper], ROW(Structures!$G158)), AllTime1[Helper], 0)),"@")</f>
        <v>Leonardo Panarello</v>
      </c>
      <c r="D163" s="64">
        <f>INDEX(AllTime1[All-time score], MATCH(LARGE(AllTime1[Helper2], ROW(Structures!$G158)), AllTime1[Helper2], 0))</f>
        <v>7</v>
      </c>
      <c r="E163" s="64">
        <f>COUNTIF(_xlfn.XLOOKUP(Table1215[[#This Row],[Name]],Table16[Name],Table16[[September 30, 2025]:[Column18]],,0,1),"&gt;=0")</f>
        <v>4</v>
      </c>
      <c r="F163" s="109">
        <f>_xlfn.XLOOKUP(Table1215[[#This Row],[Name]],Table1624[Name],Table1624[Totals],,0,1)</f>
        <v>0.51849999999999996</v>
      </c>
      <c r="G163" s="65">
        <f>IFERROR(Table1215[[#This Row],[Points]]/Table1215[[#This Row],[GP]],"N/A")</f>
        <v>1.75</v>
      </c>
      <c r="H163" s="64">
        <f>COUNTIF(_xlfn.XLOOKUP(Table1215[[#This Row],[Name]],Table16[Name],Table16[[September 30, 2025]:[Column18]],,0,1),"&gt;=8")</f>
        <v>0</v>
      </c>
      <c r="I163" s="110" t="str">
        <f>IFERROR(AVERAGEIF(_xlfn.XLOOKUP(Table1215[[#This Row],[Name]],Table16[Name],Table16[[September 30, 2025]:[Column18]],,0,1),"&gt;=8"),"N/A")</f>
        <v>N/A</v>
      </c>
      <c r="J163" s="66">
        <f>IFERROR(Table1215[[#This Row],[FTA]]/Table1215[[#This Row],[GP]],"N/A")</f>
        <v>0</v>
      </c>
      <c r="K163" s="67">
        <f>COUNTIF(_xlfn.XLOOKUP(Table1215[[#This Row],[Name]],Table16[Name],Table16[[September 30, 2025]:[Column18]],,0,1),"&gt;=15")</f>
        <v>0</v>
      </c>
    </row>
    <row r="164" spans="1:11">
      <c r="A164" s="69"/>
      <c r="B164" s="82">
        <f>INDEX(AllTime1[All-time rank], MATCH(SMALL(AllTime1[Helper], ROW(Structures!$G159)), AllTime1[Helper], 0))</f>
        <v>159</v>
      </c>
      <c r="C164" s="64" t="str">
        <f>TEXT(INDEX(AllTime1[Name], MATCH(SMALL(AllTime1[Helper], ROW(Structures!$G159)), AllTime1[Helper], 0)),"@")</f>
        <v>Aaron Kara</v>
      </c>
      <c r="D164" s="64">
        <f>INDEX(AllTime1[All-time score], MATCH(LARGE(AllTime1[Helper2], ROW(Structures!$G159)), AllTime1[Helper2], 0))</f>
        <v>6</v>
      </c>
      <c r="E164" s="64">
        <f>COUNTIF(_xlfn.XLOOKUP(Table1215[[#This Row],[Name]],Table16[Name],Table16[[September 30, 2025]:[Column18]],,0,1),"&gt;=0")</f>
        <v>3</v>
      </c>
      <c r="F164" s="109">
        <f>_xlfn.XLOOKUP(Table1215[[#This Row],[Name]],Table1624[Name],Table1624[Totals],,0,1)</f>
        <v>0.51133333333333331</v>
      </c>
      <c r="G164" s="65">
        <f>IFERROR(Table1215[[#This Row],[Points]]/Table1215[[#This Row],[GP]],"N/A")</f>
        <v>2</v>
      </c>
      <c r="H164" s="64">
        <f>COUNTIF(_xlfn.XLOOKUP(Table1215[[#This Row],[Name]],Table16[Name],Table16[[September 30, 2025]:[Column18]],,0,1),"&gt;=8")</f>
        <v>0</v>
      </c>
      <c r="I164" s="110" t="str">
        <f>IFERROR(AVERAGEIF(_xlfn.XLOOKUP(Table1215[[#This Row],[Name]],Table16[Name],Table16[[September 30, 2025]:[Column18]],,0,1),"&gt;=8"),"N/A")</f>
        <v>N/A</v>
      </c>
      <c r="J164" s="66">
        <f>IFERROR(Table1215[[#This Row],[FTA]]/Table1215[[#This Row],[GP]],"N/A")</f>
        <v>0</v>
      </c>
      <c r="K164" s="67">
        <f>COUNTIF(_xlfn.XLOOKUP(Table1215[[#This Row],[Name]],Table16[Name],Table16[[September 30, 2025]:[Column18]],,0,1),"&gt;=15")</f>
        <v>0</v>
      </c>
    </row>
    <row r="165" spans="1:11">
      <c r="A165" s="69"/>
      <c r="B165" s="82">
        <f>INDEX(AllTime1[All-time rank], MATCH(SMALL(AllTime1[Helper], ROW(Structures!$G160)), AllTime1[Helper], 0))</f>
        <v>159</v>
      </c>
      <c r="C165" s="64" t="str">
        <f>TEXT(INDEX(AllTime1[Name], MATCH(SMALL(AllTime1[Helper], ROW(Structures!$G160)), AllTime1[Helper], 0)),"@")</f>
        <v>Cole Eisen</v>
      </c>
      <c r="D165" s="64">
        <f>INDEX(AllTime1[All-time score], MATCH(LARGE(AllTime1[Helper2], ROW(Structures!$G160)), AllTime1[Helper2], 0))</f>
        <v>6</v>
      </c>
      <c r="E165" s="64">
        <f>COUNTIF(_xlfn.XLOOKUP(Table1215[[#This Row],[Name]],Table16[Name],Table16[[September 30, 2025]:[Column18]],,0,1),"&gt;=0")</f>
        <v>3</v>
      </c>
      <c r="F165" s="109">
        <f>_xlfn.XLOOKUP(Table1215[[#This Row],[Name]],Table1624[Name],Table1624[Totals],,0,1)</f>
        <v>0.37433333333333335</v>
      </c>
      <c r="G165" s="65">
        <f>IFERROR(Table1215[[#This Row],[Points]]/Table1215[[#This Row],[GP]],"N/A")</f>
        <v>2</v>
      </c>
      <c r="H165" s="64">
        <f>COUNTIF(_xlfn.XLOOKUP(Table1215[[#This Row],[Name]],Table16[Name],Table16[[September 30, 2025]:[Column18]],,0,1),"&gt;=8")</f>
        <v>0</v>
      </c>
      <c r="I165" s="110" t="str">
        <f>IFERROR(AVERAGEIF(_xlfn.XLOOKUP(Table1215[[#This Row],[Name]],Table16[Name],Table16[[September 30, 2025]:[Column18]],,0,1),"&gt;=8"),"N/A")</f>
        <v>N/A</v>
      </c>
      <c r="J165" s="66">
        <f>IFERROR(Table1215[[#This Row],[FTA]]/Table1215[[#This Row],[GP]],"N/A")</f>
        <v>0</v>
      </c>
      <c r="K165" s="67">
        <f>COUNTIF(_xlfn.XLOOKUP(Table1215[[#This Row],[Name]],Table16[Name],Table16[[September 30, 2025]:[Column18]],,0,1),"&gt;=15")</f>
        <v>0</v>
      </c>
    </row>
    <row r="166" spans="1:11">
      <c r="A166" s="69"/>
      <c r="B166" s="82">
        <f>INDEX(AllTime1[All-time rank], MATCH(SMALL(AllTime1[Helper], ROW(Structures!$G161)), AllTime1[Helper], 0))</f>
        <v>159</v>
      </c>
      <c r="C166" s="64" t="str">
        <f>TEXT(INDEX(AllTime1[Name], MATCH(SMALL(AllTime1[Helper], ROW(Structures!$G161)), AllTime1[Helper], 0)),"@")</f>
        <v>Himaksh Talreja</v>
      </c>
      <c r="D166" s="64">
        <f>INDEX(AllTime1[All-time score], MATCH(LARGE(AllTime1[Helper2], ROW(Structures!$G161)), AllTime1[Helper2], 0))</f>
        <v>6</v>
      </c>
      <c r="E166" s="64">
        <f>COUNTIF(_xlfn.XLOOKUP(Table1215[[#This Row],[Name]],Table16[Name],Table16[[September 30, 2025]:[Column18]],,0,1),"&gt;=0")</f>
        <v>5</v>
      </c>
      <c r="F166" s="109">
        <f>_xlfn.XLOOKUP(Table1215[[#This Row],[Name]],Table1624[Name],Table1624[Totals],,0,1)</f>
        <v>0.73299999999999998</v>
      </c>
      <c r="G166" s="65">
        <f>IFERROR(Table1215[[#This Row],[Points]]/Table1215[[#This Row],[GP]],"N/A")</f>
        <v>1.2</v>
      </c>
      <c r="H166" s="64">
        <f>COUNTIF(_xlfn.XLOOKUP(Table1215[[#This Row],[Name]],Table16[Name],Table16[[September 30, 2025]:[Column18]],,0,1),"&gt;=8")</f>
        <v>0</v>
      </c>
      <c r="I166" s="110" t="str">
        <f>IFERROR(AVERAGEIF(_xlfn.XLOOKUP(Table1215[[#This Row],[Name]],Table16[Name],Table16[[September 30, 2025]:[Column18]],,0,1),"&gt;=8"),"N/A")</f>
        <v>N/A</v>
      </c>
      <c r="J166" s="66">
        <f>IFERROR(Table1215[[#This Row],[FTA]]/Table1215[[#This Row],[GP]],"N/A")</f>
        <v>0</v>
      </c>
      <c r="K166" s="67">
        <f>COUNTIF(_xlfn.XLOOKUP(Table1215[[#This Row],[Name]],Table16[Name],Table16[[September 30, 2025]:[Column18]],,0,1),"&gt;=15")</f>
        <v>0</v>
      </c>
    </row>
    <row r="167" spans="1:11">
      <c r="A167" s="69"/>
      <c r="B167" s="82">
        <f>INDEX(AllTime1[All-time rank], MATCH(SMALL(AllTime1[Helper], ROW(Structures!$G162)), AllTime1[Helper], 0))</f>
        <v>159</v>
      </c>
      <c r="C167" s="64" t="str">
        <f>TEXT(INDEX(AllTime1[Name], MATCH(SMALL(AllTime1[Helper], ROW(Structures!$G162)), AllTime1[Helper], 0)),"@")</f>
        <v>Charlie Kernaghan</v>
      </c>
      <c r="D167" s="64">
        <f>INDEX(AllTime1[All-time score], MATCH(LARGE(AllTime1[Helper2], ROW(Structures!$G162)), AllTime1[Helper2], 0))</f>
        <v>6</v>
      </c>
      <c r="E167" s="64">
        <f>COUNTIF(_xlfn.XLOOKUP(Table1215[[#This Row],[Name]],Table16[Name],Table16[[September 30, 2025]:[Column18]],,0,1),"&gt;=0")</f>
        <v>4</v>
      </c>
      <c r="F167" s="109">
        <f>_xlfn.XLOOKUP(Table1215[[#This Row],[Name]],Table1624[Name],Table1624[Totals],,0,1)</f>
        <v>0.52825</v>
      </c>
      <c r="G167" s="65">
        <f>IFERROR(Table1215[[#This Row],[Points]]/Table1215[[#This Row],[GP]],"N/A")</f>
        <v>1.5</v>
      </c>
      <c r="H167" s="64">
        <f>COUNTIF(_xlfn.XLOOKUP(Table1215[[#This Row],[Name]],Table16[Name],Table16[[September 30, 2025]:[Column18]],,0,1),"&gt;=8")</f>
        <v>0</v>
      </c>
      <c r="I167" s="110" t="str">
        <f>IFERROR(AVERAGEIF(_xlfn.XLOOKUP(Table1215[[#This Row],[Name]],Table16[Name],Table16[[September 30, 2025]:[Column18]],,0,1),"&gt;=8"),"N/A")</f>
        <v>N/A</v>
      </c>
      <c r="J167" s="66">
        <f>IFERROR(Table1215[[#This Row],[FTA]]/Table1215[[#This Row],[GP]],"N/A")</f>
        <v>0</v>
      </c>
      <c r="K167" s="67">
        <f>COUNTIF(_xlfn.XLOOKUP(Table1215[[#This Row],[Name]],Table16[Name],Table16[[September 30, 2025]:[Column18]],,0,1),"&gt;=15")</f>
        <v>0</v>
      </c>
    </row>
    <row r="168" spans="1:11">
      <c r="A168" s="69"/>
      <c r="B168" s="82">
        <f>INDEX(AllTime1[All-time rank], MATCH(SMALL(AllTime1[Helper], ROW(Structures!$G163)), AllTime1[Helper], 0))</f>
        <v>159</v>
      </c>
      <c r="C168" s="64" t="str">
        <f>TEXT(INDEX(AllTime1[Name], MATCH(SMALL(AllTime1[Helper], ROW(Structures!$G163)), AllTime1[Helper], 0)),"@")</f>
        <v>Luke Bannan</v>
      </c>
      <c r="D168" s="64">
        <f>INDEX(AllTime1[All-time score], MATCH(LARGE(AllTime1[Helper2], ROW(Structures!$G163)), AllTime1[Helper2], 0))</f>
        <v>6</v>
      </c>
      <c r="E168" s="64">
        <f>COUNTIF(_xlfn.XLOOKUP(Table1215[[#This Row],[Name]],Table16[Name],Table16[[September 30, 2025]:[Column18]],,0,1),"&gt;=0")</f>
        <v>4</v>
      </c>
      <c r="F168" s="109">
        <f>_xlfn.XLOOKUP(Table1215[[#This Row],[Name]],Table1624[Name],Table1624[Totals],,0,1)</f>
        <v>0.59799999999999998</v>
      </c>
      <c r="G168" s="65">
        <f>IFERROR(Table1215[[#This Row],[Points]]/Table1215[[#This Row],[GP]],"N/A")</f>
        <v>1.5</v>
      </c>
      <c r="H168" s="64">
        <f>COUNTIF(_xlfn.XLOOKUP(Table1215[[#This Row],[Name]],Table16[Name],Table16[[September 30, 2025]:[Column18]],,0,1),"&gt;=8")</f>
        <v>0</v>
      </c>
      <c r="I168" s="110" t="str">
        <f>IFERROR(AVERAGEIF(_xlfn.XLOOKUP(Table1215[[#This Row],[Name]],Table16[Name],Table16[[September 30, 2025]:[Column18]],,0,1),"&gt;=8"),"N/A")</f>
        <v>N/A</v>
      </c>
      <c r="J168" s="66">
        <f>IFERROR(Table1215[[#This Row],[FTA]]/Table1215[[#This Row],[GP]],"N/A")</f>
        <v>0</v>
      </c>
      <c r="K168" s="67">
        <f>COUNTIF(_xlfn.XLOOKUP(Table1215[[#This Row],[Name]],Table16[Name],Table16[[September 30, 2025]:[Column18]],,0,1),"&gt;=15")</f>
        <v>0</v>
      </c>
    </row>
    <row r="169" spans="1:11">
      <c r="A169" s="69"/>
      <c r="B169" s="82">
        <f>INDEX(AllTime1[All-time rank], MATCH(SMALL(AllTime1[Helper], ROW(Structures!$G164)), AllTime1[Helper], 0))</f>
        <v>159</v>
      </c>
      <c r="C169" s="64" t="str">
        <f>TEXT(INDEX(AllTime1[Name], MATCH(SMALL(AllTime1[Helper], ROW(Structures!$G164)), AllTime1[Helper], 0)),"@")</f>
        <v>Olly West</v>
      </c>
      <c r="D169" s="64">
        <f>INDEX(AllTime1[All-time score], MATCH(LARGE(AllTime1[Helper2], ROW(Structures!$G164)), AllTime1[Helper2], 0))</f>
        <v>6</v>
      </c>
      <c r="E169" s="64">
        <f>COUNTIF(_xlfn.XLOOKUP(Table1215[[#This Row],[Name]],Table16[Name],Table16[[September 30, 2025]:[Column18]],,0,1),"&gt;=0")</f>
        <v>5</v>
      </c>
      <c r="F169" s="109">
        <f>_xlfn.XLOOKUP(Table1215[[#This Row],[Name]],Table1624[Name],Table1624[Totals],,0,1)</f>
        <v>0.69940000000000002</v>
      </c>
      <c r="G169" s="65">
        <f>IFERROR(Table1215[[#This Row],[Points]]/Table1215[[#This Row],[GP]],"N/A")</f>
        <v>1.2</v>
      </c>
      <c r="H169" s="64">
        <f>COUNTIF(_xlfn.XLOOKUP(Table1215[[#This Row],[Name]],Table16[Name],Table16[[September 30, 2025]:[Column18]],,0,1),"&gt;=8")</f>
        <v>0</v>
      </c>
      <c r="I169" s="110" t="str">
        <f>IFERROR(AVERAGEIF(_xlfn.XLOOKUP(Table1215[[#This Row],[Name]],Table16[Name],Table16[[September 30, 2025]:[Column18]],,0,1),"&gt;=8"),"N/A")</f>
        <v>N/A</v>
      </c>
      <c r="J169" s="66">
        <f>IFERROR(Table1215[[#This Row],[FTA]]/Table1215[[#This Row],[GP]],"N/A")</f>
        <v>0</v>
      </c>
      <c r="K169" s="67">
        <f>COUNTIF(_xlfn.XLOOKUP(Table1215[[#This Row],[Name]],Table16[Name],Table16[[September 30, 2025]:[Column18]],,0,1),"&gt;=15")</f>
        <v>0</v>
      </c>
    </row>
    <row r="170" spans="1:11">
      <c r="A170" s="69"/>
      <c r="B170" s="82">
        <f>INDEX(AllTime1[All-time rank], MATCH(SMALL(AllTime1[Helper], ROW(Structures!$G165)), AllTime1[Helper], 0))</f>
        <v>165</v>
      </c>
      <c r="C170" s="64" t="str">
        <f>TEXT(INDEX(AllTime1[Name], MATCH(SMALL(AllTime1[Helper], ROW(Structures!$G165)), AllTime1[Helper], 0)),"@")</f>
        <v>Myles MacPherson</v>
      </c>
      <c r="D170" s="64">
        <f>INDEX(AllTime1[All-time score], MATCH(LARGE(AllTime1[Helper2], ROW(Structures!$G165)), AllTime1[Helper2], 0))</f>
        <v>5</v>
      </c>
      <c r="E170" s="64">
        <f>COUNTIF(_xlfn.XLOOKUP(Table1215[[#This Row],[Name]],Table16[Name],Table16[[September 30, 2025]:[Column18]],,0,1),"&gt;=0")</f>
        <v>4</v>
      </c>
      <c r="F170" s="109">
        <f>_xlfn.XLOOKUP(Table1215[[#This Row],[Name]],Table1624[Name],Table1624[Totals],,0,1)</f>
        <v>0.60699999999999998</v>
      </c>
      <c r="G170" s="65">
        <f>IFERROR(Table1215[[#This Row],[Points]]/Table1215[[#This Row],[GP]],"N/A")</f>
        <v>1.25</v>
      </c>
      <c r="H170" s="64">
        <f>COUNTIF(_xlfn.XLOOKUP(Table1215[[#This Row],[Name]],Table16[Name],Table16[[September 30, 2025]:[Column18]],,0,1),"&gt;=8")</f>
        <v>0</v>
      </c>
      <c r="I170" s="110" t="str">
        <f>IFERROR(AVERAGEIF(_xlfn.XLOOKUP(Table1215[[#This Row],[Name]],Table16[Name],Table16[[September 30, 2025]:[Column18]],,0,1),"&gt;=8"),"N/A")</f>
        <v>N/A</v>
      </c>
      <c r="J170" s="66">
        <f>IFERROR(Table1215[[#This Row],[FTA]]/Table1215[[#This Row],[GP]],"N/A")</f>
        <v>0</v>
      </c>
      <c r="K170" s="67">
        <f>COUNTIF(_xlfn.XLOOKUP(Table1215[[#This Row],[Name]],Table16[Name],Table16[[September 30, 2025]:[Column18]],,0,1),"&gt;=15")</f>
        <v>0</v>
      </c>
    </row>
    <row r="171" spans="1:11">
      <c r="A171" s="69"/>
      <c r="B171" s="82">
        <f>INDEX(AllTime1[All-time rank], MATCH(SMALL(AllTime1[Helper], ROW(Structures!$G166)), AllTime1[Helper], 0))</f>
        <v>165</v>
      </c>
      <c r="C171" s="64" t="str">
        <f>TEXT(INDEX(AllTime1[Name], MATCH(SMALL(AllTime1[Helper], ROW(Structures!$G166)), AllTime1[Helper], 0)),"@")</f>
        <v>Alex Xiao</v>
      </c>
      <c r="D171" s="64">
        <f>INDEX(AllTime1[All-time score], MATCH(LARGE(AllTime1[Helper2], ROW(Structures!$G166)), AllTime1[Helper2], 0))</f>
        <v>5</v>
      </c>
      <c r="E171" s="64">
        <f>COUNTIF(_xlfn.XLOOKUP(Table1215[[#This Row],[Name]],Table16[Name],Table16[[September 30, 2025]:[Column18]],,0,1),"&gt;=0")</f>
        <v>3</v>
      </c>
      <c r="F171" s="109">
        <f>_xlfn.XLOOKUP(Table1215[[#This Row],[Name]],Table1624[Name],Table1624[Totals],,0,1)</f>
        <v>0.38233333333333336</v>
      </c>
      <c r="G171" s="65">
        <f>IFERROR(Table1215[[#This Row],[Points]]/Table1215[[#This Row],[GP]],"N/A")</f>
        <v>1.6666666666666667</v>
      </c>
      <c r="H171" s="64">
        <f>COUNTIF(_xlfn.XLOOKUP(Table1215[[#This Row],[Name]],Table16[Name],Table16[[September 30, 2025]:[Column18]],,0,1),"&gt;=8")</f>
        <v>0</v>
      </c>
      <c r="I171" s="110" t="str">
        <f>IFERROR(AVERAGEIF(_xlfn.XLOOKUP(Table1215[[#This Row],[Name]],Table16[Name],Table16[[September 30, 2025]:[Column18]],,0,1),"&gt;=8"),"N/A")</f>
        <v>N/A</v>
      </c>
      <c r="J171" s="66">
        <f>IFERROR(Table1215[[#This Row],[FTA]]/Table1215[[#This Row],[GP]],"N/A")</f>
        <v>0</v>
      </c>
      <c r="K171" s="67">
        <f>COUNTIF(_xlfn.XLOOKUP(Table1215[[#This Row],[Name]],Table16[Name],Table16[[September 30, 2025]:[Column18]],,0,1),"&gt;=15")</f>
        <v>0</v>
      </c>
    </row>
    <row r="172" spans="1:11">
      <c r="A172" s="69"/>
      <c r="B172" s="82">
        <f>INDEX(AllTime1[All-time rank], MATCH(SMALL(AllTime1[Helper], ROW(Structures!$G167)), AllTime1[Helper], 0))</f>
        <v>165</v>
      </c>
      <c r="C172" s="64" t="str">
        <f>TEXT(INDEX(AllTime1[Name], MATCH(SMALL(AllTime1[Helper], ROW(Structures!$G167)), AllTime1[Helper], 0)),"@")</f>
        <v>Ashley Shanthikumar</v>
      </c>
      <c r="D172" s="64">
        <f>INDEX(AllTime1[All-time score], MATCH(LARGE(AllTime1[Helper2], ROW(Structures!$G167)), AllTime1[Helper2], 0))</f>
        <v>5</v>
      </c>
      <c r="E172" s="64">
        <f>COUNTIF(_xlfn.XLOOKUP(Table1215[[#This Row],[Name]],Table16[Name],Table16[[September 30, 2025]:[Column18]],,0,1),"&gt;=0")</f>
        <v>4</v>
      </c>
      <c r="F172" s="109">
        <f>_xlfn.XLOOKUP(Table1215[[#This Row],[Name]],Table1624[Name],Table1624[Totals],,0,1)</f>
        <v>0.62824999999999998</v>
      </c>
      <c r="G172" s="65">
        <f>IFERROR(Table1215[[#This Row],[Points]]/Table1215[[#This Row],[GP]],"N/A")</f>
        <v>1.25</v>
      </c>
      <c r="H172" s="64">
        <f>COUNTIF(_xlfn.XLOOKUP(Table1215[[#This Row],[Name]],Table16[Name],Table16[[September 30, 2025]:[Column18]],,0,1),"&gt;=8")</f>
        <v>0</v>
      </c>
      <c r="I172" s="110" t="str">
        <f>IFERROR(AVERAGEIF(_xlfn.XLOOKUP(Table1215[[#This Row],[Name]],Table16[Name],Table16[[September 30, 2025]:[Column18]],,0,1),"&gt;=8"),"N/A")</f>
        <v>N/A</v>
      </c>
      <c r="J172" s="66">
        <f>IFERROR(Table1215[[#This Row],[FTA]]/Table1215[[#This Row],[GP]],"N/A")</f>
        <v>0</v>
      </c>
      <c r="K172" s="67">
        <f>COUNTIF(_xlfn.XLOOKUP(Table1215[[#This Row],[Name]],Table16[Name],Table16[[September 30, 2025]:[Column18]],,0,1),"&gt;=15")</f>
        <v>0</v>
      </c>
    </row>
    <row r="173" spans="1:11">
      <c r="A173" s="69"/>
      <c r="B173" s="82">
        <f>INDEX(AllTime1[All-time rank], MATCH(SMALL(AllTime1[Helper], ROW(Structures!$G168)), AllTime1[Helper], 0))</f>
        <v>165</v>
      </c>
      <c r="C173" s="64" t="str">
        <f>TEXT(INDEX(AllTime1[Name], MATCH(SMALL(AllTime1[Helper], ROW(Structures!$G168)), AllTime1[Helper], 0)),"@")</f>
        <v>Hiram Lee</v>
      </c>
      <c r="D173" s="64">
        <f>INDEX(AllTime1[All-time score], MATCH(LARGE(AllTime1[Helper2], ROW(Structures!$G168)), AllTime1[Helper2], 0))</f>
        <v>5</v>
      </c>
      <c r="E173" s="64">
        <f>COUNTIF(_xlfn.XLOOKUP(Table1215[[#This Row],[Name]],Table16[Name],Table16[[September 30, 2025]:[Column18]],,0,1),"&gt;=0")</f>
        <v>2</v>
      </c>
      <c r="F173" s="109">
        <f>_xlfn.XLOOKUP(Table1215[[#This Row],[Name]],Table1624[Name],Table1624[Totals],,0,1)</f>
        <v>0.29000000000000004</v>
      </c>
      <c r="G173" s="65">
        <f>IFERROR(Table1215[[#This Row],[Points]]/Table1215[[#This Row],[GP]],"N/A")</f>
        <v>2.5</v>
      </c>
      <c r="H173" s="64">
        <f>COUNTIF(_xlfn.XLOOKUP(Table1215[[#This Row],[Name]],Table16[Name],Table16[[September 30, 2025]:[Column18]],,0,1),"&gt;=8")</f>
        <v>0</v>
      </c>
      <c r="I173" s="110" t="str">
        <f>IFERROR(AVERAGEIF(_xlfn.XLOOKUP(Table1215[[#This Row],[Name]],Table16[Name],Table16[[September 30, 2025]:[Column18]],,0,1),"&gt;=8"),"N/A")</f>
        <v>N/A</v>
      </c>
      <c r="J173" s="66">
        <f>IFERROR(Table1215[[#This Row],[FTA]]/Table1215[[#This Row],[GP]],"N/A")</f>
        <v>0</v>
      </c>
      <c r="K173" s="67">
        <f>COUNTIF(_xlfn.XLOOKUP(Table1215[[#This Row],[Name]],Table16[Name],Table16[[September 30, 2025]:[Column18]],,0,1),"&gt;=15")</f>
        <v>0</v>
      </c>
    </row>
    <row r="174" spans="1:11">
      <c r="A174" s="69"/>
      <c r="B174" s="82">
        <f>INDEX(AllTime1[All-time rank], MATCH(SMALL(AllTime1[Helper], ROW(Structures!$G169)), AllTime1[Helper], 0))</f>
        <v>165</v>
      </c>
      <c r="C174" s="64" t="str">
        <f>TEXT(INDEX(AllTime1[Name], MATCH(SMALL(AllTime1[Helper], ROW(Structures!$G169)), AllTime1[Helper], 0)),"@")</f>
        <v>Jaebin Shin</v>
      </c>
      <c r="D174" s="64">
        <f>INDEX(AllTime1[All-time score], MATCH(LARGE(AllTime1[Helper2], ROW(Structures!$G169)), AllTime1[Helper2], 0))</f>
        <v>5</v>
      </c>
      <c r="E174" s="64">
        <f>COUNTIF(_xlfn.XLOOKUP(Table1215[[#This Row],[Name]],Table16[Name],Table16[[September 30, 2025]:[Column18]],,0,1),"&gt;=0")</f>
        <v>3</v>
      </c>
      <c r="F174" s="109">
        <f>_xlfn.XLOOKUP(Table1215[[#This Row],[Name]],Table1624[Name],Table1624[Totals],,0,1)</f>
        <v>0.47899999999999993</v>
      </c>
      <c r="G174" s="65">
        <f>IFERROR(Table1215[[#This Row],[Points]]/Table1215[[#This Row],[GP]],"N/A")</f>
        <v>1.6666666666666667</v>
      </c>
      <c r="H174" s="64">
        <f>COUNTIF(_xlfn.XLOOKUP(Table1215[[#This Row],[Name]],Table16[Name],Table16[[September 30, 2025]:[Column18]],,0,1),"&gt;=8")</f>
        <v>0</v>
      </c>
      <c r="I174" s="110" t="str">
        <f>IFERROR(AVERAGEIF(_xlfn.XLOOKUP(Table1215[[#This Row],[Name]],Table16[Name],Table16[[September 30, 2025]:[Column18]],,0,1),"&gt;=8"),"N/A")</f>
        <v>N/A</v>
      </c>
      <c r="J174" s="66">
        <f>IFERROR(Table1215[[#This Row],[FTA]]/Table1215[[#This Row],[GP]],"N/A")</f>
        <v>0</v>
      </c>
      <c r="K174" s="67">
        <f>COUNTIF(_xlfn.XLOOKUP(Table1215[[#This Row],[Name]],Table16[Name],Table16[[September 30, 2025]:[Column18]],,0,1),"&gt;=15")</f>
        <v>0</v>
      </c>
    </row>
    <row r="175" spans="1:11">
      <c r="A175" s="69"/>
      <c r="B175" s="82">
        <f>INDEX(AllTime1[All-time rank], MATCH(SMALL(AllTime1[Helper], ROW(Structures!$G170)), AllTime1[Helper], 0))</f>
        <v>165</v>
      </c>
      <c r="C175" s="64" t="str">
        <f>TEXT(INDEX(AllTime1[Name], MATCH(SMALL(AllTime1[Helper], ROW(Structures!$G170)), AllTime1[Helper], 0)),"@")</f>
        <v>Khoi Luu</v>
      </c>
      <c r="D175" s="64">
        <f>INDEX(AllTime1[All-time score], MATCH(LARGE(AllTime1[Helper2], ROW(Structures!$G170)), AllTime1[Helper2], 0))</f>
        <v>5</v>
      </c>
      <c r="E175" s="64">
        <f>COUNTIF(_xlfn.XLOOKUP(Table1215[[#This Row],[Name]],Table16[Name],Table16[[September 30, 2025]:[Column18]],,0,1),"&gt;=0")</f>
        <v>4</v>
      </c>
      <c r="F175" s="109">
        <f>_xlfn.XLOOKUP(Table1215[[#This Row],[Name]],Table1624[Name],Table1624[Totals],,0,1)</f>
        <v>0.66875000000000007</v>
      </c>
      <c r="G175" s="65">
        <f>IFERROR(Table1215[[#This Row],[Points]]/Table1215[[#This Row],[GP]],"N/A")</f>
        <v>1.25</v>
      </c>
      <c r="H175" s="64">
        <f>COUNTIF(_xlfn.XLOOKUP(Table1215[[#This Row],[Name]],Table16[Name],Table16[[September 30, 2025]:[Column18]],,0,1),"&gt;=8")</f>
        <v>0</v>
      </c>
      <c r="I175" s="110" t="str">
        <f>IFERROR(AVERAGEIF(_xlfn.XLOOKUP(Table1215[[#This Row],[Name]],Table16[Name],Table16[[September 30, 2025]:[Column18]],,0,1),"&gt;=8"),"N/A")</f>
        <v>N/A</v>
      </c>
      <c r="J175" s="66">
        <f>IFERROR(Table1215[[#This Row],[FTA]]/Table1215[[#This Row],[GP]],"N/A")</f>
        <v>0</v>
      </c>
      <c r="K175" s="67">
        <f>COUNTIF(_xlfn.XLOOKUP(Table1215[[#This Row],[Name]],Table16[Name],Table16[[September 30, 2025]:[Column18]],,0,1),"&gt;=15")</f>
        <v>0</v>
      </c>
    </row>
    <row r="176" spans="1:11">
      <c r="A176" s="69"/>
      <c r="B176" s="82">
        <f>INDEX(AllTime1[All-time rank], MATCH(SMALL(AllTime1[Helper], ROW(Structures!$G171)), AllTime1[Helper], 0))</f>
        <v>165</v>
      </c>
      <c r="C176" s="64" t="str">
        <f>TEXT(INDEX(AllTime1[Name], MATCH(SMALL(AllTime1[Helper], ROW(Structures!$G171)), AllTime1[Helper], 0)),"@")</f>
        <v>Marko Nguyen</v>
      </c>
      <c r="D176" s="64">
        <f>INDEX(AllTime1[All-time score], MATCH(LARGE(AllTime1[Helper2], ROW(Structures!$G171)), AllTime1[Helper2], 0))</f>
        <v>5</v>
      </c>
      <c r="E176" s="64">
        <f>COUNTIF(_xlfn.XLOOKUP(Table1215[[#This Row],[Name]],Table16[Name],Table16[[September 30, 2025]:[Column18]],,0,1),"&gt;=0")</f>
        <v>2</v>
      </c>
      <c r="F176" s="109">
        <f>_xlfn.XLOOKUP(Table1215[[#This Row],[Name]],Table1624[Name],Table1624[Totals],,0,1)</f>
        <v>0.182</v>
      </c>
      <c r="G176" s="65">
        <f>IFERROR(Table1215[[#This Row],[Points]]/Table1215[[#This Row],[GP]],"N/A")</f>
        <v>2.5</v>
      </c>
      <c r="H176" s="64">
        <f>COUNTIF(_xlfn.XLOOKUP(Table1215[[#This Row],[Name]],Table16[Name],Table16[[September 30, 2025]:[Column18]],,0,1),"&gt;=8")</f>
        <v>0</v>
      </c>
      <c r="I176" s="110" t="str">
        <f>IFERROR(AVERAGEIF(_xlfn.XLOOKUP(Table1215[[#This Row],[Name]],Table16[Name],Table16[[September 30, 2025]:[Column18]],,0,1),"&gt;=8"),"N/A")</f>
        <v>N/A</v>
      </c>
      <c r="J176" s="66">
        <f>IFERROR(Table1215[[#This Row],[FTA]]/Table1215[[#This Row],[GP]],"N/A")</f>
        <v>0</v>
      </c>
      <c r="K176" s="67">
        <f>COUNTIF(_xlfn.XLOOKUP(Table1215[[#This Row],[Name]],Table16[Name],Table16[[September 30, 2025]:[Column18]],,0,1),"&gt;=15")</f>
        <v>0</v>
      </c>
    </row>
    <row r="177" spans="1:11">
      <c r="A177" s="69"/>
      <c r="B177" s="82">
        <f>INDEX(AllTime1[All-time rank], MATCH(SMALL(AllTime1[Helper], ROW(Structures!$G172)), AllTime1[Helper], 0))</f>
        <v>165</v>
      </c>
      <c r="C177" s="64" t="str">
        <f>TEXT(INDEX(AllTime1[Name], MATCH(SMALL(AllTime1[Helper], ROW(Structures!$G172)), AllTime1[Helper], 0)),"@")</f>
        <v>Rami Shafikov</v>
      </c>
      <c r="D177" s="64">
        <f>INDEX(AllTime1[All-time score], MATCH(LARGE(AllTime1[Helper2], ROW(Structures!$G172)), AllTime1[Helper2], 0))</f>
        <v>5</v>
      </c>
      <c r="E177" s="64">
        <f>COUNTIF(_xlfn.XLOOKUP(Table1215[[#This Row],[Name]],Table16[Name],Table16[[September 30, 2025]:[Column18]],,0,1),"&gt;=0")</f>
        <v>4</v>
      </c>
      <c r="F177" s="109">
        <f>_xlfn.XLOOKUP(Table1215[[#This Row],[Name]],Table1624[Name],Table1624[Totals],,0,1)</f>
        <v>0.66149999999999998</v>
      </c>
      <c r="G177" s="65">
        <f>IFERROR(Table1215[[#This Row],[Points]]/Table1215[[#This Row],[GP]],"N/A")</f>
        <v>1.25</v>
      </c>
      <c r="H177" s="64">
        <f>COUNTIF(_xlfn.XLOOKUP(Table1215[[#This Row],[Name]],Table16[Name],Table16[[September 30, 2025]:[Column18]],,0,1),"&gt;=8")</f>
        <v>0</v>
      </c>
      <c r="I177" s="110" t="str">
        <f>IFERROR(AVERAGEIF(_xlfn.XLOOKUP(Table1215[[#This Row],[Name]],Table16[Name],Table16[[September 30, 2025]:[Column18]],,0,1),"&gt;=8"),"N/A")</f>
        <v>N/A</v>
      </c>
      <c r="J177" s="66">
        <f>IFERROR(Table1215[[#This Row],[FTA]]/Table1215[[#This Row],[GP]],"N/A")</f>
        <v>0</v>
      </c>
      <c r="K177" s="67">
        <f>COUNTIF(_xlfn.XLOOKUP(Table1215[[#This Row],[Name]],Table16[Name],Table16[[September 30, 2025]:[Column18]],,0,1),"&gt;=15")</f>
        <v>0</v>
      </c>
    </row>
    <row r="178" spans="1:11">
      <c r="A178" s="69"/>
      <c r="B178" s="82">
        <f>INDEX(AllTime1[All-time rank], MATCH(SMALL(AllTime1[Helper], ROW(Structures!$G173)), AllTime1[Helper], 0))</f>
        <v>165</v>
      </c>
      <c r="C178" s="64" t="str">
        <f>TEXT(INDEX(AllTime1[Name], MATCH(SMALL(AllTime1[Helper], ROW(Structures!$G173)), AllTime1[Helper], 0)),"@")</f>
        <v>Robert Tomicic II</v>
      </c>
      <c r="D178" s="64">
        <f>INDEX(AllTime1[All-time score], MATCH(LARGE(AllTime1[Helper2], ROW(Structures!$G173)), AllTime1[Helper2], 0))</f>
        <v>5</v>
      </c>
      <c r="E178" s="64">
        <f>COUNTIF(_xlfn.XLOOKUP(Table1215[[#This Row],[Name]],Table16[Name],Table16[[September 30, 2025]:[Column18]],,0,1),"&gt;=0")</f>
        <v>3</v>
      </c>
      <c r="F178" s="109">
        <f>_xlfn.XLOOKUP(Table1215[[#This Row],[Name]],Table1624[Name],Table1624[Totals],,0,1)</f>
        <v>0.41633333333333328</v>
      </c>
      <c r="G178" s="65">
        <f>IFERROR(Table1215[[#This Row],[Points]]/Table1215[[#This Row],[GP]],"N/A")</f>
        <v>1.6666666666666667</v>
      </c>
      <c r="H178" s="64">
        <f>COUNTIF(_xlfn.XLOOKUP(Table1215[[#This Row],[Name]],Table16[Name],Table16[[September 30, 2025]:[Column18]],,0,1),"&gt;=8")</f>
        <v>0</v>
      </c>
      <c r="I178" s="110" t="str">
        <f>IFERROR(AVERAGEIF(_xlfn.XLOOKUP(Table1215[[#This Row],[Name]],Table16[Name],Table16[[September 30, 2025]:[Column18]],,0,1),"&gt;=8"),"N/A")</f>
        <v>N/A</v>
      </c>
      <c r="J178" s="66">
        <f>IFERROR(Table1215[[#This Row],[FTA]]/Table1215[[#This Row],[GP]],"N/A")</f>
        <v>0</v>
      </c>
      <c r="K178" s="67">
        <f>COUNTIF(_xlfn.XLOOKUP(Table1215[[#This Row],[Name]],Table16[Name],Table16[[September 30, 2025]:[Column18]],,0,1),"&gt;=15")</f>
        <v>0</v>
      </c>
    </row>
    <row r="179" spans="1:11">
      <c r="A179" s="69"/>
      <c r="B179" s="82">
        <f>INDEX(AllTime1[All-time rank], MATCH(SMALL(AllTime1[Helper], ROW(Structures!$G174)), AllTime1[Helper], 0))</f>
        <v>165</v>
      </c>
      <c r="C179" s="64" t="str">
        <f>TEXT(INDEX(AllTime1[Name], MATCH(SMALL(AllTime1[Helper], ROW(Structures!$G174)), AllTime1[Helper], 0)),"@")</f>
        <v>Rui Xi Qiu</v>
      </c>
      <c r="D179" s="64">
        <f>INDEX(AllTime1[All-time score], MATCH(LARGE(AllTime1[Helper2], ROW(Structures!$G174)), AllTime1[Helper2], 0))</f>
        <v>5</v>
      </c>
      <c r="E179" s="64">
        <f>COUNTIF(_xlfn.XLOOKUP(Table1215[[#This Row],[Name]],Table16[Name],Table16[[September 30, 2025]:[Column18]],,0,1),"&gt;=0")</f>
        <v>4</v>
      </c>
      <c r="F179" s="109">
        <f>_xlfn.XLOOKUP(Table1215[[#This Row],[Name]],Table1624[Name],Table1624[Totals],,0,1)</f>
        <v>0.66274999999999995</v>
      </c>
      <c r="G179" s="65">
        <f>IFERROR(Table1215[[#This Row],[Points]]/Table1215[[#This Row],[GP]],"N/A")</f>
        <v>1.25</v>
      </c>
      <c r="H179" s="64">
        <f>COUNTIF(_xlfn.XLOOKUP(Table1215[[#This Row],[Name]],Table16[Name],Table16[[September 30, 2025]:[Column18]],,0,1),"&gt;=8")</f>
        <v>0</v>
      </c>
      <c r="I179" s="110" t="str">
        <f>IFERROR(AVERAGEIF(_xlfn.XLOOKUP(Table1215[[#This Row],[Name]],Table16[Name],Table16[[September 30, 2025]:[Column18]],,0,1),"&gt;=8"),"N/A")</f>
        <v>N/A</v>
      </c>
      <c r="J179" s="66">
        <f>IFERROR(Table1215[[#This Row],[FTA]]/Table1215[[#This Row],[GP]],"N/A")</f>
        <v>0</v>
      </c>
      <c r="K179" s="67">
        <f>COUNTIF(_xlfn.XLOOKUP(Table1215[[#This Row],[Name]],Table16[Name],Table16[[September 30, 2025]:[Column18]],,0,1),"&gt;=15")</f>
        <v>0</v>
      </c>
    </row>
    <row r="180" spans="1:11">
      <c r="A180" s="69"/>
      <c r="B180" s="82">
        <f>INDEX(AllTime1[All-time rank], MATCH(SMALL(AllTime1[Helper], ROW(Structures!$G175)), AllTime1[Helper], 0))</f>
        <v>165</v>
      </c>
      <c r="C180" s="64" t="str">
        <f>TEXT(INDEX(AllTime1[Name], MATCH(SMALL(AllTime1[Helper], ROW(Structures!$G175)), AllTime1[Helper], 0)),"@")</f>
        <v>Taha Siddiqui</v>
      </c>
      <c r="D180" s="64">
        <f>INDEX(AllTime1[All-time score], MATCH(LARGE(AllTime1[Helper2], ROW(Structures!$G175)), AllTime1[Helper2], 0))</f>
        <v>5</v>
      </c>
      <c r="E180" s="64">
        <f>COUNTIF(_xlfn.XLOOKUP(Table1215[[#This Row],[Name]],Table16[Name],Table16[[September 30, 2025]:[Column18]],,0,1),"&gt;=0")</f>
        <v>4</v>
      </c>
      <c r="F180" s="109">
        <f>_xlfn.XLOOKUP(Table1215[[#This Row],[Name]],Table1624[Name],Table1624[Totals],,0,1)</f>
        <v>0.64700000000000002</v>
      </c>
      <c r="G180" s="65">
        <f>IFERROR(Table1215[[#This Row],[Points]]/Table1215[[#This Row],[GP]],"N/A")</f>
        <v>1.25</v>
      </c>
      <c r="H180" s="64">
        <f>COUNTIF(_xlfn.XLOOKUP(Table1215[[#This Row],[Name]],Table16[Name],Table16[[September 30, 2025]:[Column18]],,0,1),"&gt;=8")</f>
        <v>0</v>
      </c>
      <c r="I180" s="110" t="str">
        <f>IFERROR(AVERAGEIF(_xlfn.XLOOKUP(Table1215[[#This Row],[Name]],Table16[Name],Table16[[September 30, 2025]:[Column18]],,0,1),"&gt;=8"),"N/A")</f>
        <v>N/A</v>
      </c>
      <c r="J180" s="66">
        <f>IFERROR(Table1215[[#This Row],[FTA]]/Table1215[[#This Row],[GP]],"N/A")</f>
        <v>0</v>
      </c>
      <c r="K180" s="67">
        <f>COUNTIF(_xlfn.XLOOKUP(Table1215[[#This Row],[Name]],Table16[Name],Table16[[September 30, 2025]:[Column18]],,0,1),"&gt;=15")</f>
        <v>0</v>
      </c>
    </row>
    <row r="181" spans="1:11">
      <c r="A181" s="69"/>
      <c r="B181" s="82">
        <f>INDEX(AllTime1[All-time rank], MATCH(SMALL(AllTime1[Helper], ROW(Structures!$G176)), AllTime1[Helper], 0))</f>
        <v>165</v>
      </c>
      <c r="C181" s="64" t="str">
        <f>TEXT(INDEX(AllTime1[Name], MATCH(SMALL(AllTime1[Helper], ROW(Structures!$G176)), AllTime1[Helper], 0)),"@")</f>
        <v>Taige Zhang</v>
      </c>
      <c r="D181" s="64">
        <f>INDEX(AllTime1[All-time score], MATCH(LARGE(AllTime1[Helper2], ROW(Structures!$G176)), AllTime1[Helper2], 0))</f>
        <v>5</v>
      </c>
      <c r="E181" s="64">
        <f>COUNTIF(_xlfn.XLOOKUP(Table1215[[#This Row],[Name]],Table16[Name],Table16[[September 30, 2025]:[Column18]],,0,1),"&gt;=0")</f>
        <v>3</v>
      </c>
      <c r="F181" s="109">
        <f>_xlfn.XLOOKUP(Table1215[[#This Row],[Name]],Table1624[Name],Table1624[Totals],,0,1)</f>
        <v>0.58566666666666667</v>
      </c>
      <c r="G181" s="65">
        <f>IFERROR(Table1215[[#This Row],[Points]]/Table1215[[#This Row],[GP]],"N/A")</f>
        <v>1.6666666666666667</v>
      </c>
      <c r="H181" s="64">
        <f>COUNTIF(_xlfn.XLOOKUP(Table1215[[#This Row],[Name]],Table16[Name],Table16[[September 30, 2025]:[Column18]],,0,1),"&gt;=8")</f>
        <v>0</v>
      </c>
      <c r="I181" s="110" t="str">
        <f>IFERROR(AVERAGEIF(_xlfn.XLOOKUP(Table1215[[#This Row],[Name]],Table16[Name],Table16[[September 30, 2025]:[Column18]],,0,1),"&gt;=8"),"N/A")</f>
        <v>N/A</v>
      </c>
      <c r="J181" s="66">
        <f>IFERROR(Table1215[[#This Row],[FTA]]/Table1215[[#This Row],[GP]],"N/A")</f>
        <v>0</v>
      </c>
      <c r="K181" s="67">
        <f>COUNTIF(_xlfn.XLOOKUP(Table1215[[#This Row],[Name]],Table16[Name],Table16[[September 30, 2025]:[Column18]],,0,1),"&gt;=15")</f>
        <v>0</v>
      </c>
    </row>
    <row r="182" spans="1:11">
      <c r="A182" s="69"/>
      <c r="B182" s="82">
        <f>INDEX(AllTime1[All-time rank], MATCH(SMALL(AllTime1[Helper], ROW(Structures!$G177)), AllTime1[Helper], 0))</f>
        <v>177</v>
      </c>
      <c r="C182" s="64" t="str">
        <f>TEXT(INDEX(AllTime1[Name], MATCH(SMALL(AllTime1[Helper], ROW(Structures!$G177)), AllTime1[Helper], 0)),"@")</f>
        <v>Ben Bulyovsky</v>
      </c>
      <c r="D182" s="64">
        <f>INDEX(AllTime1[All-time score], MATCH(LARGE(AllTime1[Helper2], ROW(Structures!$G177)), AllTime1[Helper2], 0))</f>
        <v>4</v>
      </c>
      <c r="E182" s="64">
        <f>COUNTIF(_xlfn.XLOOKUP(Table1215[[#This Row],[Name]],Table16[Name],Table16[[September 30, 2025]:[Column18]],,0,1),"&gt;=0")</f>
        <v>3</v>
      </c>
      <c r="F182" s="109">
        <f>_xlfn.XLOOKUP(Table1215[[#This Row],[Name]],Table1624[Name],Table1624[Totals],,0,1)</f>
        <v>0.57166666666666666</v>
      </c>
      <c r="G182" s="65">
        <f>IFERROR(Table1215[[#This Row],[Points]]/Table1215[[#This Row],[GP]],"N/A")</f>
        <v>1.3333333333333333</v>
      </c>
      <c r="H182" s="64">
        <f>COUNTIF(_xlfn.XLOOKUP(Table1215[[#This Row],[Name]],Table16[Name],Table16[[September 30, 2025]:[Column18]],,0,1),"&gt;=8")</f>
        <v>0</v>
      </c>
      <c r="I182" s="110" t="str">
        <f>IFERROR(AVERAGEIF(_xlfn.XLOOKUP(Table1215[[#This Row],[Name]],Table16[Name],Table16[[September 30, 2025]:[Column18]],,0,1),"&gt;=8"),"N/A")</f>
        <v>N/A</v>
      </c>
      <c r="J182" s="66">
        <f>IFERROR(Table1215[[#This Row],[FTA]]/Table1215[[#This Row],[GP]],"N/A")</f>
        <v>0</v>
      </c>
      <c r="K182" s="67">
        <f>COUNTIF(_xlfn.XLOOKUP(Table1215[[#This Row],[Name]],Table16[Name],Table16[[September 30, 2025]:[Column18]],,0,1),"&gt;=15")</f>
        <v>0</v>
      </c>
    </row>
    <row r="183" spans="1:11">
      <c r="A183" s="69"/>
      <c r="B183" s="82">
        <f>INDEX(AllTime1[All-time rank], MATCH(SMALL(AllTime1[Helper], ROW(Structures!$G178)), AllTime1[Helper], 0))</f>
        <v>177</v>
      </c>
      <c r="C183" s="64" t="str">
        <f>TEXT(INDEX(AllTime1[Name], MATCH(SMALL(AllTime1[Helper], ROW(Structures!$G178)), AllTime1[Helper], 0)),"@")</f>
        <v>Rachel Xu</v>
      </c>
      <c r="D183" s="64">
        <f>INDEX(AllTime1[All-time score], MATCH(LARGE(AllTime1[Helper2], ROW(Structures!$G178)), AllTime1[Helper2], 0))</f>
        <v>4</v>
      </c>
      <c r="E183" s="64">
        <f>COUNTIF(_xlfn.XLOOKUP(Table1215[[#This Row],[Name]],Table16[Name],Table16[[September 30, 2025]:[Column18]],,0,1),"&gt;=0")</f>
        <v>4</v>
      </c>
      <c r="F183" s="109">
        <f>_xlfn.XLOOKUP(Table1215[[#This Row],[Name]],Table1624[Name],Table1624[Totals],,0,1)</f>
        <v>0.71599999999999997</v>
      </c>
      <c r="G183" s="65">
        <f>IFERROR(Table1215[[#This Row],[Points]]/Table1215[[#This Row],[GP]],"N/A")</f>
        <v>1</v>
      </c>
      <c r="H183" s="64">
        <f>COUNTIF(_xlfn.XLOOKUP(Table1215[[#This Row],[Name]],Table16[Name],Table16[[September 30, 2025]:[Column18]],,0,1),"&gt;=8")</f>
        <v>0</v>
      </c>
      <c r="I183" s="110" t="str">
        <f>IFERROR(AVERAGEIF(_xlfn.XLOOKUP(Table1215[[#This Row],[Name]],Table16[Name],Table16[[September 30, 2025]:[Column18]],,0,1),"&gt;=8"),"N/A")</f>
        <v>N/A</v>
      </c>
      <c r="J183" s="66">
        <f>IFERROR(Table1215[[#This Row],[FTA]]/Table1215[[#This Row],[GP]],"N/A")</f>
        <v>0</v>
      </c>
      <c r="K183" s="67">
        <f>COUNTIF(_xlfn.XLOOKUP(Table1215[[#This Row],[Name]],Table16[Name],Table16[[September 30, 2025]:[Column18]],,0,1),"&gt;=15")</f>
        <v>0</v>
      </c>
    </row>
    <row r="184" spans="1:11">
      <c r="A184" s="69"/>
      <c r="B184" s="82">
        <f>INDEX(AllTime1[All-time rank], MATCH(SMALL(AllTime1[Helper], ROW(Structures!$G179)), AllTime1[Helper], 0))</f>
        <v>177</v>
      </c>
      <c r="C184" s="64" t="str">
        <f>TEXT(INDEX(AllTime1[Name], MATCH(SMALL(AllTime1[Helper], ROW(Structures!$G179)), AllTime1[Helper], 0)),"@")</f>
        <v>Adam Dasilva</v>
      </c>
      <c r="D184" s="64">
        <f>INDEX(AllTime1[All-time score], MATCH(LARGE(AllTime1[Helper2], ROW(Structures!$G179)), AllTime1[Helper2], 0))</f>
        <v>4</v>
      </c>
      <c r="E184" s="64">
        <f>COUNTIF(_xlfn.XLOOKUP(Table1215[[#This Row],[Name]],Table16[Name],Table16[[September 30, 2025]:[Column18]],,0,1),"&gt;=0")</f>
        <v>1</v>
      </c>
      <c r="F184" s="109">
        <f>_xlfn.XLOOKUP(Table1215[[#This Row],[Name]],Table1624[Name],Table1624[Totals],,0,1)</f>
        <v>0.16600000000000001</v>
      </c>
      <c r="G184" s="65">
        <f>IFERROR(Table1215[[#This Row],[Points]]/Table1215[[#This Row],[GP]],"N/A")</f>
        <v>4</v>
      </c>
      <c r="H184" s="64">
        <f>COUNTIF(_xlfn.XLOOKUP(Table1215[[#This Row],[Name]],Table16[Name],Table16[[September 30, 2025]:[Column18]],,0,1),"&gt;=8")</f>
        <v>0</v>
      </c>
      <c r="I184" s="110" t="str">
        <f>IFERROR(AVERAGEIF(_xlfn.XLOOKUP(Table1215[[#This Row],[Name]],Table16[Name],Table16[[September 30, 2025]:[Column18]],,0,1),"&gt;=8"),"N/A")</f>
        <v>N/A</v>
      </c>
      <c r="J184" s="66">
        <f>IFERROR(Table1215[[#This Row],[FTA]]/Table1215[[#This Row],[GP]],"N/A")</f>
        <v>0</v>
      </c>
      <c r="K184" s="67">
        <f>COUNTIF(_xlfn.XLOOKUP(Table1215[[#This Row],[Name]],Table16[Name],Table16[[September 30, 2025]:[Column18]],,0,1),"&gt;=15")</f>
        <v>0</v>
      </c>
    </row>
    <row r="185" spans="1:11">
      <c r="A185" s="69"/>
      <c r="B185" s="82">
        <f>INDEX(AllTime1[All-time rank], MATCH(SMALL(AllTime1[Helper], ROW(Structures!$G180)), AllTime1[Helper], 0))</f>
        <v>177</v>
      </c>
      <c r="C185" s="64" t="str">
        <f>TEXT(INDEX(AllTime1[Name], MATCH(SMALL(AllTime1[Helper], ROW(Structures!$G180)), AllTime1[Helper], 0)),"@")</f>
        <v>Amar Aggarwal</v>
      </c>
      <c r="D185" s="64">
        <f>INDEX(AllTime1[All-time score], MATCH(LARGE(AllTime1[Helper2], ROW(Structures!$G180)), AllTime1[Helper2], 0))</f>
        <v>4</v>
      </c>
      <c r="E185" s="64">
        <f>COUNTIF(_xlfn.XLOOKUP(Table1215[[#This Row],[Name]],Table16[Name],Table16[[September 30, 2025]:[Column18]],,0,1),"&gt;=0")</f>
        <v>3</v>
      </c>
      <c r="F185" s="109">
        <f>_xlfn.XLOOKUP(Table1215[[#This Row],[Name]],Table1624[Name],Table1624[Totals],,0,1)</f>
        <v>0.5056666666666666</v>
      </c>
      <c r="G185" s="65">
        <f>IFERROR(Table1215[[#This Row],[Points]]/Table1215[[#This Row],[GP]],"N/A")</f>
        <v>1.3333333333333333</v>
      </c>
      <c r="H185" s="64">
        <f>COUNTIF(_xlfn.XLOOKUP(Table1215[[#This Row],[Name]],Table16[Name],Table16[[September 30, 2025]:[Column18]],,0,1),"&gt;=8")</f>
        <v>0</v>
      </c>
      <c r="I185" s="110" t="str">
        <f>IFERROR(AVERAGEIF(_xlfn.XLOOKUP(Table1215[[#This Row],[Name]],Table16[Name],Table16[[September 30, 2025]:[Column18]],,0,1),"&gt;=8"),"N/A")</f>
        <v>N/A</v>
      </c>
      <c r="J185" s="66">
        <f>IFERROR(Table1215[[#This Row],[FTA]]/Table1215[[#This Row],[GP]],"N/A")</f>
        <v>0</v>
      </c>
      <c r="K185" s="67">
        <f>COUNTIF(_xlfn.XLOOKUP(Table1215[[#This Row],[Name]],Table16[Name],Table16[[September 30, 2025]:[Column18]],,0,1),"&gt;=15")</f>
        <v>0</v>
      </c>
    </row>
    <row r="186" spans="1:11">
      <c r="A186" s="69"/>
      <c r="B186" s="82">
        <f>INDEX(AllTime1[All-time rank], MATCH(SMALL(AllTime1[Helper], ROW(Structures!$G181)), AllTime1[Helper], 0))</f>
        <v>177</v>
      </c>
      <c r="C186" s="64" t="str">
        <f>TEXT(INDEX(AllTime1[Name], MATCH(SMALL(AllTime1[Helper], ROW(Structures!$G181)), AllTime1[Helper], 0)),"@")</f>
        <v>Andres Pedreros</v>
      </c>
      <c r="D186" s="64">
        <f>INDEX(AllTime1[All-time score], MATCH(LARGE(AllTime1[Helper2], ROW(Structures!$G181)), AllTime1[Helper2], 0))</f>
        <v>4</v>
      </c>
      <c r="E186" s="64">
        <f>COUNTIF(_xlfn.XLOOKUP(Table1215[[#This Row],[Name]],Table16[Name],Table16[[September 30, 2025]:[Column18]],,0,1),"&gt;=0")</f>
        <v>1</v>
      </c>
      <c r="F186" s="109">
        <f>_xlfn.XLOOKUP(Table1215[[#This Row],[Name]],Table1624[Name],Table1624[Totals],,0,1)</f>
        <v>0.12</v>
      </c>
      <c r="G186" s="65">
        <f>IFERROR(Table1215[[#This Row],[Points]]/Table1215[[#This Row],[GP]],"N/A")</f>
        <v>4</v>
      </c>
      <c r="H186" s="64">
        <f>COUNTIF(_xlfn.XLOOKUP(Table1215[[#This Row],[Name]],Table16[Name],Table16[[September 30, 2025]:[Column18]],,0,1),"&gt;=8")</f>
        <v>0</v>
      </c>
      <c r="I186" s="110" t="str">
        <f>IFERROR(AVERAGEIF(_xlfn.XLOOKUP(Table1215[[#This Row],[Name]],Table16[Name],Table16[[September 30, 2025]:[Column18]],,0,1),"&gt;=8"),"N/A")</f>
        <v>N/A</v>
      </c>
      <c r="J186" s="66">
        <f>IFERROR(Table1215[[#This Row],[FTA]]/Table1215[[#This Row],[GP]],"N/A")</f>
        <v>0</v>
      </c>
      <c r="K186" s="67">
        <f>COUNTIF(_xlfn.XLOOKUP(Table1215[[#This Row],[Name]],Table16[Name],Table16[[September 30, 2025]:[Column18]],,0,1),"&gt;=15")</f>
        <v>0</v>
      </c>
    </row>
    <row r="187" spans="1:11">
      <c r="A187" s="69"/>
      <c r="B187" s="82">
        <f>INDEX(AllTime1[All-time rank], MATCH(SMALL(AllTime1[Helper], ROW(Structures!$G182)), AllTime1[Helper], 0))</f>
        <v>177</v>
      </c>
      <c r="C187" s="64" t="str">
        <f>TEXT(INDEX(AllTime1[Name], MATCH(SMALL(AllTime1[Helper], ROW(Structures!$G182)), AllTime1[Helper], 0)),"@")</f>
        <v>Ari Citak</v>
      </c>
      <c r="D187" s="64">
        <f>INDEX(AllTime1[All-time score], MATCH(LARGE(AllTime1[Helper2], ROW(Structures!$G182)), AllTime1[Helper2], 0))</f>
        <v>4</v>
      </c>
      <c r="E187" s="64">
        <f>COUNTIF(_xlfn.XLOOKUP(Table1215[[#This Row],[Name]],Table16[Name],Table16[[September 30, 2025]:[Column18]],,0,1),"&gt;=0")</f>
        <v>1</v>
      </c>
      <c r="F187" s="109">
        <f>_xlfn.XLOOKUP(Table1215[[#This Row],[Name]],Table1624[Name],Table1624[Totals],,0,1)</f>
        <v>0.24099999999999999</v>
      </c>
      <c r="G187" s="65">
        <f>IFERROR(Table1215[[#This Row],[Points]]/Table1215[[#This Row],[GP]],"N/A")</f>
        <v>4</v>
      </c>
      <c r="H187" s="64">
        <f>COUNTIF(_xlfn.XLOOKUP(Table1215[[#This Row],[Name]],Table16[Name],Table16[[September 30, 2025]:[Column18]],,0,1),"&gt;=8")</f>
        <v>0</v>
      </c>
      <c r="I187" s="110" t="str">
        <f>IFERROR(AVERAGEIF(_xlfn.XLOOKUP(Table1215[[#This Row],[Name]],Table16[Name],Table16[[September 30, 2025]:[Column18]],,0,1),"&gt;=8"),"N/A")</f>
        <v>N/A</v>
      </c>
      <c r="J187" s="66">
        <f>IFERROR(Table1215[[#This Row],[FTA]]/Table1215[[#This Row],[GP]],"N/A")</f>
        <v>0</v>
      </c>
      <c r="K187" s="67">
        <f>COUNTIF(_xlfn.XLOOKUP(Table1215[[#This Row],[Name]],Table16[Name],Table16[[September 30, 2025]:[Column18]],,0,1),"&gt;=15")</f>
        <v>0</v>
      </c>
    </row>
    <row r="188" spans="1:11">
      <c r="A188" s="69"/>
      <c r="B188" s="82">
        <f>INDEX(AllTime1[All-time rank], MATCH(SMALL(AllTime1[Helper], ROW(Structures!$G183)), AllTime1[Helper], 0))</f>
        <v>177</v>
      </c>
      <c r="C188" s="64" t="str">
        <f>TEXT(INDEX(AllTime1[Name], MATCH(SMALL(AllTime1[Helper], ROW(Structures!$G183)), AllTime1[Helper], 0)),"@")</f>
        <v>Clara Chen</v>
      </c>
      <c r="D188" s="64">
        <f>INDEX(AllTime1[All-time score], MATCH(LARGE(AllTime1[Helper2], ROW(Structures!$G183)), AllTime1[Helper2], 0))</f>
        <v>4</v>
      </c>
      <c r="E188" s="64">
        <f>COUNTIF(_xlfn.XLOOKUP(Table1215[[#This Row],[Name]],Table16[Name],Table16[[September 30, 2025]:[Column18]],,0,1),"&gt;=0")</f>
        <v>3</v>
      </c>
      <c r="F188" s="109">
        <f>_xlfn.XLOOKUP(Table1215[[#This Row],[Name]],Table1624[Name],Table1624[Totals],,0,1)</f>
        <v>0.77949999999999997</v>
      </c>
      <c r="G188" s="65">
        <f>IFERROR(Table1215[[#This Row],[Points]]/Table1215[[#This Row],[GP]],"N/A")</f>
        <v>1.3333333333333333</v>
      </c>
      <c r="H188" s="64">
        <f>COUNTIF(_xlfn.XLOOKUP(Table1215[[#This Row],[Name]],Table16[Name],Table16[[September 30, 2025]:[Column18]],,0,1),"&gt;=8")</f>
        <v>0</v>
      </c>
      <c r="I188" s="110" t="str">
        <f>IFERROR(AVERAGEIF(_xlfn.XLOOKUP(Table1215[[#This Row],[Name]],Table16[Name],Table16[[September 30, 2025]:[Column18]],,0,1),"&gt;=8"),"N/A")</f>
        <v>N/A</v>
      </c>
      <c r="J188" s="66">
        <f>IFERROR(Table1215[[#This Row],[FTA]]/Table1215[[#This Row],[GP]],"N/A")</f>
        <v>0</v>
      </c>
      <c r="K188" s="67">
        <f>COUNTIF(_xlfn.XLOOKUP(Table1215[[#This Row],[Name]],Table16[Name],Table16[[September 30, 2025]:[Column18]],,0,1),"&gt;=15")</f>
        <v>0</v>
      </c>
    </row>
    <row r="189" spans="1:11">
      <c r="A189" s="69"/>
      <c r="B189" s="82">
        <f>INDEX(AllTime1[All-time rank], MATCH(SMALL(AllTime1[Helper], ROW(Structures!$G184)), AllTime1[Helper], 0))</f>
        <v>177</v>
      </c>
      <c r="C189" s="64" t="str">
        <f>TEXT(INDEX(AllTime1[Name], MATCH(SMALL(AllTime1[Helper], ROW(Structures!$G184)), AllTime1[Helper], 0)),"@")</f>
        <v>Daniel Solesa</v>
      </c>
      <c r="D189" s="64">
        <f>INDEX(AllTime1[All-time score], MATCH(LARGE(AllTime1[Helper2], ROW(Structures!$G184)), AllTime1[Helper2], 0))</f>
        <v>4</v>
      </c>
      <c r="E189" s="64">
        <f>COUNTIF(_xlfn.XLOOKUP(Table1215[[#This Row],[Name]],Table16[Name],Table16[[September 30, 2025]:[Column18]],,0,1),"&gt;=0")</f>
        <v>1</v>
      </c>
      <c r="F189" s="109">
        <f>_xlfn.XLOOKUP(Table1215[[#This Row],[Name]],Table1624[Name],Table1624[Totals],,0,1)</f>
        <v>0.17</v>
      </c>
      <c r="G189" s="65">
        <f>IFERROR(Table1215[[#This Row],[Points]]/Table1215[[#This Row],[GP]],"N/A")</f>
        <v>4</v>
      </c>
      <c r="H189" s="64">
        <f>COUNTIF(_xlfn.XLOOKUP(Table1215[[#This Row],[Name]],Table16[Name],Table16[[September 30, 2025]:[Column18]],,0,1),"&gt;=8")</f>
        <v>0</v>
      </c>
      <c r="I189" s="110" t="str">
        <f>IFERROR(AVERAGEIF(_xlfn.XLOOKUP(Table1215[[#This Row],[Name]],Table16[Name],Table16[[September 30, 2025]:[Column18]],,0,1),"&gt;=8"),"N/A")</f>
        <v>N/A</v>
      </c>
      <c r="J189" s="66">
        <f>IFERROR(Table1215[[#This Row],[FTA]]/Table1215[[#This Row],[GP]],"N/A")</f>
        <v>0</v>
      </c>
      <c r="K189" s="67">
        <f>COUNTIF(_xlfn.XLOOKUP(Table1215[[#This Row],[Name]],Table16[Name],Table16[[September 30, 2025]:[Column18]],,0,1),"&gt;=15")</f>
        <v>0</v>
      </c>
    </row>
    <row r="190" spans="1:11">
      <c r="A190" s="69"/>
      <c r="B190" s="82">
        <f>INDEX(AllTime1[All-time rank], MATCH(SMALL(AllTime1[Helper], ROW(Structures!$G185)), AllTime1[Helper], 0))</f>
        <v>177</v>
      </c>
      <c r="C190" s="64" t="str">
        <f>TEXT(INDEX(AllTime1[Name], MATCH(SMALL(AllTime1[Helper], ROW(Structures!$G185)), AllTime1[Helper], 0)),"@")</f>
        <v>David Fuentes</v>
      </c>
      <c r="D190" s="64">
        <f>INDEX(AllTime1[All-time score], MATCH(LARGE(AllTime1[Helper2], ROW(Structures!$G185)), AllTime1[Helper2], 0))</f>
        <v>4</v>
      </c>
      <c r="E190" s="64">
        <f>COUNTIF(_xlfn.XLOOKUP(Table1215[[#This Row],[Name]],Table16[Name],Table16[[September 30, 2025]:[Column18]],,0,1),"&gt;=0")</f>
        <v>3</v>
      </c>
      <c r="F190" s="109">
        <f>_xlfn.XLOOKUP(Table1215[[#This Row],[Name]],Table1624[Name],Table1624[Totals],,0,1)</f>
        <v>0.72133333333333327</v>
      </c>
      <c r="G190" s="65">
        <f>IFERROR(Table1215[[#This Row],[Points]]/Table1215[[#This Row],[GP]],"N/A")</f>
        <v>1.3333333333333333</v>
      </c>
      <c r="H190" s="64">
        <f>COUNTIF(_xlfn.XLOOKUP(Table1215[[#This Row],[Name]],Table16[Name],Table16[[September 30, 2025]:[Column18]],,0,1),"&gt;=8")</f>
        <v>0</v>
      </c>
      <c r="I190" s="110" t="str">
        <f>IFERROR(AVERAGEIF(_xlfn.XLOOKUP(Table1215[[#This Row],[Name]],Table16[Name],Table16[[September 30, 2025]:[Column18]],,0,1),"&gt;=8"),"N/A")</f>
        <v>N/A</v>
      </c>
      <c r="J190" s="66">
        <f>IFERROR(Table1215[[#This Row],[FTA]]/Table1215[[#This Row],[GP]],"N/A")</f>
        <v>0</v>
      </c>
      <c r="K190" s="67">
        <f>COUNTIF(_xlfn.XLOOKUP(Table1215[[#This Row],[Name]],Table16[Name],Table16[[September 30, 2025]:[Column18]],,0,1),"&gt;=15")</f>
        <v>0</v>
      </c>
    </row>
    <row r="191" spans="1:11">
      <c r="A191" s="69"/>
      <c r="B191" s="82">
        <f>INDEX(AllTime1[All-time rank], MATCH(SMALL(AllTime1[Helper], ROW(Structures!$G186)), AllTime1[Helper], 0))</f>
        <v>177</v>
      </c>
      <c r="C191" s="64" t="str">
        <f>TEXT(INDEX(AllTime1[Name], MATCH(SMALL(AllTime1[Helper], ROW(Structures!$G186)), AllTime1[Helper], 0)),"@")</f>
        <v>Emma Scott</v>
      </c>
      <c r="D191" s="64">
        <f>INDEX(AllTime1[All-time score], MATCH(LARGE(AllTime1[Helper2], ROW(Structures!$G186)), AllTime1[Helper2], 0))</f>
        <v>4</v>
      </c>
      <c r="E191" s="64">
        <f>COUNTIF(_xlfn.XLOOKUP(Table1215[[#This Row],[Name]],Table16[Name],Table16[[September 30, 2025]:[Column18]],,0,1),"&gt;=0")</f>
        <v>2</v>
      </c>
      <c r="F191" s="109">
        <f>_xlfn.XLOOKUP(Table1215[[#This Row],[Name]],Table1624[Name],Table1624[Totals],,0,1)</f>
        <v>0.25750000000000001</v>
      </c>
      <c r="G191" s="65">
        <f>IFERROR(Table1215[[#This Row],[Points]]/Table1215[[#This Row],[GP]],"N/A")</f>
        <v>2</v>
      </c>
      <c r="H191" s="64">
        <f>COUNTIF(_xlfn.XLOOKUP(Table1215[[#This Row],[Name]],Table16[Name],Table16[[September 30, 2025]:[Column18]],,0,1),"&gt;=8")</f>
        <v>0</v>
      </c>
      <c r="I191" s="110" t="str">
        <f>IFERROR(AVERAGEIF(_xlfn.XLOOKUP(Table1215[[#This Row],[Name]],Table16[Name],Table16[[September 30, 2025]:[Column18]],,0,1),"&gt;=8"),"N/A")</f>
        <v>N/A</v>
      </c>
      <c r="J191" s="66">
        <f>IFERROR(Table1215[[#This Row],[FTA]]/Table1215[[#This Row],[GP]],"N/A")</f>
        <v>0</v>
      </c>
      <c r="K191" s="67">
        <f>COUNTIF(_xlfn.XLOOKUP(Table1215[[#This Row],[Name]],Table16[Name],Table16[[September 30, 2025]:[Column18]],,0,1),"&gt;=15")</f>
        <v>0</v>
      </c>
    </row>
    <row r="192" spans="1:11">
      <c r="A192" s="69"/>
      <c r="B192" s="82">
        <f>INDEX(AllTime1[All-time rank], MATCH(SMALL(AllTime1[Helper], ROW(Structures!$G187)), AllTime1[Helper], 0))</f>
        <v>177</v>
      </c>
      <c r="C192" s="64" t="str">
        <f>TEXT(INDEX(AllTime1[Name], MATCH(SMALL(AllTime1[Helper], ROW(Structures!$G187)), AllTime1[Helper], 0)),"@")</f>
        <v>James Forrest</v>
      </c>
      <c r="D192" s="64">
        <f>INDEX(AllTime1[All-time score], MATCH(LARGE(AllTime1[Helper2], ROW(Structures!$G187)), AllTime1[Helper2], 0))</f>
        <v>4</v>
      </c>
      <c r="E192" s="64">
        <f>COUNTIF(_xlfn.XLOOKUP(Table1215[[#This Row],[Name]],Table16[Name],Table16[[September 30, 2025]:[Column18]],,0,1),"&gt;=0")</f>
        <v>1</v>
      </c>
      <c r="F192" s="109">
        <f>_xlfn.XLOOKUP(Table1215[[#This Row],[Name]],Table1624[Name],Table1624[Totals],,0,1)</f>
        <v>0.14599999999999999</v>
      </c>
      <c r="G192" s="65">
        <f>IFERROR(Table1215[[#This Row],[Points]]/Table1215[[#This Row],[GP]],"N/A")</f>
        <v>4</v>
      </c>
      <c r="H192" s="64">
        <f>COUNTIF(_xlfn.XLOOKUP(Table1215[[#This Row],[Name]],Table16[Name],Table16[[September 30, 2025]:[Column18]],,0,1),"&gt;=8")</f>
        <v>0</v>
      </c>
      <c r="I192" s="110" t="str">
        <f>IFERROR(AVERAGEIF(_xlfn.XLOOKUP(Table1215[[#This Row],[Name]],Table16[Name],Table16[[September 30, 2025]:[Column18]],,0,1),"&gt;=8"),"N/A")</f>
        <v>N/A</v>
      </c>
      <c r="J192" s="66">
        <f>IFERROR(Table1215[[#This Row],[FTA]]/Table1215[[#This Row],[GP]],"N/A")</f>
        <v>0</v>
      </c>
      <c r="K192" s="67">
        <f>COUNTIF(_xlfn.XLOOKUP(Table1215[[#This Row],[Name]],Table16[Name],Table16[[September 30, 2025]:[Column18]],,0,1),"&gt;=15")</f>
        <v>0</v>
      </c>
    </row>
    <row r="193" spans="1:11">
      <c r="A193" s="69"/>
      <c r="B193" s="82">
        <f>INDEX(AllTime1[All-time rank], MATCH(SMALL(AllTime1[Helper], ROW(Structures!$G188)), AllTime1[Helper], 0))</f>
        <v>177</v>
      </c>
      <c r="C193" s="64" t="str">
        <f>TEXT(INDEX(AllTime1[Name], MATCH(SMALL(AllTime1[Helper], ROW(Structures!$G188)), AllTime1[Helper], 0)),"@")</f>
        <v>James Kendel</v>
      </c>
      <c r="D193" s="64">
        <f>INDEX(AllTime1[All-time score], MATCH(LARGE(AllTime1[Helper2], ROW(Structures!$G188)), AllTime1[Helper2], 0))</f>
        <v>4</v>
      </c>
      <c r="E193" s="64">
        <f>COUNTIF(_xlfn.XLOOKUP(Table1215[[#This Row],[Name]],Table16[Name],Table16[[September 30, 2025]:[Column18]],,0,1),"&gt;=0")</f>
        <v>4</v>
      </c>
      <c r="F193" s="109">
        <f>_xlfn.XLOOKUP(Table1215[[#This Row],[Name]],Table1624[Name],Table1624[Totals],,0,1)</f>
        <v>0.81525000000000003</v>
      </c>
      <c r="G193" s="65">
        <f>IFERROR(Table1215[[#This Row],[Points]]/Table1215[[#This Row],[GP]],"N/A")</f>
        <v>1</v>
      </c>
      <c r="H193" s="64">
        <f>COUNTIF(_xlfn.XLOOKUP(Table1215[[#This Row],[Name]],Table16[Name],Table16[[September 30, 2025]:[Column18]],,0,1),"&gt;=8")</f>
        <v>0</v>
      </c>
      <c r="I193" s="110" t="str">
        <f>IFERROR(AVERAGEIF(_xlfn.XLOOKUP(Table1215[[#This Row],[Name]],Table16[Name],Table16[[September 30, 2025]:[Column18]],,0,1),"&gt;=8"),"N/A")</f>
        <v>N/A</v>
      </c>
      <c r="J193" s="66">
        <f>IFERROR(Table1215[[#This Row],[FTA]]/Table1215[[#This Row],[GP]],"N/A")</f>
        <v>0</v>
      </c>
      <c r="K193" s="67">
        <f>COUNTIF(_xlfn.XLOOKUP(Table1215[[#This Row],[Name]],Table16[Name],Table16[[September 30, 2025]:[Column18]],,0,1),"&gt;=15")</f>
        <v>0</v>
      </c>
    </row>
    <row r="194" spans="1:11">
      <c r="A194" s="69"/>
      <c r="B194" s="82">
        <f>INDEX(AllTime1[All-time rank], MATCH(SMALL(AllTime1[Helper], ROW(Structures!$G189)), AllTime1[Helper], 0))</f>
        <v>177</v>
      </c>
      <c r="C194" s="64" t="str">
        <f>TEXT(INDEX(AllTime1[Name], MATCH(SMALL(AllTime1[Helper], ROW(Structures!$G189)), AllTime1[Helper], 0)),"@")</f>
        <v>James Juo</v>
      </c>
      <c r="D194" s="64">
        <f>INDEX(AllTime1[All-time score], MATCH(LARGE(AllTime1[Helper2], ROW(Structures!$G189)), AllTime1[Helper2], 0))</f>
        <v>4</v>
      </c>
      <c r="E194" s="64">
        <f>COUNTIF(_xlfn.XLOOKUP(Table1215[[#This Row],[Name]],Table16[Name],Table16[[September 30, 2025]:[Column18]],,0,1),"&gt;=0")</f>
        <v>2</v>
      </c>
      <c r="F194" s="109">
        <f>_xlfn.XLOOKUP(Table1215[[#This Row],[Name]],Table1624[Name],Table1624[Totals],,0,1)</f>
        <v>0.24199999999999999</v>
      </c>
      <c r="G194" s="65">
        <f>IFERROR(Table1215[[#This Row],[Points]]/Table1215[[#This Row],[GP]],"N/A")</f>
        <v>2</v>
      </c>
      <c r="H194" s="64">
        <f>COUNTIF(_xlfn.XLOOKUP(Table1215[[#This Row],[Name]],Table16[Name],Table16[[September 30, 2025]:[Column18]],,0,1),"&gt;=8")</f>
        <v>0</v>
      </c>
      <c r="I194" s="110" t="str">
        <f>IFERROR(AVERAGEIF(_xlfn.XLOOKUP(Table1215[[#This Row],[Name]],Table16[Name],Table16[[September 30, 2025]:[Column18]],,0,1),"&gt;=8"),"N/A")</f>
        <v>N/A</v>
      </c>
      <c r="J194" s="66">
        <f>IFERROR(Table1215[[#This Row],[FTA]]/Table1215[[#This Row],[GP]],"N/A")</f>
        <v>0</v>
      </c>
      <c r="K194" s="67">
        <f>COUNTIF(_xlfn.XLOOKUP(Table1215[[#This Row],[Name]],Table16[Name],Table16[[September 30, 2025]:[Column18]],,0,1),"&gt;=15")</f>
        <v>0</v>
      </c>
    </row>
    <row r="195" spans="1:11">
      <c r="A195" s="69"/>
      <c r="B195" s="82">
        <f>INDEX(AllTime1[All-time rank], MATCH(SMALL(AllTime1[Helper], ROW(Structures!$G190)), AllTime1[Helper], 0))</f>
        <v>177</v>
      </c>
      <c r="C195" s="64" t="str">
        <f>TEXT(INDEX(AllTime1[Name], MATCH(SMALL(AllTime1[Helper], ROW(Structures!$G190)), AllTime1[Helper], 0)),"@")</f>
        <v>Josh Sandler</v>
      </c>
      <c r="D195" s="64">
        <f>INDEX(AllTime1[All-time score], MATCH(LARGE(AllTime1[Helper2], ROW(Structures!$G190)), AllTime1[Helper2], 0))</f>
        <v>4</v>
      </c>
      <c r="E195" s="64">
        <f>COUNTIF(_xlfn.XLOOKUP(Table1215[[#This Row],[Name]],Table16[Name],Table16[[September 30, 2025]:[Column18]],,0,1),"&gt;=0")</f>
        <v>3</v>
      </c>
      <c r="F195" s="109">
        <f>_xlfn.XLOOKUP(Table1215[[#This Row],[Name]],Table1624[Name],Table1624[Totals],,0,1)</f>
        <v>0.64049999999999996</v>
      </c>
      <c r="G195" s="65">
        <f>IFERROR(Table1215[[#This Row],[Points]]/Table1215[[#This Row],[GP]],"N/A")</f>
        <v>1.3333333333333333</v>
      </c>
      <c r="H195" s="64">
        <f>COUNTIF(_xlfn.XLOOKUP(Table1215[[#This Row],[Name]],Table16[Name],Table16[[September 30, 2025]:[Column18]],,0,1),"&gt;=8")</f>
        <v>0</v>
      </c>
      <c r="I195" s="110" t="str">
        <f>IFERROR(AVERAGEIF(_xlfn.XLOOKUP(Table1215[[#This Row],[Name]],Table16[Name],Table16[[September 30, 2025]:[Column18]],,0,1),"&gt;=8"),"N/A")</f>
        <v>N/A</v>
      </c>
      <c r="J195" s="66">
        <f>IFERROR(Table1215[[#This Row],[FTA]]/Table1215[[#This Row],[GP]],"N/A")</f>
        <v>0</v>
      </c>
      <c r="K195" s="67">
        <f>COUNTIF(_xlfn.XLOOKUP(Table1215[[#This Row],[Name]],Table16[Name],Table16[[September 30, 2025]:[Column18]],,0,1),"&gt;=15")</f>
        <v>0</v>
      </c>
    </row>
    <row r="196" spans="1:11">
      <c r="A196" s="69"/>
      <c r="B196" s="82">
        <f>INDEX(AllTime1[All-time rank], MATCH(SMALL(AllTime1[Helper], ROW(Structures!$G191)), AllTime1[Helper], 0))</f>
        <v>177</v>
      </c>
      <c r="C196" s="64" t="str">
        <f>TEXT(INDEX(AllTime1[Name], MATCH(SMALL(AllTime1[Helper], ROW(Structures!$G191)), AllTime1[Helper], 0)),"@")</f>
        <v>Leo Yang</v>
      </c>
      <c r="D196" s="64">
        <f>INDEX(AllTime1[All-time score], MATCH(LARGE(AllTime1[Helper2], ROW(Structures!$G191)), AllTime1[Helper2], 0))</f>
        <v>4</v>
      </c>
      <c r="E196" s="64">
        <f>COUNTIF(_xlfn.XLOOKUP(Table1215[[#This Row],[Name]],Table16[Name],Table16[[September 30, 2025]:[Column18]],,0,1),"&gt;=0")</f>
        <v>2</v>
      </c>
      <c r="F196" s="109">
        <f>_xlfn.XLOOKUP(Table1215[[#This Row],[Name]],Table1624[Name],Table1624[Totals],,0,1)</f>
        <v>0.41899999999999998</v>
      </c>
      <c r="G196" s="65">
        <f>IFERROR(Table1215[[#This Row],[Points]]/Table1215[[#This Row],[GP]],"N/A")</f>
        <v>2</v>
      </c>
      <c r="H196" s="64">
        <f>COUNTIF(_xlfn.XLOOKUP(Table1215[[#This Row],[Name]],Table16[Name],Table16[[September 30, 2025]:[Column18]],,0,1),"&gt;=8")</f>
        <v>0</v>
      </c>
      <c r="I196" s="110" t="str">
        <f>IFERROR(AVERAGEIF(_xlfn.XLOOKUP(Table1215[[#This Row],[Name]],Table16[Name],Table16[[September 30, 2025]:[Column18]],,0,1),"&gt;=8"),"N/A")</f>
        <v>N/A</v>
      </c>
      <c r="J196" s="66">
        <f>IFERROR(Table1215[[#This Row],[FTA]]/Table1215[[#This Row],[GP]],"N/A")</f>
        <v>0</v>
      </c>
      <c r="K196" s="67">
        <f>COUNTIF(_xlfn.XLOOKUP(Table1215[[#This Row],[Name]],Table16[Name],Table16[[September 30, 2025]:[Column18]],,0,1),"&gt;=15")</f>
        <v>0</v>
      </c>
    </row>
    <row r="197" spans="1:11">
      <c r="A197" s="69"/>
      <c r="B197" s="82">
        <f>INDEX(AllTime1[All-time rank], MATCH(SMALL(AllTime1[Helper], ROW(Structures!$G192)), AllTime1[Helper], 0))</f>
        <v>177</v>
      </c>
      <c r="C197" s="64" t="str">
        <f>TEXT(INDEX(AllTime1[Name], MATCH(SMALL(AllTime1[Helper], ROW(Structures!$G192)), AllTime1[Helper], 0)),"@")</f>
        <v>Lidia Permia</v>
      </c>
      <c r="D197" s="64">
        <f>INDEX(AllTime1[All-time score], MATCH(LARGE(AllTime1[Helper2], ROW(Structures!$G192)), AllTime1[Helper2], 0))</f>
        <v>4</v>
      </c>
      <c r="E197" s="64">
        <f>COUNTIF(_xlfn.XLOOKUP(Table1215[[#This Row],[Name]],Table16[Name],Table16[[September 30, 2025]:[Column18]],,0,1),"&gt;=0")</f>
        <v>1</v>
      </c>
      <c r="F197" s="109">
        <f>_xlfn.XLOOKUP(Table1215[[#This Row],[Name]],Table1624[Name],Table1624[Totals],,0,1)</f>
        <v>0.23499999999999999</v>
      </c>
      <c r="G197" s="65">
        <f>IFERROR(Table1215[[#This Row],[Points]]/Table1215[[#This Row],[GP]],"N/A")</f>
        <v>4</v>
      </c>
      <c r="H197" s="64">
        <f>COUNTIF(_xlfn.XLOOKUP(Table1215[[#This Row],[Name]],Table16[Name],Table16[[September 30, 2025]:[Column18]],,0,1),"&gt;=8")</f>
        <v>0</v>
      </c>
      <c r="I197" s="110" t="str">
        <f>IFERROR(AVERAGEIF(_xlfn.XLOOKUP(Table1215[[#This Row],[Name]],Table16[Name],Table16[[September 30, 2025]:[Column18]],,0,1),"&gt;=8"),"N/A")</f>
        <v>N/A</v>
      </c>
      <c r="J197" s="66">
        <f>IFERROR(Table1215[[#This Row],[FTA]]/Table1215[[#This Row],[GP]],"N/A")</f>
        <v>0</v>
      </c>
      <c r="K197" s="67">
        <f>COUNTIF(_xlfn.XLOOKUP(Table1215[[#This Row],[Name]],Table16[Name],Table16[[September 30, 2025]:[Column18]],,0,1),"&gt;=15")</f>
        <v>0</v>
      </c>
    </row>
    <row r="198" spans="1:11">
      <c r="A198" s="69"/>
      <c r="B198" s="82">
        <f>INDEX(AllTime1[All-time rank], MATCH(SMALL(AllTime1[Helper], ROW(Structures!$G193)), AllTime1[Helper], 0))</f>
        <v>177</v>
      </c>
      <c r="C198" s="64" t="str">
        <f>TEXT(INDEX(AllTime1[Name], MATCH(SMALL(AllTime1[Helper], ROW(Structures!$G193)), AllTime1[Helper], 0)),"@")</f>
        <v>Marco Jiang</v>
      </c>
      <c r="D198" s="64">
        <f>INDEX(AllTime1[All-time score], MATCH(LARGE(AllTime1[Helper2], ROW(Structures!$G193)), AllTime1[Helper2], 0))</f>
        <v>4</v>
      </c>
      <c r="E198" s="64">
        <f>COUNTIF(_xlfn.XLOOKUP(Table1215[[#This Row],[Name]],Table16[Name],Table16[[September 30, 2025]:[Column18]],,0,1),"&gt;=0")</f>
        <v>3</v>
      </c>
      <c r="F198" s="109">
        <f>_xlfn.XLOOKUP(Table1215[[#This Row],[Name]],Table1624[Name],Table1624[Totals],,0,1)</f>
        <v>0.68266666666666664</v>
      </c>
      <c r="G198" s="65">
        <f>IFERROR(Table1215[[#This Row],[Points]]/Table1215[[#This Row],[GP]],"N/A")</f>
        <v>1.3333333333333333</v>
      </c>
      <c r="H198" s="64">
        <f>COUNTIF(_xlfn.XLOOKUP(Table1215[[#This Row],[Name]],Table16[Name],Table16[[September 30, 2025]:[Column18]],,0,1),"&gt;=8")</f>
        <v>0</v>
      </c>
      <c r="I198" s="110" t="str">
        <f>IFERROR(AVERAGEIF(_xlfn.XLOOKUP(Table1215[[#This Row],[Name]],Table16[Name],Table16[[September 30, 2025]:[Column18]],,0,1),"&gt;=8"),"N/A")</f>
        <v>N/A</v>
      </c>
      <c r="J198" s="66">
        <f>IFERROR(Table1215[[#This Row],[FTA]]/Table1215[[#This Row],[GP]],"N/A")</f>
        <v>0</v>
      </c>
      <c r="K198" s="67">
        <f>COUNTIF(_xlfn.XLOOKUP(Table1215[[#This Row],[Name]],Table16[Name],Table16[[September 30, 2025]:[Column18]],,0,1),"&gt;=15")</f>
        <v>0</v>
      </c>
    </row>
    <row r="199" spans="1:11">
      <c r="A199" s="69"/>
      <c r="B199" s="82">
        <f>INDEX(AllTime1[All-time rank], MATCH(SMALL(AllTime1[Helper], ROW(Structures!$G194)), AllTime1[Helper], 0))</f>
        <v>177</v>
      </c>
      <c r="C199" s="64" t="str">
        <f>TEXT(INDEX(AllTime1[Name], MATCH(SMALL(AllTime1[Helper], ROW(Structures!$G194)), AllTime1[Helper], 0)),"@")</f>
        <v>Max Gavric</v>
      </c>
      <c r="D199" s="64">
        <f>INDEX(AllTime1[All-time score], MATCH(LARGE(AllTime1[Helper2], ROW(Structures!$G194)), AllTime1[Helper2], 0))</f>
        <v>4</v>
      </c>
      <c r="E199" s="64">
        <f>COUNTIF(_xlfn.XLOOKUP(Table1215[[#This Row],[Name]],Table16[Name],Table16[[September 30, 2025]:[Column18]],,0,1),"&gt;=0")</f>
        <v>3</v>
      </c>
      <c r="F199" s="109">
        <f>_xlfn.XLOOKUP(Table1215[[#This Row],[Name]],Table1624[Name],Table1624[Totals],,0,1)</f>
        <v>0.74333333333333329</v>
      </c>
      <c r="G199" s="65">
        <f>IFERROR(Table1215[[#This Row],[Points]]/Table1215[[#This Row],[GP]],"N/A")</f>
        <v>1.3333333333333333</v>
      </c>
      <c r="H199" s="64">
        <f>COUNTIF(_xlfn.XLOOKUP(Table1215[[#This Row],[Name]],Table16[Name],Table16[[September 30, 2025]:[Column18]],,0,1),"&gt;=8")</f>
        <v>0</v>
      </c>
      <c r="I199" s="110" t="str">
        <f>IFERROR(AVERAGEIF(_xlfn.XLOOKUP(Table1215[[#This Row],[Name]],Table16[Name],Table16[[September 30, 2025]:[Column18]],,0,1),"&gt;=8"),"N/A")</f>
        <v>N/A</v>
      </c>
      <c r="J199" s="66">
        <f>IFERROR(Table1215[[#This Row],[FTA]]/Table1215[[#This Row],[GP]],"N/A")</f>
        <v>0</v>
      </c>
      <c r="K199" s="67">
        <f>COUNTIF(_xlfn.XLOOKUP(Table1215[[#This Row],[Name]],Table16[Name],Table16[[September 30, 2025]:[Column18]],,0,1),"&gt;=15")</f>
        <v>0</v>
      </c>
    </row>
    <row r="200" spans="1:11">
      <c r="A200" s="69"/>
      <c r="B200" s="82">
        <f>INDEX(AllTime1[All-time rank], MATCH(SMALL(AllTime1[Helper], ROW(Structures!$G195)), AllTime1[Helper], 0))</f>
        <v>177</v>
      </c>
      <c r="C200" s="64" t="str">
        <f>TEXT(INDEX(AllTime1[Name], MATCH(SMALL(AllTime1[Helper], ROW(Structures!$G195)), AllTime1[Helper], 0)),"@")</f>
        <v>Mirkomil Oblokulov</v>
      </c>
      <c r="D200" s="64">
        <f>INDEX(AllTime1[All-time score], MATCH(LARGE(AllTime1[Helper2], ROW(Structures!$G195)), AllTime1[Helper2], 0))</f>
        <v>4</v>
      </c>
      <c r="E200" s="64">
        <f>COUNTIF(_xlfn.XLOOKUP(Table1215[[#This Row],[Name]],Table16[Name],Table16[[September 30, 2025]:[Column18]],,0,1),"&gt;=0")</f>
        <v>3</v>
      </c>
      <c r="F200" s="109">
        <f>_xlfn.XLOOKUP(Table1215[[#This Row],[Name]],Table1624[Name],Table1624[Totals],,0,1)</f>
        <v>0.56366666666666665</v>
      </c>
      <c r="G200" s="65">
        <f>IFERROR(Table1215[[#This Row],[Points]]/Table1215[[#This Row],[GP]],"N/A")</f>
        <v>1.3333333333333333</v>
      </c>
      <c r="H200" s="64">
        <f>COUNTIF(_xlfn.XLOOKUP(Table1215[[#This Row],[Name]],Table16[Name],Table16[[September 30, 2025]:[Column18]],,0,1),"&gt;=8")</f>
        <v>0</v>
      </c>
      <c r="I200" s="110" t="str">
        <f>IFERROR(AVERAGEIF(_xlfn.XLOOKUP(Table1215[[#This Row],[Name]],Table16[Name],Table16[[September 30, 2025]:[Column18]],,0,1),"&gt;=8"),"N/A")</f>
        <v>N/A</v>
      </c>
      <c r="J200" s="66">
        <f>IFERROR(Table1215[[#This Row],[FTA]]/Table1215[[#This Row],[GP]],"N/A")</f>
        <v>0</v>
      </c>
      <c r="K200" s="67">
        <f>COUNTIF(_xlfn.XLOOKUP(Table1215[[#This Row],[Name]],Table16[Name],Table16[[September 30, 2025]:[Column18]],,0,1),"&gt;=15")</f>
        <v>0</v>
      </c>
    </row>
    <row r="201" spans="1:11">
      <c r="A201" s="69"/>
      <c r="B201" s="82">
        <f>INDEX(AllTime1[All-time rank], MATCH(SMALL(AllTime1[Helper], ROW(Structures!$G196)), AllTime1[Helper], 0))</f>
        <v>177</v>
      </c>
      <c r="C201" s="64" t="str">
        <f>TEXT(INDEX(AllTime1[Name], MATCH(SMALL(AllTime1[Helper], ROW(Structures!$G196)), AllTime1[Helper], 0)),"@")</f>
        <v>Sydney Xie</v>
      </c>
      <c r="D201" s="64">
        <f>INDEX(AllTime1[All-time score], MATCH(LARGE(AllTime1[Helper2], ROW(Structures!$G196)), AllTime1[Helper2], 0))</f>
        <v>4</v>
      </c>
      <c r="E201" s="64">
        <f>COUNTIF(_xlfn.XLOOKUP(Table1215[[#This Row],[Name]],Table16[Name],Table16[[September 30, 2025]:[Column18]],,0,1),"&gt;=0")</f>
        <v>1</v>
      </c>
      <c r="F201" s="109" t="str">
        <f>_xlfn.XLOOKUP(Table1215[[#This Row],[Name]],Table1624[Name],Table1624[Totals],,0,1)</f>
        <v>N/A</v>
      </c>
      <c r="G201" s="65">
        <f>IFERROR(Table1215[[#This Row],[Points]]/Table1215[[#This Row],[GP]],"N/A")</f>
        <v>4</v>
      </c>
      <c r="H201" s="64">
        <f>COUNTIF(_xlfn.XLOOKUP(Table1215[[#This Row],[Name]],Table16[Name],Table16[[September 30, 2025]:[Column18]],,0,1),"&gt;=8")</f>
        <v>0</v>
      </c>
      <c r="I201" s="110" t="str">
        <f>IFERROR(AVERAGEIF(_xlfn.XLOOKUP(Table1215[[#This Row],[Name]],Table16[Name],Table16[[September 30, 2025]:[Column18]],,0,1),"&gt;=8"),"N/A")</f>
        <v>N/A</v>
      </c>
      <c r="J201" s="66">
        <f>IFERROR(Table1215[[#This Row],[FTA]]/Table1215[[#This Row],[GP]],"N/A")</f>
        <v>0</v>
      </c>
      <c r="K201" s="67">
        <f>COUNTIF(_xlfn.XLOOKUP(Table1215[[#This Row],[Name]],Table16[Name],Table16[[September 30, 2025]:[Column18]],,0,1),"&gt;=15")</f>
        <v>0</v>
      </c>
    </row>
    <row r="202" spans="1:11">
      <c r="A202" s="69"/>
      <c r="B202" s="82">
        <f>INDEX(AllTime1[All-time rank], MATCH(SMALL(AllTime1[Helper], ROW(Structures!$G197)), AllTime1[Helper], 0))</f>
        <v>177</v>
      </c>
      <c r="C202" s="64" t="str">
        <f>TEXT(INDEX(AllTime1[Name], MATCH(SMALL(AllTime1[Helper], ROW(Structures!$G197)), AllTime1[Helper], 0)),"@")</f>
        <v>Youngjun Cho</v>
      </c>
      <c r="D202" s="64">
        <f>INDEX(AllTime1[All-time score], MATCH(LARGE(AllTime1[Helper2], ROW(Structures!$G197)), AllTime1[Helper2], 0))</f>
        <v>4</v>
      </c>
      <c r="E202" s="64">
        <f>COUNTIF(_xlfn.XLOOKUP(Table1215[[#This Row],[Name]],Table16[Name],Table16[[September 30, 2025]:[Column18]],,0,1),"&gt;=0")</f>
        <v>4</v>
      </c>
      <c r="F202" s="109">
        <f>_xlfn.XLOOKUP(Table1215[[#This Row],[Name]],Table1624[Name],Table1624[Totals],,0,1)</f>
        <v>0.77175000000000005</v>
      </c>
      <c r="G202" s="65">
        <f>IFERROR(Table1215[[#This Row],[Points]]/Table1215[[#This Row],[GP]],"N/A")</f>
        <v>1</v>
      </c>
      <c r="H202" s="64">
        <f>COUNTIF(_xlfn.XLOOKUP(Table1215[[#This Row],[Name]],Table16[Name],Table16[[September 30, 2025]:[Column18]],,0,1),"&gt;=8")</f>
        <v>0</v>
      </c>
      <c r="I202" s="110" t="str">
        <f>IFERROR(AVERAGEIF(_xlfn.XLOOKUP(Table1215[[#This Row],[Name]],Table16[Name],Table16[[September 30, 2025]:[Column18]],,0,1),"&gt;=8"),"N/A")</f>
        <v>N/A</v>
      </c>
      <c r="J202" s="66">
        <f>IFERROR(Table1215[[#This Row],[FTA]]/Table1215[[#This Row],[GP]],"N/A")</f>
        <v>0</v>
      </c>
      <c r="K202" s="67">
        <f>COUNTIF(_xlfn.XLOOKUP(Table1215[[#This Row],[Name]],Table16[Name],Table16[[September 30, 2025]:[Column18]],,0,1),"&gt;=15")</f>
        <v>0</v>
      </c>
    </row>
    <row r="203" spans="1:11">
      <c r="A203" s="69"/>
      <c r="B203" s="82">
        <f>INDEX(AllTime1[All-time rank], MATCH(SMALL(AllTime1[Helper], ROW(Structures!$G198)), AllTime1[Helper], 0))</f>
        <v>198</v>
      </c>
      <c r="C203" s="64" t="str">
        <f>TEXT(INDEX(AllTime1[Name], MATCH(SMALL(AllTime1[Helper], ROW(Structures!$G198)), AllTime1[Helper], 0)),"@")</f>
        <v>Nathan Fenske</v>
      </c>
      <c r="D203" s="64">
        <f>INDEX(AllTime1[All-time score], MATCH(LARGE(AllTime1[Helper2], ROW(Structures!$G198)), AllTime1[Helper2], 0))</f>
        <v>3</v>
      </c>
      <c r="E203" s="64">
        <f>COUNTIF(_xlfn.XLOOKUP(Table1215[[#This Row],[Name]],Table16[Name],Table16[[September 30, 2025]:[Column18]],,0,1),"&gt;=0")</f>
        <v>3</v>
      </c>
      <c r="F203" s="109">
        <f>_xlfn.XLOOKUP(Table1215[[#This Row],[Name]],Table1624[Name],Table1624[Totals],,0,1)</f>
        <v>0.70533333333333337</v>
      </c>
      <c r="G203" s="65">
        <f>IFERROR(Table1215[[#This Row],[Points]]/Table1215[[#This Row],[GP]],"N/A")</f>
        <v>1</v>
      </c>
      <c r="H203" s="64">
        <f>COUNTIF(_xlfn.XLOOKUP(Table1215[[#This Row],[Name]],Table16[Name],Table16[[September 30, 2025]:[Column18]],,0,1),"&gt;=8")</f>
        <v>0</v>
      </c>
      <c r="I203" s="110" t="str">
        <f>IFERROR(AVERAGEIF(_xlfn.XLOOKUP(Table1215[[#This Row],[Name]],Table16[Name],Table16[[September 30, 2025]:[Column18]],,0,1),"&gt;=8"),"N/A")</f>
        <v>N/A</v>
      </c>
      <c r="J203" s="66">
        <f>IFERROR(Table1215[[#This Row],[FTA]]/Table1215[[#This Row],[GP]],"N/A")</f>
        <v>0</v>
      </c>
      <c r="K203" s="67">
        <f>COUNTIF(_xlfn.XLOOKUP(Table1215[[#This Row],[Name]],Table16[Name],Table16[[September 30, 2025]:[Column18]],,0,1),"&gt;=15")</f>
        <v>0</v>
      </c>
    </row>
    <row r="204" spans="1:11">
      <c r="A204" s="69"/>
      <c r="B204" s="82">
        <f>INDEX(AllTime1[All-time rank], MATCH(SMALL(AllTime1[Helper], ROW(Structures!$G199)), AllTime1[Helper], 0))</f>
        <v>198</v>
      </c>
      <c r="C204" s="64" t="str">
        <f>TEXT(INDEX(AllTime1[Name], MATCH(SMALL(AllTime1[Helper], ROW(Structures!$G199)), AllTime1[Helper], 0)),"@")</f>
        <v>Kyler See</v>
      </c>
      <c r="D204" s="64">
        <f>INDEX(AllTime1[All-time score], MATCH(LARGE(AllTime1[Helper2], ROW(Structures!$G199)), AllTime1[Helper2], 0))</f>
        <v>3</v>
      </c>
      <c r="E204" s="64">
        <f>COUNTIF(_xlfn.XLOOKUP(Table1215[[#This Row],[Name]],Table16[Name],Table16[[September 30, 2025]:[Column18]],,0,1),"&gt;=0")</f>
        <v>2</v>
      </c>
      <c r="F204" s="109">
        <f>_xlfn.XLOOKUP(Table1215[[#This Row],[Name]],Table1624[Name],Table1624[Totals],,0,1)</f>
        <v>0.45300000000000001</v>
      </c>
      <c r="G204" s="65">
        <f>IFERROR(Table1215[[#This Row],[Points]]/Table1215[[#This Row],[GP]],"N/A")</f>
        <v>1.5</v>
      </c>
      <c r="H204" s="64">
        <f>COUNTIF(_xlfn.XLOOKUP(Table1215[[#This Row],[Name]],Table16[Name],Table16[[September 30, 2025]:[Column18]],,0,1),"&gt;=8")</f>
        <v>0</v>
      </c>
      <c r="I204" s="110" t="str">
        <f>IFERROR(AVERAGEIF(_xlfn.XLOOKUP(Table1215[[#This Row],[Name]],Table16[Name],Table16[[September 30, 2025]:[Column18]],,0,1),"&gt;=8"),"N/A")</f>
        <v>N/A</v>
      </c>
      <c r="J204" s="66">
        <f>IFERROR(Table1215[[#This Row],[FTA]]/Table1215[[#This Row],[GP]],"N/A")</f>
        <v>0</v>
      </c>
      <c r="K204" s="67">
        <f>COUNTIF(_xlfn.XLOOKUP(Table1215[[#This Row],[Name]],Table16[Name],Table16[[September 30, 2025]:[Column18]],,0,1),"&gt;=15")</f>
        <v>0</v>
      </c>
    </row>
    <row r="205" spans="1:11">
      <c r="A205" s="69"/>
      <c r="B205" s="82">
        <f>INDEX(AllTime1[All-time rank], MATCH(SMALL(AllTime1[Helper], ROW(Structures!$G200)), AllTime1[Helper], 0))</f>
        <v>198</v>
      </c>
      <c r="C205" s="64" t="str">
        <f>TEXT(INDEX(AllTime1[Name], MATCH(SMALL(AllTime1[Helper], ROW(Structures!$G200)), AllTime1[Helper], 0)),"@")</f>
        <v>Sanjay Snaidero</v>
      </c>
      <c r="D205" s="64">
        <f>INDEX(AllTime1[All-time score], MATCH(LARGE(AllTime1[Helper2], ROW(Structures!$G200)), AllTime1[Helper2], 0))</f>
        <v>3</v>
      </c>
      <c r="E205" s="64">
        <f>COUNTIF(_xlfn.XLOOKUP(Table1215[[#This Row],[Name]],Table16[Name],Table16[[September 30, 2025]:[Column18]],,0,1),"&gt;=0")</f>
        <v>2</v>
      </c>
      <c r="F205" s="109">
        <f>_xlfn.XLOOKUP(Table1215[[#This Row],[Name]],Table1624[Name],Table1624[Totals],,0,1)</f>
        <v>0.50800000000000001</v>
      </c>
      <c r="G205" s="65">
        <f>IFERROR(Table1215[[#This Row],[Points]]/Table1215[[#This Row],[GP]],"N/A")</f>
        <v>1.5</v>
      </c>
      <c r="H205" s="64">
        <f>COUNTIF(_xlfn.XLOOKUP(Table1215[[#This Row],[Name]],Table16[Name],Table16[[September 30, 2025]:[Column18]],,0,1),"&gt;=8")</f>
        <v>0</v>
      </c>
      <c r="I205" s="110" t="str">
        <f>IFERROR(AVERAGEIF(_xlfn.XLOOKUP(Table1215[[#This Row],[Name]],Table16[Name],Table16[[September 30, 2025]:[Column18]],,0,1),"&gt;=8"),"N/A")</f>
        <v>N/A</v>
      </c>
      <c r="J205" s="66">
        <f>IFERROR(Table1215[[#This Row],[FTA]]/Table1215[[#This Row],[GP]],"N/A")</f>
        <v>0</v>
      </c>
      <c r="K205" s="67">
        <f>COUNTIF(_xlfn.XLOOKUP(Table1215[[#This Row],[Name]],Table16[Name],Table16[[September 30, 2025]:[Column18]],,0,1),"&gt;=15")</f>
        <v>0</v>
      </c>
    </row>
    <row r="206" spans="1:11">
      <c r="A206" s="69"/>
      <c r="B206" s="82">
        <f>INDEX(AllTime1[All-time rank], MATCH(SMALL(AllTime1[Helper], ROW(Structures!$G201)), AllTime1[Helper], 0))</f>
        <v>198</v>
      </c>
      <c r="C206" s="64" t="str">
        <f>TEXT(INDEX(AllTime1[Name], MATCH(SMALL(AllTime1[Helper], ROW(Structures!$G201)), AllTime1[Helper], 0)),"@")</f>
        <v>Alan Long</v>
      </c>
      <c r="D206" s="64">
        <f>INDEX(AllTime1[All-time score], MATCH(LARGE(AllTime1[Helper2], ROW(Structures!$G201)), AllTime1[Helper2], 0))</f>
        <v>3</v>
      </c>
      <c r="E206" s="64">
        <f>COUNTIF(_xlfn.XLOOKUP(Table1215[[#This Row],[Name]],Table16[Name],Table16[[September 30, 2025]:[Column18]],,0,1),"&gt;=0")</f>
        <v>2</v>
      </c>
      <c r="F206" s="109">
        <f>_xlfn.XLOOKUP(Table1215[[#This Row],[Name]],Table1624[Name],Table1624[Totals],,0,1)</f>
        <v>0.52049999999999996</v>
      </c>
      <c r="G206" s="65">
        <f>IFERROR(Table1215[[#This Row],[Points]]/Table1215[[#This Row],[GP]],"N/A")</f>
        <v>1.5</v>
      </c>
      <c r="H206" s="64">
        <f>COUNTIF(_xlfn.XLOOKUP(Table1215[[#This Row],[Name]],Table16[Name],Table16[[September 30, 2025]:[Column18]],,0,1),"&gt;=8")</f>
        <v>0</v>
      </c>
      <c r="I206" s="110" t="str">
        <f>IFERROR(AVERAGEIF(_xlfn.XLOOKUP(Table1215[[#This Row],[Name]],Table16[Name],Table16[[September 30, 2025]:[Column18]],,0,1),"&gt;=8"),"N/A")</f>
        <v>N/A</v>
      </c>
      <c r="J206" s="66">
        <f>IFERROR(Table1215[[#This Row],[FTA]]/Table1215[[#This Row],[GP]],"N/A")</f>
        <v>0</v>
      </c>
      <c r="K206" s="67">
        <f>COUNTIF(_xlfn.XLOOKUP(Table1215[[#This Row],[Name]],Table16[Name],Table16[[September 30, 2025]:[Column18]],,0,1),"&gt;=15")</f>
        <v>0</v>
      </c>
    </row>
    <row r="207" spans="1:11">
      <c r="A207" s="69"/>
      <c r="B207" s="82">
        <f>INDEX(AllTime1[All-time rank], MATCH(SMALL(AllTime1[Helper], ROW(Structures!$G202)), AllTime1[Helper], 0))</f>
        <v>198</v>
      </c>
      <c r="C207" s="64" t="str">
        <f>TEXT(INDEX(AllTime1[Name], MATCH(SMALL(AllTime1[Helper], ROW(Structures!$G202)), AllTime1[Helper], 0)),"@")</f>
        <v>Alex Fan-Lun</v>
      </c>
      <c r="D207" s="64">
        <f>INDEX(AllTime1[All-time score], MATCH(LARGE(AllTime1[Helper2], ROW(Structures!$G202)), AllTime1[Helper2], 0))</f>
        <v>3</v>
      </c>
      <c r="E207" s="64">
        <f>COUNTIF(_xlfn.XLOOKUP(Table1215[[#This Row],[Name]],Table16[Name],Table16[[September 30, 2025]:[Column18]],,0,1),"&gt;=0")</f>
        <v>2</v>
      </c>
      <c r="F207" s="109">
        <f>_xlfn.XLOOKUP(Table1215[[#This Row],[Name]],Table1624[Name],Table1624[Totals],,0,1)</f>
        <v>0.77300000000000002</v>
      </c>
      <c r="G207" s="65">
        <f>IFERROR(Table1215[[#This Row],[Points]]/Table1215[[#This Row],[GP]],"N/A")</f>
        <v>1.5</v>
      </c>
      <c r="H207" s="64">
        <f>COUNTIF(_xlfn.XLOOKUP(Table1215[[#This Row],[Name]],Table16[Name],Table16[[September 30, 2025]:[Column18]],,0,1),"&gt;=8")</f>
        <v>0</v>
      </c>
      <c r="I207" s="110" t="str">
        <f>IFERROR(AVERAGEIF(_xlfn.XLOOKUP(Table1215[[#This Row],[Name]],Table16[Name],Table16[[September 30, 2025]:[Column18]],,0,1),"&gt;=8"),"N/A")</f>
        <v>N/A</v>
      </c>
      <c r="J207" s="66">
        <f>IFERROR(Table1215[[#This Row],[FTA]]/Table1215[[#This Row],[GP]],"N/A")</f>
        <v>0</v>
      </c>
      <c r="K207" s="67">
        <f>COUNTIF(_xlfn.XLOOKUP(Table1215[[#This Row],[Name]],Table16[Name],Table16[[September 30, 2025]:[Column18]],,0,1),"&gt;=15")</f>
        <v>0</v>
      </c>
    </row>
    <row r="208" spans="1:11">
      <c r="A208" s="69"/>
      <c r="B208" s="82">
        <f>INDEX(AllTime1[All-time rank], MATCH(SMALL(AllTime1[Helper], ROW(Structures!$G203)), AllTime1[Helper], 0))</f>
        <v>198</v>
      </c>
      <c r="C208" s="64" t="str">
        <f>TEXT(INDEX(AllTime1[Name], MATCH(SMALL(AllTime1[Helper], ROW(Structures!$G203)), AllTime1[Helper], 0)),"@")</f>
        <v>Alex Yu</v>
      </c>
      <c r="D208" s="64">
        <f>INDEX(AllTime1[All-time score], MATCH(LARGE(AllTime1[Helper2], ROW(Structures!$G203)), AllTime1[Helper2], 0))</f>
        <v>3</v>
      </c>
      <c r="E208" s="64">
        <f>COUNTIF(_xlfn.XLOOKUP(Table1215[[#This Row],[Name]],Table16[Name],Table16[[September 30, 2025]:[Column18]],,0,1),"&gt;=0")</f>
        <v>2</v>
      </c>
      <c r="F208" s="109">
        <f>_xlfn.XLOOKUP(Table1215[[#This Row],[Name]],Table1624[Name],Table1624[Totals],,0,1)</f>
        <v>0.26600000000000001</v>
      </c>
      <c r="G208" s="65">
        <f>IFERROR(Table1215[[#This Row],[Points]]/Table1215[[#This Row],[GP]],"N/A")</f>
        <v>1.5</v>
      </c>
      <c r="H208" s="64">
        <f>COUNTIF(_xlfn.XLOOKUP(Table1215[[#This Row],[Name]],Table16[Name],Table16[[September 30, 2025]:[Column18]],,0,1),"&gt;=8")</f>
        <v>0</v>
      </c>
      <c r="I208" s="110" t="str">
        <f>IFERROR(AVERAGEIF(_xlfn.XLOOKUP(Table1215[[#This Row],[Name]],Table16[Name],Table16[[September 30, 2025]:[Column18]],,0,1),"&gt;=8"),"N/A")</f>
        <v>N/A</v>
      </c>
      <c r="J208" s="66">
        <f>IFERROR(Table1215[[#This Row],[FTA]]/Table1215[[#This Row],[GP]],"N/A")</f>
        <v>0</v>
      </c>
      <c r="K208" s="67">
        <f>COUNTIF(_xlfn.XLOOKUP(Table1215[[#This Row],[Name]],Table16[Name],Table16[[September 30, 2025]:[Column18]],,0,1),"&gt;=15")</f>
        <v>0</v>
      </c>
    </row>
    <row r="209" spans="1:11">
      <c r="A209" s="69"/>
      <c r="B209" s="82">
        <f>INDEX(AllTime1[All-time rank], MATCH(SMALL(AllTime1[Helper], ROW(Structures!$G204)), AllTime1[Helper], 0))</f>
        <v>198</v>
      </c>
      <c r="C209" s="64" t="str">
        <f>TEXT(INDEX(AllTime1[Name], MATCH(SMALL(AllTime1[Helper], ROW(Structures!$G204)), AllTime1[Helper], 0)),"@")</f>
        <v>Ayham Noor</v>
      </c>
      <c r="D209" s="64">
        <f>INDEX(AllTime1[All-time score], MATCH(LARGE(AllTime1[Helper2], ROW(Structures!$G204)), AllTime1[Helper2], 0))</f>
        <v>3</v>
      </c>
      <c r="E209" s="64">
        <f>COUNTIF(_xlfn.XLOOKUP(Table1215[[#This Row],[Name]],Table16[Name],Table16[[September 30, 2025]:[Column18]],,0,1),"&gt;=0")</f>
        <v>2</v>
      </c>
      <c r="F209" s="109">
        <f>_xlfn.XLOOKUP(Table1215[[#This Row],[Name]],Table1624[Name],Table1624[Totals],,0,1)</f>
        <v>0.60550000000000004</v>
      </c>
      <c r="G209" s="65">
        <f>IFERROR(Table1215[[#This Row],[Points]]/Table1215[[#This Row],[GP]],"N/A")</f>
        <v>1.5</v>
      </c>
      <c r="H209" s="64">
        <f>COUNTIF(_xlfn.XLOOKUP(Table1215[[#This Row],[Name]],Table16[Name],Table16[[September 30, 2025]:[Column18]],,0,1),"&gt;=8")</f>
        <v>0</v>
      </c>
      <c r="I209" s="110" t="str">
        <f>IFERROR(AVERAGEIF(_xlfn.XLOOKUP(Table1215[[#This Row],[Name]],Table16[Name],Table16[[September 30, 2025]:[Column18]],,0,1),"&gt;=8"),"N/A")</f>
        <v>N/A</v>
      </c>
      <c r="J209" s="66">
        <f>IFERROR(Table1215[[#This Row],[FTA]]/Table1215[[#This Row],[GP]],"N/A")</f>
        <v>0</v>
      </c>
      <c r="K209" s="67">
        <f>COUNTIF(_xlfn.XLOOKUP(Table1215[[#This Row],[Name]],Table16[Name],Table16[[September 30, 2025]:[Column18]],,0,1),"&gt;=15")</f>
        <v>0</v>
      </c>
    </row>
    <row r="210" spans="1:11">
      <c r="A210" s="69"/>
      <c r="B210" s="82">
        <f>INDEX(AllTime1[All-time rank], MATCH(SMALL(AllTime1[Helper], ROW(Structures!$G205)), AllTime1[Helper], 0))</f>
        <v>198</v>
      </c>
      <c r="C210" s="64" t="str">
        <f>TEXT(INDEX(AllTime1[Name], MATCH(SMALL(AllTime1[Helper], ROW(Structures!$G205)), AllTime1[Helper], 0)),"@")</f>
        <v>Ben Goldstein</v>
      </c>
      <c r="D210" s="64">
        <f>INDEX(AllTime1[All-time score], MATCH(LARGE(AllTime1[Helper2], ROW(Structures!$G205)), AllTime1[Helper2], 0))</f>
        <v>3</v>
      </c>
      <c r="E210" s="64">
        <f>COUNTIF(_xlfn.XLOOKUP(Table1215[[#This Row],[Name]],Table16[Name],Table16[[September 30, 2025]:[Column18]],,0,1),"&gt;=0")</f>
        <v>2</v>
      </c>
      <c r="F210" s="109">
        <f>_xlfn.XLOOKUP(Table1215[[#This Row],[Name]],Table1624[Name],Table1624[Totals],,0,1)</f>
        <v>0.59050000000000002</v>
      </c>
      <c r="G210" s="65">
        <f>IFERROR(Table1215[[#This Row],[Points]]/Table1215[[#This Row],[GP]],"N/A")</f>
        <v>1.5</v>
      </c>
      <c r="H210" s="64">
        <f>COUNTIF(_xlfn.XLOOKUP(Table1215[[#This Row],[Name]],Table16[Name],Table16[[September 30, 2025]:[Column18]],,0,1),"&gt;=8")</f>
        <v>0</v>
      </c>
      <c r="I210" s="110" t="str">
        <f>IFERROR(AVERAGEIF(_xlfn.XLOOKUP(Table1215[[#This Row],[Name]],Table16[Name],Table16[[September 30, 2025]:[Column18]],,0,1),"&gt;=8"),"N/A")</f>
        <v>N/A</v>
      </c>
      <c r="J210" s="66">
        <f>IFERROR(Table1215[[#This Row],[FTA]]/Table1215[[#This Row],[GP]],"N/A")</f>
        <v>0</v>
      </c>
      <c r="K210" s="67">
        <f>COUNTIF(_xlfn.XLOOKUP(Table1215[[#This Row],[Name]],Table16[Name],Table16[[September 30, 2025]:[Column18]],,0,1),"&gt;=15")</f>
        <v>0</v>
      </c>
    </row>
    <row r="211" spans="1:11">
      <c r="A211" s="69"/>
      <c r="B211" s="82">
        <f>INDEX(AllTime1[All-time rank], MATCH(SMALL(AllTime1[Helper], ROW(Structures!$G206)), AllTime1[Helper], 0))</f>
        <v>198</v>
      </c>
      <c r="C211" s="64" t="str">
        <f>TEXT(INDEX(AllTime1[Name], MATCH(SMALL(AllTime1[Helper], ROW(Structures!$G206)), AllTime1[Helper], 0)),"@")</f>
        <v>Brandon Roy</v>
      </c>
      <c r="D211" s="64">
        <f>INDEX(AllTime1[All-time score], MATCH(LARGE(AllTime1[Helper2], ROW(Structures!$G206)), AllTime1[Helper2], 0))</f>
        <v>3</v>
      </c>
      <c r="E211" s="64">
        <f>COUNTIF(_xlfn.XLOOKUP(Table1215[[#This Row],[Name]],Table16[Name],Table16[[September 30, 2025]:[Column18]],,0,1),"&gt;=0")</f>
        <v>3</v>
      </c>
      <c r="F211" s="109">
        <f>_xlfn.XLOOKUP(Table1215[[#This Row],[Name]],Table1624[Name],Table1624[Totals],,0,1)</f>
        <v>0.88200000000000001</v>
      </c>
      <c r="G211" s="65">
        <f>IFERROR(Table1215[[#This Row],[Points]]/Table1215[[#This Row],[GP]],"N/A")</f>
        <v>1</v>
      </c>
      <c r="H211" s="64">
        <f>COUNTIF(_xlfn.XLOOKUP(Table1215[[#This Row],[Name]],Table16[Name],Table16[[September 30, 2025]:[Column18]],,0,1),"&gt;=8")</f>
        <v>0</v>
      </c>
      <c r="I211" s="110" t="str">
        <f>IFERROR(AVERAGEIF(_xlfn.XLOOKUP(Table1215[[#This Row],[Name]],Table16[Name],Table16[[September 30, 2025]:[Column18]],,0,1),"&gt;=8"),"N/A")</f>
        <v>N/A</v>
      </c>
      <c r="J211" s="66">
        <f>IFERROR(Table1215[[#This Row],[FTA]]/Table1215[[#This Row],[GP]],"N/A")</f>
        <v>0</v>
      </c>
      <c r="K211" s="67">
        <f>COUNTIF(_xlfn.XLOOKUP(Table1215[[#This Row],[Name]],Table16[Name],Table16[[September 30, 2025]:[Column18]],,0,1),"&gt;=15")</f>
        <v>0</v>
      </c>
    </row>
    <row r="212" spans="1:11">
      <c r="A212" s="69"/>
      <c r="B212" s="82">
        <f>INDEX(AllTime1[All-time rank], MATCH(SMALL(AllTime1[Helper], ROW(Structures!$G207)), AllTime1[Helper], 0))</f>
        <v>198</v>
      </c>
      <c r="C212" s="64" t="str">
        <f>TEXT(INDEX(AllTime1[Name], MATCH(SMALL(AllTime1[Helper], ROW(Structures!$G207)), AllTime1[Helper], 0)),"@")</f>
        <v>Cameron Minol</v>
      </c>
      <c r="D212" s="64">
        <f>INDEX(AllTime1[All-time score], MATCH(LARGE(AllTime1[Helper2], ROW(Structures!$G207)), AllTime1[Helper2], 0))</f>
        <v>3</v>
      </c>
      <c r="E212" s="64">
        <f>COUNTIF(_xlfn.XLOOKUP(Table1215[[#This Row],[Name]],Table16[Name],Table16[[September 30, 2025]:[Column18]],,0,1),"&gt;=0")</f>
        <v>1</v>
      </c>
      <c r="F212" s="109">
        <f>_xlfn.XLOOKUP(Table1215[[#This Row],[Name]],Table1624[Name],Table1624[Totals],,0,1)</f>
        <v>0.24099999999999999</v>
      </c>
      <c r="G212" s="65">
        <f>IFERROR(Table1215[[#This Row],[Points]]/Table1215[[#This Row],[GP]],"N/A")</f>
        <v>3</v>
      </c>
      <c r="H212" s="64">
        <f>COUNTIF(_xlfn.XLOOKUP(Table1215[[#This Row],[Name]],Table16[Name],Table16[[September 30, 2025]:[Column18]],,0,1),"&gt;=8")</f>
        <v>0</v>
      </c>
      <c r="I212" s="110" t="str">
        <f>IFERROR(AVERAGEIF(_xlfn.XLOOKUP(Table1215[[#This Row],[Name]],Table16[Name],Table16[[September 30, 2025]:[Column18]],,0,1),"&gt;=8"),"N/A")</f>
        <v>N/A</v>
      </c>
      <c r="J212" s="66">
        <f>IFERROR(Table1215[[#This Row],[FTA]]/Table1215[[#This Row],[GP]],"N/A")</f>
        <v>0</v>
      </c>
      <c r="K212" s="67">
        <f>COUNTIF(_xlfn.XLOOKUP(Table1215[[#This Row],[Name]],Table16[Name],Table16[[September 30, 2025]:[Column18]],,0,1),"&gt;=15")</f>
        <v>0</v>
      </c>
    </row>
    <row r="213" spans="1:11">
      <c r="A213" s="69"/>
      <c r="B213" s="82">
        <f>INDEX(AllTime1[All-time rank], MATCH(SMALL(AllTime1[Helper], ROW(Structures!$G208)), AllTime1[Helper], 0))</f>
        <v>198</v>
      </c>
      <c r="C213" s="64" t="str">
        <f>TEXT(INDEX(AllTime1[Name], MATCH(SMALL(AllTime1[Helper], ROW(Structures!$G208)), AllTime1[Helper], 0)),"@")</f>
        <v>Dan Qiao</v>
      </c>
      <c r="D213" s="64">
        <f>INDEX(AllTime1[All-time score], MATCH(LARGE(AllTime1[Helper2], ROW(Structures!$G208)), AllTime1[Helper2], 0))</f>
        <v>3</v>
      </c>
      <c r="E213" s="64">
        <f>COUNTIF(_xlfn.XLOOKUP(Table1215[[#This Row],[Name]],Table16[Name],Table16[[September 30, 2025]:[Column18]],,0,1),"&gt;=0")</f>
        <v>1</v>
      </c>
      <c r="F213" s="109">
        <f>_xlfn.XLOOKUP(Table1215[[#This Row],[Name]],Table1624[Name],Table1624[Totals],,0,1)</f>
        <v>0.191</v>
      </c>
      <c r="G213" s="65">
        <f>IFERROR(Table1215[[#This Row],[Points]]/Table1215[[#This Row],[GP]],"N/A")</f>
        <v>3</v>
      </c>
      <c r="H213" s="64">
        <f>COUNTIF(_xlfn.XLOOKUP(Table1215[[#This Row],[Name]],Table16[Name],Table16[[September 30, 2025]:[Column18]],,0,1),"&gt;=8")</f>
        <v>0</v>
      </c>
      <c r="I213" s="110" t="str">
        <f>IFERROR(AVERAGEIF(_xlfn.XLOOKUP(Table1215[[#This Row],[Name]],Table16[Name],Table16[[September 30, 2025]:[Column18]],,0,1),"&gt;=8"),"N/A")</f>
        <v>N/A</v>
      </c>
      <c r="J213" s="66">
        <f>IFERROR(Table1215[[#This Row],[FTA]]/Table1215[[#This Row],[GP]],"N/A")</f>
        <v>0</v>
      </c>
      <c r="K213" s="67">
        <f>COUNTIF(_xlfn.XLOOKUP(Table1215[[#This Row],[Name]],Table16[Name],Table16[[September 30, 2025]:[Column18]],,0,1),"&gt;=15")</f>
        <v>0</v>
      </c>
    </row>
    <row r="214" spans="1:11">
      <c r="A214" s="69"/>
      <c r="B214" s="82">
        <f>INDEX(AllTime1[All-time rank], MATCH(SMALL(AllTime1[Helper], ROW(Structures!$G209)), AllTime1[Helper], 0))</f>
        <v>198</v>
      </c>
      <c r="C214" s="64" t="str">
        <f>TEXT(INDEX(AllTime1[Name], MATCH(SMALL(AllTime1[Helper], ROW(Structures!$G209)), AllTime1[Helper], 0)),"@")</f>
        <v>Dehou Kong</v>
      </c>
      <c r="D214" s="64">
        <f>INDEX(AllTime1[All-time score], MATCH(LARGE(AllTime1[Helper2], ROW(Structures!$G209)), AllTime1[Helper2], 0))</f>
        <v>3</v>
      </c>
      <c r="E214" s="64">
        <f>COUNTIF(_xlfn.XLOOKUP(Table1215[[#This Row],[Name]],Table16[Name],Table16[[September 30, 2025]:[Column18]],,0,1),"&gt;=0")</f>
        <v>3</v>
      </c>
      <c r="F214" s="109">
        <f>_xlfn.XLOOKUP(Table1215[[#This Row],[Name]],Table1624[Name],Table1624[Totals],,0,1)</f>
        <v>0.90133333333333321</v>
      </c>
      <c r="G214" s="65">
        <f>IFERROR(Table1215[[#This Row],[Points]]/Table1215[[#This Row],[GP]],"N/A")</f>
        <v>1</v>
      </c>
      <c r="H214" s="64">
        <f>COUNTIF(_xlfn.XLOOKUP(Table1215[[#This Row],[Name]],Table16[Name],Table16[[September 30, 2025]:[Column18]],,0,1),"&gt;=8")</f>
        <v>0</v>
      </c>
      <c r="I214" s="110" t="str">
        <f>IFERROR(AVERAGEIF(_xlfn.XLOOKUP(Table1215[[#This Row],[Name]],Table16[Name],Table16[[September 30, 2025]:[Column18]],,0,1),"&gt;=8"),"N/A")</f>
        <v>N/A</v>
      </c>
      <c r="J214" s="66">
        <f>IFERROR(Table1215[[#This Row],[FTA]]/Table1215[[#This Row],[GP]],"N/A")</f>
        <v>0</v>
      </c>
      <c r="K214" s="67">
        <f>COUNTIF(_xlfn.XLOOKUP(Table1215[[#This Row],[Name]],Table16[Name],Table16[[September 30, 2025]:[Column18]],,0,1),"&gt;=15")</f>
        <v>0</v>
      </c>
    </row>
    <row r="215" spans="1:11">
      <c r="A215" s="69"/>
      <c r="B215" s="82">
        <f>INDEX(AllTime1[All-time rank], MATCH(SMALL(AllTime1[Helper], ROW(Structures!$G210)), AllTime1[Helper], 0))</f>
        <v>198</v>
      </c>
      <c r="C215" s="64" t="str">
        <f>TEXT(INDEX(AllTime1[Name], MATCH(SMALL(AllTime1[Helper], ROW(Structures!$G210)), AllTime1[Helper], 0)),"@")</f>
        <v>Ethan Schmidt</v>
      </c>
      <c r="D215" s="64">
        <f>INDEX(AllTime1[All-time score], MATCH(LARGE(AllTime1[Helper2], ROW(Structures!$G210)), AllTime1[Helper2], 0))</f>
        <v>3</v>
      </c>
      <c r="E215" s="64">
        <f>COUNTIF(_xlfn.XLOOKUP(Table1215[[#This Row],[Name]],Table16[Name],Table16[[September 30, 2025]:[Column18]],,0,1),"&gt;=0")</f>
        <v>1</v>
      </c>
      <c r="F215" s="109">
        <f>_xlfn.XLOOKUP(Table1215[[#This Row],[Name]],Table1624[Name],Table1624[Totals],,0,1)</f>
        <v>0.20599999999999999</v>
      </c>
      <c r="G215" s="65">
        <f>IFERROR(Table1215[[#This Row],[Points]]/Table1215[[#This Row],[GP]],"N/A")</f>
        <v>3</v>
      </c>
      <c r="H215" s="64">
        <f>COUNTIF(_xlfn.XLOOKUP(Table1215[[#This Row],[Name]],Table16[Name],Table16[[September 30, 2025]:[Column18]],,0,1),"&gt;=8")</f>
        <v>0</v>
      </c>
      <c r="I215" s="110" t="str">
        <f>IFERROR(AVERAGEIF(_xlfn.XLOOKUP(Table1215[[#This Row],[Name]],Table16[Name],Table16[[September 30, 2025]:[Column18]],,0,1),"&gt;=8"),"N/A")</f>
        <v>N/A</v>
      </c>
      <c r="J215" s="66">
        <f>IFERROR(Table1215[[#This Row],[FTA]]/Table1215[[#This Row],[GP]],"N/A")</f>
        <v>0</v>
      </c>
      <c r="K215" s="67">
        <f>COUNTIF(_xlfn.XLOOKUP(Table1215[[#This Row],[Name]],Table16[Name],Table16[[September 30, 2025]:[Column18]],,0,1),"&gt;=15")</f>
        <v>0</v>
      </c>
    </row>
    <row r="216" spans="1:11">
      <c r="A216" s="69"/>
      <c r="B216" s="82">
        <f>INDEX(AllTime1[All-time rank], MATCH(SMALL(AllTime1[Helper], ROW(Structures!$G211)), AllTime1[Helper], 0))</f>
        <v>198</v>
      </c>
      <c r="C216" s="64" t="str">
        <f>TEXT(INDEX(AllTime1[Name], MATCH(SMALL(AllTime1[Helper], ROW(Structures!$G211)), AllTime1[Helper], 0)),"@")</f>
        <v>Evan Sahadeo</v>
      </c>
      <c r="D216" s="64">
        <f>INDEX(AllTime1[All-time score], MATCH(LARGE(AllTime1[Helper2], ROW(Structures!$G211)), AllTime1[Helper2], 0))</f>
        <v>3</v>
      </c>
      <c r="E216" s="64">
        <f>COUNTIF(_xlfn.XLOOKUP(Table1215[[#This Row],[Name]],Table16[Name],Table16[[September 30, 2025]:[Column18]],,0,1),"&gt;=0")</f>
        <v>2</v>
      </c>
      <c r="F216" s="109">
        <f>_xlfn.XLOOKUP(Table1215[[#This Row],[Name]],Table1624[Name],Table1624[Totals],,0,1)</f>
        <v>0.35299999999999998</v>
      </c>
      <c r="G216" s="65">
        <f>IFERROR(Table1215[[#This Row],[Points]]/Table1215[[#This Row],[GP]],"N/A")</f>
        <v>1.5</v>
      </c>
      <c r="H216" s="64">
        <f>COUNTIF(_xlfn.XLOOKUP(Table1215[[#This Row],[Name]],Table16[Name],Table16[[September 30, 2025]:[Column18]],,0,1),"&gt;=8")</f>
        <v>0</v>
      </c>
      <c r="I216" s="110" t="str">
        <f>IFERROR(AVERAGEIF(_xlfn.XLOOKUP(Table1215[[#This Row],[Name]],Table16[Name],Table16[[September 30, 2025]:[Column18]],,0,1),"&gt;=8"),"N/A")</f>
        <v>N/A</v>
      </c>
      <c r="J216" s="66">
        <f>IFERROR(Table1215[[#This Row],[FTA]]/Table1215[[#This Row],[GP]],"N/A")</f>
        <v>0</v>
      </c>
      <c r="K216" s="67">
        <f>COUNTIF(_xlfn.XLOOKUP(Table1215[[#This Row],[Name]],Table16[Name],Table16[[September 30, 2025]:[Column18]],,0,1),"&gt;=15")</f>
        <v>0</v>
      </c>
    </row>
    <row r="217" spans="1:11">
      <c r="A217" s="69"/>
      <c r="B217" s="82">
        <f>INDEX(AllTime1[All-time rank], MATCH(SMALL(AllTime1[Helper], ROW(Structures!$G212)), AllTime1[Helper], 0))</f>
        <v>198</v>
      </c>
      <c r="C217" s="64" t="str">
        <f>TEXT(INDEX(AllTime1[Name], MATCH(SMALL(AllTime1[Helper], ROW(Structures!$G212)), AllTime1[Helper], 0)),"@")</f>
        <v>Grayson Adams</v>
      </c>
      <c r="D217" s="64">
        <f>INDEX(AllTime1[All-time score], MATCH(LARGE(AllTime1[Helper2], ROW(Structures!$G212)), AllTime1[Helper2], 0))</f>
        <v>3</v>
      </c>
      <c r="E217" s="64">
        <f>COUNTIF(_xlfn.XLOOKUP(Table1215[[#This Row],[Name]],Table16[Name],Table16[[September 30, 2025]:[Column18]],,0,1),"&gt;=0")</f>
        <v>2</v>
      </c>
      <c r="F217" s="109">
        <f>_xlfn.XLOOKUP(Table1215[[#This Row],[Name]],Table1624[Name],Table1624[Totals],,0,1)</f>
        <v>0.50049999999999994</v>
      </c>
      <c r="G217" s="65">
        <f>IFERROR(Table1215[[#This Row],[Points]]/Table1215[[#This Row],[GP]],"N/A")</f>
        <v>1.5</v>
      </c>
      <c r="H217" s="64">
        <f>COUNTIF(_xlfn.XLOOKUP(Table1215[[#This Row],[Name]],Table16[Name],Table16[[September 30, 2025]:[Column18]],,0,1),"&gt;=8")</f>
        <v>0</v>
      </c>
      <c r="I217" s="110" t="str">
        <f>IFERROR(AVERAGEIF(_xlfn.XLOOKUP(Table1215[[#This Row],[Name]],Table16[Name],Table16[[September 30, 2025]:[Column18]],,0,1),"&gt;=8"),"N/A")</f>
        <v>N/A</v>
      </c>
      <c r="J217" s="66">
        <f>IFERROR(Table1215[[#This Row],[FTA]]/Table1215[[#This Row],[GP]],"N/A")</f>
        <v>0</v>
      </c>
      <c r="K217" s="67">
        <f>COUNTIF(_xlfn.XLOOKUP(Table1215[[#This Row],[Name]],Table16[Name],Table16[[September 30, 2025]:[Column18]],,0,1),"&gt;=15")</f>
        <v>0</v>
      </c>
    </row>
    <row r="218" spans="1:11">
      <c r="A218" s="69"/>
      <c r="B218" s="82">
        <f>INDEX(AllTime1[All-time rank], MATCH(SMALL(AllTime1[Helper], ROW(Structures!$G213)), AllTime1[Helper], 0))</f>
        <v>198</v>
      </c>
      <c r="C218" s="64" t="str">
        <f>TEXT(INDEX(AllTime1[Name], MATCH(SMALL(AllTime1[Helper], ROW(Structures!$G213)), AllTime1[Helper], 0)),"@")</f>
        <v>Jincheng Jiang</v>
      </c>
      <c r="D218" s="64">
        <f>INDEX(AllTime1[All-time score], MATCH(LARGE(AllTime1[Helper2], ROW(Structures!$G213)), AllTime1[Helper2], 0))</f>
        <v>3</v>
      </c>
      <c r="E218" s="64">
        <f>COUNTIF(_xlfn.XLOOKUP(Table1215[[#This Row],[Name]],Table16[Name],Table16[[September 30, 2025]:[Column18]],,0,1),"&gt;=0")</f>
        <v>2</v>
      </c>
      <c r="F218" s="109">
        <f>_xlfn.XLOOKUP(Table1215[[#This Row],[Name]],Table1624[Name],Table1624[Totals],,0,1)</f>
        <v>0.62</v>
      </c>
      <c r="G218" s="65">
        <f>IFERROR(Table1215[[#This Row],[Points]]/Table1215[[#This Row],[GP]],"N/A")</f>
        <v>1.5</v>
      </c>
      <c r="H218" s="64">
        <f>COUNTIF(_xlfn.XLOOKUP(Table1215[[#This Row],[Name]],Table16[Name],Table16[[September 30, 2025]:[Column18]],,0,1),"&gt;=8")</f>
        <v>0</v>
      </c>
      <c r="I218" s="110" t="str">
        <f>IFERROR(AVERAGEIF(_xlfn.XLOOKUP(Table1215[[#This Row],[Name]],Table16[Name],Table16[[September 30, 2025]:[Column18]],,0,1),"&gt;=8"),"N/A")</f>
        <v>N/A</v>
      </c>
      <c r="J218" s="66">
        <f>IFERROR(Table1215[[#This Row],[FTA]]/Table1215[[#This Row],[GP]],"N/A")</f>
        <v>0</v>
      </c>
      <c r="K218" s="67">
        <f>COUNTIF(_xlfn.XLOOKUP(Table1215[[#This Row],[Name]],Table16[Name],Table16[[September 30, 2025]:[Column18]],,0,1),"&gt;=15")</f>
        <v>0</v>
      </c>
    </row>
    <row r="219" spans="1:11">
      <c r="A219" s="69"/>
      <c r="B219" s="82">
        <f>INDEX(AllTime1[All-time rank], MATCH(SMALL(AllTime1[Helper], ROW(Structures!$G214)), AllTime1[Helper], 0))</f>
        <v>198</v>
      </c>
      <c r="C219" s="64" t="str">
        <f>TEXT(INDEX(AllTime1[Name], MATCH(SMALL(AllTime1[Helper], ROW(Structures!$G214)), AllTime1[Helper], 0)),"@")</f>
        <v>Johnny Yang</v>
      </c>
      <c r="D219" s="64">
        <f>INDEX(AllTime1[All-time score], MATCH(LARGE(AllTime1[Helper2], ROW(Structures!$G214)), AllTime1[Helper2], 0))</f>
        <v>3</v>
      </c>
      <c r="E219" s="64">
        <f>COUNTIF(_xlfn.XLOOKUP(Table1215[[#This Row],[Name]],Table16[Name],Table16[[September 30, 2025]:[Column18]],,0,1),"&gt;=0")</f>
        <v>2</v>
      </c>
      <c r="F219" s="109">
        <f>_xlfn.XLOOKUP(Table1215[[#This Row],[Name]],Table1624[Name],Table1624[Totals],,0,1)</f>
        <v>0.47000000000000003</v>
      </c>
      <c r="G219" s="65">
        <f>IFERROR(Table1215[[#This Row],[Points]]/Table1215[[#This Row],[GP]],"N/A")</f>
        <v>1.5</v>
      </c>
      <c r="H219" s="64">
        <f>COUNTIF(_xlfn.XLOOKUP(Table1215[[#This Row],[Name]],Table16[Name],Table16[[September 30, 2025]:[Column18]],,0,1),"&gt;=8")</f>
        <v>0</v>
      </c>
      <c r="I219" s="110" t="str">
        <f>IFERROR(AVERAGEIF(_xlfn.XLOOKUP(Table1215[[#This Row],[Name]],Table16[Name],Table16[[September 30, 2025]:[Column18]],,0,1),"&gt;=8"),"N/A")</f>
        <v>N/A</v>
      </c>
      <c r="J219" s="66">
        <f>IFERROR(Table1215[[#This Row],[FTA]]/Table1215[[#This Row],[GP]],"N/A")</f>
        <v>0</v>
      </c>
      <c r="K219" s="67">
        <f>COUNTIF(_xlfn.XLOOKUP(Table1215[[#This Row],[Name]],Table16[Name],Table16[[September 30, 2025]:[Column18]],,0,1),"&gt;=15")</f>
        <v>0</v>
      </c>
    </row>
    <row r="220" spans="1:11">
      <c r="A220" s="69"/>
      <c r="B220" s="82">
        <f>INDEX(AllTime1[All-time rank], MATCH(SMALL(AllTime1[Helper], ROW(Structures!$G215)), AllTime1[Helper], 0))</f>
        <v>198</v>
      </c>
      <c r="C220" s="64" t="str">
        <f>TEXT(INDEX(AllTime1[Name], MATCH(SMALL(AllTime1[Helper], ROW(Structures!$G215)), AllTime1[Helper], 0)),"@")</f>
        <v>Marcus Cameron</v>
      </c>
      <c r="D220" s="64">
        <f>INDEX(AllTime1[All-time score], MATCH(LARGE(AllTime1[Helper2], ROW(Structures!$G215)), AllTime1[Helper2], 0))</f>
        <v>3</v>
      </c>
      <c r="E220" s="64">
        <f>COUNTIF(_xlfn.XLOOKUP(Table1215[[#This Row],[Name]],Table16[Name],Table16[[September 30, 2025]:[Column18]],,0,1),"&gt;=0")</f>
        <v>2</v>
      </c>
      <c r="F220" s="109">
        <f>_xlfn.XLOOKUP(Table1215[[#This Row],[Name]],Table1624[Name],Table1624[Totals],,0,1)</f>
        <v>0.45750000000000002</v>
      </c>
      <c r="G220" s="65">
        <f>IFERROR(Table1215[[#This Row],[Points]]/Table1215[[#This Row],[GP]],"N/A")</f>
        <v>1.5</v>
      </c>
      <c r="H220" s="64">
        <f>COUNTIF(_xlfn.XLOOKUP(Table1215[[#This Row],[Name]],Table16[Name],Table16[[September 30, 2025]:[Column18]],,0,1),"&gt;=8")</f>
        <v>0</v>
      </c>
      <c r="I220" s="110" t="str">
        <f>IFERROR(AVERAGEIF(_xlfn.XLOOKUP(Table1215[[#This Row],[Name]],Table16[Name],Table16[[September 30, 2025]:[Column18]],,0,1),"&gt;=8"),"N/A")</f>
        <v>N/A</v>
      </c>
      <c r="J220" s="66">
        <f>IFERROR(Table1215[[#This Row],[FTA]]/Table1215[[#This Row],[GP]],"N/A")</f>
        <v>0</v>
      </c>
      <c r="K220" s="67">
        <f>COUNTIF(_xlfn.XLOOKUP(Table1215[[#This Row],[Name]],Table16[Name],Table16[[September 30, 2025]:[Column18]],,0,1),"&gt;=15")</f>
        <v>0</v>
      </c>
    </row>
    <row r="221" spans="1:11">
      <c r="A221" s="69"/>
      <c r="B221" s="82">
        <f>INDEX(AllTime1[All-time rank], MATCH(SMALL(AllTime1[Helper], ROW(Structures!$G216)), AllTime1[Helper], 0))</f>
        <v>198</v>
      </c>
      <c r="C221" s="64" t="str">
        <f>TEXT(INDEX(AllTime1[Name], MATCH(SMALL(AllTime1[Helper], ROW(Structures!$G216)), AllTime1[Helper], 0)),"@")</f>
        <v>Marzouq Mohsin</v>
      </c>
      <c r="D221" s="64">
        <f>INDEX(AllTime1[All-time score], MATCH(LARGE(AllTime1[Helper2], ROW(Structures!$G216)), AllTime1[Helper2], 0))</f>
        <v>3</v>
      </c>
      <c r="E221" s="64">
        <f>COUNTIF(_xlfn.XLOOKUP(Table1215[[#This Row],[Name]],Table16[Name],Table16[[September 30, 2025]:[Column18]],,0,1),"&gt;=0")</f>
        <v>1</v>
      </c>
      <c r="F221" s="109">
        <f>_xlfn.XLOOKUP(Table1215[[#This Row],[Name]],Table1624[Name],Table1624[Totals],,0,1)</f>
        <v>0.16500000000000001</v>
      </c>
      <c r="G221" s="65">
        <f>IFERROR(Table1215[[#This Row],[Points]]/Table1215[[#This Row],[GP]],"N/A")</f>
        <v>3</v>
      </c>
      <c r="H221" s="64">
        <f>COUNTIF(_xlfn.XLOOKUP(Table1215[[#This Row],[Name]],Table16[Name],Table16[[September 30, 2025]:[Column18]],,0,1),"&gt;=8")</f>
        <v>0</v>
      </c>
      <c r="I221" s="110" t="str">
        <f>IFERROR(AVERAGEIF(_xlfn.XLOOKUP(Table1215[[#This Row],[Name]],Table16[Name],Table16[[September 30, 2025]:[Column18]],,0,1),"&gt;=8"),"N/A")</f>
        <v>N/A</v>
      </c>
      <c r="J221" s="66">
        <f>IFERROR(Table1215[[#This Row],[FTA]]/Table1215[[#This Row],[GP]],"N/A")</f>
        <v>0</v>
      </c>
      <c r="K221" s="67">
        <f>COUNTIF(_xlfn.XLOOKUP(Table1215[[#This Row],[Name]],Table16[Name],Table16[[September 30, 2025]:[Column18]],,0,1),"&gt;=15")</f>
        <v>0</v>
      </c>
    </row>
    <row r="222" spans="1:11">
      <c r="A222" s="69"/>
      <c r="B222" s="82">
        <f>INDEX(AllTime1[All-time rank], MATCH(SMALL(AllTime1[Helper], ROW(Structures!$G217)), AllTime1[Helper], 0))</f>
        <v>198</v>
      </c>
      <c r="C222" s="64" t="str">
        <f>TEXT(INDEX(AllTime1[Name], MATCH(SMALL(AllTime1[Helper], ROW(Structures!$G217)), AllTime1[Helper], 0)),"@")</f>
        <v>Michael Ng</v>
      </c>
      <c r="D222" s="64">
        <f>INDEX(AllTime1[All-time score], MATCH(LARGE(AllTime1[Helper2], ROW(Structures!$G217)), AllTime1[Helper2], 0))</f>
        <v>3</v>
      </c>
      <c r="E222" s="64">
        <f>COUNTIF(_xlfn.XLOOKUP(Table1215[[#This Row],[Name]],Table16[Name],Table16[[September 30, 2025]:[Column18]],,0,1),"&gt;=0")</f>
        <v>2</v>
      </c>
      <c r="F222" s="109">
        <f>_xlfn.XLOOKUP(Table1215[[#This Row],[Name]],Table1624[Name],Table1624[Totals],,0,1)</f>
        <v>0.63850000000000007</v>
      </c>
      <c r="G222" s="65">
        <f>IFERROR(Table1215[[#This Row],[Points]]/Table1215[[#This Row],[GP]],"N/A")</f>
        <v>1.5</v>
      </c>
      <c r="H222" s="64">
        <f>COUNTIF(_xlfn.XLOOKUP(Table1215[[#This Row],[Name]],Table16[Name],Table16[[September 30, 2025]:[Column18]],,0,1),"&gt;=8")</f>
        <v>0</v>
      </c>
      <c r="I222" s="110" t="str">
        <f>IFERROR(AVERAGEIF(_xlfn.XLOOKUP(Table1215[[#This Row],[Name]],Table16[Name],Table16[[September 30, 2025]:[Column18]],,0,1),"&gt;=8"),"N/A")</f>
        <v>N/A</v>
      </c>
      <c r="J222" s="66">
        <f>IFERROR(Table1215[[#This Row],[FTA]]/Table1215[[#This Row],[GP]],"N/A")</f>
        <v>0</v>
      </c>
      <c r="K222" s="67">
        <f>COUNTIF(_xlfn.XLOOKUP(Table1215[[#This Row],[Name]],Table16[Name],Table16[[September 30, 2025]:[Column18]],,0,1),"&gt;=15")</f>
        <v>0</v>
      </c>
    </row>
    <row r="223" spans="1:11">
      <c r="A223" s="69"/>
      <c r="B223" s="82">
        <f>INDEX(AllTime1[All-time rank], MATCH(SMALL(AllTime1[Helper], ROW(Structures!$G218)), AllTime1[Helper], 0))</f>
        <v>198</v>
      </c>
      <c r="C223" s="64" t="str">
        <f>TEXT(INDEX(AllTime1[Name], MATCH(SMALL(AllTime1[Helper], ROW(Structures!$G218)), AllTime1[Helper], 0)),"@")</f>
        <v>Richard Ge</v>
      </c>
      <c r="D223" s="64">
        <f>INDEX(AllTime1[All-time score], MATCH(LARGE(AllTime1[Helper2], ROW(Structures!$G218)), AllTime1[Helper2], 0))</f>
        <v>3</v>
      </c>
      <c r="E223" s="64">
        <f>COUNTIF(_xlfn.XLOOKUP(Table1215[[#This Row],[Name]],Table16[Name],Table16[[September 30, 2025]:[Column18]],,0,1),"&gt;=0")</f>
        <v>3</v>
      </c>
      <c r="F223" s="109">
        <f>_xlfn.XLOOKUP(Table1215[[#This Row],[Name]],Table1624[Name],Table1624[Totals],,0,1)</f>
        <v>0.76100000000000012</v>
      </c>
      <c r="G223" s="65">
        <f>IFERROR(Table1215[[#This Row],[Points]]/Table1215[[#This Row],[GP]],"N/A")</f>
        <v>1</v>
      </c>
      <c r="H223" s="64">
        <f>COUNTIF(_xlfn.XLOOKUP(Table1215[[#This Row],[Name]],Table16[Name],Table16[[September 30, 2025]:[Column18]],,0,1),"&gt;=8")</f>
        <v>0</v>
      </c>
      <c r="I223" s="110" t="str">
        <f>IFERROR(AVERAGEIF(_xlfn.XLOOKUP(Table1215[[#This Row],[Name]],Table16[Name],Table16[[September 30, 2025]:[Column18]],,0,1),"&gt;=8"),"N/A")</f>
        <v>N/A</v>
      </c>
      <c r="J223" s="66">
        <f>IFERROR(Table1215[[#This Row],[FTA]]/Table1215[[#This Row],[GP]],"N/A")</f>
        <v>0</v>
      </c>
      <c r="K223" s="67">
        <f>COUNTIF(_xlfn.XLOOKUP(Table1215[[#This Row],[Name]],Table16[Name],Table16[[September 30, 2025]:[Column18]],,0,1),"&gt;=15")</f>
        <v>0</v>
      </c>
    </row>
    <row r="224" spans="1:11">
      <c r="A224" s="69"/>
      <c r="B224" s="82">
        <f>INDEX(AllTime1[All-time rank], MATCH(SMALL(AllTime1[Helper], ROW(Structures!$G219)), AllTime1[Helper], 0))</f>
        <v>198</v>
      </c>
      <c r="C224" s="64" t="str">
        <f>TEXT(INDEX(AllTime1[Name], MATCH(SMALL(AllTime1[Helper], ROW(Structures!$G219)), AllTime1[Helper], 0)),"@")</f>
        <v>Steven Kom</v>
      </c>
      <c r="D224" s="64">
        <f>INDEX(AllTime1[All-time score], MATCH(LARGE(AllTime1[Helper2], ROW(Structures!$G219)), AllTime1[Helper2], 0))</f>
        <v>3</v>
      </c>
      <c r="E224" s="64">
        <f>COUNTIF(_xlfn.XLOOKUP(Table1215[[#This Row],[Name]],Table16[Name],Table16[[September 30, 2025]:[Column18]],,0,1),"&gt;=0")</f>
        <v>3</v>
      </c>
      <c r="F224" s="109">
        <f>_xlfn.XLOOKUP(Table1215[[#This Row],[Name]],Table1624[Name],Table1624[Totals],,0,1)</f>
        <v>0.66533333333333333</v>
      </c>
      <c r="G224" s="65">
        <f>IFERROR(Table1215[[#This Row],[Points]]/Table1215[[#This Row],[GP]],"N/A")</f>
        <v>1</v>
      </c>
      <c r="H224" s="64">
        <f>COUNTIF(_xlfn.XLOOKUP(Table1215[[#This Row],[Name]],Table16[Name],Table16[[September 30, 2025]:[Column18]],,0,1),"&gt;=8")</f>
        <v>0</v>
      </c>
      <c r="I224" s="110" t="str">
        <f>IFERROR(AVERAGEIF(_xlfn.XLOOKUP(Table1215[[#This Row],[Name]],Table16[Name],Table16[[September 30, 2025]:[Column18]],,0,1),"&gt;=8"),"N/A")</f>
        <v>N/A</v>
      </c>
      <c r="J224" s="66">
        <f>IFERROR(Table1215[[#This Row],[FTA]]/Table1215[[#This Row],[GP]],"N/A")</f>
        <v>0</v>
      </c>
      <c r="K224" s="67">
        <f>COUNTIF(_xlfn.XLOOKUP(Table1215[[#This Row],[Name]],Table16[Name],Table16[[September 30, 2025]:[Column18]],,0,1),"&gt;=15")</f>
        <v>0</v>
      </c>
    </row>
    <row r="225" spans="1:11">
      <c r="A225" s="69"/>
      <c r="B225" s="82">
        <f>INDEX(AllTime1[All-time rank], MATCH(SMALL(AllTime1[Helper], ROW(Structures!$G220)), AllTime1[Helper], 0))</f>
        <v>220</v>
      </c>
      <c r="C225" s="64" t="str">
        <f>TEXT(INDEX(AllTime1[Name], MATCH(SMALL(AllTime1[Helper], ROW(Structures!$G220)), AllTime1[Helper], 0)),"@")</f>
        <v>Eduard Zavedei</v>
      </c>
      <c r="D225" s="64">
        <f>INDEX(AllTime1[All-time score], MATCH(LARGE(AllTime1[Helper2], ROW(Structures!$G220)), AllTime1[Helper2], 0))</f>
        <v>2</v>
      </c>
      <c r="E225" s="64">
        <f>COUNTIF(_xlfn.XLOOKUP(Table1215[[#This Row],[Name]],Table16[Name],Table16[[September 30, 2025]:[Column18]],,0,1),"&gt;=0")</f>
        <v>2</v>
      </c>
      <c r="F225" s="109">
        <f>_xlfn.XLOOKUP(Table1215[[#This Row],[Name]],Table1624[Name],Table1624[Totals],,0,1)</f>
        <v>0.78299999999999992</v>
      </c>
      <c r="G225" s="65">
        <f>IFERROR(Table1215[[#This Row],[Points]]/Table1215[[#This Row],[GP]],"N/A")</f>
        <v>1</v>
      </c>
      <c r="H225" s="64">
        <f>COUNTIF(_xlfn.XLOOKUP(Table1215[[#This Row],[Name]],Table16[Name],Table16[[September 30, 2025]:[Column18]],,0,1),"&gt;=8")</f>
        <v>0</v>
      </c>
      <c r="I225" s="110" t="str">
        <f>IFERROR(AVERAGEIF(_xlfn.XLOOKUP(Table1215[[#This Row],[Name]],Table16[Name],Table16[[September 30, 2025]:[Column18]],,0,1),"&gt;=8"),"N/A")</f>
        <v>N/A</v>
      </c>
      <c r="J225" s="66">
        <f>IFERROR(Table1215[[#This Row],[FTA]]/Table1215[[#This Row],[GP]],"N/A")</f>
        <v>0</v>
      </c>
      <c r="K225" s="67">
        <f>COUNTIF(_xlfn.XLOOKUP(Table1215[[#This Row],[Name]],Table16[Name],Table16[[September 30, 2025]:[Column18]],,0,1),"&gt;=15")</f>
        <v>0</v>
      </c>
    </row>
    <row r="226" spans="1:11">
      <c r="A226" s="69"/>
      <c r="B226" s="82">
        <f>INDEX(AllTime1[All-time rank], MATCH(SMALL(AllTime1[Helper], ROW(Structures!$G221)), AllTime1[Helper], 0))</f>
        <v>220</v>
      </c>
      <c r="C226" s="64" t="str">
        <f>TEXT(INDEX(AllTime1[Name], MATCH(SMALL(AllTime1[Helper], ROW(Structures!$G221)), AllTime1[Helper], 0)),"@")</f>
        <v>Jayden Agarwal</v>
      </c>
      <c r="D226" s="64">
        <f>INDEX(AllTime1[All-time score], MATCH(LARGE(AllTime1[Helper2], ROW(Structures!$G221)), AllTime1[Helper2], 0))</f>
        <v>2</v>
      </c>
      <c r="E226" s="64">
        <f>COUNTIF(_xlfn.XLOOKUP(Table1215[[#This Row],[Name]],Table16[Name],Table16[[September 30, 2025]:[Column18]],,0,1),"&gt;=0")</f>
        <v>2</v>
      </c>
      <c r="F226" s="109">
        <f>_xlfn.XLOOKUP(Table1215[[#This Row],[Name]],Table1624[Name],Table1624[Totals],,0,1)</f>
        <v>0.74849999999999994</v>
      </c>
      <c r="G226" s="65">
        <f>IFERROR(Table1215[[#This Row],[Points]]/Table1215[[#This Row],[GP]],"N/A")</f>
        <v>1</v>
      </c>
      <c r="H226" s="64">
        <f>COUNTIF(_xlfn.XLOOKUP(Table1215[[#This Row],[Name]],Table16[Name],Table16[[September 30, 2025]:[Column18]],,0,1),"&gt;=8")</f>
        <v>0</v>
      </c>
      <c r="I226" s="110" t="str">
        <f>IFERROR(AVERAGEIF(_xlfn.XLOOKUP(Table1215[[#This Row],[Name]],Table16[Name],Table16[[September 30, 2025]:[Column18]],,0,1),"&gt;=8"),"N/A")</f>
        <v>N/A</v>
      </c>
      <c r="J226" s="66">
        <f>IFERROR(Table1215[[#This Row],[FTA]]/Table1215[[#This Row],[GP]],"N/A")</f>
        <v>0</v>
      </c>
      <c r="K226" s="67">
        <f>COUNTIF(_xlfn.XLOOKUP(Table1215[[#This Row],[Name]],Table16[Name],Table16[[September 30, 2025]:[Column18]],,0,1),"&gt;=15")</f>
        <v>0</v>
      </c>
    </row>
    <row r="227" spans="1:11">
      <c r="A227" s="69"/>
      <c r="B227" s="82">
        <f>INDEX(AllTime1[All-time rank], MATCH(SMALL(AllTime1[Helper], ROW(Structures!$G222)), AllTime1[Helper], 0))</f>
        <v>220</v>
      </c>
      <c r="C227" s="64" t="str">
        <f>TEXT(INDEX(AllTime1[Name], MATCH(SMALL(AllTime1[Helper], ROW(Structures!$G222)), AllTime1[Helper], 0)),"@")</f>
        <v>William Mah</v>
      </c>
      <c r="D227" s="64">
        <f>INDEX(AllTime1[All-time score], MATCH(LARGE(AllTime1[Helper2], ROW(Structures!$G222)), AllTime1[Helper2], 0))</f>
        <v>2</v>
      </c>
      <c r="E227" s="64">
        <f>COUNTIF(_xlfn.XLOOKUP(Table1215[[#This Row],[Name]],Table16[Name],Table16[[September 30, 2025]:[Column18]],,0,1),"&gt;=0")</f>
        <v>2</v>
      </c>
      <c r="F227" s="109">
        <f>_xlfn.XLOOKUP(Table1215[[#This Row],[Name]],Table1624[Name],Table1624[Totals],,0,1)</f>
        <v>0.73750000000000004</v>
      </c>
      <c r="G227" s="65">
        <f>IFERROR(Table1215[[#This Row],[Points]]/Table1215[[#This Row],[GP]],"N/A")</f>
        <v>1</v>
      </c>
      <c r="H227" s="64">
        <f>COUNTIF(_xlfn.XLOOKUP(Table1215[[#This Row],[Name]],Table16[Name],Table16[[September 30, 2025]:[Column18]],,0,1),"&gt;=8")</f>
        <v>0</v>
      </c>
      <c r="I227" s="110" t="str">
        <f>IFERROR(AVERAGEIF(_xlfn.XLOOKUP(Table1215[[#This Row],[Name]],Table16[Name],Table16[[September 30, 2025]:[Column18]],,0,1),"&gt;=8"),"N/A")</f>
        <v>N/A</v>
      </c>
      <c r="J227" s="66">
        <f>IFERROR(Table1215[[#This Row],[FTA]]/Table1215[[#This Row],[GP]],"N/A")</f>
        <v>0</v>
      </c>
      <c r="K227" s="67">
        <f>COUNTIF(_xlfn.XLOOKUP(Table1215[[#This Row],[Name]],Table16[Name],Table16[[September 30, 2025]:[Column18]],,0,1),"&gt;=15")</f>
        <v>0</v>
      </c>
    </row>
    <row r="228" spans="1:11">
      <c r="A228" s="69"/>
      <c r="B228" s="82">
        <f>INDEX(AllTime1[All-time rank], MATCH(SMALL(AllTime1[Helper], ROW(Structures!$G223)), AllTime1[Helper], 0))</f>
        <v>220</v>
      </c>
      <c r="C228" s="64" t="str">
        <f>TEXT(INDEX(AllTime1[Name], MATCH(SMALL(AllTime1[Helper], ROW(Structures!$G223)), AllTime1[Helper], 0)),"@")</f>
        <v>Ahmed Mohammed</v>
      </c>
      <c r="D228" s="64">
        <f>INDEX(AllTime1[All-time score], MATCH(LARGE(AllTime1[Helper2], ROW(Structures!$G223)), AllTime1[Helper2], 0))</f>
        <v>2</v>
      </c>
      <c r="E228" s="64">
        <f>COUNTIF(_xlfn.XLOOKUP(Table1215[[#This Row],[Name]],Table16[Name],Table16[[September 30, 2025]:[Column18]],,0,1),"&gt;=0")</f>
        <v>2</v>
      </c>
      <c r="F228" s="109">
        <f>_xlfn.XLOOKUP(Table1215[[#This Row],[Name]],Table1624[Name],Table1624[Totals],,0,1)</f>
        <v>0.81699999999999995</v>
      </c>
      <c r="G228" s="65">
        <f>IFERROR(Table1215[[#This Row],[Points]]/Table1215[[#This Row],[GP]],"N/A")</f>
        <v>1</v>
      </c>
      <c r="H228" s="64">
        <f>COUNTIF(_xlfn.XLOOKUP(Table1215[[#This Row],[Name]],Table16[Name],Table16[[September 30, 2025]:[Column18]],,0,1),"&gt;=8")</f>
        <v>0</v>
      </c>
      <c r="I228" s="110" t="str">
        <f>IFERROR(AVERAGEIF(_xlfn.XLOOKUP(Table1215[[#This Row],[Name]],Table16[Name],Table16[[September 30, 2025]:[Column18]],,0,1),"&gt;=8"),"N/A")</f>
        <v>N/A</v>
      </c>
      <c r="J228" s="66">
        <f>IFERROR(Table1215[[#This Row],[FTA]]/Table1215[[#This Row],[GP]],"N/A")</f>
        <v>0</v>
      </c>
      <c r="K228" s="67">
        <f>COUNTIF(_xlfn.XLOOKUP(Table1215[[#This Row],[Name]],Table16[Name],Table16[[September 30, 2025]:[Column18]],,0,1),"&gt;=15")</f>
        <v>0</v>
      </c>
    </row>
    <row r="229" spans="1:11">
      <c r="A229" s="69"/>
      <c r="B229" s="82">
        <f>INDEX(AllTime1[All-time rank], MATCH(SMALL(AllTime1[Helper], ROW(Structures!$G224)), AllTime1[Helper], 0))</f>
        <v>220</v>
      </c>
      <c r="C229" s="64" t="str">
        <f>TEXT(INDEX(AllTime1[Name], MATCH(SMALL(AllTime1[Helper], ROW(Structures!$G224)), AllTime1[Helper], 0)),"@")</f>
        <v>Alex Xu</v>
      </c>
      <c r="D229" s="64">
        <f>INDEX(AllTime1[All-time score], MATCH(LARGE(AllTime1[Helper2], ROW(Structures!$G224)), AllTime1[Helper2], 0))</f>
        <v>2</v>
      </c>
      <c r="E229" s="64">
        <f>COUNTIF(_xlfn.XLOOKUP(Table1215[[#This Row],[Name]],Table16[Name],Table16[[September 30, 2025]:[Column18]],,0,1),"&gt;=0")</f>
        <v>2</v>
      </c>
      <c r="F229" s="109">
        <f>_xlfn.XLOOKUP(Table1215[[#This Row],[Name]],Table1624[Name],Table1624[Totals],,0,1)</f>
        <v>0.83149999999999991</v>
      </c>
      <c r="G229" s="65">
        <f>IFERROR(Table1215[[#This Row],[Points]]/Table1215[[#This Row],[GP]],"N/A")</f>
        <v>1</v>
      </c>
      <c r="H229" s="64">
        <f>COUNTIF(_xlfn.XLOOKUP(Table1215[[#This Row],[Name]],Table16[Name],Table16[[September 30, 2025]:[Column18]],,0,1),"&gt;=8")</f>
        <v>0</v>
      </c>
      <c r="I229" s="110" t="str">
        <f>IFERROR(AVERAGEIF(_xlfn.XLOOKUP(Table1215[[#This Row],[Name]],Table16[Name],Table16[[September 30, 2025]:[Column18]],,0,1),"&gt;=8"),"N/A")</f>
        <v>N/A</v>
      </c>
      <c r="J229" s="66">
        <f>IFERROR(Table1215[[#This Row],[FTA]]/Table1215[[#This Row],[GP]],"N/A")</f>
        <v>0</v>
      </c>
      <c r="K229" s="67">
        <f>COUNTIF(_xlfn.XLOOKUP(Table1215[[#This Row],[Name]],Table16[Name],Table16[[September 30, 2025]:[Column18]],,0,1),"&gt;=15")</f>
        <v>0</v>
      </c>
    </row>
    <row r="230" spans="1:11">
      <c r="A230" s="69"/>
      <c r="B230" s="82">
        <f>INDEX(AllTime1[All-time rank], MATCH(SMALL(AllTime1[Helper], ROW(Structures!$G225)), AllTime1[Helper], 0))</f>
        <v>220</v>
      </c>
      <c r="C230" s="64" t="str">
        <f>TEXT(INDEX(AllTime1[Name], MATCH(SMALL(AllTime1[Helper], ROW(Structures!$G225)), AllTime1[Helper], 0)),"@")</f>
        <v>Ali Akinci</v>
      </c>
      <c r="D230" s="64">
        <f>INDEX(AllTime1[All-time score], MATCH(LARGE(AllTime1[Helper2], ROW(Structures!$G225)), AllTime1[Helper2], 0))</f>
        <v>2</v>
      </c>
      <c r="E230" s="64">
        <f>COUNTIF(_xlfn.XLOOKUP(Table1215[[#This Row],[Name]],Table16[Name],Table16[[September 30, 2025]:[Column18]],,0,1),"&gt;=0")</f>
        <v>1</v>
      </c>
      <c r="F230" s="109">
        <f>_xlfn.XLOOKUP(Table1215[[#This Row],[Name]],Table1624[Name],Table1624[Totals],,0,1)</f>
        <v>0.29699999999999999</v>
      </c>
      <c r="G230" s="65">
        <f>IFERROR(Table1215[[#This Row],[Points]]/Table1215[[#This Row],[GP]],"N/A")</f>
        <v>2</v>
      </c>
      <c r="H230" s="64">
        <f>COUNTIF(_xlfn.XLOOKUP(Table1215[[#This Row],[Name]],Table16[Name],Table16[[September 30, 2025]:[Column18]],,0,1),"&gt;=8")</f>
        <v>0</v>
      </c>
      <c r="I230" s="110" t="str">
        <f>IFERROR(AVERAGEIF(_xlfn.XLOOKUP(Table1215[[#This Row],[Name]],Table16[Name],Table16[[September 30, 2025]:[Column18]],,0,1),"&gt;=8"),"N/A")</f>
        <v>N/A</v>
      </c>
      <c r="J230" s="66">
        <f>IFERROR(Table1215[[#This Row],[FTA]]/Table1215[[#This Row],[GP]],"N/A")</f>
        <v>0</v>
      </c>
      <c r="K230" s="67">
        <f>COUNTIF(_xlfn.XLOOKUP(Table1215[[#This Row],[Name]],Table16[Name],Table16[[September 30, 2025]:[Column18]],,0,1),"&gt;=15")</f>
        <v>0</v>
      </c>
    </row>
    <row r="231" spans="1:11">
      <c r="A231" s="69"/>
      <c r="B231" s="82">
        <f>INDEX(AllTime1[All-time rank], MATCH(SMALL(AllTime1[Helper], ROW(Structures!$G226)), AllTime1[Helper], 0))</f>
        <v>220</v>
      </c>
      <c r="C231" s="64" t="str">
        <f>TEXT(INDEX(AllTime1[Name], MATCH(SMALL(AllTime1[Helper], ROW(Structures!$G226)), AllTime1[Helper], 0)),"@")</f>
        <v>Allen Li</v>
      </c>
      <c r="D231" s="64">
        <f>INDEX(AllTime1[All-time score], MATCH(LARGE(AllTime1[Helper2], ROW(Structures!$G226)), AllTime1[Helper2], 0))</f>
        <v>2</v>
      </c>
      <c r="E231" s="64">
        <f>COUNTIF(_xlfn.XLOOKUP(Table1215[[#This Row],[Name]],Table16[Name],Table16[[September 30, 2025]:[Column18]],,0,1),"&gt;=0")</f>
        <v>1</v>
      </c>
      <c r="F231" s="109">
        <f>_xlfn.XLOOKUP(Table1215[[#This Row],[Name]],Table1624[Name],Table1624[Totals],,0,1)</f>
        <v>0.38400000000000001</v>
      </c>
      <c r="G231" s="65">
        <f>IFERROR(Table1215[[#This Row],[Points]]/Table1215[[#This Row],[GP]],"N/A")</f>
        <v>2</v>
      </c>
      <c r="H231" s="64">
        <f>COUNTIF(_xlfn.XLOOKUP(Table1215[[#This Row],[Name]],Table16[Name],Table16[[September 30, 2025]:[Column18]],,0,1),"&gt;=8")</f>
        <v>0</v>
      </c>
      <c r="I231" s="110" t="str">
        <f>IFERROR(AVERAGEIF(_xlfn.XLOOKUP(Table1215[[#This Row],[Name]],Table16[Name],Table16[[September 30, 2025]:[Column18]],,0,1),"&gt;=8"),"N/A")</f>
        <v>N/A</v>
      </c>
      <c r="J231" s="66">
        <f>IFERROR(Table1215[[#This Row],[FTA]]/Table1215[[#This Row],[GP]],"N/A")</f>
        <v>0</v>
      </c>
      <c r="K231" s="67">
        <f>COUNTIF(_xlfn.XLOOKUP(Table1215[[#This Row],[Name]],Table16[Name],Table16[[September 30, 2025]:[Column18]],,0,1),"&gt;=15")</f>
        <v>0</v>
      </c>
    </row>
    <row r="232" spans="1:11">
      <c r="A232" s="69"/>
      <c r="B232" s="82">
        <f>INDEX(AllTime1[All-time rank], MATCH(SMALL(AllTime1[Helper], ROW(Structures!$G227)), AllTime1[Helper], 0))</f>
        <v>220</v>
      </c>
      <c r="C232" s="64" t="str">
        <f>TEXT(INDEX(AllTime1[Name], MATCH(SMALL(AllTime1[Helper], ROW(Structures!$G227)), AllTime1[Helper], 0)),"@")</f>
        <v>Anush Subasan</v>
      </c>
      <c r="D232" s="64">
        <f>INDEX(AllTime1[All-time score], MATCH(LARGE(AllTime1[Helper2], ROW(Structures!$G227)), AllTime1[Helper2], 0))</f>
        <v>2</v>
      </c>
      <c r="E232" s="64">
        <f>COUNTIF(_xlfn.XLOOKUP(Table1215[[#This Row],[Name]],Table16[Name],Table16[[September 30, 2025]:[Column18]],,0,1),"&gt;=0")</f>
        <v>2</v>
      </c>
      <c r="F232" s="109">
        <f>_xlfn.XLOOKUP(Table1215[[#This Row],[Name]],Table1624[Name],Table1624[Totals],,0,1)</f>
        <v>0.70050000000000001</v>
      </c>
      <c r="G232" s="65">
        <f>IFERROR(Table1215[[#This Row],[Points]]/Table1215[[#This Row],[GP]],"N/A")</f>
        <v>1</v>
      </c>
      <c r="H232" s="64">
        <f>COUNTIF(_xlfn.XLOOKUP(Table1215[[#This Row],[Name]],Table16[Name],Table16[[September 30, 2025]:[Column18]],,0,1),"&gt;=8")</f>
        <v>0</v>
      </c>
      <c r="I232" s="110" t="str">
        <f>IFERROR(AVERAGEIF(_xlfn.XLOOKUP(Table1215[[#This Row],[Name]],Table16[Name],Table16[[September 30, 2025]:[Column18]],,0,1),"&gt;=8"),"N/A")</f>
        <v>N/A</v>
      </c>
      <c r="J232" s="66">
        <f>IFERROR(Table1215[[#This Row],[FTA]]/Table1215[[#This Row],[GP]],"N/A")</f>
        <v>0</v>
      </c>
      <c r="K232" s="67">
        <f>COUNTIF(_xlfn.XLOOKUP(Table1215[[#This Row],[Name]],Table16[Name],Table16[[September 30, 2025]:[Column18]],,0,1),"&gt;=15")</f>
        <v>0</v>
      </c>
    </row>
    <row r="233" spans="1:11">
      <c r="A233" s="69"/>
      <c r="B233" s="82">
        <f>INDEX(AllTime1[All-time rank], MATCH(SMALL(AllTime1[Helper], ROW(Structures!$G228)), AllTime1[Helper], 0))</f>
        <v>220</v>
      </c>
      <c r="C233" s="64" t="str">
        <f>TEXT(INDEX(AllTime1[Name], MATCH(SMALL(AllTime1[Helper], ROW(Structures!$G228)), AllTime1[Helper], 0)),"@")</f>
        <v>Arad Farrahi</v>
      </c>
      <c r="D233" s="64">
        <f>INDEX(AllTime1[All-time score], MATCH(LARGE(AllTime1[Helper2], ROW(Structures!$G228)), AllTime1[Helper2], 0))</f>
        <v>2</v>
      </c>
      <c r="E233" s="64">
        <f>COUNTIF(_xlfn.XLOOKUP(Table1215[[#This Row],[Name]],Table16[Name],Table16[[September 30, 2025]:[Column18]],,0,1),"&gt;=0")</f>
        <v>2</v>
      </c>
      <c r="F233" s="109">
        <f>_xlfn.XLOOKUP(Table1215[[#This Row],[Name]],Table1624[Name],Table1624[Totals],,0,1)</f>
        <v>0.71450000000000002</v>
      </c>
      <c r="G233" s="65">
        <f>IFERROR(Table1215[[#This Row],[Points]]/Table1215[[#This Row],[GP]],"N/A")</f>
        <v>1</v>
      </c>
      <c r="H233" s="64">
        <f>COUNTIF(_xlfn.XLOOKUP(Table1215[[#This Row],[Name]],Table16[Name],Table16[[September 30, 2025]:[Column18]],,0,1),"&gt;=8")</f>
        <v>0</v>
      </c>
      <c r="I233" s="110" t="str">
        <f>IFERROR(AVERAGEIF(_xlfn.XLOOKUP(Table1215[[#This Row],[Name]],Table16[Name],Table16[[September 30, 2025]:[Column18]],,0,1),"&gt;=8"),"N/A")</f>
        <v>N/A</v>
      </c>
      <c r="J233" s="66">
        <f>IFERROR(Table1215[[#This Row],[FTA]]/Table1215[[#This Row],[GP]],"N/A")</f>
        <v>0</v>
      </c>
      <c r="K233" s="67">
        <f>COUNTIF(_xlfn.XLOOKUP(Table1215[[#This Row],[Name]],Table16[Name],Table16[[September 30, 2025]:[Column18]],,0,1),"&gt;=15")</f>
        <v>0</v>
      </c>
    </row>
    <row r="234" spans="1:11">
      <c r="A234" s="69"/>
      <c r="B234" s="82">
        <f>INDEX(AllTime1[All-time rank], MATCH(SMALL(AllTime1[Helper], ROW(Structures!$G229)), AllTime1[Helper], 0))</f>
        <v>220</v>
      </c>
      <c r="C234" s="64" t="str">
        <f>TEXT(INDEX(AllTime1[Name], MATCH(SMALL(AllTime1[Helper], ROW(Structures!$G229)), AllTime1[Helper], 0)),"@")</f>
        <v>Arion Mestanovski</v>
      </c>
      <c r="D234" s="64">
        <f>INDEX(AllTime1[All-time score], MATCH(LARGE(AllTime1[Helper2], ROW(Structures!$G229)), AllTime1[Helper2], 0))</f>
        <v>2</v>
      </c>
      <c r="E234" s="64">
        <f>COUNTIF(_xlfn.XLOOKUP(Table1215[[#This Row],[Name]],Table16[Name],Table16[[September 30, 2025]:[Column18]],,0,1),"&gt;=0")</f>
        <v>2</v>
      </c>
      <c r="F234" s="109">
        <f>_xlfn.XLOOKUP(Table1215[[#This Row],[Name]],Table1624[Name],Table1624[Totals],,0,1)</f>
        <v>0.61599999999999999</v>
      </c>
      <c r="G234" s="65">
        <f>IFERROR(Table1215[[#This Row],[Points]]/Table1215[[#This Row],[GP]],"N/A")</f>
        <v>1</v>
      </c>
      <c r="H234" s="64">
        <f>COUNTIF(_xlfn.XLOOKUP(Table1215[[#This Row],[Name]],Table16[Name],Table16[[September 30, 2025]:[Column18]],,0,1),"&gt;=8")</f>
        <v>0</v>
      </c>
      <c r="I234" s="110" t="str">
        <f>IFERROR(AVERAGEIF(_xlfn.XLOOKUP(Table1215[[#This Row],[Name]],Table16[Name],Table16[[September 30, 2025]:[Column18]],,0,1),"&gt;=8"),"N/A")</f>
        <v>N/A</v>
      </c>
      <c r="J234" s="66">
        <f>IFERROR(Table1215[[#This Row],[FTA]]/Table1215[[#This Row],[GP]],"N/A")</f>
        <v>0</v>
      </c>
      <c r="K234" s="67">
        <f>COUNTIF(_xlfn.XLOOKUP(Table1215[[#This Row],[Name]],Table16[Name],Table16[[September 30, 2025]:[Column18]],,0,1),"&gt;=15")</f>
        <v>0</v>
      </c>
    </row>
    <row r="235" spans="1:11">
      <c r="A235" s="69"/>
      <c r="B235" s="82">
        <f>INDEX(AllTime1[All-time rank], MATCH(SMALL(AllTime1[Helper], ROW(Structures!$G230)), AllTime1[Helper], 0))</f>
        <v>220</v>
      </c>
      <c r="C235" s="64" t="str">
        <f>TEXT(INDEX(AllTime1[Name], MATCH(SMALL(AllTime1[Helper], ROW(Structures!$G230)), AllTime1[Helper], 0)),"@")</f>
        <v>Dara Shokouhian</v>
      </c>
      <c r="D235" s="64">
        <f>INDEX(AllTime1[All-time score], MATCH(LARGE(AllTime1[Helper2], ROW(Structures!$G230)), AllTime1[Helper2], 0))</f>
        <v>2</v>
      </c>
      <c r="E235" s="64">
        <f>COUNTIF(_xlfn.XLOOKUP(Table1215[[#This Row],[Name]],Table16[Name],Table16[[September 30, 2025]:[Column18]],,0,1),"&gt;=0")</f>
        <v>1</v>
      </c>
      <c r="F235" s="109">
        <f>_xlfn.XLOOKUP(Table1215[[#This Row],[Name]],Table1624[Name],Table1624[Totals],,0,1)</f>
        <v>0.32300000000000001</v>
      </c>
      <c r="G235" s="65">
        <f>IFERROR(Table1215[[#This Row],[Points]]/Table1215[[#This Row],[GP]],"N/A")</f>
        <v>2</v>
      </c>
      <c r="H235" s="64">
        <f>COUNTIF(_xlfn.XLOOKUP(Table1215[[#This Row],[Name]],Table16[Name],Table16[[September 30, 2025]:[Column18]],,0,1),"&gt;=8")</f>
        <v>0</v>
      </c>
      <c r="I235" s="110" t="str">
        <f>IFERROR(AVERAGEIF(_xlfn.XLOOKUP(Table1215[[#This Row],[Name]],Table16[Name],Table16[[September 30, 2025]:[Column18]],,0,1),"&gt;=8"),"N/A")</f>
        <v>N/A</v>
      </c>
      <c r="J235" s="66">
        <f>IFERROR(Table1215[[#This Row],[FTA]]/Table1215[[#This Row],[GP]],"N/A")</f>
        <v>0</v>
      </c>
      <c r="K235" s="67">
        <f>COUNTIF(_xlfn.XLOOKUP(Table1215[[#This Row],[Name]],Table16[Name],Table16[[September 30, 2025]:[Column18]],,0,1),"&gt;=15")</f>
        <v>0</v>
      </c>
    </row>
    <row r="236" spans="1:11">
      <c r="A236" s="69"/>
      <c r="B236" s="82">
        <f>INDEX(AllTime1[All-time rank], MATCH(SMALL(AllTime1[Helper], ROW(Structures!$G231)), AllTime1[Helper], 0))</f>
        <v>220</v>
      </c>
      <c r="C236" s="64" t="str">
        <f>TEXT(INDEX(AllTime1[Name], MATCH(SMALL(AllTime1[Helper], ROW(Structures!$G231)), AllTime1[Helper], 0)),"@")</f>
        <v>Ethan Zhao</v>
      </c>
      <c r="D236" s="64">
        <f>INDEX(AllTime1[All-time score], MATCH(LARGE(AllTime1[Helper2], ROW(Structures!$G231)), AllTime1[Helper2], 0))</f>
        <v>2</v>
      </c>
      <c r="E236" s="64">
        <f>COUNTIF(_xlfn.XLOOKUP(Table1215[[#This Row],[Name]],Table16[Name],Table16[[September 30, 2025]:[Column18]],,0,1),"&gt;=0")</f>
        <v>1</v>
      </c>
      <c r="F236" s="109">
        <f>_xlfn.XLOOKUP(Table1215[[#This Row],[Name]],Table1624[Name],Table1624[Totals],,0,1)</f>
        <v>0.27400000000000002</v>
      </c>
      <c r="G236" s="65">
        <f>IFERROR(Table1215[[#This Row],[Points]]/Table1215[[#This Row],[GP]],"N/A")</f>
        <v>2</v>
      </c>
      <c r="H236" s="64">
        <f>COUNTIF(_xlfn.XLOOKUP(Table1215[[#This Row],[Name]],Table16[Name],Table16[[September 30, 2025]:[Column18]],,0,1),"&gt;=8")</f>
        <v>0</v>
      </c>
      <c r="I236" s="110" t="str">
        <f>IFERROR(AVERAGEIF(_xlfn.XLOOKUP(Table1215[[#This Row],[Name]],Table16[Name],Table16[[September 30, 2025]:[Column18]],,0,1),"&gt;=8"),"N/A")</f>
        <v>N/A</v>
      </c>
      <c r="J236" s="66">
        <f>IFERROR(Table1215[[#This Row],[FTA]]/Table1215[[#This Row],[GP]],"N/A")</f>
        <v>0</v>
      </c>
      <c r="K236" s="67">
        <f>COUNTIF(_xlfn.XLOOKUP(Table1215[[#This Row],[Name]],Table16[Name],Table16[[September 30, 2025]:[Column18]],,0,1),"&gt;=15")</f>
        <v>0</v>
      </c>
    </row>
    <row r="237" spans="1:11">
      <c r="A237" s="69"/>
      <c r="B237" s="82">
        <f>INDEX(AllTime1[All-time rank], MATCH(SMALL(AllTime1[Helper], ROW(Structures!$G232)), AllTime1[Helper], 0))</f>
        <v>220</v>
      </c>
      <c r="C237" s="64" t="str">
        <f>TEXT(INDEX(AllTime1[Name], MATCH(SMALL(AllTime1[Helper], ROW(Structures!$G232)), AllTime1[Helper], 0)),"@")</f>
        <v>Evelyn Zhang</v>
      </c>
      <c r="D237" s="64">
        <f>INDEX(AllTime1[All-time score], MATCH(LARGE(AllTime1[Helper2], ROW(Structures!$G232)), AllTime1[Helper2], 0))</f>
        <v>2</v>
      </c>
      <c r="E237" s="64">
        <f>COUNTIF(_xlfn.XLOOKUP(Table1215[[#This Row],[Name]],Table16[Name],Table16[[September 30, 2025]:[Column18]],,0,1),"&gt;=0")</f>
        <v>2</v>
      </c>
      <c r="F237" s="109">
        <f>_xlfn.XLOOKUP(Table1215[[#This Row],[Name]],Table1624[Name],Table1624[Totals],,0,1)</f>
        <v>0.53349999999999997</v>
      </c>
      <c r="G237" s="65">
        <f>IFERROR(Table1215[[#This Row],[Points]]/Table1215[[#This Row],[GP]],"N/A")</f>
        <v>1</v>
      </c>
      <c r="H237" s="64">
        <f>COUNTIF(_xlfn.XLOOKUP(Table1215[[#This Row],[Name]],Table16[Name],Table16[[September 30, 2025]:[Column18]],,0,1),"&gt;=8")</f>
        <v>0</v>
      </c>
      <c r="I237" s="110" t="str">
        <f>IFERROR(AVERAGEIF(_xlfn.XLOOKUP(Table1215[[#This Row],[Name]],Table16[Name],Table16[[September 30, 2025]:[Column18]],,0,1),"&gt;=8"),"N/A")</f>
        <v>N/A</v>
      </c>
      <c r="J237" s="66">
        <f>IFERROR(Table1215[[#This Row],[FTA]]/Table1215[[#This Row],[GP]],"N/A")</f>
        <v>0</v>
      </c>
      <c r="K237" s="67">
        <f>COUNTIF(_xlfn.XLOOKUP(Table1215[[#This Row],[Name]],Table16[Name],Table16[[September 30, 2025]:[Column18]],,0,1),"&gt;=15")</f>
        <v>0</v>
      </c>
    </row>
    <row r="238" spans="1:11">
      <c r="A238" s="69"/>
      <c r="B238" s="82">
        <f>INDEX(AllTime1[All-time rank], MATCH(SMALL(AllTime1[Helper], ROW(Structures!$G233)), AllTime1[Helper], 0))</f>
        <v>220</v>
      </c>
      <c r="C238" s="64" t="str">
        <f>TEXT(INDEX(AllTime1[Name], MATCH(SMALL(AllTime1[Helper], ROW(Structures!$G233)), AllTime1[Helper], 0)),"@")</f>
        <v>Jasmine Xu</v>
      </c>
      <c r="D238" s="64">
        <f>INDEX(AllTime1[All-time score], MATCH(LARGE(AllTime1[Helper2], ROW(Structures!$G233)), AllTime1[Helper2], 0))</f>
        <v>2</v>
      </c>
      <c r="E238" s="64">
        <f>COUNTIF(_xlfn.XLOOKUP(Table1215[[#This Row],[Name]],Table16[Name],Table16[[September 30, 2025]:[Column18]],,0,1),"&gt;=0")</f>
        <v>2</v>
      </c>
      <c r="F238" s="109">
        <f>_xlfn.XLOOKUP(Table1215[[#This Row],[Name]],Table1624[Name],Table1624[Totals],,0,1)</f>
        <v>0.74550000000000005</v>
      </c>
      <c r="G238" s="65">
        <f>IFERROR(Table1215[[#This Row],[Points]]/Table1215[[#This Row],[GP]],"N/A")</f>
        <v>1</v>
      </c>
      <c r="H238" s="64">
        <f>COUNTIF(_xlfn.XLOOKUP(Table1215[[#This Row],[Name]],Table16[Name],Table16[[September 30, 2025]:[Column18]],,0,1),"&gt;=8")</f>
        <v>0</v>
      </c>
      <c r="I238" s="110" t="str">
        <f>IFERROR(AVERAGEIF(_xlfn.XLOOKUP(Table1215[[#This Row],[Name]],Table16[Name],Table16[[September 30, 2025]:[Column18]],,0,1),"&gt;=8"),"N/A")</f>
        <v>N/A</v>
      </c>
      <c r="J238" s="66">
        <f>IFERROR(Table1215[[#This Row],[FTA]]/Table1215[[#This Row],[GP]],"N/A")</f>
        <v>0</v>
      </c>
      <c r="K238" s="67">
        <f>COUNTIF(_xlfn.XLOOKUP(Table1215[[#This Row],[Name]],Table16[Name],Table16[[September 30, 2025]:[Column18]],,0,1),"&gt;=15")</f>
        <v>0</v>
      </c>
    </row>
    <row r="239" spans="1:11">
      <c r="A239" s="69"/>
      <c r="B239" s="82">
        <f>INDEX(AllTime1[All-time rank], MATCH(SMALL(AllTime1[Helper], ROW(Structures!$G234)), AllTime1[Helper], 0))</f>
        <v>220</v>
      </c>
      <c r="C239" s="64" t="str">
        <f>TEXT(INDEX(AllTime1[Name], MATCH(SMALL(AllTime1[Helper], ROW(Structures!$G234)), AllTime1[Helper], 0)),"@")</f>
        <v>Jonas Neumann</v>
      </c>
      <c r="D239" s="64">
        <f>INDEX(AllTime1[All-time score], MATCH(LARGE(AllTime1[Helper2], ROW(Structures!$G234)), AllTime1[Helper2], 0))</f>
        <v>2</v>
      </c>
      <c r="E239" s="64">
        <f>COUNTIF(_xlfn.XLOOKUP(Table1215[[#This Row],[Name]],Table16[Name],Table16[[September 30, 2025]:[Column18]],,0,1),"&gt;=0")</f>
        <v>1</v>
      </c>
      <c r="F239" s="109">
        <f>_xlfn.XLOOKUP(Table1215[[#This Row],[Name]],Table1624[Name],Table1624[Totals],,0,1)</f>
        <v>0.30099999999999999</v>
      </c>
      <c r="G239" s="65">
        <f>IFERROR(Table1215[[#This Row],[Points]]/Table1215[[#This Row],[GP]],"N/A")</f>
        <v>2</v>
      </c>
      <c r="H239" s="64">
        <f>COUNTIF(_xlfn.XLOOKUP(Table1215[[#This Row],[Name]],Table16[Name],Table16[[September 30, 2025]:[Column18]],,0,1),"&gt;=8")</f>
        <v>0</v>
      </c>
      <c r="I239" s="110" t="str">
        <f>IFERROR(AVERAGEIF(_xlfn.XLOOKUP(Table1215[[#This Row],[Name]],Table16[Name],Table16[[September 30, 2025]:[Column18]],,0,1),"&gt;=8"),"N/A")</f>
        <v>N/A</v>
      </c>
      <c r="J239" s="66">
        <f>IFERROR(Table1215[[#This Row],[FTA]]/Table1215[[#This Row],[GP]],"N/A")</f>
        <v>0</v>
      </c>
      <c r="K239" s="67">
        <f>COUNTIF(_xlfn.XLOOKUP(Table1215[[#This Row],[Name]],Table16[Name],Table16[[September 30, 2025]:[Column18]],,0,1),"&gt;=15")</f>
        <v>0</v>
      </c>
    </row>
    <row r="240" spans="1:11">
      <c r="A240" s="69"/>
      <c r="B240" s="82">
        <f>INDEX(AllTime1[All-time rank], MATCH(SMALL(AllTime1[Helper], ROW(Structures!$G235)), AllTime1[Helper], 0))</f>
        <v>220</v>
      </c>
      <c r="C240" s="64" t="str">
        <f>TEXT(INDEX(AllTime1[Name], MATCH(SMALL(AllTime1[Helper], ROW(Structures!$G235)), AllTime1[Helper], 0)),"@")</f>
        <v>Jordan Nguyen</v>
      </c>
      <c r="D240" s="64">
        <f>INDEX(AllTime1[All-time score], MATCH(LARGE(AllTime1[Helper2], ROW(Structures!$G235)), AllTime1[Helper2], 0))</f>
        <v>2</v>
      </c>
      <c r="E240" s="64">
        <f>COUNTIF(_xlfn.XLOOKUP(Table1215[[#This Row],[Name]],Table16[Name],Table16[[September 30, 2025]:[Column18]],,0,1),"&gt;=0")</f>
        <v>2</v>
      </c>
      <c r="F240" s="109">
        <f>_xlfn.XLOOKUP(Table1215[[#This Row],[Name]],Table1624[Name],Table1624[Totals],,0,1)</f>
        <v>0.95099999999999996</v>
      </c>
      <c r="G240" s="65">
        <f>IFERROR(Table1215[[#This Row],[Points]]/Table1215[[#This Row],[GP]],"N/A")</f>
        <v>1</v>
      </c>
      <c r="H240" s="64">
        <f>COUNTIF(_xlfn.XLOOKUP(Table1215[[#This Row],[Name]],Table16[Name],Table16[[September 30, 2025]:[Column18]],,0,1),"&gt;=8")</f>
        <v>0</v>
      </c>
      <c r="I240" s="110" t="str">
        <f>IFERROR(AVERAGEIF(_xlfn.XLOOKUP(Table1215[[#This Row],[Name]],Table16[Name],Table16[[September 30, 2025]:[Column18]],,0,1),"&gt;=8"),"N/A")</f>
        <v>N/A</v>
      </c>
      <c r="J240" s="66">
        <f>IFERROR(Table1215[[#This Row],[FTA]]/Table1215[[#This Row],[GP]],"N/A")</f>
        <v>0</v>
      </c>
      <c r="K240" s="67">
        <f>COUNTIF(_xlfn.XLOOKUP(Table1215[[#This Row],[Name]],Table16[Name],Table16[[September 30, 2025]:[Column18]],,0,1),"&gt;=15")</f>
        <v>0</v>
      </c>
    </row>
    <row r="241" spans="1:11">
      <c r="A241" s="69"/>
      <c r="B241" s="82">
        <f>INDEX(AllTime1[All-time rank], MATCH(SMALL(AllTime1[Helper], ROW(Structures!$G236)), AllTime1[Helper], 0))</f>
        <v>220</v>
      </c>
      <c r="C241" s="64" t="str">
        <f>TEXT(INDEX(AllTime1[Name], MATCH(SMALL(AllTime1[Helper], ROW(Structures!$G236)), AllTime1[Helper], 0)),"@")</f>
        <v>Kiran Shu</v>
      </c>
      <c r="D241" s="64">
        <f>INDEX(AllTime1[All-time score], MATCH(LARGE(AllTime1[Helper2], ROW(Structures!$G236)), AllTime1[Helper2], 0))</f>
        <v>2</v>
      </c>
      <c r="E241" s="64">
        <f>COUNTIF(_xlfn.XLOOKUP(Table1215[[#This Row],[Name]],Table16[Name],Table16[[September 30, 2025]:[Column18]],,0,1),"&gt;=0")</f>
        <v>1</v>
      </c>
      <c r="F241" s="109">
        <f>_xlfn.XLOOKUP(Table1215[[#This Row],[Name]],Table1624[Name],Table1624[Totals],,0,1)</f>
        <v>0.46100000000000002</v>
      </c>
      <c r="G241" s="65">
        <f>IFERROR(Table1215[[#This Row],[Points]]/Table1215[[#This Row],[GP]],"N/A")</f>
        <v>2</v>
      </c>
      <c r="H241" s="64">
        <f>COUNTIF(_xlfn.XLOOKUP(Table1215[[#This Row],[Name]],Table16[Name],Table16[[September 30, 2025]:[Column18]],,0,1),"&gt;=8")</f>
        <v>0</v>
      </c>
      <c r="I241" s="110" t="str">
        <f>IFERROR(AVERAGEIF(_xlfn.XLOOKUP(Table1215[[#This Row],[Name]],Table16[Name],Table16[[September 30, 2025]:[Column18]],,0,1),"&gt;=8"),"N/A")</f>
        <v>N/A</v>
      </c>
      <c r="J241" s="66">
        <f>IFERROR(Table1215[[#This Row],[FTA]]/Table1215[[#This Row],[GP]],"N/A")</f>
        <v>0</v>
      </c>
      <c r="K241" s="67">
        <f>COUNTIF(_xlfn.XLOOKUP(Table1215[[#This Row],[Name]],Table16[Name],Table16[[September 30, 2025]:[Column18]],,0,1),"&gt;=15")</f>
        <v>0</v>
      </c>
    </row>
    <row r="242" spans="1:11">
      <c r="A242" s="69"/>
      <c r="B242" s="82">
        <f>INDEX(AllTime1[All-time rank], MATCH(SMALL(AllTime1[Helper], ROW(Structures!$G237)), AllTime1[Helper], 0))</f>
        <v>220</v>
      </c>
      <c r="C242" s="64" t="str">
        <f>TEXT(INDEX(AllTime1[Name], MATCH(SMALL(AllTime1[Helper], ROW(Structures!$G237)), AllTime1[Helper], 0)),"@")</f>
        <v>Krish  Mehta</v>
      </c>
      <c r="D242" s="64">
        <f>INDEX(AllTime1[All-time score], MATCH(LARGE(AllTime1[Helper2], ROW(Structures!$G237)), AllTime1[Helper2], 0))</f>
        <v>2</v>
      </c>
      <c r="E242" s="64">
        <f>COUNTIF(_xlfn.XLOOKUP(Table1215[[#This Row],[Name]],Table16[Name],Table16[[September 30, 2025]:[Column18]],,0,1),"&gt;=0")</f>
        <v>1</v>
      </c>
      <c r="F242" s="109">
        <f>_xlfn.XLOOKUP(Table1215[[#This Row],[Name]],Table1624[Name],Table1624[Totals],,0,1)</f>
        <v>0.28699999999999998</v>
      </c>
      <c r="G242" s="65">
        <f>IFERROR(Table1215[[#This Row],[Points]]/Table1215[[#This Row],[GP]],"N/A")</f>
        <v>2</v>
      </c>
      <c r="H242" s="64">
        <f>COUNTIF(_xlfn.XLOOKUP(Table1215[[#This Row],[Name]],Table16[Name],Table16[[September 30, 2025]:[Column18]],,0,1),"&gt;=8")</f>
        <v>0</v>
      </c>
      <c r="I242" s="110" t="str">
        <f>IFERROR(AVERAGEIF(_xlfn.XLOOKUP(Table1215[[#This Row],[Name]],Table16[Name],Table16[[September 30, 2025]:[Column18]],,0,1),"&gt;=8"),"N/A")</f>
        <v>N/A</v>
      </c>
      <c r="J242" s="66">
        <f>IFERROR(Table1215[[#This Row],[FTA]]/Table1215[[#This Row],[GP]],"N/A")</f>
        <v>0</v>
      </c>
      <c r="K242" s="67">
        <f>COUNTIF(_xlfn.XLOOKUP(Table1215[[#This Row],[Name]],Table16[Name],Table16[[September 30, 2025]:[Column18]],,0,1),"&gt;=15")</f>
        <v>0</v>
      </c>
    </row>
    <row r="243" spans="1:11">
      <c r="A243" s="69"/>
      <c r="B243" s="82">
        <f>INDEX(AllTime1[All-time rank], MATCH(SMALL(AllTime1[Helper], ROW(Structures!$G238)), AllTime1[Helper], 0))</f>
        <v>220</v>
      </c>
      <c r="C243" s="64" t="str">
        <f>TEXT(INDEX(AllTime1[Name], MATCH(SMALL(AllTime1[Helper], ROW(Structures!$G238)), AllTime1[Helper], 0)),"@")</f>
        <v>Lawrence Alvarez-Smith</v>
      </c>
      <c r="D243" s="64">
        <f>INDEX(AllTime1[All-time score], MATCH(LARGE(AllTime1[Helper2], ROW(Structures!$G238)), AllTime1[Helper2], 0))</f>
        <v>2</v>
      </c>
      <c r="E243" s="64">
        <f>COUNTIF(_xlfn.XLOOKUP(Table1215[[#This Row],[Name]],Table16[Name],Table16[[September 30, 2025]:[Column18]],,0,1),"&gt;=0")</f>
        <v>1</v>
      </c>
      <c r="F243" s="109">
        <f>_xlfn.XLOOKUP(Table1215[[#This Row],[Name]],Table1624[Name],Table1624[Totals],,0,1)</f>
        <v>0.35599999999999998</v>
      </c>
      <c r="G243" s="65">
        <f>IFERROR(Table1215[[#This Row],[Points]]/Table1215[[#This Row],[GP]],"N/A")</f>
        <v>2</v>
      </c>
      <c r="H243" s="64">
        <f>COUNTIF(_xlfn.XLOOKUP(Table1215[[#This Row],[Name]],Table16[Name],Table16[[September 30, 2025]:[Column18]],,0,1),"&gt;=8")</f>
        <v>0</v>
      </c>
      <c r="I243" s="110" t="str">
        <f>IFERROR(AVERAGEIF(_xlfn.XLOOKUP(Table1215[[#This Row],[Name]],Table16[Name],Table16[[September 30, 2025]:[Column18]],,0,1),"&gt;=8"),"N/A")</f>
        <v>N/A</v>
      </c>
      <c r="J243" s="66">
        <f>IFERROR(Table1215[[#This Row],[FTA]]/Table1215[[#This Row],[GP]],"N/A")</f>
        <v>0</v>
      </c>
      <c r="K243" s="67">
        <f>COUNTIF(_xlfn.XLOOKUP(Table1215[[#This Row],[Name]],Table16[Name],Table16[[September 30, 2025]:[Column18]],,0,1),"&gt;=15")</f>
        <v>0</v>
      </c>
    </row>
    <row r="244" spans="1:11">
      <c r="A244" s="69"/>
      <c r="B244" s="82">
        <f>INDEX(AllTime1[All-time rank], MATCH(SMALL(AllTime1[Helper], ROW(Structures!$G239)), AllTime1[Helper], 0))</f>
        <v>220</v>
      </c>
      <c r="C244" s="64" t="str">
        <f>TEXT(INDEX(AllTime1[Name], MATCH(SMALL(AllTime1[Helper], ROW(Structures!$G239)), AllTime1[Helper], 0)),"@")</f>
        <v>Nathan Byers</v>
      </c>
      <c r="D244" s="64">
        <f>INDEX(AllTime1[All-time score], MATCH(LARGE(AllTime1[Helper2], ROW(Structures!$G239)), AllTime1[Helper2], 0))</f>
        <v>2</v>
      </c>
      <c r="E244" s="64">
        <f>COUNTIF(_xlfn.XLOOKUP(Table1215[[#This Row],[Name]],Table16[Name],Table16[[September 30, 2025]:[Column18]],,0,1),"&gt;=0")</f>
        <v>1</v>
      </c>
      <c r="F244" s="109">
        <f>_xlfn.XLOOKUP(Table1215[[#This Row],[Name]],Table1624[Name],Table1624[Totals],,0,1)</f>
        <v>0.35599999999999998</v>
      </c>
      <c r="G244" s="65">
        <f>IFERROR(Table1215[[#This Row],[Points]]/Table1215[[#This Row],[GP]],"N/A")</f>
        <v>2</v>
      </c>
      <c r="H244" s="64">
        <f>COUNTIF(_xlfn.XLOOKUP(Table1215[[#This Row],[Name]],Table16[Name],Table16[[September 30, 2025]:[Column18]],,0,1),"&gt;=8")</f>
        <v>0</v>
      </c>
      <c r="I244" s="110" t="str">
        <f>IFERROR(AVERAGEIF(_xlfn.XLOOKUP(Table1215[[#This Row],[Name]],Table16[Name],Table16[[September 30, 2025]:[Column18]],,0,1),"&gt;=8"),"N/A")</f>
        <v>N/A</v>
      </c>
      <c r="J244" s="66">
        <f>IFERROR(Table1215[[#This Row],[FTA]]/Table1215[[#This Row],[GP]],"N/A")</f>
        <v>0</v>
      </c>
      <c r="K244" s="67">
        <f>COUNTIF(_xlfn.XLOOKUP(Table1215[[#This Row],[Name]],Table16[Name],Table16[[September 30, 2025]:[Column18]],,0,1),"&gt;=15")</f>
        <v>0</v>
      </c>
    </row>
    <row r="245" spans="1:11">
      <c r="A245" s="69"/>
      <c r="B245" s="82">
        <f>INDEX(AllTime1[All-time rank], MATCH(SMALL(AllTime1[Helper], ROW(Structures!$G240)), AllTime1[Helper], 0))</f>
        <v>220</v>
      </c>
      <c r="C245" s="64" t="str">
        <f>TEXT(INDEX(AllTime1[Name], MATCH(SMALL(AllTime1[Helper], ROW(Structures!$G240)), AllTime1[Helper], 0)),"@")</f>
        <v>Ravekpal  Chahal</v>
      </c>
      <c r="D245" s="64">
        <f>INDEX(AllTime1[All-time score], MATCH(LARGE(AllTime1[Helper2], ROW(Structures!$G240)), AllTime1[Helper2], 0))</f>
        <v>2</v>
      </c>
      <c r="E245" s="64">
        <f>COUNTIF(_xlfn.XLOOKUP(Table1215[[#This Row],[Name]],Table16[Name],Table16[[September 30, 2025]:[Column18]],,0,1),"&gt;=0")</f>
        <v>2</v>
      </c>
      <c r="F245" s="109">
        <f>_xlfn.XLOOKUP(Table1215[[#This Row],[Name]],Table1624[Name],Table1624[Totals],,0,1)</f>
        <v>0.70599999999999996</v>
      </c>
      <c r="G245" s="65">
        <f>IFERROR(Table1215[[#This Row],[Points]]/Table1215[[#This Row],[GP]],"N/A")</f>
        <v>1</v>
      </c>
      <c r="H245" s="64">
        <f>COUNTIF(_xlfn.XLOOKUP(Table1215[[#This Row],[Name]],Table16[Name],Table16[[September 30, 2025]:[Column18]],,0,1),"&gt;=8")</f>
        <v>0</v>
      </c>
      <c r="I245" s="110" t="str">
        <f>IFERROR(AVERAGEIF(_xlfn.XLOOKUP(Table1215[[#This Row],[Name]],Table16[Name],Table16[[September 30, 2025]:[Column18]],,0,1),"&gt;=8"),"N/A")</f>
        <v>N/A</v>
      </c>
      <c r="J245" s="66">
        <f>IFERROR(Table1215[[#This Row],[FTA]]/Table1215[[#This Row],[GP]],"N/A")</f>
        <v>0</v>
      </c>
      <c r="K245" s="67">
        <f>COUNTIF(_xlfn.XLOOKUP(Table1215[[#This Row],[Name]],Table16[Name],Table16[[September 30, 2025]:[Column18]],,0,1),"&gt;=15")</f>
        <v>0</v>
      </c>
    </row>
    <row r="246" spans="1:11">
      <c r="A246" s="69"/>
      <c r="B246" s="82">
        <f>INDEX(AllTime1[All-time rank], MATCH(SMALL(AllTime1[Helper], ROW(Structures!$G241)), AllTime1[Helper], 0))</f>
        <v>220</v>
      </c>
      <c r="C246" s="64" t="str">
        <f>TEXT(INDEX(AllTime1[Name], MATCH(SMALL(AllTime1[Helper], ROW(Structures!$G241)), AllTime1[Helper], 0)),"@")</f>
        <v>Ryan Morrison</v>
      </c>
      <c r="D246" s="64">
        <f>INDEX(AllTime1[All-time score], MATCH(LARGE(AllTime1[Helper2], ROW(Structures!$G241)), AllTime1[Helper2], 0))</f>
        <v>2</v>
      </c>
      <c r="E246" s="64">
        <f>COUNTIF(_xlfn.XLOOKUP(Table1215[[#This Row],[Name]],Table16[Name],Table16[[September 30, 2025]:[Column18]],,0,1),"&gt;=0")</f>
        <v>2</v>
      </c>
      <c r="F246" s="109">
        <f>_xlfn.XLOOKUP(Table1215[[#This Row],[Name]],Table1624[Name],Table1624[Totals],,0,1)</f>
        <v>0.76700000000000002</v>
      </c>
      <c r="G246" s="65">
        <f>IFERROR(Table1215[[#This Row],[Points]]/Table1215[[#This Row],[GP]],"N/A")</f>
        <v>1</v>
      </c>
      <c r="H246" s="64">
        <f>COUNTIF(_xlfn.XLOOKUP(Table1215[[#This Row],[Name]],Table16[Name],Table16[[September 30, 2025]:[Column18]],,0,1),"&gt;=8")</f>
        <v>0</v>
      </c>
      <c r="I246" s="110" t="str">
        <f>IFERROR(AVERAGEIF(_xlfn.XLOOKUP(Table1215[[#This Row],[Name]],Table16[Name],Table16[[September 30, 2025]:[Column18]],,0,1),"&gt;=8"),"N/A")</f>
        <v>N/A</v>
      </c>
      <c r="J246" s="66">
        <f>IFERROR(Table1215[[#This Row],[FTA]]/Table1215[[#This Row],[GP]],"N/A")</f>
        <v>0</v>
      </c>
      <c r="K246" s="67">
        <f>COUNTIF(_xlfn.XLOOKUP(Table1215[[#This Row],[Name]],Table16[Name],Table16[[September 30, 2025]:[Column18]],,0,1),"&gt;=15")</f>
        <v>0</v>
      </c>
    </row>
    <row r="247" spans="1:11">
      <c r="A247" s="69"/>
      <c r="B247" s="82">
        <f>INDEX(AllTime1[All-time rank], MATCH(SMALL(AllTime1[Helper], ROW(Structures!$G242)), AllTime1[Helper], 0))</f>
        <v>220</v>
      </c>
      <c r="C247" s="64" t="str">
        <f>TEXT(INDEX(AllTime1[Name], MATCH(SMALL(AllTime1[Helper], ROW(Structures!$G242)), AllTime1[Helper], 0)),"@")</f>
        <v>Salaar Ali</v>
      </c>
      <c r="D247" s="64">
        <f>INDEX(AllTime1[All-time score], MATCH(LARGE(AllTime1[Helper2], ROW(Structures!$G242)), AllTime1[Helper2], 0))</f>
        <v>2</v>
      </c>
      <c r="E247" s="64">
        <f>COUNTIF(_xlfn.XLOOKUP(Table1215[[#This Row],[Name]],Table16[Name],Table16[[September 30, 2025]:[Column18]],,0,1),"&gt;=0")</f>
        <v>2</v>
      </c>
      <c r="F247" s="109">
        <f>_xlfn.XLOOKUP(Table1215[[#This Row],[Name]],Table1624[Name],Table1624[Totals],,0,1)</f>
        <v>0.55549999999999999</v>
      </c>
      <c r="G247" s="65">
        <f>IFERROR(Table1215[[#This Row],[Points]]/Table1215[[#This Row],[GP]],"N/A")</f>
        <v>1</v>
      </c>
      <c r="H247" s="64">
        <f>COUNTIF(_xlfn.XLOOKUP(Table1215[[#This Row],[Name]],Table16[Name],Table16[[September 30, 2025]:[Column18]],,0,1),"&gt;=8")</f>
        <v>0</v>
      </c>
      <c r="I247" s="110" t="str">
        <f>IFERROR(AVERAGEIF(_xlfn.XLOOKUP(Table1215[[#This Row],[Name]],Table16[Name],Table16[[September 30, 2025]:[Column18]],,0,1),"&gt;=8"),"N/A")</f>
        <v>N/A</v>
      </c>
      <c r="J247" s="66">
        <f>IFERROR(Table1215[[#This Row],[FTA]]/Table1215[[#This Row],[GP]],"N/A")</f>
        <v>0</v>
      </c>
      <c r="K247" s="67">
        <f>COUNTIF(_xlfn.XLOOKUP(Table1215[[#This Row],[Name]],Table16[Name],Table16[[September 30, 2025]:[Column18]],,0,1),"&gt;=15")</f>
        <v>0</v>
      </c>
    </row>
    <row r="248" spans="1:11">
      <c r="A248" s="69"/>
      <c r="B248" s="82">
        <f>INDEX(AllTime1[All-time rank], MATCH(SMALL(AllTime1[Helper], ROW(Structures!$G243)), AllTime1[Helper], 0))</f>
        <v>220</v>
      </c>
      <c r="C248" s="64" t="str">
        <f>TEXT(INDEX(AllTime1[Name], MATCH(SMALL(AllTime1[Helper], ROW(Structures!$G243)), AllTime1[Helper], 0)),"@")</f>
        <v>Sam Das</v>
      </c>
      <c r="D248" s="64">
        <f>INDEX(AllTime1[All-time score], MATCH(LARGE(AllTime1[Helper2], ROW(Structures!$G243)), AllTime1[Helper2], 0))</f>
        <v>2</v>
      </c>
      <c r="E248" s="64">
        <f>COUNTIF(_xlfn.XLOOKUP(Table1215[[#This Row],[Name]],Table16[Name],Table16[[September 30, 2025]:[Column18]],,0,1),"&gt;=0")</f>
        <v>2</v>
      </c>
      <c r="F248" s="109">
        <f>_xlfn.XLOOKUP(Table1215[[#This Row],[Name]],Table1624[Name],Table1624[Totals],,0,1)</f>
        <v>0.92700000000000005</v>
      </c>
      <c r="G248" s="65">
        <f>IFERROR(Table1215[[#This Row],[Points]]/Table1215[[#This Row],[GP]],"N/A")</f>
        <v>1</v>
      </c>
      <c r="H248" s="64">
        <f>COUNTIF(_xlfn.XLOOKUP(Table1215[[#This Row],[Name]],Table16[Name],Table16[[September 30, 2025]:[Column18]],,0,1),"&gt;=8")</f>
        <v>0</v>
      </c>
      <c r="I248" s="110" t="str">
        <f>IFERROR(AVERAGEIF(_xlfn.XLOOKUP(Table1215[[#This Row],[Name]],Table16[Name],Table16[[September 30, 2025]:[Column18]],,0,1),"&gt;=8"),"N/A")</f>
        <v>N/A</v>
      </c>
      <c r="J248" s="66">
        <f>IFERROR(Table1215[[#This Row],[FTA]]/Table1215[[#This Row],[GP]],"N/A")</f>
        <v>0</v>
      </c>
      <c r="K248" s="67">
        <f>COUNTIF(_xlfn.XLOOKUP(Table1215[[#This Row],[Name]],Table16[Name],Table16[[September 30, 2025]:[Column18]],,0,1),"&gt;=15")</f>
        <v>0</v>
      </c>
    </row>
    <row r="249" spans="1:11">
      <c r="A249" s="70"/>
      <c r="B249" s="82">
        <f>INDEX(AllTime1[All-time rank], MATCH(SMALL(AllTime1[Helper], ROW(Structures!$G244)), AllTime1[Helper], 0))</f>
        <v>220</v>
      </c>
      <c r="C249" s="64" t="str">
        <f>TEXT(INDEX(AllTime1[Name], MATCH(SMALL(AllTime1[Helper], ROW(Structures!$G244)), AllTime1[Helper], 0)),"@")</f>
        <v>Seren Kalfa</v>
      </c>
      <c r="D249" s="64">
        <f>INDEX(AllTime1[All-time score], MATCH(LARGE(AllTime1[Helper2], ROW(Structures!$G244)), AllTime1[Helper2], 0))</f>
        <v>2</v>
      </c>
      <c r="E249" s="64">
        <f>COUNTIF(_xlfn.XLOOKUP(Table1215[[#This Row],[Name]],Table16[Name],Table16[[September 30, 2025]:[Column18]],,0,1),"&gt;=0")</f>
        <v>2</v>
      </c>
      <c r="F249" s="109">
        <f>_xlfn.XLOOKUP(Table1215[[#This Row],[Name]],Table1624[Name],Table1624[Totals],,0,1)</f>
        <v>0.59850000000000003</v>
      </c>
      <c r="G249" s="65">
        <f>IFERROR(Table1215[[#This Row],[Points]]/Table1215[[#This Row],[GP]],"N/A")</f>
        <v>1</v>
      </c>
      <c r="H249" s="64">
        <f>COUNTIF(_xlfn.XLOOKUP(Table1215[[#This Row],[Name]],Table16[Name],Table16[[September 30, 2025]:[Column18]],,0,1),"&gt;=8")</f>
        <v>0</v>
      </c>
      <c r="I249" s="110" t="str">
        <f>IFERROR(AVERAGEIF(_xlfn.XLOOKUP(Table1215[[#This Row],[Name]],Table16[Name],Table16[[September 30, 2025]:[Column18]],,0,1),"&gt;=8"),"N/A")</f>
        <v>N/A</v>
      </c>
      <c r="J249" s="66">
        <f>IFERROR(Table1215[[#This Row],[FTA]]/Table1215[[#This Row],[GP]],"N/A")</f>
        <v>0</v>
      </c>
      <c r="K249" s="67">
        <f>COUNTIF(_xlfn.XLOOKUP(Table1215[[#This Row],[Name]],Table16[Name],Table16[[September 30, 2025]:[Column18]],,0,1),"&gt;=15")</f>
        <v>0</v>
      </c>
    </row>
    <row r="250" spans="1:11">
      <c r="A250" s="70"/>
      <c r="B250" s="82">
        <f>INDEX(AllTime1[All-time rank], MATCH(SMALL(AllTime1[Helper], ROW(Structures!$G245)), AllTime1[Helper], 0))</f>
        <v>220</v>
      </c>
      <c r="C250" s="64" t="str">
        <f>TEXT(INDEX(AllTime1[Name], MATCH(SMALL(AllTime1[Helper], ROW(Structures!$G245)), AllTime1[Helper], 0)),"@")</f>
        <v>Toma Pituscan</v>
      </c>
      <c r="D250" s="64">
        <f>INDEX(AllTime1[All-time score], MATCH(LARGE(AllTime1[Helper2], ROW(Structures!$G245)), AllTime1[Helper2], 0))</f>
        <v>2</v>
      </c>
      <c r="E250" s="64">
        <f>COUNTIF(_xlfn.XLOOKUP(Table1215[[#This Row],[Name]],Table16[Name],Table16[[September 30, 2025]:[Column18]],,0,1),"&gt;=0")</f>
        <v>1</v>
      </c>
      <c r="F250" s="109">
        <f>_xlfn.XLOOKUP(Table1215[[#This Row],[Name]],Table1624[Name],Table1624[Totals],,0,1)</f>
        <v>0.36199999999999999</v>
      </c>
      <c r="G250" s="65">
        <f>IFERROR(Table1215[[#This Row],[Points]]/Table1215[[#This Row],[GP]],"N/A")</f>
        <v>2</v>
      </c>
      <c r="H250" s="64">
        <f>COUNTIF(_xlfn.XLOOKUP(Table1215[[#This Row],[Name]],Table16[Name],Table16[[September 30, 2025]:[Column18]],,0,1),"&gt;=8")</f>
        <v>0</v>
      </c>
      <c r="I250" s="110" t="str">
        <f>IFERROR(AVERAGEIF(_xlfn.XLOOKUP(Table1215[[#This Row],[Name]],Table16[Name],Table16[[September 30, 2025]:[Column18]],,0,1),"&gt;=8"),"N/A")</f>
        <v>N/A</v>
      </c>
      <c r="J250" s="66">
        <f>IFERROR(Table1215[[#This Row],[FTA]]/Table1215[[#This Row],[GP]],"N/A")</f>
        <v>0</v>
      </c>
      <c r="K250" s="67">
        <f>COUNTIF(_xlfn.XLOOKUP(Table1215[[#This Row],[Name]],Table16[Name],Table16[[September 30, 2025]:[Column18]],,0,1),"&gt;=15")</f>
        <v>0</v>
      </c>
    </row>
    <row r="251" spans="1:11">
      <c r="A251" s="70"/>
      <c r="B251" s="82">
        <f>INDEX(AllTime1[All-time rank], MATCH(SMALL(AllTime1[Helper], ROW(Structures!$G246)), AllTime1[Helper], 0))</f>
        <v>220</v>
      </c>
      <c r="C251" s="64" t="str">
        <f>TEXT(INDEX(AllTime1[Name], MATCH(SMALL(AllTime1[Helper], ROW(Structures!$G246)), AllTime1[Helper], 0)),"@")</f>
        <v>Zain Ahmed</v>
      </c>
      <c r="D251" s="64">
        <f>INDEX(AllTime1[All-time score], MATCH(LARGE(AllTime1[Helper2], ROW(Structures!$G246)), AllTime1[Helper2], 0))</f>
        <v>2</v>
      </c>
      <c r="E251" s="64">
        <f>COUNTIF(_xlfn.XLOOKUP(Table1215[[#This Row],[Name]],Table16[Name],Table16[[September 30, 2025]:[Column18]],,0,1),"&gt;=0")</f>
        <v>1</v>
      </c>
      <c r="F251" s="109">
        <f>_xlfn.XLOOKUP(Table1215[[#This Row],[Name]],Table1624[Name],Table1624[Totals],,0,1)</f>
        <v>0.48399999999999999</v>
      </c>
      <c r="G251" s="65">
        <f>IFERROR(Table1215[[#This Row],[Points]]/Table1215[[#This Row],[GP]],"N/A")</f>
        <v>2</v>
      </c>
      <c r="H251" s="64">
        <f>COUNTIF(_xlfn.XLOOKUP(Table1215[[#This Row],[Name]],Table16[Name],Table16[[September 30, 2025]:[Column18]],,0,1),"&gt;=8")</f>
        <v>0</v>
      </c>
      <c r="I251" s="110" t="str">
        <f>IFERROR(AVERAGEIF(_xlfn.XLOOKUP(Table1215[[#This Row],[Name]],Table16[Name],Table16[[September 30, 2025]:[Column18]],,0,1),"&gt;=8"),"N/A")</f>
        <v>N/A</v>
      </c>
      <c r="J251" s="66">
        <f>IFERROR(Table1215[[#This Row],[FTA]]/Table1215[[#This Row],[GP]],"N/A")</f>
        <v>0</v>
      </c>
      <c r="K251" s="67">
        <f>COUNTIF(_xlfn.XLOOKUP(Table1215[[#This Row],[Name]],Table16[Name],Table16[[September 30, 2025]:[Column18]],,0,1),"&gt;=15")</f>
        <v>0</v>
      </c>
    </row>
    <row r="252" spans="1:11">
      <c r="A252" s="70"/>
      <c r="B252" s="82">
        <f>INDEX(AllTime1[All-time rank], MATCH(SMALL(AllTime1[Helper], ROW(Structures!$G247)), AllTime1[Helper], 0))</f>
        <v>220</v>
      </c>
      <c r="C252" s="64" t="str">
        <f>TEXT(INDEX(AllTime1[Name], MATCH(SMALL(AllTime1[Helper], ROW(Structures!$G247)), AllTime1[Helper], 0)),"@")</f>
        <v>Zhiye Liu</v>
      </c>
      <c r="D252" s="64">
        <f>INDEX(AllTime1[All-time score], MATCH(LARGE(AllTime1[Helper2], ROW(Structures!$G247)), AllTime1[Helper2], 0))</f>
        <v>2</v>
      </c>
      <c r="E252" s="64">
        <f>COUNTIF(_xlfn.XLOOKUP(Table1215[[#This Row],[Name]],Table16[Name],Table16[[September 30, 2025]:[Column18]],,0,1),"&gt;=0")</f>
        <v>2</v>
      </c>
      <c r="F252" s="109">
        <f>_xlfn.XLOOKUP(Table1215[[#This Row],[Name]],Table1624[Name],Table1624[Totals],,0,1)</f>
        <v>0.81299999999999994</v>
      </c>
      <c r="G252" s="65">
        <f>IFERROR(Table1215[[#This Row],[Points]]/Table1215[[#This Row],[GP]],"N/A")</f>
        <v>1</v>
      </c>
      <c r="H252" s="64">
        <f>COUNTIF(_xlfn.XLOOKUP(Table1215[[#This Row],[Name]],Table16[Name],Table16[[September 30, 2025]:[Column18]],,0,1),"&gt;=8")</f>
        <v>0</v>
      </c>
      <c r="I252" s="110" t="str">
        <f>IFERROR(AVERAGEIF(_xlfn.XLOOKUP(Table1215[[#This Row],[Name]],Table16[Name],Table16[[September 30, 2025]:[Column18]],,0,1),"&gt;=8"),"N/A")</f>
        <v>N/A</v>
      </c>
      <c r="J252" s="66">
        <f>IFERROR(Table1215[[#This Row],[FTA]]/Table1215[[#This Row],[GP]],"N/A")</f>
        <v>0</v>
      </c>
      <c r="K252" s="67">
        <f>COUNTIF(_xlfn.XLOOKUP(Table1215[[#This Row],[Name]],Table16[Name],Table16[[September 30, 2025]:[Column18]],,0,1),"&gt;=15")</f>
        <v>0</v>
      </c>
    </row>
    <row r="253" spans="1:11">
      <c r="A253" s="70"/>
      <c r="B253" s="82">
        <f>INDEX(AllTime1[All-time rank], MATCH(SMALL(AllTime1[Helper], ROW(Structures!$G248)), AllTime1[Helper], 0))</f>
        <v>248</v>
      </c>
      <c r="C253" s="64" t="str">
        <f>TEXT(INDEX(AllTime1[Name], MATCH(SMALL(AllTime1[Helper], ROW(Structures!$G248)), AllTime1[Helper], 0)),"@")</f>
        <v>Ohemaa Acheampong</v>
      </c>
      <c r="D253" s="64">
        <f>INDEX(AllTime1[All-time score], MATCH(LARGE(AllTime1[Helper2], ROW(Structures!$G248)), AllTime1[Helper2], 0))</f>
        <v>1</v>
      </c>
      <c r="E253" s="64">
        <f>COUNTIF(_xlfn.XLOOKUP(Table1215[[#This Row],[Name]],Table16[Name],Table16[[September 30, 2025]:[Column18]],,0,1),"&gt;=0")</f>
        <v>1</v>
      </c>
      <c r="F253" s="109">
        <f>_xlfn.XLOOKUP(Table1215[[#This Row],[Name]],Table1624[Name],Table1624[Totals],,0,1)</f>
        <v>0.92300000000000004</v>
      </c>
      <c r="G253" s="65">
        <f>IFERROR(Table1215[[#This Row],[Points]]/Table1215[[#This Row],[GP]],"N/A")</f>
        <v>1</v>
      </c>
      <c r="H253" s="64">
        <f>COUNTIF(_xlfn.XLOOKUP(Table1215[[#This Row],[Name]],Table16[Name],Table16[[September 30, 2025]:[Column18]],,0,1),"&gt;=8")</f>
        <v>0</v>
      </c>
      <c r="I253" s="110" t="str">
        <f>IFERROR(AVERAGEIF(_xlfn.XLOOKUP(Table1215[[#This Row],[Name]],Table16[Name],Table16[[September 30, 2025]:[Column18]],,0,1),"&gt;=8"),"N/A")</f>
        <v>N/A</v>
      </c>
      <c r="J253" s="66">
        <f>IFERROR(Table1215[[#This Row],[FTA]]/Table1215[[#This Row],[GP]],"N/A")</f>
        <v>0</v>
      </c>
      <c r="K253" s="67">
        <f>COUNTIF(_xlfn.XLOOKUP(Table1215[[#This Row],[Name]],Table16[Name],Table16[[September 30, 2025]:[Column18]],,0,1),"&gt;=15")</f>
        <v>0</v>
      </c>
    </row>
    <row r="254" spans="1:11">
      <c r="A254" s="70"/>
      <c r="B254" s="82">
        <f>INDEX(AllTime1[All-time rank], MATCH(SMALL(AllTime1[Helper], ROW(Structures!$G249)), AllTime1[Helper], 0))</f>
        <v>248</v>
      </c>
      <c r="C254" s="64" t="str">
        <f>TEXT(INDEX(AllTime1[Name], MATCH(SMALL(AllTime1[Helper], ROW(Structures!$G249)), AllTime1[Helper], 0)),"@")</f>
        <v>Ethan Kim</v>
      </c>
      <c r="D254" s="64">
        <f>INDEX(AllTime1[All-time score], MATCH(LARGE(AllTime1[Helper2], ROW(Structures!$G249)), AllTime1[Helper2], 0))</f>
        <v>1</v>
      </c>
      <c r="E254" s="64">
        <f>COUNTIF(_xlfn.XLOOKUP(Table1215[[#This Row],[Name]],Table16[Name],Table16[[September 30, 2025]:[Column18]],,0,1),"&gt;=0")</f>
        <v>1</v>
      </c>
      <c r="F254" s="109">
        <f>_xlfn.XLOOKUP(Table1215[[#This Row],[Name]],Table1624[Name],Table1624[Totals],,0,1)</f>
        <v>0.752</v>
      </c>
      <c r="G254" s="65">
        <f>IFERROR(Table1215[[#This Row],[Points]]/Table1215[[#This Row],[GP]],"N/A")</f>
        <v>1</v>
      </c>
      <c r="H254" s="64">
        <f>COUNTIF(_xlfn.XLOOKUP(Table1215[[#This Row],[Name]],Table16[Name],Table16[[September 30, 2025]:[Column18]],,0,1),"&gt;=8")</f>
        <v>0</v>
      </c>
      <c r="I254" s="110" t="str">
        <f>IFERROR(AVERAGEIF(_xlfn.XLOOKUP(Table1215[[#This Row],[Name]],Table16[Name],Table16[[September 30, 2025]:[Column18]],,0,1),"&gt;=8"),"N/A")</f>
        <v>N/A</v>
      </c>
      <c r="J254" s="66">
        <f>IFERROR(Table1215[[#This Row],[FTA]]/Table1215[[#This Row],[GP]],"N/A")</f>
        <v>0</v>
      </c>
      <c r="K254" s="67">
        <f>COUNTIF(_xlfn.XLOOKUP(Table1215[[#This Row],[Name]],Table16[Name],Table16[[September 30, 2025]:[Column18]],,0,1),"&gt;=15")</f>
        <v>0</v>
      </c>
    </row>
    <row r="255" spans="1:11">
      <c r="A255" s="70"/>
      <c r="B255" s="82">
        <f>INDEX(AllTime1[All-time rank], MATCH(SMALL(AllTime1[Helper], ROW(Structures!$G250)), AllTime1[Helper], 0))</f>
        <v>248</v>
      </c>
      <c r="C255" s="64" t="str">
        <f>TEXT(INDEX(AllTime1[Name], MATCH(SMALL(AllTime1[Helper], ROW(Structures!$G250)), AllTime1[Helper], 0)),"@")</f>
        <v>Quenifer Lung</v>
      </c>
      <c r="D255" s="64">
        <f>INDEX(AllTime1[All-time score], MATCH(LARGE(AllTime1[Helper2], ROW(Structures!$G250)), AllTime1[Helper2], 0))</f>
        <v>1</v>
      </c>
      <c r="E255" s="64">
        <f>COUNTIF(_xlfn.XLOOKUP(Table1215[[#This Row],[Name]],Table16[Name],Table16[[September 30, 2025]:[Column18]],,0,1),"&gt;=0")</f>
        <v>1</v>
      </c>
      <c r="F255" s="109">
        <f>_xlfn.XLOOKUP(Table1215[[#This Row],[Name]],Table1624[Name],Table1624[Totals],,0,1)</f>
        <v>0.70399999999999996</v>
      </c>
      <c r="G255" s="65">
        <f>IFERROR(Table1215[[#This Row],[Points]]/Table1215[[#This Row],[GP]],"N/A")</f>
        <v>1</v>
      </c>
      <c r="H255" s="64">
        <f>COUNTIF(_xlfn.XLOOKUP(Table1215[[#This Row],[Name]],Table16[Name],Table16[[September 30, 2025]:[Column18]],,0,1),"&gt;=8")</f>
        <v>0</v>
      </c>
      <c r="I255" s="110" t="str">
        <f>IFERROR(AVERAGEIF(_xlfn.XLOOKUP(Table1215[[#This Row],[Name]],Table16[Name],Table16[[September 30, 2025]:[Column18]],,0,1),"&gt;=8"),"N/A")</f>
        <v>N/A</v>
      </c>
      <c r="J255" s="66">
        <f>IFERROR(Table1215[[#This Row],[FTA]]/Table1215[[#This Row],[GP]],"N/A")</f>
        <v>0</v>
      </c>
      <c r="K255" s="67">
        <f>COUNTIF(_xlfn.XLOOKUP(Table1215[[#This Row],[Name]],Table16[Name],Table16[[September 30, 2025]:[Column18]],,0,1),"&gt;=15")</f>
        <v>0</v>
      </c>
    </row>
    <row r="256" spans="1:11">
      <c r="A256" s="70"/>
      <c r="B256" s="82">
        <f>INDEX(AllTime1[All-time rank], MATCH(SMALL(AllTime1[Helper], ROW(Structures!$G251)), AllTime1[Helper], 0))</f>
        <v>248</v>
      </c>
      <c r="C256" s="64" t="str">
        <f>TEXT(INDEX(AllTime1[Name], MATCH(SMALL(AllTime1[Helper], ROW(Structures!$G251)), AllTime1[Helper], 0)),"@")</f>
        <v>Aadam Lakhani</v>
      </c>
      <c r="D256" s="64">
        <f>INDEX(AllTime1[All-time score], MATCH(LARGE(AllTime1[Helper2], ROW(Structures!$G251)), AllTime1[Helper2], 0))</f>
        <v>1</v>
      </c>
      <c r="E256" s="64">
        <f>COUNTIF(_xlfn.XLOOKUP(Table1215[[#This Row],[Name]],Table16[Name],Table16[[September 30, 2025]:[Column18]],,0,1),"&gt;=0")</f>
        <v>1</v>
      </c>
      <c r="F256" s="109">
        <f>_xlfn.XLOOKUP(Table1215[[#This Row],[Name]],Table1624[Name],Table1624[Totals],,0,1)</f>
        <v>0.75</v>
      </c>
      <c r="G256" s="65">
        <f>IFERROR(Table1215[[#This Row],[Points]]/Table1215[[#This Row],[GP]],"N/A")</f>
        <v>1</v>
      </c>
      <c r="H256" s="64">
        <f>COUNTIF(_xlfn.XLOOKUP(Table1215[[#This Row],[Name]],Table16[Name],Table16[[September 30, 2025]:[Column18]],,0,1),"&gt;=8")</f>
        <v>0</v>
      </c>
      <c r="I256" s="110" t="str">
        <f>IFERROR(AVERAGEIF(_xlfn.XLOOKUP(Table1215[[#This Row],[Name]],Table16[Name],Table16[[September 30, 2025]:[Column18]],,0,1),"&gt;=8"),"N/A")</f>
        <v>N/A</v>
      </c>
      <c r="J256" s="66">
        <f>IFERROR(Table1215[[#This Row],[FTA]]/Table1215[[#This Row],[GP]],"N/A")</f>
        <v>0</v>
      </c>
      <c r="K256" s="67">
        <f>COUNTIF(_xlfn.XLOOKUP(Table1215[[#This Row],[Name]],Table16[Name],Table16[[September 30, 2025]:[Column18]],,0,1),"&gt;=15")</f>
        <v>0</v>
      </c>
    </row>
    <row r="257" spans="1:11">
      <c r="A257" s="70"/>
      <c r="B257" s="82">
        <f>INDEX(AllTime1[All-time rank], MATCH(SMALL(AllTime1[Helper], ROW(Structures!$G252)), AllTime1[Helper], 0))</f>
        <v>248</v>
      </c>
      <c r="C257" s="64" t="str">
        <f>TEXT(INDEX(AllTime1[Name], MATCH(SMALL(AllTime1[Helper], ROW(Structures!$G252)), AllTime1[Helper], 0)),"@")</f>
        <v>Adrien Soupa</v>
      </c>
      <c r="D257" s="64">
        <f>INDEX(AllTime1[All-time score], MATCH(LARGE(AllTime1[Helper2], ROW(Structures!$G252)), AllTime1[Helper2], 0))</f>
        <v>1</v>
      </c>
      <c r="E257" s="64">
        <f>COUNTIF(_xlfn.XLOOKUP(Table1215[[#This Row],[Name]],Table16[Name],Table16[[September 30, 2025]:[Column18]],,0,1),"&gt;=0")</f>
        <v>1</v>
      </c>
      <c r="F257" s="109">
        <f>_xlfn.XLOOKUP(Table1215[[#This Row],[Name]],Table1624[Name],Table1624[Totals],,0,1)</f>
        <v>0.79300000000000004</v>
      </c>
      <c r="G257" s="65">
        <f>IFERROR(Table1215[[#This Row],[Points]]/Table1215[[#This Row],[GP]],"N/A")</f>
        <v>1</v>
      </c>
      <c r="H257" s="64">
        <f>COUNTIF(_xlfn.XLOOKUP(Table1215[[#This Row],[Name]],Table16[Name],Table16[[September 30, 2025]:[Column18]],,0,1),"&gt;=8")</f>
        <v>0</v>
      </c>
      <c r="I257" s="110" t="str">
        <f>IFERROR(AVERAGEIF(_xlfn.XLOOKUP(Table1215[[#This Row],[Name]],Table16[Name],Table16[[September 30, 2025]:[Column18]],,0,1),"&gt;=8"),"N/A")</f>
        <v>N/A</v>
      </c>
      <c r="J257" s="66">
        <f>IFERROR(Table1215[[#This Row],[FTA]]/Table1215[[#This Row],[GP]],"N/A")</f>
        <v>0</v>
      </c>
      <c r="K257" s="67">
        <f>COUNTIF(_xlfn.XLOOKUP(Table1215[[#This Row],[Name]],Table16[Name],Table16[[September 30, 2025]:[Column18]],,0,1),"&gt;=15")</f>
        <v>0</v>
      </c>
    </row>
    <row r="258" spans="1:11">
      <c r="A258" s="70"/>
      <c r="B258" s="82">
        <f>INDEX(AllTime1[All-time rank], MATCH(SMALL(AllTime1[Helper], ROW(Structures!$G253)), AllTime1[Helper], 0))</f>
        <v>248</v>
      </c>
      <c r="C258" s="64" t="str">
        <f>TEXT(INDEX(AllTime1[Name], MATCH(SMALL(AllTime1[Helper], ROW(Structures!$G253)), AllTime1[Helper], 0)),"@")</f>
        <v>Alexander Li</v>
      </c>
      <c r="D258" s="64">
        <f>INDEX(AllTime1[All-time score], MATCH(LARGE(AllTime1[Helper2], ROW(Structures!$G253)), AllTime1[Helper2], 0))</f>
        <v>1</v>
      </c>
      <c r="E258" s="64">
        <f>COUNTIF(_xlfn.XLOOKUP(Table1215[[#This Row],[Name]],Table16[Name],Table16[[September 30, 2025]:[Column18]],,0,1),"&gt;=0")</f>
        <v>1</v>
      </c>
      <c r="F258" s="109">
        <f>_xlfn.XLOOKUP(Table1215[[#This Row],[Name]],Table1624[Name],Table1624[Totals],,0,1)</f>
        <v>0.83499999999999996</v>
      </c>
      <c r="G258" s="65">
        <f>IFERROR(Table1215[[#This Row],[Points]]/Table1215[[#This Row],[GP]],"N/A")</f>
        <v>1</v>
      </c>
      <c r="H258" s="64">
        <f>COUNTIF(_xlfn.XLOOKUP(Table1215[[#This Row],[Name]],Table16[Name],Table16[[September 30, 2025]:[Column18]],,0,1),"&gt;=8")</f>
        <v>0</v>
      </c>
      <c r="I258" s="110" t="str">
        <f>IFERROR(AVERAGEIF(_xlfn.XLOOKUP(Table1215[[#This Row],[Name]],Table16[Name],Table16[[September 30, 2025]:[Column18]],,0,1),"&gt;=8"),"N/A")</f>
        <v>N/A</v>
      </c>
      <c r="J258" s="66">
        <f>IFERROR(Table1215[[#This Row],[FTA]]/Table1215[[#This Row],[GP]],"N/A")</f>
        <v>0</v>
      </c>
      <c r="K258" s="67">
        <f>COUNTIF(_xlfn.XLOOKUP(Table1215[[#This Row],[Name]],Table16[Name],Table16[[September 30, 2025]:[Column18]],,0,1),"&gt;=15")</f>
        <v>0</v>
      </c>
    </row>
    <row r="259" spans="1:11">
      <c r="A259" s="70"/>
      <c r="B259" s="82">
        <f>INDEX(AllTime1[All-time rank], MATCH(SMALL(AllTime1[Helper], ROW(Structures!$G254)), AllTime1[Helper], 0))</f>
        <v>248</v>
      </c>
      <c r="C259" s="64" t="str">
        <f>TEXT(INDEX(AllTime1[Name], MATCH(SMALL(AllTime1[Helper], ROW(Structures!$G254)), AllTime1[Helper], 0)),"@")</f>
        <v>Ali Issa</v>
      </c>
      <c r="D259" s="64">
        <f>INDEX(AllTime1[All-time score], MATCH(LARGE(AllTime1[Helper2], ROW(Structures!$G254)), AllTime1[Helper2], 0))</f>
        <v>1</v>
      </c>
      <c r="E259" s="64">
        <f>COUNTIF(_xlfn.XLOOKUP(Table1215[[#This Row],[Name]],Table16[Name],Table16[[September 30, 2025]:[Column18]],,0,1),"&gt;=0")</f>
        <v>1</v>
      </c>
      <c r="F259" s="109">
        <f>_xlfn.XLOOKUP(Table1215[[#This Row],[Name]],Table1624[Name],Table1624[Totals],,0,1)</f>
        <v>0.78800000000000003</v>
      </c>
      <c r="G259" s="65">
        <f>IFERROR(Table1215[[#This Row],[Points]]/Table1215[[#This Row],[GP]],"N/A")</f>
        <v>1</v>
      </c>
      <c r="H259" s="64">
        <f>COUNTIF(_xlfn.XLOOKUP(Table1215[[#This Row],[Name]],Table16[Name],Table16[[September 30, 2025]:[Column18]],,0,1),"&gt;=8")</f>
        <v>0</v>
      </c>
      <c r="I259" s="110" t="str">
        <f>IFERROR(AVERAGEIF(_xlfn.XLOOKUP(Table1215[[#This Row],[Name]],Table16[Name],Table16[[September 30, 2025]:[Column18]],,0,1),"&gt;=8"),"N/A")</f>
        <v>N/A</v>
      </c>
      <c r="J259" s="66">
        <f>IFERROR(Table1215[[#This Row],[FTA]]/Table1215[[#This Row],[GP]],"N/A")</f>
        <v>0</v>
      </c>
      <c r="K259" s="67">
        <f>COUNTIF(_xlfn.XLOOKUP(Table1215[[#This Row],[Name]],Table16[Name],Table16[[September 30, 2025]:[Column18]],,0,1),"&gt;=15")</f>
        <v>0</v>
      </c>
    </row>
    <row r="260" spans="1:11">
      <c r="A260" s="70"/>
      <c r="B260" s="82">
        <f>INDEX(AllTime1[All-time rank], MATCH(SMALL(AllTime1[Helper], ROW(Structures!$G255)), AllTime1[Helper], 0))</f>
        <v>248</v>
      </c>
      <c r="C260" s="64" t="str">
        <f>TEXT(INDEX(AllTime1[Name], MATCH(SMALL(AllTime1[Helper], ROW(Structures!$G255)), AllTime1[Helper], 0)),"@")</f>
        <v>Anas Ahmet</v>
      </c>
      <c r="D260" s="64">
        <f>INDEX(AllTime1[All-time score], MATCH(LARGE(AllTime1[Helper2], ROW(Structures!$G255)), AllTime1[Helper2], 0))</f>
        <v>1</v>
      </c>
      <c r="E260" s="64">
        <f>COUNTIF(_xlfn.XLOOKUP(Table1215[[#This Row],[Name]],Table16[Name],Table16[[September 30, 2025]:[Column18]],,0,1),"&gt;=0")</f>
        <v>1</v>
      </c>
      <c r="F260" s="109">
        <f>_xlfn.XLOOKUP(Table1215[[#This Row],[Name]],Table1624[Name],Table1624[Totals],,0,1)</f>
        <v>0.71199999999999997</v>
      </c>
      <c r="G260" s="65">
        <f>IFERROR(Table1215[[#This Row],[Points]]/Table1215[[#This Row],[GP]],"N/A")</f>
        <v>1</v>
      </c>
      <c r="H260" s="64">
        <f>COUNTIF(_xlfn.XLOOKUP(Table1215[[#This Row],[Name]],Table16[Name],Table16[[September 30, 2025]:[Column18]],,0,1),"&gt;=8")</f>
        <v>0</v>
      </c>
      <c r="I260" s="110" t="str">
        <f>IFERROR(AVERAGEIF(_xlfn.XLOOKUP(Table1215[[#This Row],[Name]],Table16[Name],Table16[[September 30, 2025]:[Column18]],,0,1),"&gt;=8"),"N/A")</f>
        <v>N/A</v>
      </c>
      <c r="J260" s="66">
        <f>IFERROR(Table1215[[#This Row],[FTA]]/Table1215[[#This Row],[GP]],"N/A")</f>
        <v>0</v>
      </c>
      <c r="K260" s="67">
        <f>COUNTIF(_xlfn.XLOOKUP(Table1215[[#This Row],[Name]],Table16[Name],Table16[[September 30, 2025]:[Column18]],,0,1),"&gt;=15")</f>
        <v>0</v>
      </c>
    </row>
    <row r="261" spans="1:11">
      <c r="A261" s="70"/>
      <c r="B261" s="82">
        <f>INDEX(AllTime1[All-time rank], MATCH(SMALL(AllTime1[Helper], ROW(Structures!$G256)), AllTime1[Helper], 0))</f>
        <v>248</v>
      </c>
      <c r="C261" s="64" t="str">
        <f>TEXT(INDEX(AllTime1[Name], MATCH(SMALL(AllTime1[Helper], ROW(Structures!$G256)), AllTime1[Helper], 0)),"@")</f>
        <v>Anil Maharaj</v>
      </c>
      <c r="D261" s="64">
        <f>INDEX(AllTime1[All-time score], MATCH(LARGE(AllTime1[Helper2], ROW(Structures!$G256)), AllTime1[Helper2], 0))</f>
        <v>1</v>
      </c>
      <c r="E261" s="64">
        <f>COUNTIF(_xlfn.XLOOKUP(Table1215[[#This Row],[Name]],Table16[Name],Table16[[September 30, 2025]:[Column18]],,0,1),"&gt;=0")</f>
        <v>1</v>
      </c>
      <c r="F261" s="109">
        <f>_xlfn.XLOOKUP(Table1215[[#This Row],[Name]],Table1624[Name],Table1624[Totals],,0,1)</f>
        <v>0.67600000000000005</v>
      </c>
      <c r="G261" s="65">
        <f>IFERROR(Table1215[[#This Row],[Points]]/Table1215[[#This Row],[GP]],"N/A")</f>
        <v>1</v>
      </c>
      <c r="H261" s="64">
        <f>COUNTIF(_xlfn.XLOOKUP(Table1215[[#This Row],[Name]],Table16[Name],Table16[[September 30, 2025]:[Column18]],,0,1),"&gt;=8")</f>
        <v>0</v>
      </c>
      <c r="I261" s="110" t="str">
        <f>IFERROR(AVERAGEIF(_xlfn.XLOOKUP(Table1215[[#This Row],[Name]],Table16[Name],Table16[[September 30, 2025]:[Column18]],,0,1),"&gt;=8"),"N/A")</f>
        <v>N/A</v>
      </c>
      <c r="J261" s="66">
        <f>IFERROR(Table1215[[#This Row],[FTA]]/Table1215[[#This Row],[GP]],"N/A")</f>
        <v>0</v>
      </c>
      <c r="K261" s="67">
        <f>COUNTIF(_xlfn.XLOOKUP(Table1215[[#This Row],[Name]],Table16[Name],Table16[[September 30, 2025]:[Column18]],,0,1),"&gt;=15")</f>
        <v>0</v>
      </c>
    </row>
    <row r="262" spans="1:11">
      <c r="A262" s="70"/>
      <c r="B262" s="82">
        <f>INDEX(AllTime1[All-time rank], MATCH(SMALL(AllTime1[Helper], ROW(Structures!$G257)), AllTime1[Helper], 0))</f>
        <v>248</v>
      </c>
      <c r="C262" s="64" t="str">
        <f>TEXT(INDEX(AllTime1[Name], MATCH(SMALL(AllTime1[Helper], ROW(Structures!$G257)), AllTime1[Helper], 0)),"@")</f>
        <v>Arad Sahebjamei</v>
      </c>
      <c r="D262" s="64">
        <f>INDEX(AllTime1[All-time score], MATCH(LARGE(AllTime1[Helper2], ROW(Structures!$G257)), AllTime1[Helper2], 0))</f>
        <v>1</v>
      </c>
      <c r="E262" s="64">
        <f>COUNTIF(_xlfn.XLOOKUP(Table1215[[#This Row],[Name]],Table16[Name],Table16[[September 30, 2025]:[Column18]],,0,1),"&gt;=0")</f>
        <v>1</v>
      </c>
      <c r="F262" s="109">
        <f>_xlfn.XLOOKUP(Table1215[[#This Row],[Name]],Table1624[Name],Table1624[Totals],,0,1)</f>
        <v>0.54500000000000004</v>
      </c>
      <c r="G262" s="65">
        <f>IFERROR(Table1215[[#This Row],[Points]]/Table1215[[#This Row],[GP]],"N/A")</f>
        <v>1</v>
      </c>
      <c r="H262" s="64">
        <f>COUNTIF(_xlfn.XLOOKUP(Table1215[[#This Row],[Name]],Table16[Name],Table16[[September 30, 2025]:[Column18]],,0,1),"&gt;=8")</f>
        <v>0</v>
      </c>
      <c r="I262" s="110" t="str">
        <f>IFERROR(AVERAGEIF(_xlfn.XLOOKUP(Table1215[[#This Row],[Name]],Table16[Name],Table16[[September 30, 2025]:[Column18]],,0,1),"&gt;=8"),"N/A")</f>
        <v>N/A</v>
      </c>
      <c r="J262" s="66">
        <f>IFERROR(Table1215[[#This Row],[FTA]]/Table1215[[#This Row],[GP]],"N/A")</f>
        <v>0</v>
      </c>
      <c r="K262" s="67">
        <f>COUNTIF(_xlfn.XLOOKUP(Table1215[[#This Row],[Name]],Table16[Name],Table16[[September 30, 2025]:[Column18]],,0,1),"&gt;=15")</f>
        <v>0</v>
      </c>
    </row>
    <row r="263" spans="1:11">
      <c r="A263" s="70"/>
      <c r="B263" s="82">
        <f>INDEX(AllTime1[All-time rank], MATCH(SMALL(AllTime1[Helper], ROW(Structures!$G258)), AllTime1[Helper], 0))</f>
        <v>248</v>
      </c>
      <c r="C263" s="64" t="str">
        <f>TEXT(INDEX(AllTime1[Name], MATCH(SMALL(AllTime1[Helper], ROW(Structures!$G258)), AllTime1[Helper], 0)),"@")</f>
        <v>Arthur Schneider</v>
      </c>
      <c r="D263" s="64">
        <f>INDEX(AllTime1[All-time score], MATCH(LARGE(AllTime1[Helper2], ROW(Structures!$G258)), AllTime1[Helper2], 0))</f>
        <v>1</v>
      </c>
      <c r="E263" s="64">
        <f>COUNTIF(_xlfn.XLOOKUP(Table1215[[#This Row],[Name]],Table16[Name],Table16[[September 30, 2025]:[Column18]],,0,1),"&gt;=0")</f>
        <v>1</v>
      </c>
      <c r="F263" s="109">
        <f>_xlfn.XLOOKUP(Table1215[[#This Row],[Name]],Table1624[Name],Table1624[Totals],,0,1)</f>
        <v>0.94499999999999995</v>
      </c>
      <c r="G263" s="65">
        <f>IFERROR(Table1215[[#This Row],[Points]]/Table1215[[#This Row],[GP]],"N/A")</f>
        <v>1</v>
      </c>
      <c r="H263" s="64">
        <f>COUNTIF(_xlfn.XLOOKUP(Table1215[[#This Row],[Name]],Table16[Name],Table16[[September 30, 2025]:[Column18]],,0,1),"&gt;=8")</f>
        <v>0</v>
      </c>
      <c r="I263" s="110" t="str">
        <f>IFERROR(AVERAGEIF(_xlfn.XLOOKUP(Table1215[[#This Row],[Name]],Table16[Name],Table16[[September 30, 2025]:[Column18]],,0,1),"&gt;=8"),"N/A")</f>
        <v>N/A</v>
      </c>
      <c r="J263" s="66">
        <f>IFERROR(Table1215[[#This Row],[FTA]]/Table1215[[#This Row],[GP]],"N/A")</f>
        <v>0</v>
      </c>
      <c r="K263" s="67">
        <f>COUNTIF(_xlfn.XLOOKUP(Table1215[[#This Row],[Name]],Table16[Name],Table16[[September 30, 2025]:[Column18]],,0,1),"&gt;=15")</f>
        <v>0</v>
      </c>
    </row>
    <row r="264" spans="1:11">
      <c r="A264" s="70"/>
      <c r="B264" s="82">
        <f>INDEX(AllTime1[All-time rank], MATCH(SMALL(AllTime1[Helper], ROW(Structures!$G259)), AllTime1[Helper], 0))</f>
        <v>248</v>
      </c>
      <c r="C264" s="64" t="str">
        <f>TEXT(INDEX(AllTime1[Name], MATCH(SMALL(AllTime1[Helper], ROW(Structures!$G259)), AllTime1[Helper], 0)),"@")</f>
        <v>Athan Kang</v>
      </c>
      <c r="D264" s="64">
        <f>INDEX(AllTime1[All-time score], MATCH(LARGE(AllTime1[Helper2], ROW(Structures!$G259)), AllTime1[Helper2], 0))</f>
        <v>1</v>
      </c>
      <c r="E264" s="64">
        <f>COUNTIF(_xlfn.XLOOKUP(Table1215[[#This Row],[Name]],Table16[Name],Table16[[September 30, 2025]:[Column18]],,0,1),"&gt;=0")</f>
        <v>1</v>
      </c>
      <c r="F264" s="109">
        <f>_xlfn.XLOOKUP(Table1215[[#This Row],[Name]],Table1624[Name],Table1624[Totals],,0,1)</f>
        <v>0.63600000000000001</v>
      </c>
      <c r="G264" s="65">
        <f>IFERROR(Table1215[[#This Row],[Points]]/Table1215[[#This Row],[GP]],"N/A")</f>
        <v>1</v>
      </c>
      <c r="H264" s="64">
        <f>COUNTIF(_xlfn.XLOOKUP(Table1215[[#This Row],[Name]],Table16[Name],Table16[[September 30, 2025]:[Column18]],,0,1),"&gt;=8")</f>
        <v>0</v>
      </c>
      <c r="I264" s="110" t="str">
        <f>IFERROR(AVERAGEIF(_xlfn.XLOOKUP(Table1215[[#This Row],[Name]],Table16[Name],Table16[[September 30, 2025]:[Column18]],,0,1),"&gt;=8"),"N/A")</f>
        <v>N/A</v>
      </c>
      <c r="J264" s="66">
        <f>IFERROR(Table1215[[#This Row],[FTA]]/Table1215[[#This Row],[GP]],"N/A")</f>
        <v>0</v>
      </c>
      <c r="K264" s="67">
        <f>COUNTIF(_xlfn.XLOOKUP(Table1215[[#This Row],[Name]],Table16[Name],Table16[[September 30, 2025]:[Column18]],,0,1),"&gt;=15")</f>
        <v>0</v>
      </c>
    </row>
    <row r="265" spans="1:11">
      <c r="A265" s="70"/>
      <c r="B265" s="82">
        <f>INDEX(AllTime1[All-time rank], MATCH(SMALL(AllTime1[Helper], ROW(Structures!$G260)), AllTime1[Helper], 0))</f>
        <v>248</v>
      </c>
      <c r="C265" s="64" t="str">
        <f>TEXT(INDEX(AllTime1[Name], MATCH(SMALL(AllTime1[Helper], ROW(Structures!$G260)), AllTime1[Helper], 0)),"@")</f>
        <v>Balthazar Plat</v>
      </c>
      <c r="D265" s="64">
        <f>INDEX(AllTime1[All-time score], MATCH(LARGE(AllTime1[Helper2], ROW(Structures!$G260)), AllTime1[Helper2], 0))</f>
        <v>1</v>
      </c>
      <c r="E265" s="64">
        <f>COUNTIF(_xlfn.XLOOKUP(Table1215[[#This Row],[Name]],Table16[Name],Table16[[September 30, 2025]:[Column18]],,0,1),"&gt;=0")</f>
        <v>1</v>
      </c>
      <c r="F265" s="109">
        <f>_xlfn.XLOOKUP(Table1215[[#This Row],[Name]],Table1624[Name],Table1624[Totals],,0,1)</f>
        <v>0.81299999999999994</v>
      </c>
      <c r="G265" s="65">
        <f>IFERROR(Table1215[[#This Row],[Points]]/Table1215[[#This Row],[GP]],"N/A")</f>
        <v>1</v>
      </c>
      <c r="H265" s="64">
        <f>COUNTIF(_xlfn.XLOOKUP(Table1215[[#This Row],[Name]],Table16[Name],Table16[[September 30, 2025]:[Column18]],,0,1),"&gt;=8")</f>
        <v>0</v>
      </c>
      <c r="I265" s="110" t="str">
        <f>IFERROR(AVERAGEIF(_xlfn.XLOOKUP(Table1215[[#This Row],[Name]],Table16[Name],Table16[[September 30, 2025]:[Column18]],,0,1),"&gt;=8"),"N/A")</f>
        <v>N/A</v>
      </c>
      <c r="J265" s="66">
        <f>IFERROR(Table1215[[#This Row],[FTA]]/Table1215[[#This Row],[GP]],"N/A")</f>
        <v>0</v>
      </c>
      <c r="K265" s="67">
        <f>COUNTIF(_xlfn.XLOOKUP(Table1215[[#This Row],[Name]],Table16[Name],Table16[[September 30, 2025]:[Column18]],,0,1),"&gt;=15")</f>
        <v>0</v>
      </c>
    </row>
    <row r="266" spans="1:11">
      <c r="A266" s="70"/>
      <c r="B266" s="82">
        <f>INDEX(AllTime1[All-time rank], MATCH(SMALL(AllTime1[Helper], ROW(Structures!$G261)), AllTime1[Helper], 0))</f>
        <v>248</v>
      </c>
      <c r="C266" s="64" t="str">
        <f>TEXT(INDEX(AllTime1[Name], MATCH(SMALL(AllTime1[Helper], ROW(Structures!$G261)), AllTime1[Helper], 0)),"@")</f>
        <v>Barron Diao</v>
      </c>
      <c r="D266" s="64">
        <f>INDEX(AllTime1[All-time score], MATCH(LARGE(AllTime1[Helper2], ROW(Structures!$G261)), AllTime1[Helper2], 0))</f>
        <v>1</v>
      </c>
      <c r="E266" s="64">
        <f>COUNTIF(_xlfn.XLOOKUP(Table1215[[#This Row],[Name]],Table16[Name],Table16[[September 30, 2025]:[Column18]],,0,1),"&gt;=0")</f>
        <v>1</v>
      </c>
      <c r="F266" s="109">
        <f>_xlfn.XLOOKUP(Table1215[[#This Row],[Name]],Table1624[Name],Table1624[Totals],,0,1)</f>
        <v>0.97899999999999998</v>
      </c>
      <c r="G266" s="65">
        <f>IFERROR(Table1215[[#This Row],[Points]]/Table1215[[#This Row],[GP]],"N/A")</f>
        <v>1</v>
      </c>
      <c r="H266" s="64">
        <f>COUNTIF(_xlfn.XLOOKUP(Table1215[[#This Row],[Name]],Table16[Name],Table16[[September 30, 2025]:[Column18]],,0,1),"&gt;=8")</f>
        <v>0</v>
      </c>
      <c r="I266" s="110" t="str">
        <f>IFERROR(AVERAGEIF(_xlfn.XLOOKUP(Table1215[[#This Row],[Name]],Table16[Name],Table16[[September 30, 2025]:[Column18]],,0,1),"&gt;=8"),"N/A")</f>
        <v>N/A</v>
      </c>
      <c r="J266" s="66">
        <f>IFERROR(Table1215[[#This Row],[FTA]]/Table1215[[#This Row],[GP]],"N/A")</f>
        <v>0</v>
      </c>
      <c r="K266" s="67">
        <f>COUNTIF(_xlfn.XLOOKUP(Table1215[[#This Row],[Name]],Table16[Name],Table16[[September 30, 2025]:[Column18]],,0,1),"&gt;=15")</f>
        <v>0</v>
      </c>
    </row>
    <row r="267" spans="1:11">
      <c r="A267" s="70"/>
      <c r="B267" s="82">
        <f>INDEX(AllTime1[All-time rank], MATCH(SMALL(AllTime1[Helper], ROW(Structures!$G262)), AllTime1[Helper], 0))</f>
        <v>248</v>
      </c>
      <c r="C267" s="64" t="str">
        <f>TEXT(INDEX(AllTime1[Name], MATCH(SMALL(AllTime1[Helper], ROW(Structures!$G262)), AllTime1[Helper], 0)),"@")</f>
        <v>Benjamin Gorospe</v>
      </c>
      <c r="D267" s="64">
        <f>INDEX(AllTime1[All-time score], MATCH(LARGE(AllTime1[Helper2], ROW(Structures!$G262)), AllTime1[Helper2], 0))</f>
        <v>1</v>
      </c>
      <c r="E267" s="64">
        <f>COUNTIF(_xlfn.XLOOKUP(Table1215[[#This Row],[Name]],Table16[Name],Table16[[September 30, 2025]:[Column18]],,0,1),"&gt;=0")</f>
        <v>1</v>
      </c>
      <c r="F267" s="109">
        <f>_xlfn.XLOOKUP(Table1215[[#This Row],[Name]],Table1624[Name],Table1624[Totals],,0,1)</f>
        <v>0.90800000000000003</v>
      </c>
      <c r="G267" s="65">
        <f>IFERROR(Table1215[[#This Row],[Points]]/Table1215[[#This Row],[GP]],"N/A")</f>
        <v>1</v>
      </c>
      <c r="H267" s="64">
        <f>COUNTIF(_xlfn.XLOOKUP(Table1215[[#This Row],[Name]],Table16[Name],Table16[[September 30, 2025]:[Column18]],,0,1),"&gt;=8")</f>
        <v>0</v>
      </c>
      <c r="I267" s="110" t="str">
        <f>IFERROR(AVERAGEIF(_xlfn.XLOOKUP(Table1215[[#This Row],[Name]],Table16[Name],Table16[[September 30, 2025]:[Column18]],,0,1),"&gt;=8"),"N/A")</f>
        <v>N/A</v>
      </c>
      <c r="J267" s="66">
        <f>IFERROR(Table1215[[#This Row],[FTA]]/Table1215[[#This Row],[GP]],"N/A")</f>
        <v>0</v>
      </c>
      <c r="K267" s="67">
        <f>COUNTIF(_xlfn.XLOOKUP(Table1215[[#This Row],[Name]],Table16[Name],Table16[[September 30, 2025]:[Column18]],,0,1),"&gt;=15")</f>
        <v>0</v>
      </c>
    </row>
    <row r="268" spans="1:11">
      <c r="A268" s="70"/>
      <c r="B268" s="82">
        <f>INDEX(AllTime1[All-time rank], MATCH(SMALL(AllTime1[Helper], ROW(Structures!$G263)), AllTime1[Helper], 0))</f>
        <v>248</v>
      </c>
      <c r="C268" s="64" t="str">
        <f>TEXT(INDEX(AllTime1[Name], MATCH(SMALL(AllTime1[Helper], ROW(Structures!$G263)), AllTime1[Helper], 0)),"@")</f>
        <v>Benjamin Namayandeh</v>
      </c>
      <c r="D268" s="64">
        <f>INDEX(AllTime1[All-time score], MATCH(LARGE(AllTime1[Helper2], ROW(Structures!$G263)), AllTime1[Helper2], 0))</f>
        <v>1</v>
      </c>
      <c r="E268" s="64">
        <f>COUNTIF(_xlfn.XLOOKUP(Table1215[[#This Row],[Name]],Table16[Name],Table16[[September 30, 2025]:[Column18]],,0,1),"&gt;=0")</f>
        <v>1</v>
      </c>
      <c r="F268" s="109">
        <f>_xlfn.XLOOKUP(Table1215[[#This Row],[Name]],Table1624[Name],Table1624[Totals],,0,1)</f>
        <v>0.92</v>
      </c>
      <c r="G268" s="65">
        <f>IFERROR(Table1215[[#This Row],[Points]]/Table1215[[#This Row],[GP]],"N/A")</f>
        <v>1</v>
      </c>
      <c r="H268" s="64">
        <f>COUNTIF(_xlfn.XLOOKUP(Table1215[[#This Row],[Name]],Table16[Name],Table16[[September 30, 2025]:[Column18]],,0,1),"&gt;=8")</f>
        <v>0</v>
      </c>
      <c r="I268" s="110" t="str">
        <f>IFERROR(AVERAGEIF(_xlfn.XLOOKUP(Table1215[[#This Row],[Name]],Table16[Name],Table16[[September 30, 2025]:[Column18]],,0,1),"&gt;=8"),"N/A")</f>
        <v>N/A</v>
      </c>
      <c r="J268" s="66">
        <f>IFERROR(Table1215[[#This Row],[FTA]]/Table1215[[#This Row],[GP]],"N/A")</f>
        <v>0</v>
      </c>
      <c r="K268" s="67">
        <f>COUNTIF(_xlfn.XLOOKUP(Table1215[[#This Row],[Name]],Table16[Name],Table16[[September 30, 2025]:[Column18]],,0,1),"&gt;=15")</f>
        <v>0</v>
      </c>
    </row>
    <row r="269" spans="1:11">
      <c r="A269" s="70"/>
      <c r="B269" s="82">
        <f>INDEX(AllTime1[All-time rank], MATCH(SMALL(AllTime1[Helper], ROW(Structures!$G264)), AllTime1[Helper], 0))</f>
        <v>248</v>
      </c>
      <c r="C269" s="64" t="str">
        <f>TEXT(INDEX(AllTime1[Name], MATCH(SMALL(AllTime1[Helper], ROW(Structures!$G264)), AllTime1[Helper], 0)),"@")</f>
        <v>Bilal Hachem</v>
      </c>
      <c r="D269" s="64">
        <f>INDEX(AllTime1[All-time score], MATCH(LARGE(AllTime1[Helper2], ROW(Structures!$G264)), AllTime1[Helper2], 0))</f>
        <v>1</v>
      </c>
      <c r="E269" s="64">
        <f>COUNTIF(_xlfn.XLOOKUP(Table1215[[#This Row],[Name]],Table16[Name],Table16[[September 30, 2025]:[Column18]],,0,1),"&gt;=0")</f>
        <v>1</v>
      </c>
      <c r="F269" s="109">
        <f>_xlfn.XLOOKUP(Table1215[[#This Row],[Name]],Table1624[Name],Table1624[Totals],,0,1)</f>
        <v>0.51300000000000001</v>
      </c>
      <c r="G269" s="65">
        <f>IFERROR(Table1215[[#This Row],[Points]]/Table1215[[#This Row],[GP]],"N/A")</f>
        <v>1</v>
      </c>
      <c r="H269" s="64">
        <f>COUNTIF(_xlfn.XLOOKUP(Table1215[[#This Row],[Name]],Table16[Name],Table16[[September 30, 2025]:[Column18]],,0,1),"&gt;=8")</f>
        <v>0</v>
      </c>
      <c r="I269" s="110" t="str">
        <f>IFERROR(AVERAGEIF(_xlfn.XLOOKUP(Table1215[[#This Row],[Name]],Table16[Name],Table16[[September 30, 2025]:[Column18]],,0,1),"&gt;=8"),"N/A")</f>
        <v>N/A</v>
      </c>
      <c r="J269" s="66">
        <f>IFERROR(Table1215[[#This Row],[FTA]]/Table1215[[#This Row],[GP]],"N/A")</f>
        <v>0</v>
      </c>
      <c r="K269" s="67">
        <f>COUNTIF(_xlfn.XLOOKUP(Table1215[[#This Row],[Name]],Table16[Name],Table16[[September 30, 2025]:[Column18]],,0,1),"&gt;=15")</f>
        <v>0</v>
      </c>
    </row>
    <row r="270" spans="1:11">
      <c r="A270" s="70"/>
      <c r="B270" s="82">
        <f>INDEX(AllTime1[All-time rank], MATCH(SMALL(AllTime1[Helper], ROW(Structures!$G265)), AllTime1[Helper], 0))</f>
        <v>248</v>
      </c>
      <c r="C270" s="64" t="str">
        <f>TEXT(INDEX(AllTime1[Name], MATCH(SMALL(AllTime1[Helper], ROW(Structures!$G265)), AllTime1[Helper], 0)),"@")</f>
        <v>Brayden Nykamp</v>
      </c>
      <c r="D270" s="64">
        <f>INDEX(AllTime1[All-time score], MATCH(LARGE(AllTime1[Helper2], ROW(Structures!$G265)), AllTime1[Helper2], 0))</f>
        <v>1</v>
      </c>
      <c r="E270" s="64">
        <f>COUNTIF(_xlfn.XLOOKUP(Table1215[[#This Row],[Name]],Table16[Name],Table16[[September 30, 2025]:[Column18]],,0,1),"&gt;=0")</f>
        <v>1</v>
      </c>
      <c r="F270" s="109">
        <f>_xlfn.XLOOKUP(Table1215[[#This Row],[Name]],Table1624[Name],Table1624[Totals],,0,1)</f>
        <v>0.8</v>
      </c>
      <c r="G270" s="65">
        <f>IFERROR(Table1215[[#This Row],[Points]]/Table1215[[#This Row],[GP]],"N/A")</f>
        <v>1</v>
      </c>
      <c r="H270" s="64">
        <f>COUNTIF(_xlfn.XLOOKUP(Table1215[[#This Row],[Name]],Table16[Name],Table16[[September 30, 2025]:[Column18]],,0,1),"&gt;=8")</f>
        <v>0</v>
      </c>
      <c r="I270" s="110" t="str">
        <f>IFERROR(AVERAGEIF(_xlfn.XLOOKUP(Table1215[[#This Row],[Name]],Table16[Name],Table16[[September 30, 2025]:[Column18]],,0,1),"&gt;=8"),"N/A")</f>
        <v>N/A</v>
      </c>
      <c r="J270" s="66">
        <f>IFERROR(Table1215[[#This Row],[FTA]]/Table1215[[#This Row],[GP]],"N/A")</f>
        <v>0</v>
      </c>
      <c r="K270" s="67">
        <f>COUNTIF(_xlfn.XLOOKUP(Table1215[[#This Row],[Name]],Table16[Name],Table16[[September 30, 2025]:[Column18]],,0,1),"&gt;=15")</f>
        <v>0</v>
      </c>
    </row>
    <row r="271" spans="1:11">
      <c r="A271" s="70"/>
      <c r="B271" s="82">
        <f>INDEX(AllTime1[All-time rank], MATCH(SMALL(AllTime1[Helper], ROW(Structures!$G266)), AllTime1[Helper], 0))</f>
        <v>248</v>
      </c>
      <c r="C271" s="64" t="str">
        <f>TEXT(INDEX(AllTime1[Name], MATCH(SMALL(AllTime1[Helper], ROW(Structures!$G266)), AllTime1[Helper], 0)),"@")</f>
        <v>Bryce Ector</v>
      </c>
      <c r="D271" s="64">
        <f>INDEX(AllTime1[All-time score], MATCH(LARGE(AllTime1[Helper2], ROW(Structures!$G266)), AllTime1[Helper2], 0))</f>
        <v>1</v>
      </c>
      <c r="E271" s="64">
        <f>COUNTIF(_xlfn.XLOOKUP(Table1215[[#This Row],[Name]],Table16[Name],Table16[[September 30, 2025]:[Column18]],,0,1),"&gt;=0")</f>
        <v>1</v>
      </c>
      <c r="F271" s="109">
        <f>_xlfn.XLOOKUP(Table1215[[#This Row],[Name]],Table1624[Name],Table1624[Totals],,0,1)</f>
        <v>0.90800000000000003</v>
      </c>
      <c r="G271" s="65">
        <f>IFERROR(Table1215[[#This Row],[Points]]/Table1215[[#This Row],[GP]],"N/A")</f>
        <v>1</v>
      </c>
      <c r="H271" s="64">
        <f>COUNTIF(_xlfn.XLOOKUP(Table1215[[#This Row],[Name]],Table16[Name],Table16[[September 30, 2025]:[Column18]],,0,1),"&gt;=8")</f>
        <v>0</v>
      </c>
      <c r="I271" s="110" t="str">
        <f>IFERROR(AVERAGEIF(_xlfn.XLOOKUP(Table1215[[#This Row],[Name]],Table16[Name],Table16[[September 30, 2025]:[Column18]],,0,1),"&gt;=8"),"N/A")</f>
        <v>N/A</v>
      </c>
      <c r="J271" s="66">
        <f>IFERROR(Table1215[[#This Row],[FTA]]/Table1215[[#This Row],[GP]],"N/A")</f>
        <v>0</v>
      </c>
      <c r="K271" s="67">
        <f>COUNTIF(_xlfn.XLOOKUP(Table1215[[#This Row],[Name]],Table16[Name],Table16[[September 30, 2025]:[Column18]],,0,1),"&gt;=15")</f>
        <v>0</v>
      </c>
    </row>
    <row r="272" spans="1:11">
      <c r="A272" s="70"/>
      <c r="B272" s="82">
        <f>INDEX(AllTime1[All-time rank], MATCH(SMALL(AllTime1[Helper], ROW(Structures!$G267)), AllTime1[Helper], 0))</f>
        <v>248</v>
      </c>
      <c r="C272" s="64" t="str">
        <f>TEXT(INDEX(AllTime1[Name], MATCH(SMALL(AllTime1[Helper], ROW(Structures!$G267)), AllTime1[Helper], 0)),"@")</f>
        <v>Bupa Zhang</v>
      </c>
      <c r="D272" s="64">
        <f>INDEX(AllTime1[All-time score], MATCH(LARGE(AllTime1[Helper2], ROW(Structures!$G267)), AllTime1[Helper2], 0))</f>
        <v>1</v>
      </c>
      <c r="E272" s="64">
        <f>COUNTIF(_xlfn.XLOOKUP(Table1215[[#This Row],[Name]],Table16[Name],Table16[[September 30, 2025]:[Column18]],,0,1),"&gt;=0")</f>
        <v>1</v>
      </c>
      <c r="F272" s="109">
        <f>_xlfn.XLOOKUP(Table1215[[#This Row],[Name]],Table1624[Name],Table1624[Totals],,0,1)</f>
        <v>0.57099999999999995</v>
      </c>
      <c r="G272" s="65">
        <f>IFERROR(Table1215[[#This Row],[Points]]/Table1215[[#This Row],[GP]],"N/A")</f>
        <v>1</v>
      </c>
      <c r="H272" s="64">
        <f>COUNTIF(_xlfn.XLOOKUP(Table1215[[#This Row],[Name]],Table16[Name],Table16[[September 30, 2025]:[Column18]],,0,1),"&gt;=8")</f>
        <v>0</v>
      </c>
      <c r="I272" s="110" t="str">
        <f>IFERROR(AVERAGEIF(_xlfn.XLOOKUP(Table1215[[#This Row],[Name]],Table16[Name],Table16[[September 30, 2025]:[Column18]],,0,1),"&gt;=8"),"N/A")</f>
        <v>N/A</v>
      </c>
      <c r="J272" s="66">
        <f>IFERROR(Table1215[[#This Row],[FTA]]/Table1215[[#This Row],[GP]],"N/A")</f>
        <v>0</v>
      </c>
      <c r="K272" s="67">
        <f>COUNTIF(_xlfn.XLOOKUP(Table1215[[#This Row],[Name]],Table16[Name],Table16[[September 30, 2025]:[Column18]],,0,1),"&gt;=15")</f>
        <v>0</v>
      </c>
    </row>
    <row r="273" spans="1:11">
      <c r="A273" s="70"/>
      <c r="B273" s="82">
        <f>INDEX(AllTime1[All-time rank], MATCH(SMALL(AllTime1[Helper], ROW(Structures!$G268)), AllTime1[Helper], 0))</f>
        <v>248</v>
      </c>
      <c r="C273" s="64" t="str">
        <f>TEXT(INDEX(AllTime1[Name], MATCH(SMALL(AllTime1[Helper], ROW(Structures!$G268)), AllTime1[Helper], 0)),"@")</f>
        <v>Charlie Fry</v>
      </c>
      <c r="D273" s="64">
        <f>INDEX(AllTime1[All-time score], MATCH(LARGE(AllTime1[Helper2], ROW(Structures!$G268)), AllTime1[Helper2], 0))</f>
        <v>1</v>
      </c>
      <c r="E273" s="64">
        <f>COUNTIF(_xlfn.XLOOKUP(Table1215[[#This Row],[Name]],Table16[Name],Table16[[September 30, 2025]:[Column18]],,0,1),"&gt;=0")</f>
        <v>1</v>
      </c>
      <c r="F273" s="109">
        <f>_xlfn.XLOOKUP(Table1215[[#This Row],[Name]],Table1624[Name],Table1624[Totals],,0,1)</f>
        <v>0.90800000000000003</v>
      </c>
      <c r="G273" s="65">
        <f>IFERROR(Table1215[[#This Row],[Points]]/Table1215[[#This Row],[GP]],"N/A")</f>
        <v>1</v>
      </c>
      <c r="H273" s="64">
        <f>COUNTIF(_xlfn.XLOOKUP(Table1215[[#This Row],[Name]],Table16[Name],Table16[[September 30, 2025]:[Column18]],,0,1),"&gt;=8")</f>
        <v>0</v>
      </c>
      <c r="I273" s="110" t="str">
        <f>IFERROR(AVERAGEIF(_xlfn.XLOOKUP(Table1215[[#This Row],[Name]],Table16[Name],Table16[[September 30, 2025]:[Column18]],,0,1),"&gt;=8"),"N/A")</f>
        <v>N/A</v>
      </c>
      <c r="J273" s="66">
        <f>IFERROR(Table1215[[#This Row],[FTA]]/Table1215[[#This Row],[GP]],"N/A")</f>
        <v>0</v>
      </c>
      <c r="K273" s="67">
        <f>COUNTIF(_xlfn.XLOOKUP(Table1215[[#This Row],[Name]],Table16[Name],Table16[[September 30, 2025]:[Column18]],,0,1),"&gt;=15")</f>
        <v>0</v>
      </c>
    </row>
    <row r="274" spans="1:11">
      <c r="A274" s="70"/>
      <c r="B274" s="82">
        <f>INDEX(AllTime1[All-time rank], MATCH(SMALL(AllTime1[Helper], ROW(Structures!$G269)), AllTime1[Helper], 0))</f>
        <v>248</v>
      </c>
      <c r="C274" s="64" t="str">
        <f>TEXT(INDEX(AllTime1[Name], MATCH(SMALL(AllTime1[Helper], ROW(Structures!$G269)), AllTime1[Helper], 0)),"@")</f>
        <v>Deniz Shelica</v>
      </c>
      <c r="D274" s="64">
        <f>INDEX(AllTime1[All-time score], MATCH(LARGE(AllTime1[Helper2], ROW(Structures!$G269)), AllTime1[Helper2], 0))</f>
        <v>1</v>
      </c>
      <c r="E274" s="64">
        <f>COUNTIF(_xlfn.XLOOKUP(Table1215[[#This Row],[Name]],Table16[Name],Table16[[September 30, 2025]:[Column18]],,0,1),"&gt;=0")</f>
        <v>1</v>
      </c>
      <c r="F274" s="109">
        <f>_xlfn.XLOOKUP(Table1215[[#This Row],[Name]],Table1624[Name],Table1624[Totals],,0,1)</f>
        <v>0.79300000000000004</v>
      </c>
      <c r="G274" s="65">
        <f>IFERROR(Table1215[[#This Row],[Points]]/Table1215[[#This Row],[GP]],"N/A")</f>
        <v>1</v>
      </c>
      <c r="H274" s="64">
        <f>COUNTIF(_xlfn.XLOOKUP(Table1215[[#This Row],[Name]],Table16[Name],Table16[[September 30, 2025]:[Column18]],,0,1),"&gt;=8")</f>
        <v>0</v>
      </c>
      <c r="I274" s="110" t="str">
        <f>IFERROR(AVERAGEIF(_xlfn.XLOOKUP(Table1215[[#This Row],[Name]],Table16[Name],Table16[[September 30, 2025]:[Column18]],,0,1),"&gt;=8"),"N/A")</f>
        <v>N/A</v>
      </c>
      <c r="J274" s="66">
        <f>IFERROR(Table1215[[#This Row],[FTA]]/Table1215[[#This Row],[GP]],"N/A")</f>
        <v>0</v>
      </c>
      <c r="K274" s="67">
        <f>COUNTIF(_xlfn.XLOOKUP(Table1215[[#This Row],[Name]],Table16[Name],Table16[[September 30, 2025]:[Column18]],,0,1),"&gt;=15")</f>
        <v>0</v>
      </c>
    </row>
    <row r="275" spans="1:11">
      <c r="A275" s="70"/>
      <c r="B275" s="82">
        <f>INDEX(AllTime1[All-time rank], MATCH(SMALL(AllTime1[Helper], ROW(Structures!$G270)), AllTime1[Helper], 0))</f>
        <v>248</v>
      </c>
      <c r="C275" s="64" t="str">
        <f>TEXT(INDEX(AllTime1[Name], MATCH(SMALL(AllTime1[Helper], ROW(Structures!$G270)), AllTime1[Helper], 0)),"@")</f>
        <v>Dominik Nowakowski</v>
      </c>
      <c r="D275" s="64">
        <f>INDEX(AllTime1[All-time score], MATCH(LARGE(AllTime1[Helper2], ROW(Structures!$G270)), AllTime1[Helper2], 0))</f>
        <v>1</v>
      </c>
      <c r="E275" s="64">
        <f>COUNTIF(_xlfn.XLOOKUP(Table1215[[#This Row],[Name]],Table16[Name],Table16[[September 30, 2025]:[Column18]],,0,1),"&gt;=0")</f>
        <v>1</v>
      </c>
      <c r="F275" s="109">
        <f>_xlfn.XLOOKUP(Table1215[[#This Row],[Name]],Table1624[Name],Table1624[Totals],,0,1)</f>
        <v>0.63600000000000001</v>
      </c>
      <c r="G275" s="65">
        <f>IFERROR(Table1215[[#This Row],[Points]]/Table1215[[#This Row],[GP]],"N/A")</f>
        <v>1</v>
      </c>
      <c r="H275" s="64">
        <f>COUNTIF(_xlfn.XLOOKUP(Table1215[[#This Row],[Name]],Table16[Name],Table16[[September 30, 2025]:[Column18]],,0,1),"&gt;=8")</f>
        <v>0</v>
      </c>
      <c r="I275" s="110" t="str">
        <f>IFERROR(AVERAGEIF(_xlfn.XLOOKUP(Table1215[[#This Row],[Name]],Table16[Name],Table16[[September 30, 2025]:[Column18]],,0,1),"&gt;=8"),"N/A")</f>
        <v>N/A</v>
      </c>
      <c r="J275" s="66">
        <f>IFERROR(Table1215[[#This Row],[FTA]]/Table1215[[#This Row],[GP]],"N/A")</f>
        <v>0</v>
      </c>
      <c r="K275" s="67">
        <f>COUNTIF(_xlfn.XLOOKUP(Table1215[[#This Row],[Name]],Table16[Name],Table16[[September 30, 2025]:[Column18]],,0,1),"&gt;=15")</f>
        <v>0</v>
      </c>
    </row>
    <row r="276" spans="1:11">
      <c r="B276" s="82">
        <f>INDEX(AllTime1[All-time rank], MATCH(SMALL(AllTime1[Helper], ROW(Structures!$G271)), AllTime1[Helper], 0))</f>
        <v>248</v>
      </c>
      <c r="C276" s="64" t="str">
        <f>TEXT(INDEX(AllTime1[Name], MATCH(SMALL(AllTime1[Helper], ROW(Structures!$G271)), AllTime1[Helper], 0)),"@")</f>
        <v>Edward Yang</v>
      </c>
      <c r="D276" s="64">
        <f>INDEX(AllTime1[All-time score], MATCH(LARGE(AllTime1[Helper2], ROW(Structures!$G271)), AllTime1[Helper2], 0))</f>
        <v>1</v>
      </c>
      <c r="E276" s="64">
        <f>COUNTIF(_xlfn.XLOOKUP(Table1215[[#This Row],[Name]],Table16[Name],Table16[[September 30, 2025]:[Column18]],,0,1),"&gt;=0")</f>
        <v>1</v>
      </c>
      <c r="F276" s="109">
        <f>_xlfn.XLOOKUP(Table1215[[#This Row],[Name]],Table1624[Name],Table1624[Totals],,0,1)</f>
        <v>0.67700000000000005</v>
      </c>
      <c r="G276" s="65">
        <f>IFERROR(Table1215[[#This Row],[Points]]/Table1215[[#This Row],[GP]],"N/A")</f>
        <v>1</v>
      </c>
      <c r="H276" s="64">
        <f>COUNTIF(_xlfn.XLOOKUP(Table1215[[#This Row],[Name]],Table16[Name],Table16[[September 30, 2025]:[Column18]],,0,1),"&gt;=8")</f>
        <v>0</v>
      </c>
      <c r="I276" s="110" t="str">
        <f>IFERROR(AVERAGEIF(_xlfn.XLOOKUP(Table1215[[#This Row],[Name]],Table16[Name],Table16[[September 30, 2025]:[Column18]],,0,1),"&gt;=8"),"N/A")</f>
        <v>N/A</v>
      </c>
      <c r="J276" s="66">
        <f>IFERROR(Table1215[[#This Row],[FTA]]/Table1215[[#This Row],[GP]],"N/A")</f>
        <v>0</v>
      </c>
      <c r="K276" s="67">
        <f>COUNTIF(_xlfn.XLOOKUP(Table1215[[#This Row],[Name]],Table16[Name],Table16[[September 30, 2025]:[Column18]],,0,1),"&gt;=15")</f>
        <v>0</v>
      </c>
    </row>
    <row r="277" spans="1:11">
      <c r="B277" s="82">
        <f>INDEX(AllTime1[All-time rank], MATCH(SMALL(AllTime1[Helper], ROW(Structures!$G272)), AllTime1[Helper], 0))</f>
        <v>248</v>
      </c>
      <c r="C277" s="64" t="str">
        <f>TEXT(INDEX(AllTime1[Name], MATCH(SMALL(AllTime1[Helper], ROW(Structures!$G272)), AllTime1[Helper], 0)),"@")</f>
        <v>Elbrus Gadmaliyev</v>
      </c>
      <c r="D277" s="64">
        <f>INDEX(AllTime1[All-time score], MATCH(LARGE(AllTime1[Helper2], ROW(Structures!$G272)), AllTime1[Helper2], 0))</f>
        <v>1</v>
      </c>
      <c r="E277" s="64">
        <f>COUNTIF(_xlfn.XLOOKUP(Table1215[[#This Row],[Name]],Table16[Name],Table16[[September 30, 2025]:[Column18]],,0,1),"&gt;=0")</f>
        <v>1</v>
      </c>
      <c r="F277" s="109">
        <f>_xlfn.XLOOKUP(Table1215[[#This Row],[Name]],Table1624[Name],Table1624[Totals],,0,1)</f>
        <v>0.82399999999999995</v>
      </c>
      <c r="G277" s="65">
        <f>IFERROR(Table1215[[#This Row],[Points]]/Table1215[[#This Row],[GP]],"N/A")</f>
        <v>1</v>
      </c>
      <c r="H277" s="64">
        <f>COUNTIF(_xlfn.XLOOKUP(Table1215[[#This Row],[Name]],Table16[Name],Table16[[September 30, 2025]:[Column18]],,0,1),"&gt;=8")</f>
        <v>0</v>
      </c>
      <c r="I277" s="110" t="str">
        <f>IFERROR(AVERAGEIF(_xlfn.XLOOKUP(Table1215[[#This Row],[Name]],Table16[Name],Table16[[September 30, 2025]:[Column18]],,0,1),"&gt;=8"),"N/A")</f>
        <v>N/A</v>
      </c>
      <c r="J277" s="66">
        <f>IFERROR(Table1215[[#This Row],[FTA]]/Table1215[[#This Row],[GP]],"N/A")</f>
        <v>0</v>
      </c>
      <c r="K277" s="67">
        <f>COUNTIF(_xlfn.XLOOKUP(Table1215[[#This Row],[Name]],Table16[Name],Table16[[September 30, 2025]:[Column18]],,0,1),"&gt;=15")</f>
        <v>0</v>
      </c>
    </row>
    <row r="278" spans="1:11">
      <c r="B278" s="82">
        <f>INDEX(AllTime1[All-time rank], MATCH(SMALL(AllTime1[Helper], ROW(Structures!$G273)), AllTime1[Helper], 0))</f>
        <v>248</v>
      </c>
      <c r="C278" s="64" t="str">
        <f>TEXT(INDEX(AllTime1[Name], MATCH(SMALL(AllTime1[Helper], ROW(Structures!$G273)), AllTime1[Helper], 0)),"@")</f>
        <v>Ewan Reid</v>
      </c>
      <c r="D278" s="64">
        <f>INDEX(AllTime1[All-time score], MATCH(LARGE(AllTime1[Helper2], ROW(Structures!$G273)), AllTime1[Helper2], 0))</f>
        <v>1</v>
      </c>
      <c r="E278" s="64">
        <f>COUNTIF(_xlfn.XLOOKUP(Table1215[[#This Row],[Name]],Table16[Name],Table16[[September 30, 2025]:[Column18]],,0,1),"&gt;=0")</f>
        <v>1</v>
      </c>
      <c r="F278" s="109">
        <f>_xlfn.XLOOKUP(Table1215[[#This Row],[Name]],Table1624[Name],Table1624[Totals],,0,1)</f>
        <v>0.84499999999999997</v>
      </c>
      <c r="G278" s="65">
        <f>IFERROR(Table1215[[#This Row],[Points]]/Table1215[[#This Row],[GP]],"N/A")</f>
        <v>1</v>
      </c>
      <c r="H278" s="64">
        <f>COUNTIF(_xlfn.XLOOKUP(Table1215[[#This Row],[Name]],Table16[Name],Table16[[September 30, 2025]:[Column18]],,0,1),"&gt;=8")</f>
        <v>0</v>
      </c>
      <c r="I278" s="110" t="str">
        <f>IFERROR(AVERAGEIF(_xlfn.XLOOKUP(Table1215[[#This Row],[Name]],Table16[Name],Table16[[September 30, 2025]:[Column18]],,0,1),"&gt;=8"),"N/A")</f>
        <v>N/A</v>
      </c>
      <c r="J278" s="66">
        <f>IFERROR(Table1215[[#This Row],[FTA]]/Table1215[[#This Row],[GP]],"N/A")</f>
        <v>0</v>
      </c>
      <c r="K278" s="67">
        <f>COUNTIF(_xlfn.XLOOKUP(Table1215[[#This Row],[Name]],Table16[Name],Table16[[September 30, 2025]:[Column18]],,0,1),"&gt;=15")</f>
        <v>0</v>
      </c>
    </row>
    <row r="279" spans="1:11">
      <c r="B279" s="82">
        <f>INDEX(AllTime1[All-time rank], MATCH(SMALL(AllTime1[Helper], ROW(Structures!$G274)), AllTime1[Helper], 0))</f>
        <v>248</v>
      </c>
      <c r="C279" s="64" t="str">
        <f>TEXT(INDEX(AllTime1[Name], MATCH(SMALL(AllTime1[Helper], ROW(Structures!$G274)), AllTime1[Helper], 0)),"@")</f>
        <v>Hafsah Sikandar</v>
      </c>
      <c r="D279" s="64">
        <f>INDEX(AllTime1[All-time score], MATCH(LARGE(AllTime1[Helper2], ROW(Structures!$G274)), AllTime1[Helper2], 0))</f>
        <v>1</v>
      </c>
      <c r="E279" s="64">
        <f>COUNTIF(_xlfn.XLOOKUP(Table1215[[#This Row],[Name]],Table16[Name],Table16[[September 30, 2025]:[Column18]],,0,1),"&gt;=0")</f>
        <v>1</v>
      </c>
      <c r="F279" s="109">
        <f>_xlfn.XLOOKUP(Table1215[[#This Row],[Name]],Table1624[Name],Table1624[Totals],,0,1)</f>
        <v>0.84799999999999998</v>
      </c>
      <c r="G279" s="65">
        <f>IFERROR(Table1215[[#This Row],[Points]]/Table1215[[#This Row],[GP]],"N/A")</f>
        <v>1</v>
      </c>
      <c r="H279" s="64">
        <f>COUNTIF(_xlfn.XLOOKUP(Table1215[[#This Row],[Name]],Table16[Name],Table16[[September 30, 2025]:[Column18]],,0,1),"&gt;=8")</f>
        <v>0</v>
      </c>
      <c r="I279" s="110" t="str">
        <f>IFERROR(AVERAGEIF(_xlfn.XLOOKUP(Table1215[[#This Row],[Name]],Table16[Name],Table16[[September 30, 2025]:[Column18]],,0,1),"&gt;=8"),"N/A")</f>
        <v>N/A</v>
      </c>
      <c r="J279" s="66">
        <f>IFERROR(Table1215[[#This Row],[FTA]]/Table1215[[#This Row],[GP]],"N/A")</f>
        <v>0</v>
      </c>
      <c r="K279" s="67">
        <f>COUNTIF(_xlfn.XLOOKUP(Table1215[[#This Row],[Name]],Table16[Name],Table16[[September 30, 2025]:[Column18]],,0,1),"&gt;=15")</f>
        <v>0</v>
      </c>
    </row>
    <row r="280" spans="1:11">
      <c r="B280" s="82">
        <f>INDEX(AllTime1[All-time rank], MATCH(SMALL(AllTime1[Helper], ROW(Structures!$G275)), AllTime1[Helper], 0))</f>
        <v>248</v>
      </c>
      <c r="C280" s="64" t="str">
        <f>TEXT(INDEX(AllTime1[Name], MATCH(SMALL(AllTime1[Helper], ROW(Structures!$G275)), AllTime1[Helper], 0)),"@")</f>
        <v>Haroun Elamin</v>
      </c>
      <c r="D280" s="64">
        <f>INDEX(AllTime1[All-time score], MATCH(LARGE(AllTime1[Helper2], ROW(Structures!$G275)), AllTime1[Helper2], 0))</f>
        <v>1</v>
      </c>
      <c r="E280" s="64">
        <f>COUNTIF(_xlfn.XLOOKUP(Table1215[[#This Row],[Name]],Table16[Name],Table16[[September 30, 2025]:[Column18]],,0,1),"&gt;=0")</f>
        <v>1</v>
      </c>
      <c r="F280" s="109">
        <f>_xlfn.XLOOKUP(Table1215[[#This Row],[Name]],Table1624[Name],Table1624[Totals],,0,1)</f>
        <v>0.63300000000000001</v>
      </c>
      <c r="G280" s="65">
        <f>IFERROR(Table1215[[#This Row],[Points]]/Table1215[[#This Row],[GP]],"N/A")</f>
        <v>1</v>
      </c>
      <c r="H280" s="64">
        <f>COUNTIF(_xlfn.XLOOKUP(Table1215[[#This Row],[Name]],Table16[Name],Table16[[September 30, 2025]:[Column18]],,0,1),"&gt;=8")</f>
        <v>0</v>
      </c>
      <c r="I280" s="110" t="str">
        <f>IFERROR(AVERAGEIF(_xlfn.XLOOKUP(Table1215[[#This Row],[Name]],Table16[Name],Table16[[September 30, 2025]:[Column18]],,0,1),"&gt;=8"),"N/A")</f>
        <v>N/A</v>
      </c>
      <c r="J280" s="66">
        <f>IFERROR(Table1215[[#This Row],[FTA]]/Table1215[[#This Row],[GP]],"N/A")</f>
        <v>0</v>
      </c>
      <c r="K280" s="67">
        <f>COUNTIF(_xlfn.XLOOKUP(Table1215[[#This Row],[Name]],Table16[Name],Table16[[September 30, 2025]:[Column18]],,0,1),"&gt;=15")</f>
        <v>0</v>
      </c>
    </row>
    <row r="281" spans="1:11">
      <c r="B281" s="82">
        <f>INDEX(AllTime1[All-time rank], MATCH(SMALL(AllTime1[Helper], ROW(Structures!$G276)), AllTime1[Helper], 0))</f>
        <v>248</v>
      </c>
      <c r="C281" s="64" t="str">
        <f>TEXT(INDEX(AllTime1[Name], MATCH(SMALL(AllTime1[Helper], ROW(Structures!$G276)), AllTime1[Helper], 0)),"@")</f>
        <v>Ivan Zhou</v>
      </c>
      <c r="D281" s="64">
        <f>INDEX(AllTime1[All-time score], MATCH(LARGE(AllTime1[Helper2], ROW(Structures!$G276)), AllTime1[Helper2], 0))</f>
        <v>1</v>
      </c>
      <c r="E281" s="64">
        <f>COUNTIF(_xlfn.XLOOKUP(Table1215[[#This Row],[Name]],Table16[Name],Table16[[September 30, 2025]:[Column18]],,0,1),"&gt;=0")</f>
        <v>1</v>
      </c>
      <c r="F281" s="109">
        <f>_xlfn.XLOOKUP(Table1215[[#This Row],[Name]],Table1624[Name],Table1624[Totals],,0,1)</f>
        <v>0.97899999999999998</v>
      </c>
      <c r="G281" s="65">
        <f>IFERROR(Table1215[[#This Row],[Points]]/Table1215[[#This Row],[GP]],"N/A")</f>
        <v>1</v>
      </c>
      <c r="H281" s="64">
        <f>COUNTIF(_xlfn.XLOOKUP(Table1215[[#This Row],[Name]],Table16[Name],Table16[[September 30, 2025]:[Column18]],,0,1),"&gt;=8")</f>
        <v>0</v>
      </c>
      <c r="I281" s="110" t="str">
        <f>IFERROR(AVERAGEIF(_xlfn.XLOOKUP(Table1215[[#This Row],[Name]],Table16[Name],Table16[[September 30, 2025]:[Column18]],,0,1),"&gt;=8"),"N/A")</f>
        <v>N/A</v>
      </c>
      <c r="J281" s="66">
        <f>IFERROR(Table1215[[#This Row],[FTA]]/Table1215[[#This Row],[GP]],"N/A")</f>
        <v>0</v>
      </c>
      <c r="K281" s="67">
        <f>COUNTIF(_xlfn.XLOOKUP(Table1215[[#This Row],[Name]],Table16[Name],Table16[[September 30, 2025]:[Column18]],,0,1),"&gt;=15")</f>
        <v>0</v>
      </c>
    </row>
    <row r="282" spans="1:11">
      <c r="B282" s="82">
        <f>INDEX(AllTime1[All-time rank], MATCH(SMALL(AllTime1[Helper], ROW(Structures!$G277)), AllTime1[Helper], 0))</f>
        <v>248</v>
      </c>
      <c r="C282" s="64" t="str">
        <f>TEXT(INDEX(AllTime1[Name], MATCH(SMALL(AllTime1[Helper], ROW(Structures!$G277)), AllTime1[Helper], 0)),"@")</f>
        <v>Jason Kang</v>
      </c>
      <c r="D282" s="64">
        <f>INDEX(AllTime1[All-time score], MATCH(LARGE(AllTime1[Helper2], ROW(Structures!$G277)), AllTime1[Helper2], 0))</f>
        <v>1</v>
      </c>
      <c r="E282" s="64">
        <f>COUNTIF(_xlfn.XLOOKUP(Table1215[[#This Row],[Name]],Table16[Name],Table16[[September 30, 2025]:[Column18]],,0,1),"&gt;=0")</f>
        <v>1</v>
      </c>
      <c r="F282" s="109">
        <f>_xlfn.XLOOKUP(Table1215[[#This Row],[Name]],Table1624[Name],Table1624[Totals],,0,1)</f>
        <v>0.78800000000000003</v>
      </c>
      <c r="G282" s="65">
        <f>IFERROR(Table1215[[#This Row],[Points]]/Table1215[[#This Row],[GP]],"N/A")</f>
        <v>1</v>
      </c>
      <c r="H282" s="64">
        <f>COUNTIF(_xlfn.XLOOKUP(Table1215[[#This Row],[Name]],Table16[Name],Table16[[September 30, 2025]:[Column18]],,0,1),"&gt;=8")</f>
        <v>0</v>
      </c>
      <c r="I282" s="110" t="str">
        <f>IFERROR(AVERAGEIF(_xlfn.XLOOKUP(Table1215[[#This Row],[Name]],Table16[Name],Table16[[September 30, 2025]:[Column18]],,0,1),"&gt;=8"),"N/A")</f>
        <v>N/A</v>
      </c>
      <c r="J282" s="66">
        <f>IFERROR(Table1215[[#This Row],[FTA]]/Table1215[[#This Row],[GP]],"N/A")</f>
        <v>0</v>
      </c>
      <c r="K282" s="67">
        <f>COUNTIF(_xlfn.XLOOKUP(Table1215[[#This Row],[Name]],Table16[Name],Table16[[September 30, 2025]:[Column18]],,0,1),"&gt;=15")</f>
        <v>0</v>
      </c>
    </row>
    <row r="283" spans="1:11">
      <c r="B283" s="82">
        <f>INDEX(AllTime1[All-time rank], MATCH(SMALL(AllTime1[Helper], ROW(Structures!$G278)), AllTime1[Helper], 0))</f>
        <v>248</v>
      </c>
      <c r="C283" s="64" t="str">
        <f>TEXT(INDEX(AllTime1[Name], MATCH(SMALL(AllTime1[Helper], ROW(Structures!$G278)), AllTime1[Helper], 0)),"@")</f>
        <v>Joseph Liao</v>
      </c>
      <c r="D283" s="64">
        <f>INDEX(AllTime1[All-time score], MATCH(LARGE(AllTime1[Helper2], ROW(Structures!$G278)), AllTime1[Helper2], 0))</f>
        <v>1</v>
      </c>
      <c r="E283" s="64">
        <f>COUNTIF(_xlfn.XLOOKUP(Table1215[[#This Row],[Name]],Table16[Name],Table16[[September 30, 2025]:[Column18]],,0,1),"&gt;=0")</f>
        <v>1</v>
      </c>
      <c r="F283" s="109">
        <f>_xlfn.XLOOKUP(Table1215[[#This Row],[Name]],Table1624[Name],Table1624[Totals],,0,1)</f>
        <v>0.92300000000000004</v>
      </c>
      <c r="G283" s="65">
        <f>IFERROR(Table1215[[#This Row],[Points]]/Table1215[[#This Row],[GP]],"N/A")</f>
        <v>1</v>
      </c>
      <c r="H283" s="64">
        <f>COUNTIF(_xlfn.XLOOKUP(Table1215[[#This Row],[Name]],Table16[Name],Table16[[September 30, 2025]:[Column18]],,0,1),"&gt;=8")</f>
        <v>0</v>
      </c>
      <c r="I283" s="110" t="str">
        <f>IFERROR(AVERAGEIF(_xlfn.XLOOKUP(Table1215[[#This Row],[Name]],Table16[Name],Table16[[September 30, 2025]:[Column18]],,0,1),"&gt;=8"),"N/A")</f>
        <v>N/A</v>
      </c>
      <c r="J283" s="66">
        <f>IFERROR(Table1215[[#This Row],[FTA]]/Table1215[[#This Row],[GP]],"N/A")</f>
        <v>0</v>
      </c>
      <c r="K283" s="67">
        <f>COUNTIF(_xlfn.XLOOKUP(Table1215[[#This Row],[Name]],Table16[Name],Table16[[September 30, 2025]:[Column18]],,0,1),"&gt;=15")</f>
        <v>0</v>
      </c>
    </row>
    <row r="284" spans="1:11">
      <c r="B284" s="82">
        <f>INDEX(AllTime1[All-time rank], MATCH(SMALL(AllTime1[Helper], ROW(Structures!$G279)), AllTime1[Helper], 0))</f>
        <v>248</v>
      </c>
      <c r="C284" s="64" t="str">
        <f>TEXT(INDEX(AllTime1[Name], MATCH(SMALL(AllTime1[Helper], ROW(Structures!$G279)), AllTime1[Helper], 0)),"@")</f>
        <v xml:space="preserve">Julian </v>
      </c>
      <c r="D284" s="64">
        <f>INDEX(AllTime1[All-time score], MATCH(LARGE(AllTime1[Helper2], ROW(Structures!$G279)), AllTime1[Helper2], 0))</f>
        <v>1</v>
      </c>
      <c r="E284" s="64">
        <f>COUNTIF(_xlfn.XLOOKUP(Table1215[[#This Row],[Name]],Table16[Name],Table16[[September 30, 2025]:[Column18]],,0,1),"&gt;=0")</f>
        <v>1</v>
      </c>
      <c r="F284" s="109">
        <f>_xlfn.XLOOKUP(Table1215[[#This Row],[Name]],Table1624[Name],Table1624[Totals],,0,1)</f>
        <v>0.78800000000000003</v>
      </c>
      <c r="G284" s="65">
        <f>IFERROR(Table1215[[#This Row],[Points]]/Table1215[[#This Row],[GP]],"N/A")</f>
        <v>1</v>
      </c>
      <c r="H284" s="64">
        <f>COUNTIF(_xlfn.XLOOKUP(Table1215[[#This Row],[Name]],Table16[Name],Table16[[September 30, 2025]:[Column18]],,0,1),"&gt;=8")</f>
        <v>0</v>
      </c>
      <c r="I284" s="110" t="str">
        <f>IFERROR(AVERAGEIF(_xlfn.XLOOKUP(Table1215[[#This Row],[Name]],Table16[Name],Table16[[September 30, 2025]:[Column18]],,0,1),"&gt;=8"),"N/A")</f>
        <v>N/A</v>
      </c>
      <c r="J284" s="66">
        <f>IFERROR(Table1215[[#This Row],[FTA]]/Table1215[[#This Row],[GP]],"N/A")</f>
        <v>0</v>
      </c>
      <c r="K284" s="67">
        <f>COUNTIF(_xlfn.XLOOKUP(Table1215[[#This Row],[Name]],Table16[Name],Table16[[September 30, 2025]:[Column18]],,0,1),"&gt;=15")</f>
        <v>0</v>
      </c>
    </row>
    <row r="285" spans="1:11">
      <c r="B285" s="82">
        <f>INDEX(AllTime1[All-time rank], MATCH(SMALL(AllTime1[Helper], ROW(Structures!$G280)), AllTime1[Helper], 0))</f>
        <v>248</v>
      </c>
      <c r="C285" s="64" t="str">
        <f>TEXT(INDEX(AllTime1[Name], MATCH(SMALL(AllTime1[Helper], ROW(Structures!$G280)), AllTime1[Helper], 0)),"@")</f>
        <v>Kevin Mehrzad</v>
      </c>
      <c r="D285" s="64">
        <f>INDEX(AllTime1[All-time score], MATCH(LARGE(AllTime1[Helper2], ROW(Structures!$G280)), AllTime1[Helper2], 0))</f>
        <v>1</v>
      </c>
      <c r="E285" s="64">
        <f>COUNTIF(_xlfn.XLOOKUP(Table1215[[#This Row],[Name]],Table16[Name],Table16[[September 30, 2025]:[Column18]],,0,1),"&gt;=0")</f>
        <v>1</v>
      </c>
      <c r="F285" s="109">
        <f>_xlfn.XLOOKUP(Table1215[[#This Row],[Name]],Table1624[Name],Table1624[Totals],,0,1)</f>
        <v>0.51700000000000002</v>
      </c>
      <c r="G285" s="65">
        <f>IFERROR(Table1215[[#This Row],[Points]]/Table1215[[#This Row],[GP]],"N/A")</f>
        <v>1</v>
      </c>
      <c r="H285" s="64">
        <f>COUNTIF(_xlfn.XLOOKUP(Table1215[[#This Row],[Name]],Table16[Name],Table16[[September 30, 2025]:[Column18]],,0,1),"&gt;=8")</f>
        <v>0</v>
      </c>
      <c r="I285" s="110" t="str">
        <f>IFERROR(AVERAGEIF(_xlfn.XLOOKUP(Table1215[[#This Row],[Name]],Table16[Name],Table16[[September 30, 2025]:[Column18]],,0,1),"&gt;=8"),"N/A")</f>
        <v>N/A</v>
      </c>
      <c r="J285" s="66">
        <f>IFERROR(Table1215[[#This Row],[FTA]]/Table1215[[#This Row],[GP]],"N/A")</f>
        <v>0</v>
      </c>
      <c r="K285" s="67">
        <f>COUNTIF(_xlfn.XLOOKUP(Table1215[[#This Row],[Name]],Table16[Name],Table16[[September 30, 2025]:[Column18]],,0,1),"&gt;=15")</f>
        <v>0</v>
      </c>
    </row>
    <row r="286" spans="1:11">
      <c r="B286" s="82">
        <f>INDEX(AllTime1[All-time rank], MATCH(SMALL(AllTime1[Helper], ROW(Structures!$G281)), AllTime1[Helper], 0))</f>
        <v>248</v>
      </c>
      <c r="C286" s="64" t="str">
        <f>TEXT(INDEX(AllTime1[Name], MATCH(SMALL(AllTime1[Helper], ROW(Structures!$G281)), AllTime1[Helper], 0)),"@")</f>
        <v>Lee Li</v>
      </c>
      <c r="D286" s="64">
        <f>INDEX(AllTime1[All-time score], MATCH(LARGE(AllTime1[Helper2], ROW(Structures!$G281)), AllTime1[Helper2], 0))</f>
        <v>1</v>
      </c>
      <c r="E286" s="64">
        <f>COUNTIF(_xlfn.XLOOKUP(Table1215[[#This Row],[Name]],Table16[Name],Table16[[September 30, 2025]:[Column18]],,0,1),"&gt;=0")</f>
        <v>1</v>
      </c>
      <c r="F286" s="109">
        <f>_xlfn.XLOOKUP(Table1215[[#This Row],[Name]],Table1624[Name],Table1624[Totals],,0,1)</f>
        <v>0.66600000000000004</v>
      </c>
      <c r="G286" s="65">
        <f>IFERROR(Table1215[[#This Row],[Points]]/Table1215[[#This Row],[GP]],"N/A")</f>
        <v>1</v>
      </c>
      <c r="H286" s="64">
        <f>COUNTIF(_xlfn.XLOOKUP(Table1215[[#This Row],[Name]],Table16[Name],Table16[[September 30, 2025]:[Column18]],,0,1),"&gt;=8")</f>
        <v>0</v>
      </c>
      <c r="I286" s="110" t="str">
        <f>IFERROR(AVERAGEIF(_xlfn.XLOOKUP(Table1215[[#This Row],[Name]],Table16[Name],Table16[[September 30, 2025]:[Column18]],,0,1),"&gt;=8"),"N/A")</f>
        <v>N/A</v>
      </c>
      <c r="J286" s="66">
        <f>IFERROR(Table1215[[#This Row],[FTA]]/Table1215[[#This Row],[GP]],"N/A")</f>
        <v>0</v>
      </c>
      <c r="K286" s="67">
        <f>COUNTIF(_xlfn.XLOOKUP(Table1215[[#This Row],[Name]],Table16[Name],Table16[[September 30, 2025]:[Column18]],,0,1),"&gt;=15")</f>
        <v>0</v>
      </c>
    </row>
    <row r="287" spans="1:11">
      <c r="B287" s="82">
        <f>INDEX(AllTime1[All-time rank], MATCH(SMALL(AllTime1[Helper], ROW(Structures!$G282)), AllTime1[Helper], 0))</f>
        <v>248</v>
      </c>
      <c r="C287" s="64" t="str">
        <f>TEXT(INDEX(AllTime1[Name], MATCH(SMALL(AllTime1[Helper], ROW(Structures!$G282)), AllTime1[Helper], 0)),"@")</f>
        <v>Marissa Vu</v>
      </c>
      <c r="D287" s="64">
        <f>INDEX(AllTime1[All-time score], MATCH(LARGE(AllTime1[Helper2], ROW(Structures!$G282)), AllTime1[Helper2], 0))</f>
        <v>1</v>
      </c>
      <c r="E287" s="64">
        <f>COUNTIF(_xlfn.XLOOKUP(Table1215[[#This Row],[Name]],Table16[Name],Table16[[September 30, 2025]:[Column18]],,0,1),"&gt;=0")</f>
        <v>1</v>
      </c>
      <c r="F287" s="109">
        <f>_xlfn.XLOOKUP(Table1215[[#This Row],[Name]],Table1624[Name],Table1624[Totals],,0,1)</f>
        <v>0.76900000000000002</v>
      </c>
      <c r="G287" s="65">
        <f>IFERROR(Table1215[[#This Row],[Points]]/Table1215[[#This Row],[GP]],"N/A")</f>
        <v>1</v>
      </c>
      <c r="H287" s="64">
        <f>COUNTIF(_xlfn.XLOOKUP(Table1215[[#This Row],[Name]],Table16[Name],Table16[[September 30, 2025]:[Column18]],,0,1),"&gt;=8")</f>
        <v>0</v>
      </c>
      <c r="I287" s="110" t="str">
        <f>IFERROR(AVERAGEIF(_xlfn.XLOOKUP(Table1215[[#This Row],[Name]],Table16[Name],Table16[[September 30, 2025]:[Column18]],,0,1),"&gt;=8"),"N/A")</f>
        <v>N/A</v>
      </c>
      <c r="J287" s="66">
        <f>IFERROR(Table1215[[#This Row],[FTA]]/Table1215[[#This Row],[GP]],"N/A")</f>
        <v>0</v>
      </c>
      <c r="K287" s="67">
        <f>COUNTIF(_xlfn.XLOOKUP(Table1215[[#This Row],[Name]],Table16[Name],Table16[[September 30, 2025]:[Column18]],,0,1),"&gt;=15")</f>
        <v>0</v>
      </c>
    </row>
    <row r="288" spans="1:11">
      <c r="B288" s="82">
        <f>INDEX(AllTime1[All-time rank], MATCH(SMALL(AllTime1[Helper], ROW(Structures!$G283)), AllTime1[Helper], 0))</f>
        <v>248</v>
      </c>
      <c r="C288" s="64" t="str">
        <f>TEXT(INDEX(AllTime1[Name], MATCH(SMALL(AllTime1[Helper], ROW(Structures!$G283)), AllTime1[Helper], 0)),"@")</f>
        <v>Marko  Damjanovic</v>
      </c>
      <c r="D288" s="64">
        <f>INDEX(AllTime1[All-time score], MATCH(LARGE(AllTime1[Helper2], ROW(Structures!$G283)), AllTime1[Helper2], 0))</f>
        <v>1</v>
      </c>
      <c r="E288" s="64">
        <f>COUNTIF(_xlfn.XLOOKUP(Table1215[[#This Row],[Name]],Table16[Name],Table16[[September 30, 2025]:[Column18]],,0,1),"&gt;=0")</f>
        <v>1</v>
      </c>
      <c r="F288" s="109">
        <f>_xlfn.XLOOKUP(Table1215[[#This Row],[Name]],Table1624[Name],Table1624[Totals],,0,1)</f>
        <v>0.60599999999999998</v>
      </c>
      <c r="G288" s="65">
        <f>IFERROR(Table1215[[#This Row],[Points]]/Table1215[[#This Row],[GP]],"N/A")</f>
        <v>1</v>
      </c>
      <c r="H288" s="64">
        <f>COUNTIF(_xlfn.XLOOKUP(Table1215[[#This Row],[Name]],Table16[Name],Table16[[September 30, 2025]:[Column18]],,0,1),"&gt;=8")</f>
        <v>0</v>
      </c>
      <c r="I288" s="110" t="str">
        <f>IFERROR(AVERAGEIF(_xlfn.XLOOKUP(Table1215[[#This Row],[Name]],Table16[Name],Table16[[September 30, 2025]:[Column18]],,0,1),"&gt;=8"),"N/A")</f>
        <v>N/A</v>
      </c>
      <c r="J288" s="66">
        <f>IFERROR(Table1215[[#This Row],[FTA]]/Table1215[[#This Row],[GP]],"N/A")</f>
        <v>0</v>
      </c>
      <c r="K288" s="67">
        <f>COUNTIF(_xlfn.XLOOKUP(Table1215[[#This Row],[Name]],Table16[Name],Table16[[September 30, 2025]:[Column18]],,0,1),"&gt;=15")</f>
        <v>0</v>
      </c>
    </row>
    <row r="289" spans="2:11">
      <c r="B289" s="82">
        <f>INDEX(AllTime1[All-time rank], MATCH(SMALL(AllTime1[Helper], ROW(Structures!$G284)), AllTime1[Helper], 0))</f>
        <v>248</v>
      </c>
      <c r="C289" s="64" t="str">
        <f>TEXT(INDEX(AllTime1[Name], MATCH(SMALL(AllTime1[Helper], ROW(Structures!$G284)), AllTime1[Helper], 0)),"@")</f>
        <v>Martin Gomez</v>
      </c>
      <c r="D289" s="64">
        <f>INDEX(AllTime1[All-time score], MATCH(LARGE(AllTime1[Helper2], ROW(Structures!$G284)), AllTime1[Helper2], 0))</f>
        <v>1</v>
      </c>
      <c r="E289" s="64">
        <f>COUNTIF(_xlfn.XLOOKUP(Table1215[[#This Row],[Name]],Table16[Name],Table16[[September 30, 2025]:[Column18]],,0,1),"&gt;=0")</f>
        <v>1</v>
      </c>
      <c r="F289" s="109">
        <f>_xlfn.XLOOKUP(Table1215[[#This Row],[Name]],Table1624[Name],Table1624[Totals],,0,1)</f>
        <v>0.64200000000000002</v>
      </c>
      <c r="G289" s="65">
        <f>IFERROR(Table1215[[#This Row],[Points]]/Table1215[[#This Row],[GP]],"N/A")</f>
        <v>1</v>
      </c>
      <c r="H289" s="64">
        <f>COUNTIF(_xlfn.XLOOKUP(Table1215[[#This Row],[Name]],Table16[Name],Table16[[September 30, 2025]:[Column18]],,0,1),"&gt;=8")</f>
        <v>0</v>
      </c>
      <c r="I289" s="110" t="str">
        <f>IFERROR(AVERAGEIF(_xlfn.XLOOKUP(Table1215[[#This Row],[Name]],Table16[Name],Table16[[September 30, 2025]:[Column18]],,0,1),"&gt;=8"),"N/A")</f>
        <v>N/A</v>
      </c>
      <c r="J289" s="66">
        <f>IFERROR(Table1215[[#This Row],[FTA]]/Table1215[[#This Row],[GP]],"N/A")</f>
        <v>0</v>
      </c>
      <c r="K289" s="67">
        <f>COUNTIF(_xlfn.XLOOKUP(Table1215[[#This Row],[Name]],Table16[Name],Table16[[September 30, 2025]:[Column18]],,0,1),"&gt;=15")</f>
        <v>0</v>
      </c>
    </row>
    <row r="290" spans="2:11">
      <c r="B290" s="82">
        <f>INDEX(AllTime1[All-time rank], MATCH(SMALL(AllTime1[Helper], ROW(Structures!$G285)), AllTime1[Helper], 0))</f>
        <v>248</v>
      </c>
      <c r="C290" s="64" t="str">
        <f>TEXT(INDEX(AllTime1[Name], MATCH(SMALL(AllTime1[Helper], ROW(Structures!$G285)), AllTime1[Helper], 0)),"@")</f>
        <v>Mateen Mahdavian</v>
      </c>
      <c r="D290" s="64">
        <f>INDEX(AllTime1[All-time score], MATCH(LARGE(AllTime1[Helper2], ROW(Structures!$G285)), AllTime1[Helper2], 0))</f>
        <v>1</v>
      </c>
      <c r="E290" s="64">
        <f>COUNTIF(_xlfn.XLOOKUP(Table1215[[#This Row],[Name]],Table16[Name],Table16[[September 30, 2025]:[Column18]],,0,1),"&gt;=0")</f>
        <v>1</v>
      </c>
      <c r="F290" s="109">
        <f>_xlfn.XLOOKUP(Table1215[[#This Row],[Name]],Table1624[Name],Table1624[Totals],,0,1)</f>
        <v>0.879</v>
      </c>
      <c r="G290" s="65">
        <f>IFERROR(Table1215[[#This Row],[Points]]/Table1215[[#This Row],[GP]],"N/A")</f>
        <v>1</v>
      </c>
      <c r="H290" s="64">
        <f>COUNTIF(_xlfn.XLOOKUP(Table1215[[#This Row],[Name]],Table16[Name],Table16[[September 30, 2025]:[Column18]],,0,1),"&gt;=8")</f>
        <v>0</v>
      </c>
      <c r="I290" s="110" t="str">
        <f>IFERROR(AVERAGEIF(_xlfn.XLOOKUP(Table1215[[#This Row],[Name]],Table16[Name],Table16[[September 30, 2025]:[Column18]],,0,1),"&gt;=8"),"N/A")</f>
        <v>N/A</v>
      </c>
      <c r="J290" s="66">
        <f>IFERROR(Table1215[[#This Row],[FTA]]/Table1215[[#This Row],[GP]],"N/A")</f>
        <v>0</v>
      </c>
      <c r="K290" s="67">
        <f>COUNTIF(_xlfn.XLOOKUP(Table1215[[#This Row],[Name]],Table16[Name],Table16[[September 30, 2025]:[Column18]],,0,1),"&gt;=15")</f>
        <v>0</v>
      </c>
    </row>
    <row r="291" spans="2:11">
      <c r="B291" s="82">
        <f>INDEX(AllTime1[All-time rank], MATCH(SMALL(AllTime1[Helper], ROW(Structures!$G286)), AllTime1[Helper], 0))</f>
        <v>248</v>
      </c>
      <c r="C291" s="64" t="str">
        <f>TEXT(INDEX(AllTime1[Name], MATCH(SMALL(AllTime1[Helper], ROW(Structures!$G286)), AllTime1[Helper], 0)),"@")</f>
        <v>Matthew Tubrett</v>
      </c>
      <c r="D291" s="64">
        <f>INDEX(AllTime1[All-time score], MATCH(LARGE(AllTime1[Helper2], ROW(Structures!$G286)), AllTime1[Helper2], 0))</f>
        <v>1</v>
      </c>
      <c r="E291" s="64">
        <f>COUNTIF(_xlfn.XLOOKUP(Table1215[[#This Row],[Name]],Table16[Name],Table16[[September 30, 2025]:[Column18]],,0,1),"&gt;=0")</f>
        <v>1</v>
      </c>
      <c r="F291" s="109" t="str">
        <f>_xlfn.XLOOKUP(Table1215[[#This Row],[Name]],Table1624[Name],Table1624[Totals],,0,1)</f>
        <v>N/A</v>
      </c>
      <c r="G291" s="65">
        <f>IFERROR(Table1215[[#This Row],[Points]]/Table1215[[#This Row],[GP]],"N/A")</f>
        <v>1</v>
      </c>
      <c r="H291" s="64">
        <f>COUNTIF(_xlfn.XLOOKUP(Table1215[[#This Row],[Name]],Table16[Name],Table16[[September 30, 2025]:[Column18]],,0,1),"&gt;=8")</f>
        <v>0</v>
      </c>
      <c r="I291" s="110" t="str">
        <f>IFERROR(AVERAGEIF(_xlfn.XLOOKUP(Table1215[[#This Row],[Name]],Table16[Name],Table16[[September 30, 2025]:[Column18]],,0,1),"&gt;=8"),"N/A")</f>
        <v>N/A</v>
      </c>
      <c r="J291" s="66">
        <f>IFERROR(Table1215[[#This Row],[FTA]]/Table1215[[#This Row],[GP]],"N/A")</f>
        <v>0</v>
      </c>
      <c r="K291" s="67">
        <f>COUNTIF(_xlfn.XLOOKUP(Table1215[[#This Row],[Name]],Table16[Name],Table16[[September 30, 2025]:[Column18]],,0,1),"&gt;=15")</f>
        <v>0</v>
      </c>
    </row>
    <row r="292" spans="2:11">
      <c r="B292" s="82">
        <f>INDEX(AllTime1[All-time rank], MATCH(SMALL(AllTime1[Helper], ROW(Structures!$G287)), AllTime1[Helper], 0))</f>
        <v>248</v>
      </c>
      <c r="C292" s="64" t="str">
        <f>TEXT(INDEX(AllTime1[Name], MATCH(SMALL(AllTime1[Helper], ROW(Structures!$G287)), AllTime1[Helper], 0)),"@")</f>
        <v>Parum Patel</v>
      </c>
      <c r="D292" s="64">
        <f>INDEX(AllTime1[All-time score], MATCH(LARGE(AllTime1[Helper2], ROW(Structures!$G287)), AllTime1[Helper2], 0))</f>
        <v>1</v>
      </c>
      <c r="E292" s="64">
        <f>COUNTIF(_xlfn.XLOOKUP(Table1215[[#This Row],[Name]],Table16[Name],Table16[[September 30, 2025]:[Column18]],,0,1),"&gt;=0")</f>
        <v>1</v>
      </c>
      <c r="F292" s="109">
        <f>_xlfn.XLOOKUP(Table1215[[#This Row],[Name]],Table1624[Name],Table1624[Totals],,0,1)</f>
        <v>0.52600000000000002</v>
      </c>
      <c r="G292" s="65">
        <f>IFERROR(Table1215[[#This Row],[Points]]/Table1215[[#This Row],[GP]],"N/A")</f>
        <v>1</v>
      </c>
      <c r="H292" s="64">
        <f>COUNTIF(_xlfn.XLOOKUP(Table1215[[#This Row],[Name]],Table16[Name],Table16[[September 30, 2025]:[Column18]],,0,1),"&gt;=8")</f>
        <v>0</v>
      </c>
      <c r="I292" s="110" t="str">
        <f>IFERROR(AVERAGEIF(_xlfn.XLOOKUP(Table1215[[#This Row],[Name]],Table16[Name],Table16[[September 30, 2025]:[Column18]],,0,1),"&gt;=8"),"N/A")</f>
        <v>N/A</v>
      </c>
      <c r="J292" s="66">
        <f>IFERROR(Table1215[[#This Row],[FTA]]/Table1215[[#This Row],[GP]],"N/A")</f>
        <v>0</v>
      </c>
      <c r="K292" s="67">
        <f>COUNTIF(_xlfn.XLOOKUP(Table1215[[#This Row],[Name]],Table16[Name],Table16[[September 30, 2025]:[Column18]],,0,1),"&gt;=15")</f>
        <v>0</v>
      </c>
    </row>
    <row r="293" spans="2:11">
      <c r="B293" s="82">
        <f>INDEX(AllTime1[All-time rank], MATCH(SMALL(AllTime1[Helper], ROW(Structures!$G288)), AllTime1[Helper], 0))</f>
        <v>248</v>
      </c>
      <c r="C293" s="64" t="str">
        <f>TEXT(INDEX(AllTime1[Name], MATCH(SMALL(AllTime1[Helper], ROW(Structures!$G288)), AllTime1[Helper], 0)),"@")</f>
        <v>Pratyush Singh</v>
      </c>
      <c r="D293" s="64">
        <f>INDEX(AllTime1[All-time score], MATCH(LARGE(AllTime1[Helper2], ROW(Structures!$G288)), AllTime1[Helper2], 0))</f>
        <v>1</v>
      </c>
      <c r="E293" s="64">
        <f>COUNTIF(_xlfn.XLOOKUP(Table1215[[#This Row],[Name]],Table16[Name],Table16[[September 30, 2025]:[Column18]],,0,1),"&gt;=0")</f>
        <v>1</v>
      </c>
      <c r="F293" s="109">
        <f>_xlfn.XLOOKUP(Table1215[[#This Row],[Name]],Table1624[Name],Table1624[Totals],,0,1)</f>
        <v>0.75800000000000001</v>
      </c>
      <c r="G293" s="65">
        <f>IFERROR(Table1215[[#This Row],[Points]]/Table1215[[#This Row],[GP]],"N/A")</f>
        <v>1</v>
      </c>
      <c r="H293" s="64">
        <f>COUNTIF(_xlfn.XLOOKUP(Table1215[[#This Row],[Name]],Table16[Name],Table16[[September 30, 2025]:[Column18]],,0,1),"&gt;=8")</f>
        <v>0</v>
      </c>
      <c r="I293" s="110" t="str">
        <f>IFERROR(AVERAGEIF(_xlfn.XLOOKUP(Table1215[[#This Row],[Name]],Table16[Name],Table16[[September 30, 2025]:[Column18]],,0,1),"&gt;=8"),"N/A")</f>
        <v>N/A</v>
      </c>
      <c r="J293" s="66">
        <f>IFERROR(Table1215[[#This Row],[FTA]]/Table1215[[#This Row],[GP]],"N/A")</f>
        <v>0</v>
      </c>
      <c r="K293" s="67">
        <f>COUNTIF(_xlfn.XLOOKUP(Table1215[[#This Row],[Name]],Table16[Name],Table16[[September 30, 2025]:[Column18]],,0,1),"&gt;=15")</f>
        <v>0</v>
      </c>
    </row>
    <row r="294" spans="2:11">
      <c r="B294" s="82">
        <f>INDEX(AllTime1[All-time rank], MATCH(SMALL(AllTime1[Helper], ROW(Structures!$G289)), AllTime1[Helper], 0))</f>
        <v>248</v>
      </c>
      <c r="C294" s="64" t="str">
        <f>TEXT(INDEX(AllTime1[Name], MATCH(SMALL(AllTime1[Helper], ROW(Structures!$G289)), AllTime1[Helper], 0)),"@")</f>
        <v>Rishi Bhaskara</v>
      </c>
      <c r="D294" s="64">
        <f>INDEX(AllTime1[All-time score], MATCH(LARGE(AllTime1[Helper2], ROW(Structures!$G289)), AllTime1[Helper2], 0))</f>
        <v>1</v>
      </c>
      <c r="E294" s="64">
        <f>COUNTIF(_xlfn.XLOOKUP(Table1215[[#This Row],[Name]],Table16[Name],Table16[[September 30, 2025]:[Column18]],,0,1),"&gt;=0")</f>
        <v>1</v>
      </c>
      <c r="F294" s="109">
        <f>_xlfn.XLOOKUP(Table1215[[#This Row],[Name]],Table1624[Name],Table1624[Totals],,0,1)</f>
        <v>0.60499999999999998</v>
      </c>
      <c r="G294" s="65">
        <f>IFERROR(Table1215[[#This Row],[Points]]/Table1215[[#This Row],[GP]],"N/A")</f>
        <v>1</v>
      </c>
      <c r="H294" s="64">
        <f>COUNTIF(_xlfn.XLOOKUP(Table1215[[#This Row],[Name]],Table16[Name],Table16[[September 30, 2025]:[Column18]],,0,1),"&gt;=8")</f>
        <v>0</v>
      </c>
      <c r="I294" s="110" t="str">
        <f>IFERROR(AVERAGEIF(_xlfn.XLOOKUP(Table1215[[#This Row],[Name]],Table16[Name],Table16[[September 30, 2025]:[Column18]],,0,1),"&gt;=8"),"N/A")</f>
        <v>N/A</v>
      </c>
      <c r="J294" s="66">
        <f>IFERROR(Table1215[[#This Row],[FTA]]/Table1215[[#This Row],[GP]],"N/A")</f>
        <v>0</v>
      </c>
      <c r="K294" s="67">
        <f>COUNTIF(_xlfn.XLOOKUP(Table1215[[#This Row],[Name]],Table16[Name],Table16[[September 30, 2025]:[Column18]],,0,1),"&gt;=15")</f>
        <v>0</v>
      </c>
    </row>
    <row r="295" spans="2:11">
      <c r="B295" s="82">
        <f>INDEX(AllTime1[All-time rank], MATCH(SMALL(AllTime1[Helper], ROW(Structures!$G290)), AllTime1[Helper], 0))</f>
        <v>248</v>
      </c>
      <c r="C295" s="64" t="str">
        <f>TEXT(INDEX(AllTime1[Name], MATCH(SMALL(AllTime1[Helper], ROW(Structures!$G290)), AllTime1[Helper], 0)),"@")</f>
        <v>Rohan Mehta</v>
      </c>
      <c r="D295" s="64">
        <f>INDEX(AllTime1[All-time score], MATCH(LARGE(AllTime1[Helper2], ROW(Structures!$G290)), AllTime1[Helper2], 0))</f>
        <v>1</v>
      </c>
      <c r="E295" s="64">
        <f>COUNTIF(_xlfn.XLOOKUP(Table1215[[#This Row],[Name]],Table16[Name],Table16[[September 30, 2025]:[Column18]],,0,1),"&gt;=0")</f>
        <v>1</v>
      </c>
      <c r="F295" s="109">
        <f>_xlfn.XLOOKUP(Table1215[[#This Row],[Name]],Table1624[Name],Table1624[Totals],,0,1)</f>
        <v>0.80600000000000005</v>
      </c>
      <c r="G295" s="65">
        <f>IFERROR(Table1215[[#This Row],[Points]]/Table1215[[#This Row],[GP]],"N/A")</f>
        <v>1</v>
      </c>
      <c r="H295" s="64">
        <f>COUNTIF(_xlfn.XLOOKUP(Table1215[[#This Row],[Name]],Table16[Name],Table16[[September 30, 2025]:[Column18]],,0,1),"&gt;=8")</f>
        <v>0</v>
      </c>
      <c r="I295" s="110" t="str">
        <f>IFERROR(AVERAGEIF(_xlfn.XLOOKUP(Table1215[[#This Row],[Name]],Table16[Name],Table16[[September 30, 2025]:[Column18]],,0,1),"&gt;=8"),"N/A")</f>
        <v>N/A</v>
      </c>
      <c r="J295" s="66">
        <f>IFERROR(Table1215[[#This Row],[FTA]]/Table1215[[#This Row],[GP]],"N/A")</f>
        <v>0</v>
      </c>
      <c r="K295" s="67">
        <f>COUNTIF(_xlfn.XLOOKUP(Table1215[[#This Row],[Name]],Table16[Name],Table16[[September 30, 2025]:[Column18]],,0,1),"&gt;=15")</f>
        <v>0</v>
      </c>
    </row>
    <row r="296" spans="2:11">
      <c r="B296" s="82">
        <f>INDEX(AllTime1[All-time rank], MATCH(SMALL(AllTime1[Helper], ROW(Structures!$G291)), AllTime1[Helper], 0))</f>
        <v>248</v>
      </c>
      <c r="C296" s="64" t="str">
        <f>TEXT(INDEX(AllTime1[Name], MATCH(SMALL(AllTime1[Helper], ROW(Structures!$G291)), AllTime1[Helper], 0)),"@")</f>
        <v>Ryan Jouhere</v>
      </c>
      <c r="D296" s="64">
        <f>INDEX(AllTime1[All-time score], MATCH(LARGE(AllTime1[Helper2], ROW(Structures!$G291)), AllTime1[Helper2], 0))</f>
        <v>1</v>
      </c>
      <c r="E296" s="64">
        <f>COUNTIF(_xlfn.XLOOKUP(Table1215[[#This Row],[Name]],Table16[Name],Table16[[September 30, 2025]:[Column18]],,0,1),"&gt;=0")</f>
        <v>1</v>
      </c>
      <c r="F296" s="109">
        <f>_xlfn.XLOOKUP(Table1215[[#This Row],[Name]],Table1624[Name],Table1624[Totals],,0,1)</f>
        <v>0.90100000000000002</v>
      </c>
      <c r="G296" s="65">
        <f>IFERROR(Table1215[[#This Row],[Points]]/Table1215[[#This Row],[GP]],"N/A")</f>
        <v>1</v>
      </c>
      <c r="H296" s="64">
        <f>COUNTIF(_xlfn.XLOOKUP(Table1215[[#This Row],[Name]],Table16[Name],Table16[[September 30, 2025]:[Column18]],,0,1),"&gt;=8")</f>
        <v>0</v>
      </c>
      <c r="I296" s="110" t="str">
        <f>IFERROR(AVERAGEIF(_xlfn.XLOOKUP(Table1215[[#This Row],[Name]],Table16[Name],Table16[[September 30, 2025]:[Column18]],,0,1),"&gt;=8"),"N/A")</f>
        <v>N/A</v>
      </c>
      <c r="J296" s="66">
        <f>IFERROR(Table1215[[#This Row],[FTA]]/Table1215[[#This Row],[GP]],"N/A")</f>
        <v>0</v>
      </c>
      <c r="K296" s="67">
        <f>COUNTIF(_xlfn.XLOOKUP(Table1215[[#This Row],[Name]],Table16[Name],Table16[[September 30, 2025]:[Column18]],,0,1),"&gt;=15")</f>
        <v>0</v>
      </c>
    </row>
    <row r="297" spans="2:11">
      <c r="B297" s="82">
        <f>INDEX(AllTime1[All-time rank], MATCH(SMALL(AllTime1[Helper], ROW(Structures!$G292)), AllTime1[Helper], 0))</f>
        <v>248</v>
      </c>
      <c r="C297" s="64" t="str">
        <f>TEXT(INDEX(AllTime1[Name], MATCH(SMALL(AllTime1[Helper], ROW(Structures!$G292)), AllTime1[Helper], 0)),"@")</f>
        <v>Shiyu Sun</v>
      </c>
      <c r="D297" s="64">
        <f>INDEX(AllTime1[All-time score], MATCH(LARGE(AllTime1[Helper2], ROW(Structures!$G292)), AllTime1[Helper2], 0))</f>
        <v>1</v>
      </c>
      <c r="E297" s="64">
        <f>COUNTIF(_xlfn.XLOOKUP(Table1215[[#This Row],[Name]],Table16[Name],Table16[[September 30, 2025]:[Column18]],,0,1),"&gt;=0")</f>
        <v>1</v>
      </c>
      <c r="F297" s="109">
        <f>_xlfn.XLOOKUP(Table1215[[#This Row],[Name]],Table1624[Name],Table1624[Totals],,0,1)</f>
        <v>0.89300000000000002</v>
      </c>
      <c r="G297" s="65">
        <f>IFERROR(Table1215[[#This Row],[Points]]/Table1215[[#This Row],[GP]],"N/A")</f>
        <v>1</v>
      </c>
      <c r="H297" s="64">
        <f>COUNTIF(_xlfn.XLOOKUP(Table1215[[#This Row],[Name]],Table16[Name],Table16[[September 30, 2025]:[Column18]],,0,1),"&gt;=8")</f>
        <v>0</v>
      </c>
      <c r="I297" s="110" t="str">
        <f>IFERROR(AVERAGEIF(_xlfn.XLOOKUP(Table1215[[#This Row],[Name]],Table16[Name],Table16[[September 30, 2025]:[Column18]],,0,1),"&gt;=8"),"N/A")</f>
        <v>N/A</v>
      </c>
      <c r="J297" s="66">
        <f>IFERROR(Table1215[[#This Row],[FTA]]/Table1215[[#This Row],[GP]],"N/A")</f>
        <v>0</v>
      </c>
      <c r="K297" s="67">
        <f>COUNTIF(_xlfn.XLOOKUP(Table1215[[#This Row],[Name]],Table16[Name],Table16[[September 30, 2025]:[Column18]],,0,1),"&gt;=15")</f>
        <v>0</v>
      </c>
    </row>
    <row r="298" spans="2:11">
      <c r="B298" s="82">
        <f>INDEX(AllTime1[All-time rank], MATCH(SMALL(AllTime1[Helper], ROW(Structures!$G293)), AllTime1[Helper], 0))</f>
        <v>248</v>
      </c>
      <c r="C298" s="64" t="str">
        <f>TEXT(INDEX(AllTime1[Name], MATCH(SMALL(AllTime1[Helper], ROW(Structures!$G293)), AllTime1[Helper], 0)),"@")</f>
        <v>Spencer Bulley</v>
      </c>
      <c r="D298" s="64">
        <f>INDEX(AllTime1[All-time score], MATCH(LARGE(AllTime1[Helper2], ROW(Structures!$G293)), AllTime1[Helper2], 0))</f>
        <v>1</v>
      </c>
      <c r="E298" s="64">
        <f>COUNTIF(_xlfn.XLOOKUP(Table1215[[#This Row],[Name]],Table16[Name],Table16[[September 30, 2025]:[Column18]],,0,1),"&gt;=0")</f>
        <v>1</v>
      </c>
      <c r="F298" s="109">
        <f>_xlfn.XLOOKUP(Table1215[[#This Row],[Name]],Table1624[Name],Table1624[Totals],,0,1)</f>
        <v>0.56499999999999995</v>
      </c>
      <c r="G298" s="65">
        <f>IFERROR(Table1215[[#This Row],[Points]]/Table1215[[#This Row],[GP]],"N/A")</f>
        <v>1</v>
      </c>
      <c r="H298" s="64">
        <f>COUNTIF(_xlfn.XLOOKUP(Table1215[[#This Row],[Name]],Table16[Name],Table16[[September 30, 2025]:[Column18]],,0,1),"&gt;=8")</f>
        <v>0</v>
      </c>
      <c r="I298" s="110" t="str">
        <f>IFERROR(AVERAGEIF(_xlfn.XLOOKUP(Table1215[[#This Row],[Name]],Table16[Name],Table16[[September 30, 2025]:[Column18]],,0,1),"&gt;=8"),"N/A")</f>
        <v>N/A</v>
      </c>
      <c r="J298" s="66">
        <f>IFERROR(Table1215[[#This Row],[FTA]]/Table1215[[#This Row],[GP]],"N/A")</f>
        <v>0</v>
      </c>
      <c r="K298" s="67">
        <f>COUNTIF(_xlfn.XLOOKUP(Table1215[[#This Row],[Name]],Table16[Name],Table16[[September 30, 2025]:[Column18]],,0,1),"&gt;=15")</f>
        <v>0</v>
      </c>
    </row>
    <row r="299" spans="2:11">
      <c r="B299" s="82">
        <f>INDEX(AllTime1[All-time rank], MATCH(SMALL(AllTime1[Helper], ROW(Structures!$G294)), AllTime1[Helper], 0))</f>
        <v>248</v>
      </c>
      <c r="C299" s="64" t="str">
        <f>TEXT(INDEX(AllTime1[Name], MATCH(SMALL(AllTime1[Helper], ROW(Structures!$G294)), AllTime1[Helper], 0)),"@")</f>
        <v>Steven Luo</v>
      </c>
      <c r="D299" s="64">
        <f>INDEX(AllTime1[All-time score], MATCH(LARGE(AllTime1[Helper2], ROW(Structures!$G294)), AllTime1[Helper2], 0))</f>
        <v>1</v>
      </c>
      <c r="E299" s="64">
        <f>COUNTIF(_xlfn.XLOOKUP(Table1215[[#This Row],[Name]],Table16[Name],Table16[[September 30, 2025]:[Column18]],,0,1),"&gt;=0")</f>
        <v>1</v>
      </c>
      <c r="F299" s="109">
        <f>_xlfn.XLOOKUP(Table1215[[#This Row],[Name]],Table1624[Name],Table1624[Totals],,0,1)</f>
        <v>0.84499999999999997</v>
      </c>
      <c r="G299" s="65">
        <f>IFERROR(Table1215[[#This Row],[Points]]/Table1215[[#This Row],[GP]],"N/A")</f>
        <v>1</v>
      </c>
      <c r="H299" s="64">
        <f>COUNTIF(_xlfn.XLOOKUP(Table1215[[#This Row],[Name]],Table16[Name],Table16[[September 30, 2025]:[Column18]],,0,1),"&gt;=8")</f>
        <v>0</v>
      </c>
      <c r="I299" s="110" t="str">
        <f>IFERROR(AVERAGEIF(_xlfn.XLOOKUP(Table1215[[#This Row],[Name]],Table16[Name],Table16[[September 30, 2025]:[Column18]],,0,1),"&gt;=8"),"N/A")</f>
        <v>N/A</v>
      </c>
      <c r="J299" s="66">
        <f>IFERROR(Table1215[[#This Row],[FTA]]/Table1215[[#This Row],[GP]],"N/A")</f>
        <v>0</v>
      </c>
      <c r="K299" s="67">
        <f>COUNTIF(_xlfn.XLOOKUP(Table1215[[#This Row],[Name]],Table16[Name],Table16[[September 30, 2025]:[Column18]],,0,1),"&gt;=15")</f>
        <v>0</v>
      </c>
    </row>
    <row r="300" spans="2:11">
      <c r="B300" s="82">
        <f>INDEX(AllTime1[All-time rank], MATCH(SMALL(AllTime1[Helper], ROW(Structures!$G295)), AllTime1[Helper], 0))</f>
        <v>248</v>
      </c>
      <c r="C300" s="64" t="str">
        <f>TEXT(INDEX(AllTime1[Name], MATCH(SMALL(AllTime1[Helper], ROW(Structures!$G295)), AllTime1[Helper], 0)),"@")</f>
        <v>Sulang Hou</v>
      </c>
      <c r="D300" s="64">
        <f>INDEX(AllTime1[All-time score], MATCH(LARGE(AllTime1[Helper2], ROW(Structures!$G295)), AllTime1[Helper2], 0))</f>
        <v>1</v>
      </c>
      <c r="E300" s="64">
        <f>COUNTIF(_xlfn.XLOOKUP(Table1215[[#This Row],[Name]],Table16[Name],Table16[[September 30, 2025]:[Column18]],,0,1),"&gt;=0")</f>
        <v>1</v>
      </c>
      <c r="F300" s="109">
        <f>_xlfn.XLOOKUP(Table1215[[#This Row],[Name]],Table1624[Name],Table1624[Totals],,0,1)</f>
        <v>0.56499999999999995</v>
      </c>
      <c r="G300" s="65">
        <f>IFERROR(Table1215[[#This Row],[Points]]/Table1215[[#This Row],[GP]],"N/A")</f>
        <v>1</v>
      </c>
      <c r="H300" s="64">
        <f>COUNTIF(_xlfn.XLOOKUP(Table1215[[#This Row],[Name]],Table16[Name],Table16[[September 30, 2025]:[Column18]],,0,1),"&gt;=8")</f>
        <v>0</v>
      </c>
      <c r="I300" s="110" t="str">
        <f>IFERROR(AVERAGEIF(_xlfn.XLOOKUP(Table1215[[#This Row],[Name]],Table16[Name],Table16[[September 30, 2025]:[Column18]],,0,1),"&gt;=8"),"N/A")</f>
        <v>N/A</v>
      </c>
      <c r="J300" s="66">
        <f>IFERROR(Table1215[[#This Row],[FTA]]/Table1215[[#This Row],[GP]],"N/A")</f>
        <v>0</v>
      </c>
      <c r="K300" s="67">
        <f>COUNTIF(_xlfn.XLOOKUP(Table1215[[#This Row],[Name]],Table16[Name],Table16[[September 30, 2025]:[Column18]],,0,1),"&gt;=15")</f>
        <v>0</v>
      </c>
    </row>
    <row r="301" spans="2:11">
      <c r="B301" s="82">
        <f>INDEX(AllTime1[All-time rank], MATCH(SMALL(AllTime1[Helper], ROW(Structures!$G296)), AllTime1[Helper], 0))</f>
        <v>248</v>
      </c>
      <c r="C301" s="64" t="str">
        <f>TEXT(INDEX(AllTime1[Name], MATCH(SMALL(AllTime1[Helper], ROW(Structures!$G296)), AllTime1[Helper], 0)),"@")</f>
        <v>Syed Bilal</v>
      </c>
      <c r="D301" s="64">
        <f>INDEX(AllTime1[All-time score], MATCH(LARGE(AllTime1[Helper2], ROW(Structures!$G296)), AllTime1[Helper2], 0))</f>
        <v>1</v>
      </c>
      <c r="E301" s="64">
        <f>COUNTIF(_xlfn.XLOOKUP(Table1215[[#This Row],[Name]],Table16[Name],Table16[[September 30, 2025]:[Column18]],,0,1),"&gt;=0")</f>
        <v>1</v>
      </c>
      <c r="F301" s="109">
        <f>_xlfn.XLOOKUP(Table1215[[#This Row],[Name]],Table1624[Name],Table1624[Totals],,0,1)</f>
        <v>0.63300000000000001</v>
      </c>
      <c r="G301" s="65">
        <f>IFERROR(Table1215[[#This Row],[Points]]/Table1215[[#This Row],[GP]],"N/A")</f>
        <v>1</v>
      </c>
      <c r="H301" s="64">
        <f>COUNTIF(_xlfn.XLOOKUP(Table1215[[#This Row],[Name]],Table16[Name],Table16[[September 30, 2025]:[Column18]],,0,1),"&gt;=8")</f>
        <v>0</v>
      </c>
      <c r="I301" s="110" t="str">
        <f>IFERROR(AVERAGEIF(_xlfn.XLOOKUP(Table1215[[#This Row],[Name]],Table16[Name],Table16[[September 30, 2025]:[Column18]],,0,1),"&gt;=8"),"N/A")</f>
        <v>N/A</v>
      </c>
      <c r="J301" s="66">
        <f>IFERROR(Table1215[[#This Row],[FTA]]/Table1215[[#This Row],[GP]],"N/A")</f>
        <v>0</v>
      </c>
      <c r="K301" s="67">
        <f>COUNTIF(_xlfn.XLOOKUP(Table1215[[#This Row],[Name]],Table16[Name],Table16[[September 30, 2025]:[Column18]],,0,1),"&gt;=15")</f>
        <v>0</v>
      </c>
    </row>
    <row r="302" spans="2:11">
      <c r="B302" s="82">
        <f>INDEX(AllTime1[All-time rank], MATCH(SMALL(AllTime1[Helper], ROW(Structures!$G297)), AllTime1[Helper], 0))</f>
        <v>248</v>
      </c>
      <c r="C302" s="64" t="str">
        <f>TEXT(INDEX(AllTime1[Name], MATCH(SMALL(AllTime1[Helper], ROW(Structures!$G297)), AllTime1[Helper], 0)),"@")</f>
        <v>Tyler Maddox</v>
      </c>
      <c r="D302" s="64">
        <f>INDEX(AllTime1[All-time score], MATCH(LARGE(AllTime1[Helper2], ROW(Structures!$G297)), AllTime1[Helper2], 0))</f>
        <v>1</v>
      </c>
      <c r="E302" s="64">
        <f>COUNTIF(_xlfn.XLOOKUP(Table1215[[#This Row],[Name]],Table16[Name],Table16[[September 30, 2025]:[Column18]],,0,1),"&gt;=0")</f>
        <v>1</v>
      </c>
      <c r="F302" s="109">
        <f>_xlfn.XLOOKUP(Table1215[[#This Row],[Name]],Table1624[Name],Table1624[Totals],,0,1)</f>
        <v>0.878</v>
      </c>
      <c r="G302" s="65">
        <f>IFERROR(Table1215[[#This Row],[Points]]/Table1215[[#This Row],[GP]],"N/A")</f>
        <v>1</v>
      </c>
      <c r="H302" s="64">
        <f>COUNTIF(_xlfn.XLOOKUP(Table1215[[#This Row],[Name]],Table16[Name],Table16[[September 30, 2025]:[Column18]],,0,1),"&gt;=8")</f>
        <v>0</v>
      </c>
      <c r="I302" s="110" t="str">
        <f>IFERROR(AVERAGEIF(_xlfn.XLOOKUP(Table1215[[#This Row],[Name]],Table16[Name],Table16[[September 30, 2025]:[Column18]],,0,1),"&gt;=8"),"N/A")</f>
        <v>N/A</v>
      </c>
      <c r="J302" s="66">
        <f>IFERROR(Table1215[[#This Row],[FTA]]/Table1215[[#This Row],[GP]],"N/A")</f>
        <v>0</v>
      </c>
      <c r="K302" s="67">
        <f>COUNTIF(_xlfn.XLOOKUP(Table1215[[#This Row],[Name]],Table16[Name],Table16[[September 30, 2025]:[Column18]],,0,1),"&gt;=15")</f>
        <v>0</v>
      </c>
    </row>
    <row r="303" spans="2:11">
      <c r="B303" s="82">
        <f>INDEX(AllTime1[All-time rank], MATCH(SMALL(AllTime1[Helper], ROW(Structures!$G298)), AllTime1[Helper], 0))</f>
        <v>248</v>
      </c>
      <c r="C303" s="64" t="str">
        <f>TEXT(INDEX(AllTime1[Name], MATCH(SMALL(AllTime1[Helper], ROW(Structures!$G298)), AllTime1[Helper], 0)),"@")</f>
        <v>Yassin Mohamed</v>
      </c>
      <c r="D303" s="64">
        <f>INDEX(AllTime1[All-time score], MATCH(LARGE(AllTime1[Helper2], ROW(Structures!$G298)), AllTime1[Helper2], 0))</f>
        <v>1</v>
      </c>
      <c r="E303" s="64">
        <f>COUNTIF(_xlfn.XLOOKUP(Table1215[[#This Row],[Name]],Table16[Name],Table16[[September 30, 2025]:[Column18]],,0,1),"&gt;=0")</f>
        <v>1</v>
      </c>
      <c r="F303" s="109">
        <f>_xlfn.XLOOKUP(Table1215[[#This Row],[Name]],Table1624[Name],Table1624[Totals],,0,1)</f>
        <v>0.63300000000000001</v>
      </c>
      <c r="G303" s="65">
        <f>IFERROR(Table1215[[#This Row],[Points]]/Table1215[[#This Row],[GP]],"N/A")</f>
        <v>1</v>
      </c>
      <c r="H303" s="64">
        <f>COUNTIF(_xlfn.XLOOKUP(Table1215[[#This Row],[Name]],Table16[Name],Table16[[September 30, 2025]:[Column18]],,0,1),"&gt;=8")</f>
        <v>0</v>
      </c>
      <c r="I303" s="110" t="str">
        <f>IFERROR(AVERAGEIF(_xlfn.XLOOKUP(Table1215[[#This Row],[Name]],Table16[Name],Table16[[September 30, 2025]:[Column18]],,0,1),"&gt;=8"),"N/A")</f>
        <v>N/A</v>
      </c>
      <c r="J303" s="66">
        <f>IFERROR(Table1215[[#This Row],[FTA]]/Table1215[[#This Row],[GP]],"N/A")</f>
        <v>0</v>
      </c>
      <c r="K303" s="67">
        <f>COUNTIF(_xlfn.XLOOKUP(Table1215[[#This Row],[Name]],Table16[Name],Table16[[September 30, 2025]:[Column18]],,0,1),"&gt;=15")</f>
        <v>0</v>
      </c>
    </row>
    <row r="304" spans="2:11">
      <c r="B304" s="82">
        <f>INDEX(AllTime1[All-time rank], MATCH(SMALL(AllTime1[Helper], ROW(Structures!$G299)), AllTime1[Helper], 0))</f>
        <v>248</v>
      </c>
      <c r="C304" s="64" t="str">
        <f>TEXT(INDEX(AllTime1[Name], MATCH(SMALL(AllTime1[Helper], ROW(Structures!$G299)), AllTime1[Helper], 0)),"@")</f>
        <v>Yusuf Mohmand</v>
      </c>
      <c r="D304" s="64">
        <f>INDEX(AllTime1[All-time score], MATCH(LARGE(AllTime1[Helper2], ROW(Structures!$G299)), AllTime1[Helper2], 0))</f>
        <v>1</v>
      </c>
      <c r="E304" s="64">
        <f>COUNTIF(_xlfn.XLOOKUP(Table1215[[#This Row],[Name]],Table16[Name],Table16[[September 30, 2025]:[Column18]],,0,1),"&gt;=0")</f>
        <v>1</v>
      </c>
      <c r="F304" s="109">
        <f>_xlfn.XLOOKUP(Table1215[[#This Row],[Name]],Table1624[Name],Table1624[Totals],,0,1)</f>
        <v>0.92300000000000004</v>
      </c>
      <c r="G304" s="65">
        <f>IFERROR(Table1215[[#This Row],[Points]]/Table1215[[#This Row],[GP]],"N/A")</f>
        <v>1</v>
      </c>
      <c r="H304" s="64">
        <f>COUNTIF(_xlfn.XLOOKUP(Table1215[[#This Row],[Name]],Table16[Name],Table16[[September 30, 2025]:[Column18]],,0,1),"&gt;=8")</f>
        <v>0</v>
      </c>
      <c r="I304" s="110" t="str">
        <f>IFERROR(AVERAGEIF(_xlfn.XLOOKUP(Table1215[[#This Row],[Name]],Table16[Name],Table16[[September 30, 2025]:[Column18]],,0,1),"&gt;=8"),"N/A")</f>
        <v>N/A</v>
      </c>
      <c r="J304" s="66">
        <f>IFERROR(Table1215[[#This Row],[FTA]]/Table1215[[#This Row],[GP]],"N/A")</f>
        <v>0</v>
      </c>
      <c r="K304" s="67">
        <f>COUNTIF(_xlfn.XLOOKUP(Table1215[[#This Row],[Name]],Table16[Name],Table16[[September 30, 2025]:[Column18]],,0,1),"&gt;=15")</f>
        <v>0</v>
      </c>
    </row>
    <row r="305" spans="2:11">
      <c r="B305" s="82">
        <f>INDEX(AllTime1[All-time rank], MATCH(SMALL(AllTime1[Helper], ROW(Structures!$G300)), AllTime1[Helper], 0))</f>
        <v>300</v>
      </c>
      <c r="C305" s="64" t="str">
        <f>TEXT(INDEX(AllTime1[Name], MATCH(SMALL(AllTime1[Helper], ROW(Structures!$G300)), AllTime1[Helper], 0)),"@")</f>
        <v>Aiden Ko</v>
      </c>
      <c r="D305" s="64">
        <f>INDEX(AllTime1[All-time score], MATCH(LARGE(AllTime1[Helper2], ROW(Structures!$G300)), AllTime1[Helper2], 0))</f>
        <v>0</v>
      </c>
      <c r="E305" s="64">
        <f>COUNTIF(_xlfn.XLOOKUP(Table1215[[#This Row],[Name]],Table16[Name],Table16[[September 30, 2025]:[Column18]],,0,1),"&gt;=0")</f>
        <v>0</v>
      </c>
      <c r="F305" s="109" t="str">
        <f>_xlfn.XLOOKUP(Table1215[[#This Row],[Name]],Table1624[Name],Table1624[Totals],,0,1)</f>
        <v>N/A</v>
      </c>
      <c r="G305" s="65" t="str">
        <f>IFERROR(Table1215[[#This Row],[Points]]/Table1215[[#This Row],[GP]],"N/A")</f>
        <v>N/A</v>
      </c>
      <c r="H305" s="64">
        <f>COUNTIF(_xlfn.XLOOKUP(Table1215[[#This Row],[Name]],Table16[Name],Table16[[September 30, 2025]:[Column18]],,0,1),"&gt;=8")</f>
        <v>0</v>
      </c>
      <c r="I305" s="110" t="str">
        <f>IFERROR(AVERAGEIF(_xlfn.XLOOKUP(Table1215[[#This Row],[Name]],Table16[Name],Table16[[September 30, 2025]:[Column18]],,0,1),"&gt;=8"),"N/A")</f>
        <v>N/A</v>
      </c>
      <c r="J305" s="66" t="str">
        <f>IFERROR(Table1215[[#This Row],[FTA]]/Table1215[[#This Row],[GP]],"N/A")</f>
        <v>N/A</v>
      </c>
      <c r="K305" s="67">
        <f>COUNTIF(_xlfn.XLOOKUP(Table1215[[#This Row],[Name]],Table16[Name],Table16[[September 30, 2025]:[Column18]],,0,1),"&gt;=15")</f>
        <v>0</v>
      </c>
    </row>
    <row r="306" spans="2:11">
      <c r="B306" s="82">
        <f>INDEX(AllTime1[All-time rank], MATCH(SMALL(AllTime1[Helper], ROW(Structures!$G301)), AllTime1[Helper], 0))</f>
        <v>300</v>
      </c>
      <c r="C306" s="64" t="str">
        <f>TEXT(INDEX(AllTime1[Name], MATCH(SMALL(AllTime1[Helper], ROW(Structures!$G301)), AllTime1[Helper], 0)),"@")</f>
        <v>Aman Bains</v>
      </c>
      <c r="D306" s="64">
        <f>INDEX(AllTime1[All-time score], MATCH(LARGE(AllTime1[Helper2], ROW(Structures!$G301)), AllTime1[Helper2], 0))</f>
        <v>0</v>
      </c>
      <c r="E306" s="64">
        <f>COUNTIF(_xlfn.XLOOKUP(Table1215[[#This Row],[Name]],Table16[Name],Table16[[September 30, 2025]:[Column18]],,0,1),"&gt;=0")</f>
        <v>0</v>
      </c>
      <c r="F306" s="109" t="str">
        <f>_xlfn.XLOOKUP(Table1215[[#This Row],[Name]],Table1624[Name],Table1624[Totals],,0,1)</f>
        <v>N/A</v>
      </c>
      <c r="G306" s="65" t="str">
        <f>IFERROR(Table1215[[#This Row],[Points]]/Table1215[[#This Row],[GP]],"N/A")</f>
        <v>N/A</v>
      </c>
      <c r="H306" s="64">
        <f>COUNTIF(_xlfn.XLOOKUP(Table1215[[#This Row],[Name]],Table16[Name],Table16[[September 30, 2025]:[Column18]],,0,1),"&gt;=8")</f>
        <v>0</v>
      </c>
      <c r="I306" s="110" t="str">
        <f>IFERROR(AVERAGEIF(_xlfn.XLOOKUP(Table1215[[#This Row],[Name]],Table16[Name],Table16[[September 30, 2025]:[Column18]],,0,1),"&gt;=8"),"N/A")</f>
        <v>N/A</v>
      </c>
      <c r="J306" s="66" t="str">
        <f>IFERROR(Table1215[[#This Row],[FTA]]/Table1215[[#This Row],[GP]],"N/A")</f>
        <v>N/A</v>
      </c>
      <c r="K306" s="67">
        <f>COUNTIF(_xlfn.XLOOKUP(Table1215[[#This Row],[Name]],Table16[Name],Table16[[September 30, 2025]:[Column18]],,0,1),"&gt;=15")</f>
        <v>0</v>
      </c>
    </row>
    <row r="307" spans="2:11">
      <c r="B307" s="82">
        <f>INDEX(AllTime1[All-time rank], MATCH(SMALL(AllTime1[Helper], ROW(Structures!$G302)), AllTime1[Helper], 0))</f>
        <v>300</v>
      </c>
      <c r="C307" s="64" t="str">
        <f>TEXT(INDEX(AllTime1[Name], MATCH(SMALL(AllTime1[Helper], ROW(Structures!$G302)), AllTime1[Helper], 0)),"@")</f>
        <v>Aakaash Shankar</v>
      </c>
      <c r="D307" s="64">
        <f>INDEX(AllTime1[All-time score], MATCH(LARGE(AllTime1[Helper2], ROW(Structures!$G302)), AllTime1[Helper2], 0))</f>
        <v>0</v>
      </c>
      <c r="E307" s="64">
        <f>COUNTIF(_xlfn.XLOOKUP(Table1215[[#This Row],[Name]],Table16[Name],Table16[[September 30, 2025]:[Column18]],,0,1),"&gt;=0")</f>
        <v>0</v>
      </c>
      <c r="F307" s="109" t="str">
        <f>_xlfn.XLOOKUP(Table1215[[#This Row],[Name]],Table1624[Name],Table1624[Totals],,0,1)</f>
        <v>N/A</v>
      </c>
      <c r="G307" s="65" t="str">
        <f>IFERROR(Table1215[[#This Row],[Points]]/Table1215[[#This Row],[GP]],"N/A")</f>
        <v>N/A</v>
      </c>
      <c r="H307" s="64">
        <f>COUNTIF(_xlfn.XLOOKUP(Table1215[[#This Row],[Name]],Table16[Name],Table16[[September 30, 2025]:[Column18]],,0,1),"&gt;=8")</f>
        <v>0</v>
      </c>
      <c r="I307" s="110" t="str">
        <f>IFERROR(AVERAGEIF(_xlfn.XLOOKUP(Table1215[[#This Row],[Name]],Table16[Name],Table16[[September 30, 2025]:[Column18]],,0,1),"&gt;=8"),"N/A")</f>
        <v>N/A</v>
      </c>
      <c r="J307" s="66" t="str">
        <f>IFERROR(Table1215[[#This Row],[FTA]]/Table1215[[#This Row],[GP]],"N/A")</f>
        <v>N/A</v>
      </c>
      <c r="K307" s="67">
        <f>COUNTIF(_xlfn.XLOOKUP(Table1215[[#This Row],[Name]],Table16[Name],Table16[[September 30, 2025]:[Column18]],,0,1),"&gt;=15")</f>
        <v>0</v>
      </c>
    </row>
    <row r="308" spans="2:11">
      <c r="B308" s="82">
        <f>INDEX(AllTime1[All-time rank], MATCH(SMALL(AllTime1[Helper], ROW(Structures!$G303)), AllTime1[Helper], 0))</f>
        <v>300</v>
      </c>
      <c r="C308" s="64" t="str">
        <f>TEXT(INDEX(AllTime1[Name], MATCH(SMALL(AllTime1[Helper], ROW(Structures!$G303)), AllTime1[Helper], 0)),"@")</f>
        <v>Aiden Gertler</v>
      </c>
      <c r="D308" s="64">
        <f>INDEX(AllTime1[All-time score], MATCH(LARGE(AllTime1[Helper2], ROW(Structures!$G303)), AllTime1[Helper2], 0))</f>
        <v>0</v>
      </c>
      <c r="E308" s="64">
        <f>COUNTIF(_xlfn.XLOOKUP(Table1215[[#This Row],[Name]],Table16[Name],Table16[[September 30, 2025]:[Column18]],,0,1),"&gt;=0")</f>
        <v>0</v>
      </c>
      <c r="F308" s="109" t="str">
        <f>_xlfn.XLOOKUP(Table1215[[#This Row],[Name]],Table1624[Name],Table1624[Totals],,0,1)</f>
        <v>N/A</v>
      </c>
      <c r="G308" s="65" t="str">
        <f>IFERROR(Table1215[[#This Row],[Points]]/Table1215[[#This Row],[GP]],"N/A")</f>
        <v>N/A</v>
      </c>
      <c r="H308" s="64">
        <f>COUNTIF(_xlfn.XLOOKUP(Table1215[[#This Row],[Name]],Table16[Name],Table16[[September 30, 2025]:[Column18]],,0,1),"&gt;=8")</f>
        <v>0</v>
      </c>
      <c r="I308" s="110" t="str">
        <f>IFERROR(AVERAGEIF(_xlfn.XLOOKUP(Table1215[[#This Row],[Name]],Table16[Name],Table16[[September 30, 2025]:[Column18]],,0,1),"&gt;=8"),"N/A")</f>
        <v>N/A</v>
      </c>
      <c r="J308" s="66" t="str">
        <f>IFERROR(Table1215[[#This Row],[FTA]]/Table1215[[#This Row],[GP]],"N/A")</f>
        <v>N/A</v>
      </c>
      <c r="K308" s="67">
        <f>COUNTIF(_xlfn.XLOOKUP(Table1215[[#This Row],[Name]],Table16[Name],Table16[[September 30, 2025]:[Column18]],,0,1),"&gt;=15")</f>
        <v>0</v>
      </c>
    </row>
    <row r="309" spans="2:11">
      <c r="B309" s="82">
        <f>INDEX(AllTime1[All-time rank], MATCH(SMALL(AllTime1[Helper], ROW(Structures!$G304)), AllTime1[Helper], 0))</f>
        <v>300</v>
      </c>
      <c r="C309" s="64" t="str">
        <f>TEXT(INDEX(AllTime1[Name], MATCH(SMALL(AllTime1[Helper], ROW(Structures!$G304)), AllTime1[Helper], 0)),"@")</f>
        <v>Ajai Lingenfelter</v>
      </c>
      <c r="D309" s="64">
        <f>INDEX(AllTime1[All-time score], MATCH(LARGE(AllTime1[Helper2], ROW(Structures!$G304)), AllTime1[Helper2], 0))</f>
        <v>0</v>
      </c>
      <c r="E309" s="64">
        <f>COUNTIF(_xlfn.XLOOKUP(Table1215[[#This Row],[Name]],Table16[Name],Table16[[September 30, 2025]:[Column18]],,0,1),"&gt;=0")</f>
        <v>0</v>
      </c>
      <c r="F309" s="109" t="str">
        <f>_xlfn.XLOOKUP(Table1215[[#This Row],[Name]],Table1624[Name],Table1624[Totals],,0,1)</f>
        <v>N/A</v>
      </c>
      <c r="G309" s="65" t="str">
        <f>IFERROR(Table1215[[#This Row],[Points]]/Table1215[[#This Row],[GP]],"N/A")</f>
        <v>N/A</v>
      </c>
      <c r="H309" s="64">
        <f>COUNTIF(_xlfn.XLOOKUP(Table1215[[#This Row],[Name]],Table16[Name],Table16[[September 30, 2025]:[Column18]],,0,1),"&gt;=8")</f>
        <v>0</v>
      </c>
      <c r="I309" s="110" t="str">
        <f>IFERROR(AVERAGEIF(_xlfn.XLOOKUP(Table1215[[#This Row],[Name]],Table16[Name],Table16[[September 30, 2025]:[Column18]],,0,1),"&gt;=8"),"N/A")</f>
        <v>N/A</v>
      </c>
      <c r="J309" s="66" t="str">
        <f>IFERROR(Table1215[[#This Row],[FTA]]/Table1215[[#This Row],[GP]],"N/A")</f>
        <v>N/A</v>
      </c>
      <c r="K309" s="67">
        <f>COUNTIF(_xlfn.XLOOKUP(Table1215[[#This Row],[Name]],Table16[Name],Table16[[September 30, 2025]:[Column18]],,0,1),"&gt;=15")</f>
        <v>0</v>
      </c>
    </row>
    <row r="310" spans="2:11">
      <c r="B310" s="82">
        <f>INDEX(AllTime1[All-time rank], MATCH(SMALL(AllTime1[Helper], ROW(Structures!$G305)), AllTime1[Helper], 0))</f>
        <v>300</v>
      </c>
      <c r="C310" s="64" t="str">
        <f>TEXT(INDEX(AllTime1[Name], MATCH(SMALL(AllTime1[Helper], ROW(Structures!$G305)), AllTime1[Helper], 0)),"@")</f>
        <v>Arianna Tan</v>
      </c>
      <c r="D310" s="64">
        <f>INDEX(AllTime1[All-time score], MATCH(LARGE(AllTime1[Helper2], ROW(Structures!$G305)), AllTime1[Helper2], 0))</f>
        <v>0</v>
      </c>
      <c r="E310" s="64">
        <f>COUNTIF(_xlfn.XLOOKUP(Table1215[[#This Row],[Name]],Table16[Name],Table16[[September 30, 2025]:[Column18]],,0,1),"&gt;=0")</f>
        <v>0</v>
      </c>
      <c r="F310" s="109" t="str">
        <f>_xlfn.XLOOKUP(Table1215[[#This Row],[Name]],Table1624[Name],Table1624[Totals],,0,1)</f>
        <v>N/A</v>
      </c>
      <c r="G310" s="65" t="str">
        <f>IFERROR(Table1215[[#This Row],[Points]]/Table1215[[#This Row],[GP]],"N/A")</f>
        <v>N/A</v>
      </c>
      <c r="H310" s="64">
        <f>COUNTIF(_xlfn.XLOOKUP(Table1215[[#This Row],[Name]],Table16[Name],Table16[[September 30, 2025]:[Column18]],,0,1),"&gt;=8")</f>
        <v>0</v>
      </c>
      <c r="I310" s="110" t="str">
        <f>IFERROR(AVERAGEIF(_xlfn.XLOOKUP(Table1215[[#This Row],[Name]],Table16[Name],Table16[[September 30, 2025]:[Column18]],,0,1),"&gt;=8"),"N/A")</f>
        <v>N/A</v>
      </c>
      <c r="J310" s="66" t="str">
        <f>IFERROR(Table1215[[#This Row],[FTA]]/Table1215[[#This Row],[GP]],"N/A")</f>
        <v>N/A</v>
      </c>
      <c r="K310" s="67">
        <f>COUNTIF(_xlfn.XLOOKUP(Table1215[[#This Row],[Name]],Table16[Name],Table16[[September 30, 2025]:[Column18]],,0,1),"&gt;=15")</f>
        <v>0</v>
      </c>
    </row>
    <row r="311" spans="2:11">
      <c r="B311" s="82">
        <f>INDEX(AllTime1[All-time rank], MATCH(SMALL(AllTime1[Helper], ROW(Structures!$G306)), AllTime1[Helper], 0))</f>
        <v>300</v>
      </c>
      <c r="C311" s="64" t="str">
        <f>TEXT(INDEX(AllTime1[Name], MATCH(SMALL(AllTime1[Helper], ROW(Structures!$G306)), AllTime1[Helper], 0)),"@")</f>
        <v>Ben Murphy</v>
      </c>
      <c r="D311" s="64">
        <f>INDEX(AllTime1[All-time score], MATCH(LARGE(AllTime1[Helper2], ROW(Structures!$G306)), AllTime1[Helper2], 0))</f>
        <v>0</v>
      </c>
      <c r="E311" s="64">
        <f>COUNTIF(_xlfn.XLOOKUP(Table1215[[#This Row],[Name]],Table16[Name],Table16[[September 30, 2025]:[Column18]],,0,1),"&gt;=0")</f>
        <v>0</v>
      </c>
      <c r="F311" s="109" t="str">
        <f>_xlfn.XLOOKUP(Table1215[[#This Row],[Name]],Table1624[Name],Table1624[Totals],,0,1)</f>
        <v>N/A</v>
      </c>
      <c r="G311" s="65" t="str">
        <f>IFERROR(Table1215[[#This Row],[Points]]/Table1215[[#This Row],[GP]],"N/A")</f>
        <v>N/A</v>
      </c>
      <c r="H311" s="64">
        <f>COUNTIF(_xlfn.XLOOKUP(Table1215[[#This Row],[Name]],Table16[Name],Table16[[September 30, 2025]:[Column18]],,0,1),"&gt;=8")</f>
        <v>0</v>
      </c>
      <c r="I311" s="110" t="str">
        <f>IFERROR(AVERAGEIF(_xlfn.XLOOKUP(Table1215[[#This Row],[Name]],Table16[Name],Table16[[September 30, 2025]:[Column18]],,0,1),"&gt;=8"),"N/A")</f>
        <v>N/A</v>
      </c>
      <c r="J311" s="66" t="str">
        <f>IFERROR(Table1215[[#This Row],[FTA]]/Table1215[[#This Row],[GP]],"N/A")</f>
        <v>N/A</v>
      </c>
      <c r="K311" s="67">
        <f>COUNTIF(_xlfn.XLOOKUP(Table1215[[#This Row],[Name]],Table16[Name],Table16[[September 30, 2025]:[Column18]],,0,1),"&gt;=15")</f>
        <v>0</v>
      </c>
    </row>
    <row r="312" spans="2:11">
      <c r="B312" s="82">
        <f>INDEX(AllTime1[All-time rank], MATCH(SMALL(AllTime1[Helper], ROW(Structures!$G307)), AllTime1[Helper], 0))</f>
        <v>300</v>
      </c>
      <c r="C312" s="64" t="str">
        <f>TEXT(INDEX(AllTime1[Name], MATCH(SMALL(AllTime1[Helper], ROW(Structures!$G307)), AllTime1[Helper], 0)),"@")</f>
        <v>Benjamin Le Brun</v>
      </c>
      <c r="D312" s="64">
        <f>INDEX(AllTime1[All-time score], MATCH(LARGE(AllTime1[Helper2], ROW(Structures!$G307)), AllTime1[Helper2], 0))</f>
        <v>0</v>
      </c>
      <c r="E312" s="64">
        <f>COUNTIF(_xlfn.XLOOKUP(Table1215[[#This Row],[Name]],Table16[Name],Table16[[September 30, 2025]:[Column18]],,0,1),"&gt;=0")</f>
        <v>0</v>
      </c>
      <c r="F312" s="109" t="str">
        <f>_xlfn.XLOOKUP(Table1215[[#This Row],[Name]],Table1624[Name],Table1624[Totals],,0,1)</f>
        <v>N/A</v>
      </c>
      <c r="G312" s="65" t="str">
        <f>IFERROR(Table1215[[#This Row],[Points]]/Table1215[[#This Row],[GP]],"N/A")</f>
        <v>N/A</v>
      </c>
      <c r="H312" s="64">
        <f>COUNTIF(_xlfn.XLOOKUP(Table1215[[#This Row],[Name]],Table16[Name],Table16[[September 30, 2025]:[Column18]],,0,1),"&gt;=8")</f>
        <v>0</v>
      </c>
      <c r="I312" s="110" t="str">
        <f>IFERROR(AVERAGEIF(_xlfn.XLOOKUP(Table1215[[#This Row],[Name]],Table16[Name],Table16[[September 30, 2025]:[Column18]],,0,1),"&gt;=8"),"N/A")</f>
        <v>N/A</v>
      </c>
      <c r="J312" s="66" t="str">
        <f>IFERROR(Table1215[[#This Row],[FTA]]/Table1215[[#This Row],[GP]],"N/A")</f>
        <v>N/A</v>
      </c>
      <c r="K312" s="67">
        <f>COUNTIF(_xlfn.XLOOKUP(Table1215[[#This Row],[Name]],Table16[Name],Table16[[September 30, 2025]:[Column18]],,0,1),"&gt;=15")</f>
        <v>0</v>
      </c>
    </row>
    <row r="313" spans="2:11">
      <c r="B313" s="82">
        <f>INDEX(AllTime1[All-time rank], MATCH(SMALL(AllTime1[Helper], ROW(Structures!$G308)), AllTime1[Helper], 0))</f>
        <v>300</v>
      </c>
      <c r="C313" s="64" t="str">
        <f>TEXT(INDEX(AllTime1[Name], MATCH(SMALL(AllTime1[Helper], ROW(Structures!$G308)), AllTime1[Helper], 0)),"@")</f>
        <v>Cameron Tran</v>
      </c>
      <c r="D313" s="64">
        <f>INDEX(AllTime1[All-time score], MATCH(LARGE(AllTime1[Helper2], ROW(Structures!$G308)), AllTime1[Helper2], 0))</f>
        <v>0</v>
      </c>
      <c r="E313" s="64">
        <f>COUNTIF(_xlfn.XLOOKUP(Table1215[[#This Row],[Name]],Table16[Name],Table16[[September 30, 2025]:[Column18]],,0,1),"&gt;=0")</f>
        <v>0</v>
      </c>
      <c r="F313" s="109" t="str">
        <f>_xlfn.XLOOKUP(Table1215[[#This Row],[Name]],Table1624[Name],Table1624[Totals],,0,1)</f>
        <v>N/A</v>
      </c>
      <c r="G313" s="65" t="str">
        <f>IFERROR(Table1215[[#This Row],[Points]]/Table1215[[#This Row],[GP]],"N/A")</f>
        <v>N/A</v>
      </c>
      <c r="H313" s="64">
        <f>COUNTIF(_xlfn.XLOOKUP(Table1215[[#This Row],[Name]],Table16[Name],Table16[[September 30, 2025]:[Column18]],,0,1),"&gt;=8")</f>
        <v>0</v>
      </c>
      <c r="I313" s="110" t="str">
        <f>IFERROR(AVERAGEIF(_xlfn.XLOOKUP(Table1215[[#This Row],[Name]],Table16[Name],Table16[[September 30, 2025]:[Column18]],,0,1),"&gt;=8"),"N/A")</f>
        <v>N/A</v>
      </c>
      <c r="J313" s="66" t="str">
        <f>IFERROR(Table1215[[#This Row],[FTA]]/Table1215[[#This Row],[GP]],"N/A")</f>
        <v>N/A</v>
      </c>
      <c r="K313" s="67">
        <f>COUNTIF(_xlfn.XLOOKUP(Table1215[[#This Row],[Name]],Table16[Name],Table16[[September 30, 2025]:[Column18]],,0,1),"&gt;=15")</f>
        <v>0</v>
      </c>
    </row>
    <row r="314" spans="2:11">
      <c r="B314" s="82">
        <f>INDEX(AllTime1[All-time rank], MATCH(SMALL(AllTime1[Helper], ROW(Structures!$G309)), AllTime1[Helper], 0))</f>
        <v>300</v>
      </c>
      <c r="C314" s="64" t="str">
        <f>TEXT(INDEX(AllTime1[Name], MATCH(SMALL(AllTime1[Helper], ROW(Structures!$G309)), AllTime1[Helper], 0)),"@")</f>
        <v>Christopher Grieve</v>
      </c>
      <c r="D314" s="64">
        <f>INDEX(AllTime1[All-time score], MATCH(LARGE(AllTime1[Helper2], ROW(Structures!$G309)), AllTime1[Helper2], 0))</f>
        <v>0</v>
      </c>
      <c r="E314" s="64">
        <f>COUNTIF(_xlfn.XLOOKUP(Table1215[[#This Row],[Name]],Table16[Name],Table16[[September 30, 2025]:[Column18]],,0,1),"&gt;=0")</f>
        <v>0</v>
      </c>
      <c r="F314" s="109" t="str">
        <f>_xlfn.XLOOKUP(Table1215[[#This Row],[Name]],Table1624[Name],Table1624[Totals],,0,1)</f>
        <v>N/A</v>
      </c>
      <c r="G314" s="65" t="str">
        <f>IFERROR(Table1215[[#This Row],[Points]]/Table1215[[#This Row],[GP]],"N/A")</f>
        <v>N/A</v>
      </c>
      <c r="H314" s="64">
        <f>COUNTIF(_xlfn.XLOOKUP(Table1215[[#This Row],[Name]],Table16[Name],Table16[[September 30, 2025]:[Column18]],,0,1),"&gt;=8")</f>
        <v>0</v>
      </c>
      <c r="I314" s="110" t="str">
        <f>IFERROR(AVERAGEIF(_xlfn.XLOOKUP(Table1215[[#This Row],[Name]],Table16[Name],Table16[[September 30, 2025]:[Column18]],,0,1),"&gt;=8"),"N/A")</f>
        <v>N/A</v>
      </c>
      <c r="J314" s="66" t="str">
        <f>IFERROR(Table1215[[#This Row],[FTA]]/Table1215[[#This Row],[GP]],"N/A")</f>
        <v>N/A</v>
      </c>
      <c r="K314" s="67">
        <f>COUNTIF(_xlfn.XLOOKUP(Table1215[[#This Row],[Name]],Table16[Name],Table16[[September 30, 2025]:[Column18]],,0,1),"&gt;=15")</f>
        <v>0</v>
      </c>
    </row>
    <row r="315" spans="2:11">
      <c r="B315" s="82">
        <f>INDEX(AllTime1[All-time rank], MATCH(SMALL(AllTime1[Helper], ROW(Structures!$G310)), AllTime1[Helper], 0))</f>
        <v>300</v>
      </c>
      <c r="C315" s="64" t="str">
        <f>TEXT(INDEX(AllTime1[Name], MATCH(SMALL(AllTime1[Helper], ROW(Structures!$G310)), AllTime1[Helper], 0)),"@")</f>
        <v>Connor Hung</v>
      </c>
      <c r="D315" s="64">
        <f>INDEX(AllTime1[All-time score], MATCH(LARGE(AllTime1[Helper2], ROW(Structures!$G310)), AllTime1[Helper2], 0))</f>
        <v>0</v>
      </c>
      <c r="E315" s="64">
        <f>COUNTIF(_xlfn.XLOOKUP(Table1215[[#This Row],[Name]],Table16[Name],Table16[[September 30, 2025]:[Column18]],,0,1),"&gt;=0")</f>
        <v>0</v>
      </c>
      <c r="F315" s="109" t="str">
        <f>_xlfn.XLOOKUP(Table1215[[#This Row],[Name]],Table1624[Name],Table1624[Totals],,0,1)</f>
        <v>N/A</v>
      </c>
      <c r="G315" s="65" t="str">
        <f>IFERROR(Table1215[[#This Row],[Points]]/Table1215[[#This Row],[GP]],"N/A")</f>
        <v>N/A</v>
      </c>
      <c r="H315" s="64">
        <f>COUNTIF(_xlfn.XLOOKUP(Table1215[[#This Row],[Name]],Table16[Name],Table16[[September 30, 2025]:[Column18]],,0,1),"&gt;=8")</f>
        <v>0</v>
      </c>
      <c r="I315" s="110" t="str">
        <f>IFERROR(AVERAGEIF(_xlfn.XLOOKUP(Table1215[[#This Row],[Name]],Table16[Name],Table16[[September 30, 2025]:[Column18]],,0,1),"&gt;=8"),"N/A")</f>
        <v>N/A</v>
      </c>
      <c r="J315" s="66" t="str">
        <f>IFERROR(Table1215[[#This Row],[FTA]]/Table1215[[#This Row],[GP]],"N/A")</f>
        <v>N/A</v>
      </c>
      <c r="K315" s="67">
        <f>COUNTIF(_xlfn.XLOOKUP(Table1215[[#This Row],[Name]],Table16[Name],Table16[[September 30, 2025]:[Column18]],,0,1),"&gt;=15")</f>
        <v>0</v>
      </c>
    </row>
    <row r="316" spans="2:11">
      <c r="B316" s="82">
        <f>INDEX(AllTime1[All-time rank], MATCH(SMALL(AllTime1[Helper], ROW(Structures!$G311)), AllTime1[Helper], 0))</f>
        <v>300</v>
      </c>
      <c r="C316" s="64" t="str">
        <f>TEXT(INDEX(AllTime1[Name], MATCH(SMALL(AllTime1[Helper], ROW(Structures!$G311)), AllTime1[Helper], 0)),"@")</f>
        <v>Dan Qiai</v>
      </c>
      <c r="D316" s="64">
        <f>INDEX(AllTime1[All-time score], MATCH(LARGE(AllTime1[Helper2], ROW(Structures!$G311)), AllTime1[Helper2], 0))</f>
        <v>0</v>
      </c>
      <c r="E316" s="64">
        <f>COUNTIF(_xlfn.XLOOKUP(Table1215[[#This Row],[Name]],Table16[Name],Table16[[September 30, 2025]:[Column18]],,0,1),"&gt;=0")</f>
        <v>0</v>
      </c>
      <c r="F316" s="109" t="str">
        <f>_xlfn.XLOOKUP(Table1215[[#This Row],[Name]],Table1624[Name],Table1624[Totals],,0,1)</f>
        <v>N/A</v>
      </c>
      <c r="G316" s="65" t="str">
        <f>IFERROR(Table1215[[#This Row],[Points]]/Table1215[[#This Row],[GP]],"N/A")</f>
        <v>N/A</v>
      </c>
      <c r="H316" s="64">
        <f>COUNTIF(_xlfn.XLOOKUP(Table1215[[#This Row],[Name]],Table16[Name],Table16[[September 30, 2025]:[Column18]],,0,1),"&gt;=8")</f>
        <v>0</v>
      </c>
      <c r="I316" s="110" t="str">
        <f>IFERROR(AVERAGEIF(_xlfn.XLOOKUP(Table1215[[#This Row],[Name]],Table16[Name],Table16[[September 30, 2025]:[Column18]],,0,1),"&gt;=8"),"N/A")</f>
        <v>N/A</v>
      </c>
      <c r="J316" s="66" t="str">
        <f>IFERROR(Table1215[[#This Row],[FTA]]/Table1215[[#This Row],[GP]],"N/A")</f>
        <v>N/A</v>
      </c>
      <c r="K316" s="67">
        <f>COUNTIF(_xlfn.XLOOKUP(Table1215[[#This Row],[Name]],Table16[Name],Table16[[September 30, 2025]:[Column18]],,0,1),"&gt;=15")</f>
        <v>0</v>
      </c>
    </row>
    <row r="317" spans="2:11">
      <c r="B317" s="82">
        <f>INDEX(AllTime1[All-time rank], MATCH(SMALL(AllTime1[Helper], ROW(Structures!$G312)), AllTime1[Helper], 0))</f>
        <v>300</v>
      </c>
      <c r="C317" s="64" t="str">
        <f>TEXT(INDEX(AllTime1[Name], MATCH(SMALL(AllTime1[Helper], ROW(Structures!$G312)), AllTime1[Helper], 0)),"@")</f>
        <v>Echo Bao</v>
      </c>
      <c r="D317" s="64">
        <f>INDEX(AllTime1[All-time score], MATCH(LARGE(AllTime1[Helper2], ROW(Structures!$G312)), AllTime1[Helper2], 0))</f>
        <v>0</v>
      </c>
      <c r="E317" s="64">
        <f>COUNTIF(_xlfn.XLOOKUP(Table1215[[#This Row],[Name]],Table16[Name],Table16[[September 30, 2025]:[Column18]],,0,1),"&gt;=0")</f>
        <v>0</v>
      </c>
      <c r="F317" s="109" t="str">
        <f>_xlfn.XLOOKUP(Table1215[[#This Row],[Name]],Table1624[Name],Table1624[Totals],,0,1)</f>
        <v>N/A</v>
      </c>
      <c r="G317" s="65" t="str">
        <f>IFERROR(Table1215[[#This Row],[Points]]/Table1215[[#This Row],[GP]],"N/A")</f>
        <v>N/A</v>
      </c>
      <c r="H317" s="64">
        <f>COUNTIF(_xlfn.XLOOKUP(Table1215[[#This Row],[Name]],Table16[Name],Table16[[September 30, 2025]:[Column18]],,0,1),"&gt;=8")</f>
        <v>0</v>
      </c>
      <c r="I317" s="110" t="str">
        <f>IFERROR(AVERAGEIF(_xlfn.XLOOKUP(Table1215[[#This Row],[Name]],Table16[Name],Table16[[September 30, 2025]:[Column18]],,0,1),"&gt;=8"),"N/A")</f>
        <v>N/A</v>
      </c>
      <c r="J317" s="66" t="str">
        <f>IFERROR(Table1215[[#This Row],[FTA]]/Table1215[[#This Row],[GP]],"N/A")</f>
        <v>N/A</v>
      </c>
      <c r="K317" s="67">
        <f>COUNTIF(_xlfn.XLOOKUP(Table1215[[#This Row],[Name]],Table16[Name],Table16[[September 30, 2025]:[Column18]],,0,1),"&gt;=15")</f>
        <v>0</v>
      </c>
    </row>
    <row r="318" spans="2:11">
      <c r="B318" s="82">
        <f>INDEX(AllTime1[All-time rank], MATCH(SMALL(AllTime1[Helper], ROW(Structures!$G313)), AllTime1[Helper], 0))</f>
        <v>300</v>
      </c>
      <c r="C318" s="64" t="str">
        <f>TEXT(INDEX(AllTime1[Name], MATCH(SMALL(AllTime1[Helper], ROW(Structures!$G313)), AllTime1[Helper], 0)),"@")</f>
        <v>Eesa Huq</v>
      </c>
      <c r="D318" s="64">
        <f>INDEX(AllTime1[All-time score], MATCH(LARGE(AllTime1[Helper2], ROW(Structures!$G313)), AllTime1[Helper2], 0))</f>
        <v>0</v>
      </c>
      <c r="E318" s="64">
        <f>COUNTIF(_xlfn.XLOOKUP(Table1215[[#This Row],[Name]],Table16[Name],Table16[[September 30, 2025]:[Column18]],,0,1),"&gt;=0")</f>
        <v>0</v>
      </c>
      <c r="F318" s="109" t="str">
        <f>_xlfn.XLOOKUP(Table1215[[#This Row],[Name]],Table1624[Name],Table1624[Totals],,0,1)</f>
        <v>N/A</v>
      </c>
      <c r="G318" s="65" t="str">
        <f>IFERROR(Table1215[[#This Row],[Points]]/Table1215[[#This Row],[GP]],"N/A")</f>
        <v>N/A</v>
      </c>
      <c r="H318" s="64">
        <f>COUNTIF(_xlfn.XLOOKUP(Table1215[[#This Row],[Name]],Table16[Name],Table16[[September 30, 2025]:[Column18]],,0,1),"&gt;=8")</f>
        <v>0</v>
      </c>
      <c r="I318" s="110" t="str">
        <f>IFERROR(AVERAGEIF(_xlfn.XLOOKUP(Table1215[[#This Row],[Name]],Table16[Name],Table16[[September 30, 2025]:[Column18]],,0,1),"&gt;=8"),"N/A")</f>
        <v>N/A</v>
      </c>
      <c r="J318" s="66" t="str">
        <f>IFERROR(Table1215[[#This Row],[FTA]]/Table1215[[#This Row],[GP]],"N/A")</f>
        <v>N/A</v>
      </c>
      <c r="K318" s="67">
        <f>COUNTIF(_xlfn.XLOOKUP(Table1215[[#This Row],[Name]],Table16[Name],Table16[[September 30, 2025]:[Column18]],,0,1),"&gt;=15")</f>
        <v>0</v>
      </c>
    </row>
    <row r="319" spans="2:11">
      <c r="B319" s="82">
        <f>INDEX(AllTime1[All-time rank], MATCH(SMALL(AllTime1[Helper], ROW(Structures!$G314)), AllTime1[Helper], 0))</f>
        <v>300</v>
      </c>
      <c r="C319" s="64" t="str">
        <f>TEXT(INDEX(AllTime1[Name], MATCH(SMALL(AllTime1[Helper], ROW(Structures!$G314)), AllTime1[Helper], 0)),"@")</f>
        <v>Emre Gulyurt</v>
      </c>
      <c r="D319" s="64">
        <f>INDEX(AllTime1[All-time score], MATCH(LARGE(AllTime1[Helper2], ROW(Structures!$G314)), AllTime1[Helper2], 0))</f>
        <v>0</v>
      </c>
      <c r="E319" s="64">
        <f>COUNTIF(_xlfn.XLOOKUP(Table1215[[#This Row],[Name]],Table16[Name],Table16[[September 30, 2025]:[Column18]],,0,1),"&gt;=0")</f>
        <v>0</v>
      </c>
      <c r="F319" s="109" t="str">
        <f>_xlfn.XLOOKUP(Table1215[[#This Row],[Name]],Table1624[Name],Table1624[Totals],,0,1)</f>
        <v>N/A</v>
      </c>
      <c r="G319" s="65" t="str">
        <f>IFERROR(Table1215[[#This Row],[Points]]/Table1215[[#This Row],[GP]],"N/A")</f>
        <v>N/A</v>
      </c>
      <c r="H319" s="64">
        <f>COUNTIF(_xlfn.XLOOKUP(Table1215[[#This Row],[Name]],Table16[Name],Table16[[September 30, 2025]:[Column18]],,0,1),"&gt;=8")</f>
        <v>0</v>
      </c>
      <c r="I319" s="110" t="str">
        <f>IFERROR(AVERAGEIF(_xlfn.XLOOKUP(Table1215[[#This Row],[Name]],Table16[Name],Table16[[September 30, 2025]:[Column18]],,0,1),"&gt;=8"),"N/A")</f>
        <v>N/A</v>
      </c>
      <c r="J319" s="66" t="str">
        <f>IFERROR(Table1215[[#This Row],[FTA]]/Table1215[[#This Row],[GP]],"N/A")</f>
        <v>N/A</v>
      </c>
      <c r="K319" s="67">
        <f>COUNTIF(_xlfn.XLOOKUP(Table1215[[#This Row],[Name]],Table16[Name],Table16[[September 30, 2025]:[Column18]],,0,1),"&gt;=15")</f>
        <v>0</v>
      </c>
    </row>
    <row r="320" spans="2:11">
      <c r="B320" s="82">
        <f>INDEX(AllTime1[All-time rank], MATCH(SMALL(AllTime1[Helper], ROW(Structures!$G315)), AllTime1[Helper], 0))</f>
        <v>300</v>
      </c>
      <c r="C320" s="64" t="str">
        <f>TEXT(INDEX(AllTime1[Name], MATCH(SMALL(AllTime1[Helper], ROW(Structures!$G315)), AllTime1[Helper], 0)),"@")</f>
        <v>Gabriel Casiero</v>
      </c>
      <c r="D320" s="64">
        <f>INDEX(AllTime1[All-time score], MATCH(LARGE(AllTime1[Helper2], ROW(Structures!$G315)), AllTime1[Helper2], 0))</f>
        <v>0</v>
      </c>
      <c r="E320" s="64">
        <f>COUNTIF(_xlfn.XLOOKUP(Table1215[[#This Row],[Name]],Table16[Name],Table16[[September 30, 2025]:[Column18]],,0,1),"&gt;=0")</f>
        <v>0</v>
      </c>
      <c r="F320" s="109" t="str">
        <f>_xlfn.XLOOKUP(Table1215[[#This Row],[Name]],Table1624[Name],Table1624[Totals],,0,1)</f>
        <v>N/A</v>
      </c>
      <c r="G320" s="65" t="str">
        <f>IFERROR(Table1215[[#This Row],[Points]]/Table1215[[#This Row],[GP]],"N/A")</f>
        <v>N/A</v>
      </c>
      <c r="H320" s="64">
        <f>COUNTIF(_xlfn.XLOOKUP(Table1215[[#This Row],[Name]],Table16[Name],Table16[[September 30, 2025]:[Column18]],,0,1),"&gt;=8")</f>
        <v>0</v>
      </c>
      <c r="I320" s="110" t="str">
        <f>IFERROR(AVERAGEIF(_xlfn.XLOOKUP(Table1215[[#This Row],[Name]],Table16[Name],Table16[[September 30, 2025]:[Column18]],,0,1),"&gt;=8"),"N/A")</f>
        <v>N/A</v>
      </c>
      <c r="J320" s="66" t="str">
        <f>IFERROR(Table1215[[#This Row],[FTA]]/Table1215[[#This Row],[GP]],"N/A")</f>
        <v>N/A</v>
      </c>
      <c r="K320" s="67">
        <f>COUNTIF(_xlfn.XLOOKUP(Table1215[[#This Row],[Name]],Table16[Name],Table16[[September 30, 2025]:[Column18]],,0,1),"&gt;=15")</f>
        <v>0</v>
      </c>
    </row>
    <row r="321" spans="2:11">
      <c r="B321" s="82">
        <f>INDEX(AllTime1[All-time rank], MATCH(SMALL(AllTime1[Helper], ROW(Structures!$G316)), AllTime1[Helper], 0))</f>
        <v>300</v>
      </c>
      <c r="C321" s="64" t="str">
        <f>TEXT(INDEX(AllTime1[Name], MATCH(SMALL(AllTime1[Helper], ROW(Structures!$G316)), AllTime1[Helper], 0)),"@")</f>
        <v>Gavin Nichols</v>
      </c>
      <c r="D321" s="64">
        <f>INDEX(AllTime1[All-time score], MATCH(LARGE(AllTime1[Helper2], ROW(Structures!$G316)), AllTime1[Helper2], 0))</f>
        <v>0</v>
      </c>
      <c r="E321" s="64">
        <f>COUNTIF(_xlfn.XLOOKUP(Table1215[[#This Row],[Name]],Table16[Name],Table16[[September 30, 2025]:[Column18]],,0,1),"&gt;=0")</f>
        <v>0</v>
      </c>
      <c r="F321" s="109" t="str">
        <f>_xlfn.XLOOKUP(Table1215[[#This Row],[Name]],Table1624[Name],Table1624[Totals],,0,1)</f>
        <v>N/A</v>
      </c>
      <c r="G321" s="65" t="str">
        <f>IFERROR(Table1215[[#This Row],[Points]]/Table1215[[#This Row],[GP]],"N/A")</f>
        <v>N/A</v>
      </c>
      <c r="H321" s="64">
        <f>COUNTIF(_xlfn.XLOOKUP(Table1215[[#This Row],[Name]],Table16[Name],Table16[[September 30, 2025]:[Column18]],,0,1),"&gt;=8")</f>
        <v>0</v>
      </c>
      <c r="I321" s="110" t="str">
        <f>IFERROR(AVERAGEIF(_xlfn.XLOOKUP(Table1215[[#This Row],[Name]],Table16[Name],Table16[[September 30, 2025]:[Column18]],,0,1),"&gt;=8"),"N/A")</f>
        <v>N/A</v>
      </c>
      <c r="J321" s="66" t="str">
        <f>IFERROR(Table1215[[#This Row],[FTA]]/Table1215[[#This Row],[GP]],"N/A")</f>
        <v>N/A</v>
      </c>
      <c r="K321" s="67">
        <f>COUNTIF(_xlfn.XLOOKUP(Table1215[[#This Row],[Name]],Table16[Name],Table16[[September 30, 2025]:[Column18]],,0,1),"&gt;=15")</f>
        <v>0</v>
      </c>
    </row>
    <row r="322" spans="2:11">
      <c r="B322" s="82">
        <f>INDEX(AllTime1[All-time rank], MATCH(SMALL(AllTime1[Helper], ROW(Structures!$G317)), AllTime1[Helper], 0))</f>
        <v>300</v>
      </c>
      <c r="C322" s="64" t="str">
        <f>TEXT(INDEX(AllTime1[Name], MATCH(SMALL(AllTime1[Helper], ROW(Structures!$G317)), AllTime1[Helper], 0)),"@")</f>
        <v>George Florea</v>
      </c>
      <c r="D322" s="64">
        <f>INDEX(AllTime1[All-time score], MATCH(LARGE(AllTime1[Helper2], ROW(Structures!$G317)), AllTime1[Helper2], 0))</f>
        <v>0</v>
      </c>
      <c r="E322" s="64">
        <f>COUNTIF(_xlfn.XLOOKUP(Table1215[[#This Row],[Name]],Table16[Name],Table16[[September 30, 2025]:[Column18]],,0,1),"&gt;=0")</f>
        <v>0</v>
      </c>
      <c r="F322" s="109" t="str">
        <f>_xlfn.XLOOKUP(Table1215[[#This Row],[Name]],Table1624[Name],Table1624[Totals],,0,1)</f>
        <v>N/A</v>
      </c>
      <c r="G322" s="65" t="str">
        <f>IFERROR(Table1215[[#This Row],[Points]]/Table1215[[#This Row],[GP]],"N/A")</f>
        <v>N/A</v>
      </c>
      <c r="H322" s="64">
        <f>COUNTIF(_xlfn.XLOOKUP(Table1215[[#This Row],[Name]],Table16[Name],Table16[[September 30, 2025]:[Column18]],,0,1),"&gt;=8")</f>
        <v>0</v>
      </c>
      <c r="I322" s="110" t="str">
        <f>IFERROR(AVERAGEIF(_xlfn.XLOOKUP(Table1215[[#This Row],[Name]],Table16[Name],Table16[[September 30, 2025]:[Column18]],,0,1),"&gt;=8"),"N/A")</f>
        <v>N/A</v>
      </c>
      <c r="J322" s="66" t="str">
        <f>IFERROR(Table1215[[#This Row],[FTA]]/Table1215[[#This Row],[GP]],"N/A")</f>
        <v>N/A</v>
      </c>
      <c r="K322" s="67">
        <f>COUNTIF(_xlfn.XLOOKUP(Table1215[[#This Row],[Name]],Table16[Name],Table16[[September 30, 2025]:[Column18]],,0,1),"&gt;=15")</f>
        <v>0</v>
      </c>
    </row>
    <row r="323" spans="2:11">
      <c r="B323" s="82">
        <f>INDEX(AllTime1[All-time rank], MATCH(SMALL(AllTime1[Helper], ROW(Structures!$G318)), AllTime1[Helper], 0))</f>
        <v>300</v>
      </c>
      <c r="C323" s="64" t="str">
        <f>TEXT(INDEX(AllTime1[Name], MATCH(SMALL(AllTime1[Helper], ROW(Structures!$G318)), AllTime1[Helper], 0)),"@")</f>
        <v>Haoyi Wang</v>
      </c>
      <c r="D323" s="64">
        <f>INDEX(AllTime1[All-time score], MATCH(LARGE(AllTime1[Helper2], ROW(Structures!$G318)), AllTime1[Helper2], 0))</f>
        <v>0</v>
      </c>
      <c r="E323" s="64">
        <f>COUNTIF(_xlfn.XLOOKUP(Table1215[[#This Row],[Name]],Table16[Name],Table16[[September 30, 2025]:[Column18]],,0,1),"&gt;=0")</f>
        <v>0</v>
      </c>
      <c r="F323" s="109" t="str">
        <f>_xlfn.XLOOKUP(Table1215[[#This Row],[Name]],Table1624[Name],Table1624[Totals],,0,1)</f>
        <v>N/A</v>
      </c>
      <c r="G323" s="65" t="str">
        <f>IFERROR(Table1215[[#This Row],[Points]]/Table1215[[#This Row],[GP]],"N/A")</f>
        <v>N/A</v>
      </c>
      <c r="H323" s="64">
        <f>COUNTIF(_xlfn.XLOOKUP(Table1215[[#This Row],[Name]],Table16[Name],Table16[[September 30, 2025]:[Column18]],,0,1),"&gt;=8")</f>
        <v>0</v>
      </c>
      <c r="I323" s="110" t="str">
        <f>IFERROR(AVERAGEIF(_xlfn.XLOOKUP(Table1215[[#This Row],[Name]],Table16[Name],Table16[[September 30, 2025]:[Column18]],,0,1),"&gt;=8"),"N/A")</f>
        <v>N/A</v>
      </c>
      <c r="J323" s="66" t="str">
        <f>IFERROR(Table1215[[#This Row],[FTA]]/Table1215[[#This Row],[GP]],"N/A")</f>
        <v>N/A</v>
      </c>
      <c r="K323" s="67">
        <f>COUNTIF(_xlfn.XLOOKUP(Table1215[[#This Row],[Name]],Table16[Name],Table16[[September 30, 2025]:[Column18]],,0,1),"&gt;=15")</f>
        <v>0</v>
      </c>
    </row>
    <row r="324" spans="2:11">
      <c r="B324" s="82">
        <f>INDEX(AllTime1[All-time rank], MATCH(SMALL(AllTime1[Helper], ROW(Structures!$G319)), AllTime1[Helper], 0))</f>
        <v>300</v>
      </c>
      <c r="C324" s="64" t="str">
        <f>TEXT(INDEX(AllTime1[Name], MATCH(SMALL(AllTime1[Helper], ROW(Structures!$G319)), AllTime1[Helper], 0)),"@")</f>
        <v>Ian Johnson</v>
      </c>
      <c r="D324" s="64">
        <f>INDEX(AllTime1[All-time score], MATCH(LARGE(AllTime1[Helper2], ROW(Structures!$G319)), AllTime1[Helper2], 0))</f>
        <v>0</v>
      </c>
      <c r="E324" s="64">
        <f>COUNTIF(_xlfn.XLOOKUP(Table1215[[#This Row],[Name]],Table16[Name],Table16[[September 30, 2025]:[Column18]],,0,1),"&gt;=0")</f>
        <v>0</v>
      </c>
      <c r="F324" s="109" t="str">
        <f>_xlfn.XLOOKUP(Table1215[[#This Row],[Name]],Table1624[Name],Table1624[Totals],,0,1)</f>
        <v>N/A</v>
      </c>
      <c r="G324" s="65" t="str">
        <f>IFERROR(Table1215[[#This Row],[Points]]/Table1215[[#This Row],[GP]],"N/A")</f>
        <v>N/A</v>
      </c>
      <c r="H324" s="64">
        <f>COUNTIF(_xlfn.XLOOKUP(Table1215[[#This Row],[Name]],Table16[Name],Table16[[September 30, 2025]:[Column18]],,0,1),"&gt;=8")</f>
        <v>0</v>
      </c>
      <c r="I324" s="110" t="str">
        <f>IFERROR(AVERAGEIF(_xlfn.XLOOKUP(Table1215[[#This Row],[Name]],Table16[Name],Table16[[September 30, 2025]:[Column18]],,0,1),"&gt;=8"),"N/A")</f>
        <v>N/A</v>
      </c>
      <c r="J324" s="66" t="str">
        <f>IFERROR(Table1215[[#This Row],[FTA]]/Table1215[[#This Row],[GP]],"N/A")</f>
        <v>N/A</v>
      </c>
      <c r="K324" s="67">
        <f>COUNTIF(_xlfn.XLOOKUP(Table1215[[#This Row],[Name]],Table16[Name],Table16[[September 30, 2025]:[Column18]],,0,1),"&gt;=15")</f>
        <v>0</v>
      </c>
    </row>
    <row r="325" spans="2:11">
      <c r="B325" s="82">
        <f>INDEX(AllTime1[All-time rank], MATCH(SMALL(AllTime1[Helper], ROW(Structures!$G320)), AllTime1[Helper], 0))</f>
        <v>300</v>
      </c>
      <c r="C325" s="64" t="str">
        <f>TEXT(INDEX(AllTime1[Name], MATCH(SMALL(AllTime1[Helper], ROW(Structures!$G320)), AllTime1[Helper], 0)),"@")</f>
        <v>Jacob Bailey</v>
      </c>
      <c r="D325" s="64">
        <f>INDEX(AllTime1[All-time score], MATCH(LARGE(AllTime1[Helper2], ROW(Structures!$G320)), AllTime1[Helper2], 0))</f>
        <v>0</v>
      </c>
      <c r="E325" s="64">
        <f>COUNTIF(_xlfn.XLOOKUP(Table1215[[#This Row],[Name]],Table16[Name],Table16[[September 30, 2025]:[Column18]],,0,1),"&gt;=0")</f>
        <v>0</v>
      </c>
      <c r="F325" s="109" t="str">
        <f>_xlfn.XLOOKUP(Table1215[[#This Row],[Name]],Table1624[Name],Table1624[Totals],,0,1)</f>
        <v>N/A</v>
      </c>
      <c r="G325" s="65" t="str">
        <f>IFERROR(Table1215[[#This Row],[Points]]/Table1215[[#This Row],[GP]],"N/A")</f>
        <v>N/A</v>
      </c>
      <c r="H325" s="64">
        <f>COUNTIF(_xlfn.XLOOKUP(Table1215[[#This Row],[Name]],Table16[Name],Table16[[September 30, 2025]:[Column18]],,0,1),"&gt;=8")</f>
        <v>0</v>
      </c>
      <c r="I325" s="110" t="str">
        <f>IFERROR(AVERAGEIF(_xlfn.XLOOKUP(Table1215[[#This Row],[Name]],Table16[Name],Table16[[September 30, 2025]:[Column18]],,0,1),"&gt;=8"),"N/A")</f>
        <v>N/A</v>
      </c>
      <c r="J325" s="66" t="str">
        <f>IFERROR(Table1215[[#This Row],[FTA]]/Table1215[[#This Row],[GP]],"N/A")</f>
        <v>N/A</v>
      </c>
      <c r="K325" s="67">
        <f>COUNTIF(_xlfn.XLOOKUP(Table1215[[#This Row],[Name]],Table16[Name],Table16[[September 30, 2025]:[Column18]],,0,1),"&gt;=15")</f>
        <v>0</v>
      </c>
    </row>
    <row r="326" spans="2:11">
      <c r="B326" s="82">
        <f>INDEX(AllTime1[All-time rank], MATCH(SMALL(AllTime1[Helper], ROW(Structures!$G321)), AllTime1[Helper], 0))</f>
        <v>300</v>
      </c>
      <c r="C326" s="64" t="str">
        <f>TEXT(INDEX(AllTime1[Name], MATCH(SMALL(AllTime1[Helper], ROW(Structures!$G321)), AllTime1[Helper], 0)),"@")</f>
        <v>Jacob Crowley</v>
      </c>
      <c r="D326" s="64">
        <f>INDEX(AllTime1[All-time score], MATCH(LARGE(AllTime1[Helper2], ROW(Structures!$G321)), AllTime1[Helper2], 0))</f>
        <v>0</v>
      </c>
      <c r="E326" s="64">
        <f>COUNTIF(_xlfn.XLOOKUP(Table1215[[#This Row],[Name]],Table16[Name],Table16[[September 30, 2025]:[Column18]],,0,1),"&gt;=0")</f>
        <v>0</v>
      </c>
      <c r="F326" s="109" t="str">
        <f>_xlfn.XLOOKUP(Table1215[[#This Row],[Name]],Table1624[Name],Table1624[Totals],,0,1)</f>
        <v>N/A</v>
      </c>
      <c r="G326" s="65" t="str">
        <f>IFERROR(Table1215[[#This Row],[Points]]/Table1215[[#This Row],[GP]],"N/A")</f>
        <v>N/A</v>
      </c>
      <c r="H326" s="64">
        <f>COUNTIF(_xlfn.XLOOKUP(Table1215[[#This Row],[Name]],Table16[Name],Table16[[September 30, 2025]:[Column18]],,0,1),"&gt;=8")</f>
        <v>0</v>
      </c>
      <c r="I326" s="110" t="str">
        <f>IFERROR(AVERAGEIF(_xlfn.XLOOKUP(Table1215[[#This Row],[Name]],Table16[Name],Table16[[September 30, 2025]:[Column18]],,0,1),"&gt;=8"),"N/A")</f>
        <v>N/A</v>
      </c>
      <c r="J326" s="66" t="str">
        <f>IFERROR(Table1215[[#This Row],[FTA]]/Table1215[[#This Row],[GP]],"N/A")</f>
        <v>N/A</v>
      </c>
      <c r="K326" s="67">
        <f>COUNTIF(_xlfn.XLOOKUP(Table1215[[#This Row],[Name]],Table16[Name],Table16[[September 30, 2025]:[Column18]],,0,1),"&gt;=15")</f>
        <v>0</v>
      </c>
    </row>
    <row r="327" spans="2:11">
      <c r="B327" s="82">
        <f>INDEX(AllTime1[All-time rank], MATCH(SMALL(AllTime1[Helper], ROW(Structures!$G322)), AllTime1[Helper], 0))</f>
        <v>300</v>
      </c>
      <c r="C327" s="64" t="str">
        <f>TEXT(INDEX(AllTime1[Name], MATCH(SMALL(AllTime1[Helper], ROW(Structures!$G322)), AllTime1[Helper], 0)),"@")</f>
        <v>Jakob Smintich</v>
      </c>
      <c r="D327" s="64">
        <f>INDEX(AllTime1[All-time score], MATCH(LARGE(AllTime1[Helper2], ROW(Structures!$G322)), AllTime1[Helper2], 0))</f>
        <v>0</v>
      </c>
      <c r="E327" s="64">
        <f>COUNTIF(_xlfn.XLOOKUP(Table1215[[#This Row],[Name]],Table16[Name],Table16[[September 30, 2025]:[Column18]],,0,1),"&gt;=0")</f>
        <v>0</v>
      </c>
      <c r="F327" s="109" t="str">
        <f>_xlfn.XLOOKUP(Table1215[[#This Row],[Name]],Table1624[Name],Table1624[Totals],,0,1)</f>
        <v>N/A</v>
      </c>
      <c r="G327" s="65" t="str">
        <f>IFERROR(Table1215[[#This Row],[Points]]/Table1215[[#This Row],[GP]],"N/A")</f>
        <v>N/A</v>
      </c>
      <c r="H327" s="64">
        <f>COUNTIF(_xlfn.XLOOKUP(Table1215[[#This Row],[Name]],Table16[Name],Table16[[September 30, 2025]:[Column18]],,0,1),"&gt;=8")</f>
        <v>0</v>
      </c>
      <c r="I327" s="110" t="str">
        <f>IFERROR(AVERAGEIF(_xlfn.XLOOKUP(Table1215[[#This Row],[Name]],Table16[Name],Table16[[September 30, 2025]:[Column18]],,0,1),"&gt;=8"),"N/A")</f>
        <v>N/A</v>
      </c>
      <c r="J327" s="66" t="str">
        <f>IFERROR(Table1215[[#This Row],[FTA]]/Table1215[[#This Row],[GP]],"N/A")</f>
        <v>N/A</v>
      </c>
      <c r="K327" s="67">
        <f>COUNTIF(_xlfn.XLOOKUP(Table1215[[#This Row],[Name]],Table16[Name],Table16[[September 30, 2025]:[Column18]],,0,1),"&gt;=15")</f>
        <v>0</v>
      </c>
    </row>
    <row r="328" spans="2:11">
      <c r="B328" s="82">
        <f>INDEX(AllTime1[All-time rank], MATCH(SMALL(AllTime1[Helper], ROW(Structures!$G323)), AllTime1[Helper], 0))</f>
        <v>300</v>
      </c>
      <c r="C328" s="64" t="str">
        <f>TEXT(INDEX(AllTime1[Name], MATCH(SMALL(AllTime1[Helper], ROW(Structures!$G323)), AllTime1[Helper], 0)),"@")</f>
        <v>Joshua Pascazi</v>
      </c>
      <c r="D328" s="64">
        <f>INDEX(AllTime1[All-time score], MATCH(LARGE(AllTime1[Helper2], ROW(Structures!$G323)), AllTime1[Helper2], 0))</f>
        <v>0</v>
      </c>
      <c r="E328" s="64">
        <f>COUNTIF(_xlfn.XLOOKUP(Table1215[[#This Row],[Name]],Table16[Name],Table16[[September 30, 2025]:[Column18]],,0,1),"&gt;=0")</f>
        <v>0</v>
      </c>
      <c r="F328" s="109" t="str">
        <f>_xlfn.XLOOKUP(Table1215[[#This Row],[Name]],Table1624[Name],Table1624[Totals],,0,1)</f>
        <v>N/A</v>
      </c>
      <c r="G328" s="65" t="str">
        <f>IFERROR(Table1215[[#This Row],[Points]]/Table1215[[#This Row],[GP]],"N/A")</f>
        <v>N/A</v>
      </c>
      <c r="H328" s="64">
        <f>COUNTIF(_xlfn.XLOOKUP(Table1215[[#This Row],[Name]],Table16[Name],Table16[[September 30, 2025]:[Column18]],,0,1),"&gt;=8")</f>
        <v>0</v>
      </c>
      <c r="I328" s="110" t="str">
        <f>IFERROR(AVERAGEIF(_xlfn.XLOOKUP(Table1215[[#This Row],[Name]],Table16[Name],Table16[[September 30, 2025]:[Column18]],,0,1),"&gt;=8"),"N/A")</f>
        <v>N/A</v>
      </c>
      <c r="J328" s="66" t="str">
        <f>IFERROR(Table1215[[#This Row],[FTA]]/Table1215[[#This Row],[GP]],"N/A")</f>
        <v>N/A</v>
      </c>
      <c r="K328" s="67">
        <f>COUNTIF(_xlfn.XLOOKUP(Table1215[[#This Row],[Name]],Table16[Name],Table16[[September 30, 2025]:[Column18]],,0,1),"&gt;=15")</f>
        <v>0</v>
      </c>
    </row>
    <row r="329" spans="2:11">
      <c r="B329" s="82">
        <f>INDEX(AllTime1[All-time rank], MATCH(SMALL(AllTime1[Helper], ROW(Structures!$G324)), AllTime1[Helper], 0))</f>
        <v>300</v>
      </c>
      <c r="C329" s="64" t="str">
        <f>TEXT(INDEX(AllTime1[Name], MATCH(SMALL(AllTime1[Helper], ROW(Structures!$G324)), AllTime1[Helper], 0)),"@")</f>
        <v>Julian Pawchuk</v>
      </c>
      <c r="D329" s="64">
        <f>INDEX(AllTime1[All-time score], MATCH(LARGE(AllTime1[Helper2], ROW(Structures!$G324)), AllTime1[Helper2], 0))</f>
        <v>0</v>
      </c>
      <c r="E329" s="64">
        <f>COUNTIF(_xlfn.XLOOKUP(Table1215[[#This Row],[Name]],Table16[Name],Table16[[September 30, 2025]:[Column18]],,0,1),"&gt;=0")</f>
        <v>0</v>
      </c>
      <c r="F329" s="109" t="str">
        <f>_xlfn.XLOOKUP(Table1215[[#This Row],[Name]],Table1624[Name],Table1624[Totals],,0,1)</f>
        <v>N/A</v>
      </c>
      <c r="G329" s="65" t="str">
        <f>IFERROR(Table1215[[#This Row],[Points]]/Table1215[[#This Row],[GP]],"N/A")</f>
        <v>N/A</v>
      </c>
      <c r="H329" s="64">
        <f>COUNTIF(_xlfn.XLOOKUP(Table1215[[#This Row],[Name]],Table16[Name],Table16[[September 30, 2025]:[Column18]],,0,1),"&gt;=8")</f>
        <v>0</v>
      </c>
      <c r="I329" s="110" t="str">
        <f>IFERROR(AVERAGEIF(_xlfn.XLOOKUP(Table1215[[#This Row],[Name]],Table16[Name],Table16[[September 30, 2025]:[Column18]],,0,1),"&gt;=8"),"N/A")</f>
        <v>N/A</v>
      </c>
      <c r="J329" s="66" t="str">
        <f>IFERROR(Table1215[[#This Row],[FTA]]/Table1215[[#This Row],[GP]],"N/A")</f>
        <v>N/A</v>
      </c>
      <c r="K329" s="67">
        <f>COUNTIF(_xlfn.XLOOKUP(Table1215[[#This Row],[Name]],Table16[Name],Table16[[September 30, 2025]:[Column18]],,0,1),"&gt;=15")</f>
        <v>0</v>
      </c>
    </row>
    <row r="330" spans="2:11">
      <c r="B330" s="82">
        <f>INDEX(AllTime1[All-time rank], MATCH(SMALL(AllTime1[Helper], ROW(Structures!$G325)), AllTime1[Helper], 0))</f>
        <v>300</v>
      </c>
      <c r="C330" s="64" t="str">
        <f>TEXT(INDEX(AllTime1[Name], MATCH(SMALL(AllTime1[Helper], ROW(Structures!$G325)), AllTime1[Helper], 0)),"@")</f>
        <v>Kadin Broomhead</v>
      </c>
      <c r="D330" s="64">
        <f>INDEX(AllTime1[All-time score], MATCH(LARGE(AllTime1[Helper2], ROW(Structures!$G325)), AllTime1[Helper2], 0))</f>
        <v>0</v>
      </c>
      <c r="E330" s="64">
        <f>COUNTIF(_xlfn.XLOOKUP(Table1215[[#This Row],[Name]],Table16[Name],Table16[[September 30, 2025]:[Column18]],,0,1),"&gt;=0")</f>
        <v>0</v>
      </c>
      <c r="F330" s="109" t="str">
        <f>_xlfn.XLOOKUP(Table1215[[#This Row],[Name]],Table1624[Name],Table1624[Totals],,0,1)</f>
        <v>N/A</v>
      </c>
      <c r="G330" s="65" t="str">
        <f>IFERROR(Table1215[[#This Row],[Points]]/Table1215[[#This Row],[GP]],"N/A")</f>
        <v>N/A</v>
      </c>
      <c r="H330" s="64">
        <f>COUNTIF(_xlfn.XLOOKUP(Table1215[[#This Row],[Name]],Table16[Name],Table16[[September 30, 2025]:[Column18]],,0,1),"&gt;=8")</f>
        <v>0</v>
      </c>
      <c r="I330" s="110" t="str">
        <f>IFERROR(AVERAGEIF(_xlfn.XLOOKUP(Table1215[[#This Row],[Name]],Table16[Name],Table16[[September 30, 2025]:[Column18]],,0,1),"&gt;=8"),"N/A")</f>
        <v>N/A</v>
      </c>
      <c r="J330" s="66" t="str">
        <f>IFERROR(Table1215[[#This Row],[FTA]]/Table1215[[#This Row],[GP]],"N/A")</f>
        <v>N/A</v>
      </c>
      <c r="K330" s="67">
        <f>COUNTIF(_xlfn.XLOOKUP(Table1215[[#This Row],[Name]],Table16[Name],Table16[[September 30, 2025]:[Column18]],,0,1),"&gt;=15")</f>
        <v>0</v>
      </c>
    </row>
    <row r="331" spans="2:11">
      <c r="B331" s="82">
        <f>INDEX(AllTime1[All-time rank], MATCH(SMALL(AllTime1[Helper], ROW(Structures!$G326)), AllTime1[Helper], 0))</f>
        <v>300</v>
      </c>
      <c r="C331" s="64" t="str">
        <f>TEXT(INDEX(AllTime1[Name], MATCH(SMALL(AllTime1[Helper], ROW(Structures!$G326)), AllTime1[Helper], 0)),"@")</f>
        <v>Kenodh Ekanayake</v>
      </c>
      <c r="D331" s="64">
        <f>INDEX(AllTime1[All-time score], MATCH(LARGE(AllTime1[Helper2], ROW(Structures!$G326)), AllTime1[Helper2], 0))</f>
        <v>0</v>
      </c>
      <c r="E331" s="64">
        <f>COUNTIF(_xlfn.XLOOKUP(Table1215[[#This Row],[Name]],Table16[Name],Table16[[September 30, 2025]:[Column18]],,0,1),"&gt;=0")</f>
        <v>0</v>
      </c>
      <c r="F331" s="109" t="str">
        <f>_xlfn.XLOOKUP(Table1215[[#This Row],[Name]],Table1624[Name],Table1624[Totals],,0,1)</f>
        <v>N/A</v>
      </c>
      <c r="G331" s="65" t="str">
        <f>IFERROR(Table1215[[#This Row],[Points]]/Table1215[[#This Row],[GP]],"N/A")</f>
        <v>N/A</v>
      </c>
      <c r="H331" s="64">
        <f>COUNTIF(_xlfn.XLOOKUP(Table1215[[#This Row],[Name]],Table16[Name],Table16[[September 30, 2025]:[Column18]],,0,1),"&gt;=8")</f>
        <v>0</v>
      </c>
      <c r="I331" s="110" t="str">
        <f>IFERROR(AVERAGEIF(_xlfn.XLOOKUP(Table1215[[#This Row],[Name]],Table16[Name],Table16[[September 30, 2025]:[Column18]],,0,1),"&gt;=8"),"N/A")</f>
        <v>N/A</v>
      </c>
      <c r="J331" s="66" t="str">
        <f>IFERROR(Table1215[[#This Row],[FTA]]/Table1215[[#This Row],[GP]],"N/A")</f>
        <v>N/A</v>
      </c>
      <c r="K331" s="67">
        <f>COUNTIF(_xlfn.XLOOKUP(Table1215[[#This Row],[Name]],Table16[Name],Table16[[September 30, 2025]:[Column18]],,0,1),"&gt;=15")</f>
        <v>0</v>
      </c>
    </row>
    <row r="332" spans="2:11">
      <c r="B332" s="82">
        <f>INDEX(AllTime1[All-time rank], MATCH(SMALL(AllTime1[Helper], ROW(Structures!$G327)), AllTime1[Helper], 0))</f>
        <v>300</v>
      </c>
      <c r="C332" s="64" t="str">
        <f>TEXT(INDEX(AllTime1[Name], MATCH(SMALL(AllTime1[Helper], ROW(Structures!$G327)), AllTime1[Helper], 0)),"@")</f>
        <v>Kevin Chen</v>
      </c>
      <c r="D332" s="64">
        <f>INDEX(AllTime1[All-time score], MATCH(LARGE(AllTime1[Helper2], ROW(Structures!$G327)), AllTime1[Helper2], 0))</f>
        <v>0</v>
      </c>
      <c r="E332" s="64">
        <f>COUNTIF(_xlfn.XLOOKUP(Table1215[[#This Row],[Name]],Table16[Name],Table16[[September 30, 2025]:[Column18]],,0,1),"&gt;=0")</f>
        <v>0</v>
      </c>
      <c r="F332" s="109" t="str">
        <f>_xlfn.XLOOKUP(Table1215[[#This Row],[Name]],Table1624[Name],Table1624[Totals],,0,1)</f>
        <v>N/A</v>
      </c>
      <c r="G332" s="65" t="str">
        <f>IFERROR(Table1215[[#This Row],[Points]]/Table1215[[#This Row],[GP]],"N/A")</f>
        <v>N/A</v>
      </c>
      <c r="H332" s="64">
        <f>COUNTIF(_xlfn.XLOOKUP(Table1215[[#This Row],[Name]],Table16[Name],Table16[[September 30, 2025]:[Column18]],,0,1),"&gt;=8")</f>
        <v>0</v>
      </c>
      <c r="I332" s="110" t="str">
        <f>IFERROR(AVERAGEIF(_xlfn.XLOOKUP(Table1215[[#This Row],[Name]],Table16[Name],Table16[[September 30, 2025]:[Column18]],,0,1),"&gt;=8"),"N/A")</f>
        <v>N/A</v>
      </c>
      <c r="J332" s="66" t="str">
        <f>IFERROR(Table1215[[#This Row],[FTA]]/Table1215[[#This Row],[GP]],"N/A")</f>
        <v>N/A</v>
      </c>
      <c r="K332" s="67">
        <f>COUNTIF(_xlfn.XLOOKUP(Table1215[[#This Row],[Name]],Table16[Name],Table16[[September 30, 2025]:[Column18]],,0,1),"&gt;=15")</f>
        <v>0</v>
      </c>
    </row>
    <row r="333" spans="2:11">
      <c r="B333" s="82">
        <f>INDEX(AllTime1[All-time rank], MATCH(SMALL(AllTime1[Helper], ROW(Structures!$G328)), AllTime1[Helper], 0))</f>
        <v>300</v>
      </c>
      <c r="C333" s="64" t="str">
        <f>TEXT(INDEX(AllTime1[Name], MATCH(SMALL(AllTime1[Helper], ROW(Structures!$G328)), AllTime1[Helper], 0)),"@")</f>
        <v>Kimia Azizi Mehr</v>
      </c>
      <c r="D333" s="64">
        <f>INDEX(AllTime1[All-time score], MATCH(LARGE(AllTime1[Helper2], ROW(Structures!$G328)), AllTime1[Helper2], 0))</f>
        <v>0</v>
      </c>
      <c r="E333" s="64">
        <f>COUNTIF(_xlfn.XLOOKUP(Table1215[[#This Row],[Name]],Table16[Name],Table16[[September 30, 2025]:[Column18]],,0,1),"&gt;=0")</f>
        <v>0</v>
      </c>
      <c r="F333" s="109" t="str">
        <f>_xlfn.XLOOKUP(Table1215[[#This Row],[Name]],Table1624[Name],Table1624[Totals],,0,1)</f>
        <v>N/A</v>
      </c>
      <c r="G333" s="65" t="str">
        <f>IFERROR(Table1215[[#This Row],[Points]]/Table1215[[#This Row],[GP]],"N/A")</f>
        <v>N/A</v>
      </c>
      <c r="H333" s="64">
        <f>COUNTIF(_xlfn.XLOOKUP(Table1215[[#This Row],[Name]],Table16[Name],Table16[[September 30, 2025]:[Column18]],,0,1),"&gt;=8")</f>
        <v>0</v>
      </c>
      <c r="I333" s="110" t="str">
        <f>IFERROR(AVERAGEIF(_xlfn.XLOOKUP(Table1215[[#This Row],[Name]],Table16[Name],Table16[[September 30, 2025]:[Column18]],,0,1),"&gt;=8"),"N/A")</f>
        <v>N/A</v>
      </c>
      <c r="J333" s="66" t="str">
        <f>IFERROR(Table1215[[#This Row],[FTA]]/Table1215[[#This Row],[GP]],"N/A")</f>
        <v>N/A</v>
      </c>
      <c r="K333" s="67">
        <f>COUNTIF(_xlfn.XLOOKUP(Table1215[[#This Row],[Name]],Table16[Name],Table16[[September 30, 2025]:[Column18]],,0,1),"&gt;=15")</f>
        <v>0</v>
      </c>
    </row>
    <row r="334" spans="2:11">
      <c r="B334" s="82">
        <f>INDEX(AllTime1[All-time rank], MATCH(SMALL(AllTime1[Helper], ROW(Structures!$G329)), AllTime1[Helper], 0))</f>
        <v>300</v>
      </c>
      <c r="C334" s="64" t="str">
        <f>TEXT(INDEX(AllTime1[Name], MATCH(SMALL(AllTime1[Helper], ROW(Structures!$G329)), AllTime1[Helper], 0)),"@")</f>
        <v>Liam Surka</v>
      </c>
      <c r="D334" s="64">
        <f>INDEX(AllTime1[All-time score], MATCH(LARGE(AllTime1[Helper2], ROW(Structures!$G329)), AllTime1[Helper2], 0))</f>
        <v>0</v>
      </c>
      <c r="E334" s="64">
        <f>COUNTIF(_xlfn.XLOOKUP(Table1215[[#This Row],[Name]],Table16[Name],Table16[[September 30, 2025]:[Column18]],,0,1),"&gt;=0")</f>
        <v>0</v>
      </c>
      <c r="F334" s="109" t="str">
        <f>_xlfn.XLOOKUP(Table1215[[#This Row],[Name]],Table1624[Name],Table1624[Totals],,0,1)</f>
        <v>N/A</v>
      </c>
      <c r="G334" s="65" t="str">
        <f>IFERROR(Table1215[[#This Row],[Points]]/Table1215[[#This Row],[GP]],"N/A")</f>
        <v>N/A</v>
      </c>
      <c r="H334" s="64">
        <f>COUNTIF(_xlfn.XLOOKUP(Table1215[[#This Row],[Name]],Table16[Name],Table16[[September 30, 2025]:[Column18]],,0,1),"&gt;=8")</f>
        <v>0</v>
      </c>
      <c r="I334" s="110" t="str">
        <f>IFERROR(AVERAGEIF(_xlfn.XLOOKUP(Table1215[[#This Row],[Name]],Table16[Name],Table16[[September 30, 2025]:[Column18]],,0,1),"&gt;=8"),"N/A")</f>
        <v>N/A</v>
      </c>
      <c r="J334" s="66" t="str">
        <f>IFERROR(Table1215[[#This Row],[FTA]]/Table1215[[#This Row],[GP]],"N/A")</f>
        <v>N/A</v>
      </c>
      <c r="K334" s="67">
        <f>COUNTIF(_xlfn.XLOOKUP(Table1215[[#This Row],[Name]],Table16[Name],Table16[[September 30, 2025]:[Column18]],,0,1),"&gt;=15")</f>
        <v>0</v>
      </c>
    </row>
    <row r="335" spans="2:11">
      <c r="B335" s="82">
        <f>INDEX(AllTime1[All-time rank], MATCH(SMALL(AllTime1[Helper], ROW(Structures!$G330)), AllTime1[Helper], 0))</f>
        <v>300</v>
      </c>
      <c r="C335" s="64" t="str">
        <f>TEXT(INDEX(AllTime1[Name], MATCH(SMALL(AllTime1[Helper], ROW(Structures!$G330)), AllTime1[Helper], 0)),"@")</f>
        <v>Louis Vaupotic</v>
      </c>
      <c r="D335" s="64">
        <f>INDEX(AllTime1[All-time score], MATCH(LARGE(AllTime1[Helper2], ROW(Structures!$G330)), AllTime1[Helper2], 0))</f>
        <v>0</v>
      </c>
      <c r="E335" s="64">
        <f>COUNTIF(_xlfn.XLOOKUP(Table1215[[#This Row],[Name]],Table16[Name],Table16[[September 30, 2025]:[Column18]],,0,1),"&gt;=0")</f>
        <v>0</v>
      </c>
      <c r="F335" s="109" t="str">
        <f>_xlfn.XLOOKUP(Table1215[[#This Row],[Name]],Table1624[Name],Table1624[Totals],,0,1)</f>
        <v>N/A</v>
      </c>
      <c r="G335" s="65" t="str">
        <f>IFERROR(Table1215[[#This Row],[Points]]/Table1215[[#This Row],[GP]],"N/A")</f>
        <v>N/A</v>
      </c>
      <c r="H335" s="64">
        <f>COUNTIF(_xlfn.XLOOKUP(Table1215[[#This Row],[Name]],Table16[Name],Table16[[September 30, 2025]:[Column18]],,0,1),"&gt;=8")</f>
        <v>0</v>
      </c>
      <c r="I335" s="110" t="str">
        <f>IFERROR(AVERAGEIF(_xlfn.XLOOKUP(Table1215[[#This Row],[Name]],Table16[Name],Table16[[September 30, 2025]:[Column18]],,0,1),"&gt;=8"),"N/A")</f>
        <v>N/A</v>
      </c>
      <c r="J335" s="66" t="str">
        <f>IFERROR(Table1215[[#This Row],[FTA]]/Table1215[[#This Row],[GP]],"N/A")</f>
        <v>N/A</v>
      </c>
      <c r="K335" s="67">
        <f>COUNTIF(_xlfn.XLOOKUP(Table1215[[#This Row],[Name]],Table16[Name],Table16[[September 30, 2025]:[Column18]],,0,1),"&gt;=15")</f>
        <v>0</v>
      </c>
    </row>
    <row r="336" spans="2:11">
      <c r="B336" s="82">
        <f>INDEX(AllTime1[All-time rank], MATCH(SMALL(AllTime1[Helper], ROW(Structures!$G331)), AllTime1[Helper], 0))</f>
        <v>300</v>
      </c>
      <c r="C336" s="64" t="str">
        <f>TEXT(INDEX(AllTime1[Name], MATCH(SMALL(AllTime1[Helper], ROW(Structures!$G331)), AllTime1[Helper], 0)),"@")</f>
        <v>Mason Doshi</v>
      </c>
      <c r="D336" s="64">
        <f>INDEX(AllTime1[All-time score], MATCH(LARGE(AllTime1[Helper2], ROW(Structures!$G331)), AllTime1[Helper2], 0))</f>
        <v>0</v>
      </c>
      <c r="E336" s="64">
        <f>COUNTIF(_xlfn.XLOOKUP(Table1215[[#This Row],[Name]],Table16[Name],Table16[[September 30, 2025]:[Column18]],,0,1),"&gt;=0")</f>
        <v>0</v>
      </c>
      <c r="F336" s="109" t="str">
        <f>_xlfn.XLOOKUP(Table1215[[#This Row],[Name]],Table1624[Name],Table1624[Totals],,0,1)</f>
        <v>N/A</v>
      </c>
      <c r="G336" s="65" t="str">
        <f>IFERROR(Table1215[[#This Row],[Points]]/Table1215[[#This Row],[GP]],"N/A")</f>
        <v>N/A</v>
      </c>
      <c r="H336" s="64">
        <f>COUNTIF(_xlfn.XLOOKUP(Table1215[[#This Row],[Name]],Table16[Name],Table16[[September 30, 2025]:[Column18]],,0,1),"&gt;=8")</f>
        <v>0</v>
      </c>
      <c r="I336" s="110" t="str">
        <f>IFERROR(AVERAGEIF(_xlfn.XLOOKUP(Table1215[[#This Row],[Name]],Table16[Name],Table16[[September 30, 2025]:[Column18]],,0,1),"&gt;=8"),"N/A")</f>
        <v>N/A</v>
      </c>
      <c r="J336" s="66" t="str">
        <f>IFERROR(Table1215[[#This Row],[FTA]]/Table1215[[#This Row],[GP]],"N/A")</f>
        <v>N/A</v>
      </c>
      <c r="K336" s="67">
        <f>COUNTIF(_xlfn.XLOOKUP(Table1215[[#This Row],[Name]],Table16[Name],Table16[[September 30, 2025]:[Column18]],,0,1),"&gt;=15")</f>
        <v>0</v>
      </c>
    </row>
    <row r="337" spans="2:11">
      <c r="B337" s="82">
        <f>INDEX(AllTime1[All-time rank], MATCH(SMALL(AllTime1[Helper], ROW(Structures!$G332)), AllTime1[Helper], 0))</f>
        <v>300</v>
      </c>
      <c r="C337" s="64" t="str">
        <f>TEXT(INDEX(AllTime1[Name], MATCH(SMALL(AllTime1[Helper], ROW(Structures!$G332)), AllTime1[Helper], 0)),"@")</f>
        <v>Matthew Pealow</v>
      </c>
      <c r="D337" s="64">
        <f>INDEX(AllTime1[All-time score], MATCH(LARGE(AllTime1[Helper2], ROW(Structures!$G332)), AllTime1[Helper2], 0))</f>
        <v>0</v>
      </c>
      <c r="E337" s="64">
        <f>COUNTIF(_xlfn.XLOOKUP(Table1215[[#This Row],[Name]],Table16[Name],Table16[[September 30, 2025]:[Column18]],,0,1),"&gt;=0")</f>
        <v>0</v>
      </c>
      <c r="F337" s="109" t="str">
        <f>_xlfn.XLOOKUP(Table1215[[#This Row],[Name]],Table1624[Name],Table1624[Totals],,0,1)</f>
        <v>N/A</v>
      </c>
      <c r="G337" s="65" t="str">
        <f>IFERROR(Table1215[[#This Row],[Points]]/Table1215[[#This Row],[GP]],"N/A")</f>
        <v>N/A</v>
      </c>
      <c r="H337" s="64">
        <f>COUNTIF(_xlfn.XLOOKUP(Table1215[[#This Row],[Name]],Table16[Name],Table16[[September 30, 2025]:[Column18]],,0,1),"&gt;=8")</f>
        <v>0</v>
      </c>
      <c r="I337" s="110" t="str">
        <f>IFERROR(AVERAGEIF(_xlfn.XLOOKUP(Table1215[[#This Row],[Name]],Table16[Name],Table16[[September 30, 2025]:[Column18]],,0,1),"&gt;=8"),"N/A")</f>
        <v>N/A</v>
      </c>
      <c r="J337" s="66" t="str">
        <f>IFERROR(Table1215[[#This Row],[FTA]]/Table1215[[#This Row],[GP]],"N/A")</f>
        <v>N/A</v>
      </c>
      <c r="K337" s="67">
        <f>COUNTIF(_xlfn.XLOOKUP(Table1215[[#This Row],[Name]],Table16[Name],Table16[[September 30, 2025]:[Column18]],,0,1),"&gt;=15")</f>
        <v>0</v>
      </c>
    </row>
    <row r="338" spans="2:11">
      <c r="B338" s="82">
        <f>INDEX(AllTime1[All-time rank], MATCH(SMALL(AllTime1[Helper], ROW(Structures!$G333)), AllTime1[Helper], 0))</f>
        <v>300</v>
      </c>
      <c r="C338" s="64" t="str">
        <f>TEXT(INDEX(AllTime1[Name], MATCH(SMALL(AllTime1[Helper], ROW(Structures!$G333)), AllTime1[Helper], 0)),"@")</f>
        <v>Mekayel Qureshi</v>
      </c>
      <c r="D338" s="64">
        <f>INDEX(AllTime1[All-time score], MATCH(LARGE(AllTime1[Helper2], ROW(Structures!$G333)), AllTime1[Helper2], 0))</f>
        <v>0</v>
      </c>
      <c r="E338" s="64">
        <f>COUNTIF(_xlfn.XLOOKUP(Table1215[[#This Row],[Name]],Table16[Name],Table16[[September 30, 2025]:[Column18]],,0,1),"&gt;=0")</f>
        <v>0</v>
      </c>
      <c r="F338" s="109" t="str">
        <f>_xlfn.XLOOKUP(Table1215[[#This Row],[Name]],Table1624[Name],Table1624[Totals],,0,1)</f>
        <v>N/A</v>
      </c>
      <c r="G338" s="65" t="str">
        <f>IFERROR(Table1215[[#This Row],[Points]]/Table1215[[#This Row],[GP]],"N/A")</f>
        <v>N/A</v>
      </c>
      <c r="H338" s="64">
        <f>COUNTIF(_xlfn.XLOOKUP(Table1215[[#This Row],[Name]],Table16[Name],Table16[[September 30, 2025]:[Column18]],,0,1),"&gt;=8")</f>
        <v>0</v>
      </c>
      <c r="I338" s="110" t="str">
        <f>IFERROR(AVERAGEIF(_xlfn.XLOOKUP(Table1215[[#This Row],[Name]],Table16[Name],Table16[[September 30, 2025]:[Column18]],,0,1),"&gt;=8"),"N/A")</f>
        <v>N/A</v>
      </c>
      <c r="J338" s="66" t="str">
        <f>IFERROR(Table1215[[#This Row],[FTA]]/Table1215[[#This Row],[GP]],"N/A")</f>
        <v>N/A</v>
      </c>
      <c r="K338" s="67">
        <f>COUNTIF(_xlfn.XLOOKUP(Table1215[[#This Row],[Name]],Table16[Name],Table16[[September 30, 2025]:[Column18]],,0,1),"&gt;=15")</f>
        <v>0</v>
      </c>
    </row>
    <row r="339" spans="2:11">
      <c r="B339" s="82">
        <f>INDEX(AllTime1[All-time rank], MATCH(SMALL(AllTime1[Helper], ROW(Structures!$G334)), AllTime1[Helper], 0))</f>
        <v>300</v>
      </c>
      <c r="C339" s="64" t="str">
        <f>TEXT(INDEX(AllTime1[Name], MATCH(SMALL(AllTime1[Helper], ROW(Structures!$G334)), AllTime1[Helper], 0)),"@")</f>
        <v>Mia Szavo</v>
      </c>
      <c r="D339" s="64">
        <f>INDEX(AllTime1[All-time score], MATCH(LARGE(AllTime1[Helper2], ROW(Structures!$G334)), AllTime1[Helper2], 0))</f>
        <v>0</v>
      </c>
      <c r="E339" s="64">
        <f>COUNTIF(_xlfn.XLOOKUP(Table1215[[#This Row],[Name]],Table16[Name],Table16[[September 30, 2025]:[Column18]],,0,1),"&gt;=0")</f>
        <v>0</v>
      </c>
      <c r="F339" s="109" t="str">
        <f>_xlfn.XLOOKUP(Table1215[[#This Row],[Name]],Table1624[Name],Table1624[Totals],,0,1)</f>
        <v>N/A</v>
      </c>
      <c r="G339" s="65" t="str">
        <f>IFERROR(Table1215[[#This Row],[Points]]/Table1215[[#This Row],[GP]],"N/A")</f>
        <v>N/A</v>
      </c>
      <c r="H339" s="64">
        <f>COUNTIF(_xlfn.XLOOKUP(Table1215[[#This Row],[Name]],Table16[Name],Table16[[September 30, 2025]:[Column18]],,0,1),"&gt;=8")</f>
        <v>0</v>
      </c>
      <c r="I339" s="110" t="str">
        <f>IFERROR(AVERAGEIF(_xlfn.XLOOKUP(Table1215[[#This Row],[Name]],Table16[Name],Table16[[September 30, 2025]:[Column18]],,0,1),"&gt;=8"),"N/A")</f>
        <v>N/A</v>
      </c>
      <c r="J339" s="66" t="str">
        <f>IFERROR(Table1215[[#This Row],[FTA]]/Table1215[[#This Row],[GP]],"N/A")</f>
        <v>N/A</v>
      </c>
      <c r="K339" s="67">
        <f>COUNTIF(_xlfn.XLOOKUP(Table1215[[#This Row],[Name]],Table16[Name],Table16[[September 30, 2025]:[Column18]],,0,1),"&gt;=15")</f>
        <v>0</v>
      </c>
    </row>
    <row r="340" spans="2:11">
      <c r="B340" s="82">
        <f>INDEX(AllTime1[All-time rank], MATCH(SMALL(AllTime1[Helper], ROW(Structures!$G335)), AllTime1[Helper], 0))</f>
        <v>300</v>
      </c>
      <c r="C340" s="64" t="str">
        <f>TEXT(INDEX(AllTime1[Name], MATCH(SMALL(AllTime1[Helper], ROW(Structures!$G335)), AllTime1[Helper], 0)),"@")</f>
        <v>Michael Xu</v>
      </c>
      <c r="D340" s="64">
        <f>INDEX(AllTime1[All-time score], MATCH(LARGE(AllTime1[Helper2], ROW(Structures!$G335)), AllTime1[Helper2], 0))</f>
        <v>0</v>
      </c>
      <c r="E340" s="64">
        <f>COUNTIF(_xlfn.XLOOKUP(Table1215[[#This Row],[Name]],Table16[Name],Table16[[September 30, 2025]:[Column18]],,0,1),"&gt;=0")</f>
        <v>0</v>
      </c>
      <c r="F340" s="109" t="str">
        <f>_xlfn.XLOOKUP(Table1215[[#This Row],[Name]],Table1624[Name],Table1624[Totals],,0,1)</f>
        <v>N/A</v>
      </c>
      <c r="G340" s="65" t="str">
        <f>IFERROR(Table1215[[#This Row],[Points]]/Table1215[[#This Row],[GP]],"N/A")</f>
        <v>N/A</v>
      </c>
      <c r="H340" s="64">
        <f>COUNTIF(_xlfn.XLOOKUP(Table1215[[#This Row],[Name]],Table16[Name],Table16[[September 30, 2025]:[Column18]],,0,1),"&gt;=8")</f>
        <v>0</v>
      </c>
      <c r="I340" s="110" t="str">
        <f>IFERROR(AVERAGEIF(_xlfn.XLOOKUP(Table1215[[#This Row],[Name]],Table16[Name],Table16[[September 30, 2025]:[Column18]],,0,1),"&gt;=8"),"N/A")</f>
        <v>N/A</v>
      </c>
      <c r="J340" s="66" t="str">
        <f>IFERROR(Table1215[[#This Row],[FTA]]/Table1215[[#This Row],[GP]],"N/A")</f>
        <v>N/A</v>
      </c>
      <c r="K340" s="67">
        <f>COUNTIF(_xlfn.XLOOKUP(Table1215[[#This Row],[Name]],Table16[Name],Table16[[September 30, 2025]:[Column18]],,0,1),"&gt;=15")</f>
        <v>0</v>
      </c>
    </row>
    <row r="341" spans="2:11">
      <c r="B341" s="82">
        <f>INDEX(AllTime1[All-time rank], MATCH(SMALL(AllTime1[Helper], ROW(Structures!$G336)), AllTime1[Helper], 0))</f>
        <v>300</v>
      </c>
      <c r="C341" s="64" t="str">
        <f>TEXT(INDEX(AllTime1[Name], MATCH(SMALL(AllTime1[Helper], ROW(Structures!$G336)), AllTime1[Helper], 0)),"@")</f>
        <v>Nickon Askari</v>
      </c>
      <c r="D341" s="64">
        <f>INDEX(AllTime1[All-time score], MATCH(LARGE(AllTime1[Helper2], ROW(Structures!$G336)), AllTime1[Helper2], 0))</f>
        <v>0</v>
      </c>
      <c r="E341" s="64">
        <f>COUNTIF(_xlfn.XLOOKUP(Table1215[[#This Row],[Name]],Table16[Name],Table16[[September 30, 2025]:[Column18]],,0,1),"&gt;=0")</f>
        <v>0</v>
      </c>
      <c r="F341" s="109" t="str">
        <f>_xlfn.XLOOKUP(Table1215[[#This Row],[Name]],Table1624[Name],Table1624[Totals],,0,1)</f>
        <v>N/A</v>
      </c>
      <c r="G341" s="65" t="str">
        <f>IFERROR(Table1215[[#This Row],[Points]]/Table1215[[#This Row],[GP]],"N/A")</f>
        <v>N/A</v>
      </c>
      <c r="H341" s="64">
        <f>COUNTIF(_xlfn.XLOOKUP(Table1215[[#This Row],[Name]],Table16[Name],Table16[[September 30, 2025]:[Column18]],,0,1),"&gt;=8")</f>
        <v>0</v>
      </c>
      <c r="I341" s="110" t="str">
        <f>IFERROR(AVERAGEIF(_xlfn.XLOOKUP(Table1215[[#This Row],[Name]],Table16[Name],Table16[[September 30, 2025]:[Column18]],,0,1),"&gt;=8"),"N/A")</f>
        <v>N/A</v>
      </c>
      <c r="J341" s="66" t="str">
        <f>IFERROR(Table1215[[#This Row],[FTA]]/Table1215[[#This Row],[GP]],"N/A")</f>
        <v>N/A</v>
      </c>
      <c r="K341" s="67">
        <f>COUNTIF(_xlfn.XLOOKUP(Table1215[[#This Row],[Name]],Table16[Name],Table16[[September 30, 2025]:[Column18]],,0,1),"&gt;=15")</f>
        <v>0</v>
      </c>
    </row>
    <row r="342" spans="2:11">
      <c r="B342" s="82">
        <f>INDEX(AllTime1[All-time rank], MATCH(SMALL(AllTime1[Helper], ROW(Structures!$G337)), AllTime1[Helper], 0))</f>
        <v>300</v>
      </c>
      <c r="C342" s="64" t="str">
        <f>TEXT(INDEX(AllTime1[Name], MATCH(SMALL(AllTime1[Helper], ROW(Structures!$G337)), AllTime1[Helper], 0)),"@")</f>
        <v>Nihal Gill</v>
      </c>
      <c r="D342" s="64">
        <f>INDEX(AllTime1[All-time score], MATCH(LARGE(AllTime1[Helper2], ROW(Structures!$G337)), AllTime1[Helper2], 0))</f>
        <v>0</v>
      </c>
      <c r="E342" s="64">
        <f>COUNTIF(_xlfn.XLOOKUP(Table1215[[#This Row],[Name]],Table16[Name],Table16[[September 30, 2025]:[Column18]],,0,1),"&gt;=0")</f>
        <v>0</v>
      </c>
      <c r="F342" s="109" t="str">
        <f>_xlfn.XLOOKUP(Table1215[[#This Row],[Name]],Table1624[Name],Table1624[Totals],,0,1)</f>
        <v>N/A</v>
      </c>
      <c r="G342" s="65" t="str">
        <f>IFERROR(Table1215[[#This Row],[Points]]/Table1215[[#This Row],[GP]],"N/A")</f>
        <v>N/A</v>
      </c>
      <c r="H342" s="64">
        <f>COUNTIF(_xlfn.XLOOKUP(Table1215[[#This Row],[Name]],Table16[Name],Table16[[September 30, 2025]:[Column18]],,0,1),"&gt;=8")</f>
        <v>0</v>
      </c>
      <c r="I342" s="110" t="str">
        <f>IFERROR(AVERAGEIF(_xlfn.XLOOKUP(Table1215[[#This Row],[Name]],Table16[Name],Table16[[September 30, 2025]:[Column18]],,0,1),"&gt;=8"),"N/A")</f>
        <v>N/A</v>
      </c>
      <c r="J342" s="66" t="str">
        <f>IFERROR(Table1215[[#This Row],[FTA]]/Table1215[[#This Row],[GP]],"N/A")</f>
        <v>N/A</v>
      </c>
      <c r="K342" s="67">
        <f>COUNTIF(_xlfn.XLOOKUP(Table1215[[#This Row],[Name]],Table16[Name],Table16[[September 30, 2025]:[Column18]],,0,1),"&gt;=15")</f>
        <v>0</v>
      </c>
    </row>
    <row r="343" spans="2:11">
      <c r="B343" s="82">
        <f>INDEX(AllTime1[All-time rank], MATCH(SMALL(AllTime1[Helper], ROW(Structures!$G338)), AllTime1[Helper], 0))</f>
        <v>300</v>
      </c>
      <c r="C343" s="64" t="str">
        <f>TEXT(INDEX(AllTime1[Name], MATCH(SMALL(AllTime1[Helper], ROW(Structures!$G338)), AllTime1[Helper], 0)),"@")</f>
        <v>Reid Giasson</v>
      </c>
      <c r="D343" s="64">
        <f>INDEX(AllTime1[All-time score], MATCH(LARGE(AllTime1[Helper2], ROW(Structures!$G338)), AllTime1[Helper2], 0))</f>
        <v>0</v>
      </c>
      <c r="E343" s="64">
        <f>COUNTIF(_xlfn.XLOOKUP(Table1215[[#This Row],[Name]],Table16[Name],Table16[[September 30, 2025]:[Column18]],,0,1),"&gt;=0")</f>
        <v>0</v>
      </c>
      <c r="F343" s="109" t="str">
        <f>_xlfn.XLOOKUP(Table1215[[#This Row],[Name]],Table1624[Name],Table1624[Totals],,0,1)</f>
        <v>N/A</v>
      </c>
      <c r="G343" s="65" t="str">
        <f>IFERROR(Table1215[[#This Row],[Points]]/Table1215[[#This Row],[GP]],"N/A")</f>
        <v>N/A</v>
      </c>
      <c r="H343" s="64">
        <f>COUNTIF(_xlfn.XLOOKUP(Table1215[[#This Row],[Name]],Table16[Name],Table16[[September 30, 2025]:[Column18]],,0,1),"&gt;=8")</f>
        <v>0</v>
      </c>
      <c r="I343" s="110" t="str">
        <f>IFERROR(AVERAGEIF(_xlfn.XLOOKUP(Table1215[[#This Row],[Name]],Table16[Name],Table16[[September 30, 2025]:[Column18]],,0,1),"&gt;=8"),"N/A")</f>
        <v>N/A</v>
      </c>
      <c r="J343" s="66" t="str">
        <f>IFERROR(Table1215[[#This Row],[FTA]]/Table1215[[#This Row],[GP]],"N/A")</f>
        <v>N/A</v>
      </c>
      <c r="K343" s="67">
        <f>COUNTIF(_xlfn.XLOOKUP(Table1215[[#This Row],[Name]],Table16[Name],Table16[[September 30, 2025]:[Column18]],,0,1),"&gt;=15")</f>
        <v>0</v>
      </c>
    </row>
    <row r="344" spans="2:11">
      <c r="B344" s="82">
        <f>INDEX(AllTime1[All-time rank], MATCH(SMALL(AllTime1[Helper], ROW(Structures!$G339)), AllTime1[Helper], 0))</f>
        <v>300</v>
      </c>
      <c r="C344" s="64" t="str">
        <f>TEXT(INDEX(AllTime1[Name], MATCH(SMALL(AllTime1[Helper], ROW(Structures!$G339)), AllTime1[Helper], 0)),"@")</f>
        <v>Rocco Le Donne</v>
      </c>
      <c r="D344" s="64">
        <f>INDEX(AllTime1[All-time score], MATCH(LARGE(AllTime1[Helper2], ROW(Structures!$G339)), AllTime1[Helper2], 0))</f>
        <v>0</v>
      </c>
      <c r="E344" s="64">
        <f>COUNTIF(_xlfn.XLOOKUP(Table1215[[#This Row],[Name]],Table16[Name],Table16[[September 30, 2025]:[Column18]],,0,1),"&gt;=0")</f>
        <v>0</v>
      </c>
      <c r="F344" s="109" t="str">
        <f>_xlfn.XLOOKUP(Table1215[[#This Row],[Name]],Table1624[Name],Table1624[Totals],,0,1)</f>
        <v>N/A</v>
      </c>
      <c r="G344" s="65" t="str">
        <f>IFERROR(Table1215[[#This Row],[Points]]/Table1215[[#This Row],[GP]],"N/A")</f>
        <v>N/A</v>
      </c>
      <c r="H344" s="64">
        <f>COUNTIF(_xlfn.XLOOKUP(Table1215[[#This Row],[Name]],Table16[Name],Table16[[September 30, 2025]:[Column18]],,0,1),"&gt;=8")</f>
        <v>0</v>
      </c>
      <c r="I344" s="110" t="str">
        <f>IFERROR(AVERAGEIF(_xlfn.XLOOKUP(Table1215[[#This Row],[Name]],Table16[Name],Table16[[September 30, 2025]:[Column18]],,0,1),"&gt;=8"),"N/A")</f>
        <v>N/A</v>
      </c>
      <c r="J344" s="66" t="str">
        <f>IFERROR(Table1215[[#This Row],[FTA]]/Table1215[[#This Row],[GP]],"N/A")</f>
        <v>N/A</v>
      </c>
      <c r="K344" s="67">
        <f>COUNTIF(_xlfn.XLOOKUP(Table1215[[#This Row],[Name]],Table16[Name],Table16[[September 30, 2025]:[Column18]],,0,1),"&gt;=15")</f>
        <v>0</v>
      </c>
    </row>
    <row r="345" spans="2:11">
      <c r="B345" s="82">
        <f>INDEX(AllTime1[All-time rank], MATCH(SMALL(AllTime1[Helper], ROW(Structures!$G340)), AllTime1[Helper], 0))</f>
        <v>300</v>
      </c>
      <c r="C345" s="64" t="str">
        <f>TEXT(INDEX(AllTime1[Name], MATCH(SMALL(AllTime1[Helper], ROW(Structures!$G340)), AllTime1[Helper], 0)),"@")</f>
        <v>Rohum Zaman</v>
      </c>
      <c r="D345" s="64">
        <f>INDEX(AllTime1[All-time score], MATCH(LARGE(AllTime1[Helper2], ROW(Structures!$G340)), AllTime1[Helper2], 0))</f>
        <v>0</v>
      </c>
      <c r="E345" s="64">
        <f>COUNTIF(_xlfn.XLOOKUP(Table1215[[#This Row],[Name]],Table16[Name],Table16[[September 30, 2025]:[Column18]],,0,1),"&gt;=0")</f>
        <v>0</v>
      </c>
      <c r="F345" s="109" t="str">
        <f>_xlfn.XLOOKUP(Table1215[[#This Row],[Name]],Table1624[Name],Table1624[Totals],,0,1)</f>
        <v>N/A</v>
      </c>
      <c r="G345" s="65" t="str">
        <f>IFERROR(Table1215[[#This Row],[Points]]/Table1215[[#This Row],[GP]],"N/A")</f>
        <v>N/A</v>
      </c>
      <c r="H345" s="64">
        <f>COUNTIF(_xlfn.XLOOKUP(Table1215[[#This Row],[Name]],Table16[Name],Table16[[September 30, 2025]:[Column18]],,0,1),"&gt;=8")</f>
        <v>0</v>
      </c>
      <c r="I345" s="110" t="str">
        <f>IFERROR(AVERAGEIF(_xlfn.XLOOKUP(Table1215[[#This Row],[Name]],Table16[Name],Table16[[September 30, 2025]:[Column18]],,0,1),"&gt;=8"),"N/A")</f>
        <v>N/A</v>
      </c>
      <c r="J345" s="66" t="str">
        <f>IFERROR(Table1215[[#This Row],[FTA]]/Table1215[[#This Row],[GP]],"N/A")</f>
        <v>N/A</v>
      </c>
      <c r="K345" s="67">
        <f>COUNTIF(_xlfn.XLOOKUP(Table1215[[#This Row],[Name]],Table16[Name],Table16[[September 30, 2025]:[Column18]],,0,1),"&gt;=15")</f>
        <v>0</v>
      </c>
    </row>
    <row r="346" spans="2:11">
      <c r="B346" s="82">
        <f>INDEX(AllTime1[All-time rank], MATCH(SMALL(AllTime1[Helper], ROW(Structures!$G341)), AllTime1[Helper], 0))</f>
        <v>300</v>
      </c>
      <c r="C346" s="64" t="str">
        <f>TEXT(INDEX(AllTime1[Name], MATCH(SMALL(AllTime1[Helper], ROW(Structures!$G341)), AllTime1[Helper], 0)),"@")</f>
        <v>Ryan Song</v>
      </c>
      <c r="D346" s="64">
        <f>INDEX(AllTime1[All-time score], MATCH(LARGE(AllTime1[Helper2], ROW(Structures!$G341)), AllTime1[Helper2], 0))</f>
        <v>0</v>
      </c>
      <c r="E346" s="64">
        <f>COUNTIF(_xlfn.XLOOKUP(Table1215[[#This Row],[Name]],Table16[Name],Table16[[September 30, 2025]:[Column18]],,0,1),"&gt;=0")</f>
        <v>0</v>
      </c>
      <c r="F346" s="109" t="str">
        <f>_xlfn.XLOOKUP(Table1215[[#This Row],[Name]],Table1624[Name],Table1624[Totals],,0,1)</f>
        <v>N/A</v>
      </c>
      <c r="G346" s="65" t="str">
        <f>IFERROR(Table1215[[#This Row],[Points]]/Table1215[[#This Row],[GP]],"N/A")</f>
        <v>N/A</v>
      </c>
      <c r="H346" s="64">
        <f>COUNTIF(_xlfn.XLOOKUP(Table1215[[#This Row],[Name]],Table16[Name],Table16[[September 30, 2025]:[Column18]],,0,1),"&gt;=8")</f>
        <v>0</v>
      </c>
      <c r="I346" s="110" t="str">
        <f>IFERROR(AVERAGEIF(_xlfn.XLOOKUP(Table1215[[#This Row],[Name]],Table16[Name],Table16[[September 30, 2025]:[Column18]],,0,1),"&gt;=8"),"N/A")</f>
        <v>N/A</v>
      </c>
      <c r="J346" s="66" t="str">
        <f>IFERROR(Table1215[[#This Row],[FTA]]/Table1215[[#This Row],[GP]],"N/A")</f>
        <v>N/A</v>
      </c>
      <c r="K346" s="67">
        <f>COUNTIF(_xlfn.XLOOKUP(Table1215[[#This Row],[Name]],Table16[Name],Table16[[September 30, 2025]:[Column18]],,0,1),"&gt;=15")</f>
        <v>0</v>
      </c>
    </row>
    <row r="347" spans="2:11">
      <c r="B347" s="82">
        <f>INDEX(AllTime1[All-time rank], MATCH(SMALL(AllTime1[Helper], ROW(Structures!$G342)), AllTime1[Helper], 0))</f>
        <v>300</v>
      </c>
      <c r="C347" s="64" t="str">
        <f>TEXT(INDEX(AllTime1[Name], MATCH(SMALL(AllTime1[Helper], ROW(Structures!$G342)), AllTime1[Helper], 0)),"@")</f>
        <v>Sebastian Hamilton</v>
      </c>
      <c r="D347" s="64">
        <f>INDEX(AllTime1[All-time score], MATCH(LARGE(AllTime1[Helper2], ROW(Structures!$G342)), AllTime1[Helper2], 0))</f>
        <v>0</v>
      </c>
      <c r="E347" s="64">
        <f>COUNTIF(_xlfn.XLOOKUP(Table1215[[#This Row],[Name]],Table16[Name],Table16[[September 30, 2025]:[Column18]],,0,1),"&gt;=0")</f>
        <v>0</v>
      </c>
      <c r="F347" s="109" t="str">
        <f>_xlfn.XLOOKUP(Table1215[[#This Row],[Name]],Table1624[Name],Table1624[Totals],,0,1)</f>
        <v>N/A</v>
      </c>
      <c r="G347" s="65" t="str">
        <f>IFERROR(Table1215[[#This Row],[Points]]/Table1215[[#This Row],[GP]],"N/A")</f>
        <v>N/A</v>
      </c>
      <c r="H347" s="64">
        <f>COUNTIF(_xlfn.XLOOKUP(Table1215[[#This Row],[Name]],Table16[Name],Table16[[September 30, 2025]:[Column18]],,0,1),"&gt;=8")</f>
        <v>0</v>
      </c>
      <c r="I347" s="110" t="str">
        <f>IFERROR(AVERAGEIF(_xlfn.XLOOKUP(Table1215[[#This Row],[Name]],Table16[Name],Table16[[September 30, 2025]:[Column18]],,0,1),"&gt;=8"),"N/A")</f>
        <v>N/A</v>
      </c>
      <c r="J347" s="66" t="str">
        <f>IFERROR(Table1215[[#This Row],[FTA]]/Table1215[[#This Row],[GP]],"N/A")</f>
        <v>N/A</v>
      </c>
      <c r="K347" s="67">
        <f>COUNTIF(_xlfn.XLOOKUP(Table1215[[#This Row],[Name]],Table16[Name],Table16[[September 30, 2025]:[Column18]],,0,1),"&gt;=15")</f>
        <v>0</v>
      </c>
    </row>
    <row r="348" spans="2:11">
      <c r="B348" s="82">
        <f>INDEX(AllTime1[All-time rank], MATCH(SMALL(AllTime1[Helper], ROW(Structures!$G343)), AllTime1[Helper], 0))</f>
        <v>300</v>
      </c>
      <c r="C348" s="64" t="str">
        <f>TEXT(INDEX(AllTime1[Name], MATCH(SMALL(AllTime1[Helper], ROW(Structures!$G343)), AllTime1[Helper], 0)),"@")</f>
        <v>Sierra Hermary</v>
      </c>
      <c r="D348" s="64">
        <f>INDEX(AllTime1[All-time score], MATCH(LARGE(AllTime1[Helper2], ROW(Structures!$G343)), AllTime1[Helper2], 0))</f>
        <v>0</v>
      </c>
      <c r="E348" s="64">
        <f>COUNTIF(_xlfn.XLOOKUP(Table1215[[#This Row],[Name]],Table16[Name],Table16[[September 30, 2025]:[Column18]],,0,1),"&gt;=0")</f>
        <v>0</v>
      </c>
      <c r="F348" s="109" t="str">
        <f>_xlfn.XLOOKUP(Table1215[[#This Row],[Name]],Table1624[Name],Table1624[Totals],,0,1)</f>
        <v>N/A</v>
      </c>
      <c r="G348" s="65" t="str">
        <f>IFERROR(Table1215[[#This Row],[Points]]/Table1215[[#This Row],[GP]],"N/A")</f>
        <v>N/A</v>
      </c>
      <c r="H348" s="64">
        <f>COUNTIF(_xlfn.XLOOKUP(Table1215[[#This Row],[Name]],Table16[Name],Table16[[September 30, 2025]:[Column18]],,0,1),"&gt;=8")</f>
        <v>0</v>
      </c>
      <c r="I348" s="110" t="str">
        <f>IFERROR(AVERAGEIF(_xlfn.XLOOKUP(Table1215[[#This Row],[Name]],Table16[Name],Table16[[September 30, 2025]:[Column18]],,0,1),"&gt;=8"),"N/A")</f>
        <v>N/A</v>
      </c>
      <c r="J348" s="66" t="str">
        <f>IFERROR(Table1215[[#This Row],[FTA]]/Table1215[[#This Row],[GP]],"N/A")</f>
        <v>N/A</v>
      </c>
      <c r="K348" s="67">
        <f>COUNTIF(_xlfn.XLOOKUP(Table1215[[#This Row],[Name]],Table16[Name],Table16[[September 30, 2025]:[Column18]],,0,1),"&gt;=15")</f>
        <v>0</v>
      </c>
    </row>
    <row r="349" spans="2:11">
      <c r="B349" s="82">
        <f>INDEX(AllTime1[All-time rank], MATCH(SMALL(AllTime1[Helper], ROW(Structures!$G344)), AllTime1[Helper], 0))</f>
        <v>300</v>
      </c>
      <c r="C349" s="64" t="str">
        <f>TEXT(INDEX(AllTime1[Name], MATCH(SMALL(AllTime1[Helper], ROW(Structures!$G344)), AllTime1[Helper], 0)),"@")</f>
        <v>Tomas Cuni</v>
      </c>
      <c r="D349" s="64">
        <f>INDEX(AllTime1[All-time score], MATCH(LARGE(AllTime1[Helper2], ROW(Structures!$G344)), AllTime1[Helper2], 0))</f>
        <v>0</v>
      </c>
      <c r="E349" s="64">
        <f>COUNTIF(_xlfn.XLOOKUP(Table1215[[#This Row],[Name]],Table16[Name],Table16[[September 30, 2025]:[Column18]],,0,1),"&gt;=0")</f>
        <v>0</v>
      </c>
      <c r="F349" s="109" t="str">
        <f>_xlfn.XLOOKUP(Table1215[[#This Row],[Name]],Table1624[Name],Table1624[Totals],,0,1)</f>
        <v>N/A</v>
      </c>
      <c r="G349" s="65" t="str">
        <f>IFERROR(Table1215[[#This Row],[Points]]/Table1215[[#This Row],[GP]],"N/A")</f>
        <v>N/A</v>
      </c>
      <c r="H349" s="64">
        <f>COUNTIF(_xlfn.XLOOKUP(Table1215[[#This Row],[Name]],Table16[Name],Table16[[September 30, 2025]:[Column18]],,0,1),"&gt;=8")</f>
        <v>0</v>
      </c>
      <c r="I349" s="110" t="str">
        <f>IFERROR(AVERAGEIF(_xlfn.XLOOKUP(Table1215[[#This Row],[Name]],Table16[Name],Table16[[September 30, 2025]:[Column18]],,0,1),"&gt;=8"),"N/A")</f>
        <v>N/A</v>
      </c>
      <c r="J349" s="66" t="str">
        <f>IFERROR(Table1215[[#This Row],[FTA]]/Table1215[[#This Row],[GP]],"N/A")</f>
        <v>N/A</v>
      </c>
      <c r="K349" s="67">
        <f>COUNTIF(_xlfn.XLOOKUP(Table1215[[#This Row],[Name]],Table16[Name],Table16[[September 30, 2025]:[Column18]],,0,1),"&gt;=15")</f>
        <v>0</v>
      </c>
    </row>
    <row r="350" spans="2:11">
      <c r="B350" s="82">
        <f>INDEX(AllTime1[All-time rank], MATCH(SMALL(AllTime1[Helper], ROW(Structures!$G345)), AllTime1[Helper], 0))</f>
        <v>300</v>
      </c>
      <c r="C350" s="64" t="str">
        <f>TEXT(INDEX(AllTime1[Name], MATCH(SMALL(AllTime1[Helper], ROW(Structures!$G345)), AllTime1[Helper], 0)),"@")</f>
        <v>Tyler Griffiths</v>
      </c>
      <c r="D350" s="64">
        <f>INDEX(AllTime1[All-time score], MATCH(LARGE(AllTime1[Helper2], ROW(Structures!$G345)), AllTime1[Helper2], 0))</f>
        <v>0</v>
      </c>
      <c r="E350" s="64">
        <f>COUNTIF(_xlfn.XLOOKUP(Table1215[[#This Row],[Name]],Table16[Name],Table16[[September 30, 2025]:[Column18]],,0,1),"&gt;=0")</f>
        <v>0</v>
      </c>
      <c r="F350" s="109" t="str">
        <f>_xlfn.XLOOKUP(Table1215[[#This Row],[Name]],Table1624[Name],Table1624[Totals],,0,1)</f>
        <v>N/A</v>
      </c>
      <c r="G350" s="65" t="str">
        <f>IFERROR(Table1215[[#This Row],[Points]]/Table1215[[#This Row],[GP]],"N/A")</f>
        <v>N/A</v>
      </c>
      <c r="H350" s="64">
        <f>COUNTIF(_xlfn.XLOOKUP(Table1215[[#This Row],[Name]],Table16[Name],Table16[[September 30, 2025]:[Column18]],,0,1),"&gt;=8")</f>
        <v>0</v>
      </c>
      <c r="I350" s="110" t="str">
        <f>IFERROR(AVERAGEIF(_xlfn.XLOOKUP(Table1215[[#This Row],[Name]],Table16[Name],Table16[[September 30, 2025]:[Column18]],,0,1),"&gt;=8"),"N/A")</f>
        <v>N/A</v>
      </c>
      <c r="J350" s="66" t="str">
        <f>IFERROR(Table1215[[#This Row],[FTA]]/Table1215[[#This Row],[GP]],"N/A")</f>
        <v>N/A</v>
      </c>
      <c r="K350" s="67">
        <f>COUNTIF(_xlfn.XLOOKUP(Table1215[[#This Row],[Name]],Table16[Name],Table16[[September 30, 2025]:[Column18]],,0,1),"&gt;=15")</f>
        <v>0</v>
      </c>
    </row>
    <row r="351" spans="2:11">
      <c r="B351" s="82">
        <f>INDEX(AllTime1[All-time rank], MATCH(SMALL(AllTime1[Helper], ROW(Structures!$G346)), AllTime1[Helper], 0))</f>
        <v>300</v>
      </c>
      <c r="C351" s="64" t="str">
        <f>TEXT(INDEX(AllTime1[Name], MATCH(SMALL(AllTime1[Helper], ROW(Structures!$G346)), AllTime1[Helper], 0)),"@")</f>
        <v>Vivaan Master</v>
      </c>
      <c r="D351" s="64">
        <f>INDEX(AllTime1[All-time score], MATCH(LARGE(AllTime1[Helper2], ROW(Structures!$G346)), AllTime1[Helper2], 0))</f>
        <v>0</v>
      </c>
      <c r="E351" s="64">
        <f>COUNTIF(_xlfn.XLOOKUP(Table1215[[#This Row],[Name]],Table16[Name],Table16[[September 30, 2025]:[Column18]],,0,1),"&gt;=0")</f>
        <v>0</v>
      </c>
      <c r="F351" s="109" t="str">
        <f>_xlfn.XLOOKUP(Table1215[[#This Row],[Name]],Table1624[Name],Table1624[Totals],,0,1)</f>
        <v>N/A</v>
      </c>
      <c r="G351" s="65" t="str">
        <f>IFERROR(Table1215[[#This Row],[Points]]/Table1215[[#This Row],[GP]],"N/A")</f>
        <v>N/A</v>
      </c>
      <c r="H351" s="64">
        <f>COUNTIF(_xlfn.XLOOKUP(Table1215[[#This Row],[Name]],Table16[Name],Table16[[September 30, 2025]:[Column18]],,0,1),"&gt;=8")</f>
        <v>0</v>
      </c>
      <c r="I351" s="110" t="str">
        <f>IFERROR(AVERAGEIF(_xlfn.XLOOKUP(Table1215[[#This Row],[Name]],Table16[Name],Table16[[September 30, 2025]:[Column18]],,0,1),"&gt;=8"),"N/A")</f>
        <v>N/A</v>
      </c>
      <c r="J351" s="66" t="str">
        <f>IFERROR(Table1215[[#This Row],[FTA]]/Table1215[[#This Row],[GP]],"N/A")</f>
        <v>N/A</v>
      </c>
      <c r="K351" s="67">
        <f>COUNTIF(_xlfn.XLOOKUP(Table1215[[#This Row],[Name]],Table16[Name],Table16[[September 30, 2025]:[Column18]],,0,1),"&gt;=15")</f>
        <v>0</v>
      </c>
    </row>
    <row r="352" spans="2:11">
      <c r="B352" s="82">
        <f>INDEX(AllTime1[All-time rank], MATCH(SMALL(AllTime1[Helper], ROW(Structures!$G347)), AllTime1[Helper], 0))</f>
        <v>300</v>
      </c>
      <c r="C352" s="64" t="str">
        <f>TEXT(INDEX(AllTime1[Name], MATCH(SMALL(AllTime1[Helper], ROW(Structures!$G347)), AllTime1[Helper], 0)),"@")</f>
        <v>William Meldrum</v>
      </c>
      <c r="D352" s="64">
        <f>INDEX(AllTime1[All-time score], MATCH(LARGE(AllTime1[Helper2], ROW(Structures!$G347)), AllTime1[Helper2], 0))</f>
        <v>0</v>
      </c>
      <c r="E352" s="64">
        <f>COUNTIF(_xlfn.XLOOKUP(Table1215[[#This Row],[Name]],Table16[Name],Table16[[September 30, 2025]:[Column18]],,0,1),"&gt;=0")</f>
        <v>0</v>
      </c>
      <c r="F352" s="109" t="str">
        <f>_xlfn.XLOOKUP(Table1215[[#This Row],[Name]],Table1624[Name],Table1624[Totals],,0,1)</f>
        <v>N/A</v>
      </c>
      <c r="G352" s="65" t="str">
        <f>IFERROR(Table1215[[#This Row],[Points]]/Table1215[[#This Row],[GP]],"N/A")</f>
        <v>N/A</v>
      </c>
      <c r="H352" s="64">
        <f>COUNTIF(_xlfn.XLOOKUP(Table1215[[#This Row],[Name]],Table16[Name],Table16[[September 30, 2025]:[Column18]],,0,1),"&gt;=8")</f>
        <v>0</v>
      </c>
      <c r="I352" s="110" t="str">
        <f>IFERROR(AVERAGEIF(_xlfn.XLOOKUP(Table1215[[#This Row],[Name]],Table16[Name],Table16[[September 30, 2025]:[Column18]],,0,1),"&gt;=8"),"N/A")</f>
        <v>N/A</v>
      </c>
      <c r="J352" s="66" t="str">
        <f>IFERROR(Table1215[[#This Row],[FTA]]/Table1215[[#This Row],[GP]],"N/A")</f>
        <v>N/A</v>
      </c>
      <c r="K352" s="67">
        <f>COUNTIF(_xlfn.XLOOKUP(Table1215[[#This Row],[Name]],Table16[Name],Table16[[September 30, 2025]:[Column18]],,0,1),"&gt;=15")</f>
        <v>0</v>
      </c>
    </row>
    <row r="353" spans="2:11">
      <c r="B353" s="82">
        <f>INDEX(AllTime1[All-time rank], MATCH(SMALL(AllTime1[Helper], ROW(Structures!$G348)), AllTime1[Helper], 0))</f>
        <v>300</v>
      </c>
      <c r="C353" s="64" t="str">
        <f>TEXT(INDEX(AllTime1[Name], MATCH(SMALL(AllTime1[Helper], ROW(Structures!$G348)), AllTime1[Helper], 0)),"@")</f>
        <v>William Wang</v>
      </c>
      <c r="D353" s="64">
        <f>INDEX(AllTime1[All-time score], MATCH(LARGE(AllTime1[Helper2], ROW(Structures!$G348)), AllTime1[Helper2], 0))</f>
        <v>0</v>
      </c>
      <c r="E353" s="64">
        <f>COUNTIF(_xlfn.XLOOKUP(Table1215[[#This Row],[Name]],Table16[Name],Table16[[September 30, 2025]:[Column18]],,0,1),"&gt;=0")</f>
        <v>0</v>
      </c>
      <c r="F353" s="109" t="str">
        <f>_xlfn.XLOOKUP(Table1215[[#This Row],[Name]],Table1624[Name],Table1624[Totals],,0,1)</f>
        <v>N/A</v>
      </c>
      <c r="G353" s="65" t="str">
        <f>IFERROR(Table1215[[#This Row],[Points]]/Table1215[[#This Row],[GP]],"N/A")</f>
        <v>N/A</v>
      </c>
      <c r="H353" s="64">
        <f>COUNTIF(_xlfn.XLOOKUP(Table1215[[#This Row],[Name]],Table16[Name],Table16[[September 30, 2025]:[Column18]],,0,1),"&gt;=8")</f>
        <v>0</v>
      </c>
      <c r="I353" s="110" t="str">
        <f>IFERROR(AVERAGEIF(_xlfn.XLOOKUP(Table1215[[#This Row],[Name]],Table16[Name],Table16[[September 30, 2025]:[Column18]],,0,1),"&gt;=8"),"N/A")</f>
        <v>N/A</v>
      </c>
      <c r="J353" s="66" t="str">
        <f>IFERROR(Table1215[[#This Row],[FTA]]/Table1215[[#This Row],[GP]],"N/A")</f>
        <v>N/A</v>
      </c>
      <c r="K353" s="67">
        <f>COUNTIF(_xlfn.XLOOKUP(Table1215[[#This Row],[Name]],Table16[Name],Table16[[September 30, 2025]:[Column18]],,0,1),"&gt;=15")</f>
        <v>0</v>
      </c>
    </row>
    <row r="354" spans="2:11">
      <c r="B354" s="82">
        <f>INDEX(AllTime1[All-time rank], MATCH(SMALL(AllTime1[Helper], ROW(Structures!$G349)), AllTime1[Helper], 0))</f>
        <v>300</v>
      </c>
      <c r="C354" s="64" t="str">
        <f>TEXT(INDEX(AllTime1[Name], MATCH(SMALL(AllTime1[Helper], ROW(Structures!$G349)), AllTime1[Helper], 0)),"@")</f>
        <v>Zoe Rosenfeld</v>
      </c>
      <c r="D354" s="64">
        <f>INDEX(AllTime1[All-time score], MATCH(LARGE(AllTime1[Helper2], ROW(Structures!$G349)), AllTime1[Helper2], 0))</f>
        <v>0</v>
      </c>
      <c r="E354" s="64">
        <f>COUNTIF(_xlfn.XLOOKUP(Table1215[[#This Row],[Name]],Table16[Name],Table16[[September 30, 2025]:[Column18]],,0,1),"&gt;=0")</f>
        <v>0</v>
      </c>
      <c r="F354" s="109" t="str">
        <f>_xlfn.XLOOKUP(Table1215[[#This Row],[Name]],Table1624[Name],Table1624[Totals],,0,1)</f>
        <v>N/A</v>
      </c>
      <c r="G354" s="65" t="str">
        <f>IFERROR(Table1215[[#This Row],[Points]]/Table1215[[#This Row],[GP]],"N/A")</f>
        <v>N/A</v>
      </c>
      <c r="H354" s="64">
        <f>COUNTIF(_xlfn.XLOOKUP(Table1215[[#This Row],[Name]],Table16[Name],Table16[[September 30, 2025]:[Column18]],,0,1),"&gt;=8")</f>
        <v>0</v>
      </c>
      <c r="I354" s="110" t="str">
        <f>IFERROR(AVERAGEIF(_xlfn.XLOOKUP(Table1215[[#This Row],[Name]],Table16[Name],Table16[[September 30, 2025]:[Column18]],,0,1),"&gt;=8"),"N/A")</f>
        <v>N/A</v>
      </c>
      <c r="J354" s="66" t="str">
        <f>IFERROR(Table1215[[#This Row],[FTA]]/Table1215[[#This Row],[GP]],"N/A")</f>
        <v>N/A</v>
      </c>
      <c r="K354" s="67">
        <f>COUNTIF(_xlfn.XLOOKUP(Table1215[[#This Row],[Name]],Table16[Name],Table16[[September 30, 2025]:[Column18]],,0,1),"&gt;=15")</f>
        <v>0</v>
      </c>
    </row>
    <row r="355" spans="2:11">
      <c r="B355" s="82">
        <f>INDEX(AllTime1[All-time rank], MATCH(SMALL(AllTime1[Helper], ROW(Structures!$G350)), AllTime1[Helper], 0))</f>
        <v>300</v>
      </c>
      <c r="C355" s="64" t="str">
        <f>TEXT(INDEX(AllTime1[Name], MATCH(SMALL(AllTime1[Helper], ROW(Structures!$G350)), AllTime1[Helper], 0)),"@")</f>
        <v>Rayane Jouhere</v>
      </c>
      <c r="D355" s="64">
        <f>INDEX(AllTime1[All-time score], MATCH(LARGE(AllTime1[Helper2], ROW(Structures!$G350)), AllTime1[Helper2], 0))</f>
        <v>0</v>
      </c>
      <c r="E355" s="64">
        <f>COUNTIF(_xlfn.XLOOKUP(Table1215[[#This Row],[Name]],Table16[Name],Table16[[September 30, 2025]:[Column18]],,0,1),"&gt;=0")</f>
        <v>0</v>
      </c>
      <c r="F355" s="109" t="str">
        <f>_xlfn.XLOOKUP(Table1215[[#This Row],[Name]],Table1624[Name],Table1624[Totals],,0,1)</f>
        <v>N/A</v>
      </c>
      <c r="G355" s="65" t="str">
        <f>IFERROR(Table1215[[#This Row],[Points]]/Table1215[[#This Row],[GP]],"N/A")</f>
        <v>N/A</v>
      </c>
      <c r="H355" s="64">
        <f>COUNTIF(_xlfn.XLOOKUP(Table1215[[#This Row],[Name]],Table16[Name],Table16[[September 30, 2025]:[Column18]],,0,1),"&gt;=8")</f>
        <v>0</v>
      </c>
      <c r="I355" s="110" t="str">
        <f>IFERROR(AVERAGEIF(_xlfn.XLOOKUP(Table1215[[#This Row],[Name]],Table16[Name],Table16[[September 30, 2025]:[Column18]],,0,1),"&gt;=8"),"N/A")</f>
        <v>N/A</v>
      </c>
      <c r="J355" s="66" t="str">
        <f>IFERROR(Table1215[[#This Row],[FTA]]/Table1215[[#This Row],[GP]],"N/A")</f>
        <v>N/A</v>
      </c>
      <c r="K355" s="67">
        <f>COUNTIF(_xlfn.XLOOKUP(Table1215[[#This Row],[Name]],Table16[Name],Table16[[September 30, 2025]:[Column18]],,0,1),"&gt;=15")</f>
        <v>0</v>
      </c>
    </row>
    <row r="356" spans="2:11">
      <c r="B356" s="82">
        <f>INDEX(AllTime1[All-time rank], MATCH(SMALL(AllTime1[Helper], ROW(Structures!$G351)), AllTime1[Helper], 0))</f>
        <v>300</v>
      </c>
      <c r="C356" s="64" t="str">
        <f>TEXT(INDEX(AllTime1[Name], MATCH(SMALL(AllTime1[Helper], ROW(Structures!$G351)), AllTime1[Helper], 0)),"@")</f>
        <v/>
      </c>
      <c r="D356" s="64">
        <f>INDEX(AllTime1[All-time score], MATCH(LARGE(AllTime1[Helper2], ROW(Structures!$G351)), AllTime1[Helper2], 0))</f>
        <v>0</v>
      </c>
      <c r="E356" s="64">
        <f>COUNTIF(_xlfn.XLOOKUP(Table1215[[#This Row],[Name]],Table16[Name],Table16[[September 30, 2025]:[Column18]],,0,1),"&gt;=0")</f>
        <v>0</v>
      </c>
      <c r="F356" s="109" t="str">
        <f>_xlfn.XLOOKUP(Table1215[[#This Row],[Name]],Table1624[Name],Table1624[Totals],,0,1)</f>
        <v>N/A</v>
      </c>
      <c r="G356" s="65" t="str">
        <f>IFERROR(Table1215[[#This Row],[Points]]/Table1215[[#This Row],[GP]],"N/A")</f>
        <v>N/A</v>
      </c>
      <c r="H356" s="64">
        <f>COUNTIF(_xlfn.XLOOKUP(Table1215[[#This Row],[Name]],Table16[Name],Table16[[September 30, 2025]:[Column18]],,0,1),"&gt;=8")</f>
        <v>0</v>
      </c>
      <c r="I356" s="110" t="str">
        <f>IFERROR(AVERAGEIF(_xlfn.XLOOKUP(Table1215[[#This Row],[Name]],Table16[Name],Table16[[September 30, 2025]:[Column18]],,0,1),"&gt;=8"),"N/A")</f>
        <v>N/A</v>
      </c>
      <c r="J356" s="66" t="str">
        <f>IFERROR(Table1215[[#This Row],[FTA]]/Table1215[[#This Row],[GP]],"N/A")</f>
        <v>N/A</v>
      </c>
      <c r="K356" s="67">
        <f>COUNTIF(_xlfn.XLOOKUP(Table1215[[#This Row],[Name]],Table16[Name],Table16[[September 30, 2025]:[Column18]],,0,1),"&gt;=15")</f>
        <v>0</v>
      </c>
    </row>
    <row r="357" spans="2:11">
      <c r="B357" s="82">
        <f>INDEX(AllTime1[All-time rank], MATCH(SMALL(AllTime1[Helper], ROW(Structures!$G352)), AllTime1[Helper], 0))</f>
        <v>300</v>
      </c>
      <c r="C357" s="64" t="str">
        <f>TEXT(INDEX(AllTime1[Name], MATCH(SMALL(AllTime1[Helper], ROW(Structures!$G352)), AllTime1[Helper], 0)),"@")</f>
        <v/>
      </c>
      <c r="D357" s="64">
        <f>INDEX(AllTime1[All-time score], MATCH(LARGE(AllTime1[Helper2], ROW(Structures!$G352)), AllTime1[Helper2], 0))</f>
        <v>0</v>
      </c>
      <c r="E357" s="64">
        <f>COUNTIF(_xlfn.XLOOKUP(Table1215[[#This Row],[Name]],Table16[Name],Table16[[September 30, 2025]:[Column18]],,0,1),"&gt;=0")</f>
        <v>0</v>
      </c>
      <c r="F357" s="109" t="str">
        <f>_xlfn.XLOOKUP(Table1215[[#This Row],[Name]],Table1624[Name],Table1624[Totals],,0,1)</f>
        <v>N/A</v>
      </c>
      <c r="G357" s="65" t="str">
        <f>IFERROR(Table1215[[#This Row],[Points]]/Table1215[[#This Row],[GP]],"N/A")</f>
        <v>N/A</v>
      </c>
      <c r="H357" s="64">
        <f>COUNTIF(_xlfn.XLOOKUP(Table1215[[#This Row],[Name]],Table16[Name],Table16[[September 30, 2025]:[Column18]],,0,1),"&gt;=8")</f>
        <v>0</v>
      </c>
      <c r="I357" s="110" t="str">
        <f>IFERROR(AVERAGEIF(_xlfn.XLOOKUP(Table1215[[#This Row],[Name]],Table16[Name],Table16[[September 30, 2025]:[Column18]],,0,1),"&gt;=8"),"N/A")</f>
        <v>N/A</v>
      </c>
      <c r="J357" s="66" t="str">
        <f>IFERROR(Table1215[[#This Row],[FTA]]/Table1215[[#This Row],[GP]],"N/A")</f>
        <v>N/A</v>
      </c>
      <c r="K357" s="67">
        <f>COUNTIF(_xlfn.XLOOKUP(Table1215[[#This Row],[Name]],Table16[Name],Table16[[September 30, 2025]:[Column18]],,0,1),"&gt;=15")</f>
        <v>0</v>
      </c>
    </row>
    <row r="358" spans="2:11">
      <c r="B358" s="82">
        <f>INDEX(AllTime1[All-time rank], MATCH(SMALL(AllTime1[Helper], ROW(Structures!$G353)), AllTime1[Helper], 0))</f>
        <v>300</v>
      </c>
      <c r="C358" s="64" t="str">
        <f>TEXT(INDEX(AllTime1[Name], MATCH(SMALL(AllTime1[Helper], ROW(Structures!$G353)), AllTime1[Helper], 0)),"@")</f>
        <v/>
      </c>
      <c r="D358" s="64">
        <f>INDEX(AllTime1[All-time score], MATCH(LARGE(AllTime1[Helper2], ROW(Structures!$G353)), AllTime1[Helper2], 0))</f>
        <v>0</v>
      </c>
      <c r="E358" s="64">
        <f>COUNTIF(_xlfn.XLOOKUP(Table1215[[#This Row],[Name]],Table16[Name],Table16[[September 30, 2025]:[Column18]],,0,1),"&gt;=0")</f>
        <v>0</v>
      </c>
      <c r="F358" s="109" t="str">
        <f>_xlfn.XLOOKUP(Table1215[[#This Row],[Name]],Table1624[Name],Table1624[Totals],,0,1)</f>
        <v>N/A</v>
      </c>
      <c r="G358" s="65" t="str">
        <f>IFERROR(Table1215[[#This Row],[Points]]/Table1215[[#This Row],[GP]],"N/A")</f>
        <v>N/A</v>
      </c>
      <c r="H358" s="64">
        <f>COUNTIF(_xlfn.XLOOKUP(Table1215[[#This Row],[Name]],Table16[Name],Table16[[September 30, 2025]:[Column18]],,0,1),"&gt;=8")</f>
        <v>0</v>
      </c>
      <c r="I358" s="110" t="str">
        <f>IFERROR(AVERAGEIF(_xlfn.XLOOKUP(Table1215[[#This Row],[Name]],Table16[Name],Table16[[September 30, 2025]:[Column18]],,0,1),"&gt;=8"),"N/A")</f>
        <v>N/A</v>
      </c>
      <c r="J358" s="66" t="str">
        <f>IFERROR(Table1215[[#This Row],[FTA]]/Table1215[[#This Row],[GP]],"N/A")</f>
        <v>N/A</v>
      </c>
      <c r="K358" s="67">
        <f>COUNTIF(_xlfn.XLOOKUP(Table1215[[#This Row],[Name]],Table16[Name],Table16[[September 30, 2025]:[Column18]],,0,1),"&gt;=15")</f>
        <v>0</v>
      </c>
    </row>
    <row r="359" spans="2:11">
      <c r="B359" s="82">
        <f>INDEX(AllTime1[All-time rank], MATCH(SMALL(AllTime1[Helper], ROW(Structures!$G354)), AllTime1[Helper], 0))</f>
        <v>300</v>
      </c>
      <c r="C359" s="64" t="str">
        <f>TEXT(INDEX(AllTime1[Name], MATCH(SMALL(AllTime1[Helper], ROW(Structures!$G354)), AllTime1[Helper], 0)),"@")</f>
        <v/>
      </c>
      <c r="D359" s="64">
        <f>INDEX(AllTime1[All-time score], MATCH(LARGE(AllTime1[Helper2], ROW(Structures!$G354)), AllTime1[Helper2], 0))</f>
        <v>0</v>
      </c>
      <c r="E359" s="64">
        <f>COUNTIF(_xlfn.XLOOKUP(Table1215[[#This Row],[Name]],Table16[Name],Table16[[September 30, 2025]:[Column18]],,0,1),"&gt;=0")</f>
        <v>0</v>
      </c>
      <c r="F359" s="109" t="str">
        <f>_xlfn.XLOOKUP(Table1215[[#This Row],[Name]],Table1624[Name],Table1624[Totals],,0,1)</f>
        <v>N/A</v>
      </c>
      <c r="G359" s="65" t="str">
        <f>IFERROR(Table1215[[#This Row],[Points]]/Table1215[[#This Row],[GP]],"N/A")</f>
        <v>N/A</v>
      </c>
      <c r="H359" s="64">
        <f>COUNTIF(_xlfn.XLOOKUP(Table1215[[#This Row],[Name]],Table16[Name],Table16[[September 30, 2025]:[Column18]],,0,1),"&gt;=8")</f>
        <v>0</v>
      </c>
      <c r="I359" s="110" t="str">
        <f>IFERROR(AVERAGEIF(_xlfn.XLOOKUP(Table1215[[#This Row],[Name]],Table16[Name],Table16[[September 30, 2025]:[Column18]],,0,1),"&gt;=8"),"N/A")</f>
        <v>N/A</v>
      </c>
      <c r="J359" s="66" t="str">
        <f>IFERROR(Table1215[[#This Row],[FTA]]/Table1215[[#This Row],[GP]],"N/A")</f>
        <v>N/A</v>
      </c>
      <c r="K359" s="67">
        <f>COUNTIF(_xlfn.XLOOKUP(Table1215[[#This Row],[Name]],Table16[Name],Table16[[September 30, 2025]:[Column18]],,0,1),"&gt;=15")</f>
        <v>0</v>
      </c>
    </row>
    <row r="360" spans="2:11">
      <c r="B360" s="82">
        <f>INDEX(AllTime1[All-time rank], MATCH(SMALL(AllTime1[Helper], ROW(Structures!$G355)), AllTime1[Helper], 0))</f>
        <v>300</v>
      </c>
      <c r="C360" s="64" t="str">
        <f>TEXT(INDEX(AllTime1[Name], MATCH(SMALL(AllTime1[Helper], ROW(Structures!$G355)), AllTime1[Helper], 0)),"@")</f>
        <v/>
      </c>
      <c r="D360" s="64">
        <f>INDEX(AllTime1[All-time score], MATCH(LARGE(AllTime1[Helper2], ROW(Structures!$G355)), AllTime1[Helper2], 0))</f>
        <v>0</v>
      </c>
      <c r="E360" s="64">
        <f>COUNTIF(_xlfn.XLOOKUP(Table1215[[#This Row],[Name]],Table16[Name],Table16[[September 30, 2025]:[Column18]],,0,1),"&gt;=0")</f>
        <v>0</v>
      </c>
      <c r="F360" s="109" t="str">
        <f>_xlfn.XLOOKUP(Table1215[[#This Row],[Name]],Table1624[Name],Table1624[Totals],,0,1)</f>
        <v>N/A</v>
      </c>
      <c r="G360" s="65" t="str">
        <f>IFERROR(Table1215[[#This Row],[Points]]/Table1215[[#This Row],[GP]],"N/A")</f>
        <v>N/A</v>
      </c>
      <c r="H360" s="64">
        <f>COUNTIF(_xlfn.XLOOKUP(Table1215[[#This Row],[Name]],Table16[Name],Table16[[September 30, 2025]:[Column18]],,0,1),"&gt;=8")</f>
        <v>0</v>
      </c>
      <c r="I360" s="110" t="str">
        <f>IFERROR(AVERAGEIF(_xlfn.XLOOKUP(Table1215[[#This Row],[Name]],Table16[Name],Table16[[September 30, 2025]:[Column18]],,0,1),"&gt;=8"),"N/A")</f>
        <v>N/A</v>
      </c>
      <c r="J360" s="66" t="str">
        <f>IFERROR(Table1215[[#This Row],[FTA]]/Table1215[[#This Row],[GP]],"N/A")</f>
        <v>N/A</v>
      </c>
      <c r="K360" s="67">
        <f>COUNTIF(_xlfn.XLOOKUP(Table1215[[#This Row],[Name]],Table16[Name],Table16[[September 30, 2025]:[Column18]],,0,1),"&gt;=15")</f>
        <v>0</v>
      </c>
    </row>
    <row r="361" spans="2:11">
      <c r="B361" s="82">
        <f>INDEX(AllTime1[All-time rank], MATCH(SMALL(AllTime1[Helper], ROW(Structures!$G356)), AllTime1[Helper], 0))</f>
        <v>300</v>
      </c>
      <c r="C361" s="64" t="str">
        <f>TEXT(INDEX(AllTime1[Name], MATCH(SMALL(AllTime1[Helper], ROW(Structures!$G356)), AllTime1[Helper], 0)),"@")</f>
        <v/>
      </c>
      <c r="D361" s="64">
        <f>INDEX(AllTime1[All-time score], MATCH(LARGE(AllTime1[Helper2], ROW(Structures!$G356)), AllTime1[Helper2], 0))</f>
        <v>0</v>
      </c>
      <c r="E361" s="64">
        <f>COUNTIF(_xlfn.XLOOKUP(Table1215[[#This Row],[Name]],Table16[Name],Table16[[September 30, 2025]:[Column18]],,0,1),"&gt;=0")</f>
        <v>0</v>
      </c>
      <c r="F361" s="109" t="str">
        <f>_xlfn.XLOOKUP(Table1215[[#This Row],[Name]],Table1624[Name],Table1624[Totals],,0,1)</f>
        <v>N/A</v>
      </c>
      <c r="G361" s="65" t="str">
        <f>IFERROR(Table1215[[#This Row],[Points]]/Table1215[[#This Row],[GP]],"N/A")</f>
        <v>N/A</v>
      </c>
      <c r="H361" s="64">
        <f>COUNTIF(_xlfn.XLOOKUP(Table1215[[#This Row],[Name]],Table16[Name],Table16[[September 30, 2025]:[Column18]],,0,1),"&gt;=8")</f>
        <v>0</v>
      </c>
      <c r="I361" s="110" t="str">
        <f>IFERROR(AVERAGEIF(_xlfn.XLOOKUP(Table1215[[#This Row],[Name]],Table16[Name],Table16[[September 30, 2025]:[Column18]],,0,1),"&gt;=8"),"N/A")</f>
        <v>N/A</v>
      </c>
      <c r="J361" s="66" t="str">
        <f>IFERROR(Table1215[[#This Row],[FTA]]/Table1215[[#This Row],[GP]],"N/A")</f>
        <v>N/A</v>
      </c>
      <c r="K361" s="67">
        <f>COUNTIF(_xlfn.XLOOKUP(Table1215[[#This Row],[Name]],Table16[Name],Table16[[September 30, 2025]:[Column18]],,0,1),"&gt;=15")</f>
        <v>0</v>
      </c>
    </row>
    <row r="362" spans="2:11">
      <c r="B362" s="82">
        <f>INDEX(AllTime1[All-time rank], MATCH(SMALL(AllTime1[Helper], ROW(Structures!$G357)), AllTime1[Helper], 0))</f>
        <v>300</v>
      </c>
      <c r="C362" s="64" t="str">
        <f>TEXT(INDEX(AllTime1[Name], MATCH(SMALL(AllTime1[Helper], ROW(Structures!$G357)), AllTime1[Helper], 0)),"@")</f>
        <v/>
      </c>
      <c r="D362" s="64">
        <f>INDEX(AllTime1[All-time score], MATCH(LARGE(AllTime1[Helper2], ROW(Structures!$G357)), AllTime1[Helper2], 0))</f>
        <v>0</v>
      </c>
      <c r="E362" s="64">
        <f>COUNTIF(_xlfn.XLOOKUP(Table1215[[#This Row],[Name]],Table16[Name],Table16[[September 30, 2025]:[Column18]],,0,1),"&gt;=0")</f>
        <v>0</v>
      </c>
      <c r="F362" s="109" t="str">
        <f>_xlfn.XLOOKUP(Table1215[[#This Row],[Name]],Table1624[Name],Table1624[Totals],,0,1)</f>
        <v>N/A</v>
      </c>
      <c r="G362" s="65" t="str">
        <f>IFERROR(Table1215[[#This Row],[Points]]/Table1215[[#This Row],[GP]],"N/A")</f>
        <v>N/A</v>
      </c>
      <c r="H362" s="64">
        <f>COUNTIF(_xlfn.XLOOKUP(Table1215[[#This Row],[Name]],Table16[Name],Table16[[September 30, 2025]:[Column18]],,0,1),"&gt;=8")</f>
        <v>0</v>
      </c>
      <c r="I362" s="110" t="str">
        <f>IFERROR(AVERAGEIF(_xlfn.XLOOKUP(Table1215[[#This Row],[Name]],Table16[Name],Table16[[September 30, 2025]:[Column18]],,0,1),"&gt;=8"),"N/A")</f>
        <v>N/A</v>
      </c>
      <c r="J362" s="66" t="str">
        <f>IFERROR(Table1215[[#This Row],[FTA]]/Table1215[[#This Row],[GP]],"N/A")</f>
        <v>N/A</v>
      </c>
      <c r="K362" s="67">
        <f>COUNTIF(_xlfn.XLOOKUP(Table1215[[#This Row],[Name]],Table16[Name],Table16[[September 30, 2025]:[Column18]],,0,1),"&gt;=15")</f>
        <v>0</v>
      </c>
    </row>
    <row r="363" spans="2:11">
      <c r="B363" s="82">
        <f>INDEX(AllTime1[All-time rank], MATCH(SMALL(AllTime1[Helper], ROW(Structures!$G358)), AllTime1[Helper], 0))</f>
        <v>300</v>
      </c>
      <c r="C363" s="64" t="str">
        <f>TEXT(INDEX(AllTime1[Name], MATCH(SMALL(AllTime1[Helper], ROW(Structures!$G358)), AllTime1[Helper], 0)),"@")</f>
        <v/>
      </c>
      <c r="D363" s="64">
        <f>INDEX(AllTime1[All-time score], MATCH(LARGE(AllTime1[Helper2], ROW(Structures!$G358)), AllTime1[Helper2], 0))</f>
        <v>0</v>
      </c>
      <c r="E363" s="64">
        <f>COUNTIF(_xlfn.XLOOKUP(Table1215[[#This Row],[Name]],Table16[Name],Table16[[September 30, 2025]:[Column18]],,0,1),"&gt;=0")</f>
        <v>0</v>
      </c>
      <c r="F363" s="109" t="str">
        <f>_xlfn.XLOOKUP(Table1215[[#This Row],[Name]],Table1624[Name],Table1624[Totals],,0,1)</f>
        <v>N/A</v>
      </c>
      <c r="G363" s="65" t="str">
        <f>IFERROR(Table1215[[#This Row],[Points]]/Table1215[[#This Row],[GP]],"N/A")</f>
        <v>N/A</v>
      </c>
      <c r="H363" s="64">
        <f>COUNTIF(_xlfn.XLOOKUP(Table1215[[#This Row],[Name]],Table16[Name],Table16[[September 30, 2025]:[Column18]],,0,1),"&gt;=8")</f>
        <v>0</v>
      </c>
      <c r="I363" s="110" t="str">
        <f>IFERROR(AVERAGEIF(_xlfn.XLOOKUP(Table1215[[#This Row],[Name]],Table16[Name],Table16[[September 30, 2025]:[Column18]],,0,1),"&gt;=8"),"N/A")</f>
        <v>N/A</v>
      </c>
      <c r="J363" s="66" t="str">
        <f>IFERROR(Table1215[[#This Row],[FTA]]/Table1215[[#This Row],[GP]],"N/A")</f>
        <v>N/A</v>
      </c>
      <c r="K363" s="67">
        <f>COUNTIF(_xlfn.XLOOKUP(Table1215[[#This Row],[Name]],Table16[Name],Table16[[September 30, 2025]:[Column18]],,0,1),"&gt;=15")</f>
        <v>0</v>
      </c>
    </row>
    <row r="364" spans="2:11">
      <c r="B364" s="82">
        <f>INDEX(AllTime1[All-time rank], MATCH(SMALL(AllTime1[Helper], ROW(Structures!$G359)), AllTime1[Helper], 0))</f>
        <v>300</v>
      </c>
      <c r="C364" s="64" t="str">
        <f>TEXT(INDEX(AllTime1[Name], MATCH(SMALL(AllTime1[Helper], ROW(Structures!$G359)), AllTime1[Helper], 0)),"@")</f>
        <v/>
      </c>
      <c r="D364" s="64">
        <f>INDEX(AllTime1[All-time score], MATCH(LARGE(AllTime1[Helper2], ROW(Structures!$G359)), AllTime1[Helper2], 0))</f>
        <v>0</v>
      </c>
      <c r="E364" s="64">
        <f>COUNTIF(_xlfn.XLOOKUP(Table1215[[#This Row],[Name]],Table16[Name],Table16[[September 30, 2025]:[Column18]],,0,1),"&gt;=0")</f>
        <v>0</v>
      </c>
      <c r="F364" s="109" t="str">
        <f>_xlfn.XLOOKUP(Table1215[[#This Row],[Name]],Table1624[Name],Table1624[Totals],,0,1)</f>
        <v>N/A</v>
      </c>
      <c r="G364" s="65" t="str">
        <f>IFERROR(Table1215[[#This Row],[Points]]/Table1215[[#This Row],[GP]],"N/A")</f>
        <v>N/A</v>
      </c>
      <c r="H364" s="64">
        <f>COUNTIF(_xlfn.XLOOKUP(Table1215[[#This Row],[Name]],Table16[Name],Table16[[September 30, 2025]:[Column18]],,0,1),"&gt;=8")</f>
        <v>0</v>
      </c>
      <c r="I364" s="110" t="str">
        <f>IFERROR(AVERAGEIF(_xlfn.XLOOKUP(Table1215[[#This Row],[Name]],Table16[Name],Table16[[September 30, 2025]:[Column18]],,0,1),"&gt;=8"),"N/A")</f>
        <v>N/A</v>
      </c>
      <c r="J364" s="66" t="str">
        <f>IFERROR(Table1215[[#This Row],[FTA]]/Table1215[[#This Row],[GP]],"N/A")</f>
        <v>N/A</v>
      </c>
      <c r="K364" s="67">
        <f>COUNTIF(_xlfn.XLOOKUP(Table1215[[#This Row],[Name]],Table16[Name],Table16[[September 30, 2025]:[Column18]],,0,1),"&gt;=15")</f>
        <v>0</v>
      </c>
    </row>
    <row r="365" spans="2:11">
      <c r="B365" s="82">
        <f>INDEX(AllTime1[All-time rank], MATCH(SMALL(AllTime1[Helper], ROW(Structures!$G360)), AllTime1[Helper], 0))</f>
        <v>300</v>
      </c>
      <c r="C365" s="64" t="str">
        <f>TEXT(INDEX(AllTime1[Name], MATCH(SMALL(AllTime1[Helper], ROW(Structures!$G360)), AllTime1[Helper], 0)),"@")</f>
        <v/>
      </c>
      <c r="D365" s="64">
        <f>INDEX(AllTime1[All-time score], MATCH(LARGE(AllTime1[Helper2], ROW(Structures!$G360)), AllTime1[Helper2], 0))</f>
        <v>0</v>
      </c>
      <c r="E365" s="64">
        <f>COUNTIF(_xlfn.XLOOKUP(Table1215[[#This Row],[Name]],Table16[Name],Table16[[September 30, 2025]:[Column18]],,0,1),"&gt;=0")</f>
        <v>0</v>
      </c>
      <c r="F365" s="109" t="str">
        <f>_xlfn.XLOOKUP(Table1215[[#This Row],[Name]],Table1624[Name],Table1624[Totals],,0,1)</f>
        <v>N/A</v>
      </c>
      <c r="G365" s="65" t="str">
        <f>IFERROR(Table1215[[#This Row],[Points]]/Table1215[[#This Row],[GP]],"N/A")</f>
        <v>N/A</v>
      </c>
      <c r="H365" s="64">
        <f>COUNTIF(_xlfn.XLOOKUP(Table1215[[#This Row],[Name]],Table16[Name],Table16[[September 30, 2025]:[Column18]],,0,1),"&gt;=8")</f>
        <v>0</v>
      </c>
      <c r="I365" s="110" t="str">
        <f>IFERROR(AVERAGEIF(_xlfn.XLOOKUP(Table1215[[#This Row],[Name]],Table16[Name],Table16[[September 30, 2025]:[Column18]],,0,1),"&gt;=8"),"N/A")</f>
        <v>N/A</v>
      </c>
      <c r="J365" s="66" t="str">
        <f>IFERROR(Table1215[[#This Row],[FTA]]/Table1215[[#This Row],[GP]],"N/A")</f>
        <v>N/A</v>
      </c>
      <c r="K365" s="67">
        <f>COUNTIF(_xlfn.XLOOKUP(Table1215[[#This Row],[Name]],Table16[Name],Table16[[September 30, 2025]:[Column18]],,0,1),"&gt;=15")</f>
        <v>0</v>
      </c>
    </row>
    <row r="366" spans="2:11">
      <c r="B366" s="82">
        <f>INDEX(AllTime1[All-time rank], MATCH(SMALL(AllTime1[Helper], ROW(Structures!$G361)), AllTime1[Helper], 0))</f>
        <v>300</v>
      </c>
      <c r="C366" s="64" t="str">
        <f>TEXT(INDEX(AllTime1[Name], MATCH(SMALL(AllTime1[Helper], ROW(Structures!$G361)), AllTime1[Helper], 0)),"@")</f>
        <v/>
      </c>
      <c r="D366" s="64">
        <f>INDEX(AllTime1[All-time score], MATCH(LARGE(AllTime1[Helper2], ROW(Structures!$G361)), AllTime1[Helper2], 0))</f>
        <v>0</v>
      </c>
      <c r="E366" s="64">
        <f>COUNTIF(_xlfn.XLOOKUP(Table1215[[#This Row],[Name]],Table16[Name],Table16[[September 30, 2025]:[Column18]],,0,1),"&gt;=0")</f>
        <v>0</v>
      </c>
      <c r="F366" s="109" t="str">
        <f>_xlfn.XLOOKUP(Table1215[[#This Row],[Name]],Table1624[Name],Table1624[Totals],,0,1)</f>
        <v>N/A</v>
      </c>
      <c r="G366" s="65" t="str">
        <f>IFERROR(Table1215[[#This Row],[Points]]/Table1215[[#This Row],[GP]],"N/A")</f>
        <v>N/A</v>
      </c>
      <c r="H366" s="64">
        <f>COUNTIF(_xlfn.XLOOKUP(Table1215[[#This Row],[Name]],Table16[Name],Table16[[September 30, 2025]:[Column18]],,0,1),"&gt;=8")</f>
        <v>0</v>
      </c>
      <c r="I366" s="110" t="str">
        <f>IFERROR(AVERAGEIF(_xlfn.XLOOKUP(Table1215[[#This Row],[Name]],Table16[Name],Table16[[September 30, 2025]:[Column18]],,0,1),"&gt;=8"),"N/A")</f>
        <v>N/A</v>
      </c>
      <c r="J366" s="66" t="str">
        <f>IFERROR(Table1215[[#This Row],[FTA]]/Table1215[[#This Row],[GP]],"N/A")</f>
        <v>N/A</v>
      </c>
      <c r="K366" s="67">
        <f>COUNTIF(_xlfn.XLOOKUP(Table1215[[#This Row],[Name]],Table16[Name],Table16[[September 30, 2025]:[Column18]],,0,1),"&gt;=15")</f>
        <v>0</v>
      </c>
    </row>
    <row r="367" spans="2:11">
      <c r="B367" s="82">
        <f>INDEX(AllTime1[All-time rank], MATCH(SMALL(AllTime1[Helper], ROW(Structures!$G362)), AllTime1[Helper], 0))</f>
        <v>300</v>
      </c>
      <c r="C367" s="64" t="str">
        <f>TEXT(INDEX(AllTime1[Name], MATCH(SMALL(AllTime1[Helper], ROW(Structures!$G362)), AllTime1[Helper], 0)),"@")</f>
        <v/>
      </c>
      <c r="D367" s="64">
        <f>INDEX(AllTime1[All-time score], MATCH(LARGE(AllTime1[Helper2], ROW(Structures!$G362)), AllTime1[Helper2], 0))</f>
        <v>0</v>
      </c>
      <c r="E367" s="64">
        <f>COUNTIF(_xlfn.XLOOKUP(Table1215[[#This Row],[Name]],Table16[Name],Table16[[September 30, 2025]:[Column18]],,0,1),"&gt;=0")</f>
        <v>0</v>
      </c>
      <c r="F367" s="109" t="str">
        <f>_xlfn.XLOOKUP(Table1215[[#This Row],[Name]],Table1624[Name],Table1624[Totals],,0,1)</f>
        <v>N/A</v>
      </c>
      <c r="G367" s="65" t="str">
        <f>IFERROR(Table1215[[#This Row],[Points]]/Table1215[[#This Row],[GP]],"N/A")</f>
        <v>N/A</v>
      </c>
      <c r="H367" s="64">
        <f>COUNTIF(_xlfn.XLOOKUP(Table1215[[#This Row],[Name]],Table16[Name],Table16[[September 30, 2025]:[Column18]],,0,1),"&gt;=8")</f>
        <v>0</v>
      </c>
      <c r="I367" s="110" t="str">
        <f>IFERROR(AVERAGEIF(_xlfn.XLOOKUP(Table1215[[#This Row],[Name]],Table16[Name],Table16[[September 30, 2025]:[Column18]],,0,1),"&gt;=8"),"N/A")</f>
        <v>N/A</v>
      </c>
      <c r="J367" s="66" t="str">
        <f>IFERROR(Table1215[[#This Row],[FTA]]/Table1215[[#This Row],[GP]],"N/A")</f>
        <v>N/A</v>
      </c>
      <c r="K367" s="67">
        <f>COUNTIF(_xlfn.XLOOKUP(Table1215[[#This Row],[Name]],Table16[Name],Table16[[September 30, 2025]:[Column18]],,0,1),"&gt;=15")</f>
        <v>0</v>
      </c>
    </row>
    <row r="368" spans="2:11">
      <c r="B368" s="82">
        <f>INDEX(AllTime1[All-time rank], MATCH(SMALL(AllTime1[Helper], ROW(Structures!$G363)), AllTime1[Helper], 0))</f>
        <v>300</v>
      </c>
      <c r="C368" s="64" t="str">
        <f>TEXT(INDEX(AllTime1[Name], MATCH(SMALL(AllTime1[Helper], ROW(Structures!$G363)), AllTime1[Helper], 0)),"@")</f>
        <v/>
      </c>
      <c r="D368" s="64">
        <f>INDEX(AllTime1[All-time score], MATCH(LARGE(AllTime1[Helper2], ROW(Structures!$G363)), AllTime1[Helper2], 0))</f>
        <v>0</v>
      </c>
      <c r="E368" s="64">
        <f>COUNTIF(_xlfn.XLOOKUP(Table1215[[#This Row],[Name]],Table16[Name],Table16[[September 30, 2025]:[Column18]],,0,1),"&gt;=0")</f>
        <v>0</v>
      </c>
      <c r="F368" s="109" t="str">
        <f>_xlfn.XLOOKUP(Table1215[[#This Row],[Name]],Table1624[Name],Table1624[Totals],,0,1)</f>
        <v>N/A</v>
      </c>
      <c r="G368" s="65" t="str">
        <f>IFERROR(Table1215[[#This Row],[Points]]/Table1215[[#This Row],[GP]],"N/A")</f>
        <v>N/A</v>
      </c>
      <c r="H368" s="64">
        <f>COUNTIF(_xlfn.XLOOKUP(Table1215[[#This Row],[Name]],Table16[Name],Table16[[September 30, 2025]:[Column18]],,0,1),"&gt;=8")</f>
        <v>0</v>
      </c>
      <c r="I368" s="110" t="str">
        <f>IFERROR(AVERAGEIF(_xlfn.XLOOKUP(Table1215[[#This Row],[Name]],Table16[Name],Table16[[September 30, 2025]:[Column18]],,0,1),"&gt;=8"),"N/A")</f>
        <v>N/A</v>
      </c>
      <c r="J368" s="66" t="str">
        <f>IFERROR(Table1215[[#This Row],[FTA]]/Table1215[[#This Row],[GP]],"N/A")</f>
        <v>N/A</v>
      </c>
      <c r="K368" s="67">
        <f>COUNTIF(_xlfn.XLOOKUP(Table1215[[#This Row],[Name]],Table16[Name],Table16[[September 30, 2025]:[Column18]],,0,1),"&gt;=15")</f>
        <v>0</v>
      </c>
    </row>
    <row r="369" spans="2:11">
      <c r="B369" s="82">
        <f>INDEX(AllTime1[All-time rank], MATCH(SMALL(AllTime1[Helper], ROW(Structures!$G364)), AllTime1[Helper], 0))</f>
        <v>300</v>
      </c>
      <c r="C369" s="64" t="str">
        <f>TEXT(INDEX(AllTime1[Name], MATCH(SMALL(AllTime1[Helper], ROW(Structures!$G364)), AllTime1[Helper], 0)),"@")</f>
        <v/>
      </c>
      <c r="D369" s="64">
        <f>INDEX(AllTime1[All-time score], MATCH(LARGE(AllTime1[Helper2], ROW(Structures!$G364)), AllTime1[Helper2], 0))</f>
        <v>0</v>
      </c>
      <c r="E369" s="64">
        <f>COUNTIF(_xlfn.XLOOKUP(Table1215[[#This Row],[Name]],Table16[Name],Table16[[September 30, 2025]:[Column18]],,0,1),"&gt;=0")</f>
        <v>0</v>
      </c>
      <c r="F369" s="109" t="str">
        <f>_xlfn.XLOOKUP(Table1215[[#This Row],[Name]],Table1624[Name],Table1624[Totals],,0,1)</f>
        <v>N/A</v>
      </c>
      <c r="G369" s="65" t="str">
        <f>IFERROR(Table1215[[#This Row],[Points]]/Table1215[[#This Row],[GP]],"N/A")</f>
        <v>N/A</v>
      </c>
      <c r="H369" s="64">
        <f>COUNTIF(_xlfn.XLOOKUP(Table1215[[#This Row],[Name]],Table16[Name],Table16[[September 30, 2025]:[Column18]],,0,1),"&gt;=8")</f>
        <v>0</v>
      </c>
      <c r="I369" s="110" t="str">
        <f>IFERROR(AVERAGEIF(_xlfn.XLOOKUP(Table1215[[#This Row],[Name]],Table16[Name],Table16[[September 30, 2025]:[Column18]],,0,1),"&gt;=8"),"N/A")</f>
        <v>N/A</v>
      </c>
      <c r="J369" s="66" t="str">
        <f>IFERROR(Table1215[[#This Row],[FTA]]/Table1215[[#This Row],[GP]],"N/A")</f>
        <v>N/A</v>
      </c>
      <c r="K369" s="67">
        <f>COUNTIF(_xlfn.XLOOKUP(Table1215[[#This Row],[Name]],Table16[Name],Table16[[September 30, 2025]:[Column18]],,0,1),"&gt;=15")</f>
        <v>0</v>
      </c>
    </row>
    <row r="370" spans="2:11">
      <c r="B370" s="82">
        <f>INDEX(AllTime1[All-time rank], MATCH(SMALL(AllTime1[Helper], ROW(Structures!$G365)), AllTime1[Helper], 0))</f>
        <v>300</v>
      </c>
      <c r="C370" s="64" t="str">
        <f>TEXT(INDEX(AllTime1[Name], MATCH(SMALL(AllTime1[Helper], ROW(Structures!$G365)), AllTime1[Helper], 0)),"@")</f>
        <v/>
      </c>
      <c r="D370" s="64">
        <f>INDEX(AllTime1[All-time score], MATCH(LARGE(AllTime1[Helper2], ROW(Structures!$G365)), AllTime1[Helper2], 0))</f>
        <v>0</v>
      </c>
      <c r="E370" s="64">
        <f>COUNTIF(_xlfn.XLOOKUP(Table1215[[#This Row],[Name]],Table16[Name],Table16[[September 30, 2025]:[Column18]],,0,1),"&gt;=0")</f>
        <v>0</v>
      </c>
      <c r="F370" s="109" t="str">
        <f>_xlfn.XLOOKUP(Table1215[[#This Row],[Name]],Table1624[Name],Table1624[Totals],,0,1)</f>
        <v>N/A</v>
      </c>
      <c r="G370" s="65" t="str">
        <f>IFERROR(Table1215[[#This Row],[Points]]/Table1215[[#This Row],[GP]],"N/A")</f>
        <v>N/A</v>
      </c>
      <c r="H370" s="64">
        <f>COUNTIF(_xlfn.XLOOKUP(Table1215[[#This Row],[Name]],Table16[Name],Table16[[September 30, 2025]:[Column18]],,0,1),"&gt;=8")</f>
        <v>0</v>
      </c>
      <c r="I370" s="110" t="str">
        <f>IFERROR(AVERAGEIF(_xlfn.XLOOKUP(Table1215[[#This Row],[Name]],Table16[Name],Table16[[September 30, 2025]:[Column18]],,0,1),"&gt;=8"),"N/A")</f>
        <v>N/A</v>
      </c>
      <c r="J370" s="66" t="str">
        <f>IFERROR(Table1215[[#This Row],[FTA]]/Table1215[[#This Row],[GP]],"N/A")</f>
        <v>N/A</v>
      </c>
      <c r="K370" s="67">
        <f>COUNTIF(_xlfn.XLOOKUP(Table1215[[#This Row],[Name]],Table16[Name],Table16[[September 30, 2025]:[Column18]],,0,1),"&gt;=15")</f>
        <v>0</v>
      </c>
    </row>
    <row r="371" spans="2:11">
      <c r="B371" s="82">
        <f>INDEX(AllTime1[All-time rank], MATCH(SMALL(AllTime1[Helper], ROW(Structures!$G366)), AllTime1[Helper], 0))</f>
        <v>300</v>
      </c>
      <c r="C371" s="64" t="str">
        <f>TEXT(INDEX(AllTime1[Name], MATCH(SMALL(AllTime1[Helper], ROW(Structures!$G366)), AllTime1[Helper], 0)),"@")</f>
        <v/>
      </c>
      <c r="D371" s="64">
        <f>INDEX(AllTime1[All-time score], MATCH(LARGE(AllTime1[Helper2], ROW(Structures!$G366)), AllTime1[Helper2], 0))</f>
        <v>0</v>
      </c>
      <c r="E371" s="64">
        <f>COUNTIF(_xlfn.XLOOKUP(Table1215[[#This Row],[Name]],Table16[Name],Table16[[September 30, 2025]:[Column18]],,0,1),"&gt;=0")</f>
        <v>0</v>
      </c>
      <c r="F371" s="109" t="str">
        <f>_xlfn.XLOOKUP(Table1215[[#This Row],[Name]],Table1624[Name],Table1624[Totals],,0,1)</f>
        <v>N/A</v>
      </c>
      <c r="G371" s="65" t="str">
        <f>IFERROR(Table1215[[#This Row],[Points]]/Table1215[[#This Row],[GP]],"N/A")</f>
        <v>N/A</v>
      </c>
      <c r="H371" s="64">
        <f>COUNTIF(_xlfn.XLOOKUP(Table1215[[#This Row],[Name]],Table16[Name],Table16[[September 30, 2025]:[Column18]],,0,1),"&gt;=8")</f>
        <v>0</v>
      </c>
      <c r="I371" s="110" t="str">
        <f>IFERROR(AVERAGEIF(_xlfn.XLOOKUP(Table1215[[#This Row],[Name]],Table16[Name],Table16[[September 30, 2025]:[Column18]],,0,1),"&gt;=8"),"N/A")</f>
        <v>N/A</v>
      </c>
      <c r="J371" s="66" t="str">
        <f>IFERROR(Table1215[[#This Row],[FTA]]/Table1215[[#This Row],[GP]],"N/A")</f>
        <v>N/A</v>
      </c>
      <c r="K371" s="67">
        <f>COUNTIF(_xlfn.XLOOKUP(Table1215[[#This Row],[Name]],Table16[Name],Table16[[September 30, 2025]:[Column18]],,0,1),"&gt;=15")</f>
        <v>0</v>
      </c>
    </row>
    <row r="372" spans="2:11">
      <c r="B372" s="82">
        <f>INDEX(AllTime1[All-time rank], MATCH(SMALL(AllTime1[Helper], ROW(Structures!$G367)), AllTime1[Helper], 0))</f>
        <v>300</v>
      </c>
      <c r="C372" s="64" t="str">
        <f>TEXT(INDEX(AllTime1[Name], MATCH(SMALL(AllTime1[Helper], ROW(Structures!$G367)), AllTime1[Helper], 0)),"@")</f>
        <v/>
      </c>
      <c r="D372" s="64">
        <f>INDEX(AllTime1[All-time score], MATCH(LARGE(AllTime1[Helper2], ROW(Structures!$G367)), AllTime1[Helper2], 0))</f>
        <v>0</v>
      </c>
      <c r="E372" s="64">
        <f>COUNTIF(_xlfn.XLOOKUP(Table1215[[#This Row],[Name]],Table16[Name],Table16[[September 30, 2025]:[Column18]],,0,1),"&gt;=0")</f>
        <v>0</v>
      </c>
      <c r="F372" s="109" t="str">
        <f>_xlfn.XLOOKUP(Table1215[[#This Row],[Name]],Table1624[Name],Table1624[Totals],,0,1)</f>
        <v>N/A</v>
      </c>
      <c r="G372" s="65" t="str">
        <f>IFERROR(Table1215[[#This Row],[Points]]/Table1215[[#This Row],[GP]],"N/A")</f>
        <v>N/A</v>
      </c>
      <c r="H372" s="64">
        <f>COUNTIF(_xlfn.XLOOKUP(Table1215[[#This Row],[Name]],Table16[Name],Table16[[September 30, 2025]:[Column18]],,0,1),"&gt;=8")</f>
        <v>0</v>
      </c>
      <c r="I372" s="110" t="str">
        <f>IFERROR(AVERAGEIF(_xlfn.XLOOKUP(Table1215[[#This Row],[Name]],Table16[Name],Table16[[September 30, 2025]:[Column18]],,0,1),"&gt;=8"),"N/A")</f>
        <v>N/A</v>
      </c>
      <c r="J372" s="66" t="str">
        <f>IFERROR(Table1215[[#This Row],[FTA]]/Table1215[[#This Row],[GP]],"N/A")</f>
        <v>N/A</v>
      </c>
      <c r="K372" s="67">
        <f>COUNTIF(_xlfn.XLOOKUP(Table1215[[#This Row],[Name]],Table16[Name],Table16[[September 30, 2025]:[Column18]],,0,1),"&gt;=15")</f>
        <v>0</v>
      </c>
    </row>
    <row r="373" spans="2:11">
      <c r="B373" s="82">
        <f>INDEX(AllTime1[All-time rank], MATCH(SMALL(AllTime1[Helper], ROW(Structures!$G368)), AllTime1[Helper], 0))</f>
        <v>300</v>
      </c>
      <c r="C373" s="64" t="str">
        <f>TEXT(INDEX(AllTime1[Name], MATCH(SMALL(AllTime1[Helper], ROW(Structures!$G368)), AllTime1[Helper], 0)),"@")</f>
        <v/>
      </c>
      <c r="D373" s="64">
        <f>INDEX(AllTime1[All-time score], MATCH(LARGE(AllTime1[Helper2], ROW(Structures!$G368)), AllTime1[Helper2], 0))</f>
        <v>0</v>
      </c>
      <c r="E373" s="64">
        <f>COUNTIF(_xlfn.XLOOKUP(Table1215[[#This Row],[Name]],Table16[Name],Table16[[September 30, 2025]:[Column18]],,0,1),"&gt;=0")</f>
        <v>0</v>
      </c>
      <c r="F373" s="109" t="str">
        <f>_xlfn.XLOOKUP(Table1215[[#This Row],[Name]],Table1624[Name],Table1624[Totals],,0,1)</f>
        <v>N/A</v>
      </c>
      <c r="G373" s="65" t="str">
        <f>IFERROR(Table1215[[#This Row],[Points]]/Table1215[[#This Row],[GP]],"N/A")</f>
        <v>N/A</v>
      </c>
      <c r="H373" s="64">
        <f>COUNTIF(_xlfn.XLOOKUP(Table1215[[#This Row],[Name]],Table16[Name],Table16[[September 30, 2025]:[Column18]],,0,1),"&gt;=8")</f>
        <v>0</v>
      </c>
      <c r="I373" s="110" t="str">
        <f>IFERROR(AVERAGEIF(_xlfn.XLOOKUP(Table1215[[#This Row],[Name]],Table16[Name],Table16[[September 30, 2025]:[Column18]],,0,1),"&gt;=8"),"N/A")</f>
        <v>N/A</v>
      </c>
      <c r="J373" s="66" t="str">
        <f>IFERROR(Table1215[[#This Row],[FTA]]/Table1215[[#This Row],[GP]],"N/A")</f>
        <v>N/A</v>
      </c>
      <c r="K373" s="67">
        <f>COUNTIF(_xlfn.XLOOKUP(Table1215[[#This Row],[Name]],Table16[Name],Table16[[September 30, 2025]:[Column18]],,0,1),"&gt;=15")</f>
        <v>0</v>
      </c>
    </row>
    <row r="374" spans="2:11">
      <c r="B374" s="82">
        <f>INDEX(AllTime1[All-time rank], MATCH(SMALL(AllTime1[Helper], ROW(Structures!$G369)), AllTime1[Helper], 0))</f>
        <v>300</v>
      </c>
      <c r="C374" s="64" t="str">
        <f>TEXT(INDEX(AllTime1[Name], MATCH(SMALL(AllTime1[Helper], ROW(Structures!$G369)), AllTime1[Helper], 0)),"@")</f>
        <v/>
      </c>
      <c r="D374" s="64">
        <f>INDEX(AllTime1[All-time score], MATCH(LARGE(AllTime1[Helper2], ROW(Structures!$G369)), AllTime1[Helper2], 0))</f>
        <v>0</v>
      </c>
      <c r="E374" s="64">
        <f>COUNTIF(_xlfn.XLOOKUP(Table1215[[#This Row],[Name]],Table16[Name],Table16[[September 30, 2025]:[Column18]],,0,1),"&gt;=0")</f>
        <v>0</v>
      </c>
      <c r="F374" s="109" t="str">
        <f>_xlfn.XLOOKUP(Table1215[[#This Row],[Name]],Table1624[Name],Table1624[Totals],,0,1)</f>
        <v>N/A</v>
      </c>
      <c r="G374" s="65" t="str">
        <f>IFERROR(Table1215[[#This Row],[Points]]/Table1215[[#This Row],[GP]],"N/A")</f>
        <v>N/A</v>
      </c>
      <c r="H374" s="64">
        <f>COUNTIF(_xlfn.XLOOKUP(Table1215[[#This Row],[Name]],Table16[Name],Table16[[September 30, 2025]:[Column18]],,0,1),"&gt;=8")</f>
        <v>0</v>
      </c>
      <c r="I374" s="110" t="str">
        <f>IFERROR(AVERAGEIF(_xlfn.XLOOKUP(Table1215[[#This Row],[Name]],Table16[Name],Table16[[September 30, 2025]:[Column18]],,0,1),"&gt;=8"),"N/A")</f>
        <v>N/A</v>
      </c>
      <c r="J374" s="66" t="str">
        <f>IFERROR(Table1215[[#This Row],[FTA]]/Table1215[[#This Row],[GP]],"N/A")</f>
        <v>N/A</v>
      </c>
      <c r="K374" s="67">
        <f>COUNTIF(_xlfn.XLOOKUP(Table1215[[#This Row],[Name]],Table16[Name],Table16[[September 30, 2025]:[Column18]],,0,1),"&gt;=15")</f>
        <v>0</v>
      </c>
    </row>
    <row r="375" spans="2:11">
      <c r="B375" s="82">
        <f>INDEX(AllTime1[All-time rank], MATCH(SMALL(AllTime1[Helper], ROW(Structures!$G370)), AllTime1[Helper], 0))</f>
        <v>300</v>
      </c>
      <c r="C375" s="64" t="str">
        <f>TEXT(INDEX(AllTime1[Name], MATCH(SMALL(AllTime1[Helper], ROW(Structures!$G370)), AllTime1[Helper], 0)),"@")</f>
        <v/>
      </c>
      <c r="D375" s="64">
        <f>INDEX(AllTime1[All-time score], MATCH(LARGE(AllTime1[Helper2], ROW(Structures!$G370)), AllTime1[Helper2], 0))</f>
        <v>0</v>
      </c>
      <c r="E375" s="64">
        <f>COUNTIF(_xlfn.XLOOKUP(Table1215[[#This Row],[Name]],Table16[Name],Table16[[September 30, 2025]:[Column18]],,0,1),"&gt;=0")</f>
        <v>0</v>
      </c>
      <c r="F375" s="109" t="str">
        <f>_xlfn.XLOOKUP(Table1215[[#This Row],[Name]],Table1624[Name],Table1624[Totals],,0,1)</f>
        <v>N/A</v>
      </c>
      <c r="G375" s="65" t="str">
        <f>IFERROR(Table1215[[#This Row],[Points]]/Table1215[[#This Row],[GP]],"N/A")</f>
        <v>N/A</v>
      </c>
      <c r="H375" s="64">
        <f>COUNTIF(_xlfn.XLOOKUP(Table1215[[#This Row],[Name]],Table16[Name],Table16[[September 30, 2025]:[Column18]],,0,1),"&gt;=8")</f>
        <v>0</v>
      </c>
      <c r="I375" s="110" t="str">
        <f>IFERROR(AVERAGEIF(_xlfn.XLOOKUP(Table1215[[#This Row],[Name]],Table16[Name],Table16[[September 30, 2025]:[Column18]],,0,1),"&gt;=8"),"N/A")</f>
        <v>N/A</v>
      </c>
      <c r="J375" s="66" t="str">
        <f>IFERROR(Table1215[[#This Row],[FTA]]/Table1215[[#This Row],[GP]],"N/A")</f>
        <v>N/A</v>
      </c>
      <c r="K375" s="67">
        <f>COUNTIF(_xlfn.XLOOKUP(Table1215[[#This Row],[Name]],Table16[Name],Table16[[September 30, 2025]:[Column18]],,0,1),"&gt;=15")</f>
        <v>0</v>
      </c>
    </row>
    <row r="376" spans="2:11">
      <c r="B376" s="82">
        <f>INDEX(AllTime1[All-time rank], MATCH(SMALL(AllTime1[Helper], ROW(Structures!$G371)), AllTime1[Helper], 0))</f>
        <v>300</v>
      </c>
      <c r="C376" s="64" t="str">
        <f>TEXT(INDEX(AllTime1[Name], MATCH(SMALL(AllTime1[Helper], ROW(Structures!$G371)), AllTime1[Helper], 0)),"@")</f>
        <v/>
      </c>
      <c r="D376" s="64">
        <f>INDEX(AllTime1[All-time score], MATCH(LARGE(AllTime1[Helper2], ROW(Structures!$G371)), AllTime1[Helper2], 0))</f>
        <v>0</v>
      </c>
      <c r="E376" s="64">
        <f>COUNTIF(_xlfn.XLOOKUP(Table1215[[#This Row],[Name]],Table16[Name],Table16[[September 30, 2025]:[Column18]],,0,1),"&gt;=0")</f>
        <v>0</v>
      </c>
      <c r="F376" s="109" t="str">
        <f>_xlfn.XLOOKUP(Table1215[[#This Row],[Name]],Table1624[Name],Table1624[Totals],,0,1)</f>
        <v>N/A</v>
      </c>
      <c r="G376" s="65" t="str">
        <f>IFERROR(Table1215[[#This Row],[Points]]/Table1215[[#This Row],[GP]],"N/A")</f>
        <v>N/A</v>
      </c>
      <c r="H376" s="64">
        <f>COUNTIF(_xlfn.XLOOKUP(Table1215[[#This Row],[Name]],Table16[Name],Table16[[September 30, 2025]:[Column18]],,0,1),"&gt;=8")</f>
        <v>0</v>
      </c>
      <c r="I376" s="110" t="str">
        <f>IFERROR(AVERAGEIF(_xlfn.XLOOKUP(Table1215[[#This Row],[Name]],Table16[Name],Table16[[September 30, 2025]:[Column18]],,0,1),"&gt;=8"),"N/A")</f>
        <v>N/A</v>
      </c>
      <c r="J376" s="66" t="str">
        <f>IFERROR(Table1215[[#This Row],[FTA]]/Table1215[[#This Row],[GP]],"N/A")</f>
        <v>N/A</v>
      </c>
      <c r="K376" s="67">
        <f>COUNTIF(_xlfn.XLOOKUP(Table1215[[#This Row],[Name]],Table16[Name],Table16[[September 30, 2025]:[Column18]],,0,1),"&gt;=15")</f>
        <v>0</v>
      </c>
    </row>
    <row r="377" spans="2:11">
      <c r="B377" s="82">
        <f>INDEX(AllTime1[All-time rank], MATCH(SMALL(AllTime1[Helper], ROW(Structures!$G372)), AllTime1[Helper], 0))</f>
        <v>300</v>
      </c>
      <c r="C377" s="64" t="str">
        <f>TEXT(INDEX(AllTime1[Name], MATCH(SMALL(AllTime1[Helper], ROW(Structures!$G372)), AllTime1[Helper], 0)),"@")</f>
        <v/>
      </c>
      <c r="D377" s="64">
        <f>INDEX(AllTime1[All-time score], MATCH(LARGE(AllTime1[Helper2], ROW(Structures!$G372)), AllTime1[Helper2], 0))</f>
        <v>0</v>
      </c>
      <c r="E377" s="64">
        <f>COUNTIF(_xlfn.XLOOKUP(Table1215[[#This Row],[Name]],Table16[Name],Table16[[September 30, 2025]:[Column18]],,0,1),"&gt;=0")</f>
        <v>0</v>
      </c>
      <c r="F377" s="109" t="str">
        <f>_xlfn.XLOOKUP(Table1215[[#This Row],[Name]],Table1624[Name],Table1624[Totals],,0,1)</f>
        <v>N/A</v>
      </c>
      <c r="G377" s="65" t="str">
        <f>IFERROR(Table1215[[#This Row],[Points]]/Table1215[[#This Row],[GP]],"N/A")</f>
        <v>N/A</v>
      </c>
      <c r="H377" s="64">
        <f>COUNTIF(_xlfn.XLOOKUP(Table1215[[#This Row],[Name]],Table16[Name],Table16[[September 30, 2025]:[Column18]],,0,1),"&gt;=8")</f>
        <v>0</v>
      </c>
      <c r="I377" s="110" t="str">
        <f>IFERROR(AVERAGEIF(_xlfn.XLOOKUP(Table1215[[#This Row],[Name]],Table16[Name],Table16[[September 30, 2025]:[Column18]],,0,1),"&gt;=8"),"N/A")</f>
        <v>N/A</v>
      </c>
      <c r="J377" s="66" t="str">
        <f>IFERROR(Table1215[[#This Row],[FTA]]/Table1215[[#This Row],[GP]],"N/A")</f>
        <v>N/A</v>
      </c>
      <c r="K377" s="67">
        <f>COUNTIF(_xlfn.XLOOKUP(Table1215[[#This Row],[Name]],Table16[Name],Table16[[September 30, 2025]:[Column18]],,0,1),"&gt;=15")</f>
        <v>0</v>
      </c>
    </row>
    <row r="378" spans="2:11">
      <c r="B378" s="82">
        <f>INDEX(AllTime1[All-time rank], MATCH(SMALL(AllTime1[Helper], ROW(Structures!$G373)), AllTime1[Helper], 0))</f>
        <v>300</v>
      </c>
      <c r="C378" s="64" t="str">
        <f>TEXT(INDEX(AllTime1[Name], MATCH(SMALL(AllTime1[Helper], ROW(Structures!$G373)), AllTime1[Helper], 0)),"@")</f>
        <v/>
      </c>
      <c r="D378" s="64">
        <f>INDEX(AllTime1[All-time score], MATCH(LARGE(AllTime1[Helper2], ROW(Structures!$G373)), AllTime1[Helper2], 0))</f>
        <v>0</v>
      </c>
      <c r="E378" s="64">
        <f>COUNTIF(_xlfn.XLOOKUP(Table1215[[#This Row],[Name]],Table16[Name],Table16[[September 30, 2025]:[Column18]],,0,1),"&gt;=0")</f>
        <v>0</v>
      </c>
      <c r="F378" s="109" t="str">
        <f>_xlfn.XLOOKUP(Table1215[[#This Row],[Name]],Table1624[Name],Table1624[Totals],,0,1)</f>
        <v>N/A</v>
      </c>
      <c r="G378" s="65" t="str">
        <f>IFERROR(Table1215[[#This Row],[Points]]/Table1215[[#This Row],[GP]],"N/A")</f>
        <v>N/A</v>
      </c>
      <c r="H378" s="64">
        <f>COUNTIF(_xlfn.XLOOKUP(Table1215[[#This Row],[Name]],Table16[Name],Table16[[September 30, 2025]:[Column18]],,0,1),"&gt;=8")</f>
        <v>0</v>
      </c>
      <c r="I378" s="110" t="str">
        <f>IFERROR(AVERAGEIF(_xlfn.XLOOKUP(Table1215[[#This Row],[Name]],Table16[Name],Table16[[September 30, 2025]:[Column18]],,0,1),"&gt;=8"),"N/A")</f>
        <v>N/A</v>
      </c>
      <c r="J378" s="66" t="str">
        <f>IFERROR(Table1215[[#This Row],[FTA]]/Table1215[[#This Row],[GP]],"N/A")</f>
        <v>N/A</v>
      </c>
      <c r="K378" s="67">
        <f>COUNTIF(_xlfn.XLOOKUP(Table1215[[#This Row],[Name]],Table16[Name],Table16[[September 30, 2025]:[Column18]],,0,1),"&gt;=15")</f>
        <v>0</v>
      </c>
    </row>
    <row r="379" spans="2:11">
      <c r="B379" s="82">
        <f>INDEX(AllTime1[All-time rank], MATCH(SMALL(AllTime1[Helper], ROW(Structures!$G374)), AllTime1[Helper], 0))</f>
        <v>300</v>
      </c>
      <c r="C379" s="64" t="str">
        <f>TEXT(INDEX(AllTime1[Name], MATCH(SMALL(AllTime1[Helper], ROW(Structures!$G374)), AllTime1[Helper], 0)),"@")</f>
        <v/>
      </c>
      <c r="D379" s="64">
        <f>INDEX(AllTime1[All-time score], MATCH(LARGE(AllTime1[Helper2], ROW(Structures!$G374)), AllTime1[Helper2], 0))</f>
        <v>0</v>
      </c>
      <c r="E379" s="64">
        <f>COUNTIF(_xlfn.XLOOKUP(Table1215[[#This Row],[Name]],Table16[Name],Table16[[September 30, 2025]:[Column18]],,0,1),"&gt;=0")</f>
        <v>0</v>
      </c>
      <c r="F379" s="109" t="str">
        <f>_xlfn.XLOOKUP(Table1215[[#This Row],[Name]],Table1624[Name],Table1624[Totals],,0,1)</f>
        <v>N/A</v>
      </c>
      <c r="G379" s="65" t="str">
        <f>IFERROR(Table1215[[#This Row],[Points]]/Table1215[[#This Row],[GP]],"N/A")</f>
        <v>N/A</v>
      </c>
      <c r="H379" s="64">
        <f>COUNTIF(_xlfn.XLOOKUP(Table1215[[#This Row],[Name]],Table16[Name],Table16[[September 30, 2025]:[Column18]],,0,1),"&gt;=8")</f>
        <v>0</v>
      </c>
      <c r="I379" s="110" t="str">
        <f>IFERROR(AVERAGEIF(_xlfn.XLOOKUP(Table1215[[#This Row],[Name]],Table16[Name],Table16[[September 30, 2025]:[Column18]],,0,1),"&gt;=8"),"N/A")</f>
        <v>N/A</v>
      </c>
      <c r="J379" s="66" t="str">
        <f>IFERROR(Table1215[[#This Row],[FTA]]/Table1215[[#This Row],[GP]],"N/A")</f>
        <v>N/A</v>
      </c>
      <c r="K379" s="67">
        <f>COUNTIF(_xlfn.XLOOKUP(Table1215[[#This Row],[Name]],Table16[Name],Table16[[September 30, 2025]:[Column18]],,0,1),"&gt;=15")</f>
        <v>0</v>
      </c>
    </row>
    <row r="380" spans="2:11">
      <c r="B380" s="82">
        <f>INDEX(AllTime1[All-time rank], MATCH(SMALL(AllTime1[Helper], ROW(Structures!$G375)), AllTime1[Helper], 0))</f>
        <v>300</v>
      </c>
      <c r="C380" s="64" t="str">
        <f>TEXT(INDEX(AllTime1[Name], MATCH(SMALL(AllTime1[Helper], ROW(Structures!$G375)), AllTime1[Helper], 0)),"@")</f>
        <v/>
      </c>
      <c r="D380" s="64">
        <f>INDEX(AllTime1[All-time score], MATCH(LARGE(AllTime1[Helper2], ROW(Structures!$G375)), AllTime1[Helper2], 0))</f>
        <v>0</v>
      </c>
      <c r="E380" s="64">
        <f>COUNTIF(_xlfn.XLOOKUP(Table1215[[#This Row],[Name]],Table16[Name],Table16[[September 30, 2025]:[Column18]],,0,1),"&gt;=0")</f>
        <v>0</v>
      </c>
      <c r="F380" s="109" t="str">
        <f>_xlfn.XLOOKUP(Table1215[[#This Row],[Name]],Table1624[Name],Table1624[Totals],,0,1)</f>
        <v>N/A</v>
      </c>
      <c r="G380" s="65" t="str">
        <f>IFERROR(Table1215[[#This Row],[Points]]/Table1215[[#This Row],[GP]],"N/A")</f>
        <v>N/A</v>
      </c>
      <c r="H380" s="64">
        <f>COUNTIF(_xlfn.XLOOKUP(Table1215[[#This Row],[Name]],Table16[Name],Table16[[September 30, 2025]:[Column18]],,0,1),"&gt;=8")</f>
        <v>0</v>
      </c>
      <c r="I380" s="110" t="str">
        <f>IFERROR(AVERAGEIF(_xlfn.XLOOKUP(Table1215[[#This Row],[Name]],Table16[Name],Table16[[September 30, 2025]:[Column18]],,0,1),"&gt;=8"),"N/A")</f>
        <v>N/A</v>
      </c>
      <c r="J380" s="66" t="str">
        <f>IFERROR(Table1215[[#This Row],[FTA]]/Table1215[[#This Row],[GP]],"N/A")</f>
        <v>N/A</v>
      </c>
      <c r="K380" s="67">
        <f>COUNTIF(_xlfn.XLOOKUP(Table1215[[#This Row],[Name]],Table16[Name],Table16[[September 30, 2025]:[Column18]],,0,1),"&gt;=15")</f>
        <v>0</v>
      </c>
    </row>
    <row r="381" spans="2:11">
      <c r="B381" s="82">
        <f>INDEX(AllTime1[All-time rank], MATCH(SMALL(AllTime1[Helper], ROW(Structures!$G376)), AllTime1[Helper], 0))</f>
        <v>300</v>
      </c>
      <c r="C381" s="64" t="str">
        <f>TEXT(INDEX(AllTime1[Name], MATCH(SMALL(AllTime1[Helper], ROW(Structures!$G376)), AllTime1[Helper], 0)),"@")</f>
        <v/>
      </c>
      <c r="D381" s="64">
        <f>INDEX(AllTime1[All-time score], MATCH(LARGE(AllTime1[Helper2], ROW(Structures!$G376)), AllTime1[Helper2], 0))</f>
        <v>0</v>
      </c>
      <c r="E381" s="64">
        <f>COUNTIF(_xlfn.XLOOKUP(Table1215[[#This Row],[Name]],Table16[Name],Table16[[September 30, 2025]:[Column18]],,0,1),"&gt;=0")</f>
        <v>0</v>
      </c>
      <c r="F381" s="109" t="str">
        <f>_xlfn.XLOOKUP(Table1215[[#This Row],[Name]],Table1624[Name],Table1624[Totals],,0,1)</f>
        <v>N/A</v>
      </c>
      <c r="G381" s="65" t="str">
        <f>IFERROR(Table1215[[#This Row],[Points]]/Table1215[[#This Row],[GP]],"N/A")</f>
        <v>N/A</v>
      </c>
      <c r="H381" s="64">
        <f>COUNTIF(_xlfn.XLOOKUP(Table1215[[#This Row],[Name]],Table16[Name],Table16[[September 30, 2025]:[Column18]],,0,1),"&gt;=8")</f>
        <v>0</v>
      </c>
      <c r="I381" s="110" t="str">
        <f>IFERROR(AVERAGEIF(_xlfn.XLOOKUP(Table1215[[#This Row],[Name]],Table16[Name],Table16[[September 30, 2025]:[Column18]],,0,1),"&gt;=8"),"N/A")</f>
        <v>N/A</v>
      </c>
      <c r="J381" s="66" t="str">
        <f>IFERROR(Table1215[[#This Row],[FTA]]/Table1215[[#This Row],[GP]],"N/A")</f>
        <v>N/A</v>
      </c>
      <c r="K381" s="67">
        <f>COUNTIF(_xlfn.XLOOKUP(Table1215[[#This Row],[Name]],Table16[Name],Table16[[September 30, 2025]:[Column18]],,0,1),"&gt;=15")</f>
        <v>0</v>
      </c>
    </row>
    <row r="382" spans="2:11">
      <c r="B382" s="82">
        <f>INDEX(AllTime1[All-time rank], MATCH(SMALL(AllTime1[Helper], ROW(Structures!$G377)), AllTime1[Helper], 0))</f>
        <v>300</v>
      </c>
      <c r="C382" s="64" t="str">
        <f>TEXT(INDEX(AllTime1[Name], MATCH(SMALL(AllTime1[Helper], ROW(Structures!$G377)), AllTime1[Helper], 0)),"@")</f>
        <v/>
      </c>
      <c r="D382" s="64">
        <f>INDEX(AllTime1[All-time score], MATCH(LARGE(AllTime1[Helper2], ROW(Structures!$G377)), AllTime1[Helper2], 0))</f>
        <v>0</v>
      </c>
      <c r="E382" s="64">
        <f>COUNTIF(_xlfn.XLOOKUP(Table1215[[#This Row],[Name]],Table16[Name],Table16[[September 30, 2025]:[Column18]],,0,1),"&gt;=0")</f>
        <v>0</v>
      </c>
      <c r="F382" s="109" t="str">
        <f>_xlfn.XLOOKUP(Table1215[[#This Row],[Name]],Table1624[Name],Table1624[Totals],,0,1)</f>
        <v>N/A</v>
      </c>
      <c r="G382" s="65" t="str">
        <f>IFERROR(Table1215[[#This Row],[Points]]/Table1215[[#This Row],[GP]],"N/A")</f>
        <v>N/A</v>
      </c>
      <c r="H382" s="64">
        <f>COUNTIF(_xlfn.XLOOKUP(Table1215[[#This Row],[Name]],Table16[Name],Table16[[September 30, 2025]:[Column18]],,0,1),"&gt;=8")</f>
        <v>0</v>
      </c>
      <c r="I382" s="110" t="str">
        <f>IFERROR(AVERAGEIF(_xlfn.XLOOKUP(Table1215[[#This Row],[Name]],Table16[Name],Table16[[September 30, 2025]:[Column18]],,0,1),"&gt;=8"),"N/A")</f>
        <v>N/A</v>
      </c>
      <c r="J382" s="66" t="str">
        <f>IFERROR(Table1215[[#This Row],[FTA]]/Table1215[[#This Row],[GP]],"N/A")</f>
        <v>N/A</v>
      </c>
      <c r="K382" s="67">
        <f>COUNTIF(_xlfn.XLOOKUP(Table1215[[#This Row],[Name]],Table16[Name],Table16[[September 30, 2025]:[Column18]],,0,1),"&gt;=15")</f>
        <v>0</v>
      </c>
    </row>
    <row r="383" spans="2:11">
      <c r="B383" s="82">
        <f>INDEX(AllTime1[All-time rank], MATCH(SMALL(AllTime1[Helper], ROW(Structures!$G378)), AllTime1[Helper], 0))</f>
        <v>300</v>
      </c>
      <c r="C383" s="64" t="str">
        <f>TEXT(INDEX(AllTime1[Name], MATCH(SMALL(AllTime1[Helper], ROW(Structures!$G378)), AllTime1[Helper], 0)),"@")</f>
        <v/>
      </c>
      <c r="D383" s="64">
        <f>INDEX(AllTime1[All-time score], MATCH(LARGE(AllTime1[Helper2], ROW(Structures!$G378)), AllTime1[Helper2], 0))</f>
        <v>0</v>
      </c>
      <c r="E383" s="64">
        <f>COUNTIF(_xlfn.XLOOKUP(Table1215[[#This Row],[Name]],Table16[Name],Table16[[September 30, 2025]:[Column18]],,0,1),"&gt;=0")</f>
        <v>0</v>
      </c>
      <c r="F383" s="109" t="str">
        <f>_xlfn.XLOOKUP(Table1215[[#This Row],[Name]],Table1624[Name],Table1624[Totals],,0,1)</f>
        <v>N/A</v>
      </c>
      <c r="G383" s="65" t="str">
        <f>IFERROR(Table1215[[#This Row],[Points]]/Table1215[[#This Row],[GP]],"N/A")</f>
        <v>N/A</v>
      </c>
      <c r="H383" s="64">
        <f>COUNTIF(_xlfn.XLOOKUP(Table1215[[#This Row],[Name]],Table16[Name],Table16[[September 30, 2025]:[Column18]],,0,1),"&gt;=8")</f>
        <v>0</v>
      </c>
      <c r="I383" s="110" t="str">
        <f>IFERROR(AVERAGEIF(_xlfn.XLOOKUP(Table1215[[#This Row],[Name]],Table16[Name],Table16[[September 30, 2025]:[Column18]],,0,1),"&gt;=8"),"N/A")</f>
        <v>N/A</v>
      </c>
      <c r="J383" s="66" t="str">
        <f>IFERROR(Table1215[[#This Row],[FTA]]/Table1215[[#This Row],[GP]],"N/A")</f>
        <v>N/A</v>
      </c>
      <c r="K383" s="67">
        <f>COUNTIF(_xlfn.XLOOKUP(Table1215[[#This Row],[Name]],Table16[Name],Table16[[September 30, 2025]:[Column18]],,0,1),"&gt;=15")</f>
        <v>0</v>
      </c>
    </row>
    <row r="384" spans="2:11">
      <c r="B384" s="82">
        <f>INDEX(AllTime1[All-time rank], MATCH(SMALL(AllTime1[Helper], ROW(Structures!$G379)), AllTime1[Helper], 0))</f>
        <v>300</v>
      </c>
      <c r="C384" s="64" t="str">
        <f>TEXT(INDEX(AllTime1[Name], MATCH(SMALL(AllTime1[Helper], ROW(Structures!$G379)), AllTime1[Helper], 0)),"@")</f>
        <v/>
      </c>
      <c r="D384" s="64">
        <f>INDEX(AllTime1[All-time score], MATCH(LARGE(AllTime1[Helper2], ROW(Structures!$G379)), AllTime1[Helper2], 0))</f>
        <v>0</v>
      </c>
      <c r="E384" s="64">
        <f>COUNTIF(_xlfn.XLOOKUP(Table1215[[#This Row],[Name]],Table16[Name],Table16[[September 30, 2025]:[Column18]],,0,1),"&gt;=0")</f>
        <v>0</v>
      </c>
      <c r="F384" s="109" t="str">
        <f>_xlfn.XLOOKUP(Table1215[[#This Row],[Name]],Table1624[Name],Table1624[Totals],,0,1)</f>
        <v>N/A</v>
      </c>
      <c r="G384" s="65" t="str">
        <f>IFERROR(Table1215[[#This Row],[Points]]/Table1215[[#This Row],[GP]],"N/A")</f>
        <v>N/A</v>
      </c>
      <c r="H384" s="64">
        <f>COUNTIF(_xlfn.XLOOKUP(Table1215[[#This Row],[Name]],Table16[Name],Table16[[September 30, 2025]:[Column18]],,0,1),"&gt;=8")</f>
        <v>0</v>
      </c>
      <c r="I384" s="110" t="str">
        <f>IFERROR(AVERAGEIF(_xlfn.XLOOKUP(Table1215[[#This Row],[Name]],Table16[Name],Table16[[September 30, 2025]:[Column18]],,0,1),"&gt;=8"),"N/A")</f>
        <v>N/A</v>
      </c>
      <c r="J384" s="66" t="str">
        <f>IFERROR(Table1215[[#This Row],[FTA]]/Table1215[[#This Row],[GP]],"N/A")</f>
        <v>N/A</v>
      </c>
      <c r="K384" s="67">
        <f>COUNTIF(_xlfn.XLOOKUP(Table1215[[#This Row],[Name]],Table16[Name],Table16[[September 30, 2025]:[Column18]],,0,1),"&gt;=15")</f>
        <v>0</v>
      </c>
    </row>
    <row r="385" spans="2:11">
      <c r="B385" s="82">
        <f>INDEX(AllTime1[All-time rank], MATCH(SMALL(AllTime1[Helper], ROW(Structures!$G380)), AllTime1[Helper], 0))</f>
        <v>300</v>
      </c>
      <c r="C385" s="64" t="str">
        <f>TEXT(INDEX(AllTime1[Name], MATCH(SMALL(AllTime1[Helper], ROW(Structures!$G380)), AllTime1[Helper], 0)),"@")</f>
        <v/>
      </c>
      <c r="D385" s="64">
        <f>INDEX(AllTime1[All-time score], MATCH(LARGE(AllTime1[Helper2], ROW(Structures!$G380)), AllTime1[Helper2], 0))</f>
        <v>0</v>
      </c>
      <c r="E385" s="64">
        <f>COUNTIF(_xlfn.XLOOKUP(Table1215[[#This Row],[Name]],Table16[Name],Table16[[September 30, 2025]:[Column18]],,0,1),"&gt;=0")</f>
        <v>0</v>
      </c>
      <c r="F385" s="109" t="str">
        <f>_xlfn.XLOOKUP(Table1215[[#This Row],[Name]],Table1624[Name],Table1624[Totals],,0,1)</f>
        <v>N/A</v>
      </c>
      <c r="G385" s="65" t="str">
        <f>IFERROR(Table1215[[#This Row],[Points]]/Table1215[[#This Row],[GP]],"N/A")</f>
        <v>N/A</v>
      </c>
      <c r="H385" s="64">
        <f>COUNTIF(_xlfn.XLOOKUP(Table1215[[#This Row],[Name]],Table16[Name],Table16[[September 30, 2025]:[Column18]],,0,1),"&gt;=8")</f>
        <v>0</v>
      </c>
      <c r="I385" s="110" t="str">
        <f>IFERROR(AVERAGEIF(_xlfn.XLOOKUP(Table1215[[#This Row],[Name]],Table16[Name],Table16[[September 30, 2025]:[Column18]],,0,1),"&gt;=8"),"N/A")</f>
        <v>N/A</v>
      </c>
      <c r="J385" s="66" t="str">
        <f>IFERROR(Table1215[[#This Row],[FTA]]/Table1215[[#This Row],[GP]],"N/A")</f>
        <v>N/A</v>
      </c>
      <c r="K385" s="67">
        <f>COUNTIF(_xlfn.XLOOKUP(Table1215[[#This Row],[Name]],Table16[Name],Table16[[September 30, 2025]:[Column18]],,0,1),"&gt;=15")</f>
        <v>0</v>
      </c>
    </row>
    <row r="386" spans="2:11">
      <c r="B386" s="82">
        <f>INDEX(AllTime1[All-time rank], MATCH(SMALL(AllTime1[Helper], ROW(Structures!$G381)), AllTime1[Helper], 0))</f>
        <v>300</v>
      </c>
      <c r="C386" s="64" t="str">
        <f>TEXT(INDEX(AllTime1[Name], MATCH(SMALL(AllTime1[Helper], ROW(Structures!$G381)), AllTime1[Helper], 0)),"@")</f>
        <v/>
      </c>
      <c r="D386" s="64">
        <f>INDEX(AllTime1[All-time score], MATCH(LARGE(AllTime1[Helper2], ROW(Structures!$G381)), AllTime1[Helper2], 0))</f>
        <v>0</v>
      </c>
      <c r="E386" s="64">
        <f>COUNTIF(_xlfn.XLOOKUP(Table1215[[#This Row],[Name]],Table16[Name],Table16[[September 30, 2025]:[Column18]],,0,1),"&gt;=0")</f>
        <v>0</v>
      </c>
      <c r="F386" s="109" t="str">
        <f>_xlfn.XLOOKUP(Table1215[[#This Row],[Name]],Table1624[Name],Table1624[Totals],,0,1)</f>
        <v>N/A</v>
      </c>
      <c r="G386" s="65" t="str">
        <f>IFERROR(Table1215[[#This Row],[Points]]/Table1215[[#This Row],[GP]],"N/A")</f>
        <v>N/A</v>
      </c>
      <c r="H386" s="64">
        <f>COUNTIF(_xlfn.XLOOKUP(Table1215[[#This Row],[Name]],Table16[Name],Table16[[September 30, 2025]:[Column18]],,0,1),"&gt;=8")</f>
        <v>0</v>
      </c>
      <c r="I386" s="110" t="str">
        <f>IFERROR(AVERAGEIF(_xlfn.XLOOKUP(Table1215[[#This Row],[Name]],Table16[Name],Table16[[September 30, 2025]:[Column18]],,0,1),"&gt;=8"),"N/A")</f>
        <v>N/A</v>
      </c>
      <c r="J386" s="66" t="str">
        <f>IFERROR(Table1215[[#This Row],[FTA]]/Table1215[[#This Row],[GP]],"N/A")</f>
        <v>N/A</v>
      </c>
      <c r="K386" s="67">
        <f>COUNTIF(_xlfn.XLOOKUP(Table1215[[#This Row],[Name]],Table16[Name],Table16[[September 30, 2025]:[Column18]],,0,1),"&gt;=15")</f>
        <v>0</v>
      </c>
    </row>
    <row r="387" spans="2:11">
      <c r="B387" s="82">
        <f>INDEX(AllTime1[All-time rank], MATCH(SMALL(AllTime1[Helper], ROW(Structures!$G382)), AllTime1[Helper], 0))</f>
        <v>300</v>
      </c>
      <c r="C387" s="64" t="str">
        <f>TEXT(INDEX(AllTime1[Name], MATCH(SMALL(AllTime1[Helper], ROW(Structures!$G382)), AllTime1[Helper], 0)),"@")</f>
        <v/>
      </c>
      <c r="D387" s="64">
        <f>INDEX(AllTime1[All-time score], MATCH(LARGE(AllTime1[Helper2], ROW(Structures!$G382)), AllTime1[Helper2], 0))</f>
        <v>0</v>
      </c>
      <c r="E387" s="64">
        <f>COUNTIF(_xlfn.XLOOKUP(Table1215[[#This Row],[Name]],Table16[Name],Table16[[September 30, 2025]:[Column18]],,0,1),"&gt;=0")</f>
        <v>0</v>
      </c>
      <c r="F387" s="109" t="str">
        <f>_xlfn.XLOOKUP(Table1215[[#This Row],[Name]],Table1624[Name],Table1624[Totals],,0,1)</f>
        <v>N/A</v>
      </c>
      <c r="G387" s="65" t="str">
        <f>IFERROR(Table1215[[#This Row],[Points]]/Table1215[[#This Row],[GP]],"N/A")</f>
        <v>N/A</v>
      </c>
      <c r="H387" s="64">
        <f>COUNTIF(_xlfn.XLOOKUP(Table1215[[#This Row],[Name]],Table16[Name],Table16[[September 30, 2025]:[Column18]],,0,1),"&gt;=8")</f>
        <v>0</v>
      </c>
      <c r="I387" s="110" t="str">
        <f>IFERROR(AVERAGEIF(_xlfn.XLOOKUP(Table1215[[#This Row],[Name]],Table16[Name],Table16[[September 30, 2025]:[Column18]],,0,1),"&gt;=8"),"N/A")</f>
        <v>N/A</v>
      </c>
      <c r="J387" s="66" t="str">
        <f>IFERROR(Table1215[[#This Row],[FTA]]/Table1215[[#This Row],[GP]],"N/A")</f>
        <v>N/A</v>
      </c>
      <c r="K387" s="67">
        <f>COUNTIF(_xlfn.XLOOKUP(Table1215[[#This Row],[Name]],Table16[Name],Table16[[September 30, 2025]:[Column18]],,0,1),"&gt;=15")</f>
        <v>0</v>
      </c>
    </row>
    <row r="388" spans="2:11">
      <c r="B388" s="82">
        <f>INDEX(AllTime1[All-time rank], MATCH(SMALL(AllTime1[Helper], ROW(Structures!$G383)), AllTime1[Helper], 0))</f>
        <v>300</v>
      </c>
      <c r="C388" s="64" t="str">
        <f>TEXT(INDEX(AllTime1[Name], MATCH(SMALL(AllTime1[Helper], ROW(Structures!$G383)), AllTime1[Helper], 0)),"@")</f>
        <v/>
      </c>
      <c r="D388" s="64">
        <f>INDEX(AllTime1[All-time score], MATCH(LARGE(AllTime1[Helper2], ROW(Structures!$G383)), AllTime1[Helper2], 0))</f>
        <v>0</v>
      </c>
      <c r="E388" s="64">
        <f>COUNTIF(_xlfn.XLOOKUP(Table1215[[#This Row],[Name]],Table16[Name],Table16[[September 30, 2025]:[Column18]],,0,1),"&gt;=0")</f>
        <v>0</v>
      </c>
      <c r="F388" s="109" t="str">
        <f>_xlfn.XLOOKUP(Table1215[[#This Row],[Name]],Table1624[Name],Table1624[Totals],,0,1)</f>
        <v>N/A</v>
      </c>
      <c r="G388" s="65" t="str">
        <f>IFERROR(Table1215[[#This Row],[Points]]/Table1215[[#This Row],[GP]],"N/A")</f>
        <v>N/A</v>
      </c>
      <c r="H388" s="64">
        <f>COUNTIF(_xlfn.XLOOKUP(Table1215[[#This Row],[Name]],Table16[Name],Table16[[September 30, 2025]:[Column18]],,0,1),"&gt;=8")</f>
        <v>0</v>
      </c>
      <c r="I388" s="110" t="str">
        <f>IFERROR(AVERAGEIF(_xlfn.XLOOKUP(Table1215[[#This Row],[Name]],Table16[Name],Table16[[September 30, 2025]:[Column18]],,0,1),"&gt;=8"),"N/A")</f>
        <v>N/A</v>
      </c>
      <c r="J388" s="66" t="str">
        <f>IFERROR(Table1215[[#This Row],[FTA]]/Table1215[[#This Row],[GP]],"N/A")</f>
        <v>N/A</v>
      </c>
      <c r="K388" s="67">
        <f>COUNTIF(_xlfn.XLOOKUP(Table1215[[#This Row],[Name]],Table16[Name],Table16[[September 30, 2025]:[Column18]],,0,1),"&gt;=15")</f>
        <v>0</v>
      </c>
    </row>
    <row r="389" spans="2:11">
      <c r="B389" s="82">
        <f>INDEX(AllTime1[All-time rank], MATCH(SMALL(AllTime1[Helper], ROW(Structures!$G384)), AllTime1[Helper], 0))</f>
        <v>300</v>
      </c>
      <c r="C389" s="64" t="str">
        <f>TEXT(INDEX(AllTime1[Name], MATCH(SMALL(AllTime1[Helper], ROW(Structures!$G384)), AllTime1[Helper], 0)),"@")</f>
        <v/>
      </c>
      <c r="D389" s="64">
        <f>INDEX(AllTime1[All-time score], MATCH(LARGE(AllTime1[Helper2], ROW(Structures!$G384)), AllTime1[Helper2], 0))</f>
        <v>0</v>
      </c>
      <c r="E389" s="64">
        <f>COUNTIF(_xlfn.XLOOKUP(Table1215[[#This Row],[Name]],Table16[Name],Table16[[September 30, 2025]:[Column18]],,0,1),"&gt;=0")</f>
        <v>0</v>
      </c>
      <c r="F389" s="109" t="str">
        <f>_xlfn.XLOOKUP(Table1215[[#This Row],[Name]],Table1624[Name],Table1624[Totals],,0,1)</f>
        <v>N/A</v>
      </c>
      <c r="G389" s="65" t="str">
        <f>IFERROR(Table1215[[#This Row],[Points]]/Table1215[[#This Row],[GP]],"N/A")</f>
        <v>N/A</v>
      </c>
      <c r="H389" s="64">
        <f>COUNTIF(_xlfn.XLOOKUP(Table1215[[#This Row],[Name]],Table16[Name],Table16[[September 30, 2025]:[Column18]],,0,1),"&gt;=8")</f>
        <v>0</v>
      </c>
      <c r="I389" s="110" t="str">
        <f>IFERROR(AVERAGEIF(_xlfn.XLOOKUP(Table1215[[#This Row],[Name]],Table16[Name],Table16[[September 30, 2025]:[Column18]],,0,1),"&gt;=8"),"N/A")</f>
        <v>N/A</v>
      </c>
      <c r="J389" s="66" t="str">
        <f>IFERROR(Table1215[[#This Row],[FTA]]/Table1215[[#This Row],[GP]],"N/A")</f>
        <v>N/A</v>
      </c>
      <c r="K389" s="67">
        <f>COUNTIF(_xlfn.XLOOKUP(Table1215[[#This Row],[Name]],Table16[Name],Table16[[September 30, 2025]:[Column18]],,0,1),"&gt;=15")</f>
        <v>0</v>
      </c>
    </row>
    <row r="390" spans="2:11">
      <c r="B390" s="82">
        <f>INDEX(AllTime1[All-time rank], MATCH(SMALL(AllTime1[Helper], ROW(Structures!$G385)), AllTime1[Helper], 0))</f>
        <v>300</v>
      </c>
      <c r="C390" s="64" t="str">
        <f>TEXT(INDEX(AllTime1[Name], MATCH(SMALL(AllTime1[Helper], ROW(Structures!$G385)), AllTime1[Helper], 0)),"@")</f>
        <v/>
      </c>
      <c r="D390" s="64">
        <f>INDEX(AllTime1[All-time score], MATCH(LARGE(AllTime1[Helper2], ROW(Structures!$G385)), AllTime1[Helper2], 0))</f>
        <v>0</v>
      </c>
      <c r="E390" s="64">
        <f>COUNTIF(_xlfn.XLOOKUP(Table1215[[#This Row],[Name]],Table16[Name],Table16[[September 30, 2025]:[Column18]],,0,1),"&gt;=0")</f>
        <v>0</v>
      </c>
      <c r="F390" s="109" t="str">
        <f>_xlfn.XLOOKUP(Table1215[[#This Row],[Name]],Table1624[Name],Table1624[Totals],,0,1)</f>
        <v>N/A</v>
      </c>
      <c r="G390" s="65" t="str">
        <f>IFERROR(Table1215[[#This Row],[Points]]/Table1215[[#This Row],[GP]],"N/A")</f>
        <v>N/A</v>
      </c>
      <c r="H390" s="64">
        <f>COUNTIF(_xlfn.XLOOKUP(Table1215[[#This Row],[Name]],Table16[Name],Table16[[September 30, 2025]:[Column18]],,0,1),"&gt;=8")</f>
        <v>0</v>
      </c>
      <c r="I390" s="110" t="str">
        <f>IFERROR(AVERAGEIF(_xlfn.XLOOKUP(Table1215[[#This Row],[Name]],Table16[Name],Table16[[September 30, 2025]:[Column18]],,0,1),"&gt;=8"),"N/A")</f>
        <v>N/A</v>
      </c>
      <c r="J390" s="66" t="str">
        <f>IFERROR(Table1215[[#This Row],[FTA]]/Table1215[[#This Row],[GP]],"N/A")</f>
        <v>N/A</v>
      </c>
      <c r="K390" s="67">
        <f>COUNTIF(_xlfn.XLOOKUP(Table1215[[#This Row],[Name]],Table16[Name],Table16[[September 30, 2025]:[Column18]],,0,1),"&gt;=15")</f>
        <v>0</v>
      </c>
    </row>
    <row r="391" spans="2:11">
      <c r="B391" s="82">
        <f>INDEX(AllTime1[All-time rank], MATCH(SMALL(AllTime1[Helper], ROW(Structures!$G386)), AllTime1[Helper], 0))</f>
        <v>300</v>
      </c>
      <c r="C391" s="64" t="str">
        <f>TEXT(INDEX(AllTime1[Name], MATCH(SMALL(AllTime1[Helper], ROW(Structures!$G386)), AllTime1[Helper], 0)),"@")</f>
        <v/>
      </c>
      <c r="D391" s="64">
        <f>INDEX(AllTime1[All-time score], MATCH(LARGE(AllTime1[Helper2], ROW(Structures!$G386)), AllTime1[Helper2], 0))</f>
        <v>0</v>
      </c>
      <c r="E391" s="64">
        <f>COUNTIF(_xlfn.XLOOKUP(Table1215[[#This Row],[Name]],Table16[Name],Table16[[September 30, 2025]:[Column18]],,0,1),"&gt;=0")</f>
        <v>0</v>
      </c>
      <c r="F391" s="109" t="str">
        <f>_xlfn.XLOOKUP(Table1215[[#This Row],[Name]],Table1624[Name],Table1624[Totals],,0,1)</f>
        <v>N/A</v>
      </c>
      <c r="G391" s="65" t="str">
        <f>IFERROR(Table1215[[#This Row],[Points]]/Table1215[[#This Row],[GP]],"N/A")</f>
        <v>N/A</v>
      </c>
      <c r="H391" s="64">
        <f>COUNTIF(_xlfn.XLOOKUP(Table1215[[#This Row],[Name]],Table16[Name],Table16[[September 30, 2025]:[Column18]],,0,1),"&gt;=8")</f>
        <v>0</v>
      </c>
      <c r="I391" s="110" t="str">
        <f>IFERROR(AVERAGEIF(_xlfn.XLOOKUP(Table1215[[#This Row],[Name]],Table16[Name],Table16[[September 30, 2025]:[Column18]],,0,1),"&gt;=8"),"N/A")</f>
        <v>N/A</v>
      </c>
      <c r="J391" s="66" t="str">
        <f>IFERROR(Table1215[[#This Row],[FTA]]/Table1215[[#This Row],[GP]],"N/A")</f>
        <v>N/A</v>
      </c>
      <c r="K391" s="67">
        <f>COUNTIF(_xlfn.XLOOKUP(Table1215[[#This Row],[Name]],Table16[Name],Table16[[September 30, 2025]:[Column18]],,0,1),"&gt;=15")</f>
        <v>0</v>
      </c>
    </row>
    <row r="392" spans="2:11">
      <c r="B392" s="82">
        <f>INDEX(AllTime1[All-time rank], MATCH(SMALL(AllTime1[Helper], ROW(Structures!$G387)), AllTime1[Helper], 0))</f>
        <v>300</v>
      </c>
      <c r="C392" s="64" t="str">
        <f>TEXT(INDEX(AllTime1[Name], MATCH(SMALL(AllTime1[Helper], ROW(Structures!$G387)), AllTime1[Helper], 0)),"@")</f>
        <v/>
      </c>
      <c r="D392" s="64">
        <f>INDEX(AllTime1[All-time score], MATCH(LARGE(AllTime1[Helper2], ROW(Structures!$G387)), AllTime1[Helper2], 0))</f>
        <v>0</v>
      </c>
      <c r="E392" s="64">
        <f>COUNTIF(_xlfn.XLOOKUP(Table1215[[#This Row],[Name]],Table16[Name],Table16[[September 30, 2025]:[Column18]],,0,1),"&gt;=0")</f>
        <v>0</v>
      </c>
      <c r="F392" s="109" t="str">
        <f>_xlfn.XLOOKUP(Table1215[[#This Row],[Name]],Table1624[Name],Table1624[Totals],,0,1)</f>
        <v>N/A</v>
      </c>
      <c r="G392" s="65" t="str">
        <f>IFERROR(Table1215[[#This Row],[Points]]/Table1215[[#This Row],[GP]],"N/A")</f>
        <v>N/A</v>
      </c>
      <c r="H392" s="64">
        <f>COUNTIF(_xlfn.XLOOKUP(Table1215[[#This Row],[Name]],Table16[Name],Table16[[September 30, 2025]:[Column18]],,0,1),"&gt;=8")</f>
        <v>0</v>
      </c>
      <c r="I392" s="110" t="str">
        <f>IFERROR(AVERAGEIF(_xlfn.XLOOKUP(Table1215[[#This Row],[Name]],Table16[Name],Table16[[September 30, 2025]:[Column18]],,0,1),"&gt;=8"),"N/A")</f>
        <v>N/A</v>
      </c>
      <c r="J392" s="66" t="str">
        <f>IFERROR(Table1215[[#This Row],[FTA]]/Table1215[[#This Row],[GP]],"N/A")</f>
        <v>N/A</v>
      </c>
      <c r="K392" s="67">
        <f>COUNTIF(_xlfn.XLOOKUP(Table1215[[#This Row],[Name]],Table16[Name],Table16[[September 30, 2025]:[Column18]],,0,1),"&gt;=15")</f>
        <v>0</v>
      </c>
    </row>
    <row r="393" spans="2:11">
      <c r="B393" s="82">
        <f>INDEX(AllTime1[All-time rank], MATCH(SMALL(AllTime1[Helper], ROW(Structures!$G388)), AllTime1[Helper], 0))</f>
        <v>300</v>
      </c>
      <c r="C393" s="64" t="str">
        <f>TEXT(INDEX(AllTime1[Name], MATCH(SMALL(AllTime1[Helper], ROW(Structures!$G388)), AllTime1[Helper], 0)),"@")</f>
        <v/>
      </c>
      <c r="D393" s="64">
        <f>INDEX(AllTime1[All-time score], MATCH(LARGE(AllTime1[Helper2], ROW(Structures!$G388)), AllTime1[Helper2], 0))</f>
        <v>0</v>
      </c>
      <c r="E393" s="64">
        <f>COUNTIF(_xlfn.XLOOKUP(Table1215[[#This Row],[Name]],Table16[Name],Table16[[September 30, 2025]:[Column18]],,0,1),"&gt;=0")</f>
        <v>0</v>
      </c>
      <c r="F393" s="109" t="str">
        <f>_xlfn.XLOOKUP(Table1215[[#This Row],[Name]],Table1624[Name],Table1624[Totals],,0,1)</f>
        <v>N/A</v>
      </c>
      <c r="G393" s="65" t="str">
        <f>IFERROR(Table1215[[#This Row],[Points]]/Table1215[[#This Row],[GP]],"N/A")</f>
        <v>N/A</v>
      </c>
      <c r="H393" s="64">
        <f>COUNTIF(_xlfn.XLOOKUP(Table1215[[#This Row],[Name]],Table16[Name],Table16[[September 30, 2025]:[Column18]],,0,1),"&gt;=8")</f>
        <v>0</v>
      </c>
      <c r="I393" s="110" t="str">
        <f>IFERROR(AVERAGEIF(_xlfn.XLOOKUP(Table1215[[#This Row],[Name]],Table16[Name],Table16[[September 30, 2025]:[Column18]],,0,1),"&gt;=8"),"N/A")</f>
        <v>N/A</v>
      </c>
      <c r="J393" s="66" t="str">
        <f>IFERROR(Table1215[[#This Row],[FTA]]/Table1215[[#This Row],[GP]],"N/A")</f>
        <v>N/A</v>
      </c>
      <c r="K393" s="67">
        <f>COUNTIF(_xlfn.XLOOKUP(Table1215[[#This Row],[Name]],Table16[Name],Table16[[September 30, 2025]:[Column18]],,0,1),"&gt;=15")</f>
        <v>0</v>
      </c>
    </row>
    <row r="394" spans="2:11">
      <c r="B394" s="82">
        <f>INDEX(AllTime1[All-time rank], MATCH(SMALL(AllTime1[Helper], ROW(Structures!$G389)), AllTime1[Helper], 0))</f>
        <v>300</v>
      </c>
      <c r="C394" s="64" t="str">
        <f>TEXT(INDEX(AllTime1[Name], MATCH(SMALL(AllTime1[Helper], ROW(Structures!$G389)), AllTime1[Helper], 0)),"@")</f>
        <v/>
      </c>
      <c r="D394" s="64">
        <f>INDEX(AllTime1[All-time score], MATCH(LARGE(AllTime1[Helper2], ROW(Structures!$G389)), AllTime1[Helper2], 0))</f>
        <v>0</v>
      </c>
      <c r="E394" s="64">
        <f>COUNTIF(_xlfn.XLOOKUP(Table1215[[#This Row],[Name]],Table16[Name],Table16[[September 30, 2025]:[Column18]],,0,1),"&gt;=0")</f>
        <v>0</v>
      </c>
      <c r="F394" s="109" t="str">
        <f>_xlfn.XLOOKUP(Table1215[[#This Row],[Name]],Table1624[Name],Table1624[Totals],,0,1)</f>
        <v>N/A</v>
      </c>
      <c r="G394" s="65" t="str">
        <f>IFERROR(Table1215[[#This Row],[Points]]/Table1215[[#This Row],[GP]],"N/A")</f>
        <v>N/A</v>
      </c>
      <c r="H394" s="64">
        <f>COUNTIF(_xlfn.XLOOKUP(Table1215[[#This Row],[Name]],Table16[Name],Table16[[September 30, 2025]:[Column18]],,0,1),"&gt;=8")</f>
        <v>0</v>
      </c>
      <c r="I394" s="110" t="str">
        <f>IFERROR(AVERAGEIF(_xlfn.XLOOKUP(Table1215[[#This Row],[Name]],Table16[Name],Table16[[September 30, 2025]:[Column18]],,0,1),"&gt;=8"),"N/A")</f>
        <v>N/A</v>
      </c>
      <c r="J394" s="66" t="str">
        <f>IFERROR(Table1215[[#This Row],[FTA]]/Table1215[[#This Row],[GP]],"N/A")</f>
        <v>N/A</v>
      </c>
      <c r="K394" s="67">
        <f>COUNTIF(_xlfn.XLOOKUP(Table1215[[#This Row],[Name]],Table16[Name],Table16[[September 30, 2025]:[Column18]],,0,1),"&gt;=15")</f>
        <v>0</v>
      </c>
    </row>
    <row r="395" spans="2:11">
      <c r="B395" s="82">
        <f>INDEX(AllTime1[All-time rank], MATCH(SMALL(AllTime1[Helper], ROW(Structures!$G390)), AllTime1[Helper], 0))</f>
        <v>300</v>
      </c>
      <c r="C395" s="64" t="str">
        <f>TEXT(INDEX(AllTime1[Name], MATCH(SMALL(AllTime1[Helper], ROW(Structures!$G390)), AllTime1[Helper], 0)),"@")</f>
        <v/>
      </c>
      <c r="D395" s="64">
        <f>INDEX(AllTime1[All-time score], MATCH(LARGE(AllTime1[Helper2], ROW(Structures!$G390)), AllTime1[Helper2], 0))</f>
        <v>0</v>
      </c>
      <c r="E395" s="64">
        <f>COUNTIF(_xlfn.XLOOKUP(Table1215[[#This Row],[Name]],Table16[Name],Table16[[September 30, 2025]:[Column18]],,0,1),"&gt;=0")</f>
        <v>0</v>
      </c>
      <c r="F395" s="109" t="str">
        <f>_xlfn.XLOOKUP(Table1215[[#This Row],[Name]],Table1624[Name],Table1624[Totals],,0,1)</f>
        <v>N/A</v>
      </c>
      <c r="G395" s="65" t="str">
        <f>IFERROR(Table1215[[#This Row],[Points]]/Table1215[[#This Row],[GP]],"N/A")</f>
        <v>N/A</v>
      </c>
      <c r="H395" s="64">
        <f>COUNTIF(_xlfn.XLOOKUP(Table1215[[#This Row],[Name]],Table16[Name],Table16[[September 30, 2025]:[Column18]],,0,1),"&gt;=8")</f>
        <v>0</v>
      </c>
      <c r="I395" s="110" t="str">
        <f>IFERROR(AVERAGEIF(_xlfn.XLOOKUP(Table1215[[#This Row],[Name]],Table16[Name],Table16[[September 30, 2025]:[Column18]],,0,1),"&gt;=8"),"N/A")</f>
        <v>N/A</v>
      </c>
      <c r="J395" s="66" t="str">
        <f>IFERROR(Table1215[[#This Row],[FTA]]/Table1215[[#This Row],[GP]],"N/A")</f>
        <v>N/A</v>
      </c>
      <c r="K395" s="67">
        <f>COUNTIF(_xlfn.XLOOKUP(Table1215[[#This Row],[Name]],Table16[Name],Table16[[September 30, 2025]:[Column18]],,0,1),"&gt;=15")</f>
        <v>0</v>
      </c>
    </row>
    <row r="396" spans="2:11">
      <c r="B396" s="82">
        <f>INDEX(AllTime1[All-time rank], MATCH(SMALL(AllTime1[Helper], ROW(Structures!$G391)), AllTime1[Helper], 0))</f>
        <v>300</v>
      </c>
      <c r="C396" s="64" t="str">
        <f>TEXT(INDEX(AllTime1[Name], MATCH(SMALL(AllTime1[Helper], ROW(Structures!$G391)), AllTime1[Helper], 0)),"@")</f>
        <v/>
      </c>
      <c r="D396" s="64">
        <f>INDEX(AllTime1[All-time score], MATCH(LARGE(AllTime1[Helper2], ROW(Structures!$G391)), AllTime1[Helper2], 0))</f>
        <v>0</v>
      </c>
      <c r="E396" s="64">
        <f>COUNTIF(_xlfn.XLOOKUP(Table1215[[#This Row],[Name]],Table16[Name],Table16[[September 30, 2025]:[Column18]],,0,1),"&gt;=0")</f>
        <v>0</v>
      </c>
      <c r="F396" s="109" t="str">
        <f>_xlfn.XLOOKUP(Table1215[[#This Row],[Name]],Table1624[Name],Table1624[Totals],,0,1)</f>
        <v>N/A</v>
      </c>
      <c r="G396" s="65" t="str">
        <f>IFERROR(Table1215[[#This Row],[Points]]/Table1215[[#This Row],[GP]],"N/A")</f>
        <v>N/A</v>
      </c>
      <c r="H396" s="64">
        <f>COUNTIF(_xlfn.XLOOKUP(Table1215[[#This Row],[Name]],Table16[Name],Table16[[September 30, 2025]:[Column18]],,0,1),"&gt;=8")</f>
        <v>0</v>
      </c>
      <c r="I396" s="110" t="str">
        <f>IFERROR(AVERAGEIF(_xlfn.XLOOKUP(Table1215[[#This Row],[Name]],Table16[Name],Table16[[September 30, 2025]:[Column18]],,0,1),"&gt;=8"),"N/A")</f>
        <v>N/A</v>
      </c>
      <c r="J396" s="66" t="str">
        <f>IFERROR(Table1215[[#This Row],[FTA]]/Table1215[[#This Row],[GP]],"N/A")</f>
        <v>N/A</v>
      </c>
      <c r="K396" s="67">
        <f>COUNTIF(_xlfn.XLOOKUP(Table1215[[#This Row],[Name]],Table16[Name],Table16[[September 30, 2025]:[Column18]],,0,1),"&gt;=15")</f>
        <v>0</v>
      </c>
    </row>
    <row r="397" spans="2:11">
      <c r="B397" s="82">
        <f>INDEX(AllTime1[All-time rank], MATCH(SMALL(AllTime1[Helper], ROW(Structures!$G392)), AllTime1[Helper], 0))</f>
        <v>300</v>
      </c>
      <c r="C397" s="64" t="str">
        <f>TEXT(INDEX(AllTime1[Name], MATCH(SMALL(AllTime1[Helper], ROW(Structures!$G392)), AllTime1[Helper], 0)),"@")</f>
        <v/>
      </c>
      <c r="D397" s="64">
        <f>INDEX(AllTime1[All-time score], MATCH(LARGE(AllTime1[Helper2], ROW(Structures!$G392)), AllTime1[Helper2], 0))</f>
        <v>0</v>
      </c>
      <c r="E397" s="64">
        <f>COUNTIF(_xlfn.XLOOKUP(Table1215[[#This Row],[Name]],Table16[Name],Table16[[September 30, 2025]:[Column18]],,0,1),"&gt;=0")</f>
        <v>0</v>
      </c>
      <c r="F397" s="109" t="str">
        <f>_xlfn.XLOOKUP(Table1215[[#This Row],[Name]],Table1624[Name],Table1624[Totals],,0,1)</f>
        <v>N/A</v>
      </c>
      <c r="G397" s="65" t="str">
        <f>IFERROR(Table1215[[#This Row],[Points]]/Table1215[[#This Row],[GP]],"N/A")</f>
        <v>N/A</v>
      </c>
      <c r="H397" s="64">
        <f>COUNTIF(_xlfn.XLOOKUP(Table1215[[#This Row],[Name]],Table16[Name],Table16[[September 30, 2025]:[Column18]],,0,1),"&gt;=8")</f>
        <v>0</v>
      </c>
      <c r="I397" s="110" t="str">
        <f>IFERROR(AVERAGEIF(_xlfn.XLOOKUP(Table1215[[#This Row],[Name]],Table16[Name],Table16[[September 30, 2025]:[Column18]],,0,1),"&gt;=8"),"N/A")</f>
        <v>N/A</v>
      </c>
      <c r="J397" s="66" t="str">
        <f>IFERROR(Table1215[[#This Row],[FTA]]/Table1215[[#This Row],[GP]],"N/A")</f>
        <v>N/A</v>
      </c>
      <c r="K397" s="67">
        <f>COUNTIF(_xlfn.XLOOKUP(Table1215[[#This Row],[Name]],Table16[Name],Table16[[September 30, 2025]:[Column18]],,0,1),"&gt;=15")</f>
        <v>0</v>
      </c>
    </row>
    <row r="398" spans="2:11">
      <c r="B398" s="82">
        <f>INDEX(AllTime1[All-time rank], MATCH(SMALL(AllTime1[Helper], ROW(Structures!$G393)), AllTime1[Helper], 0))</f>
        <v>300</v>
      </c>
      <c r="C398" s="64" t="str">
        <f>TEXT(INDEX(AllTime1[Name], MATCH(SMALL(AllTime1[Helper], ROW(Structures!$G393)), AllTime1[Helper], 0)),"@")</f>
        <v/>
      </c>
      <c r="D398" s="64">
        <f>INDEX(AllTime1[All-time score], MATCH(LARGE(AllTime1[Helper2], ROW(Structures!$G393)), AllTime1[Helper2], 0))</f>
        <v>0</v>
      </c>
      <c r="E398" s="64">
        <f>COUNTIF(_xlfn.XLOOKUP(Table1215[[#This Row],[Name]],Table16[Name],Table16[[September 30, 2025]:[Column18]],,0,1),"&gt;=0")</f>
        <v>0</v>
      </c>
      <c r="F398" s="109" t="str">
        <f>_xlfn.XLOOKUP(Table1215[[#This Row],[Name]],Table1624[Name],Table1624[Totals],,0,1)</f>
        <v>N/A</v>
      </c>
      <c r="G398" s="65" t="str">
        <f>IFERROR(Table1215[[#This Row],[Points]]/Table1215[[#This Row],[GP]],"N/A")</f>
        <v>N/A</v>
      </c>
      <c r="H398" s="64">
        <f>COUNTIF(_xlfn.XLOOKUP(Table1215[[#This Row],[Name]],Table16[Name],Table16[[September 30, 2025]:[Column18]],,0,1),"&gt;=8")</f>
        <v>0</v>
      </c>
      <c r="I398" s="110" t="str">
        <f>IFERROR(AVERAGEIF(_xlfn.XLOOKUP(Table1215[[#This Row],[Name]],Table16[Name],Table16[[September 30, 2025]:[Column18]],,0,1),"&gt;=8"),"N/A")</f>
        <v>N/A</v>
      </c>
      <c r="J398" s="66" t="str">
        <f>IFERROR(Table1215[[#This Row],[FTA]]/Table1215[[#This Row],[GP]],"N/A")</f>
        <v>N/A</v>
      </c>
      <c r="K398" s="67">
        <f>COUNTIF(_xlfn.XLOOKUP(Table1215[[#This Row],[Name]],Table16[Name],Table16[[September 30, 2025]:[Column18]],,0,1),"&gt;=15")</f>
        <v>0</v>
      </c>
    </row>
    <row r="399" spans="2:11">
      <c r="B399" s="82">
        <f>INDEX(AllTime1[All-time rank], MATCH(SMALL(AllTime1[Helper], ROW(Structures!$G394)), AllTime1[Helper], 0))</f>
        <v>300</v>
      </c>
      <c r="C399" s="64" t="str">
        <f>TEXT(INDEX(AllTime1[Name], MATCH(SMALL(AllTime1[Helper], ROW(Structures!$G394)), AllTime1[Helper], 0)),"@")</f>
        <v/>
      </c>
      <c r="D399" s="64">
        <f>INDEX(AllTime1[All-time score], MATCH(LARGE(AllTime1[Helper2], ROW(Structures!$G394)), AllTime1[Helper2], 0))</f>
        <v>0</v>
      </c>
      <c r="E399" s="64">
        <f>COUNTIF(_xlfn.XLOOKUP(Table1215[[#This Row],[Name]],Table16[Name],Table16[[September 30, 2025]:[Column18]],,0,1),"&gt;=0")</f>
        <v>0</v>
      </c>
      <c r="F399" s="109" t="str">
        <f>_xlfn.XLOOKUP(Table1215[[#This Row],[Name]],Table1624[Name],Table1624[Totals],,0,1)</f>
        <v>N/A</v>
      </c>
      <c r="G399" s="65" t="str">
        <f>IFERROR(Table1215[[#This Row],[Points]]/Table1215[[#This Row],[GP]],"N/A")</f>
        <v>N/A</v>
      </c>
      <c r="H399" s="64">
        <f>COUNTIF(_xlfn.XLOOKUP(Table1215[[#This Row],[Name]],Table16[Name],Table16[[September 30, 2025]:[Column18]],,0,1),"&gt;=8")</f>
        <v>0</v>
      </c>
      <c r="I399" s="110" t="str">
        <f>IFERROR(AVERAGEIF(_xlfn.XLOOKUP(Table1215[[#This Row],[Name]],Table16[Name],Table16[[September 30, 2025]:[Column18]],,0,1),"&gt;=8"),"N/A")</f>
        <v>N/A</v>
      </c>
      <c r="J399" s="66" t="str">
        <f>IFERROR(Table1215[[#This Row],[FTA]]/Table1215[[#This Row],[GP]],"N/A")</f>
        <v>N/A</v>
      </c>
      <c r="K399" s="67">
        <f>COUNTIF(_xlfn.XLOOKUP(Table1215[[#This Row],[Name]],Table16[Name],Table16[[September 30, 2025]:[Column18]],,0,1),"&gt;=15")</f>
        <v>0</v>
      </c>
    </row>
    <row r="400" spans="2:11">
      <c r="B400" s="82">
        <f>INDEX(AllTime1[All-time rank], MATCH(SMALL(AllTime1[Helper], ROW(Structures!$G395)), AllTime1[Helper], 0))</f>
        <v>300</v>
      </c>
      <c r="C400" s="64" t="str">
        <f>TEXT(INDEX(AllTime1[Name], MATCH(SMALL(AllTime1[Helper], ROW(Structures!$G395)), AllTime1[Helper], 0)),"@")</f>
        <v/>
      </c>
      <c r="D400" s="64">
        <f>INDEX(AllTime1[All-time score], MATCH(LARGE(AllTime1[Helper2], ROW(Structures!$G395)), AllTime1[Helper2], 0))</f>
        <v>0</v>
      </c>
      <c r="E400" s="64">
        <f>COUNTIF(_xlfn.XLOOKUP(Table1215[[#This Row],[Name]],Table16[Name],Table16[[September 30, 2025]:[Column18]],,0,1),"&gt;=0")</f>
        <v>0</v>
      </c>
      <c r="F400" s="109" t="str">
        <f>_xlfn.XLOOKUP(Table1215[[#This Row],[Name]],Table1624[Name],Table1624[Totals],,0,1)</f>
        <v>N/A</v>
      </c>
      <c r="G400" s="65" t="str">
        <f>IFERROR(Table1215[[#This Row],[Points]]/Table1215[[#This Row],[GP]],"N/A")</f>
        <v>N/A</v>
      </c>
      <c r="H400" s="64">
        <f>COUNTIF(_xlfn.XLOOKUP(Table1215[[#This Row],[Name]],Table16[Name],Table16[[September 30, 2025]:[Column18]],,0,1),"&gt;=8")</f>
        <v>0</v>
      </c>
      <c r="I400" s="110" t="str">
        <f>IFERROR(AVERAGEIF(_xlfn.XLOOKUP(Table1215[[#This Row],[Name]],Table16[Name],Table16[[September 30, 2025]:[Column18]],,0,1),"&gt;=8"),"N/A")</f>
        <v>N/A</v>
      </c>
      <c r="J400" s="66" t="str">
        <f>IFERROR(Table1215[[#This Row],[FTA]]/Table1215[[#This Row],[GP]],"N/A")</f>
        <v>N/A</v>
      </c>
      <c r="K400" s="67">
        <f>COUNTIF(_xlfn.XLOOKUP(Table1215[[#This Row],[Name]],Table16[Name],Table16[[September 30, 2025]:[Column18]],,0,1),"&gt;=15")</f>
        <v>0</v>
      </c>
    </row>
    <row r="401" spans="2:11">
      <c r="B401" s="82">
        <f>INDEX(AllTime1[All-time rank], MATCH(SMALL(AllTime1[Helper], ROW(Structures!$G396)), AllTime1[Helper], 0))</f>
        <v>300</v>
      </c>
      <c r="C401" s="64" t="str">
        <f>TEXT(INDEX(AllTime1[Name], MATCH(SMALL(AllTime1[Helper], ROW(Structures!$G396)), AllTime1[Helper], 0)),"@")</f>
        <v/>
      </c>
      <c r="D401" s="64">
        <f>INDEX(AllTime1[All-time score], MATCH(LARGE(AllTime1[Helper2], ROW(Structures!$G396)), AllTime1[Helper2], 0))</f>
        <v>0</v>
      </c>
      <c r="E401" s="64">
        <f>COUNTIF(_xlfn.XLOOKUP(Table1215[[#This Row],[Name]],Table16[Name],Table16[[September 30, 2025]:[Column18]],,0,1),"&gt;=0")</f>
        <v>0</v>
      </c>
      <c r="F401" s="109" t="str">
        <f>_xlfn.XLOOKUP(Table1215[[#This Row],[Name]],Table1624[Name],Table1624[Totals],,0,1)</f>
        <v>N/A</v>
      </c>
      <c r="G401" s="65" t="str">
        <f>IFERROR(Table1215[[#This Row],[Points]]/Table1215[[#This Row],[GP]],"N/A")</f>
        <v>N/A</v>
      </c>
      <c r="H401" s="64">
        <f>COUNTIF(_xlfn.XLOOKUP(Table1215[[#This Row],[Name]],Table16[Name],Table16[[September 30, 2025]:[Column18]],,0,1),"&gt;=8")</f>
        <v>0</v>
      </c>
      <c r="I401" s="110" t="str">
        <f>IFERROR(AVERAGEIF(_xlfn.XLOOKUP(Table1215[[#This Row],[Name]],Table16[Name],Table16[[September 30, 2025]:[Column18]],,0,1),"&gt;=8"),"N/A")</f>
        <v>N/A</v>
      </c>
      <c r="J401" s="66" t="str">
        <f>IFERROR(Table1215[[#This Row],[FTA]]/Table1215[[#This Row],[GP]],"N/A")</f>
        <v>N/A</v>
      </c>
      <c r="K401" s="67">
        <f>COUNTIF(_xlfn.XLOOKUP(Table1215[[#This Row],[Name]],Table16[Name],Table16[[September 30, 2025]:[Column18]],,0,1),"&gt;=15")</f>
        <v>0</v>
      </c>
    </row>
    <row r="402" spans="2:11">
      <c r="B402" s="82">
        <f>INDEX(AllTime1[All-time rank], MATCH(SMALL(AllTime1[Helper], ROW(Structures!$G397)), AllTime1[Helper], 0))</f>
        <v>300</v>
      </c>
      <c r="C402" s="64" t="str">
        <f>TEXT(INDEX(AllTime1[Name], MATCH(SMALL(AllTime1[Helper], ROW(Structures!$G397)), AllTime1[Helper], 0)),"@")</f>
        <v/>
      </c>
      <c r="D402" s="64">
        <f>INDEX(AllTime1[All-time score], MATCH(LARGE(AllTime1[Helper2], ROW(Structures!$G397)), AllTime1[Helper2], 0))</f>
        <v>0</v>
      </c>
      <c r="E402" s="64">
        <f>COUNTIF(_xlfn.XLOOKUP(Table1215[[#This Row],[Name]],Table16[Name],Table16[[September 30, 2025]:[Column18]],,0,1),"&gt;=0")</f>
        <v>0</v>
      </c>
      <c r="F402" s="109" t="str">
        <f>_xlfn.XLOOKUP(Table1215[[#This Row],[Name]],Table1624[Name],Table1624[Totals],,0,1)</f>
        <v>N/A</v>
      </c>
      <c r="G402" s="65" t="str">
        <f>IFERROR(Table1215[[#This Row],[Points]]/Table1215[[#This Row],[GP]],"N/A")</f>
        <v>N/A</v>
      </c>
      <c r="H402" s="64">
        <f>COUNTIF(_xlfn.XLOOKUP(Table1215[[#This Row],[Name]],Table16[Name],Table16[[September 30, 2025]:[Column18]],,0,1),"&gt;=8")</f>
        <v>0</v>
      </c>
      <c r="I402" s="110" t="str">
        <f>IFERROR(AVERAGEIF(_xlfn.XLOOKUP(Table1215[[#This Row],[Name]],Table16[Name],Table16[[September 30, 2025]:[Column18]],,0,1),"&gt;=8"),"N/A")</f>
        <v>N/A</v>
      </c>
      <c r="J402" s="66" t="str">
        <f>IFERROR(Table1215[[#This Row],[FTA]]/Table1215[[#This Row],[GP]],"N/A")</f>
        <v>N/A</v>
      </c>
      <c r="K402" s="67">
        <f>COUNTIF(_xlfn.XLOOKUP(Table1215[[#This Row],[Name]],Table16[Name],Table16[[September 30, 2025]:[Column18]],,0,1),"&gt;=15")</f>
        <v>0</v>
      </c>
    </row>
    <row r="403" spans="2:11">
      <c r="B403" s="82">
        <f>INDEX(AllTime1[All-time rank], MATCH(SMALL(AllTime1[Helper], ROW(Structures!$G398)), AllTime1[Helper], 0))</f>
        <v>300</v>
      </c>
      <c r="C403" s="64" t="str">
        <f>TEXT(INDEX(AllTime1[Name], MATCH(SMALL(AllTime1[Helper], ROW(Structures!$G398)), AllTime1[Helper], 0)),"@")</f>
        <v/>
      </c>
      <c r="D403" s="64">
        <f>INDEX(AllTime1[All-time score], MATCH(LARGE(AllTime1[Helper2], ROW(Structures!$G398)), AllTime1[Helper2], 0))</f>
        <v>0</v>
      </c>
      <c r="E403" s="64">
        <f>COUNTIF(_xlfn.XLOOKUP(Table1215[[#This Row],[Name]],Table16[Name],Table16[[September 30, 2025]:[Column18]],,0,1),"&gt;=0")</f>
        <v>0</v>
      </c>
      <c r="F403" s="109" t="str">
        <f>_xlfn.XLOOKUP(Table1215[[#This Row],[Name]],Table1624[Name],Table1624[Totals],,0,1)</f>
        <v>N/A</v>
      </c>
      <c r="G403" s="65" t="str">
        <f>IFERROR(Table1215[[#This Row],[Points]]/Table1215[[#This Row],[GP]],"N/A")</f>
        <v>N/A</v>
      </c>
      <c r="H403" s="64">
        <f>COUNTIF(_xlfn.XLOOKUP(Table1215[[#This Row],[Name]],Table16[Name],Table16[[September 30, 2025]:[Column18]],,0,1),"&gt;=8")</f>
        <v>0</v>
      </c>
      <c r="I403" s="110" t="str">
        <f>IFERROR(AVERAGEIF(_xlfn.XLOOKUP(Table1215[[#This Row],[Name]],Table16[Name],Table16[[September 30, 2025]:[Column18]],,0,1),"&gt;=8"),"N/A")</f>
        <v>N/A</v>
      </c>
      <c r="J403" s="66" t="str">
        <f>IFERROR(Table1215[[#This Row],[FTA]]/Table1215[[#This Row],[GP]],"N/A")</f>
        <v>N/A</v>
      </c>
      <c r="K403" s="67">
        <f>COUNTIF(_xlfn.XLOOKUP(Table1215[[#This Row],[Name]],Table16[Name],Table16[[September 30, 2025]:[Column18]],,0,1),"&gt;=15")</f>
        <v>0</v>
      </c>
    </row>
    <row r="404" spans="2:11">
      <c r="B404" s="82">
        <f>INDEX(AllTime1[All-time rank], MATCH(SMALL(AllTime1[Helper], ROW(Structures!$G399)), AllTime1[Helper], 0))</f>
        <v>300</v>
      </c>
      <c r="C404" s="64" t="str">
        <f>TEXT(INDEX(AllTime1[Name], MATCH(SMALL(AllTime1[Helper], ROW(Structures!$G399)), AllTime1[Helper], 0)),"@")</f>
        <v/>
      </c>
      <c r="D404" s="64">
        <f>INDEX(AllTime1[All-time score], MATCH(LARGE(AllTime1[Helper2], ROW(Structures!$G399)), AllTime1[Helper2], 0))</f>
        <v>0</v>
      </c>
      <c r="E404" s="64">
        <f>COUNTIF(_xlfn.XLOOKUP(Table1215[[#This Row],[Name]],Table16[Name],Table16[[September 30, 2025]:[Column18]],,0,1),"&gt;=0")</f>
        <v>0</v>
      </c>
      <c r="F404" s="109" t="str">
        <f>_xlfn.XLOOKUP(Table1215[[#This Row],[Name]],Table1624[Name],Table1624[Totals],,0,1)</f>
        <v>N/A</v>
      </c>
      <c r="G404" s="65" t="str">
        <f>IFERROR(Table1215[[#This Row],[Points]]/Table1215[[#This Row],[GP]],"N/A")</f>
        <v>N/A</v>
      </c>
      <c r="H404" s="64">
        <f>COUNTIF(_xlfn.XLOOKUP(Table1215[[#This Row],[Name]],Table16[Name],Table16[[September 30, 2025]:[Column18]],,0,1),"&gt;=8")</f>
        <v>0</v>
      </c>
      <c r="I404" s="110" t="str">
        <f>IFERROR(AVERAGEIF(_xlfn.XLOOKUP(Table1215[[#This Row],[Name]],Table16[Name],Table16[[September 30, 2025]:[Column18]],,0,1),"&gt;=8"),"N/A")</f>
        <v>N/A</v>
      </c>
      <c r="J404" s="66" t="str">
        <f>IFERROR(Table1215[[#This Row],[FTA]]/Table1215[[#This Row],[GP]],"N/A")</f>
        <v>N/A</v>
      </c>
      <c r="K404" s="67">
        <f>COUNTIF(_xlfn.XLOOKUP(Table1215[[#This Row],[Name]],Table16[Name],Table16[[September 30, 2025]:[Column18]],,0,1),"&gt;=15")</f>
        <v>0</v>
      </c>
    </row>
    <row r="405" spans="2:11">
      <c r="B405" s="82">
        <f>INDEX(AllTime1[All-time rank], MATCH(SMALL(AllTime1[Helper], ROW(Structures!$G400)), AllTime1[Helper], 0))</f>
        <v>300</v>
      </c>
      <c r="C405" s="64" t="str">
        <f>TEXT(INDEX(AllTime1[Name], MATCH(SMALL(AllTime1[Helper], ROW(Structures!$G400)), AllTime1[Helper], 0)),"@")</f>
        <v/>
      </c>
      <c r="D405" s="64">
        <f>INDEX(AllTime1[All-time score], MATCH(LARGE(AllTime1[Helper2], ROW(Structures!$G400)), AllTime1[Helper2], 0))</f>
        <v>0</v>
      </c>
      <c r="E405" s="64">
        <f>COUNTIF(_xlfn.XLOOKUP(Table1215[[#This Row],[Name]],Table16[Name],Table16[[September 30, 2025]:[Column18]],,0,1),"&gt;=0")</f>
        <v>0</v>
      </c>
      <c r="F405" s="109" t="str">
        <f>_xlfn.XLOOKUP(Table1215[[#This Row],[Name]],Table1624[Name],Table1624[Totals],,0,1)</f>
        <v>N/A</v>
      </c>
      <c r="G405" s="65" t="str">
        <f>IFERROR(Table1215[[#This Row],[Points]]/Table1215[[#This Row],[GP]],"N/A")</f>
        <v>N/A</v>
      </c>
      <c r="H405" s="64">
        <f>COUNTIF(_xlfn.XLOOKUP(Table1215[[#This Row],[Name]],Table16[Name],Table16[[September 30, 2025]:[Column18]],,0,1),"&gt;=8")</f>
        <v>0</v>
      </c>
      <c r="I405" s="110" t="str">
        <f>IFERROR(AVERAGEIF(_xlfn.XLOOKUP(Table1215[[#This Row],[Name]],Table16[Name],Table16[[September 30, 2025]:[Column18]],,0,1),"&gt;=8"),"N/A")</f>
        <v>N/A</v>
      </c>
      <c r="J405" s="66" t="str">
        <f>IFERROR(Table1215[[#This Row],[FTA]]/Table1215[[#This Row],[GP]],"N/A")</f>
        <v>N/A</v>
      </c>
      <c r="K405" s="67">
        <f>COUNTIF(_xlfn.XLOOKUP(Table1215[[#This Row],[Name]],Table16[Name],Table16[[September 30, 2025]:[Column18]],,0,1),"&gt;=15")</f>
        <v>0</v>
      </c>
    </row>
    <row r="406" spans="2:11">
      <c r="B406" s="82">
        <f>INDEX(AllTime1[All-time rank], MATCH(SMALL(AllTime1[Helper], ROW(Structures!$G401)), AllTime1[Helper], 0))</f>
        <v>300</v>
      </c>
      <c r="C406" s="64" t="str">
        <f>TEXT(INDEX(AllTime1[Name], MATCH(SMALL(AllTime1[Helper], ROW(Structures!$G401)), AllTime1[Helper], 0)),"@")</f>
        <v/>
      </c>
      <c r="D406" s="64">
        <f>INDEX(AllTime1[All-time score], MATCH(LARGE(AllTime1[Helper2], ROW(Structures!$G401)), AllTime1[Helper2], 0))</f>
        <v>0</v>
      </c>
      <c r="E406" s="64">
        <f>COUNTIF(_xlfn.XLOOKUP(Table1215[[#This Row],[Name]],Table16[Name],Table16[[September 30, 2025]:[Column18]],,0,1),"&gt;=0")</f>
        <v>0</v>
      </c>
      <c r="F406" s="109" t="str">
        <f>_xlfn.XLOOKUP(Table1215[[#This Row],[Name]],Table1624[Name],Table1624[Totals],,0,1)</f>
        <v>N/A</v>
      </c>
      <c r="G406" s="65" t="str">
        <f>IFERROR(Table1215[[#This Row],[Points]]/Table1215[[#This Row],[GP]],"N/A")</f>
        <v>N/A</v>
      </c>
      <c r="H406" s="64">
        <f>COUNTIF(_xlfn.XLOOKUP(Table1215[[#This Row],[Name]],Table16[Name],Table16[[September 30, 2025]:[Column18]],,0,1),"&gt;=8")</f>
        <v>0</v>
      </c>
      <c r="I406" s="110" t="str">
        <f>IFERROR(AVERAGEIF(_xlfn.XLOOKUP(Table1215[[#This Row],[Name]],Table16[Name],Table16[[September 30, 2025]:[Column18]],,0,1),"&gt;=8"),"N/A")</f>
        <v>N/A</v>
      </c>
      <c r="J406" s="66" t="str">
        <f>IFERROR(Table1215[[#This Row],[FTA]]/Table1215[[#This Row],[GP]],"N/A")</f>
        <v>N/A</v>
      </c>
      <c r="K406" s="67">
        <f>COUNTIF(_xlfn.XLOOKUP(Table1215[[#This Row],[Name]],Table16[Name],Table16[[September 30, 2025]:[Column18]],,0,1),"&gt;=15")</f>
        <v>0</v>
      </c>
    </row>
    <row r="407" spans="2:11">
      <c r="B407" s="82">
        <f>INDEX(AllTime1[All-time rank], MATCH(SMALL(AllTime1[Helper], ROW(Structures!$G402)), AllTime1[Helper], 0))</f>
        <v>300</v>
      </c>
      <c r="C407" s="64" t="str">
        <f>TEXT(INDEX(AllTime1[Name], MATCH(SMALL(AllTime1[Helper], ROW(Structures!$G402)), AllTime1[Helper], 0)),"@")</f>
        <v/>
      </c>
      <c r="D407" s="64">
        <f>INDEX(AllTime1[All-time score], MATCH(LARGE(AllTime1[Helper2], ROW(Structures!$G402)), AllTime1[Helper2], 0))</f>
        <v>0</v>
      </c>
      <c r="E407" s="64">
        <f>COUNTIF(_xlfn.XLOOKUP(Table1215[[#This Row],[Name]],Table16[Name],Table16[[September 30, 2025]:[Column18]],,0,1),"&gt;=0")</f>
        <v>0</v>
      </c>
      <c r="F407" s="109" t="str">
        <f>_xlfn.XLOOKUP(Table1215[[#This Row],[Name]],Table1624[Name],Table1624[Totals],,0,1)</f>
        <v>N/A</v>
      </c>
      <c r="G407" s="65" t="str">
        <f>IFERROR(Table1215[[#This Row],[Points]]/Table1215[[#This Row],[GP]],"N/A")</f>
        <v>N/A</v>
      </c>
      <c r="H407" s="64">
        <f>COUNTIF(_xlfn.XLOOKUP(Table1215[[#This Row],[Name]],Table16[Name],Table16[[September 30, 2025]:[Column18]],,0,1),"&gt;=8")</f>
        <v>0</v>
      </c>
      <c r="I407" s="110" t="str">
        <f>IFERROR(AVERAGEIF(_xlfn.XLOOKUP(Table1215[[#This Row],[Name]],Table16[Name],Table16[[September 30, 2025]:[Column18]],,0,1),"&gt;=8"),"N/A")</f>
        <v>N/A</v>
      </c>
      <c r="J407" s="66" t="str">
        <f>IFERROR(Table1215[[#This Row],[FTA]]/Table1215[[#This Row],[GP]],"N/A")</f>
        <v>N/A</v>
      </c>
      <c r="K407" s="67">
        <f>COUNTIF(_xlfn.XLOOKUP(Table1215[[#This Row],[Name]],Table16[Name],Table16[[September 30, 2025]:[Column18]],,0,1),"&gt;=15")</f>
        <v>0</v>
      </c>
    </row>
    <row r="408" spans="2:11">
      <c r="B408" s="82">
        <f>INDEX(AllTime1[All-time rank], MATCH(SMALL(AllTime1[Helper], ROW(Structures!$G403)), AllTime1[Helper], 0))</f>
        <v>300</v>
      </c>
      <c r="C408" s="64" t="str">
        <f>TEXT(INDEX(AllTime1[Name], MATCH(SMALL(AllTime1[Helper], ROW(Structures!$G403)), AllTime1[Helper], 0)),"@")</f>
        <v/>
      </c>
      <c r="D408" s="64">
        <f>INDEX(AllTime1[All-time score], MATCH(LARGE(AllTime1[Helper2], ROW(Structures!$G403)), AllTime1[Helper2], 0))</f>
        <v>0</v>
      </c>
      <c r="E408" s="64">
        <f>COUNTIF(_xlfn.XLOOKUP(Table1215[[#This Row],[Name]],Table16[Name],Table16[[September 30, 2025]:[Column18]],,0,1),"&gt;=0")</f>
        <v>0</v>
      </c>
      <c r="F408" s="109" t="str">
        <f>_xlfn.XLOOKUP(Table1215[[#This Row],[Name]],Table1624[Name],Table1624[Totals],,0,1)</f>
        <v>N/A</v>
      </c>
      <c r="G408" s="65" t="str">
        <f>IFERROR(Table1215[[#This Row],[Points]]/Table1215[[#This Row],[GP]],"N/A")</f>
        <v>N/A</v>
      </c>
      <c r="H408" s="64">
        <f>COUNTIF(_xlfn.XLOOKUP(Table1215[[#This Row],[Name]],Table16[Name],Table16[[September 30, 2025]:[Column18]],,0,1),"&gt;=8")</f>
        <v>0</v>
      </c>
      <c r="I408" s="110" t="str">
        <f>IFERROR(AVERAGEIF(_xlfn.XLOOKUP(Table1215[[#This Row],[Name]],Table16[Name],Table16[[September 30, 2025]:[Column18]],,0,1),"&gt;=8"),"N/A")</f>
        <v>N/A</v>
      </c>
      <c r="J408" s="66" t="str">
        <f>IFERROR(Table1215[[#This Row],[FTA]]/Table1215[[#This Row],[GP]],"N/A")</f>
        <v>N/A</v>
      </c>
      <c r="K408" s="67">
        <f>COUNTIF(_xlfn.XLOOKUP(Table1215[[#This Row],[Name]],Table16[Name],Table16[[September 30, 2025]:[Column18]],,0,1),"&gt;=15")</f>
        <v>0</v>
      </c>
    </row>
    <row r="409" spans="2:11">
      <c r="B409" s="82">
        <f>INDEX(AllTime1[All-time rank], MATCH(SMALL(AllTime1[Helper], ROW(Structures!$G404)), AllTime1[Helper], 0))</f>
        <v>300</v>
      </c>
      <c r="C409" s="64" t="str">
        <f>TEXT(INDEX(AllTime1[Name], MATCH(SMALL(AllTime1[Helper], ROW(Structures!$G404)), AllTime1[Helper], 0)),"@")</f>
        <v/>
      </c>
      <c r="D409" s="64">
        <f>INDEX(AllTime1[All-time score], MATCH(LARGE(AllTime1[Helper2], ROW(Structures!$G404)), AllTime1[Helper2], 0))</f>
        <v>0</v>
      </c>
      <c r="E409" s="64">
        <f>COUNTIF(_xlfn.XLOOKUP(Table1215[[#This Row],[Name]],Table16[Name],Table16[[September 30, 2025]:[Column18]],,0,1),"&gt;=0")</f>
        <v>0</v>
      </c>
      <c r="F409" s="109" t="str">
        <f>_xlfn.XLOOKUP(Table1215[[#This Row],[Name]],Table1624[Name],Table1624[Totals],,0,1)</f>
        <v>N/A</v>
      </c>
      <c r="G409" s="65" t="str">
        <f>IFERROR(Table1215[[#This Row],[Points]]/Table1215[[#This Row],[GP]],"N/A")</f>
        <v>N/A</v>
      </c>
      <c r="H409" s="64">
        <f>COUNTIF(_xlfn.XLOOKUP(Table1215[[#This Row],[Name]],Table16[Name],Table16[[September 30, 2025]:[Column18]],,0,1),"&gt;=8")</f>
        <v>0</v>
      </c>
      <c r="I409" s="110" t="str">
        <f>IFERROR(AVERAGEIF(_xlfn.XLOOKUP(Table1215[[#This Row],[Name]],Table16[Name],Table16[[September 30, 2025]:[Column18]],,0,1),"&gt;=8"),"N/A")</f>
        <v>N/A</v>
      </c>
      <c r="J409" s="66" t="str">
        <f>IFERROR(Table1215[[#This Row],[FTA]]/Table1215[[#This Row],[GP]],"N/A")</f>
        <v>N/A</v>
      </c>
      <c r="K409" s="67">
        <f>COUNTIF(_xlfn.XLOOKUP(Table1215[[#This Row],[Name]],Table16[Name],Table16[[September 30, 2025]:[Column18]],,0,1),"&gt;=15")</f>
        <v>0</v>
      </c>
    </row>
    <row r="410" spans="2:11">
      <c r="B410" s="82">
        <f>INDEX(AllTime1[All-time rank], MATCH(SMALL(AllTime1[Helper], ROW(Structures!$G405)), AllTime1[Helper], 0))</f>
        <v>300</v>
      </c>
      <c r="C410" s="64" t="str">
        <f>TEXT(INDEX(AllTime1[Name], MATCH(SMALL(AllTime1[Helper], ROW(Structures!$G405)), AllTime1[Helper], 0)),"@")</f>
        <v/>
      </c>
      <c r="D410" s="64">
        <f>INDEX(AllTime1[All-time score], MATCH(LARGE(AllTime1[Helper2], ROW(Structures!$G405)), AllTime1[Helper2], 0))</f>
        <v>0</v>
      </c>
      <c r="E410" s="64">
        <f>COUNTIF(_xlfn.XLOOKUP(Table1215[[#This Row],[Name]],Table16[Name],Table16[[September 30, 2025]:[Column18]],,0,1),"&gt;=0")</f>
        <v>0</v>
      </c>
      <c r="F410" s="109" t="str">
        <f>_xlfn.XLOOKUP(Table1215[[#This Row],[Name]],Table1624[Name],Table1624[Totals],,0,1)</f>
        <v>N/A</v>
      </c>
      <c r="G410" s="65" t="str">
        <f>IFERROR(Table1215[[#This Row],[Points]]/Table1215[[#This Row],[GP]],"N/A")</f>
        <v>N/A</v>
      </c>
      <c r="H410" s="64">
        <f>COUNTIF(_xlfn.XLOOKUP(Table1215[[#This Row],[Name]],Table16[Name],Table16[[September 30, 2025]:[Column18]],,0,1),"&gt;=8")</f>
        <v>0</v>
      </c>
      <c r="I410" s="110" t="str">
        <f>IFERROR(AVERAGEIF(_xlfn.XLOOKUP(Table1215[[#This Row],[Name]],Table16[Name],Table16[[September 30, 2025]:[Column18]],,0,1),"&gt;=8"),"N/A")</f>
        <v>N/A</v>
      </c>
      <c r="J410" s="66" t="str">
        <f>IFERROR(Table1215[[#This Row],[FTA]]/Table1215[[#This Row],[GP]],"N/A")</f>
        <v>N/A</v>
      </c>
      <c r="K410" s="67">
        <f>COUNTIF(_xlfn.XLOOKUP(Table1215[[#This Row],[Name]],Table16[Name],Table16[[September 30, 2025]:[Column18]],,0,1),"&gt;=15")</f>
        <v>0</v>
      </c>
    </row>
    <row r="411" spans="2:11">
      <c r="B411" s="82">
        <f>INDEX(AllTime1[All-time rank], MATCH(SMALL(AllTime1[Helper], ROW(Structures!$G406)), AllTime1[Helper], 0))</f>
        <v>300</v>
      </c>
      <c r="C411" s="64" t="str">
        <f>TEXT(INDEX(AllTime1[Name], MATCH(SMALL(AllTime1[Helper], ROW(Structures!$G406)), AllTime1[Helper], 0)),"@")</f>
        <v/>
      </c>
      <c r="D411" s="64">
        <f>INDEX(AllTime1[All-time score], MATCH(LARGE(AllTime1[Helper2], ROW(Structures!$G406)), AllTime1[Helper2], 0))</f>
        <v>0</v>
      </c>
      <c r="E411" s="64">
        <f>COUNTIF(_xlfn.XLOOKUP(Table1215[[#This Row],[Name]],Table16[Name],Table16[[September 30, 2025]:[Column18]],,0,1),"&gt;=0")</f>
        <v>0</v>
      </c>
      <c r="F411" s="109" t="str">
        <f>_xlfn.XLOOKUP(Table1215[[#This Row],[Name]],Table1624[Name],Table1624[Totals],,0,1)</f>
        <v>N/A</v>
      </c>
      <c r="G411" s="65" t="str">
        <f>IFERROR(Table1215[[#This Row],[Points]]/Table1215[[#This Row],[GP]],"N/A")</f>
        <v>N/A</v>
      </c>
      <c r="H411" s="64">
        <f>COUNTIF(_xlfn.XLOOKUP(Table1215[[#This Row],[Name]],Table16[Name],Table16[[September 30, 2025]:[Column18]],,0,1),"&gt;=8")</f>
        <v>0</v>
      </c>
      <c r="I411" s="110" t="str">
        <f>IFERROR(AVERAGEIF(_xlfn.XLOOKUP(Table1215[[#This Row],[Name]],Table16[Name],Table16[[September 30, 2025]:[Column18]],,0,1),"&gt;=8"),"N/A")</f>
        <v>N/A</v>
      </c>
      <c r="J411" s="66" t="str">
        <f>IFERROR(Table1215[[#This Row],[FTA]]/Table1215[[#This Row],[GP]],"N/A")</f>
        <v>N/A</v>
      </c>
      <c r="K411" s="67">
        <f>COUNTIF(_xlfn.XLOOKUP(Table1215[[#This Row],[Name]],Table16[Name],Table16[[September 30, 2025]:[Column18]],,0,1),"&gt;=15")</f>
        <v>0</v>
      </c>
    </row>
    <row r="412" spans="2:11">
      <c r="B412" s="82">
        <f>INDEX(AllTime1[All-time rank], MATCH(SMALL(AllTime1[Helper], ROW(Structures!$G407)), AllTime1[Helper], 0))</f>
        <v>300</v>
      </c>
      <c r="C412" s="64" t="str">
        <f>TEXT(INDEX(AllTime1[Name], MATCH(SMALL(AllTime1[Helper], ROW(Structures!$G407)), AllTime1[Helper], 0)),"@")</f>
        <v/>
      </c>
      <c r="D412" s="64">
        <f>INDEX(AllTime1[All-time score], MATCH(LARGE(AllTime1[Helper2], ROW(Structures!$G407)), AllTime1[Helper2], 0))</f>
        <v>0</v>
      </c>
      <c r="E412" s="64">
        <f>COUNTIF(_xlfn.XLOOKUP(Table1215[[#This Row],[Name]],Table16[Name],Table16[[September 30, 2025]:[Column18]],,0,1),"&gt;=0")</f>
        <v>0</v>
      </c>
      <c r="F412" s="109" t="str">
        <f>_xlfn.XLOOKUP(Table1215[[#This Row],[Name]],Table1624[Name],Table1624[Totals],,0,1)</f>
        <v>N/A</v>
      </c>
      <c r="G412" s="65" t="str">
        <f>IFERROR(Table1215[[#This Row],[Points]]/Table1215[[#This Row],[GP]],"N/A")</f>
        <v>N/A</v>
      </c>
      <c r="H412" s="64">
        <f>COUNTIF(_xlfn.XLOOKUP(Table1215[[#This Row],[Name]],Table16[Name],Table16[[September 30, 2025]:[Column18]],,0,1),"&gt;=8")</f>
        <v>0</v>
      </c>
      <c r="I412" s="110" t="str">
        <f>IFERROR(AVERAGEIF(_xlfn.XLOOKUP(Table1215[[#This Row],[Name]],Table16[Name],Table16[[September 30, 2025]:[Column18]],,0,1),"&gt;=8"),"N/A")</f>
        <v>N/A</v>
      </c>
      <c r="J412" s="66" t="str">
        <f>IFERROR(Table1215[[#This Row],[FTA]]/Table1215[[#This Row],[GP]],"N/A")</f>
        <v>N/A</v>
      </c>
      <c r="K412" s="67">
        <f>COUNTIF(_xlfn.XLOOKUP(Table1215[[#This Row],[Name]],Table16[Name],Table16[[September 30, 2025]:[Column18]],,0,1),"&gt;=15")</f>
        <v>0</v>
      </c>
    </row>
    <row r="413" spans="2:11">
      <c r="B413" s="82">
        <f>INDEX(AllTime1[All-time rank], MATCH(SMALL(AllTime1[Helper], ROW(Structures!$G408)), AllTime1[Helper], 0))</f>
        <v>300</v>
      </c>
      <c r="C413" s="64" t="str">
        <f>TEXT(INDEX(AllTime1[Name], MATCH(SMALL(AllTime1[Helper], ROW(Structures!$G408)), AllTime1[Helper], 0)),"@")</f>
        <v/>
      </c>
      <c r="D413" s="64">
        <f>INDEX(AllTime1[All-time score], MATCH(LARGE(AllTime1[Helper2], ROW(Structures!$G408)), AllTime1[Helper2], 0))</f>
        <v>0</v>
      </c>
      <c r="E413" s="64">
        <f>COUNTIF(_xlfn.XLOOKUP(Table1215[[#This Row],[Name]],Table16[Name],Table16[[September 30, 2025]:[Column18]],,0,1),"&gt;=0")</f>
        <v>0</v>
      </c>
      <c r="F413" s="109" t="str">
        <f>_xlfn.XLOOKUP(Table1215[[#This Row],[Name]],Table1624[Name],Table1624[Totals],,0,1)</f>
        <v>N/A</v>
      </c>
      <c r="G413" s="65" t="str">
        <f>IFERROR(Table1215[[#This Row],[Points]]/Table1215[[#This Row],[GP]],"N/A")</f>
        <v>N/A</v>
      </c>
      <c r="H413" s="64">
        <f>COUNTIF(_xlfn.XLOOKUP(Table1215[[#This Row],[Name]],Table16[Name],Table16[[September 30, 2025]:[Column18]],,0,1),"&gt;=8")</f>
        <v>0</v>
      </c>
      <c r="I413" s="110" t="str">
        <f>IFERROR(AVERAGEIF(_xlfn.XLOOKUP(Table1215[[#This Row],[Name]],Table16[Name],Table16[[September 30, 2025]:[Column18]],,0,1),"&gt;=8"),"N/A")</f>
        <v>N/A</v>
      </c>
      <c r="J413" s="66" t="str">
        <f>IFERROR(Table1215[[#This Row],[FTA]]/Table1215[[#This Row],[GP]],"N/A")</f>
        <v>N/A</v>
      </c>
      <c r="K413" s="67">
        <f>COUNTIF(_xlfn.XLOOKUP(Table1215[[#This Row],[Name]],Table16[Name],Table16[[September 30, 2025]:[Column18]],,0,1),"&gt;=15")</f>
        <v>0</v>
      </c>
    </row>
    <row r="414" spans="2:11">
      <c r="B414" s="82">
        <f>INDEX(AllTime1[All-time rank], MATCH(SMALL(AllTime1[Helper], ROW(Structures!$G409)), AllTime1[Helper], 0))</f>
        <v>300</v>
      </c>
      <c r="C414" s="64" t="str">
        <f>TEXT(INDEX(AllTime1[Name], MATCH(SMALL(AllTime1[Helper], ROW(Structures!$G409)), AllTime1[Helper], 0)),"@")</f>
        <v/>
      </c>
      <c r="D414" s="64">
        <f>INDEX(AllTime1[All-time score], MATCH(LARGE(AllTime1[Helper2], ROW(Structures!$G409)), AllTime1[Helper2], 0))</f>
        <v>0</v>
      </c>
      <c r="E414" s="64">
        <f>COUNTIF(_xlfn.XLOOKUP(Table1215[[#This Row],[Name]],Table16[Name],Table16[[September 30, 2025]:[Column18]],,0,1),"&gt;=0")</f>
        <v>0</v>
      </c>
      <c r="F414" s="109" t="str">
        <f>_xlfn.XLOOKUP(Table1215[[#This Row],[Name]],Table1624[Name],Table1624[Totals],,0,1)</f>
        <v>N/A</v>
      </c>
      <c r="G414" s="65" t="str">
        <f>IFERROR(Table1215[[#This Row],[Points]]/Table1215[[#This Row],[GP]],"N/A")</f>
        <v>N/A</v>
      </c>
      <c r="H414" s="64">
        <f>COUNTIF(_xlfn.XLOOKUP(Table1215[[#This Row],[Name]],Table16[Name],Table16[[September 30, 2025]:[Column18]],,0,1),"&gt;=8")</f>
        <v>0</v>
      </c>
      <c r="I414" s="110" t="str">
        <f>IFERROR(AVERAGEIF(_xlfn.XLOOKUP(Table1215[[#This Row],[Name]],Table16[Name],Table16[[September 30, 2025]:[Column18]],,0,1),"&gt;=8"),"N/A")</f>
        <v>N/A</v>
      </c>
      <c r="J414" s="66" t="str">
        <f>IFERROR(Table1215[[#This Row],[FTA]]/Table1215[[#This Row],[GP]],"N/A")</f>
        <v>N/A</v>
      </c>
      <c r="K414" s="67">
        <f>COUNTIF(_xlfn.XLOOKUP(Table1215[[#This Row],[Name]],Table16[Name],Table16[[September 30, 2025]:[Column18]],,0,1),"&gt;=15")</f>
        <v>0</v>
      </c>
    </row>
    <row r="415" spans="2:11">
      <c r="B415" s="82">
        <f>INDEX(AllTime1[All-time rank], MATCH(SMALL(AllTime1[Helper], ROW(Structures!$G410)), AllTime1[Helper], 0))</f>
        <v>300</v>
      </c>
      <c r="C415" s="64" t="str">
        <f>TEXT(INDEX(AllTime1[Name], MATCH(SMALL(AllTime1[Helper], ROW(Structures!$G410)), AllTime1[Helper], 0)),"@")</f>
        <v/>
      </c>
      <c r="D415" s="64">
        <f>INDEX(AllTime1[All-time score], MATCH(LARGE(AllTime1[Helper2], ROW(Structures!$G410)), AllTime1[Helper2], 0))</f>
        <v>0</v>
      </c>
      <c r="E415" s="64">
        <f>COUNTIF(_xlfn.XLOOKUP(Table1215[[#This Row],[Name]],Table16[Name],Table16[[September 30, 2025]:[Column18]],,0,1),"&gt;=0")</f>
        <v>0</v>
      </c>
      <c r="F415" s="109" t="str">
        <f>_xlfn.XLOOKUP(Table1215[[#This Row],[Name]],Table1624[Name],Table1624[Totals],,0,1)</f>
        <v>N/A</v>
      </c>
      <c r="G415" s="65" t="str">
        <f>IFERROR(Table1215[[#This Row],[Points]]/Table1215[[#This Row],[GP]],"N/A")</f>
        <v>N/A</v>
      </c>
      <c r="H415" s="64">
        <f>COUNTIF(_xlfn.XLOOKUP(Table1215[[#This Row],[Name]],Table16[Name],Table16[[September 30, 2025]:[Column18]],,0,1),"&gt;=8")</f>
        <v>0</v>
      </c>
      <c r="I415" s="110" t="str">
        <f>IFERROR(AVERAGEIF(_xlfn.XLOOKUP(Table1215[[#This Row],[Name]],Table16[Name],Table16[[September 30, 2025]:[Column18]],,0,1),"&gt;=8"),"N/A")</f>
        <v>N/A</v>
      </c>
      <c r="J415" s="66" t="str">
        <f>IFERROR(Table1215[[#This Row],[FTA]]/Table1215[[#This Row],[GP]],"N/A")</f>
        <v>N/A</v>
      </c>
      <c r="K415" s="67">
        <f>COUNTIF(_xlfn.XLOOKUP(Table1215[[#This Row],[Name]],Table16[Name],Table16[[September 30, 2025]:[Column18]],,0,1),"&gt;=15")</f>
        <v>0</v>
      </c>
    </row>
    <row r="416" spans="2:11">
      <c r="B416" s="82">
        <f>INDEX(AllTime1[All-time rank], MATCH(SMALL(AllTime1[Helper], ROW(Structures!$G411)), AllTime1[Helper], 0))</f>
        <v>300</v>
      </c>
      <c r="C416" s="64" t="str">
        <f>TEXT(INDEX(AllTime1[Name], MATCH(SMALL(AllTime1[Helper], ROW(Structures!$G411)), AllTime1[Helper], 0)),"@")</f>
        <v/>
      </c>
      <c r="D416" s="64">
        <f>INDEX(AllTime1[All-time score], MATCH(LARGE(AllTime1[Helper2], ROW(Structures!$G411)), AllTime1[Helper2], 0))</f>
        <v>0</v>
      </c>
      <c r="E416" s="64">
        <f>COUNTIF(_xlfn.XLOOKUP(Table1215[[#This Row],[Name]],Table16[Name],Table16[[September 30, 2025]:[Column18]],,0,1),"&gt;=0")</f>
        <v>0</v>
      </c>
      <c r="F416" s="109" t="str">
        <f>_xlfn.XLOOKUP(Table1215[[#This Row],[Name]],Table1624[Name],Table1624[Totals],,0,1)</f>
        <v>N/A</v>
      </c>
      <c r="G416" s="65" t="str">
        <f>IFERROR(Table1215[[#This Row],[Points]]/Table1215[[#This Row],[GP]],"N/A")</f>
        <v>N/A</v>
      </c>
      <c r="H416" s="64">
        <f>COUNTIF(_xlfn.XLOOKUP(Table1215[[#This Row],[Name]],Table16[Name],Table16[[September 30, 2025]:[Column18]],,0,1),"&gt;=8")</f>
        <v>0</v>
      </c>
      <c r="I416" s="110" t="str">
        <f>IFERROR(AVERAGEIF(_xlfn.XLOOKUP(Table1215[[#This Row],[Name]],Table16[Name],Table16[[September 30, 2025]:[Column18]],,0,1),"&gt;=8"),"N/A")</f>
        <v>N/A</v>
      </c>
      <c r="J416" s="66" t="str">
        <f>IFERROR(Table1215[[#This Row],[FTA]]/Table1215[[#This Row],[GP]],"N/A")</f>
        <v>N/A</v>
      </c>
      <c r="K416" s="67">
        <f>COUNTIF(_xlfn.XLOOKUP(Table1215[[#This Row],[Name]],Table16[Name],Table16[[September 30, 2025]:[Column18]],,0,1),"&gt;=15")</f>
        <v>0</v>
      </c>
    </row>
    <row r="417" spans="2:11">
      <c r="B417" s="82">
        <f>INDEX(AllTime1[All-time rank], MATCH(SMALL(AllTime1[Helper], ROW(Structures!$G412)), AllTime1[Helper], 0))</f>
        <v>300</v>
      </c>
      <c r="C417" s="64" t="str">
        <f>TEXT(INDEX(AllTime1[Name], MATCH(SMALL(AllTime1[Helper], ROW(Structures!$G412)), AllTime1[Helper], 0)),"@")</f>
        <v/>
      </c>
      <c r="D417" s="64">
        <f>INDEX(AllTime1[All-time score], MATCH(LARGE(AllTime1[Helper2], ROW(Structures!$G412)), AllTime1[Helper2], 0))</f>
        <v>0</v>
      </c>
      <c r="E417" s="64">
        <f>COUNTIF(_xlfn.XLOOKUP(Table1215[[#This Row],[Name]],Table16[Name],Table16[[September 30, 2025]:[Column18]],,0,1),"&gt;=0")</f>
        <v>0</v>
      </c>
      <c r="F417" s="109" t="str">
        <f>_xlfn.XLOOKUP(Table1215[[#This Row],[Name]],Table1624[Name],Table1624[Totals],,0,1)</f>
        <v>N/A</v>
      </c>
      <c r="G417" s="65" t="str">
        <f>IFERROR(Table1215[[#This Row],[Points]]/Table1215[[#This Row],[GP]],"N/A")</f>
        <v>N/A</v>
      </c>
      <c r="H417" s="64">
        <f>COUNTIF(_xlfn.XLOOKUP(Table1215[[#This Row],[Name]],Table16[Name],Table16[[September 30, 2025]:[Column18]],,0,1),"&gt;=8")</f>
        <v>0</v>
      </c>
      <c r="I417" s="110" t="str">
        <f>IFERROR(AVERAGEIF(_xlfn.XLOOKUP(Table1215[[#This Row],[Name]],Table16[Name],Table16[[September 30, 2025]:[Column18]],,0,1),"&gt;=8"),"N/A")</f>
        <v>N/A</v>
      </c>
      <c r="J417" s="66" t="str">
        <f>IFERROR(Table1215[[#This Row],[FTA]]/Table1215[[#This Row],[GP]],"N/A")</f>
        <v>N/A</v>
      </c>
      <c r="K417" s="67">
        <f>COUNTIF(_xlfn.XLOOKUP(Table1215[[#This Row],[Name]],Table16[Name],Table16[[September 30, 2025]:[Column18]],,0,1),"&gt;=15")</f>
        <v>0</v>
      </c>
    </row>
    <row r="418" spans="2:11">
      <c r="B418" s="82">
        <f>INDEX(AllTime1[All-time rank], MATCH(SMALL(AllTime1[Helper], ROW(Structures!$G413)), AllTime1[Helper], 0))</f>
        <v>300</v>
      </c>
      <c r="C418" s="64" t="str">
        <f>TEXT(INDEX(AllTime1[Name], MATCH(SMALL(AllTime1[Helper], ROW(Structures!$G413)), AllTime1[Helper], 0)),"@")</f>
        <v/>
      </c>
      <c r="D418" s="64">
        <f>INDEX(AllTime1[All-time score], MATCH(LARGE(AllTime1[Helper2], ROW(Structures!$G413)), AllTime1[Helper2], 0))</f>
        <v>0</v>
      </c>
      <c r="E418" s="64">
        <f>COUNTIF(_xlfn.XLOOKUP(Table1215[[#This Row],[Name]],Table16[Name],Table16[[September 30, 2025]:[Column18]],,0,1),"&gt;=0")</f>
        <v>0</v>
      </c>
      <c r="F418" s="109" t="str">
        <f>_xlfn.XLOOKUP(Table1215[[#This Row],[Name]],Table1624[Name],Table1624[Totals],,0,1)</f>
        <v>N/A</v>
      </c>
      <c r="G418" s="65" t="str">
        <f>IFERROR(Table1215[[#This Row],[Points]]/Table1215[[#This Row],[GP]],"N/A")</f>
        <v>N/A</v>
      </c>
      <c r="H418" s="64">
        <f>COUNTIF(_xlfn.XLOOKUP(Table1215[[#This Row],[Name]],Table16[Name],Table16[[September 30, 2025]:[Column18]],,0,1),"&gt;=8")</f>
        <v>0</v>
      </c>
      <c r="I418" s="110" t="str">
        <f>IFERROR(AVERAGEIF(_xlfn.XLOOKUP(Table1215[[#This Row],[Name]],Table16[Name],Table16[[September 30, 2025]:[Column18]],,0,1),"&gt;=8"),"N/A")</f>
        <v>N/A</v>
      </c>
      <c r="J418" s="66" t="str">
        <f>IFERROR(Table1215[[#This Row],[FTA]]/Table1215[[#This Row],[GP]],"N/A")</f>
        <v>N/A</v>
      </c>
      <c r="K418" s="67">
        <f>COUNTIF(_xlfn.XLOOKUP(Table1215[[#This Row],[Name]],Table16[Name],Table16[[September 30, 2025]:[Column18]],,0,1),"&gt;=15")</f>
        <v>0</v>
      </c>
    </row>
    <row r="419" spans="2:11">
      <c r="B419" s="82">
        <f>INDEX(AllTime1[All-time rank], MATCH(SMALL(AllTime1[Helper], ROW(Structures!$G414)), AllTime1[Helper], 0))</f>
        <v>300</v>
      </c>
      <c r="C419" s="64" t="str">
        <f>TEXT(INDEX(AllTime1[Name], MATCH(SMALL(AllTime1[Helper], ROW(Structures!$G414)), AllTime1[Helper], 0)),"@")</f>
        <v/>
      </c>
      <c r="D419" s="64">
        <f>INDEX(AllTime1[All-time score], MATCH(LARGE(AllTime1[Helper2], ROW(Structures!$G414)), AllTime1[Helper2], 0))</f>
        <v>0</v>
      </c>
      <c r="E419" s="64">
        <f>COUNTIF(_xlfn.XLOOKUP(Table1215[[#This Row],[Name]],Table16[Name],Table16[[September 30, 2025]:[Column18]],,0,1),"&gt;=0")</f>
        <v>0</v>
      </c>
      <c r="F419" s="109" t="str">
        <f>_xlfn.XLOOKUP(Table1215[[#This Row],[Name]],Table1624[Name],Table1624[Totals],,0,1)</f>
        <v>N/A</v>
      </c>
      <c r="G419" s="65" t="str">
        <f>IFERROR(Table1215[[#This Row],[Points]]/Table1215[[#This Row],[GP]],"N/A")</f>
        <v>N/A</v>
      </c>
      <c r="H419" s="64">
        <f>COUNTIF(_xlfn.XLOOKUP(Table1215[[#This Row],[Name]],Table16[Name],Table16[[September 30, 2025]:[Column18]],,0,1),"&gt;=8")</f>
        <v>0</v>
      </c>
      <c r="I419" s="110" t="str">
        <f>IFERROR(AVERAGEIF(_xlfn.XLOOKUP(Table1215[[#This Row],[Name]],Table16[Name],Table16[[September 30, 2025]:[Column18]],,0,1),"&gt;=8"),"N/A")</f>
        <v>N/A</v>
      </c>
      <c r="J419" s="66" t="str">
        <f>IFERROR(Table1215[[#This Row],[FTA]]/Table1215[[#This Row],[GP]],"N/A")</f>
        <v>N/A</v>
      </c>
      <c r="K419" s="67">
        <f>COUNTIF(_xlfn.XLOOKUP(Table1215[[#This Row],[Name]],Table16[Name],Table16[[September 30, 2025]:[Column18]],,0,1),"&gt;=15")</f>
        <v>0</v>
      </c>
    </row>
    <row r="420" spans="2:11">
      <c r="B420" s="82">
        <f>INDEX(AllTime1[All-time rank], MATCH(SMALL(AllTime1[Helper], ROW(Structures!$G415)), AllTime1[Helper], 0))</f>
        <v>300</v>
      </c>
      <c r="C420" s="64" t="str">
        <f>TEXT(INDEX(AllTime1[Name], MATCH(SMALL(AllTime1[Helper], ROW(Structures!$G415)), AllTime1[Helper], 0)),"@")</f>
        <v/>
      </c>
      <c r="D420" s="64">
        <f>INDEX(AllTime1[All-time score], MATCH(LARGE(AllTime1[Helper2], ROW(Structures!$G415)), AllTime1[Helper2], 0))</f>
        <v>0</v>
      </c>
      <c r="E420" s="64">
        <f>COUNTIF(_xlfn.XLOOKUP(Table1215[[#This Row],[Name]],Table16[Name],Table16[[September 30, 2025]:[Column18]],,0,1),"&gt;=0")</f>
        <v>0</v>
      </c>
      <c r="F420" s="109" t="str">
        <f>_xlfn.XLOOKUP(Table1215[[#This Row],[Name]],Table1624[Name],Table1624[Totals],,0,1)</f>
        <v>N/A</v>
      </c>
      <c r="G420" s="65" t="str">
        <f>IFERROR(Table1215[[#This Row],[Points]]/Table1215[[#This Row],[GP]],"N/A")</f>
        <v>N/A</v>
      </c>
      <c r="H420" s="64">
        <f>COUNTIF(_xlfn.XLOOKUP(Table1215[[#This Row],[Name]],Table16[Name],Table16[[September 30, 2025]:[Column18]],,0,1),"&gt;=8")</f>
        <v>0</v>
      </c>
      <c r="I420" s="110" t="str">
        <f>IFERROR(AVERAGEIF(_xlfn.XLOOKUP(Table1215[[#This Row],[Name]],Table16[Name],Table16[[September 30, 2025]:[Column18]],,0,1),"&gt;=8"),"N/A")</f>
        <v>N/A</v>
      </c>
      <c r="J420" s="66" t="str">
        <f>IFERROR(Table1215[[#This Row],[FTA]]/Table1215[[#This Row],[GP]],"N/A")</f>
        <v>N/A</v>
      </c>
      <c r="K420" s="67">
        <f>COUNTIF(_xlfn.XLOOKUP(Table1215[[#This Row],[Name]],Table16[Name],Table16[[September 30, 2025]:[Column18]],,0,1),"&gt;=15")</f>
        <v>0</v>
      </c>
    </row>
    <row r="421" spans="2:11">
      <c r="B421" s="82">
        <f>INDEX(AllTime1[All-time rank], MATCH(SMALL(AllTime1[Helper], ROW(Structures!$G416)), AllTime1[Helper], 0))</f>
        <v>300</v>
      </c>
      <c r="C421" s="64" t="str">
        <f>TEXT(INDEX(AllTime1[Name], MATCH(SMALL(AllTime1[Helper], ROW(Structures!$G416)), AllTime1[Helper], 0)),"@")</f>
        <v/>
      </c>
      <c r="D421" s="64">
        <f>INDEX(AllTime1[All-time score], MATCH(LARGE(AllTime1[Helper2], ROW(Structures!$G416)), AllTime1[Helper2], 0))</f>
        <v>0</v>
      </c>
      <c r="E421" s="64">
        <f>COUNTIF(_xlfn.XLOOKUP(Table1215[[#This Row],[Name]],Table16[Name],Table16[[September 30, 2025]:[Column18]],,0,1),"&gt;=0")</f>
        <v>0</v>
      </c>
      <c r="F421" s="109" t="str">
        <f>_xlfn.XLOOKUP(Table1215[[#This Row],[Name]],Table1624[Name],Table1624[Totals],,0,1)</f>
        <v>N/A</v>
      </c>
      <c r="G421" s="65" t="str">
        <f>IFERROR(Table1215[[#This Row],[Points]]/Table1215[[#This Row],[GP]],"N/A")</f>
        <v>N/A</v>
      </c>
      <c r="H421" s="64">
        <f>COUNTIF(_xlfn.XLOOKUP(Table1215[[#This Row],[Name]],Table16[Name],Table16[[September 30, 2025]:[Column18]],,0,1),"&gt;=8")</f>
        <v>0</v>
      </c>
      <c r="I421" s="110" t="str">
        <f>IFERROR(AVERAGEIF(_xlfn.XLOOKUP(Table1215[[#This Row],[Name]],Table16[Name],Table16[[September 30, 2025]:[Column18]],,0,1),"&gt;=8"),"N/A")</f>
        <v>N/A</v>
      </c>
      <c r="J421" s="66" t="str">
        <f>IFERROR(Table1215[[#This Row],[FTA]]/Table1215[[#This Row],[GP]],"N/A")</f>
        <v>N/A</v>
      </c>
      <c r="K421" s="67">
        <f>COUNTIF(_xlfn.XLOOKUP(Table1215[[#This Row],[Name]],Table16[Name],Table16[[September 30, 2025]:[Column18]],,0,1),"&gt;=15")</f>
        <v>0</v>
      </c>
    </row>
    <row r="422" spans="2:11">
      <c r="B422" s="82">
        <f>INDEX(AllTime1[All-time rank], MATCH(SMALL(AllTime1[Helper], ROW(Structures!$G417)), AllTime1[Helper], 0))</f>
        <v>300</v>
      </c>
      <c r="C422" s="64" t="str">
        <f>TEXT(INDEX(AllTime1[Name], MATCH(SMALL(AllTime1[Helper], ROW(Structures!$G417)), AllTime1[Helper], 0)),"@")</f>
        <v/>
      </c>
      <c r="D422" s="64">
        <f>INDEX(AllTime1[All-time score], MATCH(LARGE(AllTime1[Helper2], ROW(Structures!$G417)), AllTime1[Helper2], 0))</f>
        <v>0</v>
      </c>
      <c r="E422" s="64">
        <f>COUNTIF(_xlfn.XLOOKUP(Table1215[[#This Row],[Name]],Table16[Name],Table16[[September 30, 2025]:[Column18]],,0,1),"&gt;=0")</f>
        <v>0</v>
      </c>
      <c r="F422" s="109" t="str">
        <f>_xlfn.XLOOKUP(Table1215[[#This Row],[Name]],Table1624[Name],Table1624[Totals],,0,1)</f>
        <v>N/A</v>
      </c>
      <c r="G422" s="65" t="str">
        <f>IFERROR(Table1215[[#This Row],[Points]]/Table1215[[#This Row],[GP]],"N/A")</f>
        <v>N/A</v>
      </c>
      <c r="H422" s="64">
        <f>COUNTIF(_xlfn.XLOOKUP(Table1215[[#This Row],[Name]],Table16[Name],Table16[[September 30, 2025]:[Column18]],,0,1),"&gt;=8")</f>
        <v>0</v>
      </c>
      <c r="I422" s="110" t="str">
        <f>IFERROR(AVERAGEIF(_xlfn.XLOOKUP(Table1215[[#This Row],[Name]],Table16[Name],Table16[[September 30, 2025]:[Column18]],,0,1),"&gt;=8"),"N/A")</f>
        <v>N/A</v>
      </c>
      <c r="J422" s="66" t="str">
        <f>IFERROR(Table1215[[#This Row],[FTA]]/Table1215[[#This Row],[GP]],"N/A")</f>
        <v>N/A</v>
      </c>
      <c r="K422" s="67">
        <f>COUNTIF(_xlfn.XLOOKUP(Table1215[[#This Row],[Name]],Table16[Name],Table16[[September 30, 2025]:[Column18]],,0,1),"&gt;=15")</f>
        <v>0</v>
      </c>
    </row>
    <row r="423" spans="2:11">
      <c r="B423" s="82">
        <f>INDEX(AllTime1[All-time rank], MATCH(SMALL(AllTime1[Helper], ROW(Structures!$G418)), AllTime1[Helper], 0))</f>
        <v>300</v>
      </c>
      <c r="C423" s="64" t="str">
        <f>TEXT(INDEX(AllTime1[Name], MATCH(SMALL(AllTime1[Helper], ROW(Structures!$G418)), AllTime1[Helper], 0)),"@")</f>
        <v/>
      </c>
      <c r="D423" s="64">
        <f>INDEX(AllTime1[All-time score], MATCH(LARGE(AllTime1[Helper2], ROW(Structures!$G418)), AllTime1[Helper2], 0))</f>
        <v>0</v>
      </c>
      <c r="E423" s="64">
        <f>COUNTIF(_xlfn.XLOOKUP(Table1215[[#This Row],[Name]],Table16[Name],Table16[[September 30, 2025]:[Column18]],,0,1),"&gt;=0")</f>
        <v>0</v>
      </c>
      <c r="F423" s="109" t="str">
        <f>_xlfn.XLOOKUP(Table1215[[#This Row],[Name]],Table1624[Name],Table1624[Totals],,0,1)</f>
        <v>N/A</v>
      </c>
      <c r="G423" s="65" t="str">
        <f>IFERROR(Table1215[[#This Row],[Points]]/Table1215[[#This Row],[GP]],"N/A")</f>
        <v>N/A</v>
      </c>
      <c r="H423" s="64">
        <f>COUNTIF(_xlfn.XLOOKUP(Table1215[[#This Row],[Name]],Table16[Name],Table16[[September 30, 2025]:[Column18]],,0,1),"&gt;=8")</f>
        <v>0</v>
      </c>
      <c r="I423" s="110" t="str">
        <f>IFERROR(AVERAGEIF(_xlfn.XLOOKUP(Table1215[[#This Row],[Name]],Table16[Name],Table16[[September 30, 2025]:[Column18]],,0,1),"&gt;=8"),"N/A")</f>
        <v>N/A</v>
      </c>
      <c r="J423" s="66" t="str">
        <f>IFERROR(Table1215[[#This Row],[FTA]]/Table1215[[#This Row],[GP]],"N/A")</f>
        <v>N/A</v>
      </c>
      <c r="K423" s="67">
        <f>COUNTIF(_xlfn.XLOOKUP(Table1215[[#This Row],[Name]],Table16[Name],Table16[[September 30, 2025]:[Column18]],,0,1),"&gt;=15")</f>
        <v>0</v>
      </c>
    </row>
    <row r="424" spans="2:11">
      <c r="B424" s="82">
        <f>INDEX(AllTime1[All-time rank], MATCH(SMALL(AllTime1[Helper], ROW(Structures!$G419)), AllTime1[Helper], 0))</f>
        <v>300</v>
      </c>
      <c r="C424" s="64" t="str">
        <f>TEXT(INDEX(AllTime1[Name], MATCH(SMALL(AllTime1[Helper], ROW(Structures!$G419)), AllTime1[Helper], 0)),"@")</f>
        <v/>
      </c>
      <c r="D424" s="64">
        <f>INDEX(AllTime1[All-time score], MATCH(LARGE(AllTime1[Helper2], ROW(Structures!$G419)), AllTime1[Helper2], 0))</f>
        <v>0</v>
      </c>
      <c r="E424" s="64">
        <f>COUNTIF(_xlfn.XLOOKUP(Table1215[[#This Row],[Name]],Table16[Name],Table16[[September 30, 2025]:[Column18]],,0,1),"&gt;=0")</f>
        <v>0</v>
      </c>
      <c r="F424" s="109" t="str">
        <f>_xlfn.XLOOKUP(Table1215[[#This Row],[Name]],Table1624[Name],Table1624[Totals],,0,1)</f>
        <v>N/A</v>
      </c>
      <c r="G424" s="65" t="str">
        <f>IFERROR(Table1215[[#This Row],[Points]]/Table1215[[#This Row],[GP]],"N/A")</f>
        <v>N/A</v>
      </c>
      <c r="H424" s="64">
        <f>COUNTIF(_xlfn.XLOOKUP(Table1215[[#This Row],[Name]],Table16[Name],Table16[[September 30, 2025]:[Column18]],,0,1),"&gt;=8")</f>
        <v>0</v>
      </c>
      <c r="I424" s="110" t="str">
        <f>IFERROR(AVERAGEIF(_xlfn.XLOOKUP(Table1215[[#This Row],[Name]],Table16[Name],Table16[[September 30, 2025]:[Column18]],,0,1),"&gt;=8"),"N/A")</f>
        <v>N/A</v>
      </c>
      <c r="J424" s="66" t="str">
        <f>IFERROR(Table1215[[#This Row],[FTA]]/Table1215[[#This Row],[GP]],"N/A")</f>
        <v>N/A</v>
      </c>
      <c r="K424" s="67">
        <f>COUNTIF(_xlfn.XLOOKUP(Table1215[[#This Row],[Name]],Table16[Name],Table16[[September 30, 2025]:[Column18]],,0,1),"&gt;=15")</f>
        <v>0</v>
      </c>
    </row>
    <row r="425" spans="2:11">
      <c r="B425" s="82">
        <f>INDEX(AllTime1[All-time rank], MATCH(SMALL(AllTime1[Helper], ROW(Structures!$G420)), AllTime1[Helper], 0))</f>
        <v>300</v>
      </c>
      <c r="C425" s="64" t="str">
        <f>TEXT(INDEX(AllTime1[Name], MATCH(SMALL(AllTime1[Helper], ROW(Structures!$G420)), AllTime1[Helper], 0)),"@")</f>
        <v/>
      </c>
      <c r="D425" s="64">
        <f>INDEX(AllTime1[All-time score], MATCH(LARGE(AllTime1[Helper2], ROW(Structures!$G420)), AllTime1[Helper2], 0))</f>
        <v>0</v>
      </c>
      <c r="E425" s="64">
        <f>COUNTIF(_xlfn.XLOOKUP(Table1215[[#This Row],[Name]],Table16[Name],Table16[[September 30, 2025]:[Column18]],,0,1),"&gt;=0")</f>
        <v>0</v>
      </c>
      <c r="F425" s="109" t="str">
        <f>_xlfn.XLOOKUP(Table1215[[#This Row],[Name]],Table1624[Name],Table1624[Totals],,0,1)</f>
        <v>N/A</v>
      </c>
      <c r="G425" s="65" t="str">
        <f>IFERROR(Table1215[[#This Row],[Points]]/Table1215[[#This Row],[GP]],"N/A")</f>
        <v>N/A</v>
      </c>
      <c r="H425" s="64">
        <f>COUNTIF(_xlfn.XLOOKUP(Table1215[[#This Row],[Name]],Table16[Name],Table16[[September 30, 2025]:[Column18]],,0,1),"&gt;=8")</f>
        <v>0</v>
      </c>
      <c r="I425" s="110" t="str">
        <f>IFERROR(AVERAGEIF(_xlfn.XLOOKUP(Table1215[[#This Row],[Name]],Table16[Name],Table16[[September 30, 2025]:[Column18]],,0,1),"&gt;=8"),"N/A")</f>
        <v>N/A</v>
      </c>
      <c r="J425" s="66" t="str">
        <f>IFERROR(Table1215[[#This Row],[FTA]]/Table1215[[#This Row],[GP]],"N/A")</f>
        <v>N/A</v>
      </c>
      <c r="K425" s="67">
        <f>COUNTIF(_xlfn.XLOOKUP(Table1215[[#This Row],[Name]],Table16[Name],Table16[[September 30, 2025]:[Column18]],,0,1),"&gt;=15")</f>
        <v>0</v>
      </c>
    </row>
    <row r="426" spans="2:11">
      <c r="B426" s="82">
        <f>INDEX(AllTime1[All-time rank], MATCH(SMALL(AllTime1[Helper], ROW(Structures!$G421)), AllTime1[Helper], 0))</f>
        <v>300</v>
      </c>
      <c r="C426" s="64" t="str">
        <f>TEXT(INDEX(AllTime1[Name], MATCH(SMALL(AllTime1[Helper], ROW(Structures!$G421)), AllTime1[Helper], 0)),"@")</f>
        <v/>
      </c>
      <c r="D426" s="64">
        <f>INDEX(AllTime1[All-time score], MATCH(LARGE(AllTime1[Helper2], ROW(Structures!$G421)), AllTime1[Helper2], 0))</f>
        <v>0</v>
      </c>
      <c r="E426" s="64">
        <f>COUNTIF(_xlfn.XLOOKUP(Table1215[[#This Row],[Name]],Table16[Name],Table16[[September 30, 2025]:[Column18]],,0,1),"&gt;=0")</f>
        <v>0</v>
      </c>
      <c r="F426" s="109" t="str">
        <f>_xlfn.XLOOKUP(Table1215[[#This Row],[Name]],Table1624[Name],Table1624[Totals],,0,1)</f>
        <v>N/A</v>
      </c>
      <c r="G426" s="65" t="str">
        <f>IFERROR(Table1215[[#This Row],[Points]]/Table1215[[#This Row],[GP]],"N/A")</f>
        <v>N/A</v>
      </c>
      <c r="H426" s="64">
        <f>COUNTIF(_xlfn.XLOOKUP(Table1215[[#This Row],[Name]],Table16[Name],Table16[[September 30, 2025]:[Column18]],,0,1),"&gt;=8")</f>
        <v>0</v>
      </c>
      <c r="I426" s="110" t="str">
        <f>IFERROR(AVERAGEIF(_xlfn.XLOOKUP(Table1215[[#This Row],[Name]],Table16[Name],Table16[[September 30, 2025]:[Column18]],,0,1),"&gt;=8"),"N/A")</f>
        <v>N/A</v>
      </c>
      <c r="J426" s="66" t="str">
        <f>IFERROR(Table1215[[#This Row],[FTA]]/Table1215[[#This Row],[GP]],"N/A")</f>
        <v>N/A</v>
      </c>
      <c r="K426" s="67">
        <f>COUNTIF(_xlfn.XLOOKUP(Table1215[[#This Row],[Name]],Table16[Name],Table16[[September 30, 2025]:[Column18]],,0,1),"&gt;=15")</f>
        <v>0</v>
      </c>
    </row>
    <row r="427" spans="2:11">
      <c r="B427" s="82">
        <f>INDEX(AllTime1[All-time rank], MATCH(SMALL(AllTime1[Helper], ROW(Structures!$G422)), AllTime1[Helper], 0))</f>
        <v>300</v>
      </c>
      <c r="C427" s="64" t="str">
        <f>TEXT(INDEX(AllTime1[Name], MATCH(SMALL(AllTime1[Helper], ROW(Structures!$G422)), AllTime1[Helper], 0)),"@")</f>
        <v/>
      </c>
      <c r="D427" s="64">
        <f>INDEX(AllTime1[All-time score], MATCH(LARGE(AllTime1[Helper2], ROW(Structures!$G422)), AllTime1[Helper2], 0))</f>
        <v>0</v>
      </c>
      <c r="E427" s="64">
        <f>COUNTIF(_xlfn.XLOOKUP(Table1215[[#This Row],[Name]],Table16[Name],Table16[[September 30, 2025]:[Column18]],,0,1),"&gt;=0")</f>
        <v>0</v>
      </c>
      <c r="F427" s="109" t="str">
        <f>_xlfn.XLOOKUP(Table1215[[#This Row],[Name]],Table1624[Name],Table1624[Totals],,0,1)</f>
        <v>N/A</v>
      </c>
      <c r="G427" s="65" t="str">
        <f>IFERROR(Table1215[[#This Row],[Points]]/Table1215[[#This Row],[GP]],"N/A")</f>
        <v>N/A</v>
      </c>
      <c r="H427" s="64">
        <f>COUNTIF(_xlfn.XLOOKUP(Table1215[[#This Row],[Name]],Table16[Name],Table16[[September 30, 2025]:[Column18]],,0,1),"&gt;=8")</f>
        <v>0</v>
      </c>
      <c r="I427" s="110" t="str">
        <f>IFERROR(AVERAGEIF(_xlfn.XLOOKUP(Table1215[[#This Row],[Name]],Table16[Name],Table16[[September 30, 2025]:[Column18]],,0,1),"&gt;=8"),"N/A")</f>
        <v>N/A</v>
      </c>
      <c r="J427" s="66" t="str">
        <f>IFERROR(Table1215[[#This Row],[FTA]]/Table1215[[#This Row],[GP]],"N/A")</f>
        <v>N/A</v>
      </c>
      <c r="K427" s="67">
        <f>COUNTIF(_xlfn.XLOOKUP(Table1215[[#This Row],[Name]],Table16[Name],Table16[[September 30, 2025]:[Column18]],,0,1),"&gt;=15")</f>
        <v>0</v>
      </c>
    </row>
    <row r="428" spans="2:11">
      <c r="B428" s="82">
        <f>INDEX(AllTime1[All-time rank], MATCH(SMALL(AllTime1[Helper], ROW(Structures!$G423)), AllTime1[Helper], 0))</f>
        <v>300</v>
      </c>
      <c r="C428" s="64" t="str">
        <f>TEXT(INDEX(AllTime1[Name], MATCH(SMALL(AllTime1[Helper], ROW(Structures!$G423)), AllTime1[Helper], 0)),"@")</f>
        <v/>
      </c>
      <c r="D428" s="64">
        <f>INDEX(AllTime1[All-time score], MATCH(LARGE(AllTime1[Helper2], ROW(Structures!$G423)), AllTime1[Helper2], 0))</f>
        <v>0</v>
      </c>
      <c r="E428" s="64">
        <f>COUNTIF(_xlfn.XLOOKUP(Table1215[[#This Row],[Name]],Table16[Name],Table16[[September 30, 2025]:[Column18]],,0,1),"&gt;=0")</f>
        <v>0</v>
      </c>
      <c r="F428" s="109" t="str">
        <f>_xlfn.XLOOKUP(Table1215[[#This Row],[Name]],Table1624[Name],Table1624[Totals],,0,1)</f>
        <v>N/A</v>
      </c>
      <c r="G428" s="65" t="str">
        <f>IFERROR(Table1215[[#This Row],[Points]]/Table1215[[#This Row],[GP]],"N/A")</f>
        <v>N/A</v>
      </c>
      <c r="H428" s="64">
        <f>COUNTIF(_xlfn.XLOOKUP(Table1215[[#This Row],[Name]],Table16[Name],Table16[[September 30, 2025]:[Column18]],,0,1),"&gt;=8")</f>
        <v>0</v>
      </c>
      <c r="I428" s="110" t="str">
        <f>IFERROR(AVERAGEIF(_xlfn.XLOOKUP(Table1215[[#This Row],[Name]],Table16[Name],Table16[[September 30, 2025]:[Column18]],,0,1),"&gt;=8"),"N/A")</f>
        <v>N/A</v>
      </c>
      <c r="J428" s="66" t="str">
        <f>IFERROR(Table1215[[#This Row],[FTA]]/Table1215[[#This Row],[GP]],"N/A")</f>
        <v>N/A</v>
      </c>
      <c r="K428" s="67">
        <f>COUNTIF(_xlfn.XLOOKUP(Table1215[[#This Row],[Name]],Table16[Name],Table16[[September 30, 2025]:[Column18]],,0,1),"&gt;=15")</f>
        <v>0</v>
      </c>
    </row>
    <row r="429" spans="2:11">
      <c r="B429" s="82">
        <f>INDEX(AllTime1[All-time rank], MATCH(SMALL(AllTime1[Helper], ROW(Structures!$G424)), AllTime1[Helper], 0))</f>
        <v>300</v>
      </c>
      <c r="C429" s="64" t="str">
        <f>TEXT(INDEX(AllTime1[Name], MATCH(SMALL(AllTime1[Helper], ROW(Structures!$G424)), AllTime1[Helper], 0)),"@")</f>
        <v/>
      </c>
      <c r="D429" s="64">
        <f>INDEX(AllTime1[All-time score], MATCH(LARGE(AllTime1[Helper2], ROW(Structures!$G424)), AllTime1[Helper2], 0))</f>
        <v>0</v>
      </c>
      <c r="E429" s="64">
        <f>COUNTIF(_xlfn.XLOOKUP(Table1215[[#This Row],[Name]],Table16[Name],Table16[[September 30, 2025]:[Column18]],,0,1),"&gt;=0")</f>
        <v>0</v>
      </c>
      <c r="F429" s="109" t="str">
        <f>_xlfn.XLOOKUP(Table1215[[#This Row],[Name]],Table1624[Name],Table1624[Totals],,0,1)</f>
        <v>N/A</v>
      </c>
      <c r="G429" s="65" t="str">
        <f>IFERROR(Table1215[[#This Row],[Points]]/Table1215[[#This Row],[GP]],"N/A")</f>
        <v>N/A</v>
      </c>
      <c r="H429" s="64">
        <f>COUNTIF(_xlfn.XLOOKUP(Table1215[[#This Row],[Name]],Table16[Name],Table16[[September 30, 2025]:[Column18]],,0,1),"&gt;=8")</f>
        <v>0</v>
      </c>
      <c r="I429" s="110" t="str">
        <f>IFERROR(AVERAGEIF(_xlfn.XLOOKUP(Table1215[[#This Row],[Name]],Table16[Name],Table16[[September 30, 2025]:[Column18]],,0,1),"&gt;=8"),"N/A")</f>
        <v>N/A</v>
      </c>
      <c r="J429" s="66" t="str">
        <f>IFERROR(Table1215[[#This Row],[FTA]]/Table1215[[#This Row],[GP]],"N/A")</f>
        <v>N/A</v>
      </c>
      <c r="K429" s="67">
        <f>COUNTIF(_xlfn.XLOOKUP(Table1215[[#This Row],[Name]],Table16[Name],Table16[[September 30, 2025]:[Column18]],,0,1),"&gt;=15")</f>
        <v>0</v>
      </c>
    </row>
    <row r="430" spans="2:11">
      <c r="B430" s="82">
        <f>INDEX(AllTime1[All-time rank], MATCH(SMALL(AllTime1[Helper], ROW(Structures!$G425)), AllTime1[Helper], 0))</f>
        <v>300</v>
      </c>
      <c r="C430" s="64" t="str">
        <f>TEXT(INDEX(AllTime1[Name], MATCH(SMALL(AllTime1[Helper], ROW(Structures!$G425)), AllTime1[Helper], 0)),"@")</f>
        <v/>
      </c>
      <c r="D430" s="64">
        <f>INDEX(AllTime1[All-time score], MATCH(LARGE(AllTime1[Helper2], ROW(Structures!$G425)), AllTime1[Helper2], 0))</f>
        <v>0</v>
      </c>
      <c r="E430" s="64">
        <f>COUNTIF(_xlfn.XLOOKUP(Table1215[[#This Row],[Name]],Table16[Name],Table16[[September 30, 2025]:[Column18]],,0,1),"&gt;=0")</f>
        <v>0</v>
      </c>
      <c r="F430" s="109" t="str">
        <f>_xlfn.XLOOKUP(Table1215[[#This Row],[Name]],Table1624[Name],Table1624[Totals],,0,1)</f>
        <v>N/A</v>
      </c>
      <c r="G430" s="65" t="str">
        <f>IFERROR(Table1215[[#This Row],[Points]]/Table1215[[#This Row],[GP]],"N/A")</f>
        <v>N/A</v>
      </c>
      <c r="H430" s="64">
        <f>COUNTIF(_xlfn.XLOOKUP(Table1215[[#This Row],[Name]],Table16[Name],Table16[[September 30, 2025]:[Column18]],,0,1),"&gt;=8")</f>
        <v>0</v>
      </c>
      <c r="I430" s="110" t="str">
        <f>IFERROR(AVERAGEIF(_xlfn.XLOOKUP(Table1215[[#This Row],[Name]],Table16[Name],Table16[[September 30, 2025]:[Column18]],,0,1),"&gt;=8"),"N/A")</f>
        <v>N/A</v>
      </c>
      <c r="J430" s="66" t="str">
        <f>IFERROR(Table1215[[#This Row],[FTA]]/Table1215[[#This Row],[GP]],"N/A")</f>
        <v>N/A</v>
      </c>
      <c r="K430" s="67">
        <f>COUNTIF(_xlfn.XLOOKUP(Table1215[[#This Row],[Name]],Table16[Name],Table16[[September 30, 2025]:[Column18]],,0,1),"&gt;=15")</f>
        <v>0</v>
      </c>
    </row>
    <row r="431" spans="2:11">
      <c r="B431" s="82">
        <f>INDEX(AllTime1[All-time rank], MATCH(SMALL(AllTime1[Helper], ROW(Structures!$G426)), AllTime1[Helper], 0))</f>
        <v>300</v>
      </c>
      <c r="C431" s="64" t="str">
        <f>TEXT(INDEX(AllTime1[Name], MATCH(SMALL(AllTime1[Helper], ROW(Structures!$G426)), AllTime1[Helper], 0)),"@")</f>
        <v/>
      </c>
      <c r="D431" s="64">
        <f>INDEX(AllTime1[All-time score], MATCH(LARGE(AllTime1[Helper2], ROW(Structures!$G426)), AllTime1[Helper2], 0))</f>
        <v>0</v>
      </c>
      <c r="E431" s="64">
        <f>COUNTIF(_xlfn.XLOOKUP(Table1215[[#This Row],[Name]],Table16[Name],Table16[[September 30, 2025]:[Column18]],,0,1),"&gt;=0")</f>
        <v>0</v>
      </c>
      <c r="F431" s="109" t="str">
        <f>_xlfn.XLOOKUP(Table1215[[#This Row],[Name]],Table1624[Name],Table1624[Totals],,0,1)</f>
        <v>N/A</v>
      </c>
      <c r="G431" s="65" t="str">
        <f>IFERROR(Table1215[[#This Row],[Points]]/Table1215[[#This Row],[GP]],"N/A")</f>
        <v>N/A</v>
      </c>
      <c r="H431" s="64">
        <f>COUNTIF(_xlfn.XLOOKUP(Table1215[[#This Row],[Name]],Table16[Name],Table16[[September 30, 2025]:[Column18]],,0,1),"&gt;=8")</f>
        <v>0</v>
      </c>
      <c r="I431" s="110" t="str">
        <f>IFERROR(AVERAGEIF(_xlfn.XLOOKUP(Table1215[[#This Row],[Name]],Table16[Name],Table16[[September 30, 2025]:[Column18]],,0,1),"&gt;=8"),"N/A")</f>
        <v>N/A</v>
      </c>
      <c r="J431" s="66" t="str">
        <f>IFERROR(Table1215[[#This Row],[FTA]]/Table1215[[#This Row],[GP]],"N/A")</f>
        <v>N/A</v>
      </c>
      <c r="K431" s="67">
        <f>COUNTIF(_xlfn.XLOOKUP(Table1215[[#This Row],[Name]],Table16[Name],Table16[[September 30, 2025]:[Column18]],,0,1),"&gt;=15")</f>
        <v>0</v>
      </c>
    </row>
    <row r="432" spans="2:11">
      <c r="B432" s="82">
        <f>INDEX(AllTime1[All-time rank], MATCH(SMALL(AllTime1[Helper], ROW(Structures!$G427)), AllTime1[Helper], 0))</f>
        <v>300</v>
      </c>
      <c r="C432" s="64" t="str">
        <f>TEXT(INDEX(AllTime1[Name], MATCH(SMALL(AllTime1[Helper], ROW(Structures!$G427)), AllTime1[Helper], 0)),"@")</f>
        <v/>
      </c>
      <c r="D432" s="64">
        <f>INDEX(AllTime1[All-time score], MATCH(LARGE(AllTime1[Helper2], ROW(Structures!$G427)), AllTime1[Helper2], 0))</f>
        <v>0</v>
      </c>
      <c r="E432" s="64">
        <f>COUNTIF(_xlfn.XLOOKUP(Table1215[[#This Row],[Name]],Table16[Name],Table16[[September 30, 2025]:[Column18]],,0,1),"&gt;=0")</f>
        <v>0</v>
      </c>
      <c r="F432" s="109" t="str">
        <f>_xlfn.XLOOKUP(Table1215[[#This Row],[Name]],Table1624[Name],Table1624[Totals],,0,1)</f>
        <v>N/A</v>
      </c>
      <c r="G432" s="65" t="str">
        <f>IFERROR(Table1215[[#This Row],[Points]]/Table1215[[#This Row],[GP]],"N/A")</f>
        <v>N/A</v>
      </c>
      <c r="H432" s="64">
        <f>COUNTIF(_xlfn.XLOOKUP(Table1215[[#This Row],[Name]],Table16[Name],Table16[[September 30, 2025]:[Column18]],,0,1),"&gt;=8")</f>
        <v>0</v>
      </c>
      <c r="I432" s="110" t="str">
        <f>IFERROR(AVERAGEIF(_xlfn.XLOOKUP(Table1215[[#This Row],[Name]],Table16[Name],Table16[[September 30, 2025]:[Column18]],,0,1),"&gt;=8"),"N/A")</f>
        <v>N/A</v>
      </c>
      <c r="J432" s="66" t="str">
        <f>IFERROR(Table1215[[#This Row],[FTA]]/Table1215[[#This Row],[GP]],"N/A")</f>
        <v>N/A</v>
      </c>
      <c r="K432" s="67">
        <f>COUNTIF(_xlfn.XLOOKUP(Table1215[[#This Row],[Name]],Table16[Name],Table16[[September 30, 2025]:[Column18]],,0,1),"&gt;=15")</f>
        <v>0</v>
      </c>
    </row>
    <row r="433" spans="2:11">
      <c r="B433" s="82">
        <f>INDEX(AllTime1[All-time rank], MATCH(SMALL(AllTime1[Helper], ROW(Structures!$G428)), AllTime1[Helper], 0))</f>
        <v>300</v>
      </c>
      <c r="C433" s="64" t="str">
        <f>TEXT(INDEX(AllTime1[Name], MATCH(SMALL(AllTime1[Helper], ROW(Structures!$G428)), AllTime1[Helper], 0)),"@")</f>
        <v/>
      </c>
      <c r="D433" s="64">
        <f>INDEX(AllTime1[All-time score], MATCH(LARGE(AllTime1[Helper2], ROW(Structures!$G428)), AllTime1[Helper2], 0))</f>
        <v>0</v>
      </c>
      <c r="E433" s="64">
        <f>COUNTIF(_xlfn.XLOOKUP(Table1215[[#This Row],[Name]],Table16[Name],Table16[[September 30, 2025]:[Column18]],,0,1),"&gt;=0")</f>
        <v>0</v>
      </c>
      <c r="F433" s="109" t="str">
        <f>_xlfn.XLOOKUP(Table1215[[#This Row],[Name]],Table1624[Name],Table1624[Totals],,0,1)</f>
        <v>N/A</v>
      </c>
      <c r="G433" s="65" t="str">
        <f>IFERROR(Table1215[[#This Row],[Points]]/Table1215[[#This Row],[GP]],"N/A")</f>
        <v>N/A</v>
      </c>
      <c r="H433" s="64">
        <f>COUNTIF(_xlfn.XLOOKUP(Table1215[[#This Row],[Name]],Table16[Name],Table16[[September 30, 2025]:[Column18]],,0,1),"&gt;=8")</f>
        <v>0</v>
      </c>
      <c r="I433" s="110" t="str">
        <f>IFERROR(AVERAGEIF(_xlfn.XLOOKUP(Table1215[[#This Row],[Name]],Table16[Name],Table16[[September 30, 2025]:[Column18]],,0,1),"&gt;=8"),"N/A")</f>
        <v>N/A</v>
      </c>
      <c r="J433" s="66" t="str">
        <f>IFERROR(Table1215[[#This Row],[FTA]]/Table1215[[#This Row],[GP]],"N/A")</f>
        <v>N/A</v>
      </c>
      <c r="K433" s="67">
        <f>COUNTIF(_xlfn.XLOOKUP(Table1215[[#This Row],[Name]],Table16[Name],Table16[[September 30, 2025]:[Column18]],,0,1),"&gt;=15")</f>
        <v>0</v>
      </c>
    </row>
    <row r="434" spans="2:11">
      <c r="B434" s="82">
        <f>INDEX(AllTime1[All-time rank], MATCH(SMALL(AllTime1[Helper], ROW(Structures!$G429)), AllTime1[Helper], 0))</f>
        <v>300</v>
      </c>
      <c r="C434" s="64" t="str">
        <f>TEXT(INDEX(AllTime1[Name], MATCH(SMALL(AllTime1[Helper], ROW(Structures!$G429)), AllTime1[Helper], 0)),"@")</f>
        <v/>
      </c>
      <c r="D434" s="64">
        <f>INDEX(AllTime1[All-time score], MATCH(LARGE(AllTime1[Helper2], ROW(Structures!$G429)), AllTime1[Helper2], 0))</f>
        <v>0</v>
      </c>
      <c r="E434" s="64">
        <f>COUNTIF(_xlfn.XLOOKUP(Table1215[[#This Row],[Name]],Table16[Name],Table16[[September 30, 2025]:[Column18]],,0,1),"&gt;=0")</f>
        <v>0</v>
      </c>
      <c r="F434" s="109" t="str">
        <f>_xlfn.XLOOKUP(Table1215[[#This Row],[Name]],Table1624[Name],Table1624[Totals],,0,1)</f>
        <v>N/A</v>
      </c>
      <c r="G434" s="65" t="str">
        <f>IFERROR(Table1215[[#This Row],[Points]]/Table1215[[#This Row],[GP]],"N/A")</f>
        <v>N/A</v>
      </c>
      <c r="H434" s="64">
        <f>COUNTIF(_xlfn.XLOOKUP(Table1215[[#This Row],[Name]],Table16[Name],Table16[[September 30, 2025]:[Column18]],,0,1),"&gt;=8")</f>
        <v>0</v>
      </c>
      <c r="I434" s="110" t="str">
        <f>IFERROR(AVERAGEIF(_xlfn.XLOOKUP(Table1215[[#This Row],[Name]],Table16[Name],Table16[[September 30, 2025]:[Column18]],,0,1),"&gt;=8"),"N/A")</f>
        <v>N/A</v>
      </c>
      <c r="J434" s="66" t="str">
        <f>IFERROR(Table1215[[#This Row],[FTA]]/Table1215[[#This Row],[GP]],"N/A")</f>
        <v>N/A</v>
      </c>
      <c r="K434" s="67">
        <f>COUNTIF(_xlfn.XLOOKUP(Table1215[[#This Row],[Name]],Table16[Name],Table16[[September 30, 2025]:[Column18]],,0,1),"&gt;=15")</f>
        <v>0</v>
      </c>
    </row>
    <row r="435" spans="2:11">
      <c r="B435" s="82">
        <f>INDEX(AllTime1[All-time rank], MATCH(SMALL(AllTime1[Helper], ROW(Structures!$G430)), AllTime1[Helper], 0))</f>
        <v>300</v>
      </c>
      <c r="C435" s="64" t="str">
        <f>TEXT(INDEX(AllTime1[Name], MATCH(SMALL(AllTime1[Helper], ROW(Structures!$G430)), AllTime1[Helper], 0)),"@")</f>
        <v/>
      </c>
      <c r="D435" s="64">
        <f>INDEX(AllTime1[All-time score], MATCH(LARGE(AllTime1[Helper2], ROW(Structures!$G430)), AllTime1[Helper2], 0))</f>
        <v>0</v>
      </c>
      <c r="E435" s="64">
        <f>COUNTIF(_xlfn.XLOOKUP(Table1215[[#This Row],[Name]],Table16[Name],Table16[[September 30, 2025]:[Column18]],,0,1),"&gt;=0")</f>
        <v>0</v>
      </c>
      <c r="F435" s="109" t="str">
        <f>_xlfn.XLOOKUP(Table1215[[#This Row],[Name]],Table1624[Name],Table1624[Totals],,0,1)</f>
        <v>N/A</v>
      </c>
      <c r="G435" s="65" t="str">
        <f>IFERROR(Table1215[[#This Row],[Points]]/Table1215[[#This Row],[GP]],"N/A")</f>
        <v>N/A</v>
      </c>
      <c r="H435" s="64">
        <f>COUNTIF(_xlfn.XLOOKUP(Table1215[[#This Row],[Name]],Table16[Name],Table16[[September 30, 2025]:[Column18]],,0,1),"&gt;=8")</f>
        <v>0</v>
      </c>
      <c r="I435" s="110" t="str">
        <f>IFERROR(AVERAGEIF(_xlfn.XLOOKUP(Table1215[[#This Row],[Name]],Table16[Name],Table16[[September 30, 2025]:[Column18]],,0,1),"&gt;=8"),"N/A")</f>
        <v>N/A</v>
      </c>
      <c r="J435" s="66" t="str">
        <f>IFERROR(Table1215[[#This Row],[FTA]]/Table1215[[#This Row],[GP]],"N/A")</f>
        <v>N/A</v>
      </c>
      <c r="K435" s="67">
        <f>COUNTIF(_xlfn.XLOOKUP(Table1215[[#This Row],[Name]],Table16[Name],Table16[[September 30, 2025]:[Column18]],,0,1),"&gt;=15")</f>
        <v>0</v>
      </c>
    </row>
    <row r="436" spans="2:11">
      <c r="B436" s="82">
        <f>INDEX(AllTime1[All-time rank], MATCH(SMALL(AllTime1[Helper], ROW(Structures!$G431)), AllTime1[Helper], 0))</f>
        <v>300</v>
      </c>
      <c r="C436" s="64" t="str">
        <f>TEXT(INDEX(AllTime1[Name], MATCH(SMALL(AllTime1[Helper], ROW(Structures!$G431)), AllTime1[Helper], 0)),"@")</f>
        <v/>
      </c>
      <c r="D436" s="64">
        <f>INDEX(AllTime1[All-time score], MATCH(LARGE(AllTime1[Helper2], ROW(Structures!$G431)), AllTime1[Helper2], 0))</f>
        <v>0</v>
      </c>
      <c r="E436" s="64">
        <f>COUNTIF(_xlfn.XLOOKUP(Table1215[[#This Row],[Name]],Table16[Name],Table16[[September 30, 2025]:[Column18]],,0,1),"&gt;=0")</f>
        <v>0</v>
      </c>
      <c r="F436" s="109" t="str">
        <f>_xlfn.XLOOKUP(Table1215[[#This Row],[Name]],Table1624[Name],Table1624[Totals],,0,1)</f>
        <v>N/A</v>
      </c>
      <c r="G436" s="65" t="str">
        <f>IFERROR(Table1215[[#This Row],[Points]]/Table1215[[#This Row],[GP]],"N/A")</f>
        <v>N/A</v>
      </c>
      <c r="H436" s="64">
        <f>COUNTIF(_xlfn.XLOOKUP(Table1215[[#This Row],[Name]],Table16[Name],Table16[[September 30, 2025]:[Column18]],,0,1),"&gt;=8")</f>
        <v>0</v>
      </c>
      <c r="I436" s="110" t="str">
        <f>IFERROR(AVERAGEIF(_xlfn.XLOOKUP(Table1215[[#This Row],[Name]],Table16[Name],Table16[[September 30, 2025]:[Column18]],,0,1),"&gt;=8"),"N/A")</f>
        <v>N/A</v>
      </c>
      <c r="J436" s="66" t="str">
        <f>IFERROR(Table1215[[#This Row],[FTA]]/Table1215[[#This Row],[GP]],"N/A")</f>
        <v>N/A</v>
      </c>
      <c r="K436" s="67">
        <f>COUNTIF(_xlfn.XLOOKUP(Table1215[[#This Row],[Name]],Table16[Name],Table16[[September 30, 2025]:[Column18]],,0,1),"&gt;=15")</f>
        <v>0</v>
      </c>
    </row>
    <row r="437" spans="2:11">
      <c r="B437" s="82">
        <f>INDEX(AllTime1[All-time rank], MATCH(SMALL(AllTime1[Helper], ROW(Structures!$G432)), AllTime1[Helper], 0))</f>
        <v>300</v>
      </c>
      <c r="C437" s="64" t="str">
        <f>TEXT(INDEX(AllTime1[Name], MATCH(SMALL(AllTime1[Helper], ROW(Structures!$G432)), AllTime1[Helper], 0)),"@")</f>
        <v/>
      </c>
      <c r="D437" s="64">
        <f>INDEX(AllTime1[All-time score], MATCH(LARGE(AllTime1[Helper2], ROW(Structures!$G432)), AllTime1[Helper2], 0))</f>
        <v>0</v>
      </c>
      <c r="E437" s="64">
        <f>COUNTIF(_xlfn.XLOOKUP(Table1215[[#This Row],[Name]],Table16[Name],Table16[[September 30, 2025]:[Column18]],,0,1),"&gt;=0")</f>
        <v>0</v>
      </c>
      <c r="F437" s="109" t="str">
        <f>_xlfn.XLOOKUP(Table1215[[#This Row],[Name]],Table1624[Name],Table1624[Totals],,0,1)</f>
        <v>N/A</v>
      </c>
      <c r="G437" s="65" t="str">
        <f>IFERROR(Table1215[[#This Row],[Points]]/Table1215[[#This Row],[GP]],"N/A")</f>
        <v>N/A</v>
      </c>
      <c r="H437" s="64">
        <f>COUNTIF(_xlfn.XLOOKUP(Table1215[[#This Row],[Name]],Table16[Name],Table16[[September 30, 2025]:[Column18]],,0,1),"&gt;=8")</f>
        <v>0</v>
      </c>
      <c r="I437" s="110" t="str">
        <f>IFERROR(AVERAGEIF(_xlfn.XLOOKUP(Table1215[[#This Row],[Name]],Table16[Name],Table16[[September 30, 2025]:[Column18]],,0,1),"&gt;=8"),"N/A")</f>
        <v>N/A</v>
      </c>
      <c r="J437" s="66" t="str">
        <f>IFERROR(Table1215[[#This Row],[FTA]]/Table1215[[#This Row],[GP]],"N/A")</f>
        <v>N/A</v>
      </c>
      <c r="K437" s="67">
        <f>COUNTIF(_xlfn.XLOOKUP(Table1215[[#This Row],[Name]],Table16[Name],Table16[[September 30, 2025]:[Column18]],,0,1),"&gt;=15")</f>
        <v>0</v>
      </c>
    </row>
    <row r="438" spans="2:11">
      <c r="B438" s="82">
        <f>INDEX(AllTime1[All-time rank], MATCH(SMALL(AllTime1[Helper], ROW(Structures!$G433)), AllTime1[Helper], 0))</f>
        <v>300</v>
      </c>
      <c r="C438" s="64" t="str">
        <f>TEXT(INDEX(AllTime1[Name], MATCH(SMALL(AllTime1[Helper], ROW(Structures!$G433)), AllTime1[Helper], 0)),"@")</f>
        <v/>
      </c>
      <c r="D438" s="64">
        <f>INDEX(AllTime1[All-time score], MATCH(LARGE(AllTime1[Helper2], ROW(Structures!$G433)), AllTime1[Helper2], 0))</f>
        <v>0</v>
      </c>
      <c r="E438" s="64">
        <f>COUNTIF(_xlfn.XLOOKUP(Table1215[[#This Row],[Name]],Table16[Name],Table16[[September 30, 2025]:[Column18]],,0,1),"&gt;=0")</f>
        <v>0</v>
      </c>
      <c r="F438" s="109" t="str">
        <f>_xlfn.XLOOKUP(Table1215[[#This Row],[Name]],Table1624[Name],Table1624[Totals],,0,1)</f>
        <v>N/A</v>
      </c>
      <c r="G438" s="65" t="str">
        <f>IFERROR(Table1215[[#This Row],[Points]]/Table1215[[#This Row],[GP]],"N/A")</f>
        <v>N/A</v>
      </c>
      <c r="H438" s="64">
        <f>COUNTIF(_xlfn.XLOOKUP(Table1215[[#This Row],[Name]],Table16[Name],Table16[[September 30, 2025]:[Column18]],,0,1),"&gt;=8")</f>
        <v>0</v>
      </c>
      <c r="I438" s="110" t="str">
        <f>IFERROR(AVERAGEIF(_xlfn.XLOOKUP(Table1215[[#This Row],[Name]],Table16[Name],Table16[[September 30, 2025]:[Column18]],,0,1),"&gt;=8"),"N/A")</f>
        <v>N/A</v>
      </c>
      <c r="J438" s="66" t="str">
        <f>IFERROR(Table1215[[#This Row],[FTA]]/Table1215[[#This Row],[GP]],"N/A")</f>
        <v>N/A</v>
      </c>
      <c r="K438" s="67">
        <f>COUNTIF(_xlfn.XLOOKUP(Table1215[[#This Row],[Name]],Table16[Name],Table16[[September 30, 2025]:[Column18]],,0,1),"&gt;=15")</f>
        <v>0</v>
      </c>
    </row>
    <row r="439" spans="2:11">
      <c r="B439" s="82">
        <f>INDEX(AllTime1[All-time rank], MATCH(SMALL(AllTime1[Helper], ROW(Structures!$G434)), AllTime1[Helper], 0))</f>
        <v>300</v>
      </c>
      <c r="C439" s="64" t="str">
        <f>TEXT(INDEX(AllTime1[Name], MATCH(SMALL(AllTime1[Helper], ROW(Structures!$G434)), AllTime1[Helper], 0)),"@")</f>
        <v/>
      </c>
      <c r="D439" s="64">
        <f>INDEX(AllTime1[All-time score], MATCH(LARGE(AllTime1[Helper2], ROW(Structures!$G434)), AllTime1[Helper2], 0))</f>
        <v>0</v>
      </c>
      <c r="E439" s="64">
        <f>COUNTIF(_xlfn.XLOOKUP(Table1215[[#This Row],[Name]],Table16[Name],Table16[[September 30, 2025]:[Column18]],,0,1),"&gt;=0")</f>
        <v>0</v>
      </c>
      <c r="F439" s="109" t="str">
        <f>_xlfn.XLOOKUP(Table1215[[#This Row],[Name]],Table1624[Name],Table1624[Totals],,0,1)</f>
        <v>N/A</v>
      </c>
      <c r="G439" s="65" t="str">
        <f>IFERROR(Table1215[[#This Row],[Points]]/Table1215[[#This Row],[GP]],"N/A")</f>
        <v>N/A</v>
      </c>
      <c r="H439" s="64">
        <f>COUNTIF(_xlfn.XLOOKUP(Table1215[[#This Row],[Name]],Table16[Name],Table16[[September 30, 2025]:[Column18]],,0,1),"&gt;=8")</f>
        <v>0</v>
      </c>
      <c r="I439" s="110" t="str">
        <f>IFERROR(AVERAGEIF(_xlfn.XLOOKUP(Table1215[[#This Row],[Name]],Table16[Name],Table16[[September 30, 2025]:[Column18]],,0,1),"&gt;=8"),"N/A")</f>
        <v>N/A</v>
      </c>
      <c r="J439" s="66" t="str">
        <f>IFERROR(Table1215[[#This Row],[FTA]]/Table1215[[#This Row],[GP]],"N/A")</f>
        <v>N/A</v>
      </c>
      <c r="K439" s="67">
        <f>COUNTIF(_xlfn.XLOOKUP(Table1215[[#This Row],[Name]],Table16[Name],Table16[[September 30, 2025]:[Column18]],,0,1),"&gt;=15")</f>
        <v>0</v>
      </c>
    </row>
    <row r="440" spans="2:11">
      <c r="B440" s="82">
        <f>INDEX(AllTime1[All-time rank], MATCH(SMALL(AllTime1[Helper], ROW(Structures!$G435)), AllTime1[Helper], 0))</f>
        <v>300</v>
      </c>
      <c r="C440" s="64" t="str">
        <f>TEXT(INDEX(AllTime1[Name], MATCH(SMALL(AllTime1[Helper], ROW(Structures!$G435)), AllTime1[Helper], 0)),"@")</f>
        <v/>
      </c>
      <c r="D440" s="64">
        <f>INDEX(AllTime1[All-time score], MATCH(LARGE(AllTime1[Helper2], ROW(Structures!$G435)), AllTime1[Helper2], 0))</f>
        <v>0</v>
      </c>
      <c r="E440" s="64">
        <f>COUNTIF(_xlfn.XLOOKUP(Table1215[[#This Row],[Name]],Table16[Name],Table16[[September 30, 2025]:[Column18]],,0,1),"&gt;=0")</f>
        <v>0</v>
      </c>
      <c r="F440" s="109" t="str">
        <f>_xlfn.XLOOKUP(Table1215[[#This Row],[Name]],Table1624[Name],Table1624[Totals],,0,1)</f>
        <v>N/A</v>
      </c>
      <c r="G440" s="65" t="str">
        <f>IFERROR(Table1215[[#This Row],[Points]]/Table1215[[#This Row],[GP]],"N/A")</f>
        <v>N/A</v>
      </c>
      <c r="H440" s="64">
        <f>COUNTIF(_xlfn.XLOOKUP(Table1215[[#This Row],[Name]],Table16[Name],Table16[[September 30, 2025]:[Column18]],,0,1),"&gt;=8")</f>
        <v>0</v>
      </c>
      <c r="I440" s="110" t="str">
        <f>IFERROR(AVERAGEIF(_xlfn.XLOOKUP(Table1215[[#This Row],[Name]],Table16[Name],Table16[[September 30, 2025]:[Column18]],,0,1),"&gt;=8"),"N/A")</f>
        <v>N/A</v>
      </c>
      <c r="J440" s="66" t="str">
        <f>IFERROR(Table1215[[#This Row],[FTA]]/Table1215[[#This Row],[GP]],"N/A")</f>
        <v>N/A</v>
      </c>
      <c r="K440" s="67">
        <f>COUNTIF(_xlfn.XLOOKUP(Table1215[[#This Row],[Name]],Table16[Name],Table16[[September 30, 2025]:[Column18]],,0,1),"&gt;=15")</f>
        <v>0</v>
      </c>
    </row>
    <row r="441" spans="2:11">
      <c r="B441" s="82">
        <f>INDEX(AllTime1[All-time rank], MATCH(SMALL(AllTime1[Helper], ROW(Structures!$G436)), AllTime1[Helper], 0))</f>
        <v>300</v>
      </c>
      <c r="C441" s="64" t="str">
        <f>TEXT(INDEX(AllTime1[Name], MATCH(SMALL(AllTime1[Helper], ROW(Structures!$G436)), AllTime1[Helper], 0)),"@")</f>
        <v/>
      </c>
      <c r="D441" s="64">
        <f>INDEX(AllTime1[All-time score], MATCH(LARGE(AllTime1[Helper2], ROW(Structures!$G436)), AllTime1[Helper2], 0))</f>
        <v>0</v>
      </c>
      <c r="E441" s="64">
        <f>COUNTIF(_xlfn.XLOOKUP(Table1215[[#This Row],[Name]],Table16[Name],Table16[[September 30, 2025]:[Column18]],,0,1),"&gt;=0")</f>
        <v>0</v>
      </c>
      <c r="F441" s="109" t="str">
        <f>_xlfn.XLOOKUP(Table1215[[#This Row],[Name]],Table1624[Name],Table1624[Totals],,0,1)</f>
        <v>N/A</v>
      </c>
      <c r="G441" s="65" t="str">
        <f>IFERROR(Table1215[[#This Row],[Points]]/Table1215[[#This Row],[GP]],"N/A")</f>
        <v>N/A</v>
      </c>
      <c r="H441" s="64">
        <f>COUNTIF(_xlfn.XLOOKUP(Table1215[[#This Row],[Name]],Table16[Name],Table16[[September 30, 2025]:[Column18]],,0,1),"&gt;=8")</f>
        <v>0</v>
      </c>
      <c r="I441" s="110" t="str">
        <f>IFERROR(AVERAGEIF(_xlfn.XLOOKUP(Table1215[[#This Row],[Name]],Table16[Name],Table16[[September 30, 2025]:[Column18]],,0,1),"&gt;=8"),"N/A")</f>
        <v>N/A</v>
      </c>
      <c r="J441" s="66" t="str">
        <f>IFERROR(Table1215[[#This Row],[FTA]]/Table1215[[#This Row],[GP]],"N/A")</f>
        <v>N/A</v>
      </c>
      <c r="K441" s="67">
        <f>COUNTIF(_xlfn.XLOOKUP(Table1215[[#This Row],[Name]],Table16[Name],Table16[[September 30, 2025]:[Column18]],,0,1),"&gt;=15")</f>
        <v>0</v>
      </c>
    </row>
    <row r="442" spans="2:11">
      <c r="B442" s="82">
        <f>INDEX(AllTime1[All-time rank], MATCH(SMALL(AllTime1[Helper], ROW(Structures!$G437)), AllTime1[Helper], 0))</f>
        <v>300</v>
      </c>
      <c r="C442" s="64" t="str">
        <f>TEXT(INDEX(AllTime1[Name], MATCH(SMALL(AllTime1[Helper], ROW(Structures!$G437)), AllTime1[Helper], 0)),"@")</f>
        <v/>
      </c>
      <c r="D442" s="64">
        <f>INDEX(AllTime1[All-time score], MATCH(LARGE(AllTime1[Helper2], ROW(Structures!$G437)), AllTime1[Helper2], 0))</f>
        <v>0</v>
      </c>
      <c r="E442" s="64">
        <f>COUNTIF(_xlfn.XLOOKUP(Table1215[[#This Row],[Name]],Table16[Name],Table16[[September 30, 2025]:[Column18]],,0,1),"&gt;=0")</f>
        <v>0</v>
      </c>
      <c r="F442" s="109" t="str">
        <f>_xlfn.XLOOKUP(Table1215[[#This Row],[Name]],Table1624[Name],Table1624[Totals],,0,1)</f>
        <v>N/A</v>
      </c>
      <c r="G442" s="65" t="str">
        <f>IFERROR(Table1215[[#This Row],[Points]]/Table1215[[#This Row],[GP]],"N/A")</f>
        <v>N/A</v>
      </c>
      <c r="H442" s="64">
        <f>COUNTIF(_xlfn.XLOOKUP(Table1215[[#This Row],[Name]],Table16[Name],Table16[[September 30, 2025]:[Column18]],,0,1),"&gt;=8")</f>
        <v>0</v>
      </c>
      <c r="I442" s="110" t="str">
        <f>IFERROR(AVERAGEIF(_xlfn.XLOOKUP(Table1215[[#This Row],[Name]],Table16[Name],Table16[[September 30, 2025]:[Column18]],,0,1),"&gt;=8"),"N/A")</f>
        <v>N/A</v>
      </c>
      <c r="J442" s="66" t="str">
        <f>IFERROR(Table1215[[#This Row],[FTA]]/Table1215[[#This Row],[GP]],"N/A")</f>
        <v>N/A</v>
      </c>
      <c r="K442" s="67">
        <f>COUNTIF(_xlfn.XLOOKUP(Table1215[[#This Row],[Name]],Table16[Name],Table16[[September 30, 2025]:[Column18]],,0,1),"&gt;=15")</f>
        <v>0</v>
      </c>
    </row>
    <row r="443" spans="2:11">
      <c r="B443" s="82">
        <f>INDEX(AllTime1[All-time rank], MATCH(SMALL(AllTime1[Helper], ROW(Structures!$G438)), AllTime1[Helper], 0))</f>
        <v>300</v>
      </c>
      <c r="C443" s="64" t="str">
        <f>TEXT(INDEX(AllTime1[Name], MATCH(SMALL(AllTime1[Helper], ROW(Structures!$G438)), AllTime1[Helper], 0)),"@")</f>
        <v/>
      </c>
      <c r="D443" s="64">
        <f>INDEX(AllTime1[All-time score], MATCH(LARGE(AllTime1[Helper2], ROW(Structures!$G438)), AllTime1[Helper2], 0))</f>
        <v>0</v>
      </c>
      <c r="E443" s="64">
        <f>COUNTIF(_xlfn.XLOOKUP(Table1215[[#This Row],[Name]],Table16[Name],Table16[[September 30, 2025]:[Column18]],,0,1),"&gt;=0")</f>
        <v>0</v>
      </c>
      <c r="F443" s="109" t="str">
        <f>_xlfn.XLOOKUP(Table1215[[#This Row],[Name]],Table1624[Name],Table1624[Totals],,0,1)</f>
        <v>N/A</v>
      </c>
      <c r="G443" s="65" t="str">
        <f>IFERROR(Table1215[[#This Row],[Points]]/Table1215[[#This Row],[GP]],"N/A")</f>
        <v>N/A</v>
      </c>
      <c r="H443" s="64">
        <f>COUNTIF(_xlfn.XLOOKUP(Table1215[[#This Row],[Name]],Table16[Name],Table16[[September 30, 2025]:[Column18]],,0,1),"&gt;=8")</f>
        <v>0</v>
      </c>
      <c r="I443" s="110" t="str">
        <f>IFERROR(AVERAGEIF(_xlfn.XLOOKUP(Table1215[[#This Row],[Name]],Table16[Name],Table16[[September 30, 2025]:[Column18]],,0,1),"&gt;=8"),"N/A")</f>
        <v>N/A</v>
      </c>
      <c r="J443" s="66" t="str">
        <f>IFERROR(Table1215[[#This Row],[FTA]]/Table1215[[#This Row],[GP]],"N/A")</f>
        <v>N/A</v>
      </c>
      <c r="K443" s="67">
        <f>COUNTIF(_xlfn.XLOOKUP(Table1215[[#This Row],[Name]],Table16[Name],Table16[[September 30, 2025]:[Column18]],,0,1),"&gt;=15")</f>
        <v>0</v>
      </c>
    </row>
    <row r="444" spans="2:11">
      <c r="B444" s="82">
        <f>INDEX(AllTime1[All-time rank], MATCH(SMALL(AllTime1[Helper], ROW(Structures!$G439)), AllTime1[Helper], 0))</f>
        <v>300</v>
      </c>
      <c r="C444" s="64" t="str">
        <f>TEXT(INDEX(AllTime1[Name], MATCH(SMALL(AllTime1[Helper], ROW(Structures!$G439)), AllTime1[Helper], 0)),"@")</f>
        <v/>
      </c>
      <c r="D444" s="64">
        <f>INDEX(AllTime1[All-time score], MATCH(LARGE(AllTime1[Helper2], ROW(Structures!$G439)), AllTime1[Helper2], 0))</f>
        <v>0</v>
      </c>
      <c r="E444" s="64">
        <f>COUNTIF(_xlfn.XLOOKUP(Table1215[[#This Row],[Name]],Table16[Name],Table16[[September 30, 2025]:[Column18]],,0,1),"&gt;=0")</f>
        <v>0</v>
      </c>
      <c r="F444" s="109" t="str">
        <f>_xlfn.XLOOKUP(Table1215[[#This Row],[Name]],Table1624[Name],Table1624[Totals],,0,1)</f>
        <v>N/A</v>
      </c>
      <c r="G444" s="65" t="str">
        <f>IFERROR(Table1215[[#This Row],[Points]]/Table1215[[#This Row],[GP]],"N/A")</f>
        <v>N/A</v>
      </c>
      <c r="H444" s="64">
        <f>COUNTIF(_xlfn.XLOOKUP(Table1215[[#This Row],[Name]],Table16[Name],Table16[[September 30, 2025]:[Column18]],,0,1),"&gt;=8")</f>
        <v>0</v>
      </c>
      <c r="I444" s="110" t="str">
        <f>IFERROR(AVERAGEIF(_xlfn.XLOOKUP(Table1215[[#This Row],[Name]],Table16[Name],Table16[[September 30, 2025]:[Column18]],,0,1),"&gt;=8"),"N/A")</f>
        <v>N/A</v>
      </c>
      <c r="J444" s="66" t="str">
        <f>IFERROR(Table1215[[#This Row],[FTA]]/Table1215[[#This Row],[GP]],"N/A")</f>
        <v>N/A</v>
      </c>
      <c r="K444" s="67">
        <f>COUNTIF(_xlfn.XLOOKUP(Table1215[[#This Row],[Name]],Table16[Name],Table16[[September 30, 2025]:[Column18]],,0,1),"&gt;=15")</f>
        <v>0</v>
      </c>
    </row>
    <row r="445" spans="2:11">
      <c r="B445" s="82">
        <f>INDEX(AllTime1[All-time rank], MATCH(SMALL(AllTime1[Helper], ROW(Structures!$G440)), AllTime1[Helper], 0))</f>
        <v>300</v>
      </c>
      <c r="C445" s="64" t="str">
        <f>TEXT(INDEX(AllTime1[Name], MATCH(SMALL(AllTime1[Helper], ROW(Structures!$G440)), AllTime1[Helper], 0)),"@")</f>
        <v/>
      </c>
      <c r="D445" s="64">
        <f>INDEX(AllTime1[All-time score], MATCH(LARGE(AllTime1[Helper2], ROW(Structures!$G440)), AllTime1[Helper2], 0))</f>
        <v>0</v>
      </c>
      <c r="E445" s="64">
        <f>COUNTIF(_xlfn.XLOOKUP(Table1215[[#This Row],[Name]],Table16[Name],Table16[[September 30, 2025]:[Column18]],,0,1),"&gt;=0")</f>
        <v>0</v>
      </c>
      <c r="F445" s="109" t="str">
        <f>_xlfn.XLOOKUP(Table1215[[#This Row],[Name]],Table1624[Name],Table1624[Totals],,0,1)</f>
        <v>N/A</v>
      </c>
      <c r="G445" s="65" t="str">
        <f>IFERROR(Table1215[[#This Row],[Points]]/Table1215[[#This Row],[GP]],"N/A")</f>
        <v>N/A</v>
      </c>
      <c r="H445" s="64">
        <f>COUNTIF(_xlfn.XLOOKUP(Table1215[[#This Row],[Name]],Table16[Name],Table16[[September 30, 2025]:[Column18]],,0,1),"&gt;=8")</f>
        <v>0</v>
      </c>
      <c r="I445" s="110" t="str">
        <f>IFERROR(AVERAGEIF(_xlfn.XLOOKUP(Table1215[[#This Row],[Name]],Table16[Name],Table16[[September 30, 2025]:[Column18]],,0,1),"&gt;=8"),"N/A")</f>
        <v>N/A</v>
      </c>
      <c r="J445" s="66" t="str">
        <f>IFERROR(Table1215[[#This Row],[FTA]]/Table1215[[#This Row],[GP]],"N/A")</f>
        <v>N/A</v>
      </c>
      <c r="K445" s="67">
        <f>COUNTIF(_xlfn.XLOOKUP(Table1215[[#This Row],[Name]],Table16[Name],Table16[[September 30, 2025]:[Column18]],,0,1),"&gt;=15")</f>
        <v>0</v>
      </c>
    </row>
    <row r="446" spans="2:11">
      <c r="B446" s="82">
        <f>INDEX(AllTime1[All-time rank], MATCH(SMALL(AllTime1[Helper], ROW(Structures!$G441)), AllTime1[Helper], 0))</f>
        <v>300</v>
      </c>
      <c r="C446" s="64" t="str">
        <f>TEXT(INDEX(AllTime1[Name], MATCH(SMALL(AllTime1[Helper], ROW(Structures!$G441)), AllTime1[Helper], 0)),"@")</f>
        <v/>
      </c>
      <c r="D446" s="64">
        <f>INDEX(AllTime1[All-time score], MATCH(LARGE(AllTime1[Helper2], ROW(Structures!$G441)), AllTime1[Helper2], 0))</f>
        <v>0</v>
      </c>
      <c r="E446" s="64">
        <f>COUNTIF(_xlfn.XLOOKUP(Table1215[[#This Row],[Name]],Table16[Name],Table16[[September 30, 2025]:[Column18]],,0,1),"&gt;=0")</f>
        <v>0</v>
      </c>
      <c r="F446" s="109" t="str">
        <f>_xlfn.XLOOKUP(Table1215[[#This Row],[Name]],Table1624[Name],Table1624[Totals],,0,1)</f>
        <v>N/A</v>
      </c>
      <c r="G446" s="65" t="str">
        <f>IFERROR(Table1215[[#This Row],[Points]]/Table1215[[#This Row],[GP]],"N/A")</f>
        <v>N/A</v>
      </c>
      <c r="H446" s="64">
        <f>COUNTIF(_xlfn.XLOOKUP(Table1215[[#This Row],[Name]],Table16[Name],Table16[[September 30, 2025]:[Column18]],,0,1),"&gt;=8")</f>
        <v>0</v>
      </c>
      <c r="I446" s="110" t="str">
        <f>IFERROR(AVERAGEIF(_xlfn.XLOOKUP(Table1215[[#This Row],[Name]],Table16[Name],Table16[[September 30, 2025]:[Column18]],,0,1),"&gt;=8"),"N/A")</f>
        <v>N/A</v>
      </c>
      <c r="J446" s="66" t="str">
        <f>IFERROR(Table1215[[#This Row],[FTA]]/Table1215[[#This Row],[GP]],"N/A")</f>
        <v>N/A</v>
      </c>
      <c r="K446" s="67">
        <f>COUNTIF(_xlfn.XLOOKUP(Table1215[[#This Row],[Name]],Table16[Name],Table16[[September 30, 2025]:[Column18]],,0,1),"&gt;=15")</f>
        <v>0</v>
      </c>
    </row>
    <row r="447" spans="2:11">
      <c r="B447" s="82">
        <f>INDEX(AllTime1[All-time rank], MATCH(SMALL(AllTime1[Helper], ROW(Structures!$G442)), AllTime1[Helper], 0))</f>
        <v>300</v>
      </c>
      <c r="C447" s="64" t="str">
        <f>TEXT(INDEX(AllTime1[Name], MATCH(SMALL(AllTime1[Helper], ROW(Structures!$G442)), AllTime1[Helper], 0)),"@")</f>
        <v/>
      </c>
      <c r="D447" s="64">
        <f>INDEX(AllTime1[All-time score], MATCH(LARGE(AllTime1[Helper2], ROW(Structures!$G442)), AllTime1[Helper2], 0))</f>
        <v>0</v>
      </c>
      <c r="E447" s="64">
        <f>COUNTIF(_xlfn.XLOOKUP(Table1215[[#This Row],[Name]],Table16[Name],Table16[[September 30, 2025]:[Column18]],,0,1),"&gt;=0")</f>
        <v>0</v>
      </c>
      <c r="F447" s="109" t="str">
        <f>_xlfn.XLOOKUP(Table1215[[#This Row],[Name]],Table1624[Name],Table1624[Totals],,0,1)</f>
        <v>N/A</v>
      </c>
      <c r="G447" s="65" t="str">
        <f>IFERROR(Table1215[[#This Row],[Points]]/Table1215[[#This Row],[GP]],"N/A")</f>
        <v>N/A</v>
      </c>
      <c r="H447" s="64">
        <f>COUNTIF(_xlfn.XLOOKUP(Table1215[[#This Row],[Name]],Table16[Name],Table16[[September 30, 2025]:[Column18]],,0,1),"&gt;=8")</f>
        <v>0</v>
      </c>
      <c r="I447" s="110" t="str">
        <f>IFERROR(AVERAGEIF(_xlfn.XLOOKUP(Table1215[[#This Row],[Name]],Table16[Name],Table16[[September 30, 2025]:[Column18]],,0,1),"&gt;=8"),"N/A")</f>
        <v>N/A</v>
      </c>
      <c r="J447" s="66" t="str">
        <f>IFERROR(Table1215[[#This Row],[FTA]]/Table1215[[#This Row],[GP]],"N/A")</f>
        <v>N/A</v>
      </c>
      <c r="K447" s="67">
        <f>COUNTIF(_xlfn.XLOOKUP(Table1215[[#This Row],[Name]],Table16[Name],Table16[[September 30, 2025]:[Column18]],,0,1),"&gt;=15")</f>
        <v>0</v>
      </c>
    </row>
    <row r="448" spans="2:11">
      <c r="B448" s="82">
        <f>INDEX(AllTime1[All-time rank], MATCH(SMALL(AllTime1[Helper], ROW(Structures!$G443)), AllTime1[Helper], 0))</f>
        <v>300</v>
      </c>
      <c r="C448" s="64" t="str">
        <f>TEXT(INDEX(AllTime1[Name], MATCH(SMALL(AllTime1[Helper], ROW(Structures!$G443)), AllTime1[Helper], 0)),"@")</f>
        <v/>
      </c>
      <c r="D448" s="64">
        <f>INDEX(AllTime1[All-time score], MATCH(LARGE(AllTime1[Helper2], ROW(Structures!$G443)), AllTime1[Helper2], 0))</f>
        <v>0</v>
      </c>
      <c r="E448" s="64">
        <f>COUNTIF(_xlfn.XLOOKUP(Table1215[[#This Row],[Name]],Table16[Name],Table16[[September 30, 2025]:[Column18]],,0,1),"&gt;=0")</f>
        <v>0</v>
      </c>
      <c r="F448" s="109" t="str">
        <f>_xlfn.XLOOKUP(Table1215[[#This Row],[Name]],Table1624[Name],Table1624[Totals],,0,1)</f>
        <v>N/A</v>
      </c>
      <c r="G448" s="65" t="str">
        <f>IFERROR(Table1215[[#This Row],[Points]]/Table1215[[#This Row],[GP]],"N/A")</f>
        <v>N/A</v>
      </c>
      <c r="H448" s="64">
        <f>COUNTIF(_xlfn.XLOOKUP(Table1215[[#This Row],[Name]],Table16[Name],Table16[[September 30, 2025]:[Column18]],,0,1),"&gt;=8")</f>
        <v>0</v>
      </c>
      <c r="I448" s="110" t="str">
        <f>IFERROR(AVERAGEIF(_xlfn.XLOOKUP(Table1215[[#This Row],[Name]],Table16[Name],Table16[[September 30, 2025]:[Column18]],,0,1),"&gt;=8"),"N/A")</f>
        <v>N/A</v>
      </c>
      <c r="J448" s="66" t="str">
        <f>IFERROR(Table1215[[#This Row],[FTA]]/Table1215[[#This Row],[GP]],"N/A")</f>
        <v>N/A</v>
      </c>
      <c r="K448" s="67">
        <f>COUNTIF(_xlfn.XLOOKUP(Table1215[[#This Row],[Name]],Table16[Name],Table16[[September 30, 2025]:[Column18]],,0,1),"&gt;=15")</f>
        <v>0</v>
      </c>
    </row>
    <row r="449" spans="2:11">
      <c r="B449" s="82">
        <f>INDEX(AllTime1[All-time rank], MATCH(SMALL(AllTime1[Helper], ROW(Structures!$G444)), AllTime1[Helper], 0))</f>
        <v>300</v>
      </c>
      <c r="C449" s="64" t="str">
        <f>TEXT(INDEX(AllTime1[Name], MATCH(SMALL(AllTime1[Helper], ROW(Structures!$G444)), AllTime1[Helper], 0)),"@")</f>
        <v/>
      </c>
      <c r="D449" s="64">
        <f>INDEX(AllTime1[All-time score], MATCH(LARGE(AllTime1[Helper2], ROW(Structures!$G444)), AllTime1[Helper2], 0))</f>
        <v>0</v>
      </c>
      <c r="E449" s="64">
        <f>COUNTIF(_xlfn.XLOOKUP(Table1215[[#This Row],[Name]],Table16[Name],Table16[[September 30, 2025]:[Column18]],,0,1),"&gt;=0")</f>
        <v>0</v>
      </c>
      <c r="F449" s="109" t="str">
        <f>_xlfn.XLOOKUP(Table1215[[#This Row],[Name]],Table1624[Name],Table1624[Totals],,0,1)</f>
        <v>N/A</v>
      </c>
      <c r="G449" s="65" t="str">
        <f>IFERROR(Table1215[[#This Row],[Points]]/Table1215[[#This Row],[GP]],"N/A")</f>
        <v>N/A</v>
      </c>
      <c r="H449" s="64">
        <f>COUNTIF(_xlfn.XLOOKUP(Table1215[[#This Row],[Name]],Table16[Name],Table16[[September 30, 2025]:[Column18]],,0,1),"&gt;=8")</f>
        <v>0</v>
      </c>
      <c r="I449" s="110" t="str">
        <f>IFERROR(AVERAGEIF(_xlfn.XLOOKUP(Table1215[[#This Row],[Name]],Table16[Name],Table16[[September 30, 2025]:[Column18]],,0,1),"&gt;=8"),"N/A")</f>
        <v>N/A</v>
      </c>
      <c r="J449" s="66" t="str">
        <f>IFERROR(Table1215[[#This Row],[FTA]]/Table1215[[#This Row],[GP]],"N/A")</f>
        <v>N/A</v>
      </c>
      <c r="K449" s="67">
        <f>COUNTIF(_xlfn.XLOOKUP(Table1215[[#This Row],[Name]],Table16[Name],Table16[[September 30, 2025]:[Column18]],,0,1),"&gt;=15")</f>
        <v>0</v>
      </c>
    </row>
    <row r="450" spans="2:11">
      <c r="B450" s="82">
        <f>INDEX(AllTime1[All-time rank], MATCH(SMALL(AllTime1[Helper], ROW(Structures!$G445)), AllTime1[Helper], 0))</f>
        <v>300</v>
      </c>
      <c r="C450" s="64" t="str">
        <f>TEXT(INDEX(AllTime1[Name], MATCH(SMALL(AllTime1[Helper], ROW(Structures!$G445)), AllTime1[Helper], 0)),"@")</f>
        <v/>
      </c>
      <c r="D450" s="64">
        <f>INDEX(AllTime1[All-time score], MATCH(LARGE(AllTime1[Helper2], ROW(Structures!$G445)), AllTime1[Helper2], 0))</f>
        <v>0</v>
      </c>
      <c r="E450" s="64">
        <f>COUNTIF(_xlfn.XLOOKUP(Table1215[[#This Row],[Name]],Table16[Name],Table16[[September 30, 2025]:[Column18]],,0,1),"&gt;=0")</f>
        <v>0</v>
      </c>
      <c r="F450" s="109" t="str">
        <f>_xlfn.XLOOKUP(Table1215[[#This Row],[Name]],Table1624[Name],Table1624[Totals],,0,1)</f>
        <v>N/A</v>
      </c>
      <c r="G450" s="65" t="str">
        <f>IFERROR(Table1215[[#This Row],[Points]]/Table1215[[#This Row],[GP]],"N/A")</f>
        <v>N/A</v>
      </c>
      <c r="H450" s="64">
        <f>COUNTIF(_xlfn.XLOOKUP(Table1215[[#This Row],[Name]],Table16[Name],Table16[[September 30, 2025]:[Column18]],,0,1),"&gt;=8")</f>
        <v>0</v>
      </c>
      <c r="I450" s="110" t="str">
        <f>IFERROR(AVERAGEIF(_xlfn.XLOOKUP(Table1215[[#This Row],[Name]],Table16[Name],Table16[[September 30, 2025]:[Column18]],,0,1),"&gt;=8"),"N/A")</f>
        <v>N/A</v>
      </c>
      <c r="J450" s="66" t="str">
        <f>IFERROR(Table1215[[#This Row],[FTA]]/Table1215[[#This Row],[GP]],"N/A")</f>
        <v>N/A</v>
      </c>
      <c r="K450" s="67">
        <f>COUNTIF(_xlfn.XLOOKUP(Table1215[[#This Row],[Name]],Table16[Name],Table16[[September 30, 2025]:[Column18]],,0,1),"&gt;=15")</f>
        <v>0</v>
      </c>
    </row>
    <row r="451" spans="2:11">
      <c r="B451" s="82">
        <f>INDEX(AllTime1[All-time rank], MATCH(SMALL(AllTime1[Helper], ROW(Structures!$G446)), AllTime1[Helper], 0))</f>
        <v>300</v>
      </c>
      <c r="C451" s="64" t="str">
        <f>TEXT(INDEX(AllTime1[Name], MATCH(SMALL(AllTime1[Helper], ROW(Structures!$G446)), AllTime1[Helper], 0)),"@")</f>
        <v/>
      </c>
      <c r="D451" s="64">
        <f>INDEX(AllTime1[All-time score], MATCH(LARGE(AllTime1[Helper2], ROW(Structures!$G446)), AllTime1[Helper2], 0))</f>
        <v>0</v>
      </c>
      <c r="E451" s="64">
        <f>COUNTIF(_xlfn.XLOOKUP(Table1215[[#This Row],[Name]],Table16[Name],Table16[[September 30, 2025]:[Column18]],,0,1),"&gt;=0")</f>
        <v>0</v>
      </c>
      <c r="F451" s="109" t="str">
        <f>_xlfn.XLOOKUP(Table1215[[#This Row],[Name]],Table1624[Name],Table1624[Totals],,0,1)</f>
        <v>N/A</v>
      </c>
      <c r="G451" s="65" t="str">
        <f>IFERROR(Table1215[[#This Row],[Points]]/Table1215[[#This Row],[GP]],"N/A")</f>
        <v>N/A</v>
      </c>
      <c r="H451" s="64">
        <f>COUNTIF(_xlfn.XLOOKUP(Table1215[[#This Row],[Name]],Table16[Name],Table16[[September 30, 2025]:[Column18]],,0,1),"&gt;=8")</f>
        <v>0</v>
      </c>
      <c r="I451" s="110" t="str">
        <f>IFERROR(AVERAGEIF(_xlfn.XLOOKUP(Table1215[[#This Row],[Name]],Table16[Name],Table16[[September 30, 2025]:[Column18]],,0,1),"&gt;=8"),"N/A")</f>
        <v>N/A</v>
      </c>
      <c r="J451" s="66" t="str">
        <f>IFERROR(Table1215[[#This Row],[FTA]]/Table1215[[#This Row],[GP]],"N/A")</f>
        <v>N/A</v>
      </c>
      <c r="K451" s="67">
        <f>COUNTIF(_xlfn.XLOOKUP(Table1215[[#This Row],[Name]],Table16[Name],Table16[[September 30, 2025]:[Column18]],,0,1),"&gt;=15")</f>
        <v>0</v>
      </c>
    </row>
    <row r="452" spans="2:11">
      <c r="B452" s="82">
        <f>INDEX(AllTime1[All-time rank], MATCH(SMALL(AllTime1[Helper], ROW(Structures!$G447)), AllTime1[Helper], 0))</f>
        <v>300</v>
      </c>
      <c r="C452" s="64" t="str">
        <f>TEXT(INDEX(AllTime1[Name], MATCH(SMALL(AllTime1[Helper], ROW(Structures!$G447)), AllTime1[Helper], 0)),"@")</f>
        <v/>
      </c>
      <c r="D452" s="64">
        <f>INDEX(AllTime1[All-time score], MATCH(LARGE(AllTime1[Helper2], ROW(Structures!$G447)), AllTime1[Helper2], 0))</f>
        <v>0</v>
      </c>
      <c r="E452" s="64">
        <f>COUNTIF(_xlfn.XLOOKUP(Table1215[[#This Row],[Name]],Table16[Name],Table16[[September 30, 2025]:[Column18]],,0,1),"&gt;=0")</f>
        <v>0</v>
      </c>
      <c r="F452" s="109" t="str">
        <f>_xlfn.XLOOKUP(Table1215[[#This Row],[Name]],Table1624[Name],Table1624[Totals],,0,1)</f>
        <v>N/A</v>
      </c>
      <c r="G452" s="65" t="str">
        <f>IFERROR(Table1215[[#This Row],[Points]]/Table1215[[#This Row],[GP]],"N/A")</f>
        <v>N/A</v>
      </c>
      <c r="H452" s="64">
        <f>COUNTIF(_xlfn.XLOOKUP(Table1215[[#This Row],[Name]],Table16[Name],Table16[[September 30, 2025]:[Column18]],,0,1),"&gt;=8")</f>
        <v>0</v>
      </c>
      <c r="I452" s="110" t="str">
        <f>IFERROR(AVERAGEIF(_xlfn.XLOOKUP(Table1215[[#This Row],[Name]],Table16[Name],Table16[[September 30, 2025]:[Column18]],,0,1),"&gt;=8"),"N/A")</f>
        <v>N/A</v>
      </c>
      <c r="J452" s="66" t="str">
        <f>IFERROR(Table1215[[#This Row],[FTA]]/Table1215[[#This Row],[GP]],"N/A")</f>
        <v>N/A</v>
      </c>
      <c r="K452" s="67">
        <f>COUNTIF(_xlfn.XLOOKUP(Table1215[[#This Row],[Name]],Table16[Name],Table16[[September 30, 2025]:[Column18]],,0,1),"&gt;=15")</f>
        <v>0</v>
      </c>
    </row>
    <row r="453" spans="2:11">
      <c r="B453" s="82">
        <f>INDEX(AllTime1[All-time rank], MATCH(SMALL(AllTime1[Helper], ROW(Structures!$G448)), AllTime1[Helper], 0))</f>
        <v>300</v>
      </c>
      <c r="C453" s="64" t="str">
        <f>TEXT(INDEX(AllTime1[Name], MATCH(SMALL(AllTime1[Helper], ROW(Structures!$G448)), AllTime1[Helper], 0)),"@")</f>
        <v/>
      </c>
      <c r="D453" s="64">
        <f>INDEX(AllTime1[All-time score], MATCH(LARGE(AllTime1[Helper2], ROW(Structures!$G448)), AllTime1[Helper2], 0))</f>
        <v>0</v>
      </c>
      <c r="E453" s="64">
        <f>COUNTIF(_xlfn.XLOOKUP(Table1215[[#This Row],[Name]],Table16[Name],Table16[[September 30, 2025]:[Column18]],,0,1),"&gt;=0")</f>
        <v>0</v>
      </c>
      <c r="F453" s="109" t="str">
        <f>_xlfn.XLOOKUP(Table1215[[#This Row],[Name]],Table1624[Name],Table1624[Totals],,0,1)</f>
        <v>N/A</v>
      </c>
      <c r="G453" s="65" t="str">
        <f>IFERROR(Table1215[[#This Row],[Points]]/Table1215[[#This Row],[GP]],"N/A")</f>
        <v>N/A</v>
      </c>
      <c r="H453" s="64">
        <f>COUNTIF(_xlfn.XLOOKUP(Table1215[[#This Row],[Name]],Table16[Name],Table16[[September 30, 2025]:[Column18]],,0,1),"&gt;=8")</f>
        <v>0</v>
      </c>
      <c r="I453" s="110" t="str">
        <f>IFERROR(AVERAGEIF(_xlfn.XLOOKUP(Table1215[[#This Row],[Name]],Table16[Name],Table16[[September 30, 2025]:[Column18]],,0,1),"&gt;=8"),"N/A")</f>
        <v>N/A</v>
      </c>
      <c r="J453" s="66" t="str">
        <f>IFERROR(Table1215[[#This Row],[FTA]]/Table1215[[#This Row],[GP]],"N/A")</f>
        <v>N/A</v>
      </c>
      <c r="K453" s="67">
        <f>COUNTIF(_xlfn.XLOOKUP(Table1215[[#This Row],[Name]],Table16[Name],Table16[[September 30, 2025]:[Column18]],,0,1),"&gt;=15")</f>
        <v>0</v>
      </c>
    </row>
    <row r="454" spans="2:11">
      <c r="B454" s="82">
        <f>INDEX(AllTime1[All-time rank], MATCH(SMALL(AllTime1[Helper], ROW(Structures!$G449)), AllTime1[Helper], 0))</f>
        <v>300</v>
      </c>
      <c r="C454" s="64" t="str">
        <f>TEXT(INDEX(AllTime1[Name], MATCH(SMALL(AllTime1[Helper], ROW(Structures!$G449)), AllTime1[Helper], 0)),"@")</f>
        <v/>
      </c>
      <c r="D454" s="64">
        <f>INDEX(AllTime1[All-time score], MATCH(LARGE(AllTime1[Helper2], ROW(Structures!$G449)), AllTime1[Helper2], 0))</f>
        <v>0</v>
      </c>
      <c r="E454" s="64">
        <f>COUNTIF(_xlfn.XLOOKUP(Table1215[[#This Row],[Name]],Table16[Name],Table16[[September 30, 2025]:[Column18]],,0,1),"&gt;=0")</f>
        <v>0</v>
      </c>
      <c r="F454" s="109" t="str">
        <f>_xlfn.XLOOKUP(Table1215[[#This Row],[Name]],Table1624[Name],Table1624[Totals],,0,1)</f>
        <v>N/A</v>
      </c>
      <c r="G454" s="65" t="str">
        <f>IFERROR(Table1215[[#This Row],[Points]]/Table1215[[#This Row],[GP]],"N/A")</f>
        <v>N/A</v>
      </c>
      <c r="H454" s="64">
        <f>COUNTIF(_xlfn.XLOOKUP(Table1215[[#This Row],[Name]],Table16[Name],Table16[[September 30, 2025]:[Column18]],,0,1),"&gt;=8")</f>
        <v>0</v>
      </c>
      <c r="I454" s="110" t="str">
        <f>IFERROR(AVERAGEIF(_xlfn.XLOOKUP(Table1215[[#This Row],[Name]],Table16[Name],Table16[[September 30, 2025]:[Column18]],,0,1),"&gt;=8"),"N/A")</f>
        <v>N/A</v>
      </c>
      <c r="J454" s="66" t="str">
        <f>IFERROR(Table1215[[#This Row],[FTA]]/Table1215[[#This Row],[GP]],"N/A")</f>
        <v>N/A</v>
      </c>
      <c r="K454" s="67">
        <f>COUNTIF(_xlfn.XLOOKUP(Table1215[[#This Row],[Name]],Table16[Name],Table16[[September 30, 2025]:[Column18]],,0,1),"&gt;=15")</f>
        <v>0</v>
      </c>
    </row>
    <row r="455" spans="2:11">
      <c r="B455" s="82">
        <f>INDEX(AllTime1[All-time rank], MATCH(SMALL(AllTime1[Helper], ROW(Structures!$G450)), AllTime1[Helper], 0))</f>
        <v>300</v>
      </c>
      <c r="C455" s="64" t="str">
        <f>TEXT(INDEX(AllTime1[Name], MATCH(SMALL(AllTime1[Helper], ROW(Structures!$G450)), AllTime1[Helper], 0)),"@")</f>
        <v/>
      </c>
      <c r="D455" s="64">
        <f>INDEX(AllTime1[All-time score], MATCH(LARGE(AllTime1[Helper2], ROW(Structures!$G450)), AllTime1[Helper2], 0))</f>
        <v>0</v>
      </c>
      <c r="E455" s="64">
        <f>COUNTIF(_xlfn.XLOOKUP(Table1215[[#This Row],[Name]],Table16[Name],Table16[[September 30, 2025]:[Column18]],,0,1),"&gt;=0")</f>
        <v>0</v>
      </c>
      <c r="F455" s="109" t="str">
        <f>_xlfn.XLOOKUP(Table1215[[#This Row],[Name]],Table1624[Name],Table1624[Totals],,0,1)</f>
        <v>N/A</v>
      </c>
      <c r="G455" s="65" t="str">
        <f>IFERROR(Table1215[[#This Row],[Points]]/Table1215[[#This Row],[GP]],"N/A")</f>
        <v>N/A</v>
      </c>
      <c r="H455" s="64">
        <f>COUNTIF(_xlfn.XLOOKUP(Table1215[[#This Row],[Name]],Table16[Name],Table16[[September 30, 2025]:[Column18]],,0,1),"&gt;=8")</f>
        <v>0</v>
      </c>
      <c r="I455" s="110" t="str">
        <f>IFERROR(AVERAGEIF(_xlfn.XLOOKUP(Table1215[[#This Row],[Name]],Table16[Name],Table16[[September 30, 2025]:[Column18]],,0,1),"&gt;=8"),"N/A")</f>
        <v>N/A</v>
      </c>
      <c r="J455" s="66" t="str">
        <f>IFERROR(Table1215[[#This Row],[FTA]]/Table1215[[#This Row],[GP]],"N/A")</f>
        <v>N/A</v>
      </c>
      <c r="K455" s="67">
        <f>COUNTIF(_xlfn.XLOOKUP(Table1215[[#This Row],[Name]],Table16[Name],Table16[[September 30, 2025]:[Column18]],,0,1),"&gt;=15")</f>
        <v>0</v>
      </c>
    </row>
    <row r="456" spans="2:11">
      <c r="B456" s="82">
        <f>INDEX(AllTime1[All-time rank], MATCH(SMALL(AllTime1[Helper], ROW(Structures!$G451)), AllTime1[Helper], 0))</f>
        <v>300</v>
      </c>
      <c r="C456" s="64" t="str">
        <f>TEXT(INDEX(AllTime1[Name], MATCH(SMALL(AllTime1[Helper], ROW(Structures!$G451)), AllTime1[Helper], 0)),"@")</f>
        <v/>
      </c>
      <c r="D456" s="64">
        <f>INDEX(AllTime1[All-time score], MATCH(LARGE(AllTime1[Helper2], ROW(Structures!$G451)), AllTime1[Helper2], 0))</f>
        <v>0</v>
      </c>
      <c r="E456" s="64">
        <f>COUNTIF(_xlfn.XLOOKUP(Table1215[[#This Row],[Name]],Table16[Name],Table16[[September 30, 2025]:[Column18]],,0,1),"&gt;=0")</f>
        <v>0</v>
      </c>
      <c r="F456" s="109" t="str">
        <f>_xlfn.XLOOKUP(Table1215[[#This Row],[Name]],Table1624[Name],Table1624[Totals],,0,1)</f>
        <v>N/A</v>
      </c>
      <c r="G456" s="65" t="str">
        <f>IFERROR(Table1215[[#This Row],[Points]]/Table1215[[#This Row],[GP]],"N/A")</f>
        <v>N/A</v>
      </c>
      <c r="H456" s="64">
        <f>COUNTIF(_xlfn.XLOOKUP(Table1215[[#This Row],[Name]],Table16[Name],Table16[[September 30, 2025]:[Column18]],,0,1),"&gt;=8")</f>
        <v>0</v>
      </c>
      <c r="I456" s="110" t="str">
        <f>IFERROR(AVERAGEIF(_xlfn.XLOOKUP(Table1215[[#This Row],[Name]],Table16[Name],Table16[[September 30, 2025]:[Column18]],,0,1),"&gt;=8"),"N/A")</f>
        <v>N/A</v>
      </c>
      <c r="J456" s="66" t="str">
        <f>IFERROR(Table1215[[#This Row],[FTA]]/Table1215[[#This Row],[GP]],"N/A")</f>
        <v>N/A</v>
      </c>
      <c r="K456" s="67">
        <f>COUNTIF(_xlfn.XLOOKUP(Table1215[[#This Row],[Name]],Table16[Name],Table16[[September 30, 2025]:[Column18]],,0,1),"&gt;=15")</f>
        <v>0</v>
      </c>
    </row>
    <row r="457" spans="2:11">
      <c r="B457" s="82">
        <f>INDEX(AllTime1[All-time rank], MATCH(SMALL(AllTime1[Helper], ROW(Structures!$G452)), AllTime1[Helper], 0))</f>
        <v>300</v>
      </c>
      <c r="C457" s="64" t="str">
        <f>TEXT(INDEX(AllTime1[Name], MATCH(SMALL(AllTime1[Helper], ROW(Structures!$G452)), AllTime1[Helper], 0)),"@")</f>
        <v/>
      </c>
      <c r="D457" s="64">
        <f>INDEX(AllTime1[All-time score], MATCH(LARGE(AllTime1[Helper2], ROW(Structures!$G452)), AllTime1[Helper2], 0))</f>
        <v>0</v>
      </c>
      <c r="E457" s="64">
        <f>COUNTIF(_xlfn.XLOOKUP(Table1215[[#This Row],[Name]],Table16[Name],Table16[[September 30, 2025]:[Column18]],,0,1),"&gt;=0")</f>
        <v>0</v>
      </c>
      <c r="F457" s="109" t="str">
        <f>_xlfn.XLOOKUP(Table1215[[#This Row],[Name]],Table1624[Name],Table1624[Totals],,0,1)</f>
        <v>N/A</v>
      </c>
      <c r="G457" s="65" t="str">
        <f>IFERROR(Table1215[[#This Row],[Points]]/Table1215[[#This Row],[GP]],"N/A")</f>
        <v>N/A</v>
      </c>
      <c r="H457" s="64">
        <f>COUNTIF(_xlfn.XLOOKUP(Table1215[[#This Row],[Name]],Table16[Name],Table16[[September 30, 2025]:[Column18]],,0,1),"&gt;=8")</f>
        <v>0</v>
      </c>
      <c r="I457" s="110" t="str">
        <f>IFERROR(AVERAGEIF(_xlfn.XLOOKUP(Table1215[[#This Row],[Name]],Table16[Name],Table16[[September 30, 2025]:[Column18]],,0,1),"&gt;=8"),"N/A")</f>
        <v>N/A</v>
      </c>
      <c r="J457" s="66" t="str">
        <f>IFERROR(Table1215[[#This Row],[FTA]]/Table1215[[#This Row],[GP]],"N/A")</f>
        <v>N/A</v>
      </c>
      <c r="K457" s="67">
        <f>COUNTIF(_xlfn.XLOOKUP(Table1215[[#This Row],[Name]],Table16[Name],Table16[[September 30, 2025]:[Column18]],,0,1),"&gt;=15")</f>
        <v>0</v>
      </c>
    </row>
    <row r="458" spans="2:11">
      <c r="B458" s="82">
        <f>INDEX(AllTime1[All-time rank], MATCH(SMALL(AllTime1[Helper], ROW(Structures!$G453)), AllTime1[Helper], 0))</f>
        <v>300</v>
      </c>
      <c r="C458" s="64" t="str">
        <f>TEXT(INDEX(AllTime1[Name], MATCH(SMALL(AllTime1[Helper], ROW(Structures!$G453)), AllTime1[Helper], 0)),"@")</f>
        <v/>
      </c>
      <c r="D458" s="64">
        <f>INDEX(AllTime1[All-time score], MATCH(LARGE(AllTime1[Helper2], ROW(Structures!$G453)), AllTime1[Helper2], 0))</f>
        <v>0</v>
      </c>
      <c r="E458" s="64">
        <f>COUNTIF(_xlfn.XLOOKUP(Table1215[[#This Row],[Name]],Table16[Name],Table16[[September 30, 2025]:[Column18]],,0,1),"&gt;=0")</f>
        <v>0</v>
      </c>
      <c r="F458" s="109" t="str">
        <f>_xlfn.XLOOKUP(Table1215[[#This Row],[Name]],Table1624[Name],Table1624[Totals],,0,1)</f>
        <v>N/A</v>
      </c>
      <c r="G458" s="65" t="str">
        <f>IFERROR(Table1215[[#This Row],[Points]]/Table1215[[#This Row],[GP]],"N/A")</f>
        <v>N/A</v>
      </c>
      <c r="H458" s="64">
        <f>COUNTIF(_xlfn.XLOOKUP(Table1215[[#This Row],[Name]],Table16[Name],Table16[[September 30, 2025]:[Column18]],,0,1),"&gt;=8")</f>
        <v>0</v>
      </c>
      <c r="I458" s="110" t="str">
        <f>IFERROR(AVERAGEIF(_xlfn.XLOOKUP(Table1215[[#This Row],[Name]],Table16[Name],Table16[[September 30, 2025]:[Column18]],,0,1),"&gt;=8"),"N/A")</f>
        <v>N/A</v>
      </c>
      <c r="J458" s="66" t="str">
        <f>IFERROR(Table1215[[#This Row],[FTA]]/Table1215[[#This Row],[GP]],"N/A")</f>
        <v>N/A</v>
      </c>
      <c r="K458" s="67">
        <f>COUNTIF(_xlfn.XLOOKUP(Table1215[[#This Row],[Name]],Table16[Name],Table16[[September 30, 2025]:[Column18]],,0,1),"&gt;=15")</f>
        <v>0</v>
      </c>
    </row>
    <row r="459" spans="2:11">
      <c r="B459" s="82">
        <f>INDEX(AllTime1[All-time rank], MATCH(SMALL(AllTime1[Helper], ROW(Structures!$G454)), AllTime1[Helper], 0))</f>
        <v>300</v>
      </c>
      <c r="C459" s="64" t="str">
        <f>TEXT(INDEX(AllTime1[Name], MATCH(SMALL(AllTime1[Helper], ROW(Structures!$G454)), AllTime1[Helper], 0)),"@")</f>
        <v/>
      </c>
      <c r="D459" s="64">
        <f>INDEX(AllTime1[All-time score], MATCH(LARGE(AllTime1[Helper2], ROW(Structures!$G454)), AllTime1[Helper2], 0))</f>
        <v>0</v>
      </c>
      <c r="E459" s="64">
        <f>COUNTIF(_xlfn.XLOOKUP(Table1215[[#This Row],[Name]],Table16[Name],Table16[[September 30, 2025]:[Column18]],,0,1),"&gt;=0")</f>
        <v>0</v>
      </c>
      <c r="F459" s="109" t="str">
        <f>_xlfn.XLOOKUP(Table1215[[#This Row],[Name]],Table1624[Name],Table1624[Totals],,0,1)</f>
        <v>N/A</v>
      </c>
      <c r="G459" s="65" t="str">
        <f>IFERROR(Table1215[[#This Row],[Points]]/Table1215[[#This Row],[GP]],"N/A")</f>
        <v>N/A</v>
      </c>
      <c r="H459" s="64">
        <f>COUNTIF(_xlfn.XLOOKUP(Table1215[[#This Row],[Name]],Table16[Name],Table16[[September 30, 2025]:[Column18]],,0,1),"&gt;=8")</f>
        <v>0</v>
      </c>
      <c r="I459" s="110" t="str">
        <f>IFERROR(AVERAGEIF(_xlfn.XLOOKUP(Table1215[[#This Row],[Name]],Table16[Name],Table16[[September 30, 2025]:[Column18]],,0,1),"&gt;=8"),"N/A")</f>
        <v>N/A</v>
      </c>
      <c r="J459" s="66" t="str">
        <f>IFERROR(Table1215[[#This Row],[FTA]]/Table1215[[#This Row],[GP]],"N/A")</f>
        <v>N/A</v>
      </c>
      <c r="K459" s="67">
        <f>COUNTIF(_xlfn.XLOOKUP(Table1215[[#This Row],[Name]],Table16[Name],Table16[[September 30, 2025]:[Column18]],,0,1),"&gt;=15")</f>
        <v>0</v>
      </c>
    </row>
    <row r="460" spans="2:11">
      <c r="B460" s="82">
        <f>INDEX(AllTime1[All-time rank], MATCH(SMALL(AllTime1[Helper], ROW(Structures!$G455)), AllTime1[Helper], 0))</f>
        <v>300</v>
      </c>
      <c r="C460" s="64" t="str">
        <f>TEXT(INDEX(AllTime1[Name], MATCH(SMALL(AllTime1[Helper], ROW(Structures!$G455)), AllTime1[Helper], 0)),"@")</f>
        <v/>
      </c>
      <c r="D460" s="64">
        <f>INDEX(AllTime1[All-time score], MATCH(LARGE(AllTime1[Helper2], ROW(Structures!$G455)), AllTime1[Helper2], 0))</f>
        <v>0</v>
      </c>
      <c r="E460" s="64">
        <f>COUNTIF(_xlfn.XLOOKUP(Table1215[[#This Row],[Name]],Table16[Name],Table16[[September 30, 2025]:[Column18]],,0,1),"&gt;=0")</f>
        <v>0</v>
      </c>
      <c r="F460" s="109" t="str">
        <f>_xlfn.XLOOKUP(Table1215[[#This Row],[Name]],Table1624[Name],Table1624[Totals],,0,1)</f>
        <v>N/A</v>
      </c>
      <c r="G460" s="65" t="str">
        <f>IFERROR(Table1215[[#This Row],[Points]]/Table1215[[#This Row],[GP]],"N/A")</f>
        <v>N/A</v>
      </c>
      <c r="H460" s="64">
        <f>COUNTIF(_xlfn.XLOOKUP(Table1215[[#This Row],[Name]],Table16[Name],Table16[[September 30, 2025]:[Column18]],,0,1),"&gt;=8")</f>
        <v>0</v>
      </c>
      <c r="I460" s="110" t="str">
        <f>IFERROR(AVERAGEIF(_xlfn.XLOOKUP(Table1215[[#This Row],[Name]],Table16[Name],Table16[[September 30, 2025]:[Column18]],,0,1),"&gt;=8"),"N/A")</f>
        <v>N/A</v>
      </c>
      <c r="J460" s="66" t="str">
        <f>IFERROR(Table1215[[#This Row],[FTA]]/Table1215[[#This Row],[GP]],"N/A")</f>
        <v>N/A</v>
      </c>
      <c r="K460" s="67">
        <f>COUNTIF(_xlfn.XLOOKUP(Table1215[[#This Row],[Name]],Table16[Name],Table16[[September 30, 2025]:[Column18]],,0,1),"&gt;=15")</f>
        <v>0</v>
      </c>
    </row>
    <row r="461" spans="2:11">
      <c r="B461" s="82">
        <f>INDEX(AllTime1[All-time rank], MATCH(SMALL(AllTime1[Helper], ROW(Structures!$G456)), AllTime1[Helper], 0))</f>
        <v>300</v>
      </c>
      <c r="C461" s="64" t="str">
        <f>TEXT(INDEX(AllTime1[Name], MATCH(SMALL(AllTime1[Helper], ROW(Structures!$G456)), AllTime1[Helper], 0)),"@")</f>
        <v/>
      </c>
      <c r="D461" s="64">
        <f>INDEX(AllTime1[All-time score], MATCH(LARGE(AllTime1[Helper2], ROW(Structures!$G456)), AllTime1[Helper2], 0))</f>
        <v>0</v>
      </c>
      <c r="E461" s="64">
        <f>COUNTIF(_xlfn.XLOOKUP(Table1215[[#This Row],[Name]],Table16[Name],Table16[[September 30, 2025]:[Column18]],,0,1),"&gt;=0")</f>
        <v>0</v>
      </c>
      <c r="F461" s="109" t="str">
        <f>_xlfn.XLOOKUP(Table1215[[#This Row],[Name]],Table1624[Name],Table1624[Totals],,0,1)</f>
        <v>N/A</v>
      </c>
      <c r="G461" s="65" t="str">
        <f>IFERROR(Table1215[[#This Row],[Points]]/Table1215[[#This Row],[GP]],"N/A")</f>
        <v>N/A</v>
      </c>
      <c r="H461" s="64">
        <f>COUNTIF(_xlfn.XLOOKUP(Table1215[[#This Row],[Name]],Table16[Name],Table16[[September 30, 2025]:[Column18]],,0,1),"&gt;=8")</f>
        <v>0</v>
      </c>
      <c r="I461" s="110" t="str">
        <f>IFERROR(AVERAGEIF(_xlfn.XLOOKUP(Table1215[[#This Row],[Name]],Table16[Name],Table16[[September 30, 2025]:[Column18]],,0,1),"&gt;=8"),"N/A")</f>
        <v>N/A</v>
      </c>
      <c r="J461" s="66" t="str">
        <f>IFERROR(Table1215[[#This Row],[FTA]]/Table1215[[#This Row],[GP]],"N/A")</f>
        <v>N/A</v>
      </c>
      <c r="K461" s="67">
        <f>COUNTIF(_xlfn.XLOOKUP(Table1215[[#This Row],[Name]],Table16[Name],Table16[[September 30, 2025]:[Column18]],,0,1),"&gt;=15")</f>
        <v>0</v>
      </c>
    </row>
    <row r="462" spans="2:11">
      <c r="B462" s="82">
        <f>INDEX(AllTime1[All-time rank], MATCH(SMALL(AllTime1[Helper], ROW(Structures!$G457)), AllTime1[Helper], 0))</f>
        <v>300</v>
      </c>
      <c r="C462" s="64" t="str">
        <f>TEXT(INDEX(AllTime1[Name], MATCH(SMALL(AllTime1[Helper], ROW(Structures!$G457)), AllTime1[Helper], 0)),"@")</f>
        <v/>
      </c>
      <c r="D462" s="64">
        <f>INDEX(AllTime1[All-time score], MATCH(LARGE(AllTime1[Helper2], ROW(Structures!$G457)), AllTime1[Helper2], 0))</f>
        <v>0</v>
      </c>
      <c r="E462" s="64">
        <f>COUNTIF(_xlfn.XLOOKUP(Table1215[[#This Row],[Name]],Table16[Name],Table16[[September 30, 2025]:[Column18]],,0,1),"&gt;=0")</f>
        <v>0</v>
      </c>
      <c r="F462" s="109" t="str">
        <f>_xlfn.XLOOKUP(Table1215[[#This Row],[Name]],Table1624[Name],Table1624[Totals],,0,1)</f>
        <v>N/A</v>
      </c>
      <c r="G462" s="65" t="str">
        <f>IFERROR(Table1215[[#This Row],[Points]]/Table1215[[#This Row],[GP]],"N/A")</f>
        <v>N/A</v>
      </c>
      <c r="H462" s="64">
        <f>COUNTIF(_xlfn.XLOOKUP(Table1215[[#This Row],[Name]],Table16[Name],Table16[[September 30, 2025]:[Column18]],,0,1),"&gt;=8")</f>
        <v>0</v>
      </c>
      <c r="I462" s="110" t="str">
        <f>IFERROR(AVERAGEIF(_xlfn.XLOOKUP(Table1215[[#This Row],[Name]],Table16[Name],Table16[[September 30, 2025]:[Column18]],,0,1),"&gt;=8"),"N/A")</f>
        <v>N/A</v>
      </c>
      <c r="J462" s="66" t="str">
        <f>IFERROR(Table1215[[#This Row],[FTA]]/Table1215[[#This Row],[GP]],"N/A")</f>
        <v>N/A</v>
      </c>
      <c r="K462" s="67">
        <f>COUNTIF(_xlfn.XLOOKUP(Table1215[[#This Row],[Name]],Table16[Name],Table16[[September 30, 2025]:[Column18]],,0,1),"&gt;=15")</f>
        <v>0</v>
      </c>
    </row>
    <row r="463" spans="2:11">
      <c r="B463" s="82">
        <f>INDEX(AllTime1[All-time rank], MATCH(SMALL(AllTime1[Helper], ROW(Structures!$G458)), AllTime1[Helper], 0))</f>
        <v>300</v>
      </c>
      <c r="C463" s="64" t="str">
        <f>TEXT(INDEX(AllTime1[Name], MATCH(SMALL(AllTime1[Helper], ROW(Structures!$G458)), AllTime1[Helper], 0)),"@")</f>
        <v/>
      </c>
      <c r="D463" s="64">
        <f>INDEX(AllTime1[All-time score], MATCH(LARGE(AllTime1[Helper2], ROW(Structures!$G458)), AllTime1[Helper2], 0))</f>
        <v>0</v>
      </c>
      <c r="E463" s="64">
        <f>COUNTIF(_xlfn.XLOOKUP(Table1215[[#This Row],[Name]],Table16[Name],Table16[[September 30, 2025]:[Column18]],,0,1),"&gt;=0")</f>
        <v>0</v>
      </c>
      <c r="F463" s="109" t="str">
        <f>_xlfn.XLOOKUP(Table1215[[#This Row],[Name]],Table1624[Name],Table1624[Totals],,0,1)</f>
        <v>N/A</v>
      </c>
      <c r="G463" s="65" t="str">
        <f>IFERROR(Table1215[[#This Row],[Points]]/Table1215[[#This Row],[GP]],"N/A")</f>
        <v>N/A</v>
      </c>
      <c r="H463" s="64">
        <f>COUNTIF(_xlfn.XLOOKUP(Table1215[[#This Row],[Name]],Table16[Name],Table16[[September 30, 2025]:[Column18]],,0,1),"&gt;=8")</f>
        <v>0</v>
      </c>
      <c r="I463" s="110" t="str">
        <f>IFERROR(AVERAGEIF(_xlfn.XLOOKUP(Table1215[[#This Row],[Name]],Table16[Name],Table16[[September 30, 2025]:[Column18]],,0,1),"&gt;=8"),"N/A")</f>
        <v>N/A</v>
      </c>
      <c r="J463" s="66" t="str">
        <f>IFERROR(Table1215[[#This Row],[FTA]]/Table1215[[#This Row],[GP]],"N/A")</f>
        <v>N/A</v>
      </c>
      <c r="K463" s="67">
        <f>COUNTIF(_xlfn.XLOOKUP(Table1215[[#This Row],[Name]],Table16[Name],Table16[[September 30, 2025]:[Column18]],,0,1),"&gt;=15")</f>
        <v>0</v>
      </c>
    </row>
    <row r="464" spans="2:11">
      <c r="B464" s="82">
        <f>INDEX(AllTime1[All-time rank], MATCH(SMALL(AllTime1[Helper], ROW(Structures!$G459)), AllTime1[Helper], 0))</f>
        <v>300</v>
      </c>
      <c r="C464" s="64" t="str">
        <f>TEXT(INDEX(AllTime1[Name], MATCH(SMALL(AllTime1[Helper], ROW(Structures!$G459)), AllTime1[Helper], 0)),"@")</f>
        <v/>
      </c>
      <c r="D464" s="64">
        <f>INDEX(AllTime1[All-time score], MATCH(LARGE(AllTime1[Helper2], ROW(Structures!$G459)), AllTime1[Helper2], 0))</f>
        <v>0</v>
      </c>
      <c r="E464" s="64">
        <f>COUNTIF(_xlfn.XLOOKUP(Table1215[[#This Row],[Name]],Table16[Name],Table16[[September 30, 2025]:[Column18]],,0,1),"&gt;=0")</f>
        <v>0</v>
      </c>
      <c r="F464" s="109" t="str">
        <f>_xlfn.XLOOKUP(Table1215[[#This Row],[Name]],Table1624[Name],Table1624[Totals],,0,1)</f>
        <v>N/A</v>
      </c>
      <c r="G464" s="65" t="str">
        <f>IFERROR(Table1215[[#This Row],[Points]]/Table1215[[#This Row],[GP]],"N/A")</f>
        <v>N/A</v>
      </c>
      <c r="H464" s="64">
        <f>COUNTIF(_xlfn.XLOOKUP(Table1215[[#This Row],[Name]],Table16[Name],Table16[[September 30, 2025]:[Column18]],,0,1),"&gt;=8")</f>
        <v>0</v>
      </c>
      <c r="I464" s="110" t="str">
        <f>IFERROR(AVERAGEIF(_xlfn.XLOOKUP(Table1215[[#This Row],[Name]],Table16[Name],Table16[[September 30, 2025]:[Column18]],,0,1),"&gt;=8"),"N/A")</f>
        <v>N/A</v>
      </c>
      <c r="J464" s="66" t="str">
        <f>IFERROR(Table1215[[#This Row],[FTA]]/Table1215[[#This Row],[GP]],"N/A")</f>
        <v>N/A</v>
      </c>
      <c r="K464" s="67">
        <f>COUNTIF(_xlfn.XLOOKUP(Table1215[[#This Row],[Name]],Table16[Name],Table16[[September 30, 2025]:[Column18]],,0,1),"&gt;=15")</f>
        <v>0</v>
      </c>
    </row>
    <row r="465" spans="2:11">
      <c r="B465" s="82">
        <f>INDEX(AllTime1[All-time rank], MATCH(SMALL(AllTime1[Helper], ROW(Structures!$G460)), AllTime1[Helper], 0))</f>
        <v>300</v>
      </c>
      <c r="C465" s="64" t="str">
        <f>TEXT(INDEX(AllTime1[Name], MATCH(SMALL(AllTime1[Helper], ROW(Structures!$G460)), AllTime1[Helper], 0)),"@")</f>
        <v/>
      </c>
      <c r="D465" s="64">
        <f>INDEX(AllTime1[All-time score], MATCH(LARGE(AllTime1[Helper2], ROW(Structures!$G460)), AllTime1[Helper2], 0))</f>
        <v>0</v>
      </c>
      <c r="E465" s="64">
        <f>COUNTIF(_xlfn.XLOOKUP(Table1215[[#This Row],[Name]],Table16[Name],Table16[[September 30, 2025]:[Column18]],,0,1),"&gt;=0")</f>
        <v>0</v>
      </c>
      <c r="F465" s="109" t="str">
        <f>_xlfn.XLOOKUP(Table1215[[#This Row],[Name]],Table1624[Name],Table1624[Totals],,0,1)</f>
        <v>N/A</v>
      </c>
      <c r="G465" s="65" t="str">
        <f>IFERROR(Table1215[[#This Row],[Points]]/Table1215[[#This Row],[GP]],"N/A")</f>
        <v>N/A</v>
      </c>
      <c r="H465" s="64">
        <f>COUNTIF(_xlfn.XLOOKUP(Table1215[[#This Row],[Name]],Table16[Name],Table16[[September 30, 2025]:[Column18]],,0,1),"&gt;=8")</f>
        <v>0</v>
      </c>
      <c r="I465" s="110" t="str">
        <f>IFERROR(AVERAGEIF(_xlfn.XLOOKUP(Table1215[[#This Row],[Name]],Table16[Name],Table16[[September 30, 2025]:[Column18]],,0,1),"&gt;=8"),"N/A")</f>
        <v>N/A</v>
      </c>
      <c r="J465" s="66" t="str">
        <f>IFERROR(Table1215[[#This Row],[FTA]]/Table1215[[#This Row],[GP]],"N/A")</f>
        <v>N/A</v>
      </c>
      <c r="K465" s="67">
        <f>COUNTIF(_xlfn.XLOOKUP(Table1215[[#This Row],[Name]],Table16[Name],Table16[[September 30, 2025]:[Column18]],,0,1),"&gt;=15")</f>
        <v>0</v>
      </c>
    </row>
    <row r="466" spans="2:11">
      <c r="B466" s="82">
        <f>INDEX(AllTime1[All-time rank], MATCH(SMALL(AllTime1[Helper], ROW(Structures!$G461)), AllTime1[Helper], 0))</f>
        <v>300</v>
      </c>
      <c r="C466" s="64" t="str">
        <f>TEXT(INDEX(AllTime1[Name], MATCH(SMALL(AllTime1[Helper], ROW(Structures!$G461)), AllTime1[Helper], 0)),"@")</f>
        <v/>
      </c>
      <c r="D466" s="64">
        <f>INDEX(AllTime1[All-time score], MATCH(LARGE(AllTime1[Helper2], ROW(Structures!$G461)), AllTime1[Helper2], 0))</f>
        <v>0</v>
      </c>
      <c r="E466" s="64">
        <f>COUNTIF(_xlfn.XLOOKUP(Table1215[[#This Row],[Name]],Table16[Name],Table16[[September 30, 2025]:[Column18]],,0,1),"&gt;=0")</f>
        <v>0</v>
      </c>
      <c r="F466" s="109" t="str">
        <f>_xlfn.XLOOKUP(Table1215[[#This Row],[Name]],Table1624[Name],Table1624[Totals],,0,1)</f>
        <v>N/A</v>
      </c>
      <c r="G466" s="65" t="str">
        <f>IFERROR(Table1215[[#This Row],[Points]]/Table1215[[#This Row],[GP]],"N/A")</f>
        <v>N/A</v>
      </c>
      <c r="H466" s="64">
        <f>COUNTIF(_xlfn.XLOOKUP(Table1215[[#This Row],[Name]],Table16[Name],Table16[[September 30, 2025]:[Column18]],,0,1),"&gt;=8")</f>
        <v>0</v>
      </c>
      <c r="I466" s="110" t="str">
        <f>IFERROR(AVERAGEIF(_xlfn.XLOOKUP(Table1215[[#This Row],[Name]],Table16[Name],Table16[[September 30, 2025]:[Column18]],,0,1),"&gt;=8"),"N/A")</f>
        <v>N/A</v>
      </c>
      <c r="J466" s="66" t="str">
        <f>IFERROR(Table1215[[#This Row],[FTA]]/Table1215[[#This Row],[GP]],"N/A")</f>
        <v>N/A</v>
      </c>
      <c r="K466" s="67">
        <f>COUNTIF(_xlfn.XLOOKUP(Table1215[[#This Row],[Name]],Table16[Name],Table16[[September 30, 2025]:[Column18]],,0,1),"&gt;=15")</f>
        <v>0</v>
      </c>
    </row>
    <row r="467" spans="2:11">
      <c r="B467" s="82">
        <f>INDEX(AllTime1[All-time rank], MATCH(SMALL(AllTime1[Helper], ROW(Structures!$G462)), AllTime1[Helper], 0))</f>
        <v>300</v>
      </c>
      <c r="C467" s="64" t="str">
        <f>TEXT(INDEX(AllTime1[Name], MATCH(SMALL(AllTime1[Helper], ROW(Structures!$G462)), AllTime1[Helper], 0)),"@")</f>
        <v/>
      </c>
      <c r="D467" s="64">
        <f>INDEX(AllTime1[All-time score], MATCH(LARGE(AllTime1[Helper2], ROW(Structures!$G462)), AllTime1[Helper2], 0))</f>
        <v>0</v>
      </c>
      <c r="E467" s="64">
        <f>COUNTIF(_xlfn.XLOOKUP(Table1215[[#This Row],[Name]],Table16[Name],Table16[[September 30, 2025]:[Column18]],,0,1),"&gt;=0")</f>
        <v>0</v>
      </c>
      <c r="F467" s="109" t="str">
        <f>_xlfn.XLOOKUP(Table1215[[#This Row],[Name]],Table1624[Name],Table1624[Totals],,0,1)</f>
        <v>N/A</v>
      </c>
      <c r="G467" s="65" t="str">
        <f>IFERROR(Table1215[[#This Row],[Points]]/Table1215[[#This Row],[GP]],"N/A")</f>
        <v>N/A</v>
      </c>
      <c r="H467" s="64">
        <f>COUNTIF(_xlfn.XLOOKUP(Table1215[[#This Row],[Name]],Table16[Name],Table16[[September 30, 2025]:[Column18]],,0,1),"&gt;=8")</f>
        <v>0</v>
      </c>
      <c r="I467" s="110" t="str">
        <f>IFERROR(AVERAGEIF(_xlfn.XLOOKUP(Table1215[[#This Row],[Name]],Table16[Name],Table16[[September 30, 2025]:[Column18]],,0,1),"&gt;=8"),"N/A")</f>
        <v>N/A</v>
      </c>
      <c r="J467" s="66" t="str">
        <f>IFERROR(Table1215[[#This Row],[FTA]]/Table1215[[#This Row],[GP]],"N/A")</f>
        <v>N/A</v>
      </c>
      <c r="K467" s="67">
        <f>COUNTIF(_xlfn.XLOOKUP(Table1215[[#This Row],[Name]],Table16[Name],Table16[[September 30, 2025]:[Column18]],,0,1),"&gt;=15")</f>
        <v>0</v>
      </c>
    </row>
    <row r="468" spans="2:11">
      <c r="B468" s="82">
        <f>INDEX(AllTime1[All-time rank], MATCH(SMALL(AllTime1[Helper], ROW(Structures!$G463)), AllTime1[Helper], 0))</f>
        <v>300</v>
      </c>
      <c r="C468" s="64" t="str">
        <f>TEXT(INDEX(AllTime1[Name], MATCH(SMALL(AllTime1[Helper], ROW(Structures!$G463)), AllTime1[Helper], 0)),"@")</f>
        <v/>
      </c>
      <c r="D468" s="64">
        <f>INDEX(AllTime1[All-time score], MATCH(LARGE(AllTime1[Helper2], ROW(Structures!$G463)), AllTime1[Helper2], 0))</f>
        <v>0</v>
      </c>
      <c r="E468" s="64">
        <f>COUNTIF(_xlfn.XLOOKUP(Table1215[[#This Row],[Name]],Table16[Name],Table16[[September 30, 2025]:[Column18]],,0,1),"&gt;=0")</f>
        <v>0</v>
      </c>
      <c r="F468" s="109" t="str">
        <f>_xlfn.XLOOKUP(Table1215[[#This Row],[Name]],Table1624[Name],Table1624[Totals],,0,1)</f>
        <v>N/A</v>
      </c>
      <c r="G468" s="65" t="str">
        <f>IFERROR(Table1215[[#This Row],[Points]]/Table1215[[#This Row],[GP]],"N/A")</f>
        <v>N/A</v>
      </c>
      <c r="H468" s="64">
        <f>COUNTIF(_xlfn.XLOOKUP(Table1215[[#This Row],[Name]],Table16[Name],Table16[[September 30, 2025]:[Column18]],,0,1),"&gt;=8")</f>
        <v>0</v>
      </c>
      <c r="I468" s="110" t="str">
        <f>IFERROR(AVERAGEIF(_xlfn.XLOOKUP(Table1215[[#This Row],[Name]],Table16[Name],Table16[[September 30, 2025]:[Column18]],,0,1),"&gt;=8"),"N/A")</f>
        <v>N/A</v>
      </c>
      <c r="J468" s="66" t="str">
        <f>IFERROR(Table1215[[#This Row],[FTA]]/Table1215[[#This Row],[GP]],"N/A")</f>
        <v>N/A</v>
      </c>
      <c r="K468" s="67">
        <f>COUNTIF(_xlfn.XLOOKUP(Table1215[[#This Row],[Name]],Table16[Name],Table16[[September 30, 2025]:[Column18]],,0,1),"&gt;=15")</f>
        <v>0</v>
      </c>
    </row>
    <row r="469" spans="2:11">
      <c r="B469" s="82">
        <f>INDEX(AllTime1[All-time rank], MATCH(SMALL(AllTime1[Helper], ROW(Structures!$G464)), AllTime1[Helper], 0))</f>
        <v>300</v>
      </c>
      <c r="C469" s="64" t="str">
        <f>TEXT(INDEX(AllTime1[Name], MATCH(SMALL(AllTime1[Helper], ROW(Structures!$G464)), AllTime1[Helper], 0)),"@")</f>
        <v/>
      </c>
      <c r="D469" s="64">
        <f>INDEX(AllTime1[All-time score], MATCH(LARGE(AllTime1[Helper2], ROW(Structures!$G464)), AllTime1[Helper2], 0))</f>
        <v>0</v>
      </c>
      <c r="E469" s="64">
        <f>COUNTIF(_xlfn.XLOOKUP(Table1215[[#This Row],[Name]],Table16[Name],Table16[[September 30, 2025]:[Column18]],,0,1),"&gt;=0")</f>
        <v>0</v>
      </c>
      <c r="F469" s="109" t="str">
        <f>_xlfn.XLOOKUP(Table1215[[#This Row],[Name]],Table1624[Name],Table1624[Totals],,0,1)</f>
        <v>N/A</v>
      </c>
      <c r="G469" s="65" t="str">
        <f>IFERROR(Table1215[[#This Row],[Points]]/Table1215[[#This Row],[GP]],"N/A")</f>
        <v>N/A</v>
      </c>
      <c r="H469" s="64">
        <f>COUNTIF(_xlfn.XLOOKUP(Table1215[[#This Row],[Name]],Table16[Name],Table16[[September 30, 2025]:[Column18]],,0,1),"&gt;=8")</f>
        <v>0</v>
      </c>
      <c r="I469" s="110" t="str">
        <f>IFERROR(AVERAGEIF(_xlfn.XLOOKUP(Table1215[[#This Row],[Name]],Table16[Name],Table16[[September 30, 2025]:[Column18]],,0,1),"&gt;=8"),"N/A")</f>
        <v>N/A</v>
      </c>
      <c r="J469" s="66" t="str">
        <f>IFERROR(Table1215[[#This Row],[FTA]]/Table1215[[#This Row],[GP]],"N/A")</f>
        <v>N/A</v>
      </c>
      <c r="K469" s="67">
        <f>COUNTIF(_xlfn.XLOOKUP(Table1215[[#This Row],[Name]],Table16[Name],Table16[[September 30, 2025]:[Column18]],,0,1),"&gt;=15")</f>
        <v>0</v>
      </c>
    </row>
    <row r="470" spans="2:11">
      <c r="B470" s="82">
        <f>INDEX(AllTime1[All-time rank], MATCH(SMALL(AllTime1[Helper], ROW(Structures!$G465)), AllTime1[Helper], 0))</f>
        <v>300</v>
      </c>
      <c r="C470" s="64" t="str">
        <f>TEXT(INDEX(AllTime1[Name], MATCH(SMALL(AllTime1[Helper], ROW(Structures!$G465)), AllTime1[Helper], 0)),"@")</f>
        <v/>
      </c>
      <c r="D470" s="64">
        <f>INDEX(AllTime1[All-time score], MATCH(LARGE(AllTime1[Helper2], ROW(Structures!$G465)), AllTime1[Helper2], 0))</f>
        <v>0</v>
      </c>
      <c r="E470" s="64">
        <f>COUNTIF(_xlfn.XLOOKUP(Table1215[[#This Row],[Name]],Table16[Name],Table16[[September 30, 2025]:[Column18]],,0,1),"&gt;=0")</f>
        <v>0</v>
      </c>
      <c r="F470" s="109" t="str">
        <f>_xlfn.XLOOKUP(Table1215[[#This Row],[Name]],Table1624[Name],Table1624[Totals],,0,1)</f>
        <v>N/A</v>
      </c>
      <c r="G470" s="65" t="str">
        <f>IFERROR(Table1215[[#This Row],[Points]]/Table1215[[#This Row],[GP]],"N/A")</f>
        <v>N/A</v>
      </c>
      <c r="H470" s="64">
        <f>COUNTIF(_xlfn.XLOOKUP(Table1215[[#This Row],[Name]],Table16[Name],Table16[[September 30, 2025]:[Column18]],,0,1),"&gt;=8")</f>
        <v>0</v>
      </c>
      <c r="I470" s="110" t="str">
        <f>IFERROR(AVERAGEIF(_xlfn.XLOOKUP(Table1215[[#This Row],[Name]],Table16[Name],Table16[[September 30, 2025]:[Column18]],,0,1),"&gt;=8"),"N/A")</f>
        <v>N/A</v>
      </c>
      <c r="J470" s="66" t="str">
        <f>IFERROR(Table1215[[#This Row],[FTA]]/Table1215[[#This Row],[GP]],"N/A")</f>
        <v>N/A</v>
      </c>
      <c r="K470" s="67">
        <f>COUNTIF(_xlfn.XLOOKUP(Table1215[[#This Row],[Name]],Table16[Name],Table16[[September 30, 2025]:[Column18]],,0,1),"&gt;=15")</f>
        <v>0</v>
      </c>
    </row>
    <row r="471" spans="2:11">
      <c r="B471" s="82">
        <f>INDEX(AllTime1[All-time rank], MATCH(SMALL(AllTime1[Helper], ROW(Structures!$G466)), AllTime1[Helper], 0))</f>
        <v>300</v>
      </c>
      <c r="C471" s="64" t="str">
        <f>TEXT(INDEX(AllTime1[Name], MATCH(SMALL(AllTime1[Helper], ROW(Structures!$G466)), AllTime1[Helper], 0)),"@")</f>
        <v/>
      </c>
      <c r="D471" s="64">
        <f>INDEX(AllTime1[All-time score], MATCH(LARGE(AllTime1[Helper2], ROW(Structures!$G466)), AllTime1[Helper2], 0))</f>
        <v>0</v>
      </c>
      <c r="E471" s="64">
        <f>COUNTIF(_xlfn.XLOOKUP(Table1215[[#This Row],[Name]],Table16[Name],Table16[[September 30, 2025]:[Column18]],,0,1),"&gt;=0")</f>
        <v>0</v>
      </c>
      <c r="F471" s="109" t="str">
        <f>_xlfn.XLOOKUP(Table1215[[#This Row],[Name]],Table1624[Name],Table1624[Totals],,0,1)</f>
        <v>N/A</v>
      </c>
      <c r="G471" s="65" t="str">
        <f>IFERROR(Table1215[[#This Row],[Points]]/Table1215[[#This Row],[GP]],"N/A")</f>
        <v>N/A</v>
      </c>
      <c r="H471" s="64">
        <f>COUNTIF(_xlfn.XLOOKUP(Table1215[[#This Row],[Name]],Table16[Name],Table16[[September 30, 2025]:[Column18]],,0,1),"&gt;=8")</f>
        <v>0</v>
      </c>
      <c r="I471" s="110" t="str">
        <f>IFERROR(AVERAGEIF(_xlfn.XLOOKUP(Table1215[[#This Row],[Name]],Table16[Name],Table16[[September 30, 2025]:[Column18]],,0,1),"&gt;=8"),"N/A")</f>
        <v>N/A</v>
      </c>
      <c r="J471" s="66" t="str">
        <f>IFERROR(Table1215[[#This Row],[FTA]]/Table1215[[#This Row],[GP]],"N/A")</f>
        <v>N/A</v>
      </c>
      <c r="K471" s="67">
        <f>COUNTIF(_xlfn.XLOOKUP(Table1215[[#This Row],[Name]],Table16[Name],Table16[[September 30, 2025]:[Column18]],,0,1),"&gt;=15")</f>
        <v>0</v>
      </c>
    </row>
    <row r="472" spans="2:11">
      <c r="B472" s="82">
        <f>INDEX(AllTime1[All-time rank], MATCH(SMALL(AllTime1[Helper], ROW(Structures!$G467)), AllTime1[Helper], 0))</f>
        <v>300</v>
      </c>
      <c r="C472" s="64" t="str">
        <f>TEXT(INDEX(AllTime1[Name], MATCH(SMALL(AllTime1[Helper], ROW(Structures!$G467)), AllTime1[Helper], 0)),"@")</f>
        <v/>
      </c>
      <c r="D472" s="64">
        <f>INDEX(AllTime1[All-time score], MATCH(LARGE(AllTime1[Helper2], ROW(Structures!$G467)), AllTime1[Helper2], 0))</f>
        <v>0</v>
      </c>
      <c r="E472" s="64">
        <f>COUNTIF(_xlfn.XLOOKUP(Table1215[[#This Row],[Name]],Table16[Name],Table16[[September 30, 2025]:[Column18]],,0,1),"&gt;=0")</f>
        <v>0</v>
      </c>
      <c r="F472" s="109" t="str">
        <f>_xlfn.XLOOKUP(Table1215[[#This Row],[Name]],Table1624[Name],Table1624[Totals],,0,1)</f>
        <v>N/A</v>
      </c>
      <c r="G472" s="65" t="str">
        <f>IFERROR(Table1215[[#This Row],[Points]]/Table1215[[#This Row],[GP]],"N/A")</f>
        <v>N/A</v>
      </c>
      <c r="H472" s="64">
        <f>COUNTIF(_xlfn.XLOOKUP(Table1215[[#This Row],[Name]],Table16[Name],Table16[[September 30, 2025]:[Column18]],,0,1),"&gt;=8")</f>
        <v>0</v>
      </c>
      <c r="I472" s="110" t="str">
        <f>IFERROR(AVERAGEIF(_xlfn.XLOOKUP(Table1215[[#This Row],[Name]],Table16[Name],Table16[[September 30, 2025]:[Column18]],,0,1),"&gt;=8"),"N/A")</f>
        <v>N/A</v>
      </c>
      <c r="J472" s="66" t="str">
        <f>IFERROR(Table1215[[#This Row],[FTA]]/Table1215[[#This Row],[GP]],"N/A")</f>
        <v>N/A</v>
      </c>
      <c r="K472" s="67">
        <f>COUNTIF(_xlfn.XLOOKUP(Table1215[[#This Row],[Name]],Table16[Name],Table16[[September 30, 2025]:[Column18]],,0,1),"&gt;=15")</f>
        <v>0</v>
      </c>
    </row>
    <row r="473" spans="2:11">
      <c r="B473" s="82">
        <f>INDEX(AllTime1[All-time rank], MATCH(SMALL(AllTime1[Helper], ROW(Structures!$G468)), AllTime1[Helper], 0))</f>
        <v>300</v>
      </c>
      <c r="C473" s="64" t="str">
        <f>TEXT(INDEX(AllTime1[Name], MATCH(SMALL(AllTime1[Helper], ROW(Structures!$G468)), AllTime1[Helper], 0)),"@")</f>
        <v/>
      </c>
      <c r="D473" s="64">
        <f>INDEX(AllTime1[All-time score], MATCH(LARGE(AllTime1[Helper2], ROW(Structures!$G468)), AllTime1[Helper2], 0))</f>
        <v>0</v>
      </c>
      <c r="E473" s="64">
        <f>COUNTIF(_xlfn.XLOOKUP(Table1215[[#This Row],[Name]],Table16[Name],Table16[[September 30, 2025]:[Column18]],,0,1),"&gt;=0")</f>
        <v>0</v>
      </c>
      <c r="F473" s="109" t="str">
        <f>_xlfn.XLOOKUP(Table1215[[#This Row],[Name]],Table1624[Name],Table1624[Totals],,0,1)</f>
        <v>N/A</v>
      </c>
      <c r="G473" s="65" t="str">
        <f>IFERROR(Table1215[[#This Row],[Points]]/Table1215[[#This Row],[GP]],"N/A")</f>
        <v>N/A</v>
      </c>
      <c r="H473" s="64">
        <f>COUNTIF(_xlfn.XLOOKUP(Table1215[[#This Row],[Name]],Table16[Name],Table16[[September 30, 2025]:[Column18]],,0,1),"&gt;=8")</f>
        <v>0</v>
      </c>
      <c r="I473" s="110" t="str">
        <f>IFERROR(AVERAGEIF(_xlfn.XLOOKUP(Table1215[[#This Row],[Name]],Table16[Name],Table16[[September 30, 2025]:[Column18]],,0,1),"&gt;=8"),"N/A")</f>
        <v>N/A</v>
      </c>
      <c r="J473" s="66" t="str">
        <f>IFERROR(Table1215[[#This Row],[FTA]]/Table1215[[#This Row],[GP]],"N/A")</f>
        <v>N/A</v>
      </c>
      <c r="K473" s="67">
        <f>COUNTIF(_xlfn.XLOOKUP(Table1215[[#This Row],[Name]],Table16[Name],Table16[[September 30, 2025]:[Column18]],,0,1),"&gt;=15")</f>
        <v>0</v>
      </c>
    </row>
    <row r="474" spans="2:11">
      <c r="B474" s="82">
        <f>INDEX(AllTime1[All-time rank], MATCH(SMALL(AllTime1[Helper], ROW(Structures!$G469)), AllTime1[Helper], 0))</f>
        <v>300</v>
      </c>
      <c r="C474" s="64" t="str">
        <f>TEXT(INDEX(AllTime1[Name], MATCH(SMALL(AllTime1[Helper], ROW(Structures!$G469)), AllTime1[Helper], 0)),"@")</f>
        <v/>
      </c>
      <c r="D474" s="64">
        <f>INDEX(AllTime1[All-time score], MATCH(LARGE(AllTime1[Helper2], ROW(Structures!$G469)), AllTime1[Helper2], 0))</f>
        <v>0</v>
      </c>
      <c r="E474" s="64">
        <f>COUNTIF(_xlfn.XLOOKUP(Table1215[[#This Row],[Name]],Table16[Name],Table16[[September 30, 2025]:[Column18]],,0,1),"&gt;=0")</f>
        <v>0</v>
      </c>
      <c r="F474" s="109" t="str">
        <f>_xlfn.XLOOKUP(Table1215[[#This Row],[Name]],Table1624[Name],Table1624[Totals],,0,1)</f>
        <v>N/A</v>
      </c>
      <c r="G474" s="65" t="str">
        <f>IFERROR(Table1215[[#This Row],[Points]]/Table1215[[#This Row],[GP]],"N/A")</f>
        <v>N/A</v>
      </c>
      <c r="H474" s="64">
        <f>COUNTIF(_xlfn.XLOOKUP(Table1215[[#This Row],[Name]],Table16[Name],Table16[[September 30, 2025]:[Column18]],,0,1),"&gt;=8")</f>
        <v>0</v>
      </c>
      <c r="I474" s="110" t="str">
        <f>IFERROR(AVERAGEIF(_xlfn.XLOOKUP(Table1215[[#This Row],[Name]],Table16[Name],Table16[[September 30, 2025]:[Column18]],,0,1),"&gt;=8"),"N/A")</f>
        <v>N/A</v>
      </c>
      <c r="J474" s="66" t="str">
        <f>IFERROR(Table1215[[#This Row],[FTA]]/Table1215[[#This Row],[GP]],"N/A")</f>
        <v>N/A</v>
      </c>
      <c r="K474" s="67">
        <f>COUNTIF(_xlfn.XLOOKUP(Table1215[[#This Row],[Name]],Table16[Name],Table16[[September 30, 2025]:[Column18]],,0,1),"&gt;=15")</f>
        <v>0</v>
      </c>
    </row>
    <row r="475" spans="2:11">
      <c r="B475" s="82">
        <f>INDEX(AllTime1[All-time rank], MATCH(SMALL(AllTime1[Helper], ROW(Structures!$G470)), AllTime1[Helper], 0))</f>
        <v>300</v>
      </c>
      <c r="C475" s="64" t="str">
        <f>TEXT(INDEX(AllTime1[Name], MATCH(SMALL(AllTime1[Helper], ROW(Structures!$G470)), AllTime1[Helper], 0)),"@")</f>
        <v/>
      </c>
      <c r="D475" s="64">
        <f>INDEX(AllTime1[All-time score], MATCH(LARGE(AllTime1[Helper2], ROW(Structures!$G470)), AllTime1[Helper2], 0))</f>
        <v>0</v>
      </c>
      <c r="E475" s="64">
        <f>COUNTIF(_xlfn.XLOOKUP(Table1215[[#This Row],[Name]],Table16[Name],Table16[[September 30, 2025]:[Column18]],,0,1),"&gt;=0")</f>
        <v>0</v>
      </c>
      <c r="F475" s="109" t="str">
        <f>_xlfn.XLOOKUP(Table1215[[#This Row],[Name]],Table1624[Name],Table1624[Totals],,0,1)</f>
        <v>N/A</v>
      </c>
      <c r="G475" s="65" t="str">
        <f>IFERROR(Table1215[[#This Row],[Points]]/Table1215[[#This Row],[GP]],"N/A")</f>
        <v>N/A</v>
      </c>
      <c r="H475" s="64">
        <f>COUNTIF(_xlfn.XLOOKUP(Table1215[[#This Row],[Name]],Table16[Name],Table16[[September 30, 2025]:[Column18]],,0,1),"&gt;=8")</f>
        <v>0</v>
      </c>
      <c r="I475" s="110" t="str">
        <f>IFERROR(AVERAGEIF(_xlfn.XLOOKUP(Table1215[[#This Row],[Name]],Table16[Name],Table16[[September 30, 2025]:[Column18]],,0,1),"&gt;=8"),"N/A")</f>
        <v>N/A</v>
      </c>
      <c r="J475" s="66" t="str">
        <f>IFERROR(Table1215[[#This Row],[FTA]]/Table1215[[#This Row],[GP]],"N/A")</f>
        <v>N/A</v>
      </c>
      <c r="K475" s="67">
        <f>COUNTIF(_xlfn.XLOOKUP(Table1215[[#This Row],[Name]],Table16[Name],Table16[[September 30, 2025]:[Column18]],,0,1),"&gt;=15")</f>
        <v>0</v>
      </c>
    </row>
    <row r="476" spans="2:11">
      <c r="B476" s="82">
        <f>INDEX(AllTime1[All-time rank], MATCH(SMALL(AllTime1[Helper], ROW(Structures!$G471)), AllTime1[Helper], 0))</f>
        <v>300</v>
      </c>
      <c r="C476" s="64" t="str">
        <f>TEXT(INDEX(AllTime1[Name], MATCH(SMALL(AllTime1[Helper], ROW(Structures!$G471)), AllTime1[Helper], 0)),"@")</f>
        <v/>
      </c>
      <c r="D476" s="64">
        <f>INDEX(AllTime1[All-time score], MATCH(LARGE(AllTime1[Helper2], ROW(Structures!$G471)), AllTime1[Helper2], 0))</f>
        <v>0</v>
      </c>
      <c r="E476" s="64">
        <f>COUNTIF(_xlfn.XLOOKUP(Table1215[[#This Row],[Name]],Table16[Name],Table16[[September 30, 2025]:[Column18]],,0,1),"&gt;=0")</f>
        <v>0</v>
      </c>
      <c r="F476" s="109" t="str">
        <f>_xlfn.XLOOKUP(Table1215[[#This Row],[Name]],Table1624[Name],Table1624[Totals],,0,1)</f>
        <v>N/A</v>
      </c>
      <c r="G476" s="65" t="str">
        <f>IFERROR(Table1215[[#This Row],[Points]]/Table1215[[#This Row],[GP]],"N/A")</f>
        <v>N/A</v>
      </c>
      <c r="H476" s="64">
        <f>COUNTIF(_xlfn.XLOOKUP(Table1215[[#This Row],[Name]],Table16[Name],Table16[[September 30, 2025]:[Column18]],,0,1),"&gt;=8")</f>
        <v>0</v>
      </c>
      <c r="I476" s="110" t="str">
        <f>IFERROR(AVERAGEIF(_xlfn.XLOOKUP(Table1215[[#This Row],[Name]],Table16[Name],Table16[[September 30, 2025]:[Column18]],,0,1),"&gt;=8"),"N/A")</f>
        <v>N/A</v>
      </c>
      <c r="J476" s="66" t="str">
        <f>IFERROR(Table1215[[#This Row],[FTA]]/Table1215[[#This Row],[GP]],"N/A")</f>
        <v>N/A</v>
      </c>
      <c r="K476" s="67">
        <f>COUNTIF(_xlfn.XLOOKUP(Table1215[[#This Row],[Name]],Table16[Name],Table16[[September 30, 2025]:[Column18]],,0,1),"&gt;=15")</f>
        <v>0</v>
      </c>
    </row>
    <row r="477" spans="2:11">
      <c r="B477" s="82">
        <f>INDEX(AllTime1[All-time rank], MATCH(SMALL(AllTime1[Helper], ROW(Structures!$G472)), AllTime1[Helper], 0))</f>
        <v>300</v>
      </c>
      <c r="C477" s="64" t="str">
        <f>TEXT(INDEX(AllTime1[Name], MATCH(SMALL(AllTime1[Helper], ROW(Structures!$G472)), AllTime1[Helper], 0)),"@")</f>
        <v/>
      </c>
      <c r="D477" s="64">
        <f>INDEX(AllTime1[All-time score], MATCH(LARGE(AllTime1[Helper2], ROW(Structures!$G472)), AllTime1[Helper2], 0))</f>
        <v>0</v>
      </c>
      <c r="E477" s="64">
        <f>COUNTIF(_xlfn.XLOOKUP(Table1215[[#This Row],[Name]],Table16[Name],Table16[[September 30, 2025]:[Column18]],,0,1),"&gt;=0")</f>
        <v>0</v>
      </c>
      <c r="F477" s="109" t="str">
        <f>_xlfn.XLOOKUP(Table1215[[#This Row],[Name]],Table1624[Name],Table1624[Totals],,0,1)</f>
        <v>N/A</v>
      </c>
      <c r="G477" s="65" t="str">
        <f>IFERROR(Table1215[[#This Row],[Points]]/Table1215[[#This Row],[GP]],"N/A")</f>
        <v>N/A</v>
      </c>
      <c r="H477" s="64">
        <f>COUNTIF(_xlfn.XLOOKUP(Table1215[[#This Row],[Name]],Table16[Name],Table16[[September 30, 2025]:[Column18]],,0,1),"&gt;=8")</f>
        <v>0</v>
      </c>
      <c r="I477" s="110" t="str">
        <f>IFERROR(AVERAGEIF(_xlfn.XLOOKUP(Table1215[[#This Row],[Name]],Table16[Name],Table16[[September 30, 2025]:[Column18]],,0,1),"&gt;=8"),"N/A")</f>
        <v>N/A</v>
      </c>
      <c r="J477" s="66" t="str">
        <f>IFERROR(Table1215[[#This Row],[FTA]]/Table1215[[#This Row],[GP]],"N/A")</f>
        <v>N/A</v>
      </c>
      <c r="K477" s="67">
        <f>COUNTIF(_xlfn.XLOOKUP(Table1215[[#This Row],[Name]],Table16[Name],Table16[[September 30, 2025]:[Column18]],,0,1),"&gt;=15")</f>
        <v>0</v>
      </c>
    </row>
    <row r="478" spans="2:11">
      <c r="B478" s="82">
        <f>INDEX(AllTime1[All-time rank], MATCH(SMALL(AllTime1[Helper], ROW(Structures!$G473)), AllTime1[Helper], 0))</f>
        <v>300</v>
      </c>
      <c r="C478" s="64" t="str">
        <f>TEXT(INDEX(AllTime1[Name], MATCH(SMALL(AllTime1[Helper], ROW(Structures!$G473)), AllTime1[Helper], 0)),"@")</f>
        <v/>
      </c>
      <c r="D478" s="64">
        <f>INDEX(AllTime1[All-time score], MATCH(LARGE(AllTime1[Helper2], ROW(Structures!$G473)), AllTime1[Helper2], 0))</f>
        <v>0</v>
      </c>
      <c r="E478" s="64">
        <f>COUNTIF(_xlfn.XLOOKUP(Table1215[[#This Row],[Name]],Table16[Name],Table16[[September 30, 2025]:[Column18]],,0,1),"&gt;=0")</f>
        <v>0</v>
      </c>
      <c r="F478" s="109" t="str">
        <f>_xlfn.XLOOKUP(Table1215[[#This Row],[Name]],Table1624[Name],Table1624[Totals],,0,1)</f>
        <v>N/A</v>
      </c>
      <c r="G478" s="65" t="str">
        <f>IFERROR(Table1215[[#This Row],[Points]]/Table1215[[#This Row],[GP]],"N/A")</f>
        <v>N/A</v>
      </c>
      <c r="H478" s="64">
        <f>COUNTIF(_xlfn.XLOOKUP(Table1215[[#This Row],[Name]],Table16[Name],Table16[[September 30, 2025]:[Column18]],,0,1),"&gt;=8")</f>
        <v>0</v>
      </c>
      <c r="I478" s="110" t="str">
        <f>IFERROR(AVERAGEIF(_xlfn.XLOOKUP(Table1215[[#This Row],[Name]],Table16[Name],Table16[[September 30, 2025]:[Column18]],,0,1),"&gt;=8"),"N/A")</f>
        <v>N/A</v>
      </c>
      <c r="J478" s="66" t="str">
        <f>IFERROR(Table1215[[#This Row],[FTA]]/Table1215[[#This Row],[GP]],"N/A")</f>
        <v>N/A</v>
      </c>
      <c r="K478" s="67">
        <f>COUNTIF(_xlfn.XLOOKUP(Table1215[[#This Row],[Name]],Table16[Name],Table16[[September 30, 2025]:[Column18]],,0,1),"&gt;=15")</f>
        <v>0</v>
      </c>
    </row>
    <row r="479" spans="2:11">
      <c r="B479" s="82">
        <f>INDEX(AllTime1[All-time rank], MATCH(SMALL(AllTime1[Helper], ROW(Structures!$G474)), AllTime1[Helper], 0))</f>
        <v>300</v>
      </c>
      <c r="C479" s="64" t="str">
        <f>TEXT(INDEX(AllTime1[Name], MATCH(SMALL(AllTime1[Helper], ROW(Structures!$G474)), AllTime1[Helper], 0)),"@")</f>
        <v/>
      </c>
      <c r="D479" s="64">
        <f>INDEX(AllTime1[All-time score], MATCH(LARGE(AllTime1[Helper2], ROW(Structures!$G474)), AllTime1[Helper2], 0))</f>
        <v>0</v>
      </c>
      <c r="E479" s="64">
        <f>COUNTIF(_xlfn.XLOOKUP(Table1215[[#This Row],[Name]],Table16[Name],Table16[[September 30, 2025]:[Column18]],,0,1),"&gt;=0")</f>
        <v>0</v>
      </c>
      <c r="F479" s="109" t="str">
        <f>_xlfn.XLOOKUP(Table1215[[#This Row],[Name]],Table1624[Name],Table1624[Totals],,0,1)</f>
        <v>N/A</v>
      </c>
      <c r="G479" s="65" t="str">
        <f>IFERROR(Table1215[[#This Row],[Points]]/Table1215[[#This Row],[GP]],"N/A")</f>
        <v>N/A</v>
      </c>
      <c r="H479" s="64">
        <f>COUNTIF(_xlfn.XLOOKUP(Table1215[[#This Row],[Name]],Table16[Name],Table16[[September 30, 2025]:[Column18]],,0,1),"&gt;=8")</f>
        <v>0</v>
      </c>
      <c r="I479" s="110" t="str">
        <f>IFERROR(AVERAGEIF(_xlfn.XLOOKUP(Table1215[[#This Row],[Name]],Table16[Name],Table16[[September 30, 2025]:[Column18]],,0,1),"&gt;=8"),"N/A")</f>
        <v>N/A</v>
      </c>
      <c r="J479" s="66" t="str">
        <f>IFERROR(Table1215[[#This Row],[FTA]]/Table1215[[#This Row],[GP]],"N/A")</f>
        <v>N/A</v>
      </c>
      <c r="K479" s="67">
        <f>COUNTIF(_xlfn.XLOOKUP(Table1215[[#This Row],[Name]],Table16[Name],Table16[[September 30, 2025]:[Column18]],,0,1),"&gt;=15")</f>
        <v>0</v>
      </c>
    </row>
    <row r="480" spans="2:11">
      <c r="B480" s="82">
        <f>INDEX(AllTime1[All-time rank], MATCH(SMALL(AllTime1[Helper], ROW(Structures!$G475)), AllTime1[Helper], 0))</f>
        <v>300</v>
      </c>
      <c r="C480" s="64" t="str">
        <f>TEXT(INDEX(AllTime1[Name], MATCH(SMALL(AllTime1[Helper], ROW(Structures!$G475)), AllTime1[Helper], 0)),"@")</f>
        <v/>
      </c>
      <c r="D480" s="64">
        <f>INDEX(AllTime1[All-time score], MATCH(LARGE(AllTime1[Helper2], ROW(Structures!$G475)), AllTime1[Helper2], 0))</f>
        <v>0</v>
      </c>
      <c r="E480" s="64">
        <f>COUNTIF(_xlfn.XLOOKUP(Table1215[[#This Row],[Name]],Table16[Name],Table16[[September 30, 2025]:[Column18]],,0,1),"&gt;=0")</f>
        <v>0</v>
      </c>
      <c r="F480" s="109" t="str">
        <f>_xlfn.XLOOKUP(Table1215[[#This Row],[Name]],Table1624[Name],Table1624[Totals],,0,1)</f>
        <v>N/A</v>
      </c>
      <c r="G480" s="65" t="str">
        <f>IFERROR(Table1215[[#This Row],[Points]]/Table1215[[#This Row],[GP]],"N/A")</f>
        <v>N/A</v>
      </c>
      <c r="H480" s="64">
        <f>COUNTIF(_xlfn.XLOOKUP(Table1215[[#This Row],[Name]],Table16[Name],Table16[[September 30, 2025]:[Column18]],,0,1),"&gt;=8")</f>
        <v>0</v>
      </c>
      <c r="I480" s="110" t="str">
        <f>IFERROR(AVERAGEIF(_xlfn.XLOOKUP(Table1215[[#This Row],[Name]],Table16[Name],Table16[[September 30, 2025]:[Column18]],,0,1),"&gt;=8"),"N/A")</f>
        <v>N/A</v>
      </c>
      <c r="J480" s="66" t="str">
        <f>IFERROR(Table1215[[#This Row],[FTA]]/Table1215[[#This Row],[GP]],"N/A")</f>
        <v>N/A</v>
      </c>
      <c r="K480" s="67">
        <f>COUNTIF(_xlfn.XLOOKUP(Table1215[[#This Row],[Name]],Table16[Name],Table16[[September 30, 2025]:[Column18]],,0,1),"&gt;=15")</f>
        <v>0</v>
      </c>
    </row>
    <row r="481" spans="2:11">
      <c r="B481" s="82">
        <f>INDEX(AllTime1[All-time rank], MATCH(SMALL(AllTime1[Helper], ROW(Structures!$G476)), AllTime1[Helper], 0))</f>
        <v>300</v>
      </c>
      <c r="C481" s="64" t="str">
        <f>TEXT(INDEX(AllTime1[Name], MATCH(SMALL(AllTime1[Helper], ROW(Structures!$G476)), AllTime1[Helper], 0)),"@")</f>
        <v/>
      </c>
      <c r="D481" s="64">
        <f>INDEX(AllTime1[All-time score], MATCH(LARGE(AllTime1[Helper2], ROW(Structures!$G476)), AllTime1[Helper2], 0))</f>
        <v>0</v>
      </c>
      <c r="E481" s="64">
        <f>COUNTIF(_xlfn.XLOOKUP(Table1215[[#This Row],[Name]],Table16[Name],Table16[[September 30, 2025]:[Column18]],,0,1),"&gt;=0")</f>
        <v>0</v>
      </c>
      <c r="F481" s="109" t="str">
        <f>_xlfn.XLOOKUP(Table1215[[#This Row],[Name]],Table1624[Name],Table1624[Totals],,0,1)</f>
        <v>N/A</v>
      </c>
      <c r="G481" s="65" t="str">
        <f>IFERROR(Table1215[[#This Row],[Points]]/Table1215[[#This Row],[GP]],"N/A")</f>
        <v>N/A</v>
      </c>
      <c r="H481" s="64">
        <f>COUNTIF(_xlfn.XLOOKUP(Table1215[[#This Row],[Name]],Table16[Name],Table16[[September 30, 2025]:[Column18]],,0,1),"&gt;=8")</f>
        <v>0</v>
      </c>
      <c r="I481" s="110" t="str">
        <f>IFERROR(AVERAGEIF(_xlfn.XLOOKUP(Table1215[[#This Row],[Name]],Table16[Name],Table16[[September 30, 2025]:[Column18]],,0,1),"&gt;=8"),"N/A")</f>
        <v>N/A</v>
      </c>
      <c r="J481" s="66" t="str">
        <f>IFERROR(Table1215[[#This Row],[FTA]]/Table1215[[#This Row],[GP]],"N/A")</f>
        <v>N/A</v>
      </c>
      <c r="K481" s="67">
        <f>COUNTIF(_xlfn.XLOOKUP(Table1215[[#This Row],[Name]],Table16[Name],Table16[[September 30, 2025]:[Column18]],,0,1),"&gt;=15")</f>
        <v>0</v>
      </c>
    </row>
    <row r="482" spans="2:11">
      <c r="B482" s="82">
        <f>INDEX(AllTime1[All-time rank], MATCH(SMALL(AllTime1[Helper], ROW(Structures!$G477)), AllTime1[Helper], 0))</f>
        <v>300</v>
      </c>
      <c r="C482" s="64" t="str">
        <f>TEXT(INDEX(AllTime1[Name], MATCH(SMALL(AllTime1[Helper], ROW(Structures!$G477)), AllTime1[Helper], 0)),"@")</f>
        <v/>
      </c>
      <c r="D482" s="64">
        <f>INDEX(AllTime1[All-time score], MATCH(LARGE(AllTime1[Helper2], ROW(Structures!$G477)), AllTime1[Helper2], 0))</f>
        <v>0</v>
      </c>
      <c r="E482" s="64">
        <f>COUNTIF(_xlfn.XLOOKUP(Table1215[[#This Row],[Name]],Table16[Name],Table16[[September 30, 2025]:[Column18]],,0,1),"&gt;=0")</f>
        <v>0</v>
      </c>
      <c r="F482" s="109" t="str">
        <f>_xlfn.XLOOKUP(Table1215[[#This Row],[Name]],Table1624[Name],Table1624[Totals],,0,1)</f>
        <v>N/A</v>
      </c>
      <c r="G482" s="65" t="str">
        <f>IFERROR(Table1215[[#This Row],[Points]]/Table1215[[#This Row],[GP]],"N/A")</f>
        <v>N/A</v>
      </c>
      <c r="H482" s="64">
        <f>COUNTIF(_xlfn.XLOOKUP(Table1215[[#This Row],[Name]],Table16[Name],Table16[[September 30, 2025]:[Column18]],,0,1),"&gt;=8")</f>
        <v>0</v>
      </c>
      <c r="I482" s="110" t="str">
        <f>IFERROR(AVERAGEIF(_xlfn.XLOOKUP(Table1215[[#This Row],[Name]],Table16[Name],Table16[[September 30, 2025]:[Column18]],,0,1),"&gt;=8"),"N/A")</f>
        <v>N/A</v>
      </c>
      <c r="J482" s="66" t="str">
        <f>IFERROR(Table1215[[#This Row],[FTA]]/Table1215[[#This Row],[GP]],"N/A")</f>
        <v>N/A</v>
      </c>
      <c r="K482" s="67">
        <f>COUNTIF(_xlfn.XLOOKUP(Table1215[[#This Row],[Name]],Table16[Name],Table16[[September 30, 2025]:[Column18]],,0,1),"&gt;=15")</f>
        <v>0</v>
      </c>
    </row>
    <row r="483" spans="2:11">
      <c r="B483" s="82">
        <f>INDEX(AllTime1[All-time rank], MATCH(SMALL(AllTime1[Helper], ROW(Structures!$G478)), AllTime1[Helper], 0))</f>
        <v>300</v>
      </c>
      <c r="C483" s="64" t="str">
        <f>TEXT(INDEX(AllTime1[Name], MATCH(SMALL(AllTime1[Helper], ROW(Structures!$G478)), AllTime1[Helper], 0)),"@")</f>
        <v/>
      </c>
      <c r="D483" s="64">
        <f>INDEX(AllTime1[All-time score], MATCH(LARGE(AllTime1[Helper2], ROW(Structures!$G478)), AllTime1[Helper2], 0))</f>
        <v>0</v>
      </c>
      <c r="E483" s="64">
        <f>COUNTIF(_xlfn.XLOOKUP(Table1215[[#This Row],[Name]],Table16[Name],Table16[[September 30, 2025]:[Column18]],,0,1),"&gt;=0")</f>
        <v>0</v>
      </c>
      <c r="F483" s="109" t="str">
        <f>_xlfn.XLOOKUP(Table1215[[#This Row],[Name]],Table1624[Name],Table1624[Totals],,0,1)</f>
        <v>N/A</v>
      </c>
      <c r="G483" s="65" t="str">
        <f>IFERROR(Table1215[[#This Row],[Points]]/Table1215[[#This Row],[GP]],"N/A")</f>
        <v>N/A</v>
      </c>
      <c r="H483" s="64">
        <f>COUNTIF(_xlfn.XLOOKUP(Table1215[[#This Row],[Name]],Table16[Name],Table16[[September 30, 2025]:[Column18]],,0,1),"&gt;=8")</f>
        <v>0</v>
      </c>
      <c r="I483" s="110" t="str">
        <f>IFERROR(AVERAGEIF(_xlfn.XLOOKUP(Table1215[[#This Row],[Name]],Table16[Name],Table16[[September 30, 2025]:[Column18]],,0,1),"&gt;=8"),"N/A")</f>
        <v>N/A</v>
      </c>
      <c r="J483" s="66" t="str">
        <f>IFERROR(Table1215[[#This Row],[FTA]]/Table1215[[#This Row],[GP]],"N/A")</f>
        <v>N/A</v>
      </c>
      <c r="K483" s="67">
        <f>COUNTIF(_xlfn.XLOOKUP(Table1215[[#This Row],[Name]],Table16[Name],Table16[[September 30, 2025]:[Column18]],,0,1),"&gt;=15")</f>
        <v>0</v>
      </c>
    </row>
    <row r="484" spans="2:11">
      <c r="B484" s="82">
        <f>INDEX(AllTime1[All-time rank], MATCH(SMALL(AllTime1[Helper], ROW(Structures!$G479)), AllTime1[Helper], 0))</f>
        <v>300</v>
      </c>
      <c r="C484" s="64" t="str">
        <f>TEXT(INDEX(AllTime1[Name], MATCH(SMALL(AllTime1[Helper], ROW(Structures!$G479)), AllTime1[Helper], 0)),"@")</f>
        <v/>
      </c>
      <c r="D484" s="64">
        <f>INDEX(AllTime1[All-time score], MATCH(LARGE(AllTime1[Helper2], ROW(Structures!$G479)), AllTime1[Helper2], 0))</f>
        <v>0</v>
      </c>
      <c r="E484" s="64">
        <f>COUNTIF(_xlfn.XLOOKUP(Table1215[[#This Row],[Name]],Table16[Name],Table16[[September 30, 2025]:[Column18]],,0,1),"&gt;=0")</f>
        <v>0</v>
      </c>
      <c r="F484" s="109" t="str">
        <f>_xlfn.XLOOKUP(Table1215[[#This Row],[Name]],Table1624[Name],Table1624[Totals],,0,1)</f>
        <v>N/A</v>
      </c>
      <c r="G484" s="65" t="str">
        <f>IFERROR(Table1215[[#This Row],[Points]]/Table1215[[#This Row],[GP]],"N/A")</f>
        <v>N/A</v>
      </c>
      <c r="H484" s="64">
        <f>COUNTIF(_xlfn.XLOOKUP(Table1215[[#This Row],[Name]],Table16[Name],Table16[[September 30, 2025]:[Column18]],,0,1),"&gt;=8")</f>
        <v>0</v>
      </c>
      <c r="I484" s="110" t="str">
        <f>IFERROR(AVERAGEIF(_xlfn.XLOOKUP(Table1215[[#This Row],[Name]],Table16[Name],Table16[[September 30, 2025]:[Column18]],,0,1),"&gt;=8"),"N/A")</f>
        <v>N/A</v>
      </c>
      <c r="J484" s="66" t="str">
        <f>IFERROR(Table1215[[#This Row],[FTA]]/Table1215[[#This Row],[GP]],"N/A")</f>
        <v>N/A</v>
      </c>
      <c r="K484" s="67">
        <f>COUNTIF(_xlfn.XLOOKUP(Table1215[[#This Row],[Name]],Table16[Name],Table16[[September 30, 2025]:[Column18]],,0,1),"&gt;=15")</f>
        <v>0</v>
      </c>
    </row>
    <row r="485" spans="2:11">
      <c r="B485" s="82">
        <f>INDEX(AllTime1[All-time rank], MATCH(SMALL(AllTime1[Helper], ROW(Structures!$G480)), AllTime1[Helper], 0))</f>
        <v>300</v>
      </c>
      <c r="C485" s="64" t="str">
        <f>TEXT(INDEX(AllTime1[Name], MATCH(SMALL(AllTime1[Helper], ROW(Structures!$G480)), AllTime1[Helper], 0)),"@")</f>
        <v/>
      </c>
      <c r="D485" s="64">
        <f>INDEX(AllTime1[All-time score], MATCH(LARGE(AllTime1[Helper2], ROW(Structures!$G480)), AllTime1[Helper2], 0))</f>
        <v>0</v>
      </c>
      <c r="E485" s="64">
        <f>COUNTIF(_xlfn.XLOOKUP(Table1215[[#This Row],[Name]],Table16[Name],Table16[[September 30, 2025]:[Column18]],,0,1),"&gt;=0")</f>
        <v>0</v>
      </c>
      <c r="F485" s="109" t="str">
        <f>_xlfn.XLOOKUP(Table1215[[#This Row],[Name]],Table1624[Name],Table1624[Totals],,0,1)</f>
        <v>N/A</v>
      </c>
      <c r="G485" s="65" t="str">
        <f>IFERROR(Table1215[[#This Row],[Points]]/Table1215[[#This Row],[GP]],"N/A")</f>
        <v>N/A</v>
      </c>
      <c r="H485" s="64">
        <f>COUNTIF(_xlfn.XLOOKUP(Table1215[[#This Row],[Name]],Table16[Name],Table16[[September 30, 2025]:[Column18]],,0,1),"&gt;=8")</f>
        <v>0</v>
      </c>
      <c r="I485" s="110" t="str">
        <f>IFERROR(AVERAGEIF(_xlfn.XLOOKUP(Table1215[[#This Row],[Name]],Table16[Name],Table16[[September 30, 2025]:[Column18]],,0,1),"&gt;=8"),"N/A")</f>
        <v>N/A</v>
      </c>
      <c r="J485" s="66" t="str">
        <f>IFERROR(Table1215[[#This Row],[FTA]]/Table1215[[#This Row],[GP]],"N/A")</f>
        <v>N/A</v>
      </c>
      <c r="K485" s="67">
        <f>COUNTIF(_xlfn.XLOOKUP(Table1215[[#This Row],[Name]],Table16[Name],Table16[[September 30, 2025]:[Column18]],,0,1),"&gt;=15")</f>
        <v>0</v>
      </c>
    </row>
    <row r="486" spans="2:11">
      <c r="B486" s="82">
        <f>INDEX(AllTime1[All-time rank], MATCH(SMALL(AllTime1[Helper], ROW(Structures!$G481)), AllTime1[Helper], 0))</f>
        <v>300</v>
      </c>
      <c r="C486" s="64" t="str">
        <f>TEXT(INDEX(AllTime1[Name], MATCH(SMALL(AllTime1[Helper], ROW(Structures!$G481)), AllTime1[Helper], 0)),"@")</f>
        <v/>
      </c>
      <c r="D486" s="64">
        <f>INDEX(AllTime1[All-time score], MATCH(LARGE(AllTime1[Helper2], ROW(Structures!$G481)), AllTime1[Helper2], 0))</f>
        <v>0</v>
      </c>
      <c r="E486" s="64">
        <f>COUNTIF(_xlfn.XLOOKUP(Table1215[[#This Row],[Name]],Table16[Name],Table16[[September 30, 2025]:[Column18]],,0,1),"&gt;=0")</f>
        <v>0</v>
      </c>
      <c r="F486" s="109" t="str">
        <f>_xlfn.XLOOKUP(Table1215[[#This Row],[Name]],Table1624[Name],Table1624[Totals],,0,1)</f>
        <v>N/A</v>
      </c>
      <c r="G486" s="65" t="str">
        <f>IFERROR(Table1215[[#This Row],[Points]]/Table1215[[#This Row],[GP]],"N/A")</f>
        <v>N/A</v>
      </c>
      <c r="H486" s="64">
        <f>COUNTIF(_xlfn.XLOOKUP(Table1215[[#This Row],[Name]],Table16[Name],Table16[[September 30, 2025]:[Column18]],,0,1),"&gt;=8")</f>
        <v>0</v>
      </c>
      <c r="I486" s="110" t="str">
        <f>IFERROR(AVERAGEIF(_xlfn.XLOOKUP(Table1215[[#This Row],[Name]],Table16[Name],Table16[[September 30, 2025]:[Column18]],,0,1),"&gt;=8"),"N/A")</f>
        <v>N/A</v>
      </c>
      <c r="J486" s="66" t="str">
        <f>IFERROR(Table1215[[#This Row],[FTA]]/Table1215[[#This Row],[GP]],"N/A")</f>
        <v>N/A</v>
      </c>
      <c r="K486" s="67">
        <f>COUNTIF(_xlfn.XLOOKUP(Table1215[[#This Row],[Name]],Table16[Name],Table16[[September 30, 2025]:[Column18]],,0,1),"&gt;=15")</f>
        <v>0</v>
      </c>
    </row>
    <row r="487" spans="2:11">
      <c r="B487" s="82">
        <f>INDEX(AllTime1[All-time rank], MATCH(SMALL(AllTime1[Helper], ROW(Structures!$G482)), AllTime1[Helper], 0))</f>
        <v>300</v>
      </c>
      <c r="C487" s="64" t="str">
        <f>TEXT(INDEX(AllTime1[Name], MATCH(SMALL(AllTime1[Helper], ROW(Structures!$G482)), AllTime1[Helper], 0)),"@")</f>
        <v/>
      </c>
      <c r="D487" s="64">
        <f>INDEX(AllTime1[All-time score], MATCH(LARGE(AllTime1[Helper2], ROW(Structures!$G482)), AllTime1[Helper2], 0))</f>
        <v>0</v>
      </c>
      <c r="E487" s="64">
        <f>COUNTIF(_xlfn.XLOOKUP(Table1215[[#This Row],[Name]],Table16[Name],Table16[[September 30, 2025]:[Column18]],,0,1),"&gt;=0")</f>
        <v>0</v>
      </c>
      <c r="F487" s="109" t="str">
        <f>_xlfn.XLOOKUP(Table1215[[#This Row],[Name]],Table1624[Name],Table1624[Totals],,0,1)</f>
        <v>N/A</v>
      </c>
      <c r="G487" s="65" t="str">
        <f>IFERROR(Table1215[[#This Row],[Points]]/Table1215[[#This Row],[GP]],"N/A")</f>
        <v>N/A</v>
      </c>
      <c r="H487" s="64">
        <f>COUNTIF(_xlfn.XLOOKUP(Table1215[[#This Row],[Name]],Table16[Name],Table16[[September 30, 2025]:[Column18]],,0,1),"&gt;=8")</f>
        <v>0</v>
      </c>
      <c r="I487" s="110" t="str">
        <f>IFERROR(AVERAGEIF(_xlfn.XLOOKUP(Table1215[[#This Row],[Name]],Table16[Name],Table16[[September 30, 2025]:[Column18]],,0,1),"&gt;=8"),"N/A")</f>
        <v>N/A</v>
      </c>
      <c r="J487" s="66" t="str">
        <f>IFERROR(Table1215[[#This Row],[FTA]]/Table1215[[#This Row],[GP]],"N/A")</f>
        <v>N/A</v>
      </c>
      <c r="K487" s="67">
        <f>COUNTIF(_xlfn.XLOOKUP(Table1215[[#This Row],[Name]],Table16[Name],Table16[[September 30, 2025]:[Column18]],,0,1),"&gt;=15")</f>
        <v>0</v>
      </c>
    </row>
    <row r="488" spans="2:11">
      <c r="B488" s="82">
        <f>INDEX(AllTime1[All-time rank], MATCH(SMALL(AllTime1[Helper], ROW(Structures!$G483)), AllTime1[Helper], 0))</f>
        <v>300</v>
      </c>
      <c r="C488" s="64" t="str">
        <f>TEXT(INDEX(AllTime1[Name], MATCH(SMALL(AllTime1[Helper], ROW(Structures!$G483)), AllTime1[Helper], 0)),"@")</f>
        <v/>
      </c>
      <c r="D488" s="64">
        <f>INDEX(AllTime1[All-time score], MATCH(LARGE(AllTime1[Helper2], ROW(Structures!$G483)), AllTime1[Helper2], 0))</f>
        <v>0</v>
      </c>
      <c r="E488" s="64">
        <f>COUNTIF(_xlfn.XLOOKUP(Table1215[[#This Row],[Name]],Table16[Name],Table16[[September 30, 2025]:[Column18]],,0,1),"&gt;=0")</f>
        <v>0</v>
      </c>
      <c r="F488" s="109" t="str">
        <f>_xlfn.XLOOKUP(Table1215[[#This Row],[Name]],Table1624[Name],Table1624[Totals],,0,1)</f>
        <v>N/A</v>
      </c>
      <c r="G488" s="65" t="str">
        <f>IFERROR(Table1215[[#This Row],[Points]]/Table1215[[#This Row],[GP]],"N/A")</f>
        <v>N/A</v>
      </c>
      <c r="H488" s="64">
        <f>COUNTIF(_xlfn.XLOOKUP(Table1215[[#This Row],[Name]],Table16[Name],Table16[[September 30, 2025]:[Column18]],,0,1),"&gt;=8")</f>
        <v>0</v>
      </c>
      <c r="I488" s="110" t="str">
        <f>IFERROR(AVERAGEIF(_xlfn.XLOOKUP(Table1215[[#This Row],[Name]],Table16[Name],Table16[[September 30, 2025]:[Column18]],,0,1),"&gt;=8"),"N/A")</f>
        <v>N/A</v>
      </c>
      <c r="J488" s="66" t="str">
        <f>IFERROR(Table1215[[#This Row],[FTA]]/Table1215[[#This Row],[GP]],"N/A")</f>
        <v>N/A</v>
      </c>
      <c r="K488" s="67">
        <f>COUNTIF(_xlfn.XLOOKUP(Table1215[[#This Row],[Name]],Table16[Name],Table16[[September 30, 2025]:[Column18]],,0,1),"&gt;=15")</f>
        <v>0</v>
      </c>
    </row>
    <row r="489" spans="2:11">
      <c r="B489" s="82">
        <f>INDEX(AllTime1[All-time rank], MATCH(SMALL(AllTime1[Helper], ROW(Structures!$G484)), AllTime1[Helper], 0))</f>
        <v>300</v>
      </c>
      <c r="C489" s="64" t="str">
        <f>TEXT(INDEX(AllTime1[Name], MATCH(SMALL(AllTime1[Helper], ROW(Structures!$G484)), AllTime1[Helper], 0)),"@")</f>
        <v/>
      </c>
      <c r="D489" s="64">
        <f>INDEX(AllTime1[All-time score], MATCH(LARGE(AllTime1[Helper2], ROW(Structures!$G484)), AllTime1[Helper2], 0))</f>
        <v>0</v>
      </c>
      <c r="E489" s="64">
        <f>COUNTIF(_xlfn.XLOOKUP(Table1215[[#This Row],[Name]],Table16[Name],Table16[[September 30, 2025]:[Column18]],,0,1),"&gt;=0")</f>
        <v>0</v>
      </c>
      <c r="F489" s="109" t="str">
        <f>_xlfn.XLOOKUP(Table1215[[#This Row],[Name]],Table1624[Name],Table1624[Totals],,0,1)</f>
        <v>N/A</v>
      </c>
      <c r="G489" s="65" t="str">
        <f>IFERROR(Table1215[[#This Row],[Points]]/Table1215[[#This Row],[GP]],"N/A")</f>
        <v>N/A</v>
      </c>
      <c r="H489" s="64">
        <f>COUNTIF(_xlfn.XLOOKUP(Table1215[[#This Row],[Name]],Table16[Name],Table16[[September 30, 2025]:[Column18]],,0,1),"&gt;=8")</f>
        <v>0</v>
      </c>
      <c r="I489" s="110" t="str">
        <f>IFERROR(AVERAGEIF(_xlfn.XLOOKUP(Table1215[[#This Row],[Name]],Table16[Name],Table16[[September 30, 2025]:[Column18]],,0,1),"&gt;=8"),"N/A")</f>
        <v>N/A</v>
      </c>
      <c r="J489" s="66" t="str">
        <f>IFERROR(Table1215[[#This Row],[FTA]]/Table1215[[#This Row],[GP]],"N/A")</f>
        <v>N/A</v>
      </c>
      <c r="K489" s="67">
        <f>COUNTIF(_xlfn.XLOOKUP(Table1215[[#This Row],[Name]],Table16[Name],Table16[[September 30, 2025]:[Column18]],,0,1),"&gt;=15")</f>
        <v>0</v>
      </c>
    </row>
    <row r="490" spans="2:11">
      <c r="B490" s="82">
        <f>INDEX(AllTime1[All-time rank], MATCH(SMALL(AllTime1[Helper], ROW(Structures!$G485)), AllTime1[Helper], 0))</f>
        <v>300</v>
      </c>
      <c r="C490" s="64" t="str">
        <f>TEXT(INDEX(AllTime1[Name], MATCH(SMALL(AllTime1[Helper], ROW(Structures!$G485)), AllTime1[Helper], 0)),"@")</f>
        <v/>
      </c>
      <c r="D490" s="64">
        <f>INDEX(AllTime1[All-time score], MATCH(LARGE(AllTime1[Helper2], ROW(Structures!$G485)), AllTime1[Helper2], 0))</f>
        <v>0</v>
      </c>
      <c r="E490" s="64">
        <f>COUNTIF(_xlfn.XLOOKUP(Table1215[[#This Row],[Name]],Table16[Name],Table16[[September 30, 2025]:[Column18]],,0,1),"&gt;=0")</f>
        <v>0</v>
      </c>
      <c r="F490" s="109" t="str">
        <f>_xlfn.XLOOKUP(Table1215[[#This Row],[Name]],Table1624[Name],Table1624[Totals],,0,1)</f>
        <v>N/A</v>
      </c>
      <c r="G490" s="65" t="str">
        <f>IFERROR(Table1215[[#This Row],[Points]]/Table1215[[#This Row],[GP]],"N/A")</f>
        <v>N/A</v>
      </c>
      <c r="H490" s="64">
        <f>COUNTIF(_xlfn.XLOOKUP(Table1215[[#This Row],[Name]],Table16[Name],Table16[[September 30, 2025]:[Column18]],,0,1),"&gt;=8")</f>
        <v>0</v>
      </c>
      <c r="I490" s="110" t="str">
        <f>IFERROR(AVERAGEIF(_xlfn.XLOOKUP(Table1215[[#This Row],[Name]],Table16[Name],Table16[[September 30, 2025]:[Column18]],,0,1),"&gt;=8"),"N/A")</f>
        <v>N/A</v>
      </c>
      <c r="J490" s="66" t="str">
        <f>IFERROR(Table1215[[#This Row],[FTA]]/Table1215[[#This Row],[GP]],"N/A")</f>
        <v>N/A</v>
      </c>
      <c r="K490" s="67">
        <f>COUNTIF(_xlfn.XLOOKUP(Table1215[[#This Row],[Name]],Table16[Name],Table16[[September 30, 2025]:[Column18]],,0,1),"&gt;=15")</f>
        <v>0</v>
      </c>
    </row>
    <row r="491" spans="2:11">
      <c r="B491" s="82">
        <f>INDEX(AllTime1[All-time rank], MATCH(SMALL(AllTime1[Helper], ROW(Structures!$G486)), AllTime1[Helper], 0))</f>
        <v>300</v>
      </c>
      <c r="C491" s="64" t="str">
        <f>TEXT(INDEX(AllTime1[Name], MATCH(SMALL(AllTime1[Helper], ROW(Structures!$G486)), AllTime1[Helper], 0)),"@")</f>
        <v/>
      </c>
      <c r="D491" s="64">
        <f>INDEX(AllTime1[All-time score], MATCH(LARGE(AllTime1[Helper2], ROW(Structures!$G486)), AllTime1[Helper2], 0))</f>
        <v>0</v>
      </c>
      <c r="E491" s="64">
        <f>COUNTIF(_xlfn.XLOOKUP(Table1215[[#This Row],[Name]],Table16[Name],Table16[[September 30, 2025]:[Column18]],,0,1),"&gt;=0")</f>
        <v>0</v>
      </c>
      <c r="F491" s="109" t="str">
        <f>_xlfn.XLOOKUP(Table1215[[#This Row],[Name]],Table1624[Name],Table1624[Totals],,0,1)</f>
        <v>N/A</v>
      </c>
      <c r="G491" s="65" t="str">
        <f>IFERROR(Table1215[[#This Row],[Points]]/Table1215[[#This Row],[GP]],"N/A")</f>
        <v>N/A</v>
      </c>
      <c r="H491" s="64">
        <f>COUNTIF(_xlfn.XLOOKUP(Table1215[[#This Row],[Name]],Table16[Name],Table16[[September 30, 2025]:[Column18]],,0,1),"&gt;=8")</f>
        <v>0</v>
      </c>
      <c r="I491" s="110" t="str">
        <f>IFERROR(AVERAGEIF(_xlfn.XLOOKUP(Table1215[[#This Row],[Name]],Table16[Name],Table16[[September 30, 2025]:[Column18]],,0,1),"&gt;=8"),"N/A")</f>
        <v>N/A</v>
      </c>
      <c r="J491" s="66" t="str">
        <f>IFERROR(Table1215[[#This Row],[FTA]]/Table1215[[#This Row],[GP]],"N/A")</f>
        <v>N/A</v>
      </c>
      <c r="K491" s="67">
        <f>COUNTIF(_xlfn.XLOOKUP(Table1215[[#This Row],[Name]],Table16[Name],Table16[[September 30, 2025]:[Column18]],,0,1),"&gt;=15")</f>
        <v>0</v>
      </c>
    </row>
    <row r="492" spans="2:11">
      <c r="B492" s="82">
        <f>INDEX(AllTime1[All-time rank], MATCH(SMALL(AllTime1[Helper], ROW(Structures!$G487)), AllTime1[Helper], 0))</f>
        <v>300</v>
      </c>
      <c r="C492" s="64" t="str">
        <f>TEXT(INDEX(AllTime1[Name], MATCH(SMALL(AllTime1[Helper], ROW(Structures!$G487)), AllTime1[Helper], 0)),"@")</f>
        <v/>
      </c>
      <c r="D492" s="64">
        <f>INDEX(AllTime1[All-time score], MATCH(LARGE(AllTime1[Helper2], ROW(Structures!$G487)), AllTime1[Helper2], 0))</f>
        <v>0</v>
      </c>
      <c r="E492" s="64">
        <f>COUNTIF(_xlfn.XLOOKUP(Table1215[[#This Row],[Name]],Table16[Name],Table16[[September 30, 2025]:[Column18]],,0,1),"&gt;=0")</f>
        <v>0</v>
      </c>
      <c r="F492" s="109" t="str">
        <f>_xlfn.XLOOKUP(Table1215[[#This Row],[Name]],Table1624[Name],Table1624[Totals],,0,1)</f>
        <v>N/A</v>
      </c>
      <c r="G492" s="65" t="str">
        <f>IFERROR(Table1215[[#This Row],[Points]]/Table1215[[#This Row],[GP]],"N/A")</f>
        <v>N/A</v>
      </c>
      <c r="H492" s="64">
        <f>COUNTIF(_xlfn.XLOOKUP(Table1215[[#This Row],[Name]],Table16[Name],Table16[[September 30, 2025]:[Column18]],,0,1),"&gt;=8")</f>
        <v>0</v>
      </c>
      <c r="I492" s="110" t="str">
        <f>IFERROR(AVERAGEIF(_xlfn.XLOOKUP(Table1215[[#This Row],[Name]],Table16[Name],Table16[[September 30, 2025]:[Column18]],,0,1),"&gt;=8"),"N/A")</f>
        <v>N/A</v>
      </c>
      <c r="J492" s="66" t="str">
        <f>IFERROR(Table1215[[#This Row],[FTA]]/Table1215[[#This Row],[GP]],"N/A")</f>
        <v>N/A</v>
      </c>
      <c r="K492" s="67">
        <f>COUNTIF(_xlfn.XLOOKUP(Table1215[[#This Row],[Name]],Table16[Name],Table16[[September 30, 2025]:[Column18]],,0,1),"&gt;=15")</f>
        <v>0</v>
      </c>
    </row>
    <row r="493" spans="2:11">
      <c r="B493" s="82">
        <f>INDEX(AllTime1[All-time rank], MATCH(SMALL(AllTime1[Helper], ROW(Structures!$G488)), AllTime1[Helper], 0))</f>
        <v>300</v>
      </c>
      <c r="C493" s="64" t="str">
        <f>TEXT(INDEX(AllTime1[Name], MATCH(SMALL(AllTime1[Helper], ROW(Structures!$G488)), AllTime1[Helper], 0)),"@")</f>
        <v/>
      </c>
      <c r="D493" s="64">
        <f>INDEX(AllTime1[All-time score], MATCH(LARGE(AllTime1[Helper2], ROW(Structures!$G488)), AllTime1[Helper2], 0))</f>
        <v>0</v>
      </c>
      <c r="E493" s="64">
        <f>COUNTIF(_xlfn.XLOOKUP(Table1215[[#This Row],[Name]],Table16[Name],Table16[[September 30, 2025]:[Column18]],,0,1),"&gt;=0")</f>
        <v>0</v>
      </c>
      <c r="F493" s="109" t="str">
        <f>_xlfn.XLOOKUP(Table1215[[#This Row],[Name]],Table1624[Name],Table1624[Totals],,0,1)</f>
        <v>N/A</v>
      </c>
      <c r="G493" s="65" t="str">
        <f>IFERROR(Table1215[[#This Row],[Points]]/Table1215[[#This Row],[GP]],"N/A")</f>
        <v>N/A</v>
      </c>
      <c r="H493" s="64">
        <f>COUNTIF(_xlfn.XLOOKUP(Table1215[[#This Row],[Name]],Table16[Name],Table16[[September 30, 2025]:[Column18]],,0,1),"&gt;=8")</f>
        <v>0</v>
      </c>
      <c r="I493" s="110" t="str">
        <f>IFERROR(AVERAGEIF(_xlfn.XLOOKUP(Table1215[[#This Row],[Name]],Table16[Name],Table16[[September 30, 2025]:[Column18]],,0,1),"&gt;=8"),"N/A")</f>
        <v>N/A</v>
      </c>
      <c r="J493" s="66" t="str">
        <f>IFERROR(Table1215[[#This Row],[FTA]]/Table1215[[#This Row],[GP]],"N/A")</f>
        <v>N/A</v>
      </c>
      <c r="K493" s="67">
        <f>COUNTIF(_xlfn.XLOOKUP(Table1215[[#This Row],[Name]],Table16[Name],Table16[[September 30, 2025]:[Column18]],,0,1),"&gt;=15")</f>
        <v>0</v>
      </c>
    </row>
    <row r="494" spans="2:11">
      <c r="B494" s="82">
        <f>INDEX(AllTime1[All-time rank], MATCH(SMALL(AllTime1[Helper], ROW(Structures!$G489)), AllTime1[Helper], 0))</f>
        <v>300</v>
      </c>
      <c r="C494" s="64" t="str">
        <f>TEXT(INDEX(AllTime1[Name], MATCH(SMALL(AllTime1[Helper], ROW(Structures!$G489)), AllTime1[Helper], 0)),"@")</f>
        <v/>
      </c>
      <c r="D494" s="64">
        <f>INDEX(AllTime1[All-time score], MATCH(LARGE(AllTime1[Helper2], ROW(Structures!$G489)), AllTime1[Helper2], 0))</f>
        <v>0</v>
      </c>
      <c r="E494" s="64">
        <f>COUNTIF(_xlfn.XLOOKUP(Table1215[[#This Row],[Name]],Table16[Name],Table16[[September 30, 2025]:[Column18]],,0,1),"&gt;=0")</f>
        <v>0</v>
      </c>
      <c r="F494" s="109" t="str">
        <f>_xlfn.XLOOKUP(Table1215[[#This Row],[Name]],Table1624[Name],Table1624[Totals],,0,1)</f>
        <v>N/A</v>
      </c>
      <c r="G494" s="65" t="str">
        <f>IFERROR(Table1215[[#This Row],[Points]]/Table1215[[#This Row],[GP]],"N/A")</f>
        <v>N/A</v>
      </c>
      <c r="H494" s="64">
        <f>COUNTIF(_xlfn.XLOOKUP(Table1215[[#This Row],[Name]],Table16[Name],Table16[[September 30, 2025]:[Column18]],,0,1),"&gt;=8")</f>
        <v>0</v>
      </c>
      <c r="I494" s="110" t="str">
        <f>IFERROR(AVERAGEIF(_xlfn.XLOOKUP(Table1215[[#This Row],[Name]],Table16[Name],Table16[[September 30, 2025]:[Column18]],,0,1),"&gt;=8"),"N/A")</f>
        <v>N/A</v>
      </c>
      <c r="J494" s="66" t="str">
        <f>IFERROR(Table1215[[#This Row],[FTA]]/Table1215[[#This Row],[GP]],"N/A")</f>
        <v>N/A</v>
      </c>
      <c r="K494" s="67">
        <f>COUNTIF(_xlfn.XLOOKUP(Table1215[[#This Row],[Name]],Table16[Name],Table16[[September 30, 2025]:[Column18]],,0,1),"&gt;=15")</f>
        <v>0</v>
      </c>
    </row>
    <row r="495" spans="2:11">
      <c r="B495" s="82">
        <f>INDEX(AllTime1[All-time rank], MATCH(SMALL(AllTime1[Helper], ROW(Structures!$G490)), AllTime1[Helper], 0))</f>
        <v>300</v>
      </c>
      <c r="C495" s="64" t="str">
        <f>TEXT(INDEX(AllTime1[Name], MATCH(SMALL(AllTime1[Helper], ROW(Structures!$G490)), AllTime1[Helper], 0)),"@")</f>
        <v/>
      </c>
      <c r="D495" s="64">
        <f>INDEX(AllTime1[All-time score], MATCH(LARGE(AllTime1[Helper2], ROW(Structures!$G490)), AllTime1[Helper2], 0))</f>
        <v>0</v>
      </c>
      <c r="E495" s="64">
        <f>COUNTIF(_xlfn.XLOOKUP(Table1215[[#This Row],[Name]],Table16[Name],Table16[[September 30, 2025]:[Column18]],,0,1),"&gt;=0")</f>
        <v>0</v>
      </c>
      <c r="F495" s="109" t="str">
        <f>_xlfn.XLOOKUP(Table1215[[#This Row],[Name]],Table1624[Name],Table1624[Totals],,0,1)</f>
        <v>N/A</v>
      </c>
      <c r="G495" s="65" t="str">
        <f>IFERROR(Table1215[[#This Row],[Points]]/Table1215[[#This Row],[GP]],"N/A")</f>
        <v>N/A</v>
      </c>
      <c r="H495" s="64">
        <f>COUNTIF(_xlfn.XLOOKUP(Table1215[[#This Row],[Name]],Table16[Name],Table16[[September 30, 2025]:[Column18]],,0,1),"&gt;=8")</f>
        <v>0</v>
      </c>
      <c r="I495" s="110" t="str">
        <f>IFERROR(AVERAGEIF(_xlfn.XLOOKUP(Table1215[[#This Row],[Name]],Table16[Name],Table16[[September 30, 2025]:[Column18]],,0,1),"&gt;=8"),"N/A")</f>
        <v>N/A</v>
      </c>
      <c r="J495" s="66" t="str">
        <f>IFERROR(Table1215[[#This Row],[FTA]]/Table1215[[#This Row],[GP]],"N/A")</f>
        <v>N/A</v>
      </c>
      <c r="K495" s="67">
        <f>COUNTIF(_xlfn.XLOOKUP(Table1215[[#This Row],[Name]],Table16[Name],Table16[[September 30, 2025]:[Column18]],,0,1),"&gt;=15")</f>
        <v>0</v>
      </c>
    </row>
    <row r="496" spans="2:11">
      <c r="B496" s="82">
        <f>INDEX(AllTime1[All-time rank], MATCH(SMALL(AllTime1[Helper], ROW(Structures!$G491)), AllTime1[Helper], 0))</f>
        <v>300</v>
      </c>
      <c r="C496" s="64" t="str">
        <f>TEXT(INDEX(AllTime1[Name], MATCH(SMALL(AllTime1[Helper], ROW(Structures!$G491)), AllTime1[Helper], 0)),"@")</f>
        <v/>
      </c>
      <c r="D496" s="64">
        <f>INDEX(AllTime1[All-time score], MATCH(LARGE(AllTime1[Helper2], ROW(Structures!$G491)), AllTime1[Helper2], 0))</f>
        <v>0</v>
      </c>
      <c r="E496" s="64">
        <f>COUNTIF(_xlfn.XLOOKUP(Table1215[[#This Row],[Name]],Table16[Name],Table16[[September 30, 2025]:[Column18]],,0,1),"&gt;=0")</f>
        <v>0</v>
      </c>
      <c r="F496" s="109" t="str">
        <f>_xlfn.XLOOKUP(Table1215[[#This Row],[Name]],Table1624[Name],Table1624[Totals],,0,1)</f>
        <v>N/A</v>
      </c>
      <c r="G496" s="65" t="str">
        <f>IFERROR(Table1215[[#This Row],[Points]]/Table1215[[#This Row],[GP]],"N/A")</f>
        <v>N/A</v>
      </c>
      <c r="H496" s="64">
        <f>COUNTIF(_xlfn.XLOOKUP(Table1215[[#This Row],[Name]],Table16[Name],Table16[[September 30, 2025]:[Column18]],,0,1),"&gt;=8")</f>
        <v>0</v>
      </c>
      <c r="I496" s="110" t="str">
        <f>IFERROR(AVERAGEIF(_xlfn.XLOOKUP(Table1215[[#This Row],[Name]],Table16[Name],Table16[[September 30, 2025]:[Column18]],,0,1),"&gt;=8"),"N/A")</f>
        <v>N/A</v>
      </c>
      <c r="J496" s="66" t="str">
        <f>IFERROR(Table1215[[#This Row],[FTA]]/Table1215[[#This Row],[GP]],"N/A")</f>
        <v>N/A</v>
      </c>
      <c r="K496" s="67">
        <f>COUNTIF(_xlfn.XLOOKUP(Table1215[[#This Row],[Name]],Table16[Name],Table16[[September 30, 2025]:[Column18]],,0,1),"&gt;=15")</f>
        <v>0</v>
      </c>
    </row>
    <row r="497" spans="2:11">
      <c r="B497" s="82">
        <f>INDEX(AllTime1[All-time rank], MATCH(SMALL(AllTime1[Helper], ROW(Structures!$G492)), AllTime1[Helper], 0))</f>
        <v>300</v>
      </c>
      <c r="C497" s="64" t="str">
        <f>TEXT(INDEX(AllTime1[Name], MATCH(SMALL(AllTime1[Helper], ROW(Structures!$G492)), AllTime1[Helper], 0)),"@")</f>
        <v/>
      </c>
      <c r="D497" s="64">
        <f>INDEX(AllTime1[All-time score], MATCH(LARGE(AllTime1[Helper2], ROW(Structures!$G492)), AllTime1[Helper2], 0))</f>
        <v>0</v>
      </c>
      <c r="E497" s="64">
        <f>COUNTIF(_xlfn.XLOOKUP(Table1215[[#This Row],[Name]],Table16[Name],Table16[[September 30, 2025]:[Column18]],,0,1),"&gt;=0")</f>
        <v>0</v>
      </c>
      <c r="F497" s="109" t="str">
        <f>_xlfn.XLOOKUP(Table1215[[#This Row],[Name]],Table1624[Name],Table1624[Totals],,0,1)</f>
        <v>N/A</v>
      </c>
      <c r="G497" s="65" t="str">
        <f>IFERROR(Table1215[[#This Row],[Points]]/Table1215[[#This Row],[GP]],"N/A")</f>
        <v>N/A</v>
      </c>
      <c r="H497" s="64">
        <f>COUNTIF(_xlfn.XLOOKUP(Table1215[[#This Row],[Name]],Table16[Name],Table16[[September 30, 2025]:[Column18]],,0,1),"&gt;=8")</f>
        <v>0</v>
      </c>
      <c r="I497" s="110" t="str">
        <f>IFERROR(AVERAGEIF(_xlfn.XLOOKUP(Table1215[[#This Row],[Name]],Table16[Name],Table16[[September 30, 2025]:[Column18]],,0,1),"&gt;=8"),"N/A")</f>
        <v>N/A</v>
      </c>
      <c r="J497" s="66" t="str">
        <f>IFERROR(Table1215[[#This Row],[FTA]]/Table1215[[#This Row],[GP]],"N/A")</f>
        <v>N/A</v>
      </c>
      <c r="K497" s="67">
        <f>COUNTIF(_xlfn.XLOOKUP(Table1215[[#This Row],[Name]],Table16[Name],Table16[[September 30, 2025]:[Column18]],,0,1),"&gt;=15")</f>
        <v>0</v>
      </c>
    </row>
    <row r="498" spans="2:11">
      <c r="B498" s="82">
        <f>INDEX(AllTime1[All-time rank], MATCH(SMALL(AllTime1[Helper], ROW(Structures!$G493)), AllTime1[Helper], 0))</f>
        <v>300</v>
      </c>
      <c r="C498" s="64" t="str">
        <f>TEXT(INDEX(AllTime1[Name], MATCH(SMALL(AllTime1[Helper], ROW(Structures!$G493)), AllTime1[Helper], 0)),"@")</f>
        <v/>
      </c>
      <c r="D498" s="64">
        <f>INDEX(AllTime1[All-time score], MATCH(LARGE(AllTime1[Helper2], ROW(Structures!$G493)), AllTime1[Helper2], 0))</f>
        <v>0</v>
      </c>
      <c r="E498" s="64">
        <f>COUNTIF(_xlfn.XLOOKUP(Table1215[[#This Row],[Name]],Table16[Name],Table16[[September 30, 2025]:[Column18]],,0,1),"&gt;=0")</f>
        <v>0</v>
      </c>
      <c r="F498" s="109" t="str">
        <f>_xlfn.XLOOKUP(Table1215[[#This Row],[Name]],Table1624[Name],Table1624[Totals],,0,1)</f>
        <v>N/A</v>
      </c>
      <c r="G498" s="65" t="str">
        <f>IFERROR(Table1215[[#This Row],[Points]]/Table1215[[#This Row],[GP]],"N/A")</f>
        <v>N/A</v>
      </c>
      <c r="H498" s="64">
        <f>COUNTIF(_xlfn.XLOOKUP(Table1215[[#This Row],[Name]],Table16[Name],Table16[[September 30, 2025]:[Column18]],,0,1),"&gt;=8")</f>
        <v>0</v>
      </c>
      <c r="I498" s="110" t="str">
        <f>IFERROR(AVERAGEIF(_xlfn.XLOOKUP(Table1215[[#This Row],[Name]],Table16[Name],Table16[[September 30, 2025]:[Column18]],,0,1),"&gt;=8"),"N/A")</f>
        <v>N/A</v>
      </c>
      <c r="J498" s="66" t="str">
        <f>IFERROR(Table1215[[#This Row],[FTA]]/Table1215[[#This Row],[GP]],"N/A")</f>
        <v>N/A</v>
      </c>
      <c r="K498" s="67">
        <f>COUNTIF(_xlfn.XLOOKUP(Table1215[[#This Row],[Name]],Table16[Name],Table16[[September 30, 2025]:[Column18]],,0,1),"&gt;=15")</f>
        <v>0</v>
      </c>
    </row>
    <row r="499" spans="2:11">
      <c r="B499" s="82">
        <f>INDEX(AllTime1[All-time rank], MATCH(SMALL(AllTime1[Helper], ROW(Structures!$G494)), AllTime1[Helper], 0))</f>
        <v>300</v>
      </c>
      <c r="C499" s="64" t="str">
        <f>TEXT(INDEX(AllTime1[Name], MATCH(SMALL(AllTime1[Helper], ROW(Structures!$G494)), AllTime1[Helper], 0)),"@")</f>
        <v/>
      </c>
      <c r="D499" s="64">
        <f>INDEX(AllTime1[All-time score], MATCH(LARGE(AllTime1[Helper2], ROW(Structures!$G494)), AllTime1[Helper2], 0))</f>
        <v>0</v>
      </c>
      <c r="E499" s="64">
        <f>COUNTIF(_xlfn.XLOOKUP(Table1215[[#This Row],[Name]],Table16[Name],Table16[[September 30, 2025]:[Column18]],,0,1),"&gt;=0")</f>
        <v>0</v>
      </c>
      <c r="F499" s="109" t="str">
        <f>_xlfn.XLOOKUP(Table1215[[#This Row],[Name]],Table1624[Name],Table1624[Totals],,0,1)</f>
        <v>N/A</v>
      </c>
      <c r="G499" s="65" t="str">
        <f>IFERROR(Table1215[[#This Row],[Points]]/Table1215[[#This Row],[GP]],"N/A")</f>
        <v>N/A</v>
      </c>
      <c r="H499" s="64">
        <f>COUNTIF(_xlfn.XLOOKUP(Table1215[[#This Row],[Name]],Table16[Name],Table16[[September 30, 2025]:[Column18]],,0,1),"&gt;=8")</f>
        <v>0</v>
      </c>
      <c r="I499" s="110" t="str">
        <f>IFERROR(AVERAGEIF(_xlfn.XLOOKUP(Table1215[[#This Row],[Name]],Table16[Name],Table16[[September 30, 2025]:[Column18]],,0,1),"&gt;=8"),"N/A")</f>
        <v>N/A</v>
      </c>
      <c r="J499" s="66" t="str">
        <f>IFERROR(Table1215[[#This Row],[FTA]]/Table1215[[#This Row],[GP]],"N/A")</f>
        <v>N/A</v>
      </c>
      <c r="K499" s="67">
        <f>COUNTIF(_xlfn.XLOOKUP(Table1215[[#This Row],[Name]],Table16[Name],Table16[[September 30, 2025]:[Column18]],,0,1),"&gt;=15")</f>
        <v>0</v>
      </c>
    </row>
    <row r="500" spans="2:11">
      <c r="B500" s="82">
        <f>INDEX(AllTime1[All-time rank], MATCH(SMALL(AllTime1[Helper], ROW(Structures!$G495)), AllTime1[Helper], 0))</f>
        <v>300</v>
      </c>
      <c r="C500" s="64" t="str">
        <f>TEXT(INDEX(AllTime1[Name], MATCH(SMALL(AllTime1[Helper], ROW(Structures!$G495)), AllTime1[Helper], 0)),"@")</f>
        <v/>
      </c>
      <c r="D500" s="64">
        <f>INDEX(AllTime1[All-time score], MATCH(LARGE(AllTime1[Helper2], ROW(Structures!$G495)), AllTime1[Helper2], 0))</f>
        <v>0</v>
      </c>
      <c r="E500" s="64">
        <f>COUNTIF(_xlfn.XLOOKUP(Table1215[[#This Row],[Name]],Table16[Name],Table16[[September 30, 2025]:[Column18]],,0,1),"&gt;=0")</f>
        <v>0</v>
      </c>
      <c r="F500" s="109" t="str">
        <f>_xlfn.XLOOKUP(Table1215[[#This Row],[Name]],Table1624[Name],Table1624[Totals],,0,1)</f>
        <v>N/A</v>
      </c>
      <c r="G500" s="65" t="str">
        <f>IFERROR(Table1215[[#This Row],[Points]]/Table1215[[#This Row],[GP]],"N/A")</f>
        <v>N/A</v>
      </c>
      <c r="H500" s="64">
        <f>COUNTIF(_xlfn.XLOOKUP(Table1215[[#This Row],[Name]],Table16[Name],Table16[[September 30, 2025]:[Column18]],,0,1),"&gt;=8")</f>
        <v>0</v>
      </c>
      <c r="I500" s="110" t="str">
        <f>IFERROR(AVERAGEIF(_xlfn.XLOOKUP(Table1215[[#This Row],[Name]],Table16[Name],Table16[[September 30, 2025]:[Column18]],,0,1),"&gt;=8"),"N/A")</f>
        <v>N/A</v>
      </c>
      <c r="J500" s="66" t="str">
        <f>IFERROR(Table1215[[#This Row],[FTA]]/Table1215[[#This Row],[GP]],"N/A")</f>
        <v>N/A</v>
      </c>
      <c r="K500" s="67">
        <f>COUNTIF(_xlfn.XLOOKUP(Table1215[[#This Row],[Name]],Table16[Name],Table16[[September 30, 2025]:[Column18]],,0,1),"&gt;=15")</f>
        <v>0</v>
      </c>
    </row>
    <row r="501" spans="2:11">
      <c r="B501" s="82">
        <f>INDEX(AllTime1[All-time rank], MATCH(SMALL(AllTime1[Helper], ROW(Structures!$G496)), AllTime1[Helper], 0))</f>
        <v>300</v>
      </c>
      <c r="C501" s="64" t="str">
        <f>TEXT(INDEX(AllTime1[Name], MATCH(SMALL(AllTime1[Helper], ROW(Structures!$G496)), AllTime1[Helper], 0)),"@")</f>
        <v/>
      </c>
      <c r="D501" s="64">
        <f>INDEX(AllTime1[All-time score], MATCH(LARGE(AllTime1[Helper2], ROW(Structures!$G496)), AllTime1[Helper2], 0))</f>
        <v>0</v>
      </c>
      <c r="E501" s="64">
        <f>COUNTIF(_xlfn.XLOOKUP(Table1215[[#This Row],[Name]],Table16[Name],Table16[[September 30, 2025]:[Column18]],,0,1),"&gt;=0")</f>
        <v>0</v>
      </c>
      <c r="F501" s="109" t="str">
        <f>_xlfn.XLOOKUP(Table1215[[#This Row],[Name]],Table1624[Name],Table1624[Totals],,0,1)</f>
        <v>N/A</v>
      </c>
      <c r="G501" s="65" t="str">
        <f>IFERROR(Table1215[[#This Row],[Points]]/Table1215[[#This Row],[GP]],"N/A")</f>
        <v>N/A</v>
      </c>
      <c r="H501" s="64">
        <f>COUNTIF(_xlfn.XLOOKUP(Table1215[[#This Row],[Name]],Table16[Name],Table16[[September 30, 2025]:[Column18]],,0,1),"&gt;=8")</f>
        <v>0</v>
      </c>
      <c r="I501" s="110" t="str">
        <f>IFERROR(AVERAGEIF(_xlfn.XLOOKUP(Table1215[[#This Row],[Name]],Table16[Name],Table16[[September 30, 2025]:[Column18]],,0,1),"&gt;=8"),"N/A")</f>
        <v>N/A</v>
      </c>
      <c r="J501" s="66" t="str">
        <f>IFERROR(Table1215[[#This Row],[FTA]]/Table1215[[#This Row],[GP]],"N/A")</f>
        <v>N/A</v>
      </c>
      <c r="K501" s="67">
        <f>COUNTIF(_xlfn.XLOOKUP(Table1215[[#This Row],[Name]],Table16[Name],Table16[[September 30, 2025]:[Column18]],,0,1),"&gt;=15")</f>
        <v>0</v>
      </c>
    </row>
    <row r="502" spans="2:11">
      <c r="B502" s="82">
        <f>INDEX(AllTime1[All-time rank], MATCH(SMALL(AllTime1[Helper], ROW(Structures!$G497)), AllTime1[Helper], 0))</f>
        <v>300</v>
      </c>
      <c r="C502" s="64" t="str">
        <f>TEXT(INDEX(AllTime1[Name], MATCH(SMALL(AllTime1[Helper], ROW(Structures!$G497)), AllTime1[Helper], 0)),"@")</f>
        <v/>
      </c>
      <c r="D502" s="64">
        <f>INDEX(AllTime1[All-time score], MATCH(LARGE(AllTime1[Helper2], ROW(Structures!$G497)), AllTime1[Helper2], 0))</f>
        <v>0</v>
      </c>
      <c r="E502" s="64">
        <f>COUNTIF(_xlfn.XLOOKUP(Table1215[[#This Row],[Name]],Table16[Name],Table16[[September 30, 2025]:[Column18]],,0,1),"&gt;=0")</f>
        <v>0</v>
      </c>
      <c r="F502" s="109" t="str">
        <f>_xlfn.XLOOKUP(Table1215[[#This Row],[Name]],Table1624[Name],Table1624[Totals],,0,1)</f>
        <v>N/A</v>
      </c>
      <c r="G502" s="65" t="str">
        <f>IFERROR(Table1215[[#This Row],[Points]]/Table1215[[#This Row],[GP]],"N/A")</f>
        <v>N/A</v>
      </c>
      <c r="H502" s="64">
        <f>COUNTIF(_xlfn.XLOOKUP(Table1215[[#This Row],[Name]],Table16[Name],Table16[[September 30, 2025]:[Column18]],,0,1),"&gt;=8")</f>
        <v>0</v>
      </c>
      <c r="I502" s="110" t="str">
        <f>IFERROR(AVERAGEIF(_xlfn.XLOOKUP(Table1215[[#This Row],[Name]],Table16[Name],Table16[[September 30, 2025]:[Column18]],,0,1),"&gt;=8"),"N/A")</f>
        <v>N/A</v>
      </c>
      <c r="J502" s="66" t="str">
        <f>IFERROR(Table1215[[#This Row],[FTA]]/Table1215[[#This Row],[GP]],"N/A")</f>
        <v>N/A</v>
      </c>
      <c r="K502" s="67">
        <f>COUNTIF(_xlfn.XLOOKUP(Table1215[[#This Row],[Name]],Table16[Name],Table16[[September 30, 2025]:[Column18]],,0,1),"&gt;=15")</f>
        <v>0</v>
      </c>
    </row>
    <row r="503" spans="2:11">
      <c r="B503" s="82">
        <f>INDEX(AllTime1[All-time rank], MATCH(SMALL(AllTime1[Helper], ROW(Structures!$G498)), AllTime1[Helper], 0))</f>
        <v>300</v>
      </c>
      <c r="C503" s="64" t="str">
        <f>TEXT(INDEX(AllTime1[Name], MATCH(SMALL(AllTime1[Helper], ROW(Structures!$G498)), AllTime1[Helper], 0)),"@")</f>
        <v/>
      </c>
      <c r="D503" s="64">
        <f>INDEX(AllTime1[All-time score], MATCH(LARGE(AllTime1[Helper2], ROW(Structures!$G498)), AllTime1[Helper2], 0))</f>
        <v>0</v>
      </c>
      <c r="E503" s="64">
        <f>COUNTIF(_xlfn.XLOOKUP(Table1215[[#This Row],[Name]],Table16[Name],Table16[[September 30, 2025]:[Column18]],,0,1),"&gt;=0")</f>
        <v>0</v>
      </c>
      <c r="F503" s="109" t="str">
        <f>_xlfn.XLOOKUP(Table1215[[#This Row],[Name]],Table1624[Name],Table1624[Totals],,0,1)</f>
        <v>N/A</v>
      </c>
      <c r="G503" s="65" t="str">
        <f>IFERROR(Table1215[[#This Row],[Points]]/Table1215[[#This Row],[GP]],"N/A")</f>
        <v>N/A</v>
      </c>
      <c r="H503" s="64">
        <f>COUNTIF(_xlfn.XLOOKUP(Table1215[[#This Row],[Name]],Table16[Name],Table16[[September 30, 2025]:[Column18]],,0,1),"&gt;=8")</f>
        <v>0</v>
      </c>
      <c r="I503" s="110" t="str">
        <f>IFERROR(AVERAGEIF(_xlfn.XLOOKUP(Table1215[[#This Row],[Name]],Table16[Name],Table16[[September 30, 2025]:[Column18]],,0,1),"&gt;=8"),"N/A")</f>
        <v>N/A</v>
      </c>
      <c r="J503" s="66" t="str">
        <f>IFERROR(Table1215[[#This Row],[FTA]]/Table1215[[#This Row],[GP]],"N/A")</f>
        <v>N/A</v>
      </c>
      <c r="K503" s="67">
        <f>COUNTIF(_xlfn.XLOOKUP(Table1215[[#This Row],[Name]],Table16[Name],Table16[[September 30, 2025]:[Column18]],,0,1),"&gt;=15")</f>
        <v>0</v>
      </c>
    </row>
    <row r="504" spans="2:11">
      <c r="B504" s="82">
        <f>INDEX(AllTime1[All-time rank], MATCH(SMALL(AllTime1[Helper], ROW(Structures!$G499)), AllTime1[Helper], 0))</f>
        <v>300</v>
      </c>
      <c r="C504" s="64" t="str">
        <f>TEXT(INDEX(AllTime1[Name], MATCH(SMALL(AllTime1[Helper], ROW(Structures!$G499)), AllTime1[Helper], 0)),"@")</f>
        <v/>
      </c>
      <c r="D504" s="64">
        <f>INDEX(AllTime1[All-time score], MATCH(LARGE(AllTime1[Helper2], ROW(Structures!$G499)), AllTime1[Helper2], 0))</f>
        <v>0</v>
      </c>
      <c r="E504" s="64">
        <f>COUNTIF(_xlfn.XLOOKUP(Table1215[[#This Row],[Name]],Table16[Name],Table16[[September 30, 2025]:[Column18]],,0,1),"&gt;=0")</f>
        <v>0</v>
      </c>
      <c r="F504" s="109" t="str">
        <f>_xlfn.XLOOKUP(Table1215[[#This Row],[Name]],Table1624[Name],Table1624[Totals],,0,1)</f>
        <v>N/A</v>
      </c>
      <c r="G504" s="65" t="str">
        <f>IFERROR(Table1215[[#This Row],[Points]]/Table1215[[#This Row],[GP]],"N/A")</f>
        <v>N/A</v>
      </c>
      <c r="H504" s="64">
        <f>COUNTIF(_xlfn.XLOOKUP(Table1215[[#This Row],[Name]],Table16[Name],Table16[[September 30, 2025]:[Column18]],,0,1),"&gt;=8")</f>
        <v>0</v>
      </c>
      <c r="I504" s="110" t="str">
        <f>IFERROR(AVERAGEIF(_xlfn.XLOOKUP(Table1215[[#This Row],[Name]],Table16[Name],Table16[[September 30, 2025]:[Column18]],,0,1),"&gt;=8"),"N/A")</f>
        <v>N/A</v>
      </c>
      <c r="J504" s="66" t="str">
        <f>IFERROR(Table1215[[#This Row],[FTA]]/Table1215[[#This Row],[GP]],"N/A")</f>
        <v>N/A</v>
      </c>
      <c r="K504" s="67">
        <f>COUNTIF(_xlfn.XLOOKUP(Table1215[[#This Row],[Name]],Table16[Name],Table16[[September 30, 2025]:[Column18]],,0,1),"&gt;=15")</f>
        <v>0</v>
      </c>
    </row>
    <row r="505" spans="2:11">
      <c r="B505" s="82">
        <f>INDEX(AllTime1[All-time rank], MATCH(SMALL(AllTime1[Helper], ROW(Structures!$G500)), AllTime1[Helper], 0))</f>
        <v>300</v>
      </c>
      <c r="C505" s="64" t="str">
        <f>TEXT(INDEX(AllTime1[Name], MATCH(SMALL(AllTime1[Helper], ROW(Structures!$G500)), AllTime1[Helper], 0)),"@")</f>
        <v/>
      </c>
      <c r="D505" s="64">
        <f>INDEX(AllTime1[All-time score], MATCH(LARGE(AllTime1[Helper2], ROW(Structures!$G500)), AllTime1[Helper2], 0))</f>
        <v>0</v>
      </c>
      <c r="E505" s="64">
        <f>COUNTIF(_xlfn.XLOOKUP(Table1215[[#This Row],[Name]],Table16[Name],Table16[[September 30, 2025]:[Column18]],,0,1),"&gt;=0")</f>
        <v>0</v>
      </c>
      <c r="F505" s="109" t="str">
        <f>_xlfn.XLOOKUP(Table1215[[#This Row],[Name]],Table1624[Name],Table1624[Totals],,0,1)</f>
        <v>N/A</v>
      </c>
      <c r="G505" s="65" t="str">
        <f>IFERROR(Table1215[[#This Row],[Points]]/Table1215[[#This Row],[GP]],"N/A")</f>
        <v>N/A</v>
      </c>
      <c r="H505" s="64">
        <f>COUNTIF(_xlfn.XLOOKUP(Table1215[[#This Row],[Name]],Table16[Name],Table16[[September 30, 2025]:[Column18]],,0,1),"&gt;=8")</f>
        <v>0</v>
      </c>
      <c r="I505" s="110" t="str">
        <f>IFERROR(AVERAGEIF(_xlfn.XLOOKUP(Table1215[[#This Row],[Name]],Table16[Name],Table16[[September 30, 2025]:[Column18]],,0,1),"&gt;=8"),"N/A")</f>
        <v>N/A</v>
      </c>
      <c r="J505" s="66" t="str">
        <f>IFERROR(Table1215[[#This Row],[FTA]]/Table1215[[#This Row],[GP]],"N/A")</f>
        <v>N/A</v>
      </c>
      <c r="K505" s="67">
        <f>COUNTIF(_xlfn.XLOOKUP(Table1215[[#This Row],[Name]],Table16[Name],Table16[[September 30, 2025]:[Column18]],,0,1),"&gt;=15")</f>
        <v>0</v>
      </c>
    </row>
    <row r="506" spans="2:11">
      <c r="B506" s="82">
        <f>INDEX(AllTime1[All-time rank], MATCH(SMALL(AllTime1[Helper], ROW(Structures!$G501)), AllTime1[Helper], 0))</f>
        <v>300</v>
      </c>
      <c r="C506" s="64" t="str">
        <f>TEXT(INDEX(AllTime1[Name], MATCH(SMALL(AllTime1[Helper], ROW(Structures!$G501)), AllTime1[Helper], 0)),"@")</f>
        <v/>
      </c>
      <c r="D506" s="64">
        <f>INDEX(AllTime1[All-time score], MATCH(LARGE(AllTime1[Helper2], ROW(Structures!$G501)), AllTime1[Helper2], 0))</f>
        <v>0</v>
      </c>
      <c r="E506" s="64">
        <f>COUNTIF(_xlfn.XLOOKUP(Table1215[[#This Row],[Name]],Table16[Name],Table16[[September 30, 2025]:[Column18]],,0,1),"&gt;=0")</f>
        <v>0</v>
      </c>
      <c r="F506" s="109" t="str">
        <f>_xlfn.XLOOKUP(Table1215[[#This Row],[Name]],Table1624[Name],Table1624[Totals],,0,1)</f>
        <v>N/A</v>
      </c>
      <c r="G506" s="65" t="str">
        <f>IFERROR(Table1215[[#This Row],[Points]]/Table1215[[#This Row],[GP]],"N/A")</f>
        <v>N/A</v>
      </c>
      <c r="H506" s="64">
        <f>COUNTIF(_xlfn.XLOOKUP(Table1215[[#This Row],[Name]],Table16[Name],Table16[[September 30, 2025]:[Column18]],,0,1),"&gt;=8")</f>
        <v>0</v>
      </c>
      <c r="I506" s="110" t="str">
        <f>IFERROR(AVERAGEIF(_xlfn.XLOOKUP(Table1215[[#This Row],[Name]],Table16[Name],Table16[[September 30, 2025]:[Column18]],,0,1),"&gt;=8"),"N/A")</f>
        <v>N/A</v>
      </c>
      <c r="J506" s="66" t="str">
        <f>IFERROR(Table1215[[#This Row],[FTA]]/Table1215[[#This Row],[GP]],"N/A")</f>
        <v>N/A</v>
      </c>
      <c r="K506" s="67">
        <f>COUNTIF(_xlfn.XLOOKUP(Table1215[[#This Row],[Name]],Table16[Name],Table16[[September 30, 2025]:[Column18]],,0,1),"&gt;=15")</f>
        <v>0</v>
      </c>
    </row>
    <row r="507" spans="2:11">
      <c r="B507" s="82">
        <f>INDEX(AllTime1[All-time rank], MATCH(SMALL(AllTime1[Helper], ROW(Structures!$G502)), AllTime1[Helper], 0))</f>
        <v>300</v>
      </c>
      <c r="C507" s="64" t="str">
        <f>TEXT(INDEX(AllTime1[Name], MATCH(SMALL(AllTime1[Helper], ROW(Structures!$G502)), AllTime1[Helper], 0)),"@")</f>
        <v/>
      </c>
      <c r="D507" s="64">
        <f>INDEX(AllTime1[All-time score], MATCH(LARGE(AllTime1[Helper2], ROW(Structures!$G502)), AllTime1[Helper2], 0))</f>
        <v>0</v>
      </c>
      <c r="E507" s="64">
        <f>COUNTIF(_xlfn.XLOOKUP(Table1215[[#This Row],[Name]],Table16[Name],Table16[[September 30, 2025]:[Column18]],,0,1),"&gt;=0")</f>
        <v>0</v>
      </c>
      <c r="F507" s="109" t="str">
        <f>_xlfn.XLOOKUP(Table1215[[#This Row],[Name]],Table1624[Name],Table1624[Totals],,0,1)</f>
        <v>N/A</v>
      </c>
      <c r="G507" s="65" t="str">
        <f>IFERROR(Table1215[[#This Row],[Points]]/Table1215[[#This Row],[GP]],"N/A")</f>
        <v>N/A</v>
      </c>
      <c r="H507" s="64">
        <f>COUNTIF(_xlfn.XLOOKUP(Table1215[[#This Row],[Name]],Table16[Name],Table16[[September 30, 2025]:[Column18]],,0,1),"&gt;=8")</f>
        <v>0</v>
      </c>
      <c r="I507" s="110" t="str">
        <f>IFERROR(AVERAGEIF(_xlfn.XLOOKUP(Table1215[[#This Row],[Name]],Table16[Name],Table16[[September 30, 2025]:[Column18]],,0,1),"&gt;=8"),"N/A")</f>
        <v>N/A</v>
      </c>
      <c r="J507" s="66" t="str">
        <f>IFERROR(Table1215[[#This Row],[FTA]]/Table1215[[#This Row],[GP]],"N/A")</f>
        <v>N/A</v>
      </c>
      <c r="K507" s="67">
        <f>COUNTIF(_xlfn.XLOOKUP(Table1215[[#This Row],[Name]],Table16[Name],Table16[[September 30, 2025]:[Column18]],,0,1),"&gt;=15")</f>
        <v>0</v>
      </c>
    </row>
    <row r="508" spans="2:11">
      <c r="B508" s="82">
        <f>INDEX(AllTime1[All-time rank], MATCH(SMALL(AllTime1[Helper], ROW(Structures!$G503)), AllTime1[Helper], 0))</f>
        <v>300</v>
      </c>
      <c r="C508" s="64" t="str">
        <f>TEXT(INDEX(AllTime1[Name], MATCH(SMALL(AllTime1[Helper], ROW(Structures!$G503)), AllTime1[Helper], 0)),"@")</f>
        <v/>
      </c>
      <c r="D508" s="64">
        <f>INDEX(AllTime1[All-time score], MATCH(LARGE(AllTime1[Helper2], ROW(Structures!$G503)), AllTime1[Helper2], 0))</f>
        <v>0</v>
      </c>
      <c r="E508" s="64">
        <f>COUNTIF(_xlfn.XLOOKUP(Table1215[[#This Row],[Name]],Table16[Name],Table16[[September 30, 2025]:[Column18]],,0,1),"&gt;=0")</f>
        <v>0</v>
      </c>
      <c r="F508" s="109" t="str">
        <f>_xlfn.XLOOKUP(Table1215[[#This Row],[Name]],Table1624[Name],Table1624[Totals],,0,1)</f>
        <v>N/A</v>
      </c>
      <c r="G508" s="65" t="str">
        <f>IFERROR(Table1215[[#This Row],[Points]]/Table1215[[#This Row],[GP]],"N/A")</f>
        <v>N/A</v>
      </c>
      <c r="H508" s="64">
        <f>COUNTIF(_xlfn.XLOOKUP(Table1215[[#This Row],[Name]],Table16[Name],Table16[[September 30, 2025]:[Column18]],,0,1),"&gt;=8")</f>
        <v>0</v>
      </c>
      <c r="I508" s="110" t="str">
        <f>IFERROR(AVERAGEIF(_xlfn.XLOOKUP(Table1215[[#This Row],[Name]],Table16[Name],Table16[[September 30, 2025]:[Column18]],,0,1),"&gt;=8"),"N/A")</f>
        <v>N/A</v>
      </c>
      <c r="J508" s="66" t="str">
        <f>IFERROR(Table1215[[#This Row],[FTA]]/Table1215[[#This Row],[GP]],"N/A")</f>
        <v>N/A</v>
      </c>
      <c r="K508" s="67">
        <f>COUNTIF(_xlfn.XLOOKUP(Table1215[[#This Row],[Name]],Table16[Name],Table16[[September 30, 2025]:[Column18]],,0,1),"&gt;=15")</f>
        <v>0</v>
      </c>
    </row>
    <row r="509" spans="2:11">
      <c r="B509" s="82">
        <f>INDEX(AllTime1[All-time rank], MATCH(SMALL(AllTime1[Helper], ROW(Structures!$G504)), AllTime1[Helper], 0))</f>
        <v>300</v>
      </c>
      <c r="C509" s="64" t="str">
        <f>TEXT(INDEX(AllTime1[Name], MATCH(SMALL(AllTime1[Helper], ROW(Structures!$G504)), AllTime1[Helper], 0)),"@")</f>
        <v/>
      </c>
      <c r="D509" s="64">
        <f>INDEX(AllTime1[All-time score], MATCH(LARGE(AllTime1[Helper2], ROW(Structures!$G504)), AllTime1[Helper2], 0))</f>
        <v>0</v>
      </c>
      <c r="E509" s="64">
        <f>COUNTIF(_xlfn.XLOOKUP(Table1215[[#This Row],[Name]],Table16[Name],Table16[[September 30, 2025]:[Column18]],,0,1),"&gt;=0")</f>
        <v>0</v>
      </c>
      <c r="F509" s="109" t="str">
        <f>_xlfn.XLOOKUP(Table1215[[#This Row],[Name]],Table1624[Name],Table1624[Totals],,0,1)</f>
        <v>N/A</v>
      </c>
      <c r="G509" s="65" t="str">
        <f>IFERROR(Table1215[[#This Row],[Points]]/Table1215[[#This Row],[GP]],"N/A")</f>
        <v>N/A</v>
      </c>
      <c r="H509" s="64">
        <f>COUNTIF(_xlfn.XLOOKUP(Table1215[[#This Row],[Name]],Table16[Name],Table16[[September 30, 2025]:[Column18]],,0,1),"&gt;=8")</f>
        <v>0</v>
      </c>
      <c r="I509" s="110" t="str">
        <f>IFERROR(AVERAGEIF(_xlfn.XLOOKUP(Table1215[[#This Row],[Name]],Table16[Name],Table16[[September 30, 2025]:[Column18]],,0,1),"&gt;=8"),"N/A")</f>
        <v>N/A</v>
      </c>
      <c r="J509" s="66" t="str">
        <f>IFERROR(Table1215[[#This Row],[FTA]]/Table1215[[#This Row],[GP]],"N/A")</f>
        <v>N/A</v>
      </c>
      <c r="K509" s="67">
        <f>COUNTIF(_xlfn.XLOOKUP(Table1215[[#This Row],[Name]],Table16[Name],Table16[[September 30, 2025]:[Column18]],,0,1),"&gt;=15")</f>
        <v>0</v>
      </c>
    </row>
    <row r="510" spans="2:11">
      <c r="B510" s="82">
        <f>INDEX(AllTime1[All-time rank], MATCH(SMALL(AllTime1[Helper], ROW(Structures!$G505)), AllTime1[Helper], 0))</f>
        <v>300</v>
      </c>
      <c r="C510" s="64" t="str">
        <f>TEXT(INDEX(AllTime1[Name], MATCH(SMALL(AllTime1[Helper], ROW(Structures!$G505)), AllTime1[Helper], 0)),"@")</f>
        <v/>
      </c>
      <c r="D510" s="64">
        <f>INDEX(AllTime1[All-time score], MATCH(LARGE(AllTime1[Helper2], ROW(Structures!$G505)), AllTime1[Helper2], 0))</f>
        <v>0</v>
      </c>
      <c r="E510" s="64">
        <f>COUNTIF(_xlfn.XLOOKUP(Table1215[[#This Row],[Name]],Table16[Name],Table16[[September 30, 2025]:[Column18]],,0,1),"&gt;=0")</f>
        <v>0</v>
      </c>
      <c r="F510" s="109" t="str">
        <f>_xlfn.XLOOKUP(Table1215[[#This Row],[Name]],Table1624[Name],Table1624[Totals],,0,1)</f>
        <v>N/A</v>
      </c>
      <c r="G510" s="65" t="str">
        <f>IFERROR(Table1215[[#This Row],[Points]]/Table1215[[#This Row],[GP]],"N/A")</f>
        <v>N/A</v>
      </c>
      <c r="H510" s="64">
        <f>COUNTIF(_xlfn.XLOOKUP(Table1215[[#This Row],[Name]],Table16[Name],Table16[[September 30, 2025]:[Column18]],,0,1),"&gt;=8")</f>
        <v>0</v>
      </c>
      <c r="I510" s="110" t="str">
        <f>IFERROR(AVERAGEIF(_xlfn.XLOOKUP(Table1215[[#This Row],[Name]],Table16[Name],Table16[[September 30, 2025]:[Column18]],,0,1),"&gt;=8"),"N/A")</f>
        <v>N/A</v>
      </c>
      <c r="J510" s="66" t="str">
        <f>IFERROR(Table1215[[#This Row],[FTA]]/Table1215[[#This Row],[GP]],"N/A")</f>
        <v>N/A</v>
      </c>
      <c r="K510" s="67">
        <f>COUNTIF(_xlfn.XLOOKUP(Table1215[[#This Row],[Name]],Table16[Name],Table16[[September 30, 2025]:[Column18]],,0,1),"&gt;=15")</f>
        <v>0</v>
      </c>
    </row>
    <row r="511" spans="2:11">
      <c r="B511" s="82">
        <f>INDEX(AllTime1[All-time rank], MATCH(SMALL(AllTime1[Helper], ROW(Structures!$G506)), AllTime1[Helper], 0))</f>
        <v>300</v>
      </c>
      <c r="C511" s="64" t="str">
        <f>TEXT(INDEX(AllTime1[Name], MATCH(SMALL(AllTime1[Helper], ROW(Structures!$G506)), AllTime1[Helper], 0)),"@")</f>
        <v/>
      </c>
      <c r="D511" s="64">
        <f>INDEX(AllTime1[All-time score], MATCH(LARGE(AllTime1[Helper2], ROW(Structures!$G506)), AllTime1[Helper2], 0))</f>
        <v>0</v>
      </c>
      <c r="E511" s="64">
        <f>COUNTIF(_xlfn.XLOOKUP(Table1215[[#This Row],[Name]],Table16[Name],Table16[[September 30, 2025]:[Column18]],,0,1),"&gt;=0")</f>
        <v>0</v>
      </c>
      <c r="F511" s="109" t="str">
        <f>_xlfn.XLOOKUP(Table1215[[#This Row],[Name]],Table1624[Name],Table1624[Totals],,0,1)</f>
        <v>N/A</v>
      </c>
      <c r="G511" s="65" t="str">
        <f>IFERROR(Table1215[[#This Row],[Points]]/Table1215[[#This Row],[GP]],"N/A")</f>
        <v>N/A</v>
      </c>
      <c r="H511" s="64">
        <f>COUNTIF(_xlfn.XLOOKUP(Table1215[[#This Row],[Name]],Table16[Name],Table16[[September 30, 2025]:[Column18]],,0,1),"&gt;=8")</f>
        <v>0</v>
      </c>
      <c r="I511" s="110" t="str">
        <f>IFERROR(AVERAGEIF(_xlfn.XLOOKUP(Table1215[[#This Row],[Name]],Table16[Name],Table16[[September 30, 2025]:[Column18]],,0,1),"&gt;=8"),"N/A")</f>
        <v>N/A</v>
      </c>
      <c r="J511" s="66" t="str">
        <f>IFERROR(Table1215[[#This Row],[FTA]]/Table1215[[#This Row],[GP]],"N/A")</f>
        <v>N/A</v>
      </c>
      <c r="K511" s="67">
        <f>COUNTIF(_xlfn.XLOOKUP(Table1215[[#This Row],[Name]],Table16[Name],Table16[[September 30, 2025]:[Column18]],,0,1),"&gt;=15")</f>
        <v>0</v>
      </c>
    </row>
    <row r="512" spans="2:11">
      <c r="B512" s="82">
        <f>INDEX(AllTime1[All-time rank], MATCH(SMALL(AllTime1[Helper], ROW(Structures!$G507)), AllTime1[Helper], 0))</f>
        <v>300</v>
      </c>
      <c r="C512" s="64" t="str">
        <f>TEXT(INDEX(AllTime1[Name], MATCH(SMALL(AllTime1[Helper], ROW(Structures!$G507)), AllTime1[Helper], 0)),"@")</f>
        <v/>
      </c>
      <c r="D512" s="64">
        <f>INDEX(AllTime1[All-time score], MATCH(LARGE(AllTime1[Helper2], ROW(Structures!$G507)), AllTime1[Helper2], 0))</f>
        <v>0</v>
      </c>
      <c r="E512" s="64">
        <f>COUNTIF(_xlfn.XLOOKUP(Table1215[[#This Row],[Name]],Table16[Name],Table16[[September 30, 2025]:[Column18]],,0,1),"&gt;=0")</f>
        <v>0</v>
      </c>
      <c r="F512" s="109" t="str">
        <f>_xlfn.XLOOKUP(Table1215[[#This Row],[Name]],Table1624[Name],Table1624[Totals],,0,1)</f>
        <v>N/A</v>
      </c>
      <c r="G512" s="65" t="str">
        <f>IFERROR(Table1215[[#This Row],[Points]]/Table1215[[#This Row],[GP]],"N/A")</f>
        <v>N/A</v>
      </c>
      <c r="H512" s="64">
        <f>COUNTIF(_xlfn.XLOOKUP(Table1215[[#This Row],[Name]],Table16[Name],Table16[[September 30, 2025]:[Column18]],,0,1),"&gt;=8")</f>
        <v>0</v>
      </c>
      <c r="I512" s="110" t="str">
        <f>IFERROR(AVERAGEIF(_xlfn.XLOOKUP(Table1215[[#This Row],[Name]],Table16[Name],Table16[[September 30, 2025]:[Column18]],,0,1),"&gt;=8"),"N/A")</f>
        <v>N/A</v>
      </c>
      <c r="J512" s="66" t="str">
        <f>IFERROR(Table1215[[#This Row],[FTA]]/Table1215[[#This Row],[GP]],"N/A")</f>
        <v>N/A</v>
      </c>
      <c r="K512" s="67">
        <f>COUNTIF(_xlfn.XLOOKUP(Table1215[[#This Row],[Name]],Table16[Name],Table16[[September 30, 2025]:[Column18]],,0,1),"&gt;=15")</f>
        <v>0</v>
      </c>
    </row>
    <row r="513" spans="2:11">
      <c r="B513" s="82">
        <f>INDEX(AllTime1[All-time rank], MATCH(SMALL(AllTime1[Helper], ROW(Structures!$G508)), AllTime1[Helper], 0))</f>
        <v>300</v>
      </c>
      <c r="C513" s="64" t="str">
        <f>TEXT(INDEX(AllTime1[Name], MATCH(SMALL(AllTime1[Helper], ROW(Structures!$G508)), AllTime1[Helper], 0)),"@")</f>
        <v/>
      </c>
      <c r="D513" s="64">
        <f>INDEX(AllTime1[All-time score], MATCH(LARGE(AllTime1[Helper2], ROW(Structures!$G508)), AllTime1[Helper2], 0))</f>
        <v>0</v>
      </c>
      <c r="E513" s="64">
        <f>COUNTIF(_xlfn.XLOOKUP(Table1215[[#This Row],[Name]],Table16[Name],Table16[[September 30, 2025]:[Column18]],,0,1),"&gt;=0")</f>
        <v>0</v>
      </c>
      <c r="F513" s="109" t="str">
        <f>_xlfn.XLOOKUP(Table1215[[#This Row],[Name]],Table1624[Name],Table1624[Totals],,0,1)</f>
        <v>N/A</v>
      </c>
      <c r="G513" s="65" t="str">
        <f>IFERROR(Table1215[[#This Row],[Points]]/Table1215[[#This Row],[GP]],"N/A")</f>
        <v>N/A</v>
      </c>
      <c r="H513" s="64">
        <f>COUNTIF(_xlfn.XLOOKUP(Table1215[[#This Row],[Name]],Table16[Name],Table16[[September 30, 2025]:[Column18]],,0,1),"&gt;=8")</f>
        <v>0</v>
      </c>
      <c r="I513" s="110" t="str">
        <f>IFERROR(AVERAGEIF(_xlfn.XLOOKUP(Table1215[[#This Row],[Name]],Table16[Name],Table16[[September 30, 2025]:[Column18]],,0,1),"&gt;=8"),"N/A")</f>
        <v>N/A</v>
      </c>
      <c r="J513" s="66" t="str">
        <f>IFERROR(Table1215[[#This Row],[FTA]]/Table1215[[#This Row],[GP]],"N/A")</f>
        <v>N/A</v>
      </c>
      <c r="K513" s="67">
        <f>COUNTIF(_xlfn.XLOOKUP(Table1215[[#This Row],[Name]],Table16[Name],Table16[[September 30, 2025]:[Column18]],,0,1),"&gt;=15")</f>
        <v>0</v>
      </c>
    </row>
    <row r="514" spans="2:11">
      <c r="B514" s="82">
        <f>INDEX(AllTime1[All-time rank], MATCH(SMALL(AllTime1[Helper], ROW(Structures!$G509)), AllTime1[Helper], 0))</f>
        <v>300</v>
      </c>
      <c r="C514" s="64" t="str">
        <f>TEXT(INDEX(AllTime1[Name], MATCH(SMALL(AllTime1[Helper], ROW(Structures!$G509)), AllTime1[Helper], 0)),"@")</f>
        <v/>
      </c>
      <c r="D514" s="64">
        <f>INDEX(AllTime1[All-time score], MATCH(LARGE(AllTime1[Helper2], ROW(Structures!$G509)), AllTime1[Helper2], 0))</f>
        <v>0</v>
      </c>
      <c r="E514" s="64">
        <f>COUNTIF(_xlfn.XLOOKUP(Table1215[[#This Row],[Name]],Table16[Name],Table16[[September 30, 2025]:[Column18]],,0,1),"&gt;=0")</f>
        <v>0</v>
      </c>
      <c r="F514" s="109" t="str">
        <f>_xlfn.XLOOKUP(Table1215[[#This Row],[Name]],Table1624[Name],Table1624[Totals],,0,1)</f>
        <v>N/A</v>
      </c>
      <c r="G514" s="65" t="str">
        <f>IFERROR(Table1215[[#This Row],[Points]]/Table1215[[#This Row],[GP]],"N/A")</f>
        <v>N/A</v>
      </c>
      <c r="H514" s="64">
        <f>COUNTIF(_xlfn.XLOOKUP(Table1215[[#This Row],[Name]],Table16[Name],Table16[[September 30, 2025]:[Column18]],,0,1),"&gt;=8")</f>
        <v>0</v>
      </c>
      <c r="I514" s="110" t="str">
        <f>IFERROR(AVERAGEIF(_xlfn.XLOOKUP(Table1215[[#This Row],[Name]],Table16[Name],Table16[[September 30, 2025]:[Column18]],,0,1),"&gt;=8"),"N/A")</f>
        <v>N/A</v>
      </c>
      <c r="J514" s="66" t="str">
        <f>IFERROR(Table1215[[#This Row],[FTA]]/Table1215[[#This Row],[GP]],"N/A")</f>
        <v>N/A</v>
      </c>
      <c r="K514" s="67">
        <f>COUNTIF(_xlfn.XLOOKUP(Table1215[[#This Row],[Name]],Table16[Name],Table16[[September 30, 2025]:[Column18]],,0,1),"&gt;=15")</f>
        <v>0</v>
      </c>
    </row>
    <row r="515" spans="2:11">
      <c r="B515" s="82">
        <f>INDEX(AllTime1[All-time rank], MATCH(SMALL(AllTime1[Helper], ROW(Structures!$G510)), AllTime1[Helper], 0))</f>
        <v>300</v>
      </c>
      <c r="C515" s="64" t="str">
        <f>TEXT(INDEX(AllTime1[Name], MATCH(SMALL(AllTime1[Helper], ROW(Structures!$G510)), AllTime1[Helper], 0)),"@")</f>
        <v/>
      </c>
      <c r="D515" s="64">
        <f>INDEX(AllTime1[All-time score], MATCH(LARGE(AllTime1[Helper2], ROW(Structures!$G510)), AllTime1[Helper2], 0))</f>
        <v>0</v>
      </c>
      <c r="E515" s="64">
        <f>COUNTIF(_xlfn.XLOOKUP(Table1215[[#This Row],[Name]],Table16[Name],Table16[[September 30, 2025]:[Column18]],,0,1),"&gt;=0")</f>
        <v>0</v>
      </c>
      <c r="F515" s="109" t="str">
        <f>_xlfn.XLOOKUP(Table1215[[#This Row],[Name]],Table1624[Name],Table1624[Totals],,0,1)</f>
        <v>N/A</v>
      </c>
      <c r="G515" s="65" t="str">
        <f>IFERROR(Table1215[[#This Row],[Points]]/Table1215[[#This Row],[GP]],"N/A")</f>
        <v>N/A</v>
      </c>
      <c r="H515" s="64">
        <f>COUNTIF(_xlfn.XLOOKUP(Table1215[[#This Row],[Name]],Table16[Name],Table16[[September 30, 2025]:[Column18]],,0,1),"&gt;=8")</f>
        <v>0</v>
      </c>
      <c r="I515" s="110" t="str">
        <f>IFERROR(AVERAGEIF(_xlfn.XLOOKUP(Table1215[[#This Row],[Name]],Table16[Name],Table16[[September 30, 2025]:[Column18]],,0,1),"&gt;=8"),"N/A")</f>
        <v>N/A</v>
      </c>
      <c r="J515" s="66" t="str">
        <f>IFERROR(Table1215[[#This Row],[FTA]]/Table1215[[#This Row],[GP]],"N/A")</f>
        <v>N/A</v>
      </c>
      <c r="K515" s="67">
        <f>COUNTIF(_xlfn.XLOOKUP(Table1215[[#This Row],[Name]],Table16[Name],Table16[[September 30, 2025]:[Column18]],,0,1),"&gt;=15")</f>
        <v>0</v>
      </c>
    </row>
    <row r="516" spans="2:11">
      <c r="B516" s="82">
        <f>INDEX(AllTime1[All-time rank], MATCH(SMALL(AllTime1[Helper], ROW(Structures!$G511)), AllTime1[Helper], 0))</f>
        <v>300</v>
      </c>
      <c r="C516" s="64" t="str">
        <f>TEXT(INDEX(AllTime1[Name], MATCH(SMALL(AllTime1[Helper], ROW(Structures!$G511)), AllTime1[Helper], 0)),"@")</f>
        <v/>
      </c>
      <c r="D516" s="64">
        <f>INDEX(AllTime1[All-time score], MATCH(LARGE(AllTime1[Helper2], ROW(Structures!$G511)), AllTime1[Helper2], 0))</f>
        <v>0</v>
      </c>
      <c r="E516" s="64">
        <f>COUNTIF(_xlfn.XLOOKUP(Table1215[[#This Row],[Name]],Table16[Name],Table16[[September 30, 2025]:[Column18]],,0,1),"&gt;=0")</f>
        <v>0</v>
      </c>
      <c r="F516" s="109" t="str">
        <f>_xlfn.XLOOKUP(Table1215[[#This Row],[Name]],Table1624[Name],Table1624[Totals],,0,1)</f>
        <v>N/A</v>
      </c>
      <c r="G516" s="65" t="str">
        <f>IFERROR(Table1215[[#This Row],[Points]]/Table1215[[#This Row],[GP]],"N/A")</f>
        <v>N/A</v>
      </c>
      <c r="H516" s="64">
        <f>COUNTIF(_xlfn.XLOOKUP(Table1215[[#This Row],[Name]],Table16[Name],Table16[[September 30, 2025]:[Column18]],,0,1),"&gt;=8")</f>
        <v>0</v>
      </c>
      <c r="I516" s="110" t="str">
        <f>IFERROR(AVERAGEIF(_xlfn.XLOOKUP(Table1215[[#This Row],[Name]],Table16[Name],Table16[[September 30, 2025]:[Column18]],,0,1),"&gt;=8"),"N/A")</f>
        <v>N/A</v>
      </c>
      <c r="J516" s="66" t="str">
        <f>IFERROR(Table1215[[#This Row],[FTA]]/Table1215[[#This Row],[GP]],"N/A")</f>
        <v>N/A</v>
      </c>
      <c r="K516" s="67">
        <f>COUNTIF(_xlfn.XLOOKUP(Table1215[[#This Row],[Name]],Table16[Name],Table16[[September 30, 2025]:[Column18]],,0,1),"&gt;=15")</f>
        <v>0</v>
      </c>
    </row>
    <row r="517" spans="2:11">
      <c r="B517" s="82">
        <f>INDEX(AllTime1[All-time rank], MATCH(SMALL(AllTime1[Helper], ROW(Structures!$G512)), AllTime1[Helper], 0))</f>
        <v>300</v>
      </c>
      <c r="C517" s="64" t="str">
        <f>TEXT(INDEX(AllTime1[Name], MATCH(SMALL(AllTime1[Helper], ROW(Structures!$G512)), AllTime1[Helper], 0)),"@")</f>
        <v/>
      </c>
      <c r="D517" s="64">
        <f>INDEX(AllTime1[All-time score], MATCH(LARGE(AllTime1[Helper2], ROW(Structures!$G512)), AllTime1[Helper2], 0))</f>
        <v>0</v>
      </c>
      <c r="E517" s="64">
        <f>COUNTIF(_xlfn.XLOOKUP(Table1215[[#This Row],[Name]],Table16[Name],Table16[[September 30, 2025]:[Column18]],,0,1),"&gt;=0")</f>
        <v>0</v>
      </c>
      <c r="F517" s="109" t="str">
        <f>_xlfn.XLOOKUP(Table1215[[#This Row],[Name]],Table1624[Name],Table1624[Totals],,0,1)</f>
        <v>N/A</v>
      </c>
      <c r="G517" s="65" t="str">
        <f>IFERROR(Table1215[[#This Row],[Points]]/Table1215[[#This Row],[GP]],"N/A")</f>
        <v>N/A</v>
      </c>
      <c r="H517" s="64">
        <f>COUNTIF(_xlfn.XLOOKUP(Table1215[[#This Row],[Name]],Table16[Name],Table16[[September 30, 2025]:[Column18]],,0,1),"&gt;=8")</f>
        <v>0</v>
      </c>
      <c r="I517" s="110" t="str">
        <f>IFERROR(AVERAGEIF(_xlfn.XLOOKUP(Table1215[[#This Row],[Name]],Table16[Name],Table16[[September 30, 2025]:[Column18]],,0,1),"&gt;=8"),"N/A")</f>
        <v>N/A</v>
      </c>
      <c r="J517" s="66" t="str">
        <f>IFERROR(Table1215[[#This Row],[FTA]]/Table1215[[#This Row],[GP]],"N/A")</f>
        <v>N/A</v>
      </c>
      <c r="K517" s="67">
        <f>COUNTIF(_xlfn.XLOOKUP(Table1215[[#This Row],[Name]],Table16[Name],Table16[[September 30, 2025]:[Column18]],,0,1),"&gt;=15")</f>
        <v>0</v>
      </c>
    </row>
    <row r="518" spans="2:11">
      <c r="B518" s="82">
        <f>INDEX(AllTime1[All-time rank], MATCH(SMALL(AllTime1[Helper], ROW(Structures!$G513)), AllTime1[Helper], 0))</f>
        <v>300</v>
      </c>
      <c r="C518" s="64" t="str">
        <f>TEXT(INDEX(AllTime1[Name], MATCH(SMALL(AllTime1[Helper], ROW(Structures!$G513)), AllTime1[Helper], 0)),"@")</f>
        <v/>
      </c>
      <c r="D518" s="64">
        <f>INDEX(AllTime1[All-time score], MATCH(LARGE(AllTime1[Helper2], ROW(Structures!$G513)), AllTime1[Helper2], 0))</f>
        <v>0</v>
      </c>
      <c r="E518" s="64">
        <f>COUNTIF(_xlfn.XLOOKUP(Table1215[[#This Row],[Name]],Table16[Name],Table16[[September 30, 2025]:[Column18]],,0,1),"&gt;=0")</f>
        <v>0</v>
      </c>
      <c r="F518" s="109" t="str">
        <f>_xlfn.XLOOKUP(Table1215[[#This Row],[Name]],Table1624[Name],Table1624[Totals],,0,1)</f>
        <v>N/A</v>
      </c>
      <c r="G518" s="65" t="str">
        <f>IFERROR(Table1215[[#This Row],[Points]]/Table1215[[#This Row],[GP]],"N/A")</f>
        <v>N/A</v>
      </c>
      <c r="H518" s="64">
        <f>COUNTIF(_xlfn.XLOOKUP(Table1215[[#This Row],[Name]],Table16[Name],Table16[[September 30, 2025]:[Column18]],,0,1),"&gt;=8")</f>
        <v>0</v>
      </c>
      <c r="I518" s="110" t="str">
        <f>IFERROR(AVERAGEIF(_xlfn.XLOOKUP(Table1215[[#This Row],[Name]],Table16[Name],Table16[[September 30, 2025]:[Column18]],,0,1),"&gt;=8"),"N/A")</f>
        <v>N/A</v>
      </c>
      <c r="J518" s="66" t="str">
        <f>IFERROR(Table1215[[#This Row],[FTA]]/Table1215[[#This Row],[GP]],"N/A")</f>
        <v>N/A</v>
      </c>
      <c r="K518" s="67">
        <f>COUNTIF(_xlfn.XLOOKUP(Table1215[[#This Row],[Name]],Table16[Name],Table16[[September 30, 2025]:[Column18]],,0,1),"&gt;=15")</f>
        <v>0</v>
      </c>
    </row>
    <row r="519" spans="2:11">
      <c r="B519" s="82">
        <f>INDEX(AllTime1[All-time rank], MATCH(SMALL(AllTime1[Helper], ROW(Structures!$G514)), AllTime1[Helper], 0))</f>
        <v>300</v>
      </c>
      <c r="C519" s="64" t="str">
        <f>TEXT(INDEX(AllTime1[Name], MATCH(SMALL(AllTime1[Helper], ROW(Structures!$G514)), AllTime1[Helper], 0)),"@")</f>
        <v/>
      </c>
      <c r="D519" s="64">
        <f>INDEX(AllTime1[All-time score], MATCH(LARGE(AllTime1[Helper2], ROW(Structures!$G514)), AllTime1[Helper2], 0))</f>
        <v>0</v>
      </c>
      <c r="E519" s="64">
        <f>COUNTIF(_xlfn.XLOOKUP(Table1215[[#This Row],[Name]],Table16[Name],Table16[[September 30, 2025]:[Column18]],,0,1),"&gt;=0")</f>
        <v>0</v>
      </c>
      <c r="F519" s="109" t="str">
        <f>_xlfn.XLOOKUP(Table1215[[#This Row],[Name]],Table1624[Name],Table1624[Totals],,0,1)</f>
        <v>N/A</v>
      </c>
      <c r="G519" s="65" t="str">
        <f>IFERROR(Table1215[[#This Row],[Points]]/Table1215[[#This Row],[GP]],"N/A")</f>
        <v>N/A</v>
      </c>
      <c r="H519" s="64">
        <f>COUNTIF(_xlfn.XLOOKUP(Table1215[[#This Row],[Name]],Table16[Name],Table16[[September 30, 2025]:[Column18]],,0,1),"&gt;=8")</f>
        <v>0</v>
      </c>
      <c r="I519" s="110" t="str">
        <f>IFERROR(AVERAGEIF(_xlfn.XLOOKUP(Table1215[[#This Row],[Name]],Table16[Name],Table16[[September 30, 2025]:[Column18]],,0,1),"&gt;=8"),"N/A")</f>
        <v>N/A</v>
      </c>
      <c r="J519" s="66" t="str">
        <f>IFERROR(Table1215[[#This Row],[FTA]]/Table1215[[#This Row],[GP]],"N/A")</f>
        <v>N/A</v>
      </c>
      <c r="K519" s="67">
        <f>COUNTIF(_xlfn.XLOOKUP(Table1215[[#This Row],[Name]],Table16[Name],Table16[[September 30, 2025]:[Column18]],,0,1),"&gt;=15")</f>
        <v>0</v>
      </c>
    </row>
    <row r="520" spans="2:11">
      <c r="B520" s="82">
        <f>INDEX(AllTime1[All-time rank], MATCH(SMALL(AllTime1[Helper], ROW(Structures!$G515)), AllTime1[Helper], 0))</f>
        <v>300</v>
      </c>
      <c r="C520" s="64" t="str">
        <f>TEXT(INDEX(AllTime1[Name], MATCH(SMALL(AllTime1[Helper], ROW(Structures!$G515)), AllTime1[Helper], 0)),"@")</f>
        <v/>
      </c>
      <c r="D520" s="64">
        <f>INDEX(AllTime1[All-time score], MATCH(LARGE(AllTime1[Helper2], ROW(Structures!$G515)), AllTime1[Helper2], 0))</f>
        <v>0</v>
      </c>
      <c r="E520" s="64">
        <f>COUNTIF(_xlfn.XLOOKUP(Table1215[[#This Row],[Name]],Table16[Name],Table16[[September 30, 2025]:[Column18]],,0,1),"&gt;=0")</f>
        <v>0</v>
      </c>
      <c r="F520" s="109" t="str">
        <f>_xlfn.XLOOKUP(Table1215[[#This Row],[Name]],Table1624[Name],Table1624[Totals],,0,1)</f>
        <v>N/A</v>
      </c>
      <c r="G520" s="65" t="str">
        <f>IFERROR(Table1215[[#This Row],[Points]]/Table1215[[#This Row],[GP]],"N/A")</f>
        <v>N/A</v>
      </c>
      <c r="H520" s="64">
        <f>COUNTIF(_xlfn.XLOOKUP(Table1215[[#This Row],[Name]],Table16[Name],Table16[[September 30, 2025]:[Column18]],,0,1),"&gt;=8")</f>
        <v>0</v>
      </c>
      <c r="I520" s="110" t="str">
        <f>IFERROR(AVERAGEIF(_xlfn.XLOOKUP(Table1215[[#This Row],[Name]],Table16[Name],Table16[[September 30, 2025]:[Column18]],,0,1),"&gt;=8"),"N/A")</f>
        <v>N/A</v>
      </c>
      <c r="J520" s="66" t="str">
        <f>IFERROR(Table1215[[#This Row],[FTA]]/Table1215[[#This Row],[GP]],"N/A")</f>
        <v>N/A</v>
      </c>
      <c r="K520" s="67">
        <f>COUNTIF(_xlfn.XLOOKUP(Table1215[[#This Row],[Name]],Table16[Name],Table16[[September 30, 2025]:[Column18]],,0,1),"&gt;=15")</f>
        <v>0</v>
      </c>
    </row>
    <row r="521" spans="2:11">
      <c r="B521" s="82">
        <f>INDEX(AllTime1[All-time rank], MATCH(SMALL(AllTime1[Helper], ROW(Structures!$G516)), AllTime1[Helper], 0))</f>
        <v>300</v>
      </c>
      <c r="C521" s="64" t="str">
        <f>TEXT(INDEX(AllTime1[Name], MATCH(SMALL(AllTime1[Helper], ROW(Structures!$G516)), AllTime1[Helper], 0)),"@")</f>
        <v/>
      </c>
      <c r="D521" s="64">
        <f>INDEX(AllTime1[All-time score], MATCH(LARGE(AllTime1[Helper2], ROW(Structures!$G516)), AllTime1[Helper2], 0))</f>
        <v>0</v>
      </c>
      <c r="E521" s="64">
        <f>COUNTIF(_xlfn.XLOOKUP(Table1215[[#This Row],[Name]],Table16[Name],Table16[[September 30, 2025]:[Column18]],,0,1),"&gt;=0")</f>
        <v>0</v>
      </c>
      <c r="F521" s="109" t="str">
        <f>_xlfn.XLOOKUP(Table1215[[#This Row],[Name]],Table1624[Name],Table1624[Totals],,0,1)</f>
        <v>N/A</v>
      </c>
      <c r="G521" s="65" t="str">
        <f>IFERROR(Table1215[[#This Row],[Points]]/Table1215[[#This Row],[GP]],"N/A")</f>
        <v>N/A</v>
      </c>
      <c r="H521" s="64">
        <f>COUNTIF(_xlfn.XLOOKUP(Table1215[[#This Row],[Name]],Table16[Name],Table16[[September 30, 2025]:[Column18]],,0,1),"&gt;=8")</f>
        <v>0</v>
      </c>
      <c r="I521" s="110" t="str">
        <f>IFERROR(AVERAGEIF(_xlfn.XLOOKUP(Table1215[[#This Row],[Name]],Table16[Name],Table16[[September 30, 2025]:[Column18]],,0,1),"&gt;=8"),"N/A")</f>
        <v>N/A</v>
      </c>
      <c r="J521" s="66" t="str">
        <f>IFERROR(Table1215[[#This Row],[FTA]]/Table1215[[#This Row],[GP]],"N/A")</f>
        <v>N/A</v>
      </c>
      <c r="K521" s="67">
        <f>COUNTIF(_xlfn.XLOOKUP(Table1215[[#This Row],[Name]],Table16[Name],Table16[[September 30, 2025]:[Column18]],,0,1),"&gt;=15")</f>
        <v>0</v>
      </c>
    </row>
    <row r="522" spans="2:11">
      <c r="B522" s="82">
        <f>INDEX(AllTime1[All-time rank], MATCH(SMALL(AllTime1[Helper], ROW(Structures!$G517)), AllTime1[Helper], 0))</f>
        <v>300</v>
      </c>
      <c r="C522" s="64" t="str">
        <f>TEXT(INDEX(AllTime1[Name], MATCH(SMALL(AllTime1[Helper], ROW(Structures!$G517)), AllTime1[Helper], 0)),"@")</f>
        <v/>
      </c>
      <c r="D522" s="64">
        <f>INDEX(AllTime1[All-time score], MATCH(LARGE(AllTime1[Helper2], ROW(Structures!$G517)), AllTime1[Helper2], 0))</f>
        <v>0</v>
      </c>
      <c r="E522" s="64">
        <f>COUNTIF(_xlfn.XLOOKUP(Table1215[[#This Row],[Name]],Table16[Name],Table16[[September 30, 2025]:[Column18]],,0,1),"&gt;=0")</f>
        <v>0</v>
      </c>
      <c r="F522" s="109" t="str">
        <f>_xlfn.XLOOKUP(Table1215[[#This Row],[Name]],Table1624[Name],Table1624[Totals],,0,1)</f>
        <v>N/A</v>
      </c>
      <c r="G522" s="65" t="str">
        <f>IFERROR(Table1215[[#This Row],[Points]]/Table1215[[#This Row],[GP]],"N/A")</f>
        <v>N/A</v>
      </c>
      <c r="H522" s="64">
        <f>COUNTIF(_xlfn.XLOOKUP(Table1215[[#This Row],[Name]],Table16[Name],Table16[[September 30, 2025]:[Column18]],,0,1),"&gt;=8")</f>
        <v>0</v>
      </c>
      <c r="I522" s="110" t="str">
        <f>IFERROR(AVERAGEIF(_xlfn.XLOOKUP(Table1215[[#This Row],[Name]],Table16[Name],Table16[[September 30, 2025]:[Column18]],,0,1),"&gt;=8"),"N/A")</f>
        <v>N/A</v>
      </c>
      <c r="J522" s="66" t="str">
        <f>IFERROR(Table1215[[#This Row],[FTA]]/Table1215[[#This Row],[GP]],"N/A")</f>
        <v>N/A</v>
      </c>
      <c r="K522" s="67">
        <f>COUNTIF(_xlfn.XLOOKUP(Table1215[[#This Row],[Name]],Table16[Name],Table16[[September 30, 2025]:[Column18]],,0,1),"&gt;=15")</f>
        <v>0</v>
      </c>
    </row>
    <row r="523" spans="2:11">
      <c r="B523" s="82">
        <f>INDEX(AllTime1[All-time rank], MATCH(SMALL(AllTime1[Helper], ROW(Structures!$G518)), AllTime1[Helper], 0))</f>
        <v>300</v>
      </c>
      <c r="C523" s="64" t="str">
        <f>TEXT(INDEX(AllTime1[Name], MATCH(SMALL(AllTime1[Helper], ROW(Structures!$G518)), AllTime1[Helper], 0)),"@")</f>
        <v/>
      </c>
      <c r="D523" s="64">
        <f>INDEX(AllTime1[All-time score], MATCH(LARGE(AllTime1[Helper2], ROW(Structures!$G518)), AllTime1[Helper2], 0))</f>
        <v>0</v>
      </c>
      <c r="E523" s="64">
        <f>COUNTIF(_xlfn.XLOOKUP(Table1215[[#This Row],[Name]],Table16[Name],Table16[[September 30, 2025]:[Column18]],,0,1),"&gt;=0")</f>
        <v>0</v>
      </c>
      <c r="F523" s="109" t="str">
        <f>_xlfn.XLOOKUP(Table1215[[#This Row],[Name]],Table1624[Name],Table1624[Totals],,0,1)</f>
        <v>N/A</v>
      </c>
      <c r="G523" s="65" t="str">
        <f>IFERROR(Table1215[[#This Row],[Points]]/Table1215[[#This Row],[GP]],"N/A")</f>
        <v>N/A</v>
      </c>
      <c r="H523" s="64">
        <f>COUNTIF(_xlfn.XLOOKUP(Table1215[[#This Row],[Name]],Table16[Name],Table16[[September 30, 2025]:[Column18]],,0,1),"&gt;=8")</f>
        <v>0</v>
      </c>
      <c r="I523" s="110" t="str">
        <f>IFERROR(AVERAGEIF(_xlfn.XLOOKUP(Table1215[[#This Row],[Name]],Table16[Name],Table16[[September 30, 2025]:[Column18]],,0,1),"&gt;=8"),"N/A")</f>
        <v>N/A</v>
      </c>
      <c r="J523" s="66" t="str">
        <f>IFERROR(Table1215[[#This Row],[FTA]]/Table1215[[#This Row],[GP]],"N/A")</f>
        <v>N/A</v>
      </c>
      <c r="K523" s="67">
        <f>COUNTIF(_xlfn.XLOOKUP(Table1215[[#This Row],[Name]],Table16[Name],Table16[[September 30, 2025]:[Column18]],,0,1),"&gt;=15")</f>
        <v>0</v>
      </c>
    </row>
    <row r="524" spans="2:11">
      <c r="B524" s="82">
        <f>INDEX(AllTime1[All-time rank], MATCH(SMALL(AllTime1[Helper], ROW(Structures!$G519)), AllTime1[Helper], 0))</f>
        <v>300</v>
      </c>
      <c r="C524" s="64" t="str">
        <f>TEXT(INDEX(AllTime1[Name], MATCH(SMALL(AllTime1[Helper], ROW(Structures!$G519)), AllTime1[Helper], 0)),"@")</f>
        <v/>
      </c>
      <c r="D524" s="64">
        <f>INDEX(AllTime1[All-time score], MATCH(LARGE(AllTime1[Helper2], ROW(Structures!$G519)), AllTime1[Helper2], 0))</f>
        <v>0</v>
      </c>
      <c r="E524" s="64">
        <f>COUNTIF(_xlfn.XLOOKUP(Table1215[[#This Row],[Name]],Table16[Name],Table16[[September 30, 2025]:[Column18]],,0,1),"&gt;=0")</f>
        <v>0</v>
      </c>
      <c r="F524" s="109" t="str">
        <f>_xlfn.XLOOKUP(Table1215[[#This Row],[Name]],Table1624[Name],Table1624[Totals],,0,1)</f>
        <v>N/A</v>
      </c>
      <c r="G524" s="65" t="str">
        <f>IFERROR(Table1215[[#This Row],[Points]]/Table1215[[#This Row],[GP]],"N/A")</f>
        <v>N/A</v>
      </c>
      <c r="H524" s="64">
        <f>COUNTIF(_xlfn.XLOOKUP(Table1215[[#This Row],[Name]],Table16[Name],Table16[[September 30, 2025]:[Column18]],,0,1),"&gt;=8")</f>
        <v>0</v>
      </c>
      <c r="I524" s="110" t="str">
        <f>IFERROR(AVERAGEIF(_xlfn.XLOOKUP(Table1215[[#This Row],[Name]],Table16[Name],Table16[[September 30, 2025]:[Column18]],,0,1),"&gt;=8"),"N/A")</f>
        <v>N/A</v>
      </c>
      <c r="J524" s="66" t="str">
        <f>IFERROR(Table1215[[#This Row],[FTA]]/Table1215[[#This Row],[GP]],"N/A")</f>
        <v>N/A</v>
      </c>
      <c r="K524" s="67">
        <f>COUNTIF(_xlfn.XLOOKUP(Table1215[[#This Row],[Name]],Table16[Name],Table16[[September 30, 2025]:[Column18]],,0,1),"&gt;=15")</f>
        <v>0</v>
      </c>
    </row>
    <row r="525" spans="2:11">
      <c r="B525" s="82">
        <f>INDEX(AllTime1[All-time rank], MATCH(SMALL(AllTime1[Helper], ROW(Structures!$G520)), AllTime1[Helper], 0))</f>
        <v>300</v>
      </c>
      <c r="C525" s="64" t="str">
        <f>TEXT(INDEX(AllTime1[Name], MATCH(SMALL(AllTime1[Helper], ROW(Structures!$G520)), AllTime1[Helper], 0)),"@")</f>
        <v/>
      </c>
      <c r="D525" s="64">
        <f>INDEX(AllTime1[All-time score], MATCH(LARGE(AllTime1[Helper2], ROW(Structures!$G520)), AllTime1[Helper2], 0))</f>
        <v>0</v>
      </c>
      <c r="E525" s="64">
        <f>COUNTIF(_xlfn.XLOOKUP(Table1215[[#This Row],[Name]],Table16[Name],Table16[[September 30, 2025]:[Column18]],,0,1),"&gt;=0")</f>
        <v>0</v>
      </c>
      <c r="F525" s="109" t="str">
        <f>_xlfn.XLOOKUP(Table1215[[#This Row],[Name]],Table1624[Name],Table1624[Totals],,0,1)</f>
        <v>N/A</v>
      </c>
      <c r="G525" s="65" t="str">
        <f>IFERROR(Table1215[[#This Row],[Points]]/Table1215[[#This Row],[GP]],"N/A")</f>
        <v>N/A</v>
      </c>
      <c r="H525" s="64">
        <f>COUNTIF(_xlfn.XLOOKUP(Table1215[[#This Row],[Name]],Table16[Name],Table16[[September 30, 2025]:[Column18]],,0,1),"&gt;=8")</f>
        <v>0</v>
      </c>
      <c r="I525" s="110" t="str">
        <f>IFERROR(AVERAGEIF(_xlfn.XLOOKUP(Table1215[[#This Row],[Name]],Table16[Name],Table16[[September 30, 2025]:[Column18]],,0,1),"&gt;=8"),"N/A")</f>
        <v>N/A</v>
      </c>
      <c r="J525" s="66" t="str">
        <f>IFERROR(Table1215[[#This Row],[FTA]]/Table1215[[#This Row],[GP]],"N/A")</f>
        <v>N/A</v>
      </c>
      <c r="K525" s="67">
        <f>COUNTIF(_xlfn.XLOOKUP(Table1215[[#This Row],[Name]],Table16[Name],Table16[[September 30, 2025]:[Column18]],,0,1),"&gt;=15")</f>
        <v>0</v>
      </c>
    </row>
    <row r="526" spans="2:11">
      <c r="B526" s="82">
        <f>INDEX(AllTime1[All-time rank], MATCH(SMALL(AllTime1[Helper], ROW(Structures!$G521)), AllTime1[Helper], 0))</f>
        <v>300</v>
      </c>
      <c r="C526" s="64" t="str">
        <f>TEXT(INDEX(AllTime1[Name], MATCH(SMALL(AllTime1[Helper], ROW(Structures!$G521)), AllTime1[Helper], 0)),"@")</f>
        <v/>
      </c>
      <c r="D526" s="64">
        <f>INDEX(AllTime1[All-time score], MATCH(LARGE(AllTime1[Helper2], ROW(Structures!$G521)), AllTime1[Helper2], 0))</f>
        <v>0</v>
      </c>
      <c r="E526" s="64">
        <f>COUNTIF(_xlfn.XLOOKUP(Table1215[[#This Row],[Name]],Table16[Name],Table16[[September 30, 2025]:[Column18]],,0,1),"&gt;=0")</f>
        <v>0</v>
      </c>
      <c r="F526" s="109" t="str">
        <f>_xlfn.XLOOKUP(Table1215[[#This Row],[Name]],Table1624[Name],Table1624[Totals],,0,1)</f>
        <v>N/A</v>
      </c>
      <c r="G526" s="65" t="str">
        <f>IFERROR(Table1215[[#This Row],[Points]]/Table1215[[#This Row],[GP]],"N/A")</f>
        <v>N/A</v>
      </c>
      <c r="H526" s="64">
        <f>COUNTIF(_xlfn.XLOOKUP(Table1215[[#This Row],[Name]],Table16[Name],Table16[[September 30, 2025]:[Column18]],,0,1),"&gt;=8")</f>
        <v>0</v>
      </c>
      <c r="I526" s="110" t="str">
        <f>IFERROR(AVERAGEIF(_xlfn.XLOOKUP(Table1215[[#This Row],[Name]],Table16[Name],Table16[[September 30, 2025]:[Column18]],,0,1),"&gt;=8"),"N/A")</f>
        <v>N/A</v>
      </c>
      <c r="J526" s="66" t="str">
        <f>IFERROR(Table1215[[#This Row],[FTA]]/Table1215[[#This Row],[GP]],"N/A")</f>
        <v>N/A</v>
      </c>
      <c r="K526" s="67">
        <f>COUNTIF(_xlfn.XLOOKUP(Table1215[[#This Row],[Name]],Table16[Name],Table16[[September 30, 2025]:[Column18]],,0,1),"&gt;=15")</f>
        <v>0</v>
      </c>
    </row>
    <row r="527" spans="2:11">
      <c r="B527" s="82">
        <f>INDEX(AllTime1[All-time rank], MATCH(SMALL(AllTime1[Helper], ROW(Structures!$G522)), AllTime1[Helper], 0))</f>
        <v>300</v>
      </c>
      <c r="C527" s="64" t="str">
        <f>TEXT(INDEX(AllTime1[Name], MATCH(SMALL(AllTime1[Helper], ROW(Structures!$G522)), AllTime1[Helper], 0)),"@")</f>
        <v/>
      </c>
      <c r="D527" s="64">
        <f>INDEX(AllTime1[All-time score], MATCH(LARGE(AllTime1[Helper2], ROW(Structures!$G522)), AllTime1[Helper2], 0))</f>
        <v>0</v>
      </c>
      <c r="E527" s="64">
        <f>COUNTIF(_xlfn.XLOOKUP(Table1215[[#This Row],[Name]],Table16[Name],Table16[[September 30, 2025]:[Column18]],,0,1),"&gt;=0")</f>
        <v>0</v>
      </c>
      <c r="F527" s="109" t="str">
        <f>_xlfn.XLOOKUP(Table1215[[#This Row],[Name]],Table1624[Name],Table1624[Totals],,0,1)</f>
        <v>N/A</v>
      </c>
      <c r="G527" s="65" t="str">
        <f>IFERROR(Table1215[[#This Row],[Points]]/Table1215[[#This Row],[GP]],"N/A")</f>
        <v>N/A</v>
      </c>
      <c r="H527" s="64">
        <f>COUNTIF(_xlfn.XLOOKUP(Table1215[[#This Row],[Name]],Table16[Name],Table16[[September 30, 2025]:[Column18]],,0,1),"&gt;=8")</f>
        <v>0</v>
      </c>
      <c r="I527" s="110" t="str">
        <f>IFERROR(AVERAGEIF(_xlfn.XLOOKUP(Table1215[[#This Row],[Name]],Table16[Name],Table16[[September 30, 2025]:[Column18]],,0,1),"&gt;=8"),"N/A")</f>
        <v>N/A</v>
      </c>
      <c r="J527" s="66" t="str">
        <f>IFERROR(Table1215[[#This Row],[FTA]]/Table1215[[#This Row],[GP]],"N/A")</f>
        <v>N/A</v>
      </c>
      <c r="K527" s="67">
        <f>COUNTIF(_xlfn.XLOOKUP(Table1215[[#This Row],[Name]],Table16[Name],Table16[[September 30, 2025]:[Column18]],,0,1),"&gt;=15")</f>
        <v>0</v>
      </c>
    </row>
    <row r="528" spans="2:11">
      <c r="B528" s="82">
        <f>INDEX(AllTime1[All-time rank], MATCH(SMALL(AllTime1[Helper], ROW(Structures!$G523)), AllTime1[Helper], 0))</f>
        <v>300</v>
      </c>
      <c r="C528" s="64" t="str">
        <f>TEXT(INDEX(AllTime1[Name], MATCH(SMALL(AllTime1[Helper], ROW(Structures!$G523)), AllTime1[Helper], 0)),"@")</f>
        <v/>
      </c>
      <c r="D528" s="64">
        <f>INDEX(AllTime1[All-time score], MATCH(LARGE(AllTime1[Helper2], ROW(Structures!$G523)), AllTime1[Helper2], 0))</f>
        <v>0</v>
      </c>
      <c r="E528" s="64">
        <f>COUNTIF(_xlfn.XLOOKUP(Table1215[[#This Row],[Name]],Table16[Name],Table16[[September 30, 2025]:[Column18]],,0,1),"&gt;=0")</f>
        <v>0</v>
      </c>
      <c r="F528" s="109" t="str">
        <f>_xlfn.XLOOKUP(Table1215[[#This Row],[Name]],Table1624[Name],Table1624[Totals],,0,1)</f>
        <v>N/A</v>
      </c>
      <c r="G528" s="65" t="str">
        <f>IFERROR(Table1215[[#This Row],[Points]]/Table1215[[#This Row],[GP]],"N/A")</f>
        <v>N/A</v>
      </c>
      <c r="H528" s="64">
        <f>COUNTIF(_xlfn.XLOOKUP(Table1215[[#This Row],[Name]],Table16[Name],Table16[[September 30, 2025]:[Column18]],,0,1),"&gt;=8")</f>
        <v>0</v>
      </c>
      <c r="I528" s="110" t="str">
        <f>IFERROR(AVERAGEIF(_xlfn.XLOOKUP(Table1215[[#This Row],[Name]],Table16[Name],Table16[[September 30, 2025]:[Column18]],,0,1),"&gt;=8"),"N/A")</f>
        <v>N/A</v>
      </c>
      <c r="J528" s="66" t="str">
        <f>IFERROR(Table1215[[#This Row],[FTA]]/Table1215[[#This Row],[GP]],"N/A")</f>
        <v>N/A</v>
      </c>
      <c r="K528" s="67">
        <f>COUNTIF(_xlfn.XLOOKUP(Table1215[[#This Row],[Name]],Table16[Name],Table16[[September 30, 2025]:[Column18]],,0,1),"&gt;=15")</f>
        <v>0</v>
      </c>
    </row>
    <row r="529" spans="2:11">
      <c r="B529" s="82">
        <f>INDEX(AllTime1[All-time rank], MATCH(SMALL(AllTime1[Helper], ROW(Structures!$G524)), AllTime1[Helper], 0))</f>
        <v>300</v>
      </c>
      <c r="C529" s="64" t="str">
        <f>TEXT(INDEX(AllTime1[Name], MATCH(SMALL(AllTime1[Helper], ROW(Structures!$G524)), AllTime1[Helper], 0)),"@")</f>
        <v/>
      </c>
      <c r="D529" s="64">
        <f>INDEX(AllTime1[All-time score], MATCH(LARGE(AllTime1[Helper2], ROW(Structures!$G524)), AllTime1[Helper2], 0))</f>
        <v>0</v>
      </c>
      <c r="E529" s="64">
        <f>COUNTIF(_xlfn.XLOOKUP(Table1215[[#This Row],[Name]],Table16[Name],Table16[[September 30, 2025]:[Column18]],,0,1),"&gt;=0")</f>
        <v>0</v>
      </c>
      <c r="F529" s="109" t="str">
        <f>_xlfn.XLOOKUP(Table1215[[#This Row],[Name]],Table1624[Name],Table1624[Totals],,0,1)</f>
        <v>N/A</v>
      </c>
      <c r="G529" s="65" t="str">
        <f>IFERROR(Table1215[[#This Row],[Points]]/Table1215[[#This Row],[GP]],"N/A")</f>
        <v>N/A</v>
      </c>
      <c r="H529" s="64">
        <f>COUNTIF(_xlfn.XLOOKUP(Table1215[[#This Row],[Name]],Table16[Name],Table16[[September 30, 2025]:[Column18]],,0,1),"&gt;=8")</f>
        <v>0</v>
      </c>
      <c r="I529" s="110" t="str">
        <f>IFERROR(AVERAGEIF(_xlfn.XLOOKUP(Table1215[[#This Row],[Name]],Table16[Name],Table16[[September 30, 2025]:[Column18]],,0,1),"&gt;=8"),"N/A")</f>
        <v>N/A</v>
      </c>
      <c r="J529" s="66" t="str">
        <f>IFERROR(Table1215[[#This Row],[FTA]]/Table1215[[#This Row],[GP]],"N/A")</f>
        <v>N/A</v>
      </c>
      <c r="K529" s="67">
        <f>COUNTIF(_xlfn.XLOOKUP(Table1215[[#This Row],[Name]],Table16[Name],Table16[[September 30, 2025]:[Column18]],,0,1),"&gt;=15")</f>
        <v>0</v>
      </c>
    </row>
    <row r="530" spans="2:11">
      <c r="B530" s="82">
        <f>INDEX(AllTime1[All-time rank], MATCH(SMALL(AllTime1[Helper], ROW(Structures!$G525)), AllTime1[Helper], 0))</f>
        <v>300</v>
      </c>
      <c r="C530" s="64" t="str">
        <f>TEXT(INDEX(AllTime1[Name], MATCH(SMALL(AllTime1[Helper], ROW(Structures!$G525)), AllTime1[Helper], 0)),"@")</f>
        <v/>
      </c>
      <c r="D530" s="64">
        <f>INDEX(AllTime1[All-time score], MATCH(LARGE(AllTime1[Helper2], ROW(Structures!$G525)), AllTime1[Helper2], 0))</f>
        <v>0</v>
      </c>
      <c r="E530" s="64">
        <f>COUNTIF(_xlfn.XLOOKUP(Table1215[[#This Row],[Name]],Table16[Name],Table16[[September 30, 2025]:[Column18]],,0,1),"&gt;=0")</f>
        <v>0</v>
      </c>
      <c r="F530" s="109" t="str">
        <f>_xlfn.XLOOKUP(Table1215[[#This Row],[Name]],Table1624[Name],Table1624[Totals],,0,1)</f>
        <v>N/A</v>
      </c>
      <c r="G530" s="65" t="str">
        <f>IFERROR(Table1215[[#This Row],[Points]]/Table1215[[#This Row],[GP]],"N/A")</f>
        <v>N/A</v>
      </c>
      <c r="H530" s="64">
        <f>COUNTIF(_xlfn.XLOOKUP(Table1215[[#This Row],[Name]],Table16[Name],Table16[[September 30, 2025]:[Column18]],,0,1),"&gt;=8")</f>
        <v>0</v>
      </c>
      <c r="I530" s="110" t="str">
        <f>IFERROR(AVERAGEIF(_xlfn.XLOOKUP(Table1215[[#This Row],[Name]],Table16[Name],Table16[[September 30, 2025]:[Column18]],,0,1),"&gt;=8"),"N/A")</f>
        <v>N/A</v>
      </c>
      <c r="J530" s="66" t="str">
        <f>IFERROR(Table1215[[#This Row],[FTA]]/Table1215[[#This Row],[GP]],"N/A")</f>
        <v>N/A</v>
      </c>
      <c r="K530" s="67">
        <f>COUNTIF(_xlfn.XLOOKUP(Table1215[[#This Row],[Name]],Table16[Name],Table16[[September 30, 2025]:[Column18]],,0,1),"&gt;=15")</f>
        <v>0</v>
      </c>
    </row>
    <row r="531" spans="2:11">
      <c r="B531" s="82">
        <f>INDEX(AllTime1[All-time rank], MATCH(SMALL(AllTime1[Helper], ROW(Structures!$G526)), AllTime1[Helper], 0))</f>
        <v>300</v>
      </c>
      <c r="C531" s="64" t="str">
        <f>TEXT(INDEX(AllTime1[Name], MATCH(SMALL(AllTime1[Helper], ROW(Structures!$G526)), AllTime1[Helper], 0)),"@")</f>
        <v/>
      </c>
      <c r="D531" s="64">
        <f>INDEX(AllTime1[All-time score], MATCH(LARGE(AllTime1[Helper2], ROW(Structures!$G526)), AllTime1[Helper2], 0))</f>
        <v>0</v>
      </c>
      <c r="E531" s="64">
        <f>COUNTIF(_xlfn.XLOOKUP(Table1215[[#This Row],[Name]],Table16[Name],Table16[[September 30, 2025]:[Column18]],,0,1),"&gt;=0")</f>
        <v>0</v>
      </c>
      <c r="F531" s="109" t="str">
        <f>_xlfn.XLOOKUP(Table1215[[#This Row],[Name]],Table1624[Name],Table1624[Totals],,0,1)</f>
        <v>N/A</v>
      </c>
      <c r="G531" s="65" t="str">
        <f>IFERROR(Table1215[[#This Row],[Points]]/Table1215[[#This Row],[GP]],"N/A")</f>
        <v>N/A</v>
      </c>
      <c r="H531" s="64">
        <f>COUNTIF(_xlfn.XLOOKUP(Table1215[[#This Row],[Name]],Table16[Name],Table16[[September 30, 2025]:[Column18]],,0,1),"&gt;=8")</f>
        <v>0</v>
      </c>
      <c r="I531" s="110" t="str">
        <f>IFERROR(AVERAGEIF(_xlfn.XLOOKUP(Table1215[[#This Row],[Name]],Table16[Name],Table16[[September 30, 2025]:[Column18]],,0,1),"&gt;=8"),"N/A")</f>
        <v>N/A</v>
      </c>
      <c r="J531" s="66" t="str">
        <f>IFERROR(Table1215[[#This Row],[FTA]]/Table1215[[#This Row],[GP]],"N/A")</f>
        <v>N/A</v>
      </c>
      <c r="K531" s="67">
        <f>COUNTIF(_xlfn.XLOOKUP(Table1215[[#This Row],[Name]],Table16[Name],Table16[[September 30, 2025]:[Column18]],,0,1),"&gt;=15")</f>
        <v>0</v>
      </c>
    </row>
    <row r="532" spans="2:11">
      <c r="B532" s="82">
        <f>INDEX(AllTime1[All-time rank], MATCH(SMALL(AllTime1[Helper], ROW(Structures!$G527)), AllTime1[Helper], 0))</f>
        <v>300</v>
      </c>
      <c r="C532" s="64" t="str">
        <f>TEXT(INDEX(AllTime1[Name], MATCH(SMALL(AllTime1[Helper], ROW(Structures!$G527)), AllTime1[Helper], 0)),"@")</f>
        <v/>
      </c>
      <c r="D532" s="64">
        <f>INDEX(AllTime1[All-time score], MATCH(LARGE(AllTime1[Helper2], ROW(Structures!$G527)), AllTime1[Helper2], 0))</f>
        <v>0</v>
      </c>
      <c r="E532" s="64">
        <f>COUNTIF(_xlfn.XLOOKUP(Table1215[[#This Row],[Name]],Table16[Name],Table16[[September 30, 2025]:[Column18]],,0,1),"&gt;=0")</f>
        <v>0</v>
      </c>
      <c r="F532" s="109" t="str">
        <f>_xlfn.XLOOKUP(Table1215[[#This Row],[Name]],Table1624[Name],Table1624[Totals],,0,1)</f>
        <v>N/A</v>
      </c>
      <c r="G532" s="65" t="str">
        <f>IFERROR(Table1215[[#This Row],[Points]]/Table1215[[#This Row],[GP]],"N/A")</f>
        <v>N/A</v>
      </c>
      <c r="H532" s="64">
        <f>COUNTIF(_xlfn.XLOOKUP(Table1215[[#This Row],[Name]],Table16[Name],Table16[[September 30, 2025]:[Column18]],,0,1),"&gt;=8")</f>
        <v>0</v>
      </c>
      <c r="I532" s="110" t="str">
        <f>IFERROR(AVERAGEIF(_xlfn.XLOOKUP(Table1215[[#This Row],[Name]],Table16[Name],Table16[[September 30, 2025]:[Column18]],,0,1),"&gt;=8"),"N/A")</f>
        <v>N/A</v>
      </c>
      <c r="J532" s="66" t="str">
        <f>IFERROR(Table1215[[#This Row],[FTA]]/Table1215[[#This Row],[GP]],"N/A")</f>
        <v>N/A</v>
      </c>
      <c r="K532" s="67">
        <f>COUNTIF(_xlfn.XLOOKUP(Table1215[[#This Row],[Name]],Table16[Name],Table16[[September 30, 2025]:[Column18]],,0,1),"&gt;=15")</f>
        <v>0</v>
      </c>
    </row>
    <row r="533" spans="2:11">
      <c r="B533" s="82">
        <f>INDEX(AllTime1[All-time rank], MATCH(SMALL(AllTime1[Helper], ROW(Structures!$G528)), AllTime1[Helper], 0))</f>
        <v>300</v>
      </c>
      <c r="C533" s="64" t="str">
        <f>TEXT(INDEX(AllTime1[Name], MATCH(SMALL(AllTime1[Helper], ROW(Structures!$G528)), AllTime1[Helper], 0)),"@")</f>
        <v/>
      </c>
      <c r="D533" s="64">
        <f>INDEX(AllTime1[All-time score], MATCH(LARGE(AllTime1[Helper2], ROW(Structures!$G528)), AllTime1[Helper2], 0))</f>
        <v>0</v>
      </c>
      <c r="E533" s="64">
        <f>COUNTIF(_xlfn.XLOOKUP(Table1215[[#This Row],[Name]],Table16[Name],Table16[[September 30, 2025]:[Column18]],,0,1),"&gt;=0")</f>
        <v>0</v>
      </c>
      <c r="F533" s="109" t="str">
        <f>_xlfn.XLOOKUP(Table1215[[#This Row],[Name]],Table1624[Name],Table1624[Totals],,0,1)</f>
        <v>N/A</v>
      </c>
      <c r="G533" s="65" t="str">
        <f>IFERROR(Table1215[[#This Row],[Points]]/Table1215[[#This Row],[GP]],"N/A")</f>
        <v>N/A</v>
      </c>
      <c r="H533" s="64">
        <f>COUNTIF(_xlfn.XLOOKUP(Table1215[[#This Row],[Name]],Table16[Name],Table16[[September 30, 2025]:[Column18]],,0,1),"&gt;=8")</f>
        <v>0</v>
      </c>
      <c r="I533" s="110" t="str">
        <f>IFERROR(AVERAGEIF(_xlfn.XLOOKUP(Table1215[[#This Row],[Name]],Table16[Name],Table16[[September 30, 2025]:[Column18]],,0,1),"&gt;=8"),"N/A")</f>
        <v>N/A</v>
      </c>
      <c r="J533" s="66" t="str">
        <f>IFERROR(Table1215[[#This Row],[FTA]]/Table1215[[#This Row],[GP]],"N/A")</f>
        <v>N/A</v>
      </c>
      <c r="K533" s="67">
        <f>COUNTIF(_xlfn.XLOOKUP(Table1215[[#This Row],[Name]],Table16[Name],Table16[[September 30, 2025]:[Column18]],,0,1),"&gt;=15")</f>
        <v>0</v>
      </c>
    </row>
    <row r="534" spans="2:11">
      <c r="B534" s="82">
        <f>INDEX(AllTime1[All-time rank], MATCH(SMALL(AllTime1[Helper], ROW(Structures!$G529)), AllTime1[Helper], 0))</f>
        <v>300</v>
      </c>
      <c r="C534" s="64" t="str">
        <f>TEXT(INDEX(AllTime1[Name], MATCH(SMALL(AllTime1[Helper], ROW(Structures!$G529)), AllTime1[Helper], 0)),"@")</f>
        <v/>
      </c>
      <c r="D534" s="64">
        <f>INDEX(AllTime1[All-time score], MATCH(LARGE(AllTime1[Helper2], ROW(Structures!$G529)), AllTime1[Helper2], 0))</f>
        <v>0</v>
      </c>
      <c r="E534" s="64">
        <f>COUNTIF(_xlfn.XLOOKUP(Table1215[[#This Row],[Name]],Table16[Name],Table16[[September 30, 2025]:[Column18]],,0,1),"&gt;=0")</f>
        <v>0</v>
      </c>
      <c r="F534" s="109" t="str">
        <f>_xlfn.XLOOKUP(Table1215[[#This Row],[Name]],Table1624[Name],Table1624[Totals],,0,1)</f>
        <v>N/A</v>
      </c>
      <c r="G534" s="65" t="str">
        <f>IFERROR(Table1215[[#This Row],[Points]]/Table1215[[#This Row],[GP]],"N/A")</f>
        <v>N/A</v>
      </c>
      <c r="H534" s="64">
        <f>COUNTIF(_xlfn.XLOOKUP(Table1215[[#This Row],[Name]],Table16[Name],Table16[[September 30, 2025]:[Column18]],,0,1),"&gt;=8")</f>
        <v>0</v>
      </c>
      <c r="I534" s="110" t="str">
        <f>IFERROR(AVERAGEIF(_xlfn.XLOOKUP(Table1215[[#This Row],[Name]],Table16[Name],Table16[[September 30, 2025]:[Column18]],,0,1),"&gt;=8"),"N/A")</f>
        <v>N/A</v>
      </c>
      <c r="J534" s="66" t="str">
        <f>IFERROR(Table1215[[#This Row],[FTA]]/Table1215[[#This Row],[GP]],"N/A")</f>
        <v>N/A</v>
      </c>
      <c r="K534" s="67">
        <f>COUNTIF(_xlfn.XLOOKUP(Table1215[[#This Row],[Name]],Table16[Name],Table16[[September 30, 2025]:[Column18]],,0,1),"&gt;=15")</f>
        <v>0</v>
      </c>
    </row>
    <row r="535" spans="2:11">
      <c r="B535" s="82">
        <f>INDEX(AllTime1[All-time rank], MATCH(SMALL(AllTime1[Helper], ROW(Structures!$G530)), AllTime1[Helper], 0))</f>
        <v>300</v>
      </c>
      <c r="C535" s="64" t="str">
        <f>TEXT(INDEX(AllTime1[Name], MATCH(SMALL(AllTime1[Helper], ROW(Structures!$G530)), AllTime1[Helper], 0)),"@")</f>
        <v/>
      </c>
      <c r="D535" s="64">
        <f>INDEX(AllTime1[All-time score], MATCH(LARGE(AllTime1[Helper2], ROW(Structures!$G530)), AllTime1[Helper2], 0))</f>
        <v>0</v>
      </c>
      <c r="E535" s="64">
        <f>COUNTIF(_xlfn.XLOOKUP(Table1215[[#This Row],[Name]],Table16[Name],Table16[[September 30, 2025]:[Column18]],,0,1),"&gt;=0")</f>
        <v>0</v>
      </c>
      <c r="F535" s="109" t="str">
        <f>_xlfn.XLOOKUP(Table1215[[#This Row],[Name]],Table1624[Name],Table1624[Totals],,0,1)</f>
        <v>N/A</v>
      </c>
      <c r="G535" s="65" t="str">
        <f>IFERROR(Table1215[[#This Row],[Points]]/Table1215[[#This Row],[GP]],"N/A")</f>
        <v>N/A</v>
      </c>
      <c r="H535" s="64">
        <f>COUNTIF(_xlfn.XLOOKUP(Table1215[[#This Row],[Name]],Table16[Name],Table16[[September 30, 2025]:[Column18]],,0,1),"&gt;=8")</f>
        <v>0</v>
      </c>
      <c r="I535" s="110" t="str">
        <f>IFERROR(AVERAGEIF(_xlfn.XLOOKUP(Table1215[[#This Row],[Name]],Table16[Name],Table16[[September 30, 2025]:[Column18]],,0,1),"&gt;=8"),"N/A")</f>
        <v>N/A</v>
      </c>
      <c r="J535" s="66" t="str">
        <f>IFERROR(Table1215[[#This Row],[FTA]]/Table1215[[#This Row],[GP]],"N/A")</f>
        <v>N/A</v>
      </c>
      <c r="K535" s="67">
        <f>COUNTIF(_xlfn.XLOOKUP(Table1215[[#This Row],[Name]],Table16[Name],Table16[[September 30, 2025]:[Column18]],,0,1),"&gt;=15")</f>
        <v>0</v>
      </c>
    </row>
    <row r="536" spans="2:11">
      <c r="B536" s="82">
        <f>INDEX(AllTime1[All-time rank], MATCH(SMALL(AllTime1[Helper], ROW(Structures!$G531)), AllTime1[Helper], 0))</f>
        <v>300</v>
      </c>
      <c r="C536" s="64" t="str">
        <f>TEXT(INDEX(AllTime1[Name], MATCH(SMALL(AllTime1[Helper], ROW(Structures!$G531)), AllTime1[Helper], 0)),"@")</f>
        <v/>
      </c>
      <c r="D536" s="64">
        <f>INDEX(AllTime1[All-time score], MATCH(LARGE(AllTime1[Helper2], ROW(Structures!$G531)), AllTime1[Helper2], 0))</f>
        <v>0</v>
      </c>
      <c r="E536" s="64">
        <f>COUNTIF(_xlfn.XLOOKUP(Table1215[[#This Row],[Name]],Table16[Name],Table16[[September 30, 2025]:[Column18]],,0,1),"&gt;=0")</f>
        <v>0</v>
      </c>
      <c r="F536" s="109" t="str">
        <f>_xlfn.XLOOKUP(Table1215[[#This Row],[Name]],Table1624[Name],Table1624[Totals],,0,1)</f>
        <v>N/A</v>
      </c>
      <c r="G536" s="65" t="str">
        <f>IFERROR(Table1215[[#This Row],[Points]]/Table1215[[#This Row],[GP]],"N/A")</f>
        <v>N/A</v>
      </c>
      <c r="H536" s="64">
        <f>COUNTIF(_xlfn.XLOOKUP(Table1215[[#This Row],[Name]],Table16[Name],Table16[[September 30, 2025]:[Column18]],,0,1),"&gt;=8")</f>
        <v>0</v>
      </c>
      <c r="I536" s="110" t="str">
        <f>IFERROR(AVERAGEIF(_xlfn.XLOOKUP(Table1215[[#This Row],[Name]],Table16[Name],Table16[[September 30, 2025]:[Column18]],,0,1),"&gt;=8"),"N/A")</f>
        <v>N/A</v>
      </c>
      <c r="J536" s="66" t="str">
        <f>IFERROR(Table1215[[#This Row],[FTA]]/Table1215[[#This Row],[GP]],"N/A")</f>
        <v>N/A</v>
      </c>
      <c r="K536" s="67">
        <f>COUNTIF(_xlfn.XLOOKUP(Table1215[[#This Row],[Name]],Table16[Name],Table16[[September 30, 2025]:[Column18]],,0,1),"&gt;=15")</f>
        <v>0</v>
      </c>
    </row>
    <row r="537" spans="2:11">
      <c r="B537" s="82">
        <f>INDEX(AllTime1[All-time rank], MATCH(SMALL(AllTime1[Helper], ROW(Structures!$G532)), AllTime1[Helper], 0))</f>
        <v>300</v>
      </c>
      <c r="C537" s="64" t="str">
        <f>TEXT(INDEX(AllTime1[Name], MATCH(SMALL(AllTime1[Helper], ROW(Structures!$G532)), AllTime1[Helper], 0)),"@")</f>
        <v/>
      </c>
      <c r="D537" s="64">
        <f>INDEX(AllTime1[All-time score], MATCH(LARGE(AllTime1[Helper2], ROW(Structures!$G532)), AllTime1[Helper2], 0))</f>
        <v>0</v>
      </c>
      <c r="E537" s="64">
        <f>COUNTIF(_xlfn.XLOOKUP(Table1215[[#This Row],[Name]],Table16[Name],Table16[[September 30, 2025]:[Column18]],,0,1),"&gt;=0")</f>
        <v>0</v>
      </c>
      <c r="F537" s="109" t="str">
        <f>_xlfn.XLOOKUP(Table1215[[#This Row],[Name]],Table1624[Name],Table1624[Totals],,0,1)</f>
        <v>N/A</v>
      </c>
      <c r="G537" s="65" t="str">
        <f>IFERROR(Table1215[[#This Row],[Points]]/Table1215[[#This Row],[GP]],"N/A")</f>
        <v>N/A</v>
      </c>
      <c r="H537" s="64">
        <f>COUNTIF(_xlfn.XLOOKUP(Table1215[[#This Row],[Name]],Table16[Name],Table16[[September 30, 2025]:[Column18]],,0,1),"&gt;=8")</f>
        <v>0</v>
      </c>
      <c r="I537" s="110" t="str">
        <f>IFERROR(AVERAGEIF(_xlfn.XLOOKUP(Table1215[[#This Row],[Name]],Table16[Name],Table16[[September 30, 2025]:[Column18]],,0,1),"&gt;=8"),"N/A")</f>
        <v>N/A</v>
      </c>
      <c r="J537" s="66" t="str">
        <f>IFERROR(Table1215[[#This Row],[FTA]]/Table1215[[#This Row],[GP]],"N/A")</f>
        <v>N/A</v>
      </c>
      <c r="K537" s="67">
        <f>COUNTIF(_xlfn.XLOOKUP(Table1215[[#This Row],[Name]],Table16[Name],Table16[[September 30, 2025]:[Column18]],,0,1),"&gt;=15")</f>
        <v>0</v>
      </c>
    </row>
    <row r="538" spans="2:11">
      <c r="B538" s="82">
        <f>INDEX(AllTime1[All-time rank], MATCH(SMALL(AllTime1[Helper], ROW(Structures!$G533)), AllTime1[Helper], 0))</f>
        <v>300</v>
      </c>
      <c r="C538" s="64" t="str">
        <f>TEXT(INDEX(AllTime1[Name], MATCH(SMALL(AllTime1[Helper], ROW(Structures!$G533)), AllTime1[Helper], 0)),"@")</f>
        <v/>
      </c>
      <c r="D538" s="64">
        <f>INDEX(AllTime1[All-time score], MATCH(LARGE(AllTime1[Helper2], ROW(Structures!$G533)), AllTime1[Helper2], 0))</f>
        <v>0</v>
      </c>
      <c r="E538" s="64">
        <f>COUNTIF(_xlfn.XLOOKUP(Table1215[[#This Row],[Name]],Table16[Name],Table16[[September 30, 2025]:[Column18]],,0,1),"&gt;=0")</f>
        <v>0</v>
      </c>
      <c r="F538" s="109" t="str">
        <f>_xlfn.XLOOKUP(Table1215[[#This Row],[Name]],Table1624[Name],Table1624[Totals],,0,1)</f>
        <v>N/A</v>
      </c>
      <c r="G538" s="65" t="str">
        <f>IFERROR(Table1215[[#This Row],[Points]]/Table1215[[#This Row],[GP]],"N/A")</f>
        <v>N/A</v>
      </c>
      <c r="H538" s="64">
        <f>COUNTIF(_xlfn.XLOOKUP(Table1215[[#This Row],[Name]],Table16[Name],Table16[[September 30, 2025]:[Column18]],,0,1),"&gt;=8")</f>
        <v>0</v>
      </c>
      <c r="I538" s="110" t="str">
        <f>IFERROR(AVERAGEIF(_xlfn.XLOOKUP(Table1215[[#This Row],[Name]],Table16[Name],Table16[[September 30, 2025]:[Column18]],,0,1),"&gt;=8"),"N/A")</f>
        <v>N/A</v>
      </c>
      <c r="J538" s="66" t="str">
        <f>IFERROR(Table1215[[#This Row],[FTA]]/Table1215[[#This Row],[GP]],"N/A")</f>
        <v>N/A</v>
      </c>
      <c r="K538" s="67">
        <f>COUNTIF(_xlfn.XLOOKUP(Table1215[[#This Row],[Name]],Table16[Name],Table16[[September 30, 2025]:[Column18]],,0,1),"&gt;=15")</f>
        <v>0</v>
      </c>
    </row>
    <row r="539" spans="2:11">
      <c r="B539" s="82">
        <f>INDEX(AllTime1[All-time rank], MATCH(SMALL(AllTime1[Helper], ROW(Structures!$G534)), AllTime1[Helper], 0))</f>
        <v>300</v>
      </c>
      <c r="C539" s="64" t="str">
        <f>TEXT(INDEX(AllTime1[Name], MATCH(SMALL(AllTime1[Helper], ROW(Structures!$G534)), AllTime1[Helper], 0)),"@")</f>
        <v/>
      </c>
      <c r="D539" s="64">
        <f>INDEX(AllTime1[All-time score], MATCH(LARGE(AllTime1[Helper2], ROW(Structures!$G534)), AllTime1[Helper2], 0))</f>
        <v>0</v>
      </c>
      <c r="E539" s="64">
        <f>COUNTIF(_xlfn.XLOOKUP(Table1215[[#This Row],[Name]],Table16[Name],Table16[[September 30, 2025]:[Column18]],,0,1),"&gt;=0")</f>
        <v>0</v>
      </c>
      <c r="F539" s="109" t="str">
        <f>_xlfn.XLOOKUP(Table1215[[#This Row],[Name]],Table1624[Name],Table1624[Totals],,0,1)</f>
        <v>N/A</v>
      </c>
      <c r="G539" s="65" t="str">
        <f>IFERROR(Table1215[[#This Row],[Points]]/Table1215[[#This Row],[GP]],"N/A")</f>
        <v>N/A</v>
      </c>
      <c r="H539" s="64">
        <f>COUNTIF(_xlfn.XLOOKUP(Table1215[[#This Row],[Name]],Table16[Name],Table16[[September 30, 2025]:[Column18]],,0,1),"&gt;=8")</f>
        <v>0</v>
      </c>
      <c r="I539" s="110" t="str">
        <f>IFERROR(AVERAGEIF(_xlfn.XLOOKUP(Table1215[[#This Row],[Name]],Table16[Name],Table16[[September 30, 2025]:[Column18]],,0,1),"&gt;=8"),"N/A")</f>
        <v>N/A</v>
      </c>
      <c r="J539" s="66" t="str">
        <f>IFERROR(Table1215[[#This Row],[FTA]]/Table1215[[#This Row],[GP]],"N/A")</f>
        <v>N/A</v>
      </c>
      <c r="K539" s="67">
        <f>COUNTIF(_xlfn.XLOOKUP(Table1215[[#This Row],[Name]],Table16[Name],Table16[[September 30, 2025]:[Column18]],,0,1),"&gt;=15")</f>
        <v>0</v>
      </c>
    </row>
    <row r="540" spans="2:11">
      <c r="B540" s="82">
        <f>INDEX(AllTime1[All-time rank], MATCH(SMALL(AllTime1[Helper], ROW(Structures!$G535)), AllTime1[Helper], 0))</f>
        <v>300</v>
      </c>
      <c r="C540" s="64" t="str">
        <f>TEXT(INDEX(AllTime1[Name], MATCH(SMALL(AllTime1[Helper], ROW(Structures!$G535)), AllTime1[Helper], 0)),"@")</f>
        <v/>
      </c>
      <c r="D540" s="64">
        <f>INDEX(AllTime1[All-time score], MATCH(LARGE(AllTime1[Helper2], ROW(Structures!$G535)), AllTime1[Helper2], 0))</f>
        <v>0</v>
      </c>
      <c r="E540" s="64">
        <f>COUNTIF(_xlfn.XLOOKUP(Table1215[[#This Row],[Name]],Table16[Name],Table16[[September 30, 2025]:[Column18]],,0,1),"&gt;=0")</f>
        <v>0</v>
      </c>
      <c r="F540" s="109" t="str">
        <f>_xlfn.XLOOKUP(Table1215[[#This Row],[Name]],Table1624[Name],Table1624[Totals],,0,1)</f>
        <v>N/A</v>
      </c>
      <c r="G540" s="65" t="str">
        <f>IFERROR(Table1215[[#This Row],[Points]]/Table1215[[#This Row],[GP]],"N/A")</f>
        <v>N/A</v>
      </c>
      <c r="H540" s="64">
        <f>COUNTIF(_xlfn.XLOOKUP(Table1215[[#This Row],[Name]],Table16[Name],Table16[[September 30, 2025]:[Column18]],,0,1),"&gt;=8")</f>
        <v>0</v>
      </c>
      <c r="I540" s="110" t="str">
        <f>IFERROR(AVERAGEIF(_xlfn.XLOOKUP(Table1215[[#This Row],[Name]],Table16[Name],Table16[[September 30, 2025]:[Column18]],,0,1),"&gt;=8"),"N/A")</f>
        <v>N/A</v>
      </c>
      <c r="J540" s="66" t="str">
        <f>IFERROR(Table1215[[#This Row],[FTA]]/Table1215[[#This Row],[GP]],"N/A")</f>
        <v>N/A</v>
      </c>
      <c r="K540" s="67">
        <f>COUNTIF(_xlfn.XLOOKUP(Table1215[[#This Row],[Name]],Table16[Name],Table16[[September 30, 2025]:[Column18]],,0,1),"&gt;=15")</f>
        <v>0</v>
      </c>
    </row>
    <row r="541" spans="2:11">
      <c r="B541" s="82">
        <f>INDEX(AllTime1[All-time rank], MATCH(SMALL(AllTime1[Helper], ROW(Structures!$G536)), AllTime1[Helper], 0))</f>
        <v>300</v>
      </c>
      <c r="C541" s="64" t="str">
        <f>TEXT(INDEX(AllTime1[Name], MATCH(SMALL(AllTime1[Helper], ROW(Structures!$G536)), AllTime1[Helper], 0)),"@")</f>
        <v/>
      </c>
      <c r="D541" s="64">
        <f>INDEX(AllTime1[All-time score], MATCH(LARGE(AllTime1[Helper2], ROW(Structures!$G536)), AllTime1[Helper2], 0))</f>
        <v>0</v>
      </c>
      <c r="E541" s="64">
        <f>COUNTIF(_xlfn.XLOOKUP(Table1215[[#This Row],[Name]],Table16[Name],Table16[[September 30, 2025]:[Column18]],,0,1),"&gt;=0")</f>
        <v>0</v>
      </c>
      <c r="F541" s="109" t="str">
        <f>_xlfn.XLOOKUP(Table1215[[#This Row],[Name]],Table1624[Name],Table1624[Totals],,0,1)</f>
        <v>N/A</v>
      </c>
      <c r="G541" s="65" t="str">
        <f>IFERROR(Table1215[[#This Row],[Points]]/Table1215[[#This Row],[GP]],"N/A")</f>
        <v>N/A</v>
      </c>
      <c r="H541" s="64">
        <f>COUNTIF(_xlfn.XLOOKUP(Table1215[[#This Row],[Name]],Table16[Name],Table16[[September 30, 2025]:[Column18]],,0,1),"&gt;=8")</f>
        <v>0</v>
      </c>
      <c r="I541" s="110" t="str">
        <f>IFERROR(AVERAGEIF(_xlfn.XLOOKUP(Table1215[[#This Row],[Name]],Table16[Name],Table16[[September 30, 2025]:[Column18]],,0,1),"&gt;=8"),"N/A")</f>
        <v>N/A</v>
      </c>
      <c r="J541" s="66" t="str">
        <f>IFERROR(Table1215[[#This Row],[FTA]]/Table1215[[#This Row],[GP]],"N/A")</f>
        <v>N/A</v>
      </c>
      <c r="K541" s="67">
        <f>COUNTIF(_xlfn.XLOOKUP(Table1215[[#This Row],[Name]],Table16[Name],Table16[[September 30, 2025]:[Column18]],,0,1),"&gt;=15")</f>
        <v>0</v>
      </c>
    </row>
    <row r="542" spans="2:11">
      <c r="B542" s="82">
        <f>INDEX(AllTime1[All-time rank], MATCH(SMALL(AllTime1[Helper], ROW(Structures!$G537)), AllTime1[Helper], 0))</f>
        <v>300</v>
      </c>
      <c r="C542" s="64" t="str">
        <f>TEXT(INDEX(AllTime1[Name], MATCH(SMALL(AllTime1[Helper], ROW(Structures!$G537)), AllTime1[Helper], 0)),"@")</f>
        <v/>
      </c>
      <c r="D542" s="64">
        <f>INDEX(AllTime1[All-time score], MATCH(LARGE(AllTime1[Helper2], ROW(Structures!$G537)), AllTime1[Helper2], 0))</f>
        <v>0</v>
      </c>
      <c r="E542" s="64">
        <f>COUNTIF(_xlfn.XLOOKUP(Table1215[[#This Row],[Name]],Table16[Name],Table16[[September 30, 2025]:[Column18]],,0,1),"&gt;=0")</f>
        <v>0</v>
      </c>
      <c r="F542" s="109" t="str">
        <f>_xlfn.XLOOKUP(Table1215[[#This Row],[Name]],Table1624[Name],Table1624[Totals],,0,1)</f>
        <v>N/A</v>
      </c>
      <c r="G542" s="65" t="str">
        <f>IFERROR(Table1215[[#This Row],[Points]]/Table1215[[#This Row],[GP]],"N/A")</f>
        <v>N/A</v>
      </c>
      <c r="H542" s="64">
        <f>COUNTIF(_xlfn.XLOOKUP(Table1215[[#This Row],[Name]],Table16[Name],Table16[[September 30, 2025]:[Column18]],,0,1),"&gt;=8")</f>
        <v>0</v>
      </c>
      <c r="I542" s="110" t="str">
        <f>IFERROR(AVERAGEIF(_xlfn.XLOOKUP(Table1215[[#This Row],[Name]],Table16[Name],Table16[[September 30, 2025]:[Column18]],,0,1),"&gt;=8"),"N/A")</f>
        <v>N/A</v>
      </c>
      <c r="J542" s="66" t="str">
        <f>IFERROR(Table1215[[#This Row],[FTA]]/Table1215[[#This Row],[GP]],"N/A")</f>
        <v>N/A</v>
      </c>
      <c r="K542" s="67">
        <f>COUNTIF(_xlfn.XLOOKUP(Table1215[[#This Row],[Name]],Table16[Name],Table16[[September 30, 2025]:[Column18]],,0,1),"&gt;=15")</f>
        <v>0</v>
      </c>
    </row>
    <row r="543" spans="2:11">
      <c r="B543" s="82">
        <f>INDEX(AllTime1[All-time rank], MATCH(SMALL(AllTime1[Helper], ROW(Structures!$G538)), AllTime1[Helper], 0))</f>
        <v>300</v>
      </c>
      <c r="C543" s="64" t="str">
        <f>TEXT(INDEX(AllTime1[Name], MATCH(SMALL(AllTime1[Helper], ROW(Structures!$G538)), AllTime1[Helper], 0)),"@")</f>
        <v/>
      </c>
      <c r="D543" s="64">
        <f>INDEX(AllTime1[All-time score], MATCH(LARGE(AllTime1[Helper2], ROW(Structures!$G538)), AllTime1[Helper2], 0))</f>
        <v>0</v>
      </c>
      <c r="E543" s="64">
        <f>COUNTIF(_xlfn.XLOOKUP(Table1215[[#This Row],[Name]],Table16[Name],Table16[[September 30, 2025]:[Column18]],,0,1),"&gt;=0")</f>
        <v>0</v>
      </c>
      <c r="F543" s="109" t="str">
        <f>_xlfn.XLOOKUP(Table1215[[#This Row],[Name]],Table1624[Name],Table1624[Totals],,0,1)</f>
        <v>N/A</v>
      </c>
      <c r="G543" s="65" t="str">
        <f>IFERROR(Table1215[[#This Row],[Points]]/Table1215[[#This Row],[GP]],"N/A")</f>
        <v>N/A</v>
      </c>
      <c r="H543" s="64">
        <f>COUNTIF(_xlfn.XLOOKUP(Table1215[[#This Row],[Name]],Table16[Name],Table16[[September 30, 2025]:[Column18]],,0,1),"&gt;=8")</f>
        <v>0</v>
      </c>
      <c r="I543" s="110" t="str">
        <f>IFERROR(AVERAGEIF(_xlfn.XLOOKUP(Table1215[[#This Row],[Name]],Table16[Name],Table16[[September 30, 2025]:[Column18]],,0,1),"&gt;=8"),"N/A")</f>
        <v>N/A</v>
      </c>
      <c r="J543" s="66" t="str">
        <f>IFERROR(Table1215[[#This Row],[FTA]]/Table1215[[#This Row],[GP]],"N/A")</f>
        <v>N/A</v>
      </c>
      <c r="K543" s="67">
        <f>COUNTIF(_xlfn.XLOOKUP(Table1215[[#This Row],[Name]],Table16[Name],Table16[[September 30, 2025]:[Column18]],,0,1),"&gt;=15")</f>
        <v>0</v>
      </c>
    </row>
    <row r="544" spans="2:11">
      <c r="B544" s="82">
        <f>INDEX(AllTime1[All-time rank], MATCH(SMALL(AllTime1[Helper], ROW(Structures!$G539)), AllTime1[Helper], 0))</f>
        <v>300</v>
      </c>
      <c r="C544" s="64" t="str">
        <f>TEXT(INDEX(AllTime1[Name], MATCH(SMALL(AllTime1[Helper], ROW(Structures!$G539)), AllTime1[Helper], 0)),"@")</f>
        <v/>
      </c>
      <c r="D544" s="64">
        <f>INDEX(AllTime1[All-time score], MATCH(LARGE(AllTime1[Helper2], ROW(Structures!$G539)), AllTime1[Helper2], 0))</f>
        <v>0</v>
      </c>
      <c r="E544" s="64">
        <f>COUNTIF(_xlfn.XLOOKUP(Table1215[[#This Row],[Name]],Table16[Name],Table16[[September 30, 2025]:[Column18]],,0,1),"&gt;=0")</f>
        <v>0</v>
      </c>
      <c r="F544" s="109" t="str">
        <f>_xlfn.XLOOKUP(Table1215[[#This Row],[Name]],Table1624[Name],Table1624[Totals],,0,1)</f>
        <v>N/A</v>
      </c>
      <c r="G544" s="65" t="str">
        <f>IFERROR(Table1215[[#This Row],[Points]]/Table1215[[#This Row],[GP]],"N/A")</f>
        <v>N/A</v>
      </c>
      <c r="H544" s="64">
        <f>COUNTIF(_xlfn.XLOOKUP(Table1215[[#This Row],[Name]],Table16[Name],Table16[[September 30, 2025]:[Column18]],,0,1),"&gt;=8")</f>
        <v>0</v>
      </c>
      <c r="I544" s="110" t="str">
        <f>IFERROR(AVERAGEIF(_xlfn.XLOOKUP(Table1215[[#This Row],[Name]],Table16[Name],Table16[[September 30, 2025]:[Column18]],,0,1),"&gt;=8"),"N/A")</f>
        <v>N/A</v>
      </c>
      <c r="J544" s="66" t="str">
        <f>IFERROR(Table1215[[#This Row],[FTA]]/Table1215[[#This Row],[GP]],"N/A")</f>
        <v>N/A</v>
      </c>
      <c r="K544" s="67">
        <f>COUNTIF(_xlfn.XLOOKUP(Table1215[[#This Row],[Name]],Table16[Name],Table16[[September 30, 2025]:[Column18]],,0,1),"&gt;=15")</f>
        <v>0</v>
      </c>
    </row>
    <row r="545" spans="2:11">
      <c r="B545" s="82">
        <f>INDEX(AllTime1[All-time rank], MATCH(SMALL(AllTime1[Helper], ROW(Structures!$G540)), AllTime1[Helper], 0))</f>
        <v>300</v>
      </c>
      <c r="C545" s="64" t="str">
        <f>TEXT(INDEX(AllTime1[Name], MATCH(SMALL(AllTime1[Helper], ROW(Structures!$G540)), AllTime1[Helper], 0)),"@")</f>
        <v/>
      </c>
      <c r="D545" s="64">
        <f>INDEX(AllTime1[All-time score], MATCH(LARGE(AllTime1[Helper2], ROW(Structures!$G540)), AllTime1[Helper2], 0))</f>
        <v>0</v>
      </c>
      <c r="E545" s="64">
        <f>COUNTIF(_xlfn.XLOOKUP(Table1215[[#This Row],[Name]],Table16[Name],Table16[[September 30, 2025]:[Column18]],,0,1),"&gt;=0")</f>
        <v>0</v>
      </c>
      <c r="F545" s="109" t="str">
        <f>_xlfn.XLOOKUP(Table1215[[#This Row],[Name]],Table1624[Name],Table1624[Totals],,0,1)</f>
        <v>N/A</v>
      </c>
      <c r="G545" s="65" t="str">
        <f>IFERROR(Table1215[[#This Row],[Points]]/Table1215[[#This Row],[GP]],"N/A")</f>
        <v>N/A</v>
      </c>
      <c r="H545" s="64">
        <f>COUNTIF(_xlfn.XLOOKUP(Table1215[[#This Row],[Name]],Table16[Name],Table16[[September 30, 2025]:[Column18]],,0,1),"&gt;=8")</f>
        <v>0</v>
      </c>
      <c r="I545" s="110" t="str">
        <f>IFERROR(AVERAGEIF(_xlfn.XLOOKUP(Table1215[[#This Row],[Name]],Table16[Name],Table16[[September 30, 2025]:[Column18]],,0,1),"&gt;=8"),"N/A")</f>
        <v>N/A</v>
      </c>
      <c r="J545" s="66" t="str">
        <f>IFERROR(Table1215[[#This Row],[FTA]]/Table1215[[#This Row],[GP]],"N/A")</f>
        <v>N/A</v>
      </c>
      <c r="K545" s="67">
        <f>COUNTIF(_xlfn.XLOOKUP(Table1215[[#This Row],[Name]],Table16[Name],Table16[[September 30, 2025]:[Column18]],,0,1),"&gt;=15")</f>
        <v>0</v>
      </c>
    </row>
    <row r="546" spans="2:11">
      <c r="B546" s="82">
        <f>INDEX(AllTime1[All-time rank], MATCH(SMALL(AllTime1[Helper], ROW(Structures!$G541)), AllTime1[Helper], 0))</f>
        <v>300</v>
      </c>
      <c r="C546" s="64" t="str">
        <f>TEXT(INDEX(AllTime1[Name], MATCH(SMALL(AllTime1[Helper], ROW(Structures!$G541)), AllTime1[Helper], 0)),"@")</f>
        <v/>
      </c>
      <c r="D546" s="64">
        <f>INDEX(AllTime1[All-time score], MATCH(LARGE(AllTime1[Helper2], ROW(Structures!$G541)), AllTime1[Helper2], 0))</f>
        <v>0</v>
      </c>
      <c r="E546" s="64">
        <f>COUNTIF(_xlfn.XLOOKUP(Table1215[[#This Row],[Name]],Table16[Name],Table16[[September 30, 2025]:[Column18]],,0,1),"&gt;=0")</f>
        <v>0</v>
      </c>
      <c r="F546" s="109" t="str">
        <f>_xlfn.XLOOKUP(Table1215[[#This Row],[Name]],Table1624[Name],Table1624[Totals],,0,1)</f>
        <v>N/A</v>
      </c>
      <c r="G546" s="65" t="str">
        <f>IFERROR(Table1215[[#This Row],[Points]]/Table1215[[#This Row],[GP]],"N/A")</f>
        <v>N/A</v>
      </c>
      <c r="H546" s="64">
        <f>COUNTIF(_xlfn.XLOOKUP(Table1215[[#This Row],[Name]],Table16[Name],Table16[[September 30, 2025]:[Column18]],,0,1),"&gt;=8")</f>
        <v>0</v>
      </c>
      <c r="I546" s="110" t="str">
        <f>IFERROR(AVERAGEIF(_xlfn.XLOOKUP(Table1215[[#This Row],[Name]],Table16[Name],Table16[[September 30, 2025]:[Column18]],,0,1),"&gt;=8"),"N/A")</f>
        <v>N/A</v>
      </c>
      <c r="J546" s="66" t="str">
        <f>IFERROR(Table1215[[#This Row],[FTA]]/Table1215[[#This Row],[GP]],"N/A")</f>
        <v>N/A</v>
      </c>
      <c r="K546" s="67">
        <f>COUNTIF(_xlfn.XLOOKUP(Table1215[[#This Row],[Name]],Table16[Name],Table16[[September 30, 2025]:[Column18]],,0,1),"&gt;=15")</f>
        <v>0</v>
      </c>
    </row>
    <row r="547" spans="2:11">
      <c r="B547" s="82">
        <f>INDEX(AllTime1[All-time rank], MATCH(SMALL(AllTime1[Helper], ROW(Structures!$G542)), AllTime1[Helper], 0))</f>
        <v>300</v>
      </c>
      <c r="C547" s="64" t="str">
        <f>TEXT(INDEX(AllTime1[Name], MATCH(SMALL(AllTime1[Helper], ROW(Structures!$G542)), AllTime1[Helper], 0)),"@")</f>
        <v/>
      </c>
      <c r="D547" s="64">
        <f>INDEX(AllTime1[All-time score], MATCH(LARGE(AllTime1[Helper2], ROW(Structures!$G542)), AllTime1[Helper2], 0))</f>
        <v>0</v>
      </c>
      <c r="E547" s="64">
        <f>COUNTIF(_xlfn.XLOOKUP(Table1215[[#This Row],[Name]],Table16[Name],Table16[[September 30, 2025]:[Column18]],,0,1),"&gt;=0")</f>
        <v>0</v>
      </c>
      <c r="F547" s="109" t="str">
        <f>_xlfn.XLOOKUP(Table1215[[#This Row],[Name]],Table1624[Name],Table1624[Totals],,0,1)</f>
        <v>N/A</v>
      </c>
      <c r="G547" s="65" t="str">
        <f>IFERROR(Table1215[[#This Row],[Points]]/Table1215[[#This Row],[GP]],"N/A")</f>
        <v>N/A</v>
      </c>
      <c r="H547" s="64">
        <f>COUNTIF(_xlfn.XLOOKUP(Table1215[[#This Row],[Name]],Table16[Name],Table16[[September 30, 2025]:[Column18]],,0,1),"&gt;=8")</f>
        <v>0</v>
      </c>
      <c r="I547" s="110" t="str">
        <f>IFERROR(AVERAGEIF(_xlfn.XLOOKUP(Table1215[[#This Row],[Name]],Table16[Name],Table16[[September 30, 2025]:[Column18]],,0,1),"&gt;=8"),"N/A")</f>
        <v>N/A</v>
      </c>
      <c r="J547" s="66" t="str">
        <f>IFERROR(Table1215[[#This Row],[FTA]]/Table1215[[#This Row],[GP]],"N/A")</f>
        <v>N/A</v>
      </c>
      <c r="K547" s="67">
        <f>COUNTIF(_xlfn.XLOOKUP(Table1215[[#This Row],[Name]],Table16[Name],Table16[[September 30, 2025]:[Column18]],,0,1),"&gt;=15")</f>
        <v>0</v>
      </c>
    </row>
    <row r="548" spans="2:11">
      <c r="B548" s="82">
        <f>INDEX(AllTime1[All-time rank], MATCH(SMALL(AllTime1[Helper], ROW(Structures!$G543)), AllTime1[Helper], 0))</f>
        <v>300</v>
      </c>
      <c r="C548" s="64" t="str">
        <f>TEXT(INDEX(AllTime1[Name], MATCH(SMALL(AllTime1[Helper], ROW(Structures!$G543)), AllTime1[Helper], 0)),"@")</f>
        <v/>
      </c>
      <c r="D548" s="64">
        <f>INDEX(AllTime1[All-time score], MATCH(LARGE(AllTime1[Helper2], ROW(Structures!$G543)), AllTime1[Helper2], 0))</f>
        <v>0</v>
      </c>
      <c r="E548" s="64">
        <f>COUNTIF(_xlfn.XLOOKUP(Table1215[[#This Row],[Name]],Table16[Name],Table16[[September 30, 2025]:[Column18]],,0,1),"&gt;=0")</f>
        <v>0</v>
      </c>
      <c r="F548" s="109" t="str">
        <f>_xlfn.XLOOKUP(Table1215[[#This Row],[Name]],Table1624[Name],Table1624[Totals],,0,1)</f>
        <v>N/A</v>
      </c>
      <c r="G548" s="65" t="str">
        <f>IFERROR(Table1215[[#This Row],[Points]]/Table1215[[#This Row],[GP]],"N/A")</f>
        <v>N/A</v>
      </c>
      <c r="H548" s="64">
        <f>COUNTIF(_xlfn.XLOOKUP(Table1215[[#This Row],[Name]],Table16[Name],Table16[[September 30, 2025]:[Column18]],,0,1),"&gt;=8")</f>
        <v>0</v>
      </c>
      <c r="I548" s="110" t="str">
        <f>IFERROR(AVERAGEIF(_xlfn.XLOOKUP(Table1215[[#This Row],[Name]],Table16[Name],Table16[[September 30, 2025]:[Column18]],,0,1),"&gt;=8"),"N/A")</f>
        <v>N/A</v>
      </c>
      <c r="J548" s="66" t="str">
        <f>IFERROR(Table1215[[#This Row],[FTA]]/Table1215[[#This Row],[GP]],"N/A")</f>
        <v>N/A</v>
      </c>
      <c r="K548" s="67">
        <f>COUNTIF(_xlfn.XLOOKUP(Table1215[[#This Row],[Name]],Table16[Name],Table16[[September 30, 2025]:[Column18]],,0,1),"&gt;=15")</f>
        <v>0</v>
      </c>
    </row>
    <row r="549" spans="2:11">
      <c r="B549" s="82">
        <f>INDEX(AllTime1[All-time rank], MATCH(SMALL(AllTime1[Helper], ROW(Structures!$G544)), AllTime1[Helper], 0))</f>
        <v>300</v>
      </c>
      <c r="C549" s="64" t="str">
        <f>TEXT(INDEX(AllTime1[Name], MATCH(SMALL(AllTime1[Helper], ROW(Structures!$G544)), AllTime1[Helper], 0)),"@")</f>
        <v/>
      </c>
      <c r="D549" s="64">
        <f>INDEX(AllTime1[All-time score], MATCH(LARGE(AllTime1[Helper2], ROW(Structures!$G544)), AllTime1[Helper2], 0))</f>
        <v>0</v>
      </c>
      <c r="E549" s="64">
        <f>COUNTIF(_xlfn.XLOOKUP(Table1215[[#This Row],[Name]],Table16[Name],Table16[[September 30, 2025]:[Column18]],,0,1),"&gt;=0")</f>
        <v>0</v>
      </c>
      <c r="F549" s="109" t="str">
        <f>_xlfn.XLOOKUP(Table1215[[#This Row],[Name]],Table1624[Name],Table1624[Totals],,0,1)</f>
        <v>N/A</v>
      </c>
      <c r="G549" s="65" t="str">
        <f>IFERROR(Table1215[[#This Row],[Points]]/Table1215[[#This Row],[GP]],"N/A")</f>
        <v>N/A</v>
      </c>
      <c r="H549" s="64">
        <f>COUNTIF(_xlfn.XLOOKUP(Table1215[[#This Row],[Name]],Table16[Name],Table16[[September 30, 2025]:[Column18]],,0,1),"&gt;=8")</f>
        <v>0</v>
      </c>
      <c r="I549" s="110" t="str">
        <f>IFERROR(AVERAGEIF(_xlfn.XLOOKUP(Table1215[[#This Row],[Name]],Table16[Name],Table16[[September 30, 2025]:[Column18]],,0,1),"&gt;=8"),"N/A")</f>
        <v>N/A</v>
      </c>
      <c r="J549" s="66" t="str">
        <f>IFERROR(Table1215[[#This Row],[FTA]]/Table1215[[#This Row],[GP]],"N/A")</f>
        <v>N/A</v>
      </c>
      <c r="K549" s="67">
        <f>COUNTIF(_xlfn.XLOOKUP(Table1215[[#This Row],[Name]],Table16[Name],Table16[[September 30, 2025]:[Column18]],,0,1),"&gt;=15")</f>
        <v>0</v>
      </c>
    </row>
    <row r="550" spans="2:11">
      <c r="B550" s="82">
        <f>INDEX(AllTime1[All-time rank], MATCH(SMALL(AllTime1[Helper], ROW(Structures!$G545)), AllTime1[Helper], 0))</f>
        <v>300</v>
      </c>
      <c r="C550" s="64" t="str">
        <f>TEXT(INDEX(AllTime1[Name], MATCH(SMALL(AllTime1[Helper], ROW(Structures!$G545)), AllTime1[Helper], 0)),"@")</f>
        <v/>
      </c>
      <c r="D550" s="64">
        <f>INDEX(AllTime1[All-time score], MATCH(LARGE(AllTime1[Helper2], ROW(Structures!$G545)), AllTime1[Helper2], 0))</f>
        <v>0</v>
      </c>
      <c r="E550" s="64">
        <f>COUNTIF(_xlfn.XLOOKUP(Table1215[[#This Row],[Name]],Table16[Name],Table16[[September 30, 2025]:[Column18]],,0,1),"&gt;=0")</f>
        <v>0</v>
      </c>
      <c r="F550" s="109" t="str">
        <f>_xlfn.XLOOKUP(Table1215[[#This Row],[Name]],Table1624[Name],Table1624[Totals],,0,1)</f>
        <v>N/A</v>
      </c>
      <c r="G550" s="65" t="str">
        <f>IFERROR(Table1215[[#This Row],[Points]]/Table1215[[#This Row],[GP]],"N/A")</f>
        <v>N/A</v>
      </c>
      <c r="H550" s="64">
        <f>COUNTIF(_xlfn.XLOOKUP(Table1215[[#This Row],[Name]],Table16[Name],Table16[[September 30, 2025]:[Column18]],,0,1),"&gt;=8")</f>
        <v>0</v>
      </c>
      <c r="I550" s="110" t="str">
        <f>IFERROR(AVERAGEIF(_xlfn.XLOOKUP(Table1215[[#This Row],[Name]],Table16[Name],Table16[[September 30, 2025]:[Column18]],,0,1),"&gt;=8"),"N/A")</f>
        <v>N/A</v>
      </c>
      <c r="J550" s="66" t="str">
        <f>IFERROR(Table1215[[#This Row],[FTA]]/Table1215[[#This Row],[GP]],"N/A")</f>
        <v>N/A</v>
      </c>
      <c r="K550" s="67">
        <f>COUNTIF(_xlfn.XLOOKUP(Table1215[[#This Row],[Name]],Table16[Name],Table16[[September 30, 2025]:[Column18]],,0,1),"&gt;=15")</f>
        <v>0</v>
      </c>
    </row>
    <row r="551" spans="2:11">
      <c r="B551" s="82">
        <f>INDEX(AllTime1[All-time rank], MATCH(SMALL(AllTime1[Helper], ROW(Structures!$G546)), AllTime1[Helper], 0))</f>
        <v>300</v>
      </c>
      <c r="C551" s="64" t="str">
        <f>TEXT(INDEX(AllTime1[Name], MATCH(SMALL(AllTime1[Helper], ROW(Structures!$G546)), AllTime1[Helper], 0)),"@")</f>
        <v/>
      </c>
      <c r="D551" s="64">
        <f>INDEX(AllTime1[All-time score], MATCH(LARGE(AllTime1[Helper2], ROW(Structures!$G546)), AllTime1[Helper2], 0))</f>
        <v>0</v>
      </c>
      <c r="E551" s="64">
        <f>COUNTIF(_xlfn.XLOOKUP(Table1215[[#This Row],[Name]],Table16[Name],Table16[[September 30, 2025]:[Column18]],,0,1),"&gt;=0")</f>
        <v>0</v>
      </c>
      <c r="F551" s="109" t="str">
        <f>_xlfn.XLOOKUP(Table1215[[#This Row],[Name]],Table1624[Name],Table1624[Totals],,0,1)</f>
        <v>N/A</v>
      </c>
      <c r="G551" s="65" t="str">
        <f>IFERROR(Table1215[[#This Row],[Points]]/Table1215[[#This Row],[GP]],"N/A")</f>
        <v>N/A</v>
      </c>
      <c r="H551" s="64">
        <f>COUNTIF(_xlfn.XLOOKUP(Table1215[[#This Row],[Name]],Table16[Name],Table16[[September 30, 2025]:[Column18]],,0,1),"&gt;=8")</f>
        <v>0</v>
      </c>
      <c r="I551" s="110" t="str">
        <f>IFERROR(AVERAGEIF(_xlfn.XLOOKUP(Table1215[[#This Row],[Name]],Table16[Name],Table16[[September 30, 2025]:[Column18]],,0,1),"&gt;=8"),"N/A")</f>
        <v>N/A</v>
      </c>
      <c r="J551" s="66" t="str">
        <f>IFERROR(Table1215[[#This Row],[FTA]]/Table1215[[#This Row],[GP]],"N/A")</f>
        <v>N/A</v>
      </c>
      <c r="K551" s="67">
        <f>COUNTIF(_xlfn.XLOOKUP(Table1215[[#This Row],[Name]],Table16[Name],Table16[[September 30, 2025]:[Column18]],,0,1),"&gt;=15")</f>
        <v>0</v>
      </c>
    </row>
    <row r="552" spans="2:11">
      <c r="B552" s="82">
        <f>INDEX(AllTime1[All-time rank], MATCH(SMALL(AllTime1[Helper], ROW(Structures!$G547)), AllTime1[Helper], 0))</f>
        <v>300</v>
      </c>
      <c r="C552" s="64" t="str">
        <f>TEXT(INDEX(AllTime1[Name], MATCH(SMALL(AllTime1[Helper], ROW(Structures!$G547)), AllTime1[Helper], 0)),"@")</f>
        <v/>
      </c>
      <c r="D552" s="64">
        <f>INDEX(AllTime1[All-time score], MATCH(LARGE(AllTime1[Helper2], ROW(Structures!$G547)), AllTime1[Helper2], 0))</f>
        <v>0</v>
      </c>
      <c r="E552" s="64">
        <f>COUNTIF(_xlfn.XLOOKUP(Table1215[[#This Row],[Name]],Table16[Name],Table16[[September 30, 2025]:[Column18]],,0,1),"&gt;=0")</f>
        <v>0</v>
      </c>
      <c r="F552" s="109" t="str">
        <f>_xlfn.XLOOKUP(Table1215[[#This Row],[Name]],Table1624[Name],Table1624[Totals],,0,1)</f>
        <v>N/A</v>
      </c>
      <c r="G552" s="65" t="str">
        <f>IFERROR(Table1215[[#This Row],[Points]]/Table1215[[#This Row],[GP]],"N/A")</f>
        <v>N/A</v>
      </c>
      <c r="H552" s="64">
        <f>COUNTIF(_xlfn.XLOOKUP(Table1215[[#This Row],[Name]],Table16[Name],Table16[[September 30, 2025]:[Column18]],,0,1),"&gt;=8")</f>
        <v>0</v>
      </c>
      <c r="I552" s="110" t="str">
        <f>IFERROR(AVERAGEIF(_xlfn.XLOOKUP(Table1215[[#This Row],[Name]],Table16[Name],Table16[[September 30, 2025]:[Column18]],,0,1),"&gt;=8"),"N/A")</f>
        <v>N/A</v>
      </c>
      <c r="J552" s="66" t="str">
        <f>IFERROR(Table1215[[#This Row],[FTA]]/Table1215[[#This Row],[GP]],"N/A")</f>
        <v>N/A</v>
      </c>
      <c r="K552" s="67">
        <f>COUNTIF(_xlfn.XLOOKUP(Table1215[[#This Row],[Name]],Table16[Name],Table16[[September 30, 2025]:[Column18]],,0,1),"&gt;=15")</f>
        <v>0</v>
      </c>
    </row>
    <row r="553" spans="2:11">
      <c r="B553" s="82">
        <f>INDEX(AllTime1[All-time rank], MATCH(SMALL(AllTime1[Helper], ROW(Structures!$G548)), AllTime1[Helper], 0))</f>
        <v>300</v>
      </c>
      <c r="C553" s="64" t="str">
        <f>TEXT(INDEX(AllTime1[Name], MATCH(SMALL(AllTime1[Helper], ROW(Structures!$G548)), AllTime1[Helper], 0)),"@")</f>
        <v/>
      </c>
      <c r="D553" s="64">
        <f>INDEX(AllTime1[All-time score], MATCH(LARGE(AllTime1[Helper2], ROW(Structures!$G548)), AllTime1[Helper2], 0))</f>
        <v>0</v>
      </c>
      <c r="E553" s="64">
        <f>COUNTIF(_xlfn.XLOOKUP(Table1215[[#This Row],[Name]],Table16[Name],Table16[[September 30, 2025]:[Column18]],,0,1),"&gt;=0")</f>
        <v>0</v>
      </c>
      <c r="F553" s="109" t="str">
        <f>_xlfn.XLOOKUP(Table1215[[#This Row],[Name]],Table1624[Name],Table1624[Totals],,0,1)</f>
        <v>N/A</v>
      </c>
      <c r="G553" s="65" t="str">
        <f>IFERROR(Table1215[[#This Row],[Points]]/Table1215[[#This Row],[GP]],"N/A")</f>
        <v>N/A</v>
      </c>
      <c r="H553" s="64">
        <f>COUNTIF(_xlfn.XLOOKUP(Table1215[[#This Row],[Name]],Table16[Name],Table16[[September 30, 2025]:[Column18]],,0,1),"&gt;=8")</f>
        <v>0</v>
      </c>
      <c r="I553" s="110" t="str">
        <f>IFERROR(AVERAGEIF(_xlfn.XLOOKUP(Table1215[[#This Row],[Name]],Table16[Name],Table16[[September 30, 2025]:[Column18]],,0,1),"&gt;=8"),"N/A")</f>
        <v>N/A</v>
      </c>
      <c r="J553" s="66" t="str">
        <f>IFERROR(Table1215[[#This Row],[FTA]]/Table1215[[#This Row],[GP]],"N/A")</f>
        <v>N/A</v>
      </c>
      <c r="K553" s="67">
        <f>COUNTIF(_xlfn.XLOOKUP(Table1215[[#This Row],[Name]],Table16[Name],Table16[[September 30, 2025]:[Column18]],,0,1),"&gt;=15")</f>
        <v>0</v>
      </c>
    </row>
    <row r="554" spans="2:11">
      <c r="B554" s="82">
        <f>INDEX(AllTime1[All-time rank], MATCH(SMALL(AllTime1[Helper], ROW(Structures!$G549)), AllTime1[Helper], 0))</f>
        <v>300</v>
      </c>
      <c r="C554" s="64" t="str">
        <f>TEXT(INDEX(AllTime1[Name], MATCH(SMALL(AllTime1[Helper], ROW(Structures!$G549)), AllTime1[Helper], 0)),"@")</f>
        <v/>
      </c>
      <c r="D554" s="64">
        <f>INDEX(AllTime1[All-time score], MATCH(LARGE(AllTime1[Helper2], ROW(Structures!$G549)), AllTime1[Helper2], 0))</f>
        <v>0</v>
      </c>
      <c r="E554" s="64">
        <f>COUNTIF(_xlfn.XLOOKUP(Table1215[[#This Row],[Name]],Table16[Name],Table16[[September 30, 2025]:[Column18]],,0,1),"&gt;=0")</f>
        <v>0</v>
      </c>
      <c r="F554" s="109" t="str">
        <f>_xlfn.XLOOKUP(Table1215[[#This Row],[Name]],Table1624[Name],Table1624[Totals],,0,1)</f>
        <v>N/A</v>
      </c>
      <c r="G554" s="65" t="str">
        <f>IFERROR(Table1215[[#This Row],[Points]]/Table1215[[#This Row],[GP]],"N/A")</f>
        <v>N/A</v>
      </c>
      <c r="H554" s="64">
        <f>COUNTIF(_xlfn.XLOOKUP(Table1215[[#This Row],[Name]],Table16[Name],Table16[[September 30, 2025]:[Column18]],,0,1),"&gt;=8")</f>
        <v>0</v>
      </c>
      <c r="I554" s="110" t="str">
        <f>IFERROR(AVERAGEIF(_xlfn.XLOOKUP(Table1215[[#This Row],[Name]],Table16[Name],Table16[[September 30, 2025]:[Column18]],,0,1),"&gt;=8"),"N/A")</f>
        <v>N/A</v>
      </c>
      <c r="J554" s="66" t="str">
        <f>IFERROR(Table1215[[#This Row],[FTA]]/Table1215[[#This Row],[GP]],"N/A")</f>
        <v>N/A</v>
      </c>
      <c r="K554" s="67">
        <f>COUNTIF(_xlfn.XLOOKUP(Table1215[[#This Row],[Name]],Table16[Name],Table16[[September 30, 2025]:[Column18]],,0,1),"&gt;=15")</f>
        <v>0</v>
      </c>
    </row>
    <row r="555" spans="2:11">
      <c r="B555" s="82">
        <f>INDEX(AllTime1[All-time rank], MATCH(SMALL(AllTime1[Helper], ROW(Structures!$G550)), AllTime1[Helper], 0))</f>
        <v>300</v>
      </c>
      <c r="C555" s="64" t="str">
        <f>TEXT(INDEX(AllTime1[Name], MATCH(SMALL(AllTime1[Helper], ROW(Structures!$G550)), AllTime1[Helper], 0)),"@")</f>
        <v/>
      </c>
      <c r="D555" s="64">
        <f>INDEX(AllTime1[All-time score], MATCH(LARGE(AllTime1[Helper2], ROW(Structures!$G550)), AllTime1[Helper2], 0))</f>
        <v>0</v>
      </c>
      <c r="E555" s="64">
        <f>COUNTIF(_xlfn.XLOOKUP(Table1215[[#This Row],[Name]],Table16[Name],Table16[[September 30, 2025]:[Column18]],,0,1),"&gt;=0")</f>
        <v>0</v>
      </c>
      <c r="F555" s="109" t="str">
        <f>_xlfn.XLOOKUP(Table1215[[#This Row],[Name]],Table1624[Name],Table1624[Totals],,0,1)</f>
        <v>N/A</v>
      </c>
      <c r="G555" s="65" t="str">
        <f>IFERROR(Table1215[[#This Row],[Points]]/Table1215[[#This Row],[GP]],"N/A")</f>
        <v>N/A</v>
      </c>
      <c r="H555" s="64">
        <f>COUNTIF(_xlfn.XLOOKUP(Table1215[[#This Row],[Name]],Table16[Name],Table16[[September 30, 2025]:[Column18]],,0,1),"&gt;=8")</f>
        <v>0</v>
      </c>
      <c r="I555" s="110" t="str">
        <f>IFERROR(AVERAGEIF(_xlfn.XLOOKUP(Table1215[[#This Row],[Name]],Table16[Name],Table16[[September 30, 2025]:[Column18]],,0,1),"&gt;=8"),"N/A")</f>
        <v>N/A</v>
      </c>
      <c r="J555" s="66" t="str">
        <f>IFERROR(Table1215[[#This Row],[FTA]]/Table1215[[#This Row],[GP]],"N/A")</f>
        <v>N/A</v>
      </c>
      <c r="K555" s="67">
        <f>COUNTIF(_xlfn.XLOOKUP(Table1215[[#This Row],[Name]],Table16[Name],Table16[[September 30, 2025]:[Column18]],,0,1),"&gt;=15")</f>
        <v>0</v>
      </c>
    </row>
    <row r="556" spans="2:11">
      <c r="B556" s="82">
        <f>INDEX(AllTime1[All-time rank], MATCH(SMALL(AllTime1[Helper], ROW(Structures!$G551)), AllTime1[Helper], 0))</f>
        <v>300</v>
      </c>
      <c r="C556" s="64" t="str">
        <f>TEXT(INDEX(AllTime1[Name], MATCH(SMALL(AllTime1[Helper], ROW(Structures!$G551)), AllTime1[Helper], 0)),"@")</f>
        <v/>
      </c>
      <c r="D556" s="64">
        <f>INDEX(AllTime1[All-time score], MATCH(LARGE(AllTime1[Helper2], ROW(Structures!$G551)), AllTime1[Helper2], 0))</f>
        <v>0</v>
      </c>
      <c r="E556" s="64">
        <f>COUNTIF(_xlfn.XLOOKUP(Table1215[[#This Row],[Name]],Table16[Name],Table16[[September 30, 2025]:[Column18]],,0,1),"&gt;=0")</f>
        <v>0</v>
      </c>
      <c r="F556" s="109" t="str">
        <f>_xlfn.XLOOKUP(Table1215[[#This Row],[Name]],Table1624[Name],Table1624[Totals],,0,1)</f>
        <v>N/A</v>
      </c>
      <c r="G556" s="65" t="str">
        <f>IFERROR(Table1215[[#This Row],[Points]]/Table1215[[#This Row],[GP]],"N/A")</f>
        <v>N/A</v>
      </c>
      <c r="H556" s="64">
        <f>COUNTIF(_xlfn.XLOOKUP(Table1215[[#This Row],[Name]],Table16[Name],Table16[[September 30, 2025]:[Column18]],,0,1),"&gt;=8")</f>
        <v>0</v>
      </c>
      <c r="I556" s="110" t="str">
        <f>IFERROR(AVERAGEIF(_xlfn.XLOOKUP(Table1215[[#This Row],[Name]],Table16[Name],Table16[[September 30, 2025]:[Column18]],,0,1),"&gt;=8"),"N/A")</f>
        <v>N/A</v>
      </c>
      <c r="J556" s="66" t="str">
        <f>IFERROR(Table1215[[#This Row],[FTA]]/Table1215[[#This Row],[GP]],"N/A")</f>
        <v>N/A</v>
      </c>
      <c r="K556" s="67">
        <f>COUNTIF(_xlfn.XLOOKUP(Table1215[[#This Row],[Name]],Table16[Name],Table16[[September 30, 2025]:[Column18]],,0,1),"&gt;=15")</f>
        <v>0</v>
      </c>
    </row>
    <row r="557" spans="2:11">
      <c r="B557" s="82">
        <f>INDEX(AllTime1[All-time rank], MATCH(SMALL(AllTime1[Helper], ROW(Structures!$G552)), AllTime1[Helper], 0))</f>
        <v>300</v>
      </c>
      <c r="C557" s="64" t="str">
        <f>TEXT(INDEX(AllTime1[Name], MATCH(SMALL(AllTime1[Helper], ROW(Structures!$G552)), AllTime1[Helper], 0)),"@")</f>
        <v/>
      </c>
      <c r="D557" s="64">
        <f>INDEX(AllTime1[All-time score], MATCH(LARGE(AllTime1[Helper2], ROW(Structures!$G552)), AllTime1[Helper2], 0))</f>
        <v>0</v>
      </c>
      <c r="E557" s="64">
        <f>COUNTIF(_xlfn.XLOOKUP(Table1215[[#This Row],[Name]],Table16[Name],Table16[[September 30, 2025]:[Column18]],,0,1),"&gt;=0")</f>
        <v>0</v>
      </c>
      <c r="F557" s="109" t="str">
        <f>_xlfn.XLOOKUP(Table1215[[#This Row],[Name]],Table1624[Name],Table1624[Totals],,0,1)</f>
        <v>N/A</v>
      </c>
      <c r="G557" s="65" t="str">
        <f>IFERROR(Table1215[[#This Row],[Points]]/Table1215[[#This Row],[GP]],"N/A")</f>
        <v>N/A</v>
      </c>
      <c r="H557" s="64">
        <f>COUNTIF(_xlfn.XLOOKUP(Table1215[[#This Row],[Name]],Table16[Name],Table16[[September 30, 2025]:[Column18]],,0,1),"&gt;=8")</f>
        <v>0</v>
      </c>
      <c r="I557" s="110" t="str">
        <f>IFERROR(AVERAGEIF(_xlfn.XLOOKUP(Table1215[[#This Row],[Name]],Table16[Name],Table16[[September 30, 2025]:[Column18]],,0,1),"&gt;=8"),"N/A")</f>
        <v>N/A</v>
      </c>
      <c r="J557" s="66" t="str">
        <f>IFERROR(Table1215[[#This Row],[FTA]]/Table1215[[#This Row],[GP]],"N/A")</f>
        <v>N/A</v>
      </c>
      <c r="K557" s="67">
        <f>COUNTIF(_xlfn.XLOOKUP(Table1215[[#This Row],[Name]],Table16[Name],Table16[[September 30, 2025]:[Column18]],,0,1),"&gt;=15")</f>
        <v>0</v>
      </c>
    </row>
    <row r="558" spans="2:11">
      <c r="B558" s="82">
        <f>INDEX(AllTime1[All-time rank], MATCH(SMALL(AllTime1[Helper], ROW(Structures!$G553)), AllTime1[Helper], 0))</f>
        <v>300</v>
      </c>
      <c r="C558" s="64" t="str">
        <f>TEXT(INDEX(AllTime1[Name], MATCH(SMALL(AllTime1[Helper], ROW(Structures!$G553)), AllTime1[Helper], 0)),"@")</f>
        <v/>
      </c>
      <c r="D558" s="64">
        <f>INDEX(AllTime1[All-time score], MATCH(LARGE(AllTime1[Helper2], ROW(Structures!$G553)), AllTime1[Helper2], 0))</f>
        <v>0</v>
      </c>
      <c r="E558" s="64">
        <f>COUNTIF(_xlfn.XLOOKUP(Table1215[[#This Row],[Name]],Table16[Name],Table16[[September 30, 2025]:[Column18]],,0,1),"&gt;=0")</f>
        <v>0</v>
      </c>
      <c r="F558" s="109" t="str">
        <f>_xlfn.XLOOKUP(Table1215[[#This Row],[Name]],Table1624[Name],Table1624[Totals],,0,1)</f>
        <v>N/A</v>
      </c>
      <c r="G558" s="65" t="str">
        <f>IFERROR(Table1215[[#This Row],[Points]]/Table1215[[#This Row],[GP]],"N/A")</f>
        <v>N/A</v>
      </c>
      <c r="H558" s="64">
        <f>COUNTIF(_xlfn.XLOOKUP(Table1215[[#This Row],[Name]],Table16[Name],Table16[[September 30, 2025]:[Column18]],,0,1),"&gt;=8")</f>
        <v>0</v>
      </c>
      <c r="I558" s="110" t="str">
        <f>IFERROR(AVERAGEIF(_xlfn.XLOOKUP(Table1215[[#This Row],[Name]],Table16[Name],Table16[[September 30, 2025]:[Column18]],,0,1),"&gt;=8"),"N/A")</f>
        <v>N/A</v>
      </c>
      <c r="J558" s="66" t="str">
        <f>IFERROR(Table1215[[#This Row],[FTA]]/Table1215[[#This Row],[GP]],"N/A")</f>
        <v>N/A</v>
      </c>
      <c r="K558" s="67">
        <f>COUNTIF(_xlfn.XLOOKUP(Table1215[[#This Row],[Name]],Table16[Name],Table16[[September 30, 2025]:[Column18]],,0,1),"&gt;=15")</f>
        <v>0</v>
      </c>
    </row>
    <row r="559" spans="2:11">
      <c r="B559" s="82">
        <f>INDEX(AllTime1[All-time rank], MATCH(SMALL(AllTime1[Helper], ROW(Structures!$G554)), AllTime1[Helper], 0))</f>
        <v>300</v>
      </c>
      <c r="C559" s="64" t="str">
        <f>TEXT(INDEX(AllTime1[Name], MATCH(SMALL(AllTime1[Helper], ROW(Structures!$G554)), AllTime1[Helper], 0)),"@")</f>
        <v/>
      </c>
      <c r="D559" s="64">
        <f>INDEX(AllTime1[All-time score], MATCH(LARGE(AllTime1[Helper2], ROW(Structures!$G554)), AllTime1[Helper2], 0))</f>
        <v>0</v>
      </c>
      <c r="E559" s="64">
        <f>COUNTIF(_xlfn.XLOOKUP(Table1215[[#This Row],[Name]],Table16[Name],Table16[[September 30, 2025]:[Column18]],,0,1),"&gt;=0")</f>
        <v>0</v>
      </c>
      <c r="F559" s="109" t="str">
        <f>_xlfn.XLOOKUP(Table1215[[#This Row],[Name]],Table1624[Name],Table1624[Totals],,0,1)</f>
        <v>N/A</v>
      </c>
      <c r="G559" s="65" t="str">
        <f>IFERROR(Table1215[[#This Row],[Points]]/Table1215[[#This Row],[GP]],"N/A")</f>
        <v>N/A</v>
      </c>
      <c r="H559" s="64">
        <f>COUNTIF(_xlfn.XLOOKUP(Table1215[[#This Row],[Name]],Table16[Name],Table16[[September 30, 2025]:[Column18]],,0,1),"&gt;=8")</f>
        <v>0</v>
      </c>
      <c r="I559" s="110" t="str">
        <f>IFERROR(AVERAGEIF(_xlfn.XLOOKUP(Table1215[[#This Row],[Name]],Table16[Name],Table16[[September 30, 2025]:[Column18]],,0,1),"&gt;=8"),"N/A")</f>
        <v>N/A</v>
      </c>
      <c r="J559" s="66" t="str">
        <f>IFERROR(Table1215[[#This Row],[FTA]]/Table1215[[#This Row],[GP]],"N/A")</f>
        <v>N/A</v>
      </c>
      <c r="K559" s="67">
        <f>COUNTIF(_xlfn.XLOOKUP(Table1215[[#This Row],[Name]],Table16[Name],Table16[[September 30, 2025]:[Column18]],,0,1),"&gt;=15")</f>
        <v>0</v>
      </c>
    </row>
    <row r="560" spans="2:11">
      <c r="B560" s="82">
        <f>INDEX(AllTime1[All-time rank], MATCH(SMALL(AllTime1[Helper], ROW(Structures!$G555)), AllTime1[Helper], 0))</f>
        <v>300</v>
      </c>
      <c r="C560" s="64" t="str">
        <f>TEXT(INDEX(AllTime1[Name], MATCH(SMALL(AllTime1[Helper], ROW(Structures!$G555)), AllTime1[Helper], 0)),"@")</f>
        <v/>
      </c>
      <c r="D560" s="64">
        <f>INDEX(AllTime1[All-time score], MATCH(LARGE(AllTime1[Helper2], ROW(Structures!$G555)), AllTime1[Helper2], 0))</f>
        <v>0</v>
      </c>
      <c r="E560" s="64">
        <f>COUNTIF(_xlfn.XLOOKUP(Table1215[[#This Row],[Name]],Table16[Name],Table16[[September 30, 2025]:[Column18]],,0,1),"&gt;=0")</f>
        <v>0</v>
      </c>
      <c r="F560" s="109" t="str">
        <f>_xlfn.XLOOKUP(Table1215[[#This Row],[Name]],Table1624[Name],Table1624[Totals],,0,1)</f>
        <v>N/A</v>
      </c>
      <c r="G560" s="65" t="str">
        <f>IFERROR(Table1215[[#This Row],[Points]]/Table1215[[#This Row],[GP]],"N/A")</f>
        <v>N/A</v>
      </c>
      <c r="H560" s="64">
        <f>COUNTIF(_xlfn.XLOOKUP(Table1215[[#This Row],[Name]],Table16[Name],Table16[[September 30, 2025]:[Column18]],,0,1),"&gt;=8")</f>
        <v>0</v>
      </c>
      <c r="I560" s="110" t="str">
        <f>IFERROR(AVERAGEIF(_xlfn.XLOOKUP(Table1215[[#This Row],[Name]],Table16[Name],Table16[[September 30, 2025]:[Column18]],,0,1),"&gt;=8"),"N/A")</f>
        <v>N/A</v>
      </c>
      <c r="J560" s="66" t="str">
        <f>IFERROR(Table1215[[#This Row],[FTA]]/Table1215[[#This Row],[GP]],"N/A")</f>
        <v>N/A</v>
      </c>
      <c r="K560" s="67">
        <f>COUNTIF(_xlfn.XLOOKUP(Table1215[[#This Row],[Name]],Table16[Name],Table16[[September 30, 2025]:[Column18]],,0,1),"&gt;=15")</f>
        <v>0</v>
      </c>
    </row>
    <row r="561" spans="2:11">
      <c r="B561" s="82">
        <f>INDEX(AllTime1[All-time rank], MATCH(SMALL(AllTime1[Helper], ROW(Structures!$G556)), AllTime1[Helper], 0))</f>
        <v>300</v>
      </c>
      <c r="C561" s="64" t="str">
        <f>TEXT(INDEX(AllTime1[Name], MATCH(SMALL(AllTime1[Helper], ROW(Structures!$G556)), AllTime1[Helper], 0)),"@")</f>
        <v/>
      </c>
      <c r="D561" s="64">
        <f>INDEX(AllTime1[All-time score], MATCH(LARGE(AllTime1[Helper2], ROW(Structures!$G556)), AllTime1[Helper2], 0))</f>
        <v>0</v>
      </c>
      <c r="E561" s="64">
        <f>COUNTIF(_xlfn.XLOOKUP(Table1215[[#This Row],[Name]],Table16[Name],Table16[[September 30, 2025]:[Column18]],,0,1),"&gt;=0")</f>
        <v>0</v>
      </c>
      <c r="F561" s="109" t="str">
        <f>_xlfn.XLOOKUP(Table1215[[#This Row],[Name]],Table1624[Name],Table1624[Totals],,0,1)</f>
        <v>N/A</v>
      </c>
      <c r="G561" s="65" t="str">
        <f>IFERROR(Table1215[[#This Row],[Points]]/Table1215[[#This Row],[GP]],"N/A")</f>
        <v>N/A</v>
      </c>
      <c r="H561" s="64">
        <f>COUNTIF(_xlfn.XLOOKUP(Table1215[[#This Row],[Name]],Table16[Name],Table16[[September 30, 2025]:[Column18]],,0,1),"&gt;=8")</f>
        <v>0</v>
      </c>
      <c r="I561" s="110" t="str">
        <f>IFERROR(AVERAGEIF(_xlfn.XLOOKUP(Table1215[[#This Row],[Name]],Table16[Name],Table16[[September 30, 2025]:[Column18]],,0,1),"&gt;=8"),"N/A")</f>
        <v>N/A</v>
      </c>
      <c r="J561" s="66" t="str">
        <f>IFERROR(Table1215[[#This Row],[FTA]]/Table1215[[#This Row],[GP]],"N/A")</f>
        <v>N/A</v>
      </c>
      <c r="K561" s="67">
        <f>COUNTIF(_xlfn.XLOOKUP(Table1215[[#This Row],[Name]],Table16[Name],Table16[[September 30, 2025]:[Column18]],,0,1),"&gt;=15")</f>
        <v>0</v>
      </c>
    </row>
    <row r="562" spans="2:11">
      <c r="B562" s="82">
        <f>INDEX(AllTime1[All-time rank], MATCH(SMALL(AllTime1[Helper], ROW(Structures!$G557)), AllTime1[Helper], 0))</f>
        <v>300</v>
      </c>
      <c r="C562" s="64" t="str">
        <f>TEXT(INDEX(AllTime1[Name], MATCH(SMALL(AllTime1[Helper], ROW(Structures!$G557)), AllTime1[Helper], 0)),"@")</f>
        <v/>
      </c>
      <c r="D562" s="64">
        <f>INDEX(AllTime1[All-time score], MATCH(LARGE(AllTime1[Helper2], ROW(Structures!$G557)), AllTime1[Helper2], 0))</f>
        <v>0</v>
      </c>
      <c r="E562" s="64">
        <f>COUNTIF(_xlfn.XLOOKUP(Table1215[[#This Row],[Name]],Table16[Name],Table16[[September 30, 2025]:[Column18]],,0,1),"&gt;=0")</f>
        <v>0</v>
      </c>
      <c r="F562" s="109" t="str">
        <f>_xlfn.XLOOKUP(Table1215[[#This Row],[Name]],Table1624[Name],Table1624[Totals],,0,1)</f>
        <v>N/A</v>
      </c>
      <c r="G562" s="65" t="str">
        <f>IFERROR(Table1215[[#This Row],[Points]]/Table1215[[#This Row],[GP]],"N/A")</f>
        <v>N/A</v>
      </c>
      <c r="H562" s="64">
        <f>COUNTIF(_xlfn.XLOOKUP(Table1215[[#This Row],[Name]],Table16[Name],Table16[[September 30, 2025]:[Column18]],,0,1),"&gt;=8")</f>
        <v>0</v>
      </c>
      <c r="I562" s="110" t="str">
        <f>IFERROR(AVERAGEIF(_xlfn.XLOOKUP(Table1215[[#This Row],[Name]],Table16[Name],Table16[[September 30, 2025]:[Column18]],,0,1),"&gt;=8"),"N/A")</f>
        <v>N/A</v>
      </c>
      <c r="J562" s="66" t="str">
        <f>IFERROR(Table1215[[#This Row],[FTA]]/Table1215[[#This Row],[GP]],"N/A")</f>
        <v>N/A</v>
      </c>
      <c r="K562" s="67">
        <f>COUNTIF(_xlfn.XLOOKUP(Table1215[[#This Row],[Name]],Table16[Name],Table16[[September 30, 2025]:[Column18]],,0,1),"&gt;=15")</f>
        <v>0</v>
      </c>
    </row>
    <row r="563" spans="2:11">
      <c r="B563" s="82">
        <f>INDEX(AllTime1[All-time rank], MATCH(SMALL(AllTime1[Helper], ROW(Structures!$G558)), AllTime1[Helper], 0))</f>
        <v>300</v>
      </c>
      <c r="C563" s="64" t="str">
        <f>TEXT(INDEX(AllTime1[Name], MATCH(SMALL(AllTime1[Helper], ROW(Structures!$G558)), AllTime1[Helper], 0)),"@")</f>
        <v/>
      </c>
      <c r="D563" s="64">
        <f>INDEX(AllTime1[All-time score], MATCH(LARGE(AllTime1[Helper2], ROW(Structures!$G558)), AllTime1[Helper2], 0))</f>
        <v>0</v>
      </c>
      <c r="E563" s="64">
        <f>COUNTIF(_xlfn.XLOOKUP(Table1215[[#This Row],[Name]],Table16[Name],Table16[[September 30, 2025]:[Column18]],,0,1),"&gt;=0")</f>
        <v>0</v>
      </c>
      <c r="F563" s="109" t="str">
        <f>_xlfn.XLOOKUP(Table1215[[#This Row],[Name]],Table1624[Name],Table1624[Totals],,0,1)</f>
        <v>N/A</v>
      </c>
      <c r="G563" s="65" t="str">
        <f>IFERROR(Table1215[[#This Row],[Points]]/Table1215[[#This Row],[GP]],"N/A")</f>
        <v>N/A</v>
      </c>
      <c r="H563" s="64">
        <f>COUNTIF(_xlfn.XLOOKUP(Table1215[[#This Row],[Name]],Table16[Name],Table16[[September 30, 2025]:[Column18]],,0,1),"&gt;=8")</f>
        <v>0</v>
      </c>
      <c r="I563" s="110" t="str">
        <f>IFERROR(AVERAGEIF(_xlfn.XLOOKUP(Table1215[[#This Row],[Name]],Table16[Name],Table16[[September 30, 2025]:[Column18]],,0,1),"&gt;=8"),"N/A")</f>
        <v>N/A</v>
      </c>
      <c r="J563" s="66" t="str">
        <f>IFERROR(Table1215[[#This Row],[FTA]]/Table1215[[#This Row],[GP]],"N/A")</f>
        <v>N/A</v>
      </c>
      <c r="K563" s="67">
        <f>COUNTIF(_xlfn.XLOOKUP(Table1215[[#This Row],[Name]],Table16[Name],Table16[[September 30, 2025]:[Column18]],,0,1),"&gt;=15")</f>
        <v>0</v>
      </c>
    </row>
    <row r="564" spans="2:11">
      <c r="B564" s="82">
        <f>INDEX(AllTime1[All-time rank], MATCH(SMALL(AllTime1[Helper], ROW(Structures!$G559)), AllTime1[Helper], 0))</f>
        <v>300</v>
      </c>
      <c r="C564" s="64" t="str">
        <f>TEXT(INDEX(AllTime1[Name], MATCH(SMALL(AllTime1[Helper], ROW(Structures!$G559)), AllTime1[Helper], 0)),"@")</f>
        <v/>
      </c>
      <c r="D564" s="64">
        <f>INDEX(AllTime1[All-time score], MATCH(LARGE(AllTime1[Helper2], ROW(Structures!$G559)), AllTime1[Helper2], 0))</f>
        <v>0</v>
      </c>
      <c r="E564" s="64">
        <f>COUNTIF(_xlfn.XLOOKUP(Table1215[[#This Row],[Name]],Table16[Name],Table16[[September 30, 2025]:[Column18]],,0,1),"&gt;=0")</f>
        <v>0</v>
      </c>
      <c r="F564" s="109" t="str">
        <f>_xlfn.XLOOKUP(Table1215[[#This Row],[Name]],Table1624[Name],Table1624[Totals],,0,1)</f>
        <v>N/A</v>
      </c>
      <c r="G564" s="65" t="str">
        <f>IFERROR(Table1215[[#This Row],[Points]]/Table1215[[#This Row],[GP]],"N/A")</f>
        <v>N/A</v>
      </c>
      <c r="H564" s="64">
        <f>COUNTIF(_xlfn.XLOOKUP(Table1215[[#This Row],[Name]],Table16[Name],Table16[[September 30, 2025]:[Column18]],,0,1),"&gt;=8")</f>
        <v>0</v>
      </c>
      <c r="I564" s="110" t="str">
        <f>IFERROR(AVERAGEIF(_xlfn.XLOOKUP(Table1215[[#This Row],[Name]],Table16[Name],Table16[[September 30, 2025]:[Column18]],,0,1),"&gt;=8"),"N/A")</f>
        <v>N/A</v>
      </c>
      <c r="J564" s="66" t="str">
        <f>IFERROR(Table1215[[#This Row],[FTA]]/Table1215[[#This Row],[GP]],"N/A")</f>
        <v>N/A</v>
      </c>
      <c r="K564" s="67">
        <f>COUNTIF(_xlfn.XLOOKUP(Table1215[[#This Row],[Name]],Table16[Name],Table16[[September 30, 2025]:[Column18]],,0,1),"&gt;=15")</f>
        <v>0</v>
      </c>
    </row>
    <row r="565" spans="2:11">
      <c r="B565" s="82">
        <f>INDEX(AllTime1[All-time rank], MATCH(SMALL(AllTime1[Helper], ROW(Structures!$G560)), AllTime1[Helper], 0))</f>
        <v>300</v>
      </c>
      <c r="C565" s="64" t="str">
        <f>TEXT(INDEX(AllTime1[Name], MATCH(SMALL(AllTime1[Helper], ROW(Structures!$G560)), AllTime1[Helper], 0)),"@")</f>
        <v/>
      </c>
      <c r="D565" s="64">
        <f>INDEX(AllTime1[All-time score], MATCH(LARGE(AllTime1[Helper2], ROW(Structures!$G560)), AllTime1[Helper2], 0))</f>
        <v>0</v>
      </c>
      <c r="E565" s="64">
        <f>COUNTIF(_xlfn.XLOOKUP(Table1215[[#This Row],[Name]],Table16[Name],Table16[[September 30, 2025]:[Column18]],,0,1),"&gt;=0")</f>
        <v>0</v>
      </c>
      <c r="F565" s="109" t="str">
        <f>_xlfn.XLOOKUP(Table1215[[#This Row],[Name]],Table1624[Name],Table1624[Totals],,0,1)</f>
        <v>N/A</v>
      </c>
      <c r="G565" s="65" t="str">
        <f>IFERROR(Table1215[[#This Row],[Points]]/Table1215[[#This Row],[GP]],"N/A")</f>
        <v>N/A</v>
      </c>
      <c r="H565" s="64">
        <f>COUNTIF(_xlfn.XLOOKUP(Table1215[[#This Row],[Name]],Table16[Name],Table16[[September 30, 2025]:[Column18]],,0,1),"&gt;=8")</f>
        <v>0</v>
      </c>
      <c r="I565" s="110" t="str">
        <f>IFERROR(AVERAGEIF(_xlfn.XLOOKUP(Table1215[[#This Row],[Name]],Table16[Name],Table16[[September 30, 2025]:[Column18]],,0,1),"&gt;=8"),"N/A")</f>
        <v>N/A</v>
      </c>
      <c r="J565" s="66" t="str">
        <f>IFERROR(Table1215[[#This Row],[FTA]]/Table1215[[#This Row],[GP]],"N/A")</f>
        <v>N/A</v>
      </c>
      <c r="K565" s="67">
        <f>COUNTIF(_xlfn.XLOOKUP(Table1215[[#This Row],[Name]],Table16[Name],Table16[[September 30, 2025]:[Column18]],,0,1),"&gt;=15")</f>
        <v>0</v>
      </c>
    </row>
    <row r="566" spans="2:11">
      <c r="B566" s="82">
        <f>INDEX(AllTime1[All-time rank], MATCH(SMALL(AllTime1[Helper], ROW(Structures!$G561)), AllTime1[Helper], 0))</f>
        <v>300</v>
      </c>
      <c r="C566" s="64" t="str">
        <f>TEXT(INDEX(AllTime1[Name], MATCH(SMALL(AllTime1[Helper], ROW(Structures!$G561)), AllTime1[Helper], 0)),"@")</f>
        <v/>
      </c>
      <c r="D566" s="64">
        <f>INDEX(AllTime1[All-time score], MATCH(LARGE(AllTime1[Helper2], ROW(Structures!$G561)), AllTime1[Helper2], 0))</f>
        <v>0</v>
      </c>
      <c r="E566" s="64">
        <f>COUNTIF(_xlfn.XLOOKUP(Table1215[[#This Row],[Name]],Table16[Name],Table16[[September 30, 2025]:[Column18]],,0,1),"&gt;=0")</f>
        <v>0</v>
      </c>
      <c r="F566" s="109" t="str">
        <f>_xlfn.XLOOKUP(Table1215[[#This Row],[Name]],Table1624[Name],Table1624[Totals],,0,1)</f>
        <v>N/A</v>
      </c>
      <c r="G566" s="65" t="str">
        <f>IFERROR(Table1215[[#This Row],[Points]]/Table1215[[#This Row],[GP]],"N/A")</f>
        <v>N/A</v>
      </c>
      <c r="H566" s="64">
        <f>COUNTIF(_xlfn.XLOOKUP(Table1215[[#This Row],[Name]],Table16[Name],Table16[[September 30, 2025]:[Column18]],,0,1),"&gt;=8")</f>
        <v>0</v>
      </c>
      <c r="I566" s="110" t="str">
        <f>IFERROR(AVERAGEIF(_xlfn.XLOOKUP(Table1215[[#This Row],[Name]],Table16[Name],Table16[[September 30, 2025]:[Column18]],,0,1),"&gt;=8"),"N/A")</f>
        <v>N/A</v>
      </c>
      <c r="J566" s="66" t="str">
        <f>IFERROR(Table1215[[#This Row],[FTA]]/Table1215[[#This Row],[GP]],"N/A")</f>
        <v>N/A</v>
      </c>
      <c r="K566" s="67">
        <f>COUNTIF(_xlfn.XLOOKUP(Table1215[[#This Row],[Name]],Table16[Name],Table16[[September 30, 2025]:[Column18]],,0,1),"&gt;=15")</f>
        <v>0</v>
      </c>
    </row>
    <row r="567" spans="2:11">
      <c r="B567" s="82">
        <f>INDEX(AllTime1[All-time rank], MATCH(SMALL(AllTime1[Helper], ROW(Structures!$G562)), AllTime1[Helper], 0))</f>
        <v>300</v>
      </c>
      <c r="C567" s="64" t="str">
        <f>TEXT(INDEX(AllTime1[Name], MATCH(SMALL(AllTime1[Helper], ROW(Structures!$G562)), AllTime1[Helper], 0)),"@")</f>
        <v/>
      </c>
      <c r="D567" s="64">
        <f>INDEX(AllTime1[All-time score], MATCH(LARGE(AllTime1[Helper2], ROW(Structures!$G562)), AllTime1[Helper2], 0))</f>
        <v>0</v>
      </c>
      <c r="E567" s="64">
        <f>COUNTIF(_xlfn.XLOOKUP(Table1215[[#This Row],[Name]],Table16[Name],Table16[[September 30, 2025]:[Column18]],,0,1),"&gt;=0")</f>
        <v>0</v>
      </c>
      <c r="F567" s="109" t="str">
        <f>_xlfn.XLOOKUP(Table1215[[#This Row],[Name]],Table1624[Name],Table1624[Totals],,0,1)</f>
        <v>N/A</v>
      </c>
      <c r="G567" s="65" t="str">
        <f>IFERROR(Table1215[[#This Row],[Points]]/Table1215[[#This Row],[GP]],"N/A")</f>
        <v>N/A</v>
      </c>
      <c r="H567" s="64">
        <f>COUNTIF(_xlfn.XLOOKUP(Table1215[[#This Row],[Name]],Table16[Name],Table16[[September 30, 2025]:[Column18]],,0,1),"&gt;=8")</f>
        <v>0</v>
      </c>
      <c r="I567" s="110" t="str">
        <f>IFERROR(AVERAGEIF(_xlfn.XLOOKUP(Table1215[[#This Row],[Name]],Table16[Name],Table16[[September 30, 2025]:[Column18]],,0,1),"&gt;=8"),"N/A")</f>
        <v>N/A</v>
      </c>
      <c r="J567" s="66" t="str">
        <f>IFERROR(Table1215[[#This Row],[FTA]]/Table1215[[#This Row],[GP]],"N/A")</f>
        <v>N/A</v>
      </c>
      <c r="K567" s="67">
        <f>COUNTIF(_xlfn.XLOOKUP(Table1215[[#This Row],[Name]],Table16[Name],Table16[[September 30, 2025]:[Column18]],,0,1),"&gt;=15")</f>
        <v>0</v>
      </c>
    </row>
    <row r="568" spans="2:11">
      <c r="B568" s="82">
        <f>INDEX(AllTime1[All-time rank], MATCH(SMALL(AllTime1[Helper], ROW(Structures!$G563)), AllTime1[Helper], 0))</f>
        <v>300</v>
      </c>
      <c r="C568" s="64" t="str">
        <f>TEXT(INDEX(AllTime1[Name], MATCH(SMALL(AllTime1[Helper], ROW(Structures!$G563)), AllTime1[Helper], 0)),"@")</f>
        <v/>
      </c>
      <c r="D568" s="64">
        <f>INDEX(AllTime1[All-time score], MATCH(LARGE(AllTime1[Helper2], ROW(Structures!$G563)), AllTime1[Helper2], 0))</f>
        <v>0</v>
      </c>
      <c r="E568" s="64">
        <f>COUNTIF(_xlfn.XLOOKUP(Table1215[[#This Row],[Name]],Table16[Name],Table16[[September 30, 2025]:[Column18]],,0,1),"&gt;=0")</f>
        <v>0</v>
      </c>
      <c r="F568" s="109" t="str">
        <f>_xlfn.XLOOKUP(Table1215[[#This Row],[Name]],Table1624[Name],Table1624[Totals],,0,1)</f>
        <v>N/A</v>
      </c>
      <c r="G568" s="65" t="str">
        <f>IFERROR(Table1215[[#This Row],[Points]]/Table1215[[#This Row],[GP]],"N/A")</f>
        <v>N/A</v>
      </c>
      <c r="H568" s="64">
        <f>COUNTIF(_xlfn.XLOOKUP(Table1215[[#This Row],[Name]],Table16[Name],Table16[[September 30, 2025]:[Column18]],,0,1),"&gt;=8")</f>
        <v>0</v>
      </c>
      <c r="I568" s="110" t="str">
        <f>IFERROR(AVERAGEIF(_xlfn.XLOOKUP(Table1215[[#This Row],[Name]],Table16[Name],Table16[[September 30, 2025]:[Column18]],,0,1),"&gt;=8"),"N/A")</f>
        <v>N/A</v>
      </c>
      <c r="J568" s="66" t="str">
        <f>IFERROR(Table1215[[#This Row],[FTA]]/Table1215[[#This Row],[GP]],"N/A")</f>
        <v>N/A</v>
      </c>
      <c r="K568" s="67">
        <f>COUNTIF(_xlfn.XLOOKUP(Table1215[[#This Row],[Name]],Table16[Name],Table16[[September 30, 2025]:[Column18]],,0,1),"&gt;=15")</f>
        <v>0</v>
      </c>
    </row>
    <row r="569" spans="2:11">
      <c r="B569" s="82">
        <f>INDEX(AllTime1[All-time rank], MATCH(SMALL(AllTime1[Helper], ROW(Structures!$G564)), AllTime1[Helper], 0))</f>
        <v>300</v>
      </c>
      <c r="C569" s="64" t="str">
        <f>TEXT(INDEX(AllTime1[Name], MATCH(SMALL(AllTime1[Helper], ROW(Structures!$G564)), AllTime1[Helper], 0)),"@")</f>
        <v/>
      </c>
      <c r="D569" s="64">
        <f>INDEX(AllTime1[All-time score], MATCH(LARGE(AllTime1[Helper2], ROW(Structures!$G564)), AllTime1[Helper2], 0))</f>
        <v>0</v>
      </c>
      <c r="E569" s="64">
        <f>COUNTIF(_xlfn.XLOOKUP(Table1215[[#This Row],[Name]],Table16[Name],Table16[[September 30, 2025]:[Column18]],,0,1),"&gt;=0")</f>
        <v>0</v>
      </c>
      <c r="F569" s="109" t="str">
        <f>_xlfn.XLOOKUP(Table1215[[#This Row],[Name]],Table1624[Name],Table1624[Totals],,0,1)</f>
        <v>N/A</v>
      </c>
      <c r="G569" s="65" t="str">
        <f>IFERROR(Table1215[[#This Row],[Points]]/Table1215[[#This Row],[GP]],"N/A")</f>
        <v>N/A</v>
      </c>
      <c r="H569" s="64">
        <f>COUNTIF(_xlfn.XLOOKUP(Table1215[[#This Row],[Name]],Table16[Name],Table16[[September 30, 2025]:[Column18]],,0,1),"&gt;=8")</f>
        <v>0</v>
      </c>
      <c r="I569" s="110" t="str">
        <f>IFERROR(AVERAGEIF(_xlfn.XLOOKUP(Table1215[[#This Row],[Name]],Table16[Name],Table16[[September 30, 2025]:[Column18]],,0,1),"&gt;=8"),"N/A")</f>
        <v>N/A</v>
      </c>
      <c r="J569" s="66" t="str">
        <f>IFERROR(Table1215[[#This Row],[FTA]]/Table1215[[#This Row],[GP]],"N/A")</f>
        <v>N/A</v>
      </c>
      <c r="K569" s="67">
        <f>COUNTIF(_xlfn.XLOOKUP(Table1215[[#This Row],[Name]],Table16[Name],Table16[[September 30, 2025]:[Column18]],,0,1),"&gt;=15")</f>
        <v>0</v>
      </c>
    </row>
    <row r="570" spans="2:11">
      <c r="B570" s="82">
        <f>INDEX(AllTime1[All-time rank], MATCH(SMALL(AllTime1[Helper], ROW(Structures!$G565)), AllTime1[Helper], 0))</f>
        <v>300</v>
      </c>
      <c r="C570" s="64" t="str">
        <f>TEXT(INDEX(AllTime1[Name], MATCH(SMALL(AllTime1[Helper], ROW(Structures!$G565)), AllTime1[Helper], 0)),"@")</f>
        <v/>
      </c>
      <c r="D570" s="64">
        <f>INDEX(AllTime1[All-time score], MATCH(LARGE(AllTime1[Helper2], ROW(Structures!$G565)), AllTime1[Helper2], 0))</f>
        <v>0</v>
      </c>
      <c r="E570" s="64">
        <f>COUNTIF(_xlfn.XLOOKUP(Table1215[[#This Row],[Name]],Table16[Name],Table16[[September 30, 2025]:[Column18]],,0,1),"&gt;=0")</f>
        <v>0</v>
      </c>
      <c r="F570" s="109" t="str">
        <f>_xlfn.XLOOKUP(Table1215[[#This Row],[Name]],Table1624[Name],Table1624[Totals],,0,1)</f>
        <v>N/A</v>
      </c>
      <c r="G570" s="65" t="str">
        <f>IFERROR(Table1215[[#This Row],[Points]]/Table1215[[#This Row],[GP]],"N/A")</f>
        <v>N/A</v>
      </c>
      <c r="H570" s="64">
        <f>COUNTIF(_xlfn.XLOOKUP(Table1215[[#This Row],[Name]],Table16[Name],Table16[[September 30, 2025]:[Column18]],,0,1),"&gt;=8")</f>
        <v>0</v>
      </c>
      <c r="I570" s="110" t="str">
        <f>IFERROR(AVERAGEIF(_xlfn.XLOOKUP(Table1215[[#This Row],[Name]],Table16[Name],Table16[[September 30, 2025]:[Column18]],,0,1),"&gt;=8"),"N/A")</f>
        <v>N/A</v>
      </c>
      <c r="J570" s="66" t="str">
        <f>IFERROR(Table1215[[#This Row],[FTA]]/Table1215[[#This Row],[GP]],"N/A")</f>
        <v>N/A</v>
      </c>
      <c r="K570" s="67">
        <f>COUNTIF(_xlfn.XLOOKUP(Table1215[[#This Row],[Name]],Table16[Name],Table16[[September 30, 2025]:[Column18]],,0,1),"&gt;=15")</f>
        <v>0</v>
      </c>
    </row>
    <row r="571" spans="2:11">
      <c r="B571" s="82">
        <f>INDEX(AllTime1[All-time rank], MATCH(SMALL(AllTime1[Helper], ROW(Structures!$G566)), AllTime1[Helper], 0))</f>
        <v>300</v>
      </c>
      <c r="C571" s="64" t="str">
        <f>TEXT(INDEX(AllTime1[Name], MATCH(SMALL(AllTime1[Helper], ROW(Structures!$G566)), AllTime1[Helper], 0)),"@")</f>
        <v/>
      </c>
      <c r="D571" s="64">
        <f>INDEX(AllTime1[All-time score], MATCH(LARGE(AllTime1[Helper2], ROW(Structures!$G566)), AllTime1[Helper2], 0))</f>
        <v>0</v>
      </c>
      <c r="E571" s="64">
        <f>COUNTIF(_xlfn.XLOOKUP(Table1215[[#This Row],[Name]],Table16[Name],Table16[[September 30, 2025]:[Column18]],,0,1),"&gt;=0")</f>
        <v>0</v>
      </c>
      <c r="F571" s="109" t="str">
        <f>_xlfn.XLOOKUP(Table1215[[#This Row],[Name]],Table1624[Name],Table1624[Totals],,0,1)</f>
        <v>N/A</v>
      </c>
      <c r="G571" s="65" t="str">
        <f>IFERROR(Table1215[[#This Row],[Points]]/Table1215[[#This Row],[GP]],"N/A")</f>
        <v>N/A</v>
      </c>
      <c r="H571" s="64">
        <f>COUNTIF(_xlfn.XLOOKUP(Table1215[[#This Row],[Name]],Table16[Name],Table16[[September 30, 2025]:[Column18]],,0,1),"&gt;=8")</f>
        <v>0</v>
      </c>
      <c r="I571" s="110" t="str">
        <f>IFERROR(AVERAGEIF(_xlfn.XLOOKUP(Table1215[[#This Row],[Name]],Table16[Name],Table16[[September 30, 2025]:[Column18]],,0,1),"&gt;=8"),"N/A")</f>
        <v>N/A</v>
      </c>
      <c r="J571" s="66" t="str">
        <f>IFERROR(Table1215[[#This Row],[FTA]]/Table1215[[#This Row],[GP]],"N/A")</f>
        <v>N/A</v>
      </c>
      <c r="K571" s="67">
        <f>COUNTIF(_xlfn.XLOOKUP(Table1215[[#This Row],[Name]],Table16[Name],Table16[[September 30, 2025]:[Column18]],,0,1),"&gt;=15")</f>
        <v>0</v>
      </c>
    </row>
    <row r="572" spans="2:11">
      <c r="B572" s="82">
        <f>INDEX(AllTime1[All-time rank], MATCH(SMALL(AllTime1[Helper], ROW(Structures!$G567)), AllTime1[Helper], 0))</f>
        <v>300</v>
      </c>
      <c r="C572" s="64" t="str">
        <f>TEXT(INDEX(AllTime1[Name], MATCH(SMALL(AllTime1[Helper], ROW(Structures!$G567)), AllTime1[Helper], 0)),"@")</f>
        <v/>
      </c>
      <c r="D572" s="64">
        <f>INDEX(AllTime1[All-time score], MATCH(LARGE(AllTime1[Helper2], ROW(Structures!$G567)), AllTime1[Helper2], 0))</f>
        <v>0</v>
      </c>
      <c r="E572" s="64">
        <f>COUNTIF(_xlfn.XLOOKUP(Table1215[[#This Row],[Name]],Table16[Name],Table16[[September 30, 2025]:[Column18]],,0,1),"&gt;=0")</f>
        <v>0</v>
      </c>
      <c r="F572" s="109" t="str">
        <f>_xlfn.XLOOKUP(Table1215[[#This Row],[Name]],Table1624[Name],Table1624[Totals],,0,1)</f>
        <v>N/A</v>
      </c>
      <c r="G572" s="65" t="str">
        <f>IFERROR(Table1215[[#This Row],[Points]]/Table1215[[#This Row],[GP]],"N/A")</f>
        <v>N/A</v>
      </c>
      <c r="H572" s="64">
        <f>COUNTIF(_xlfn.XLOOKUP(Table1215[[#This Row],[Name]],Table16[Name],Table16[[September 30, 2025]:[Column18]],,0,1),"&gt;=8")</f>
        <v>0</v>
      </c>
      <c r="I572" s="110" t="str">
        <f>IFERROR(AVERAGEIF(_xlfn.XLOOKUP(Table1215[[#This Row],[Name]],Table16[Name],Table16[[September 30, 2025]:[Column18]],,0,1),"&gt;=8"),"N/A")</f>
        <v>N/A</v>
      </c>
      <c r="J572" s="66" t="str">
        <f>IFERROR(Table1215[[#This Row],[FTA]]/Table1215[[#This Row],[GP]],"N/A")</f>
        <v>N/A</v>
      </c>
      <c r="K572" s="67">
        <f>COUNTIF(_xlfn.XLOOKUP(Table1215[[#This Row],[Name]],Table16[Name],Table16[[September 30, 2025]:[Column18]],,0,1),"&gt;=15")</f>
        <v>0</v>
      </c>
    </row>
    <row r="573" spans="2:11">
      <c r="B573" s="82">
        <f>INDEX(AllTime1[All-time rank], MATCH(SMALL(AllTime1[Helper], ROW(Structures!$G568)), AllTime1[Helper], 0))</f>
        <v>300</v>
      </c>
      <c r="C573" s="64" t="str">
        <f>TEXT(INDEX(AllTime1[Name], MATCH(SMALL(AllTime1[Helper], ROW(Structures!$G568)), AllTime1[Helper], 0)),"@")</f>
        <v/>
      </c>
      <c r="D573" s="64">
        <f>INDEX(AllTime1[All-time score], MATCH(LARGE(AllTime1[Helper2], ROW(Structures!$G568)), AllTime1[Helper2], 0))</f>
        <v>0</v>
      </c>
      <c r="E573" s="64">
        <f>COUNTIF(_xlfn.XLOOKUP(Table1215[[#This Row],[Name]],Table16[Name],Table16[[September 30, 2025]:[Column18]],,0,1),"&gt;=0")</f>
        <v>0</v>
      </c>
      <c r="F573" s="109" t="str">
        <f>_xlfn.XLOOKUP(Table1215[[#This Row],[Name]],Table1624[Name],Table1624[Totals],,0,1)</f>
        <v>N/A</v>
      </c>
      <c r="G573" s="65" t="str">
        <f>IFERROR(Table1215[[#This Row],[Points]]/Table1215[[#This Row],[GP]],"N/A")</f>
        <v>N/A</v>
      </c>
      <c r="H573" s="64">
        <f>COUNTIF(_xlfn.XLOOKUP(Table1215[[#This Row],[Name]],Table16[Name],Table16[[September 30, 2025]:[Column18]],,0,1),"&gt;=8")</f>
        <v>0</v>
      </c>
      <c r="I573" s="110" t="str">
        <f>IFERROR(AVERAGEIF(_xlfn.XLOOKUP(Table1215[[#This Row],[Name]],Table16[Name],Table16[[September 30, 2025]:[Column18]],,0,1),"&gt;=8"),"N/A")</f>
        <v>N/A</v>
      </c>
      <c r="J573" s="66" t="str">
        <f>IFERROR(Table1215[[#This Row],[FTA]]/Table1215[[#This Row],[GP]],"N/A")</f>
        <v>N/A</v>
      </c>
      <c r="K573" s="67">
        <f>COUNTIF(_xlfn.XLOOKUP(Table1215[[#This Row],[Name]],Table16[Name],Table16[[September 30, 2025]:[Column18]],,0,1),"&gt;=15")</f>
        <v>0</v>
      </c>
    </row>
    <row r="574" spans="2:11">
      <c r="B574" s="82">
        <f>INDEX(AllTime1[All-time rank], MATCH(SMALL(AllTime1[Helper], ROW(Structures!$G569)), AllTime1[Helper], 0))</f>
        <v>300</v>
      </c>
      <c r="C574" s="64" t="str">
        <f>TEXT(INDEX(AllTime1[Name], MATCH(SMALL(AllTime1[Helper], ROW(Structures!$G569)), AllTime1[Helper], 0)),"@")</f>
        <v/>
      </c>
      <c r="D574" s="64">
        <f>INDEX(AllTime1[All-time score], MATCH(LARGE(AllTime1[Helper2], ROW(Structures!$G569)), AllTime1[Helper2], 0))</f>
        <v>0</v>
      </c>
      <c r="E574" s="64">
        <f>COUNTIF(_xlfn.XLOOKUP(Table1215[[#This Row],[Name]],Table16[Name],Table16[[September 30, 2025]:[Column18]],,0,1),"&gt;=0")</f>
        <v>0</v>
      </c>
      <c r="F574" s="109" t="str">
        <f>_xlfn.XLOOKUP(Table1215[[#This Row],[Name]],Table1624[Name],Table1624[Totals],,0,1)</f>
        <v>N/A</v>
      </c>
      <c r="G574" s="65" t="str">
        <f>IFERROR(Table1215[[#This Row],[Points]]/Table1215[[#This Row],[GP]],"N/A")</f>
        <v>N/A</v>
      </c>
      <c r="H574" s="64">
        <f>COUNTIF(_xlfn.XLOOKUP(Table1215[[#This Row],[Name]],Table16[Name],Table16[[September 30, 2025]:[Column18]],,0,1),"&gt;=8")</f>
        <v>0</v>
      </c>
      <c r="I574" s="110" t="str">
        <f>IFERROR(AVERAGEIF(_xlfn.XLOOKUP(Table1215[[#This Row],[Name]],Table16[Name],Table16[[September 30, 2025]:[Column18]],,0,1),"&gt;=8"),"N/A")</f>
        <v>N/A</v>
      </c>
      <c r="J574" s="66" t="str">
        <f>IFERROR(Table1215[[#This Row],[FTA]]/Table1215[[#This Row],[GP]],"N/A")</f>
        <v>N/A</v>
      </c>
      <c r="K574" s="67">
        <f>COUNTIF(_xlfn.XLOOKUP(Table1215[[#This Row],[Name]],Table16[Name],Table16[[September 30, 2025]:[Column18]],,0,1),"&gt;=15")</f>
        <v>0</v>
      </c>
    </row>
    <row r="575" spans="2:11">
      <c r="B575" s="82">
        <f>INDEX(AllTime1[All-time rank], MATCH(SMALL(AllTime1[Helper], ROW(Structures!$G570)), AllTime1[Helper], 0))</f>
        <v>300</v>
      </c>
      <c r="C575" s="64" t="str">
        <f>TEXT(INDEX(AllTime1[Name], MATCH(SMALL(AllTime1[Helper], ROW(Structures!$G570)), AllTime1[Helper], 0)),"@")</f>
        <v/>
      </c>
      <c r="D575" s="64">
        <f>INDEX(AllTime1[All-time score], MATCH(LARGE(AllTime1[Helper2], ROW(Structures!$G570)), AllTime1[Helper2], 0))</f>
        <v>0</v>
      </c>
      <c r="E575" s="64">
        <f>COUNTIF(_xlfn.XLOOKUP(Table1215[[#This Row],[Name]],Table16[Name],Table16[[September 30, 2025]:[Column18]],,0,1),"&gt;=0")</f>
        <v>0</v>
      </c>
      <c r="F575" s="109" t="str">
        <f>_xlfn.XLOOKUP(Table1215[[#This Row],[Name]],Table1624[Name],Table1624[Totals],,0,1)</f>
        <v>N/A</v>
      </c>
      <c r="G575" s="65" t="str">
        <f>IFERROR(Table1215[[#This Row],[Points]]/Table1215[[#This Row],[GP]],"N/A")</f>
        <v>N/A</v>
      </c>
      <c r="H575" s="64">
        <f>COUNTIF(_xlfn.XLOOKUP(Table1215[[#This Row],[Name]],Table16[Name],Table16[[September 30, 2025]:[Column18]],,0,1),"&gt;=8")</f>
        <v>0</v>
      </c>
      <c r="I575" s="110" t="str">
        <f>IFERROR(AVERAGEIF(_xlfn.XLOOKUP(Table1215[[#This Row],[Name]],Table16[Name],Table16[[September 30, 2025]:[Column18]],,0,1),"&gt;=8"),"N/A")</f>
        <v>N/A</v>
      </c>
      <c r="J575" s="66" t="str">
        <f>IFERROR(Table1215[[#This Row],[FTA]]/Table1215[[#This Row],[GP]],"N/A")</f>
        <v>N/A</v>
      </c>
      <c r="K575" s="67">
        <f>COUNTIF(_xlfn.XLOOKUP(Table1215[[#This Row],[Name]],Table16[Name],Table16[[September 30, 2025]:[Column18]],,0,1),"&gt;=15")</f>
        <v>0</v>
      </c>
    </row>
    <row r="576" spans="2:11">
      <c r="B576" s="82">
        <f>INDEX(AllTime1[All-time rank], MATCH(SMALL(AllTime1[Helper], ROW(Structures!$G571)), AllTime1[Helper], 0))</f>
        <v>300</v>
      </c>
      <c r="C576" s="64" t="str">
        <f>TEXT(INDEX(AllTime1[Name], MATCH(SMALL(AllTime1[Helper], ROW(Structures!$G571)), AllTime1[Helper], 0)),"@")</f>
        <v/>
      </c>
      <c r="D576" s="64">
        <f>INDEX(AllTime1[All-time score], MATCH(LARGE(AllTime1[Helper2], ROW(Structures!$G571)), AllTime1[Helper2], 0))</f>
        <v>0</v>
      </c>
      <c r="E576" s="64">
        <f>COUNTIF(_xlfn.XLOOKUP(Table1215[[#This Row],[Name]],Table16[Name],Table16[[September 30, 2025]:[Column18]],,0,1),"&gt;=0")</f>
        <v>0</v>
      </c>
      <c r="F576" s="109" t="str">
        <f>_xlfn.XLOOKUP(Table1215[[#This Row],[Name]],Table1624[Name],Table1624[Totals],,0,1)</f>
        <v>N/A</v>
      </c>
      <c r="G576" s="65" t="str">
        <f>IFERROR(Table1215[[#This Row],[Points]]/Table1215[[#This Row],[GP]],"N/A")</f>
        <v>N/A</v>
      </c>
      <c r="H576" s="64">
        <f>COUNTIF(_xlfn.XLOOKUP(Table1215[[#This Row],[Name]],Table16[Name],Table16[[September 30, 2025]:[Column18]],,0,1),"&gt;=8")</f>
        <v>0</v>
      </c>
      <c r="I576" s="110" t="str">
        <f>IFERROR(AVERAGEIF(_xlfn.XLOOKUP(Table1215[[#This Row],[Name]],Table16[Name],Table16[[September 30, 2025]:[Column18]],,0,1),"&gt;=8"),"N/A")</f>
        <v>N/A</v>
      </c>
      <c r="J576" s="66" t="str">
        <f>IFERROR(Table1215[[#This Row],[FTA]]/Table1215[[#This Row],[GP]],"N/A")</f>
        <v>N/A</v>
      </c>
      <c r="K576" s="67">
        <f>COUNTIF(_xlfn.XLOOKUP(Table1215[[#This Row],[Name]],Table16[Name],Table16[[September 30, 2025]:[Column18]],,0,1),"&gt;=15")</f>
        <v>0</v>
      </c>
    </row>
    <row r="577" spans="2:11">
      <c r="B577" s="82">
        <f>INDEX(AllTime1[All-time rank], MATCH(SMALL(AllTime1[Helper], ROW(Structures!$G572)), AllTime1[Helper], 0))</f>
        <v>300</v>
      </c>
      <c r="C577" s="64" t="str">
        <f>TEXT(INDEX(AllTime1[Name], MATCH(SMALL(AllTime1[Helper], ROW(Structures!$G572)), AllTime1[Helper], 0)),"@")</f>
        <v/>
      </c>
      <c r="D577" s="64">
        <f>INDEX(AllTime1[All-time score], MATCH(LARGE(AllTime1[Helper2], ROW(Structures!$G572)), AllTime1[Helper2], 0))</f>
        <v>0</v>
      </c>
      <c r="E577" s="64">
        <f>COUNTIF(_xlfn.XLOOKUP(Table1215[[#This Row],[Name]],Table16[Name],Table16[[September 30, 2025]:[Column18]],,0,1),"&gt;=0")</f>
        <v>0</v>
      </c>
      <c r="F577" s="109" t="str">
        <f>_xlfn.XLOOKUP(Table1215[[#This Row],[Name]],Table1624[Name],Table1624[Totals],,0,1)</f>
        <v>N/A</v>
      </c>
      <c r="G577" s="65" t="str">
        <f>IFERROR(Table1215[[#This Row],[Points]]/Table1215[[#This Row],[GP]],"N/A")</f>
        <v>N/A</v>
      </c>
      <c r="H577" s="64">
        <f>COUNTIF(_xlfn.XLOOKUP(Table1215[[#This Row],[Name]],Table16[Name],Table16[[September 30, 2025]:[Column18]],,0,1),"&gt;=8")</f>
        <v>0</v>
      </c>
      <c r="I577" s="110" t="str">
        <f>IFERROR(AVERAGEIF(_xlfn.XLOOKUP(Table1215[[#This Row],[Name]],Table16[Name],Table16[[September 30, 2025]:[Column18]],,0,1),"&gt;=8"),"N/A")</f>
        <v>N/A</v>
      </c>
      <c r="J577" s="66" t="str">
        <f>IFERROR(Table1215[[#This Row],[FTA]]/Table1215[[#This Row],[GP]],"N/A")</f>
        <v>N/A</v>
      </c>
      <c r="K577" s="67">
        <f>COUNTIF(_xlfn.XLOOKUP(Table1215[[#This Row],[Name]],Table16[Name],Table16[[September 30, 2025]:[Column18]],,0,1),"&gt;=15")</f>
        <v>0</v>
      </c>
    </row>
    <row r="578" spans="2:11">
      <c r="B578" s="82">
        <f>INDEX(AllTime1[All-time rank], MATCH(SMALL(AllTime1[Helper], ROW(Structures!$G573)), AllTime1[Helper], 0))</f>
        <v>300</v>
      </c>
      <c r="C578" s="64" t="str">
        <f>TEXT(INDEX(AllTime1[Name], MATCH(SMALL(AllTime1[Helper], ROW(Structures!$G573)), AllTime1[Helper], 0)),"@")</f>
        <v/>
      </c>
      <c r="D578" s="64">
        <f>INDEX(AllTime1[All-time score], MATCH(LARGE(AllTime1[Helper2], ROW(Structures!$G573)), AllTime1[Helper2], 0))</f>
        <v>0</v>
      </c>
      <c r="E578" s="64">
        <f>COUNTIF(_xlfn.XLOOKUP(Table1215[[#This Row],[Name]],Table16[Name],Table16[[September 30, 2025]:[Column18]],,0,1),"&gt;=0")</f>
        <v>0</v>
      </c>
      <c r="F578" s="109" t="str">
        <f>_xlfn.XLOOKUP(Table1215[[#This Row],[Name]],Table1624[Name],Table1624[Totals],,0,1)</f>
        <v>N/A</v>
      </c>
      <c r="G578" s="65" t="str">
        <f>IFERROR(Table1215[[#This Row],[Points]]/Table1215[[#This Row],[GP]],"N/A")</f>
        <v>N/A</v>
      </c>
      <c r="H578" s="64">
        <f>COUNTIF(_xlfn.XLOOKUP(Table1215[[#This Row],[Name]],Table16[Name],Table16[[September 30, 2025]:[Column18]],,0,1),"&gt;=8")</f>
        <v>0</v>
      </c>
      <c r="I578" s="110" t="str">
        <f>IFERROR(AVERAGEIF(_xlfn.XLOOKUP(Table1215[[#This Row],[Name]],Table16[Name],Table16[[September 30, 2025]:[Column18]],,0,1),"&gt;=8"),"N/A")</f>
        <v>N/A</v>
      </c>
      <c r="J578" s="66" t="str">
        <f>IFERROR(Table1215[[#This Row],[FTA]]/Table1215[[#This Row],[GP]],"N/A")</f>
        <v>N/A</v>
      </c>
      <c r="K578" s="67">
        <f>COUNTIF(_xlfn.XLOOKUP(Table1215[[#This Row],[Name]],Table16[Name],Table16[[September 30, 2025]:[Column18]],,0,1),"&gt;=15")</f>
        <v>0</v>
      </c>
    </row>
    <row r="579" spans="2:11">
      <c r="B579" s="82">
        <f>INDEX(AllTime1[All-time rank], MATCH(SMALL(AllTime1[Helper], ROW(Structures!$G574)), AllTime1[Helper], 0))</f>
        <v>300</v>
      </c>
      <c r="C579" s="64" t="str">
        <f>TEXT(INDEX(AllTime1[Name], MATCH(SMALL(AllTime1[Helper], ROW(Structures!$G574)), AllTime1[Helper], 0)),"@")</f>
        <v/>
      </c>
      <c r="D579" s="64">
        <f>INDEX(AllTime1[All-time score], MATCH(LARGE(AllTime1[Helper2], ROW(Structures!$G574)), AllTime1[Helper2], 0))</f>
        <v>0</v>
      </c>
      <c r="E579" s="64">
        <f>COUNTIF(_xlfn.XLOOKUP(Table1215[[#This Row],[Name]],Table16[Name],Table16[[September 30, 2025]:[Column18]],,0,1),"&gt;=0")</f>
        <v>0</v>
      </c>
      <c r="F579" s="109" t="str">
        <f>_xlfn.XLOOKUP(Table1215[[#This Row],[Name]],Table1624[Name],Table1624[Totals],,0,1)</f>
        <v>N/A</v>
      </c>
      <c r="G579" s="65" t="str">
        <f>IFERROR(Table1215[[#This Row],[Points]]/Table1215[[#This Row],[GP]],"N/A")</f>
        <v>N/A</v>
      </c>
      <c r="H579" s="64">
        <f>COUNTIF(_xlfn.XLOOKUP(Table1215[[#This Row],[Name]],Table16[Name],Table16[[September 30, 2025]:[Column18]],,0,1),"&gt;=8")</f>
        <v>0</v>
      </c>
      <c r="I579" s="110" t="str">
        <f>IFERROR(AVERAGEIF(_xlfn.XLOOKUP(Table1215[[#This Row],[Name]],Table16[Name],Table16[[September 30, 2025]:[Column18]],,0,1),"&gt;=8"),"N/A")</f>
        <v>N/A</v>
      </c>
      <c r="J579" s="66" t="str">
        <f>IFERROR(Table1215[[#This Row],[FTA]]/Table1215[[#This Row],[GP]],"N/A")</f>
        <v>N/A</v>
      </c>
      <c r="K579" s="67">
        <f>COUNTIF(_xlfn.XLOOKUP(Table1215[[#This Row],[Name]],Table16[Name],Table16[[September 30, 2025]:[Column18]],,0,1),"&gt;=15")</f>
        <v>0</v>
      </c>
    </row>
    <row r="580" spans="2:11">
      <c r="B580" s="82">
        <f>INDEX(AllTime1[All-time rank], MATCH(SMALL(AllTime1[Helper], ROW(Structures!$G575)), AllTime1[Helper], 0))</f>
        <v>300</v>
      </c>
      <c r="C580" s="64" t="str">
        <f>TEXT(INDEX(AllTime1[Name], MATCH(SMALL(AllTime1[Helper], ROW(Structures!$G575)), AllTime1[Helper], 0)),"@")</f>
        <v/>
      </c>
      <c r="D580" s="64">
        <f>INDEX(AllTime1[All-time score], MATCH(LARGE(AllTime1[Helper2], ROW(Structures!$G575)), AllTime1[Helper2], 0))</f>
        <v>0</v>
      </c>
      <c r="E580" s="64">
        <f>COUNTIF(_xlfn.XLOOKUP(Table1215[[#This Row],[Name]],Table16[Name],Table16[[September 30, 2025]:[Column18]],,0,1),"&gt;=0")</f>
        <v>0</v>
      </c>
      <c r="F580" s="109" t="str">
        <f>_xlfn.XLOOKUP(Table1215[[#This Row],[Name]],Table1624[Name],Table1624[Totals],,0,1)</f>
        <v>N/A</v>
      </c>
      <c r="G580" s="65" t="str">
        <f>IFERROR(Table1215[[#This Row],[Points]]/Table1215[[#This Row],[GP]],"N/A")</f>
        <v>N/A</v>
      </c>
      <c r="H580" s="64">
        <f>COUNTIF(_xlfn.XLOOKUP(Table1215[[#This Row],[Name]],Table16[Name],Table16[[September 30, 2025]:[Column18]],,0,1),"&gt;=8")</f>
        <v>0</v>
      </c>
      <c r="I580" s="110" t="str">
        <f>IFERROR(AVERAGEIF(_xlfn.XLOOKUP(Table1215[[#This Row],[Name]],Table16[Name],Table16[[September 30, 2025]:[Column18]],,0,1),"&gt;=8"),"N/A")</f>
        <v>N/A</v>
      </c>
      <c r="J580" s="66" t="str">
        <f>IFERROR(Table1215[[#This Row],[FTA]]/Table1215[[#This Row],[GP]],"N/A")</f>
        <v>N/A</v>
      </c>
      <c r="K580" s="67">
        <f>COUNTIF(_xlfn.XLOOKUP(Table1215[[#This Row],[Name]],Table16[Name],Table16[[September 30, 2025]:[Column18]],,0,1),"&gt;=15")</f>
        <v>0</v>
      </c>
    </row>
    <row r="581" spans="2:11">
      <c r="B581" s="82">
        <f>INDEX(AllTime1[All-time rank], MATCH(SMALL(AllTime1[Helper], ROW(Structures!$G576)), AllTime1[Helper], 0))</f>
        <v>300</v>
      </c>
      <c r="C581" s="64" t="str">
        <f>TEXT(INDEX(AllTime1[Name], MATCH(SMALL(AllTime1[Helper], ROW(Structures!$G576)), AllTime1[Helper], 0)),"@")</f>
        <v/>
      </c>
      <c r="D581" s="64">
        <f>INDEX(AllTime1[All-time score], MATCH(LARGE(AllTime1[Helper2], ROW(Structures!$G576)), AllTime1[Helper2], 0))</f>
        <v>0</v>
      </c>
      <c r="E581" s="64">
        <f>COUNTIF(_xlfn.XLOOKUP(Table1215[[#This Row],[Name]],Table16[Name],Table16[[September 30, 2025]:[Column18]],,0,1),"&gt;=0")</f>
        <v>0</v>
      </c>
      <c r="F581" s="109" t="str">
        <f>_xlfn.XLOOKUP(Table1215[[#This Row],[Name]],Table1624[Name],Table1624[Totals],,0,1)</f>
        <v>N/A</v>
      </c>
      <c r="G581" s="65" t="str">
        <f>IFERROR(Table1215[[#This Row],[Points]]/Table1215[[#This Row],[GP]],"N/A")</f>
        <v>N/A</v>
      </c>
      <c r="H581" s="64">
        <f>COUNTIF(_xlfn.XLOOKUP(Table1215[[#This Row],[Name]],Table16[Name],Table16[[September 30, 2025]:[Column18]],,0,1),"&gt;=8")</f>
        <v>0</v>
      </c>
      <c r="I581" s="110" t="str">
        <f>IFERROR(AVERAGEIF(_xlfn.XLOOKUP(Table1215[[#This Row],[Name]],Table16[Name],Table16[[September 30, 2025]:[Column18]],,0,1),"&gt;=8"),"N/A")</f>
        <v>N/A</v>
      </c>
      <c r="J581" s="66" t="str">
        <f>IFERROR(Table1215[[#This Row],[FTA]]/Table1215[[#This Row],[GP]],"N/A")</f>
        <v>N/A</v>
      </c>
      <c r="K581" s="67">
        <f>COUNTIF(_xlfn.XLOOKUP(Table1215[[#This Row],[Name]],Table16[Name],Table16[[September 30, 2025]:[Column18]],,0,1),"&gt;=15")</f>
        <v>0</v>
      </c>
    </row>
    <row r="582" spans="2:11">
      <c r="B582" s="82">
        <f>INDEX(AllTime1[All-time rank], MATCH(SMALL(AllTime1[Helper], ROW(Structures!$G577)), AllTime1[Helper], 0))</f>
        <v>300</v>
      </c>
      <c r="C582" s="64" t="str">
        <f>TEXT(INDEX(AllTime1[Name], MATCH(SMALL(AllTime1[Helper], ROW(Structures!$G577)), AllTime1[Helper], 0)),"@")</f>
        <v/>
      </c>
      <c r="D582" s="64">
        <f>INDEX(AllTime1[All-time score], MATCH(LARGE(AllTime1[Helper2], ROW(Structures!$G577)), AllTime1[Helper2], 0))</f>
        <v>0</v>
      </c>
      <c r="E582" s="64">
        <f>COUNTIF(_xlfn.XLOOKUP(Table1215[[#This Row],[Name]],Table16[Name],Table16[[September 30, 2025]:[Column18]],,0,1),"&gt;=0")</f>
        <v>0</v>
      </c>
      <c r="F582" s="109" t="str">
        <f>_xlfn.XLOOKUP(Table1215[[#This Row],[Name]],Table1624[Name],Table1624[Totals],,0,1)</f>
        <v>N/A</v>
      </c>
      <c r="G582" s="65" t="str">
        <f>IFERROR(Table1215[[#This Row],[Points]]/Table1215[[#This Row],[GP]],"N/A")</f>
        <v>N/A</v>
      </c>
      <c r="H582" s="64">
        <f>COUNTIF(_xlfn.XLOOKUP(Table1215[[#This Row],[Name]],Table16[Name],Table16[[September 30, 2025]:[Column18]],,0,1),"&gt;=8")</f>
        <v>0</v>
      </c>
      <c r="I582" s="110" t="str">
        <f>IFERROR(AVERAGEIF(_xlfn.XLOOKUP(Table1215[[#This Row],[Name]],Table16[Name],Table16[[September 30, 2025]:[Column18]],,0,1),"&gt;=8"),"N/A")</f>
        <v>N/A</v>
      </c>
      <c r="J582" s="66" t="str">
        <f>IFERROR(Table1215[[#This Row],[FTA]]/Table1215[[#This Row],[GP]],"N/A")</f>
        <v>N/A</v>
      </c>
      <c r="K582" s="67">
        <f>COUNTIF(_xlfn.XLOOKUP(Table1215[[#This Row],[Name]],Table16[Name],Table16[[September 30, 2025]:[Column18]],,0,1),"&gt;=15")</f>
        <v>0</v>
      </c>
    </row>
    <row r="583" spans="2:11">
      <c r="B583" s="82">
        <f>INDEX(AllTime1[All-time rank], MATCH(SMALL(AllTime1[Helper], ROW(Structures!$G578)), AllTime1[Helper], 0))</f>
        <v>300</v>
      </c>
      <c r="C583" s="64" t="str">
        <f>TEXT(INDEX(AllTime1[Name], MATCH(SMALL(AllTime1[Helper], ROW(Structures!$G578)), AllTime1[Helper], 0)),"@")</f>
        <v/>
      </c>
      <c r="D583" s="64">
        <f>INDEX(AllTime1[All-time score], MATCH(LARGE(AllTime1[Helper2], ROW(Structures!$G578)), AllTime1[Helper2], 0))</f>
        <v>0</v>
      </c>
      <c r="E583" s="64">
        <f>COUNTIF(_xlfn.XLOOKUP(Table1215[[#This Row],[Name]],Table16[Name],Table16[[September 30, 2025]:[Column18]],,0,1),"&gt;=0")</f>
        <v>0</v>
      </c>
      <c r="F583" s="109" t="str">
        <f>_xlfn.XLOOKUP(Table1215[[#This Row],[Name]],Table1624[Name],Table1624[Totals],,0,1)</f>
        <v>N/A</v>
      </c>
      <c r="G583" s="65" t="str">
        <f>IFERROR(Table1215[[#This Row],[Points]]/Table1215[[#This Row],[GP]],"N/A")</f>
        <v>N/A</v>
      </c>
      <c r="H583" s="64">
        <f>COUNTIF(_xlfn.XLOOKUP(Table1215[[#This Row],[Name]],Table16[Name],Table16[[September 30, 2025]:[Column18]],,0,1),"&gt;=8")</f>
        <v>0</v>
      </c>
      <c r="I583" s="110" t="str">
        <f>IFERROR(AVERAGEIF(_xlfn.XLOOKUP(Table1215[[#This Row],[Name]],Table16[Name],Table16[[September 30, 2025]:[Column18]],,0,1),"&gt;=8"),"N/A")</f>
        <v>N/A</v>
      </c>
      <c r="J583" s="66" t="str">
        <f>IFERROR(Table1215[[#This Row],[FTA]]/Table1215[[#This Row],[GP]],"N/A")</f>
        <v>N/A</v>
      </c>
      <c r="K583" s="67">
        <f>COUNTIF(_xlfn.XLOOKUP(Table1215[[#This Row],[Name]],Table16[Name],Table16[[September 30, 2025]:[Column18]],,0,1),"&gt;=15")</f>
        <v>0</v>
      </c>
    </row>
    <row r="584" spans="2:11">
      <c r="B584" s="82">
        <f>INDEX(AllTime1[All-time rank], MATCH(SMALL(AllTime1[Helper], ROW(Structures!$G579)), AllTime1[Helper], 0))</f>
        <v>300</v>
      </c>
      <c r="C584" s="64" t="str">
        <f>TEXT(INDEX(AllTime1[Name], MATCH(SMALL(AllTime1[Helper], ROW(Structures!$G579)), AllTime1[Helper], 0)),"@")</f>
        <v/>
      </c>
      <c r="D584" s="64">
        <f>INDEX(AllTime1[All-time score], MATCH(LARGE(AllTime1[Helper2], ROW(Structures!$G579)), AllTime1[Helper2], 0))</f>
        <v>0</v>
      </c>
      <c r="E584" s="64">
        <f>COUNTIF(_xlfn.XLOOKUP(Table1215[[#This Row],[Name]],Table16[Name],Table16[[September 30, 2025]:[Column18]],,0,1),"&gt;=0")</f>
        <v>0</v>
      </c>
      <c r="F584" s="109" t="str">
        <f>_xlfn.XLOOKUP(Table1215[[#This Row],[Name]],Table1624[Name],Table1624[Totals],,0,1)</f>
        <v>N/A</v>
      </c>
      <c r="G584" s="65" t="str">
        <f>IFERROR(Table1215[[#This Row],[Points]]/Table1215[[#This Row],[GP]],"N/A")</f>
        <v>N/A</v>
      </c>
      <c r="H584" s="64">
        <f>COUNTIF(_xlfn.XLOOKUP(Table1215[[#This Row],[Name]],Table16[Name],Table16[[September 30, 2025]:[Column18]],,0,1),"&gt;=8")</f>
        <v>0</v>
      </c>
      <c r="I584" s="110" t="str">
        <f>IFERROR(AVERAGEIF(_xlfn.XLOOKUP(Table1215[[#This Row],[Name]],Table16[Name],Table16[[September 30, 2025]:[Column18]],,0,1),"&gt;=8"),"N/A")</f>
        <v>N/A</v>
      </c>
      <c r="J584" s="66" t="str">
        <f>IFERROR(Table1215[[#This Row],[FTA]]/Table1215[[#This Row],[GP]],"N/A")</f>
        <v>N/A</v>
      </c>
      <c r="K584" s="67">
        <f>COUNTIF(_xlfn.XLOOKUP(Table1215[[#This Row],[Name]],Table16[Name],Table16[[September 30, 2025]:[Column18]],,0,1),"&gt;=15")</f>
        <v>0</v>
      </c>
    </row>
    <row r="585" spans="2:11">
      <c r="B585" s="82">
        <f>INDEX(AllTime1[All-time rank], MATCH(SMALL(AllTime1[Helper], ROW(Structures!$G580)), AllTime1[Helper], 0))</f>
        <v>300</v>
      </c>
      <c r="C585" s="64" t="str">
        <f>TEXT(INDEX(AllTime1[Name], MATCH(SMALL(AllTime1[Helper], ROW(Structures!$G580)), AllTime1[Helper], 0)),"@")</f>
        <v/>
      </c>
      <c r="D585" s="64">
        <f>INDEX(AllTime1[All-time score], MATCH(LARGE(AllTime1[Helper2], ROW(Structures!$G580)), AllTime1[Helper2], 0))</f>
        <v>0</v>
      </c>
      <c r="E585" s="64">
        <f>COUNTIF(_xlfn.XLOOKUP(Table1215[[#This Row],[Name]],Table16[Name],Table16[[September 30, 2025]:[Column18]],,0,1),"&gt;=0")</f>
        <v>0</v>
      </c>
      <c r="F585" s="109" t="str">
        <f>_xlfn.XLOOKUP(Table1215[[#This Row],[Name]],Table1624[Name],Table1624[Totals],,0,1)</f>
        <v>N/A</v>
      </c>
      <c r="G585" s="65" t="str">
        <f>IFERROR(Table1215[[#This Row],[Points]]/Table1215[[#This Row],[GP]],"N/A")</f>
        <v>N/A</v>
      </c>
      <c r="H585" s="64">
        <f>COUNTIF(_xlfn.XLOOKUP(Table1215[[#This Row],[Name]],Table16[Name],Table16[[September 30, 2025]:[Column18]],,0,1),"&gt;=8")</f>
        <v>0</v>
      </c>
      <c r="I585" s="110" t="str">
        <f>IFERROR(AVERAGEIF(_xlfn.XLOOKUP(Table1215[[#This Row],[Name]],Table16[Name],Table16[[September 30, 2025]:[Column18]],,0,1),"&gt;=8"),"N/A")</f>
        <v>N/A</v>
      </c>
      <c r="J585" s="66" t="str">
        <f>IFERROR(Table1215[[#This Row],[FTA]]/Table1215[[#This Row],[GP]],"N/A")</f>
        <v>N/A</v>
      </c>
      <c r="K585" s="67">
        <f>COUNTIF(_xlfn.XLOOKUP(Table1215[[#This Row],[Name]],Table16[Name],Table16[[September 30, 2025]:[Column18]],,0,1),"&gt;=15")</f>
        <v>0</v>
      </c>
    </row>
    <row r="586" spans="2:11">
      <c r="B586" s="82">
        <f>INDEX(AllTime1[All-time rank], MATCH(SMALL(AllTime1[Helper], ROW(Structures!$G581)), AllTime1[Helper], 0))</f>
        <v>300</v>
      </c>
      <c r="C586" s="64" t="str">
        <f>TEXT(INDEX(AllTime1[Name], MATCH(SMALL(AllTime1[Helper], ROW(Structures!$G581)), AllTime1[Helper], 0)),"@")</f>
        <v/>
      </c>
      <c r="D586" s="64">
        <f>INDEX(AllTime1[All-time score], MATCH(LARGE(AllTime1[Helper2], ROW(Structures!$G581)), AllTime1[Helper2], 0))</f>
        <v>0</v>
      </c>
      <c r="E586" s="64">
        <f>COUNTIF(_xlfn.XLOOKUP(Table1215[[#This Row],[Name]],Table16[Name],Table16[[September 30, 2025]:[Column18]],,0,1),"&gt;=0")</f>
        <v>0</v>
      </c>
      <c r="F586" s="109" t="str">
        <f>_xlfn.XLOOKUP(Table1215[[#This Row],[Name]],Table1624[Name],Table1624[Totals],,0,1)</f>
        <v>N/A</v>
      </c>
      <c r="G586" s="65" t="str">
        <f>IFERROR(Table1215[[#This Row],[Points]]/Table1215[[#This Row],[GP]],"N/A")</f>
        <v>N/A</v>
      </c>
      <c r="H586" s="64">
        <f>COUNTIF(_xlfn.XLOOKUP(Table1215[[#This Row],[Name]],Table16[Name],Table16[[September 30, 2025]:[Column18]],,0,1),"&gt;=8")</f>
        <v>0</v>
      </c>
      <c r="I586" s="110" t="str">
        <f>IFERROR(AVERAGEIF(_xlfn.XLOOKUP(Table1215[[#This Row],[Name]],Table16[Name],Table16[[September 30, 2025]:[Column18]],,0,1),"&gt;=8"),"N/A")</f>
        <v>N/A</v>
      </c>
      <c r="J586" s="66" t="str">
        <f>IFERROR(Table1215[[#This Row],[FTA]]/Table1215[[#This Row],[GP]],"N/A")</f>
        <v>N/A</v>
      </c>
      <c r="K586" s="67">
        <f>COUNTIF(_xlfn.XLOOKUP(Table1215[[#This Row],[Name]],Table16[Name],Table16[[September 30, 2025]:[Column18]],,0,1),"&gt;=15")</f>
        <v>0</v>
      </c>
    </row>
    <row r="587" spans="2:11">
      <c r="B587" s="82">
        <f>INDEX(AllTime1[All-time rank], MATCH(SMALL(AllTime1[Helper], ROW(Structures!$G582)), AllTime1[Helper], 0))</f>
        <v>300</v>
      </c>
      <c r="C587" s="64" t="str">
        <f>TEXT(INDEX(AllTime1[Name], MATCH(SMALL(AllTime1[Helper], ROW(Structures!$G582)), AllTime1[Helper], 0)),"@")</f>
        <v/>
      </c>
      <c r="D587" s="64">
        <f>INDEX(AllTime1[All-time score], MATCH(LARGE(AllTime1[Helper2], ROW(Structures!$G582)), AllTime1[Helper2], 0))</f>
        <v>0</v>
      </c>
      <c r="E587" s="64">
        <f>COUNTIF(_xlfn.XLOOKUP(Table1215[[#This Row],[Name]],Table16[Name],Table16[[September 30, 2025]:[Column18]],,0,1),"&gt;=0")</f>
        <v>0</v>
      </c>
      <c r="F587" s="109" t="str">
        <f>_xlfn.XLOOKUP(Table1215[[#This Row],[Name]],Table1624[Name],Table1624[Totals],,0,1)</f>
        <v>N/A</v>
      </c>
      <c r="G587" s="65" t="str">
        <f>IFERROR(Table1215[[#This Row],[Points]]/Table1215[[#This Row],[GP]],"N/A")</f>
        <v>N/A</v>
      </c>
      <c r="H587" s="64">
        <f>COUNTIF(_xlfn.XLOOKUP(Table1215[[#This Row],[Name]],Table16[Name],Table16[[September 30, 2025]:[Column18]],,0,1),"&gt;=8")</f>
        <v>0</v>
      </c>
      <c r="I587" s="110" t="str">
        <f>IFERROR(AVERAGEIF(_xlfn.XLOOKUP(Table1215[[#This Row],[Name]],Table16[Name],Table16[[September 30, 2025]:[Column18]],,0,1),"&gt;=8"),"N/A")</f>
        <v>N/A</v>
      </c>
      <c r="J587" s="66" t="str">
        <f>IFERROR(Table1215[[#This Row],[FTA]]/Table1215[[#This Row],[GP]],"N/A")</f>
        <v>N/A</v>
      </c>
      <c r="K587" s="67">
        <f>COUNTIF(_xlfn.XLOOKUP(Table1215[[#This Row],[Name]],Table16[Name],Table16[[September 30, 2025]:[Column18]],,0,1),"&gt;=15")</f>
        <v>0</v>
      </c>
    </row>
    <row r="588" spans="2:11">
      <c r="B588" s="82">
        <f>INDEX(AllTime1[All-time rank], MATCH(SMALL(AllTime1[Helper], ROW(Structures!$G583)), AllTime1[Helper], 0))</f>
        <v>300</v>
      </c>
      <c r="C588" s="64" t="str">
        <f>TEXT(INDEX(AllTime1[Name], MATCH(SMALL(AllTime1[Helper], ROW(Structures!$G583)), AllTime1[Helper], 0)),"@")</f>
        <v/>
      </c>
      <c r="D588" s="64">
        <f>INDEX(AllTime1[All-time score], MATCH(LARGE(AllTime1[Helper2], ROW(Structures!$G583)), AllTime1[Helper2], 0))</f>
        <v>0</v>
      </c>
      <c r="E588" s="64">
        <f>COUNTIF(_xlfn.XLOOKUP(Table1215[[#This Row],[Name]],Table16[Name],Table16[[September 30, 2025]:[Column18]],,0,1),"&gt;=0")</f>
        <v>0</v>
      </c>
      <c r="F588" s="109" t="str">
        <f>_xlfn.XLOOKUP(Table1215[[#This Row],[Name]],Table1624[Name],Table1624[Totals],,0,1)</f>
        <v>N/A</v>
      </c>
      <c r="G588" s="65" t="str">
        <f>IFERROR(Table1215[[#This Row],[Points]]/Table1215[[#This Row],[GP]],"N/A")</f>
        <v>N/A</v>
      </c>
      <c r="H588" s="64">
        <f>COUNTIF(_xlfn.XLOOKUP(Table1215[[#This Row],[Name]],Table16[Name],Table16[[September 30, 2025]:[Column18]],,0,1),"&gt;=8")</f>
        <v>0</v>
      </c>
      <c r="I588" s="110" t="str">
        <f>IFERROR(AVERAGEIF(_xlfn.XLOOKUP(Table1215[[#This Row],[Name]],Table16[Name],Table16[[September 30, 2025]:[Column18]],,0,1),"&gt;=8"),"N/A")</f>
        <v>N/A</v>
      </c>
      <c r="J588" s="66" t="str">
        <f>IFERROR(Table1215[[#This Row],[FTA]]/Table1215[[#This Row],[GP]],"N/A")</f>
        <v>N/A</v>
      </c>
      <c r="K588" s="67">
        <f>COUNTIF(_xlfn.XLOOKUP(Table1215[[#This Row],[Name]],Table16[Name],Table16[[September 30, 2025]:[Column18]],,0,1),"&gt;=15")</f>
        <v>0</v>
      </c>
    </row>
    <row r="589" spans="2:11">
      <c r="B589" s="82">
        <f>INDEX(AllTime1[All-time rank], MATCH(SMALL(AllTime1[Helper], ROW(Structures!$G584)), AllTime1[Helper], 0))</f>
        <v>300</v>
      </c>
      <c r="C589" s="64" t="str">
        <f>TEXT(INDEX(AllTime1[Name], MATCH(SMALL(AllTime1[Helper], ROW(Structures!$G584)), AllTime1[Helper], 0)),"@")</f>
        <v/>
      </c>
      <c r="D589" s="64">
        <f>INDEX(AllTime1[All-time score], MATCH(LARGE(AllTime1[Helper2], ROW(Structures!$G584)), AllTime1[Helper2], 0))</f>
        <v>0</v>
      </c>
      <c r="E589" s="64">
        <f>COUNTIF(_xlfn.XLOOKUP(Table1215[[#This Row],[Name]],Table16[Name],Table16[[September 30, 2025]:[Column18]],,0,1),"&gt;=0")</f>
        <v>0</v>
      </c>
      <c r="F589" s="109" t="str">
        <f>_xlfn.XLOOKUP(Table1215[[#This Row],[Name]],Table1624[Name],Table1624[Totals],,0,1)</f>
        <v>N/A</v>
      </c>
      <c r="G589" s="65" t="str">
        <f>IFERROR(Table1215[[#This Row],[Points]]/Table1215[[#This Row],[GP]],"N/A")</f>
        <v>N/A</v>
      </c>
      <c r="H589" s="64">
        <f>COUNTIF(_xlfn.XLOOKUP(Table1215[[#This Row],[Name]],Table16[Name],Table16[[September 30, 2025]:[Column18]],,0,1),"&gt;=8")</f>
        <v>0</v>
      </c>
      <c r="I589" s="110" t="str">
        <f>IFERROR(AVERAGEIF(_xlfn.XLOOKUP(Table1215[[#This Row],[Name]],Table16[Name],Table16[[September 30, 2025]:[Column18]],,0,1),"&gt;=8"),"N/A")</f>
        <v>N/A</v>
      </c>
      <c r="J589" s="66" t="str">
        <f>IFERROR(Table1215[[#This Row],[FTA]]/Table1215[[#This Row],[GP]],"N/A")</f>
        <v>N/A</v>
      </c>
      <c r="K589" s="67">
        <f>COUNTIF(_xlfn.XLOOKUP(Table1215[[#This Row],[Name]],Table16[Name],Table16[[September 30, 2025]:[Column18]],,0,1),"&gt;=15")</f>
        <v>0</v>
      </c>
    </row>
    <row r="590" spans="2:11">
      <c r="B590" s="82">
        <f>INDEX(AllTime1[All-time rank], MATCH(SMALL(AllTime1[Helper], ROW(Structures!$G585)), AllTime1[Helper], 0))</f>
        <v>300</v>
      </c>
      <c r="C590" s="64" t="str">
        <f>TEXT(INDEX(AllTime1[Name], MATCH(SMALL(AllTime1[Helper], ROW(Structures!$G585)), AllTime1[Helper], 0)),"@")</f>
        <v/>
      </c>
      <c r="D590" s="64">
        <f>INDEX(AllTime1[All-time score], MATCH(LARGE(AllTime1[Helper2], ROW(Structures!$G585)), AllTime1[Helper2], 0))</f>
        <v>0</v>
      </c>
      <c r="E590" s="64">
        <f>COUNTIF(_xlfn.XLOOKUP(Table1215[[#This Row],[Name]],Table16[Name],Table16[[September 30, 2025]:[Column18]],,0,1),"&gt;=0")</f>
        <v>0</v>
      </c>
      <c r="F590" s="109" t="str">
        <f>_xlfn.XLOOKUP(Table1215[[#This Row],[Name]],Table1624[Name],Table1624[Totals],,0,1)</f>
        <v>N/A</v>
      </c>
      <c r="G590" s="65" t="str">
        <f>IFERROR(Table1215[[#This Row],[Points]]/Table1215[[#This Row],[GP]],"N/A")</f>
        <v>N/A</v>
      </c>
      <c r="H590" s="64">
        <f>COUNTIF(_xlfn.XLOOKUP(Table1215[[#This Row],[Name]],Table16[Name],Table16[[September 30, 2025]:[Column18]],,0,1),"&gt;=8")</f>
        <v>0</v>
      </c>
      <c r="I590" s="110" t="str">
        <f>IFERROR(AVERAGEIF(_xlfn.XLOOKUP(Table1215[[#This Row],[Name]],Table16[Name],Table16[[September 30, 2025]:[Column18]],,0,1),"&gt;=8"),"N/A")</f>
        <v>N/A</v>
      </c>
      <c r="J590" s="66" t="str">
        <f>IFERROR(Table1215[[#This Row],[FTA]]/Table1215[[#This Row],[GP]],"N/A")</f>
        <v>N/A</v>
      </c>
      <c r="K590" s="67">
        <f>COUNTIF(_xlfn.XLOOKUP(Table1215[[#This Row],[Name]],Table16[Name],Table16[[September 30, 2025]:[Column18]],,0,1),"&gt;=15")</f>
        <v>0</v>
      </c>
    </row>
    <row r="591" spans="2:11">
      <c r="B591" s="82">
        <f>INDEX(AllTime1[All-time rank], MATCH(SMALL(AllTime1[Helper], ROW(Structures!$G586)), AllTime1[Helper], 0))</f>
        <v>300</v>
      </c>
      <c r="C591" s="64" t="str">
        <f>TEXT(INDEX(AllTime1[Name], MATCH(SMALL(AllTime1[Helper], ROW(Structures!$G586)), AllTime1[Helper], 0)),"@")</f>
        <v/>
      </c>
      <c r="D591" s="64">
        <f>INDEX(AllTime1[All-time score], MATCH(LARGE(AllTime1[Helper2], ROW(Structures!$G586)), AllTime1[Helper2], 0))</f>
        <v>0</v>
      </c>
      <c r="E591" s="64">
        <f>COUNTIF(_xlfn.XLOOKUP(Table1215[[#This Row],[Name]],Table16[Name],Table16[[September 30, 2025]:[Column18]],,0,1),"&gt;=0")</f>
        <v>0</v>
      </c>
      <c r="F591" s="109" t="str">
        <f>_xlfn.XLOOKUP(Table1215[[#This Row],[Name]],Table1624[Name],Table1624[Totals],,0,1)</f>
        <v>N/A</v>
      </c>
      <c r="G591" s="65" t="str">
        <f>IFERROR(Table1215[[#This Row],[Points]]/Table1215[[#This Row],[GP]],"N/A")</f>
        <v>N/A</v>
      </c>
      <c r="H591" s="64">
        <f>COUNTIF(_xlfn.XLOOKUP(Table1215[[#This Row],[Name]],Table16[Name],Table16[[September 30, 2025]:[Column18]],,0,1),"&gt;=8")</f>
        <v>0</v>
      </c>
      <c r="I591" s="110" t="str">
        <f>IFERROR(AVERAGEIF(_xlfn.XLOOKUP(Table1215[[#This Row],[Name]],Table16[Name],Table16[[September 30, 2025]:[Column18]],,0,1),"&gt;=8"),"N/A")</f>
        <v>N/A</v>
      </c>
      <c r="J591" s="66" t="str">
        <f>IFERROR(Table1215[[#This Row],[FTA]]/Table1215[[#This Row],[GP]],"N/A")</f>
        <v>N/A</v>
      </c>
      <c r="K591" s="67">
        <f>COUNTIF(_xlfn.XLOOKUP(Table1215[[#This Row],[Name]],Table16[Name],Table16[[September 30, 2025]:[Column18]],,0,1),"&gt;=15")</f>
        <v>0</v>
      </c>
    </row>
    <row r="592" spans="2:11">
      <c r="B592" s="82">
        <f>INDEX(AllTime1[All-time rank], MATCH(SMALL(AllTime1[Helper], ROW(Structures!$G587)), AllTime1[Helper], 0))</f>
        <v>300</v>
      </c>
      <c r="C592" s="64" t="str">
        <f>TEXT(INDEX(AllTime1[Name], MATCH(SMALL(AllTime1[Helper], ROW(Structures!$G587)), AllTime1[Helper], 0)),"@")</f>
        <v/>
      </c>
      <c r="D592" s="64">
        <f>INDEX(AllTime1[All-time score], MATCH(LARGE(AllTime1[Helper2], ROW(Structures!$G587)), AllTime1[Helper2], 0))</f>
        <v>0</v>
      </c>
      <c r="E592" s="64">
        <f>COUNTIF(_xlfn.XLOOKUP(Table1215[[#This Row],[Name]],Table16[Name],Table16[[September 30, 2025]:[Column18]],,0,1),"&gt;=0")</f>
        <v>0</v>
      </c>
      <c r="F592" s="109" t="str">
        <f>_xlfn.XLOOKUP(Table1215[[#This Row],[Name]],Table1624[Name],Table1624[Totals],,0,1)</f>
        <v>N/A</v>
      </c>
      <c r="G592" s="65" t="str">
        <f>IFERROR(Table1215[[#This Row],[Points]]/Table1215[[#This Row],[GP]],"N/A")</f>
        <v>N/A</v>
      </c>
      <c r="H592" s="64">
        <f>COUNTIF(_xlfn.XLOOKUP(Table1215[[#This Row],[Name]],Table16[Name],Table16[[September 30, 2025]:[Column18]],,0,1),"&gt;=8")</f>
        <v>0</v>
      </c>
      <c r="I592" s="110" t="str">
        <f>IFERROR(AVERAGEIF(_xlfn.XLOOKUP(Table1215[[#This Row],[Name]],Table16[Name],Table16[[September 30, 2025]:[Column18]],,0,1),"&gt;=8"),"N/A")</f>
        <v>N/A</v>
      </c>
      <c r="J592" s="66" t="str">
        <f>IFERROR(Table1215[[#This Row],[FTA]]/Table1215[[#This Row],[GP]],"N/A")</f>
        <v>N/A</v>
      </c>
      <c r="K592" s="67">
        <f>COUNTIF(_xlfn.XLOOKUP(Table1215[[#This Row],[Name]],Table16[Name],Table16[[September 30, 2025]:[Column18]],,0,1),"&gt;=15")</f>
        <v>0</v>
      </c>
    </row>
    <row r="593" spans="2:11">
      <c r="B593" s="82">
        <f>INDEX(AllTime1[All-time rank], MATCH(SMALL(AllTime1[Helper], ROW(Structures!$G588)), AllTime1[Helper], 0))</f>
        <v>300</v>
      </c>
      <c r="C593" s="64" t="str">
        <f>TEXT(INDEX(AllTime1[Name], MATCH(SMALL(AllTime1[Helper], ROW(Structures!$G588)), AllTime1[Helper], 0)),"@")</f>
        <v/>
      </c>
      <c r="D593" s="64">
        <f>INDEX(AllTime1[All-time score], MATCH(LARGE(AllTime1[Helper2], ROW(Structures!$G588)), AllTime1[Helper2], 0))</f>
        <v>0</v>
      </c>
      <c r="E593" s="64">
        <f>COUNTIF(_xlfn.XLOOKUP(Table1215[[#This Row],[Name]],Table16[Name],Table16[[September 30, 2025]:[Column18]],,0,1),"&gt;=0")</f>
        <v>0</v>
      </c>
      <c r="F593" s="109" t="str">
        <f>_xlfn.XLOOKUP(Table1215[[#This Row],[Name]],Table1624[Name],Table1624[Totals],,0,1)</f>
        <v>N/A</v>
      </c>
      <c r="G593" s="65" t="str">
        <f>IFERROR(Table1215[[#This Row],[Points]]/Table1215[[#This Row],[GP]],"N/A")</f>
        <v>N/A</v>
      </c>
      <c r="H593" s="64">
        <f>COUNTIF(_xlfn.XLOOKUP(Table1215[[#This Row],[Name]],Table16[Name],Table16[[September 30, 2025]:[Column18]],,0,1),"&gt;=8")</f>
        <v>0</v>
      </c>
      <c r="I593" s="110" t="str">
        <f>IFERROR(AVERAGEIF(_xlfn.XLOOKUP(Table1215[[#This Row],[Name]],Table16[Name],Table16[[September 30, 2025]:[Column18]],,0,1),"&gt;=8"),"N/A")</f>
        <v>N/A</v>
      </c>
      <c r="J593" s="66" t="str">
        <f>IFERROR(Table1215[[#This Row],[FTA]]/Table1215[[#This Row],[GP]],"N/A")</f>
        <v>N/A</v>
      </c>
      <c r="K593" s="67">
        <f>COUNTIF(_xlfn.XLOOKUP(Table1215[[#This Row],[Name]],Table16[Name],Table16[[September 30, 2025]:[Column18]],,0,1),"&gt;=15")</f>
        <v>0</v>
      </c>
    </row>
    <row r="594" spans="2:11">
      <c r="B594" s="82">
        <f>INDEX(AllTime1[All-time rank], MATCH(SMALL(AllTime1[Helper], ROW(Structures!$G589)), AllTime1[Helper], 0))</f>
        <v>300</v>
      </c>
      <c r="C594" s="64" t="str">
        <f>TEXT(INDEX(AllTime1[Name], MATCH(SMALL(AllTime1[Helper], ROW(Structures!$G589)), AllTime1[Helper], 0)),"@")</f>
        <v/>
      </c>
      <c r="D594" s="64">
        <f>INDEX(AllTime1[All-time score], MATCH(LARGE(AllTime1[Helper2], ROW(Structures!$G589)), AllTime1[Helper2], 0))</f>
        <v>0</v>
      </c>
      <c r="E594" s="64">
        <f>COUNTIF(_xlfn.XLOOKUP(Table1215[[#This Row],[Name]],Table16[Name],Table16[[September 30, 2025]:[Column18]],,0,1),"&gt;=0")</f>
        <v>0</v>
      </c>
      <c r="F594" s="109" t="str">
        <f>_xlfn.XLOOKUP(Table1215[[#This Row],[Name]],Table1624[Name],Table1624[Totals],,0,1)</f>
        <v>N/A</v>
      </c>
      <c r="G594" s="65" t="str">
        <f>IFERROR(Table1215[[#This Row],[Points]]/Table1215[[#This Row],[GP]],"N/A")</f>
        <v>N/A</v>
      </c>
      <c r="H594" s="64">
        <f>COUNTIF(_xlfn.XLOOKUP(Table1215[[#This Row],[Name]],Table16[Name],Table16[[September 30, 2025]:[Column18]],,0,1),"&gt;=8")</f>
        <v>0</v>
      </c>
      <c r="I594" s="110" t="str">
        <f>IFERROR(AVERAGEIF(_xlfn.XLOOKUP(Table1215[[#This Row],[Name]],Table16[Name],Table16[[September 30, 2025]:[Column18]],,0,1),"&gt;=8"),"N/A")</f>
        <v>N/A</v>
      </c>
      <c r="J594" s="66" t="str">
        <f>IFERROR(Table1215[[#This Row],[FTA]]/Table1215[[#This Row],[GP]],"N/A")</f>
        <v>N/A</v>
      </c>
      <c r="K594" s="67">
        <f>COUNTIF(_xlfn.XLOOKUP(Table1215[[#This Row],[Name]],Table16[Name],Table16[[September 30, 2025]:[Column18]],,0,1),"&gt;=15")</f>
        <v>0</v>
      </c>
    </row>
    <row r="595" spans="2:11">
      <c r="B595" s="82">
        <f>INDEX(AllTime1[All-time rank], MATCH(SMALL(AllTime1[Helper], ROW(Structures!$G590)), AllTime1[Helper], 0))</f>
        <v>300</v>
      </c>
      <c r="C595" s="64" t="str">
        <f>TEXT(INDEX(AllTime1[Name], MATCH(SMALL(AllTime1[Helper], ROW(Structures!$G590)), AllTime1[Helper], 0)),"@")</f>
        <v/>
      </c>
      <c r="D595" s="64">
        <f>INDEX(AllTime1[All-time score], MATCH(LARGE(AllTime1[Helper2], ROW(Structures!$G590)), AllTime1[Helper2], 0))</f>
        <v>0</v>
      </c>
      <c r="E595" s="64">
        <f>COUNTIF(_xlfn.XLOOKUP(Table1215[[#This Row],[Name]],Table16[Name],Table16[[September 30, 2025]:[Column18]],,0,1),"&gt;=0")</f>
        <v>0</v>
      </c>
      <c r="F595" s="109" t="str">
        <f>_xlfn.XLOOKUP(Table1215[[#This Row],[Name]],Table1624[Name],Table1624[Totals],,0,1)</f>
        <v>N/A</v>
      </c>
      <c r="G595" s="65" t="str">
        <f>IFERROR(Table1215[[#This Row],[Points]]/Table1215[[#This Row],[GP]],"N/A")</f>
        <v>N/A</v>
      </c>
      <c r="H595" s="64">
        <f>COUNTIF(_xlfn.XLOOKUP(Table1215[[#This Row],[Name]],Table16[Name],Table16[[September 30, 2025]:[Column18]],,0,1),"&gt;=8")</f>
        <v>0</v>
      </c>
      <c r="I595" s="110" t="str">
        <f>IFERROR(AVERAGEIF(_xlfn.XLOOKUP(Table1215[[#This Row],[Name]],Table16[Name],Table16[[September 30, 2025]:[Column18]],,0,1),"&gt;=8"),"N/A")</f>
        <v>N/A</v>
      </c>
      <c r="J595" s="66" t="str">
        <f>IFERROR(Table1215[[#This Row],[FTA]]/Table1215[[#This Row],[GP]],"N/A")</f>
        <v>N/A</v>
      </c>
      <c r="K595" s="67">
        <f>COUNTIF(_xlfn.XLOOKUP(Table1215[[#This Row],[Name]],Table16[Name],Table16[[September 30, 2025]:[Column18]],,0,1),"&gt;=15")</f>
        <v>0</v>
      </c>
    </row>
    <row r="596" spans="2:11">
      <c r="B596" s="82">
        <f>INDEX(AllTime1[All-time rank], MATCH(SMALL(AllTime1[Helper], ROW(Structures!$G591)), AllTime1[Helper], 0))</f>
        <v>300</v>
      </c>
      <c r="C596" s="64" t="str">
        <f>TEXT(INDEX(AllTime1[Name], MATCH(SMALL(AllTime1[Helper], ROW(Structures!$G591)), AllTime1[Helper], 0)),"@")</f>
        <v/>
      </c>
      <c r="D596" s="64">
        <f>INDEX(AllTime1[All-time score], MATCH(LARGE(AllTime1[Helper2], ROW(Structures!$G591)), AllTime1[Helper2], 0))</f>
        <v>0</v>
      </c>
      <c r="E596" s="64">
        <f>COUNTIF(_xlfn.XLOOKUP(Table1215[[#This Row],[Name]],Table16[Name],Table16[[September 30, 2025]:[Column18]],,0,1),"&gt;=0")</f>
        <v>0</v>
      </c>
      <c r="F596" s="109" t="str">
        <f>_xlfn.XLOOKUP(Table1215[[#This Row],[Name]],Table1624[Name],Table1624[Totals],,0,1)</f>
        <v>N/A</v>
      </c>
      <c r="G596" s="65" t="str">
        <f>IFERROR(Table1215[[#This Row],[Points]]/Table1215[[#This Row],[GP]],"N/A")</f>
        <v>N/A</v>
      </c>
      <c r="H596" s="64">
        <f>COUNTIF(_xlfn.XLOOKUP(Table1215[[#This Row],[Name]],Table16[Name],Table16[[September 30, 2025]:[Column18]],,0,1),"&gt;=8")</f>
        <v>0</v>
      </c>
      <c r="I596" s="110" t="str">
        <f>IFERROR(AVERAGEIF(_xlfn.XLOOKUP(Table1215[[#This Row],[Name]],Table16[Name],Table16[[September 30, 2025]:[Column18]],,0,1),"&gt;=8"),"N/A")</f>
        <v>N/A</v>
      </c>
      <c r="J596" s="66" t="str">
        <f>IFERROR(Table1215[[#This Row],[FTA]]/Table1215[[#This Row],[GP]],"N/A")</f>
        <v>N/A</v>
      </c>
      <c r="K596" s="67">
        <f>COUNTIF(_xlfn.XLOOKUP(Table1215[[#This Row],[Name]],Table16[Name],Table16[[September 30, 2025]:[Column18]],,0,1),"&gt;=15")</f>
        <v>0</v>
      </c>
    </row>
    <row r="597" spans="2:11">
      <c r="B597" s="82">
        <f>INDEX(AllTime1[All-time rank], MATCH(SMALL(AllTime1[Helper], ROW(Structures!$G592)), AllTime1[Helper], 0))</f>
        <v>300</v>
      </c>
      <c r="C597" s="64" t="str">
        <f>TEXT(INDEX(AllTime1[Name], MATCH(SMALL(AllTime1[Helper], ROW(Structures!$G592)), AllTime1[Helper], 0)),"@")</f>
        <v/>
      </c>
      <c r="D597" s="64">
        <f>INDEX(AllTime1[All-time score], MATCH(LARGE(AllTime1[Helper2], ROW(Structures!$G592)), AllTime1[Helper2], 0))</f>
        <v>0</v>
      </c>
      <c r="E597" s="64">
        <f>COUNTIF(_xlfn.XLOOKUP(Table1215[[#This Row],[Name]],Table16[Name],Table16[[September 30, 2025]:[Column18]],,0,1),"&gt;=0")</f>
        <v>0</v>
      </c>
      <c r="F597" s="109" t="str">
        <f>_xlfn.XLOOKUP(Table1215[[#This Row],[Name]],Table1624[Name],Table1624[Totals],,0,1)</f>
        <v>N/A</v>
      </c>
      <c r="G597" s="65" t="str">
        <f>IFERROR(Table1215[[#This Row],[Points]]/Table1215[[#This Row],[GP]],"N/A")</f>
        <v>N/A</v>
      </c>
      <c r="H597" s="64">
        <f>COUNTIF(_xlfn.XLOOKUP(Table1215[[#This Row],[Name]],Table16[Name],Table16[[September 30, 2025]:[Column18]],,0,1),"&gt;=8")</f>
        <v>0</v>
      </c>
      <c r="I597" s="110" t="str">
        <f>IFERROR(AVERAGEIF(_xlfn.XLOOKUP(Table1215[[#This Row],[Name]],Table16[Name],Table16[[September 30, 2025]:[Column18]],,0,1),"&gt;=8"),"N/A")</f>
        <v>N/A</v>
      </c>
      <c r="J597" s="66" t="str">
        <f>IFERROR(Table1215[[#This Row],[FTA]]/Table1215[[#This Row],[GP]],"N/A")</f>
        <v>N/A</v>
      </c>
      <c r="K597" s="67">
        <f>COUNTIF(_xlfn.XLOOKUP(Table1215[[#This Row],[Name]],Table16[Name],Table16[[September 30, 2025]:[Column18]],,0,1),"&gt;=15")</f>
        <v>0</v>
      </c>
    </row>
    <row r="598" spans="2:11">
      <c r="B598" s="82">
        <f>INDEX(AllTime1[All-time rank], MATCH(SMALL(AllTime1[Helper], ROW(Structures!$G593)), AllTime1[Helper], 0))</f>
        <v>300</v>
      </c>
      <c r="C598" s="64" t="str">
        <f>TEXT(INDEX(AllTime1[Name], MATCH(SMALL(AllTime1[Helper], ROW(Structures!$G593)), AllTime1[Helper], 0)),"@")</f>
        <v/>
      </c>
      <c r="D598" s="64">
        <f>INDEX(AllTime1[All-time score], MATCH(LARGE(AllTime1[Helper2], ROW(Structures!$G593)), AllTime1[Helper2], 0))</f>
        <v>0</v>
      </c>
      <c r="E598" s="64">
        <f>COUNTIF(_xlfn.XLOOKUP(Table1215[[#This Row],[Name]],Table16[Name],Table16[[September 30, 2025]:[Column18]],,0,1),"&gt;=0")</f>
        <v>0</v>
      </c>
      <c r="F598" s="109" t="str">
        <f>_xlfn.XLOOKUP(Table1215[[#This Row],[Name]],Table1624[Name],Table1624[Totals],,0,1)</f>
        <v>N/A</v>
      </c>
      <c r="G598" s="65" t="str">
        <f>IFERROR(Table1215[[#This Row],[Points]]/Table1215[[#This Row],[GP]],"N/A")</f>
        <v>N/A</v>
      </c>
      <c r="H598" s="64">
        <f>COUNTIF(_xlfn.XLOOKUP(Table1215[[#This Row],[Name]],Table16[Name],Table16[[September 30, 2025]:[Column18]],,0,1),"&gt;=8")</f>
        <v>0</v>
      </c>
      <c r="I598" s="110" t="str">
        <f>IFERROR(AVERAGEIF(_xlfn.XLOOKUP(Table1215[[#This Row],[Name]],Table16[Name],Table16[[September 30, 2025]:[Column18]],,0,1),"&gt;=8"),"N/A")</f>
        <v>N/A</v>
      </c>
      <c r="J598" s="66" t="str">
        <f>IFERROR(Table1215[[#This Row],[FTA]]/Table1215[[#This Row],[GP]],"N/A")</f>
        <v>N/A</v>
      </c>
      <c r="K598" s="67">
        <f>COUNTIF(_xlfn.XLOOKUP(Table1215[[#This Row],[Name]],Table16[Name],Table16[[September 30, 2025]:[Column18]],,0,1),"&gt;=15")</f>
        <v>0</v>
      </c>
    </row>
    <row r="599" spans="2:11">
      <c r="B599" s="82">
        <f>INDEX(AllTime1[All-time rank], MATCH(SMALL(AllTime1[Helper], ROW(Structures!$G594)), AllTime1[Helper], 0))</f>
        <v>300</v>
      </c>
      <c r="C599" s="64" t="str">
        <f>TEXT(INDEX(AllTime1[Name], MATCH(SMALL(AllTime1[Helper], ROW(Structures!$G594)), AllTime1[Helper], 0)),"@")</f>
        <v/>
      </c>
      <c r="D599" s="64">
        <f>INDEX(AllTime1[All-time score], MATCH(LARGE(AllTime1[Helper2], ROW(Structures!$G594)), AllTime1[Helper2], 0))</f>
        <v>0</v>
      </c>
      <c r="E599" s="64">
        <f>COUNTIF(_xlfn.XLOOKUP(Table1215[[#This Row],[Name]],Table16[Name],Table16[[September 30, 2025]:[Column18]],,0,1),"&gt;=0")</f>
        <v>0</v>
      </c>
      <c r="F599" s="109" t="str">
        <f>_xlfn.XLOOKUP(Table1215[[#This Row],[Name]],Table1624[Name],Table1624[Totals],,0,1)</f>
        <v>N/A</v>
      </c>
      <c r="G599" s="65" t="str">
        <f>IFERROR(Table1215[[#This Row],[Points]]/Table1215[[#This Row],[GP]],"N/A")</f>
        <v>N/A</v>
      </c>
      <c r="H599" s="64">
        <f>COUNTIF(_xlfn.XLOOKUP(Table1215[[#This Row],[Name]],Table16[Name],Table16[[September 30, 2025]:[Column18]],,0,1),"&gt;=8")</f>
        <v>0</v>
      </c>
      <c r="I599" s="110" t="str">
        <f>IFERROR(AVERAGEIF(_xlfn.XLOOKUP(Table1215[[#This Row],[Name]],Table16[Name],Table16[[September 30, 2025]:[Column18]],,0,1),"&gt;=8"),"N/A")</f>
        <v>N/A</v>
      </c>
      <c r="J599" s="66" t="str">
        <f>IFERROR(Table1215[[#This Row],[FTA]]/Table1215[[#This Row],[GP]],"N/A")</f>
        <v>N/A</v>
      </c>
      <c r="K599" s="67">
        <f>COUNTIF(_xlfn.XLOOKUP(Table1215[[#This Row],[Name]],Table16[Name],Table16[[September 30, 2025]:[Column18]],,0,1),"&gt;=15")</f>
        <v>0</v>
      </c>
    </row>
    <row r="600" spans="2:11" ht="17.25" thickBot="1">
      <c r="B600" s="83">
        <f>INDEX(AllTime1[All-time rank], MATCH(SMALL(AllTime1[Helper], ROW(Structures!$G595)), AllTime1[Helper], 0))</f>
        <v>300</v>
      </c>
      <c r="C600" s="84" t="str">
        <f>TEXT(INDEX(AllTime1[Name], MATCH(SMALL(AllTime1[Helper], ROW(Structures!$G595)), AllTime1[Helper], 0)),"@")</f>
        <v/>
      </c>
      <c r="D600" s="84">
        <f>INDEX(AllTime1[All-time score], MATCH(LARGE(AllTime1[Helper2], ROW(Structures!$G595)), AllTime1[Helper2], 0))</f>
        <v>0</v>
      </c>
      <c r="E600" s="64">
        <f>COUNTIF(_xlfn.XLOOKUP(Table1215[[#This Row],[Name]],Table16[Name],Table16[[September 30, 2025]:[Column18]],,0,1),"&gt;=0")</f>
        <v>0</v>
      </c>
      <c r="F600" s="109" t="str">
        <f>_xlfn.XLOOKUP(Table1215[[#This Row],[Name]],Table1624[Name],Table1624[Totals],,0,1)</f>
        <v>N/A</v>
      </c>
      <c r="G600" s="65" t="str">
        <f>IFERROR(Table1215[[#This Row],[Points]]/Table1215[[#This Row],[GP]],"N/A")</f>
        <v>N/A</v>
      </c>
      <c r="H600" s="64">
        <f>COUNTIF(_xlfn.XLOOKUP(Table1215[[#This Row],[Name]],Table16[Name],Table16[[September 30, 2025]:[Column18]],,0,1),"&gt;=8")</f>
        <v>0</v>
      </c>
      <c r="I600" s="110" t="str">
        <f>IFERROR(AVERAGEIF(_xlfn.XLOOKUP(Table1215[[#This Row],[Name]],Table16[Name],Table16[[September 30, 2025]:[Column18]],,0,1),"&gt;=8"),"N/A")</f>
        <v>N/A</v>
      </c>
      <c r="J600" s="66" t="str">
        <f>IFERROR(Table1215[[#This Row],[FTA]]/Table1215[[#This Row],[GP]],"N/A")</f>
        <v>N/A</v>
      </c>
      <c r="K600" s="67">
        <f>COUNTIF(_xlfn.XLOOKUP(Table1215[[#This Row],[Name]],Table16[Name],Table16[[September 30, 2025]:[Column18]],,0,1),"&gt;=15")</f>
        <v>0</v>
      </c>
    </row>
  </sheetData>
  <sheetProtection selectLockedCells="1" selectUnlockedCells="1"/>
  <mergeCells count="1">
    <mergeCell ref="D3:J3"/>
  </mergeCells>
  <conditionalFormatting sqref="A6:B6 A7:A284 B7:B600">
    <cfRule type="expression" dxfId="17" priority="6">
      <formula>ISNUMBER(A6) =TRUE</formula>
    </cfRule>
  </conditionalFormatting>
  <conditionalFormatting sqref="B6:B600">
    <cfRule type="aboveAverage" dxfId="16" priority="97"/>
    <cfRule type="cellIs" dxfId="15" priority="98" operator="between">
      <formula>11</formula>
      <formula>9999</formula>
    </cfRule>
    <cfRule type="cellIs" dxfId="14" priority="99" operator="between">
      <formula>4</formula>
      <formula>9999</formula>
    </cfRule>
    <cfRule type="colorScale" priority="100">
      <colorScale>
        <cfvo type="num" val="1"/>
        <cfvo type="num" val="2"/>
        <cfvo type="num" val="3"/>
        <color rgb="FFD6AF36"/>
        <color rgb="FFA7A7AD"/>
        <color rgb="FFA77044"/>
      </colorScale>
    </cfRule>
  </conditionalFormatting>
  <conditionalFormatting sqref="F6:F600">
    <cfRule type="colorScale" priority="105">
      <colorScale>
        <cfvo type="percent" val="0"/>
        <cfvo type="percent" val="100"/>
        <color rgb="FF2A77C4"/>
        <color theme="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BE92-0C91-4579-AA7C-31EC8E4329B3}">
  <dimension ref="B2:H26"/>
  <sheetViews>
    <sheetView workbookViewId="0">
      <selection activeCell="B3" sqref="B3"/>
    </sheetView>
  </sheetViews>
  <sheetFormatPr defaultColWidth="8.85546875" defaultRowHeight="15"/>
  <cols>
    <col min="2" max="2" width="16.42578125" bestFit="1" customWidth="1"/>
    <col min="3" max="3" width="16.42578125" customWidth="1"/>
    <col min="4" max="5" width="15.7109375" bestFit="1" customWidth="1"/>
    <col min="8" max="8" width="14.85546875" bestFit="1" customWidth="1"/>
  </cols>
  <sheetData>
    <row r="2" spans="2:8">
      <c r="B2" t="s">
        <v>1208</v>
      </c>
      <c r="C2" t="s">
        <v>1209</v>
      </c>
      <c r="D2" t="s">
        <v>1210</v>
      </c>
      <c r="E2" t="s">
        <v>1211</v>
      </c>
      <c r="H2" s="111" t="s">
        <v>863</v>
      </c>
    </row>
    <row r="3" spans="2:8">
      <c r="B3" s="40">
        <f>AVERAGEIF('Weekly Rankings'!2:2,"&lt;&gt;0",'Weekly Rankings'!2:2)</f>
        <v>80.857142857142861</v>
      </c>
      <c r="C3" s="40">
        <f>AVERAGEIFS('Weekly Rankings'!3:3,'Weekly Rankings'!3:3,"&lt;&gt;0",'Weekly Rankings'!3:3,"&lt;1000")</f>
        <v>46.45</v>
      </c>
      <c r="D3" s="40">
        <f>SUM(B3:C3)</f>
        <v>127.30714285714286</v>
      </c>
      <c r="E3" cm="1">
        <f t="array" ref="E3">MAX(IF('Weekly Rankings'!1:1&lt;1000,'Weekly Rankings'!1:1,0))</f>
        <v>157</v>
      </c>
      <c r="H3" s="4" t="s">
        <v>190</v>
      </c>
    </row>
    <row r="4" spans="2:8">
      <c r="H4" s="118" t="s">
        <v>190</v>
      </c>
    </row>
    <row r="5" spans="2:8">
      <c r="H5" s="119" t="s">
        <v>190</v>
      </c>
    </row>
    <row r="6" spans="2:8">
      <c r="H6" s="120" t="s">
        <v>190</v>
      </c>
    </row>
    <row r="7" spans="2:8">
      <c r="H7" s="120" t="s">
        <v>186</v>
      </c>
    </row>
    <row r="8" spans="2:8">
      <c r="H8" s="119" t="s">
        <v>186</v>
      </c>
    </row>
    <row r="9" spans="2:8">
      <c r="H9" s="120" t="s">
        <v>190</v>
      </c>
    </row>
    <row r="10" spans="2:8">
      <c r="H10" s="120" t="s">
        <v>186</v>
      </c>
    </row>
    <row r="11" spans="2:8">
      <c r="H11" s="4" t="s">
        <v>186</v>
      </c>
    </row>
    <row r="12" spans="2:8">
      <c r="H12" s="118" t="s">
        <v>190</v>
      </c>
    </row>
    <row r="13" spans="2:8">
      <c r="H13" s="119" t="s">
        <v>190</v>
      </c>
    </row>
    <row r="14" spans="2:8">
      <c r="H14" s="120" t="s">
        <v>190</v>
      </c>
    </row>
    <row r="15" spans="2:8">
      <c r="H15" s="120" t="s">
        <v>186</v>
      </c>
    </row>
    <row r="16" spans="2:8">
      <c r="H16" s="119" t="s">
        <v>186</v>
      </c>
    </row>
    <row r="17" spans="8:8">
      <c r="H17" s="120" t="s">
        <v>190</v>
      </c>
    </row>
    <row r="18" spans="8:8">
      <c r="H18" s="120" t="s">
        <v>186</v>
      </c>
    </row>
    <row r="19" spans="8:8">
      <c r="H19" s="4" t="s">
        <v>1212</v>
      </c>
    </row>
    <row r="20" spans="8:8">
      <c r="H20" s="118" t="s">
        <v>190</v>
      </c>
    </row>
    <row r="21" spans="8:8">
      <c r="H21" s="119" t="s">
        <v>1212</v>
      </c>
    </row>
    <row r="22" spans="8:8">
      <c r="H22" s="120" t="s">
        <v>1212</v>
      </c>
    </row>
    <row r="23" spans="8:8">
      <c r="H23" s="118" t="s">
        <v>1212</v>
      </c>
    </row>
    <row r="24" spans="8:8">
      <c r="H24" s="119" t="s">
        <v>1212</v>
      </c>
    </row>
    <row r="25" spans="8:8">
      <c r="H25" s="120" t="s">
        <v>1212</v>
      </c>
    </row>
    <row r="26" spans="8:8">
      <c r="H26" s="4" t="s">
        <v>873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3BD3-2955-44F4-A9B2-4E9797EEE7CC}">
  <dimension ref="B1:CW101"/>
  <sheetViews>
    <sheetView showGridLines="0" topLeftCell="A2" zoomScale="15" zoomScaleNormal="15" workbookViewId="0">
      <selection activeCell="B2" sqref="B2:S12"/>
    </sheetView>
  </sheetViews>
  <sheetFormatPr defaultColWidth="8.85546875" defaultRowHeight="20.100000000000001" customHeight="1"/>
  <cols>
    <col min="2" max="101" width="5.7109375" customWidth="1"/>
  </cols>
  <sheetData>
    <row r="1" spans="2:101" ht="42" customHeight="1"/>
    <row r="2" spans="2:101" ht="30" customHeight="1">
      <c r="B2" s="26">
        <f>(ROW(A1)+COLUMN(A1))/200</f>
        <v>0.01</v>
      </c>
      <c r="C2" s="26">
        <f t="shared" ref="C2:R17" si="0">(ROW(B1)+COLUMN(B1))/200</f>
        <v>1.4999999999999999E-2</v>
      </c>
      <c r="D2" s="26">
        <f t="shared" si="0"/>
        <v>0.02</v>
      </c>
      <c r="E2" s="26">
        <f t="shared" si="0"/>
        <v>2.5000000000000001E-2</v>
      </c>
      <c r="F2" s="26">
        <f t="shared" si="0"/>
        <v>0.03</v>
      </c>
      <c r="G2" s="26">
        <f t="shared" si="0"/>
        <v>3.5000000000000003E-2</v>
      </c>
      <c r="H2" s="26">
        <f t="shared" si="0"/>
        <v>0.04</v>
      </c>
      <c r="I2" s="26">
        <f t="shared" si="0"/>
        <v>4.4999999999999998E-2</v>
      </c>
      <c r="J2" s="26">
        <f t="shared" si="0"/>
        <v>0.05</v>
      </c>
      <c r="K2" s="26">
        <f t="shared" si="0"/>
        <v>5.5E-2</v>
      </c>
      <c r="L2" s="26">
        <f t="shared" si="0"/>
        <v>0.06</v>
      </c>
      <c r="M2" s="26">
        <f t="shared" si="0"/>
        <v>6.5000000000000002E-2</v>
      </c>
      <c r="N2" s="26">
        <f t="shared" si="0"/>
        <v>7.0000000000000007E-2</v>
      </c>
      <c r="O2" s="26">
        <f t="shared" si="0"/>
        <v>7.4999999999999997E-2</v>
      </c>
      <c r="P2" s="26">
        <f t="shared" si="0"/>
        <v>0.08</v>
      </c>
      <c r="Q2" s="26">
        <f t="shared" si="0"/>
        <v>8.5000000000000006E-2</v>
      </c>
      <c r="R2" s="26">
        <f t="shared" si="0"/>
        <v>0.09</v>
      </c>
      <c r="S2" s="26">
        <f t="shared" ref="S2:AH17" si="1">(ROW(R1)+COLUMN(R1))/200</f>
        <v>9.5000000000000001E-2</v>
      </c>
      <c r="T2" s="26">
        <f t="shared" si="1"/>
        <v>0.1</v>
      </c>
      <c r="U2" s="26">
        <f t="shared" si="1"/>
        <v>0.105</v>
      </c>
      <c r="V2" s="26">
        <f t="shared" si="1"/>
        <v>0.11</v>
      </c>
      <c r="W2" s="26">
        <f t="shared" si="1"/>
        <v>0.115</v>
      </c>
      <c r="X2" s="26">
        <f t="shared" si="1"/>
        <v>0.12</v>
      </c>
      <c r="Y2" s="26">
        <f t="shared" si="1"/>
        <v>0.125</v>
      </c>
      <c r="Z2" s="26">
        <f t="shared" si="1"/>
        <v>0.13</v>
      </c>
      <c r="AA2" s="26">
        <f t="shared" si="1"/>
        <v>0.13500000000000001</v>
      </c>
      <c r="AB2" s="26">
        <f t="shared" si="1"/>
        <v>0.14000000000000001</v>
      </c>
      <c r="AC2" s="26">
        <f t="shared" si="1"/>
        <v>0.14499999999999999</v>
      </c>
      <c r="AD2" s="26">
        <f t="shared" si="1"/>
        <v>0.15</v>
      </c>
      <c r="AE2" s="26">
        <f t="shared" si="1"/>
        <v>0.155</v>
      </c>
      <c r="AF2" s="26">
        <f t="shared" si="1"/>
        <v>0.16</v>
      </c>
      <c r="AG2" s="26">
        <f t="shared" si="1"/>
        <v>0.16500000000000001</v>
      </c>
      <c r="AH2" s="26">
        <f t="shared" si="1"/>
        <v>0.17</v>
      </c>
      <c r="AI2" s="26">
        <f t="shared" ref="AI2:AX17" si="2">(ROW(AH1)+COLUMN(AH1))/200</f>
        <v>0.17499999999999999</v>
      </c>
      <c r="AJ2" s="26">
        <f t="shared" si="2"/>
        <v>0.18</v>
      </c>
      <c r="AK2" s="26">
        <f t="shared" si="2"/>
        <v>0.185</v>
      </c>
      <c r="AL2" s="26">
        <f t="shared" si="2"/>
        <v>0.19</v>
      </c>
      <c r="AM2" s="26">
        <f t="shared" si="2"/>
        <v>0.19500000000000001</v>
      </c>
      <c r="AN2" s="26">
        <f t="shared" si="2"/>
        <v>0.2</v>
      </c>
      <c r="AO2" s="26">
        <f t="shared" si="2"/>
        <v>0.20499999999999999</v>
      </c>
      <c r="AP2" s="26">
        <f t="shared" si="2"/>
        <v>0.21</v>
      </c>
      <c r="AQ2" s="26">
        <f t="shared" si="2"/>
        <v>0.215</v>
      </c>
      <c r="AR2" s="26">
        <f t="shared" si="2"/>
        <v>0.22</v>
      </c>
      <c r="AS2" s="26">
        <f t="shared" si="2"/>
        <v>0.22500000000000001</v>
      </c>
      <c r="AT2" s="26">
        <f t="shared" si="2"/>
        <v>0.23</v>
      </c>
      <c r="AU2" s="26">
        <f t="shared" si="2"/>
        <v>0.23499999999999999</v>
      </c>
      <c r="AV2" s="26">
        <f t="shared" si="2"/>
        <v>0.24</v>
      </c>
      <c r="AW2" s="26">
        <f t="shared" si="2"/>
        <v>0.245</v>
      </c>
      <c r="AX2" s="26">
        <f t="shared" si="2"/>
        <v>0.25</v>
      </c>
      <c r="AY2" s="26">
        <f t="shared" ref="AY2:BN17" si="3">(ROW(AX1)+COLUMN(AX1))/200</f>
        <v>0.255</v>
      </c>
      <c r="AZ2" s="26">
        <f t="shared" si="3"/>
        <v>0.26</v>
      </c>
      <c r="BA2" s="26">
        <f t="shared" si="3"/>
        <v>0.26500000000000001</v>
      </c>
      <c r="BB2" s="26">
        <f t="shared" si="3"/>
        <v>0.27</v>
      </c>
      <c r="BC2" s="26">
        <f t="shared" si="3"/>
        <v>0.27500000000000002</v>
      </c>
      <c r="BD2" s="26">
        <f t="shared" si="3"/>
        <v>0.28000000000000003</v>
      </c>
      <c r="BE2" s="26">
        <f t="shared" si="3"/>
        <v>0.28499999999999998</v>
      </c>
      <c r="BF2" s="26">
        <f t="shared" si="3"/>
        <v>0.28999999999999998</v>
      </c>
      <c r="BG2" s="26">
        <f t="shared" si="3"/>
        <v>0.29499999999999998</v>
      </c>
      <c r="BH2" s="26">
        <f t="shared" si="3"/>
        <v>0.3</v>
      </c>
      <c r="BI2" s="26">
        <f t="shared" si="3"/>
        <v>0.30499999999999999</v>
      </c>
      <c r="BJ2" s="26">
        <f t="shared" si="3"/>
        <v>0.31</v>
      </c>
      <c r="BK2" s="26">
        <f t="shared" si="3"/>
        <v>0.315</v>
      </c>
      <c r="BL2" s="26">
        <f t="shared" si="3"/>
        <v>0.32</v>
      </c>
      <c r="BM2" s="26">
        <f t="shared" si="3"/>
        <v>0.32500000000000001</v>
      </c>
      <c r="BN2" s="26">
        <f t="shared" si="3"/>
        <v>0.33</v>
      </c>
      <c r="BO2" s="26">
        <f t="shared" ref="BO2:CD17" si="4">(ROW(BN1)+COLUMN(BN1))/200</f>
        <v>0.33500000000000002</v>
      </c>
      <c r="BP2" s="26">
        <f t="shared" si="4"/>
        <v>0.34</v>
      </c>
      <c r="BQ2" s="26">
        <f t="shared" si="4"/>
        <v>0.34499999999999997</v>
      </c>
      <c r="BR2" s="26">
        <f t="shared" si="4"/>
        <v>0.35</v>
      </c>
      <c r="BS2" s="26">
        <f t="shared" si="4"/>
        <v>0.35499999999999998</v>
      </c>
      <c r="BT2" s="26">
        <f t="shared" si="4"/>
        <v>0.36</v>
      </c>
      <c r="BU2" s="26">
        <f t="shared" si="4"/>
        <v>0.36499999999999999</v>
      </c>
      <c r="BV2" s="26">
        <f t="shared" si="4"/>
        <v>0.37</v>
      </c>
      <c r="BW2" s="26">
        <f t="shared" si="4"/>
        <v>0.375</v>
      </c>
      <c r="BX2" s="26">
        <f t="shared" si="4"/>
        <v>0.38</v>
      </c>
      <c r="BY2" s="26">
        <f t="shared" si="4"/>
        <v>0.38500000000000001</v>
      </c>
      <c r="BZ2" s="26">
        <f t="shared" si="4"/>
        <v>0.39</v>
      </c>
      <c r="CA2" s="26">
        <f t="shared" si="4"/>
        <v>0.39500000000000002</v>
      </c>
      <c r="CB2" s="26">
        <f t="shared" si="4"/>
        <v>0.4</v>
      </c>
      <c r="CC2" s="26">
        <f t="shared" si="4"/>
        <v>0.40500000000000003</v>
      </c>
      <c r="CD2" s="26">
        <f t="shared" si="4"/>
        <v>0.41</v>
      </c>
      <c r="CE2" s="26">
        <f t="shared" ref="CE2:CT17" si="5">(ROW(CD1)+COLUMN(CD1))/200</f>
        <v>0.41499999999999998</v>
      </c>
      <c r="CF2" s="26">
        <f t="shared" si="5"/>
        <v>0.42</v>
      </c>
      <c r="CG2" s="26">
        <f t="shared" si="5"/>
        <v>0.42499999999999999</v>
      </c>
      <c r="CH2" s="26">
        <f t="shared" si="5"/>
        <v>0.43</v>
      </c>
      <c r="CI2" s="26">
        <f t="shared" si="5"/>
        <v>0.435</v>
      </c>
      <c r="CJ2" s="26">
        <f t="shared" si="5"/>
        <v>0.44</v>
      </c>
      <c r="CK2" s="26">
        <f t="shared" si="5"/>
        <v>0.44500000000000001</v>
      </c>
      <c r="CL2" s="26">
        <f t="shared" si="5"/>
        <v>0.45</v>
      </c>
      <c r="CM2" s="26">
        <f t="shared" si="5"/>
        <v>0.45500000000000002</v>
      </c>
      <c r="CN2" s="26">
        <f t="shared" si="5"/>
        <v>0.46</v>
      </c>
      <c r="CO2" s="26">
        <f t="shared" si="5"/>
        <v>0.46500000000000002</v>
      </c>
      <c r="CP2" s="26">
        <f t="shared" si="5"/>
        <v>0.47</v>
      </c>
      <c r="CQ2" s="26">
        <f t="shared" si="5"/>
        <v>0.47499999999999998</v>
      </c>
      <c r="CR2" s="26">
        <f t="shared" si="5"/>
        <v>0.48</v>
      </c>
      <c r="CS2" s="26">
        <f t="shared" si="5"/>
        <v>0.48499999999999999</v>
      </c>
      <c r="CT2" s="26">
        <f t="shared" si="5"/>
        <v>0.49</v>
      </c>
      <c r="CU2" s="26">
        <f t="shared" ref="CU2:CW21" si="6">(ROW(CT1)+COLUMN(CT1))/200</f>
        <v>0.495</v>
      </c>
      <c r="CV2" s="26">
        <f t="shared" si="6"/>
        <v>0.5</v>
      </c>
      <c r="CW2" s="26">
        <f t="shared" si="6"/>
        <v>0.505</v>
      </c>
    </row>
    <row r="3" spans="2:101" ht="20.100000000000001" customHeight="1">
      <c r="B3" s="26">
        <f t="shared" ref="B3:Q18" si="7">(ROW(A2)+COLUMN(A2))/200</f>
        <v>1.4999999999999999E-2</v>
      </c>
      <c r="C3" s="26">
        <f t="shared" si="0"/>
        <v>0.02</v>
      </c>
      <c r="D3" s="26">
        <f t="shared" si="0"/>
        <v>2.5000000000000001E-2</v>
      </c>
      <c r="E3" s="26">
        <f t="shared" si="0"/>
        <v>0.03</v>
      </c>
      <c r="F3" s="26">
        <f t="shared" si="0"/>
        <v>3.5000000000000003E-2</v>
      </c>
      <c r="G3" s="26">
        <f t="shared" si="0"/>
        <v>0.04</v>
      </c>
      <c r="H3" s="26">
        <f t="shared" si="0"/>
        <v>4.4999999999999998E-2</v>
      </c>
      <c r="I3" s="26">
        <f t="shared" si="0"/>
        <v>0.05</v>
      </c>
      <c r="J3" s="26">
        <f t="shared" si="0"/>
        <v>5.5E-2</v>
      </c>
      <c r="K3" s="26">
        <f t="shared" si="0"/>
        <v>0.06</v>
      </c>
      <c r="L3" s="26">
        <f t="shared" si="0"/>
        <v>6.5000000000000002E-2</v>
      </c>
      <c r="M3" s="26">
        <f t="shared" si="0"/>
        <v>7.0000000000000007E-2</v>
      </c>
      <c r="N3" s="26">
        <f t="shared" si="0"/>
        <v>7.4999999999999997E-2</v>
      </c>
      <c r="O3" s="26">
        <f t="shared" si="0"/>
        <v>0.08</v>
      </c>
      <c r="P3" s="26">
        <f t="shared" si="0"/>
        <v>8.5000000000000006E-2</v>
      </c>
      <c r="Q3" s="26">
        <f t="shared" si="0"/>
        <v>0.09</v>
      </c>
      <c r="R3" s="26">
        <f t="shared" si="0"/>
        <v>9.5000000000000001E-2</v>
      </c>
      <c r="S3" s="26">
        <f t="shared" si="1"/>
        <v>0.1</v>
      </c>
      <c r="T3" s="26">
        <f t="shared" si="1"/>
        <v>0.105</v>
      </c>
      <c r="U3" s="26">
        <f t="shared" si="1"/>
        <v>0.11</v>
      </c>
      <c r="V3" s="26">
        <f t="shared" si="1"/>
        <v>0.115</v>
      </c>
      <c r="W3" s="26">
        <f t="shared" si="1"/>
        <v>0.12</v>
      </c>
      <c r="X3" s="26">
        <f t="shared" si="1"/>
        <v>0.125</v>
      </c>
      <c r="Y3" s="26">
        <f t="shared" si="1"/>
        <v>0.13</v>
      </c>
      <c r="Z3" s="26">
        <f t="shared" si="1"/>
        <v>0.13500000000000001</v>
      </c>
      <c r="AA3" s="26">
        <f t="shared" si="1"/>
        <v>0.14000000000000001</v>
      </c>
      <c r="AB3" s="26">
        <f t="shared" si="1"/>
        <v>0.14499999999999999</v>
      </c>
      <c r="AC3" s="26">
        <f t="shared" si="1"/>
        <v>0.15</v>
      </c>
      <c r="AD3" s="26">
        <f t="shared" si="1"/>
        <v>0.155</v>
      </c>
      <c r="AE3" s="26">
        <f t="shared" si="1"/>
        <v>0.16</v>
      </c>
      <c r="AF3" s="26">
        <f t="shared" si="1"/>
        <v>0.16500000000000001</v>
      </c>
      <c r="AG3" s="26">
        <f t="shared" si="1"/>
        <v>0.17</v>
      </c>
      <c r="AH3" s="26">
        <f t="shared" si="1"/>
        <v>0.17499999999999999</v>
      </c>
      <c r="AI3" s="26">
        <f t="shared" si="2"/>
        <v>0.18</v>
      </c>
      <c r="AJ3" s="26">
        <f t="shared" si="2"/>
        <v>0.185</v>
      </c>
      <c r="AK3" s="26">
        <f t="shared" si="2"/>
        <v>0.19</v>
      </c>
      <c r="AL3" s="26">
        <f t="shared" si="2"/>
        <v>0.19500000000000001</v>
      </c>
      <c r="AM3" s="26">
        <f t="shared" si="2"/>
        <v>0.2</v>
      </c>
      <c r="AN3" s="26">
        <f t="shared" si="2"/>
        <v>0.20499999999999999</v>
      </c>
      <c r="AO3" s="26">
        <f t="shared" si="2"/>
        <v>0.21</v>
      </c>
      <c r="AP3" s="26">
        <f t="shared" si="2"/>
        <v>0.215</v>
      </c>
      <c r="AQ3" s="26">
        <f t="shared" si="2"/>
        <v>0.22</v>
      </c>
      <c r="AR3" s="26">
        <f t="shared" si="2"/>
        <v>0.22500000000000001</v>
      </c>
      <c r="AS3" s="26">
        <f t="shared" si="2"/>
        <v>0.23</v>
      </c>
      <c r="AT3" s="26">
        <f t="shared" si="2"/>
        <v>0.23499999999999999</v>
      </c>
      <c r="AU3" s="26">
        <f t="shared" si="2"/>
        <v>0.24</v>
      </c>
      <c r="AV3" s="26">
        <f t="shared" si="2"/>
        <v>0.245</v>
      </c>
      <c r="AW3" s="26">
        <f t="shared" si="2"/>
        <v>0.25</v>
      </c>
      <c r="AX3" s="26">
        <f t="shared" si="2"/>
        <v>0.255</v>
      </c>
      <c r="AY3" s="26">
        <f t="shared" si="3"/>
        <v>0.26</v>
      </c>
      <c r="AZ3" s="26">
        <f t="shared" si="3"/>
        <v>0.26500000000000001</v>
      </c>
      <c r="BA3" s="26">
        <f t="shared" si="3"/>
        <v>0.27</v>
      </c>
      <c r="BB3" s="26">
        <f t="shared" si="3"/>
        <v>0.27500000000000002</v>
      </c>
      <c r="BC3" s="26">
        <f t="shared" si="3"/>
        <v>0.28000000000000003</v>
      </c>
      <c r="BD3" s="26">
        <f t="shared" si="3"/>
        <v>0.28499999999999998</v>
      </c>
      <c r="BE3" s="26">
        <f t="shared" si="3"/>
        <v>0.28999999999999998</v>
      </c>
      <c r="BF3" s="26">
        <f t="shared" si="3"/>
        <v>0.29499999999999998</v>
      </c>
      <c r="BG3" s="26">
        <f t="shared" si="3"/>
        <v>0.3</v>
      </c>
      <c r="BH3" s="26">
        <f t="shared" si="3"/>
        <v>0.30499999999999999</v>
      </c>
      <c r="BI3" s="26">
        <f t="shared" si="3"/>
        <v>0.31</v>
      </c>
      <c r="BJ3" s="26">
        <f t="shared" si="3"/>
        <v>0.315</v>
      </c>
      <c r="BK3" s="26">
        <f t="shared" si="3"/>
        <v>0.32</v>
      </c>
      <c r="BL3" s="26">
        <f t="shared" si="3"/>
        <v>0.32500000000000001</v>
      </c>
      <c r="BM3" s="26">
        <f t="shared" si="3"/>
        <v>0.33</v>
      </c>
      <c r="BN3" s="26">
        <f t="shared" si="3"/>
        <v>0.33500000000000002</v>
      </c>
      <c r="BO3" s="26">
        <f t="shared" si="4"/>
        <v>0.34</v>
      </c>
      <c r="BP3" s="26">
        <f t="shared" si="4"/>
        <v>0.34499999999999997</v>
      </c>
      <c r="BQ3" s="26">
        <f t="shared" si="4"/>
        <v>0.35</v>
      </c>
      <c r="BR3" s="26">
        <f t="shared" si="4"/>
        <v>0.35499999999999998</v>
      </c>
      <c r="BS3" s="26">
        <f t="shared" si="4"/>
        <v>0.36</v>
      </c>
      <c r="BT3" s="26">
        <f t="shared" si="4"/>
        <v>0.36499999999999999</v>
      </c>
      <c r="BU3" s="26">
        <f t="shared" si="4"/>
        <v>0.37</v>
      </c>
      <c r="BV3" s="26">
        <f t="shared" si="4"/>
        <v>0.375</v>
      </c>
      <c r="BW3" s="26">
        <f t="shared" si="4"/>
        <v>0.38</v>
      </c>
      <c r="BX3" s="26">
        <f t="shared" si="4"/>
        <v>0.38500000000000001</v>
      </c>
      <c r="BY3" s="26">
        <f t="shared" si="4"/>
        <v>0.39</v>
      </c>
      <c r="BZ3" s="26">
        <f t="shared" si="4"/>
        <v>0.39500000000000002</v>
      </c>
      <c r="CA3" s="26">
        <f t="shared" si="4"/>
        <v>0.4</v>
      </c>
      <c r="CB3" s="26">
        <f t="shared" si="4"/>
        <v>0.40500000000000003</v>
      </c>
      <c r="CC3" s="26">
        <f t="shared" si="4"/>
        <v>0.41</v>
      </c>
      <c r="CD3" s="26">
        <f t="shared" si="4"/>
        <v>0.41499999999999998</v>
      </c>
      <c r="CE3" s="26">
        <f t="shared" si="5"/>
        <v>0.42</v>
      </c>
      <c r="CF3" s="26">
        <f t="shared" si="5"/>
        <v>0.42499999999999999</v>
      </c>
      <c r="CG3" s="26">
        <f t="shared" si="5"/>
        <v>0.43</v>
      </c>
      <c r="CH3" s="26">
        <f t="shared" si="5"/>
        <v>0.435</v>
      </c>
      <c r="CI3" s="26">
        <f t="shared" si="5"/>
        <v>0.44</v>
      </c>
      <c r="CJ3" s="26">
        <f t="shared" si="5"/>
        <v>0.44500000000000001</v>
      </c>
      <c r="CK3" s="26">
        <f t="shared" si="5"/>
        <v>0.45</v>
      </c>
      <c r="CL3" s="26">
        <f t="shared" si="5"/>
        <v>0.45500000000000002</v>
      </c>
      <c r="CM3" s="26">
        <f t="shared" si="5"/>
        <v>0.46</v>
      </c>
      <c r="CN3" s="26">
        <f t="shared" si="5"/>
        <v>0.46500000000000002</v>
      </c>
      <c r="CO3" s="26">
        <f t="shared" si="5"/>
        <v>0.47</v>
      </c>
      <c r="CP3" s="26">
        <f t="shared" si="5"/>
        <v>0.47499999999999998</v>
      </c>
      <c r="CQ3" s="26">
        <f t="shared" si="5"/>
        <v>0.48</v>
      </c>
      <c r="CR3" s="26">
        <f t="shared" si="5"/>
        <v>0.48499999999999999</v>
      </c>
      <c r="CS3" s="26">
        <f t="shared" si="5"/>
        <v>0.49</v>
      </c>
      <c r="CT3" s="26">
        <f t="shared" si="5"/>
        <v>0.495</v>
      </c>
      <c r="CU3" s="26">
        <f t="shared" si="6"/>
        <v>0.5</v>
      </c>
      <c r="CV3" s="26">
        <f t="shared" si="6"/>
        <v>0.505</v>
      </c>
      <c r="CW3" s="26">
        <f t="shared" si="6"/>
        <v>0.51</v>
      </c>
    </row>
    <row r="4" spans="2:101" ht="20.100000000000001" customHeight="1">
      <c r="B4" s="26">
        <f t="shared" si="7"/>
        <v>0.02</v>
      </c>
      <c r="C4" s="26">
        <f t="shared" si="0"/>
        <v>2.5000000000000001E-2</v>
      </c>
      <c r="D4" s="26">
        <f t="shared" si="0"/>
        <v>0.03</v>
      </c>
      <c r="E4" s="26">
        <f t="shared" si="0"/>
        <v>3.5000000000000003E-2</v>
      </c>
      <c r="F4" s="26">
        <f t="shared" si="0"/>
        <v>0.04</v>
      </c>
      <c r="G4" s="26">
        <f t="shared" si="0"/>
        <v>4.4999999999999998E-2</v>
      </c>
      <c r="H4" s="26">
        <f t="shared" si="0"/>
        <v>0.05</v>
      </c>
      <c r="I4" s="26">
        <f t="shared" si="0"/>
        <v>5.5E-2</v>
      </c>
      <c r="J4" s="26">
        <f t="shared" si="0"/>
        <v>0.06</v>
      </c>
      <c r="K4" s="26">
        <f t="shared" si="0"/>
        <v>6.5000000000000002E-2</v>
      </c>
      <c r="L4" s="26">
        <f t="shared" si="0"/>
        <v>7.0000000000000007E-2</v>
      </c>
      <c r="M4" s="26">
        <f t="shared" si="0"/>
        <v>7.4999999999999997E-2</v>
      </c>
      <c r="N4" s="26">
        <f t="shared" si="0"/>
        <v>0.08</v>
      </c>
      <c r="O4" s="26">
        <f t="shared" si="0"/>
        <v>8.5000000000000006E-2</v>
      </c>
      <c r="P4" s="26">
        <f t="shared" si="0"/>
        <v>0.09</v>
      </c>
      <c r="Q4" s="26">
        <f t="shared" si="0"/>
        <v>9.5000000000000001E-2</v>
      </c>
      <c r="R4" s="26">
        <f t="shared" si="0"/>
        <v>0.1</v>
      </c>
      <c r="S4" s="26">
        <f t="shared" si="1"/>
        <v>0.105</v>
      </c>
      <c r="T4" s="26">
        <f t="shared" si="1"/>
        <v>0.11</v>
      </c>
      <c r="U4" s="26">
        <f t="shared" si="1"/>
        <v>0.115</v>
      </c>
      <c r="V4" s="26">
        <f t="shared" si="1"/>
        <v>0.12</v>
      </c>
      <c r="W4" s="26">
        <f t="shared" si="1"/>
        <v>0.125</v>
      </c>
      <c r="X4" s="26">
        <f t="shared" si="1"/>
        <v>0.13</v>
      </c>
      <c r="Y4" s="26">
        <f t="shared" si="1"/>
        <v>0.13500000000000001</v>
      </c>
      <c r="Z4" s="26">
        <f t="shared" si="1"/>
        <v>0.14000000000000001</v>
      </c>
      <c r="AA4" s="26">
        <f t="shared" si="1"/>
        <v>0.14499999999999999</v>
      </c>
      <c r="AB4" s="26">
        <f t="shared" si="1"/>
        <v>0.15</v>
      </c>
      <c r="AC4" s="26">
        <f t="shared" si="1"/>
        <v>0.155</v>
      </c>
      <c r="AD4" s="26">
        <f t="shared" si="1"/>
        <v>0.16</v>
      </c>
      <c r="AE4" s="26">
        <f t="shared" si="1"/>
        <v>0.16500000000000001</v>
      </c>
      <c r="AF4" s="26">
        <f t="shared" si="1"/>
        <v>0.17</v>
      </c>
      <c r="AG4" s="26">
        <f t="shared" si="1"/>
        <v>0.17499999999999999</v>
      </c>
      <c r="AH4" s="26">
        <f t="shared" si="1"/>
        <v>0.18</v>
      </c>
      <c r="AI4" s="26">
        <f t="shared" si="2"/>
        <v>0.185</v>
      </c>
      <c r="AJ4" s="26">
        <f t="shared" si="2"/>
        <v>0.19</v>
      </c>
      <c r="AK4" s="26">
        <f t="shared" si="2"/>
        <v>0.19500000000000001</v>
      </c>
      <c r="AL4" s="26">
        <f t="shared" si="2"/>
        <v>0.2</v>
      </c>
      <c r="AM4" s="26">
        <f t="shared" si="2"/>
        <v>0.20499999999999999</v>
      </c>
      <c r="AN4" s="26">
        <f t="shared" si="2"/>
        <v>0.21</v>
      </c>
      <c r="AO4" s="26">
        <f t="shared" si="2"/>
        <v>0.215</v>
      </c>
      <c r="AP4" s="26">
        <f t="shared" si="2"/>
        <v>0.22</v>
      </c>
      <c r="AQ4" s="26">
        <f t="shared" si="2"/>
        <v>0.22500000000000001</v>
      </c>
      <c r="AR4" s="26">
        <f t="shared" si="2"/>
        <v>0.23</v>
      </c>
      <c r="AS4" s="26">
        <f t="shared" si="2"/>
        <v>0.23499999999999999</v>
      </c>
      <c r="AT4" s="26">
        <f t="shared" si="2"/>
        <v>0.24</v>
      </c>
      <c r="AU4" s="26">
        <f t="shared" si="2"/>
        <v>0.245</v>
      </c>
      <c r="AV4" s="26">
        <f t="shared" si="2"/>
        <v>0.25</v>
      </c>
      <c r="AW4" s="26">
        <f t="shared" si="2"/>
        <v>0.255</v>
      </c>
      <c r="AX4" s="26">
        <f t="shared" si="2"/>
        <v>0.26</v>
      </c>
      <c r="AY4" s="26">
        <f t="shared" si="3"/>
        <v>0.26500000000000001</v>
      </c>
      <c r="AZ4" s="26">
        <f t="shared" si="3"/>
        <v>0.27</v>
      </c>
      <c r="BA4" s="26">
        <f t="shared" si="3"/>
        <v>0.27500000000000002</v>
      </c>
      <c r="BB4" s="26">
        <f t="shared" si="3"/>
        <v>0.28000000000000003</v>
      </c>
      <c r="BC4" s="26">
        <f t="shared" si="3"/>
        <v>0.28499999999999998</v>
      </c>
      <c r="BD4" s="26">
        <f t="shared" si="3"/>
        <v>0.28999999999999998</v>
      </c>
      <c r="BE4" s="26">
        <f t="shared" si="3"/>
        <v>0.29499999999999998</v>
      </c>
      <c r="BF4" s="26">
        <f t="shared" si="3"/>
        <v>0.3</v>
      </c>
      <c r="BG4" s="26">
        <f t="shared" si="3"/>
        <v>0.30499999999999999</v>
      </c>
      <c r="BH4" s="26">
        <f t="shared" si="3"/>
        <v>0.31</v>
      </c>
      <c r="BI4" s="26">
        <f t="shared" si="3"/>
        <v>0.315</v>
      </c>
      <c r="BJ4" s="26">
        <f t="shared" si="3"/>
        <v>0.32</v>
      </c>
      <c r="BK4" s="26">
        <f t="shared" si="3"/>
        <v>0.32500000000000001</v>
      </c>
      <c r="BL4" s="26">
        <f t="shared" si="3"/>
        <v>0.33</v>
      </c>
      <c r="BM4" s="26">
        <f t="shared" si="3"/>
        <v>0.33500000000000002</v>
      </c>
      <c r="BN4" s="26">
        <f t="shared" si="3"/>
        <v>0.34</v>
      </c>
      <c r="BO4" s="26">
        <f t="shared" si="4"/>
        <v>0.34499999999999997</v>
      </c>
      <c r="BP4" s="26">
        <f t="shared" si="4"/>
        <v>0.35</v>
      </c>
      <c r="BQ4" s="26">
        <f t="shared" si="4"/>
        <v>0.35499999999999998</v>
      </c>
      <c r="BR4" s="26">
        <f t="shared" si="4"/>
        <v>0.36</v>
      </c>
      <c r="BS4" s="26">
        <f t="shared" si="4"/>
        <v>0.36499999999999999</v>
      </c>
      <c r="BT4" s="26">
        <f t="shared" si="4"/>
        <v>0.37</v>
      </c>
      <c r="BU4" s="26">
        <f t="shared" si="4"/>
        <v>0.375</v>
      </c>
      <c r="BV4" s="26">
        <f t="shared" si="4"/>
        <v>0.38</v>
      </c>
      <c r="BW4" s="26">
        <f t="shared" si="4"/>
        <v>0.38500000000000001</v>
      </c>
      <c r="BX4" s="26">
        <f t="shared" si="4"/>
        <v>0.39</v>
      </c>
      <c r="BY4" s="26">
        <f t="shared" si="4"/>
        <v>0.39500000000000002</v>
      </c>
      <c r="BZ4" s="26">
        <f t="shared" si="4"/>
        <v>0.4</v>
      </c>
      <c r="CA4" s="26">
        <f t="shared" si="4"/>
        <v>0.40500000000000003</v>
      </c>
      <c r="CB4" s="26">
        <f t="shared" si="4"/>
        <v>0.41</v>
      </c>
      <c r="CC4" s="26">
        <f t="shared" si="4"/>
        <v>0.41499999999999998</v>
      </c>
      <c r="CD4" s="26">
        <f t="shared" si="4"/>
        <v>0.42</v>
      </c>
      <c r="CE4" s="26">
        <f t="shared" si="5"/>
        <v>0.42499999999999999</v>
      </c>
      <c r="CF4" s="26">
        <f t="shared" si="5"/>
        <v>0.43</v>
      </c>
      <c r="CG4" s="26">
        <f t="shared" si="5"/>
        <v>0.435</v>
      </c>
      <c r="CH4" s="26">
        <f t="shared" si="5"/>
        <v>0.44</v>
      </c>
      <c r="CI4" s="26">
        <f t="shared" si="5"/>
        <v>0.44500000000000001</v>
      </c>
      <c r="CJ4" s="26">
        <f t="shared" si="5"/>
        <v>0.45</v>
      </c>
      <c r="CK4" s="26">
        <f t="shared" si="5"/>
        <v>0.45500000000000002</v>
      </c>
      <c r="CL4" s="26">
        <f t="shared" si="5"/>
        <v>0.46</v>
      </c>
      <c r="CM4" s="26">
        <f t="shared" si="5"/>
        <v>0.46500000000000002</v>
      </c>
      <c r="CN4" s="26">
        <f t="shared" si="5"/>
        <v>0.47</v>
      </c>
      <c r="CO4" s="26">
        <f t="shared" si="5"/>
        <v>0.47499999999999998</v>
      </c>
      <c r="CP4" s="26">
        <f t="shared" si="5"/>
        <v>0.48</v>
      </c>
      <c r="CQ4" s="26">
        <f t="shared" si="5"/>
        <v>0.48499999999999999</v>
      </c>
      <c r="CR4" s="26">
        <f t="shared" si="5"/>
        <v>0.49</v>
      </c>
      <c r="CS4" s="26">
        <f t="shared" si="5"/>
        <v>0.495</v>
      </c>
      <c r="CT4" s="26">
        <f t="shared" si="5"/>
        <v>0.5</v>
      </c>
      <c r="CU4" s="26">
        <f t="shared" si="6"/>
        <v>0.505</v>
      </c>
      <c r="CV4" s="26">
        <f t="shared" si="6"/>
        <v>0.51</v>
      </c>
      <c r="CW4" s="26">
        <f t="shared" si="6"/>
        <v>0.51500000000000001</v>
      </c>
    </row>
    <row r="5" spans="2:101" ht="20.100000000000001" customHeight="1">
      <c r="B5" s="26">
        <f t="shared" si="7"/>
        <v>2.5000000000000001E-2</v>
      </c>
      <c r="C5" s="26">
        <f t="shared" si="0"/>
        <v>0.03</v>
      </c>
      <c r="D5" s="26">
        <f t="shared" si="0"/>
        <v>3.5000000000000003E-2</v>
      </c>
      <c r="E5" s="26">
        <f t="shared" si="0"/>
        <v>0.04</v>
      </c>
      <c r="F5" s="26">
        <f t="shared" si="0"/>
        <v>4.4999999999999998E-2</v>
      </c>
      <c r="G5" s="26">
        <f t="shared" si="0"/>
        <v>0.05</v>
      </c>
      <c r="H5" s="26">
        <f t="shared" si="0"/>
        <v>5.5E-2</v>
      </c>
      <c r="I5" s="26">
        <f t="shared" si="0"/>
        <v>0.06</v>
      </c>
      <c r="J5" s="26">
        <f t="shared" si="0"/>
        <v>6.5000000000000002E-2</v>
      </c>
      <c r="K5" s="26">
        <f t="shared" si="0"/>
        <v>7.0000000000000007E-2</v>
      </c>
      <c r="L5" s="26">
        <f t="shared" si="0"/>
        <v>7.4999999999999997E-2</v>
      </c>
      <c r="M5" s="26">
        <f t="shared" si="0"/>
        <v>0.08</v>
      </c>
      <c r="N5" s="26">
        <f t="shared" si="0"/>
        <v>8.5000000000000006E-2</v>
      </c>
      <c r="O5" s="26">
        <f t="shared" si="0"/>
        <v>0.09</v>
      </c>
      <c r="P5" s="26">
        <f t="shared" si="0"/>
        <v>9.5000000000000001E-2</v>
      </c>
      <c r="Q5" s="26">
        <f t="shared" si="0"/>
        <v>0.1</v>
      </c>
      <c r="R5" s="26">
        <f t="shared" si="0"/>
        <v>0.105</v>
      </c>
      <c r="S5" s="26">
        <f t="shared" si="1"/>
        <v>0.11</v>
      </c>
      <c r="T5" s="26">
        <f t="shared" si="1"/>
        <v>0.115</v>
      </c>
      <c r="U5" s="26">
        <f t="shared" si="1"/>
        <v>0.12</v>
      </c>
      <c r="V5" s="26">
        <f t="shared" si="1"/>
        <v>0.125</v>
      </c>
      <c r="W5" s="26">
        <f t="shared" si="1"/>
        <v>0.13</v>
      </c>
      <c r="X5" s="26">
        <f t="shared" si="1"/>
        <v>0.13500000000000001</v>
      </c>
      <c r="Y5" s="26">
        <f t="shared" si="1"/>
        <v>0.14000000000000001</v>
      </c>
      <c r="Z5" s="26">
        <f t="shared" si="1"/>
        <v>0.14499999999999999</v>
      </c>
      <c r="AA5" s="26">
        <f t="shared" si="1"/>
        <v>0.15</v>
      </c>
      <c r="AB5" s="26">
        <f t="shared" si="1"/>
        <v>0.155</v>
      </c>
      <c r="AC5" s="26">
        <f t="shared" si="1"/>
        <v>0.16</v>
      </c>
      <c r="AD5" s="26">
        <f t="shared" si="1"/>
        <v>0.16500000000000001</v>
      </c>
      <c r="AE5" s="26">
        <f t="shared" si="1"/>
        <v>0.17</v>
      </c>
      <c r="AF5" s="26">
        <f t="shared" si="1"/>
        <v>0.17499999999999999</v>
      </c>
      <c r="AG5" s="26">
        <f t="shared" si="1"/>
        <v>0.18</v>
      </c>
      <c r="AH5" s="26">
        <f t="shared" si="1"/>
        <v>0.185</v>
      </c>
      <c r="AI5" s="26">
        <f t="shared" si="2"/>
        <v>0.19</v>
      </c>
      <c r="AJ5" s="26">
        <f t="shared" si="2"/>
        <v>0.19500000000000001</v>
      </c>
      <c r="AK5" s="26">
        <f t="shared" si="2"/>
        <v>0.2</v>
      </c>
      <c r="AL5" s="26">
        <f t="shared" si="2"/>
        <v>0.20499999999999999</v>
      </c>
      <c r="AM5" s="26">
        <f t="shared" si="2"/>
        <v>0.21</v>
      </c>
      <c r="AN5" s="26">
        <f t="shared" si="2"/>
        <v>0.215</v>
      </c>
      <c r="AO5" s="26">
        <f t="shared" si="2"/>
        <v>0.22</v>
      </c>
      <c r="AP5" s="26">
        <f t="shared" si="2"/>
        <v>0.22500000000000001</v>
      </c>
      <c r="AQ5" s="26">
        <f t="shared" si="2"/>
        <v>0.23</v>
      </c>
      <c r="AR5" s="26">
        <f t="shared" si="2"/>
        <v>0.23499999999999999</v>
      </c>
      <c r="AS5" s="26">
        <f t="shared" si="2"/>
        <v>0.24</v>
      </c>
      <c r="AT5" s="26">
        <f t="shared" si="2"/>
        <v>0.245</v>
      </c>
      <c r="AU5" s="26">
        <f t="shared" si="2"/>
        <v>0.25</v>
      </c>
      <c r="AV5" s="26">
        <f t="shared" si="2"/>
        <v>0.255</v>
      </c>
      <c r="AW5" s="26">
        <f t="shared" si="2"/>
        <v>0.26</v>
      </c>
      <c r="AX5" s="26">
        <f t="shared" si="2"/>
        <v>0.26500000000000001</v>
      </c>
      <c r="AY5" s="26">
        <f t="shared" si="3"/>
        <v>0.27</v>
      </c>
      <c r="AZ5" s="26">
        <f t="shared" si="3"/>
        <v>0.27500000000000002</v>
      </c>
      <c r="BA5" s="26">
        <f t="shared" si="3"/>
        <v>0.28000000000000003</v>
      </c>
      <c r="BB5" s="26">
        <f t="shared" si="3"/>
        <v>0.28499999999999998</v>
      </c>
      <c r="BC5" s="26">
        <f t="shared" si="3"/>
        <v>0.28999999999999998</v>
      </c>
      <c r="BD5" s="26">
        <f t="shared" si="3"/>
        <v>0.29499999999999998</v>
      </c>
      <c r="BE5" s="26">
        <f t="shared" si="3"/>
        <v>0.3</v>
      </c>
      <c r="BF5" s="26">
        <f t="shared" si="3"/>
        <v>0.30499999999999999</v>
      </c>
      <c r="BG5" s="26">
        <f t="shared" si="3"/>
        <v>0.31</v>
      </c>
      <c r="BH5" s="26">
        <f t="shared" si="3"/>
        <v>0.315</v>
      </c>
      <c r="BI5" s="26">
        <f t="shared" si="3"/>
        <v>0.32</v>
      </c>
      <c r="BJ5" s="26">
        <f t="shared" si="3"/>
        <v>0.32500000000000001</v>
      </c>
      <c r="BK5" s="26">
        <f t="shared" si="3"/>
        <v>0.33</v>
      </c>
      <c r="BL5" s="26">
        <f t="shared" si="3"/>
        <v>0.33500000000000002</v>
      </c>
      <c r="BM5" s="26">
        <f t="shared" si="3"/>
        <v>0.34</v>
      </c>
      <c r="BN5" s="26">
        <f t="shared" si="3"/>
        <v>0.34499999999999997</v>
      </c>
      <c r="BO5" s="26">
        <f t="shared" si="4"/>
        <v>0.35</v>
      </c>
      <c r="BP5" s="26">
        <f t="shared" si="4"/>
        <v>0.35499999999999998</v>
      </c>
      <c r="BQ5" s="26">
        <f t="shared" si="4"/>
        <v>0.36</v>
      </c>
      <c r="BR5" s="26">
        <f t="shared" si="4"/>
        <v>0.36499999999999999</v>
      </c>
      <c r="BS5" s="26">
        <f t="shared" si="4"/>
        <v>0.37</v>
      </c>
      <c r="BT5" s="26">
        <f t="shared" si="4"/>
        <v>0.375</v>
      </c>
      <c r="BU5" s="26">
        <f t="shared" si="4"/>
        <v>0.38</v>
      </c>
      <c r="BV5" s="26">
        <f t="shared" si="4"/>
        <v>0.38500000000000001</v>
      </c>
      <c r="BW5" s="26">
        <f t="shared" si="4"/>
        <v>0.39</v>
      </c>
      <c r="BX5" s="26">
        <f t="shared" si="4"/>
        <v>0.39500000000000002</v>
      </c>
      <c r="BY5" s="26">
        <f t="shared" si="4"/>
        <v>0.4</v>
      </c>
      <c r="BZ5" s="26">
        <f t="shared" si="4"/>
        <v>0.40500000000000003</v>
      </c>
      <c r="CA5" s="26">
        <f t="shared" si="4"/>
        <v>0.41</v>
      </c>
      <c r="CB5" s="26">
        <f t="shared" si="4"/>
        <v>0.41499999999999998</v>
      </c>
      <c r="CC5" s="26">
        <f t="shared" si="4"/>
        <v>0.42</v>
      </c>
      <c r="CD5" s="26">
        <f t="shared" si="4"/>
        <v>0.42499999999999999</v>
      </c>
      <c r="CE5" s="26">
        <f t="shared" si="5"/>
        <v>0.43</v>
      </c>
      <c r="CF5" s="26">
        <f t="shared" si="5"/>
        <v>0.435</v>
      </c>
      <c r="CG5" s="26">
        <f t="shared" si="5"/>
        <v>0.44</v>
      </c>
      <c r="CH5" s="26">
        <f t="shared" si="5"/>
        <v>0.44500000000000001</v>
      </c>
      <c r="CI5" s="26">
        <f t="shared" si="5"/>
        <v>0.45</v>
      </c>
      <c r="CJ5" s="26">
        <f t="shared" si="5"/>
        <v>0.45500000000000002</v>
      </c>
      <c r="CK5" s="26">
        <f t="shared" si="5"/>
        <v>0.46</v>
      </c>
      <c r="CL5" s="26">
        <f t="shared" si="5"/>
        <v>0.46500000000000002</v>
      </c>
      <c r="CM5" s="26">
        <f t="shared" si="5"/>
        <v>0.47</v>
      </c>
      <c r="CN5" s="26">
        <f t="shared" si="5"/>
        <v>0.47499999999999998</v>
      </c>
      <c r="CO5" s="26">
        <f t="shared" si="5"/>
        <v>0.48</v>
      </c>
      <c r="CP5" s="26">
        <f t="shared" si="5"/>
        <v>0.48499999999999999</v>
      </c>
      <c r="CQ5" s="26">
        <f t="shared" si="5"/>
        <v>0.49</v>
      </c>
      <c r="CR5" s="26">
        <f t="shared" si="5"/>
        <v>0.495</v>
      </c>
      <c r="CS5" s="26">
        <f t="shared" si="5"/>
        <v>0.5</v>
      </c>
      <c r="CT5" s="26">
        <f t="shared" si="5"/>
        <v>0.505</v>
      </c>
      <c r="CU5" s="26">
        <f t="shared" si="6"/>
        <v>0.51</v>
      </c>
      <c r="CV5" s="26">
        <f t="shared" si="6"/>
        <v>0.51500000000000001</v>
      </c>
      <c r="CW5" s="26">
        <f t="shared" si="6"/>
        <v>0.52</v>
      </c>
    </row>
    <row r="6" spans="2:101" ht="20.100000000000001" customHeight="1">
      <c r="B6" s="26">
        <f t="shared" si="7"/>
        <v>0.03</v>
      </c>
      <c r="C6" s="26">
        <f t="shared" si="0"/>
        <v>3.5000000000000003E-2</v>
      </c>
      <c r="D6" s="26">
        <f t="shared" si="0"/>
        <v>0.04</v>
      </c>
      <c r="E6" s="26">
        <f t="shared" si="0"/>
        <v>4.4999999999999998E-2</v>
      </c>
      <c r="F6" s="26">
        <f t="shared" si="0"/>
        <v>0.05</v>
      </c>
      <c r="G6" s="26">
        <f t="shared" si="0"/>
        <v>5.5E-2</v>
      </c>
      <c r="H6" s="26">
        <f t="shared" si="0"/>
        <v>0.06</v>
      </c>
      <c r="I6" s="26">
        <f t="shared" si="0"/>
        <v>6.5000000000000002E-2</v>
      </c>
      <c r="J6" s="26">
        <f t="shared" si="0"/>
        <v>7.0000000000000007E-2</v>
      </c>
      <c r="K6" s="26">
        <f t="shared" si="0"/>
        <v>7.4999999999999997E-2</v>
      </c>
      <c r="L6" s="26">
        <f t="shared" si="0"/>
        <v>0.08</v>
      </c>
      <c r="M6" s="26">
        <f t="shared" si="0"/>
        <v>8.5000000000000006E-2</v>
      </c>
      <c r="N6" s="26">
        <f t="shared" si="0"/>
        <v>0.09</v>
      </c>
      <c r="O6" s="26">
        <f t="shared" si="0"/>
        <v>9.5000000000000001E-2</v>
      </c>
      <c r="P6" s="26">
        <f t="shared" si="0"/>
        <v>0.1</v>
      </c>
      <c r="Q6" s="26">
        <f t="shared" si="0"/>
        <v>0.105</v>
      </c>
      <c r="R6" s="26">
        <f t="shared" si="0"/>
        <v>0.11</v>
      </c>
      <c r="S6" s="26">
        <f t="shared" si="1"/>
        <v>0.115</v>
      </c>
      <c r="T6" s="26">
        <f t="shared" si="1"/>
        <v>0.12</v>
      </c>
      <c r="U6" s="26">
        <f t="shared" si="1"/>
        <v>0.125</v>
      </c>
      <c r="V6" s="26">
        <f t="shared" si="1"/>
        <v>0.13</v>
      </c>
      <c r="W6" s="26">
        <f t="shared" si="1"/>
        <v>0.13500000000000001</v>
      </c>
      <c r="X6" s="26">
        <f t="shared" si="1"/>
        <v>0.14000000000000001</v>
      </c>
      <c r="Y6" s="26">
        <f t="shared" si="1"/>
        <v>0.14499999999999999</v>
      </c>
      <c r="Z6" s="26">
        <f t="shared" si="1"/>
        <v>0.15</v>
      </c>
      <c r="AA6" s="26">
        <f t="shared" si="1"/>
        <v>0.155</v>
      </c>
      <c r="AB6" s="26">
        <f t="shared" si="1"/>
        <v>0.16</v>
      </c>
      <c r="AC6" s="26">
        <f t="shared" si="1"/>
        <v>0.16500000000000001</v>
      </c>
      <c r="AD6" s="26">
        <f t="shared" si="1"/>
        <v>0.17</v>
      </c>
      <c r="AE6" s="26">
        <f t="shared" si="1"/>
        <v>0.17499999999999999</v>
      </c>
      <c r="AF6" s="26">
        <f t="shared" si="1"/>
        <v>0.18</v>
      </c>
      <c r="AG6" s="26">
        <f t="shared" si="1"/>
        <v>0.185</v>
      </c>
      <c r="AH6" s="26">
        <f t="shared" si="1"/>
        <v>0.19</v>
      </c>
      <c r="AI6" s="26">
        <f t="shared" si="2"/>
        <v>0.19500000000000001</v>
      </c>
      <c r="AJ6" s="26">
        <f t="shared" si="2"/>
        <v>0.2</v>
      </c>
      <c r="AK6" s="26">
        <f t="shared" si="2"/>
        <v>0.20499999999999999</v>
      </c>
      <c r="AL6" s="26">
        <f t="shared" si="2"/>
        <v>0.21</v>
      </c>
      <c r="AM6" s="26">
        <f t="shared" si="2"/>
        <v>0.215</v>
      </c>
      <c r="AN6" s="26">
        <f t="shared" si="2"/>
        <v>0.22</v>
      </c>
      <c r="AO6" s="26">
        <f t="shared" si="2"/>
        <v>0.22500000000000001</v>
      </c>
      <c r="AP6" s="26">
        <f t="shared" si="2"/>
        <v>0.23</v>
      </c>
      <c r="AQ6" s="26">
        <f t="shared" si="2"/>
        <v>0.23499999999999999</v>
      </c>
      <c r="AR6" s="26">
        <f t="shared" si="2"/>
        <v>0.24</v>
      </c>
      <c r="AS6" s="26">
        <f t="shared" si="2"/>
        <v>0.245</v>
      </c>
      <c r="AT6" s="26">
        <f t="shared" si="2"/>
        <v>0.25</v>
      </c>
      <c r="AU6" s="26">
        <f t="shared" si="2"/>
        <v>0.255</v>
      </c>
      <c r="AV6" s="26">
        <f t="shared" si="2"/>
        <v>0.26</v>
      </c>
      <c r="AW6" s="26">
        <f t="shared" si="2"/>
        <v>0.26500000000000001</v>
      </c>
      <c r="AX6" s="26">
        <f t="shared" si="2"/>
        <v>0.27</v>
      </c>
      <c r="AY6" s="26">
        <f t="shared" si="3"/>
        <v>0.27500000000000002</v>
      </c>
      <c r="AZ6" s="26">
        <f t="shared" si="3"/>
        <v>0.28000000000000003</v>
      </c>
      <c r="BA6" s="26">
        <f t="shared" si="3"/>
        <v>0.28499999999999998</v>
      </c>
      <c r="BB6" s="26">
        <f t="shared" si="3"/>
        <v>0.28999999999999998</v>
      </c>
      <c r="BC6" s="26">
        <f t="shared" si="3"/>
        <v>0.29499999999999998</v>
      </c>
      <c r="BD6" s="26">
        <f t="shared" si="3"/>
        <v>0.3</v>
      </c>
      <c r="BE6" s="26">
        <f t="shared" si="3"/>
        <v>0.30499999999999999</v>
      </c>
      <c r="BF6" s="26">
        <f t="shared" si="3"/>
        <v>0.31</v>
      </c>
      <c r="BG6" s="26">
        <f t="shared" si="3"/>
        <v>0.315</v>
      </c>
      <c r="BH6" s="26">
        <f t="shared" si="3"/>
        <v>0.32</v>
      </c>
      <c r="BI6" s="26">
        <f t="shared" si="3"/>
        <v>0.32500000000000001</v>
      </c>
      <c r="BJ6" s="26">
        <f t="shared" si="3"/>
        <v>0.33</v>
      </c>
      <c r="BK6" s="26">
        <f t="shared" si="3"/>
        <v>0.33500000000000002</v>
      </c>
      <c r="BL6" s="26">
        <f t="shared" si="3"/>
        <v>0.34</v>
      </c>
      <c r="BM6" s="26">
        <f t="shared" si="3"/>
        <v>0.34499999999999997</v>
      </c>
      <c r="BN6" s="26">
        <f t="shared" si="3"/>
        <v>0.35</v>
      </c>
      <c r="BO6" s="26">
        <f t="shared" si="4"/>
        <v>0.35499999999999998</v>
      </c>
      <c r="BP6" s="26">
        <f t="shared" si="4"/>
        <v>0.36</v>
      </c>
      <c r="BQ6" s="26">
        <f t="shared" si="4"/>
        <v>0.36499999999999999</v>
      </c>
      <c r="BR6" s="26">
        <f t="shared" si="4"/>
        <v>0.37</v>
      </c>
      <c r="BS6" s="26">
        <f t="shared" si="4"/>
        <v>0.375</v>
      </c>
      <c r="BT6" s="26">
        <f t="shared" si="4"/>
        <v>0.38</v>
      </c>
      <c r="BU6" s="26">
        <f t="shared" si="4"/>
        <v>0.38500000000000001</v>
      </c>
      <c r="BV6" s="26">
        <f t="shared" si="4"/>
        <v>0.39</v>
      </c>
      <c r="BW6" s="26">
        <f t="shared" si="4"/>
        <v>0.39500000000000002</v>
      </c>
      <c r="BX6" s="26">
        <f t="shared" si="4"/>
        <v>0.4</v>
      </c>
      <c r="BY6" s="26">
        <f t="shared" si="4"/>
        <v>0.40500000000000003</v>
      </c>
      <c r="BZ6" s="26">
        <f t="shared" si="4"/>
        <v>0.41</v>
      </c>
      <c r="CA6" s="26">
        <f t="shared" si="4"/>
        <v>0.41499999999999998</v>
      </c>
      <c r="CB6" s="26">
        <f t="shared" si="4"/>
        <v>0.42</v>
      </c>
      <c r="CC6" s="26">
        <f t="shared" si="4"/>
        <v>0.42499999999999999</v>
      </c>
      <c r="CD6" s="26">
        <f t="shared" si="4"/>
        <v>0.43</v>
      </c>
      <c r="CE6" s="26">
        <f t="shared" si="5"/>
        <v>0.435</v>
      </c>
      <c r="CF6" s="26">
        <f t="shared" si="5"/>
        <v>0.44</v>
      </c>
      <c r="CG6" s="26">
        <f t="shared" si="5"/>
        <v>0.44500000000000001</v>
      </c>
      <c r="CH6" s="26">
        <f t="shared" si="5"/>
        <v>0.45</v>
      </c>
      <c r="CI6" s="26">
        <f t="shared" si="5"/>
        <v>0.45500000000000002</v>
      </c>
      <c r="CJ6" s="26">
        <f t="shared" si="5"/>
        <v>0.46</v>
      </c>
      <c r="CK6" s="26">
        <f t="shared" si="5"/>
        <v>0.46500000000000002</v>
      </c>
      <c r="CL6" s="26">
        <f t="shared" si="5"/>
        <v>0.47</v>
      </c>
      <c r="CM6" s="26">
        <f t="shared" si="5"/>
        <v>0.47499999999999998</v>
      </c>
      <c r="CN6" s="26">
        <f t="shared" si="5"/>
        <v>0.48</v>
      </c>
      <c r="CO6" s="26">
        <f t="shared" si="5"/>
        <v>0.48499999999999999</v>
      </c>
      <c r="CP6" s="26">
        <f t="shared" si="5"/>
        <v>0.49</v>
      </c>
      <c r="CQ6" s="26">
        <f t="shared" si="5"/>
        <v>0.495</v>
      </c>
      <c r="CR6" s="26">
        <f t="shared" si="5"/>
        <v>0.5</v>
      </c>
      <c r="CS6" s="26">
        <f t="shared" si="5"/>
        <v>0.505</v>
      </c>
      <c r="CT6" s="26">
        <f t="shared" si="5"/>
        <v>0.51</v>
      </c>
      <c r="CU6" s="26">
        <f t="shared" si="6"/>
        <v>0.51500000000000001</v>
      </c>
      <c r="CV6" s="26">
        <f t="shared" si="6"/>
        <v>0.52</v>
      </c>
      <c r="CW6" s="26">
        <f t="shared" si="6"/>
        <v>0.52500000000000002</v>
      </c>
    </row>
    <row r="7" spans="2:101" ht="20.100000000000001" customHeight="1">
      <c r="B7" s="26">
        <f t="shared" si="7"/>
        <v>3.5000000000000003E-2</v>
      </c>
      <c r="C7" s="26">
        <f t="shared" si="0"/>
        <v>0.04</v>
      </c>
      <c r="D7" s="26">
        <f t="shared" si="0"/>
        <v>4.4999999999999998E-2</v>
      </c>
      <c r="E7" s="26">
        <f t="shared" si="0"/>
        <v>0.05</v>
      </c>
      <c r="F7" s="26">
        <f t="shared" si="0"/>
        <v>5.5E-2</v>
      </c>
      <c r="G7" s="26">
        <f t="shared" si="0"/>
        <v>0.06</v>
      </c>
      <c r="H7" s="26">
        <f t="shared" si="0"/>
        <v>6.5000000000000002E-2</v>
      </c>
      <c r="I7" s="26">
        <f t="shared" si="0"/>
        <v>7.0000000000000007E-2</v>
      </c>
      <c r="J7" s="26">
        <f t="shared" si="0"/>
        <v>7.4999999999999997E-2</v>
      </c>
      <c r="K7" s="26">
        <f t="shared" si="0"/>
        <v>0.08</v>
      </c>
      <c r="L7" s="26">
        <f t="shared" si="0"/>
        <v>8.5000000000000006E-2</v>
      </c>
      <c r="M7" s="26">
        <f t="shared" si="0"/>
        <v>0.09</v>
      </c>
      <c r="N7" s="26">
        <f t="shared" si="0"/>
        <v>9.5000000000000001E-2</v>
      </c>
      <c r="O7" s="26">
        <f t="shared" si="0"/>
        <v>0.1</v>
      </c>
      <c r="P7" s="26">
        <f t="shared" si="0"/>
        <v>0.105</v>
      </c>
      <c r="Q7" s="26">
        <f t="shared" si="0"/>
        <v>0.11</v>
      </c>
      <c r="R7" s="26">
        <f t="shared" si="0"/>
        <v>0.115</v>
      </c>
      <c r="S7" s="26">
        <f t="shared" si="1"/>
        <v>0.12</v>
      </c>
      <c r="T7" s="26">
        <f t="shared" si="1"/>
        <v>0.125</v>
      </c>
      <c r="U7" s="26">
        <f t="shared" si="1"/>
        <v>0.13</v>
      </c>
      <c r="V7" s="26">
        <f t="shared" si="1"/>
        <v>0.13500000000000001</v>
      </c>
      <c r="W7" s="26">
        <f t="shared" si="1"/>
        <v>0.14000000000000001</v>
      </c>
      <c r="X7" s="26">
        <f t="shared" si="1"/>
        <v>0.14499999999999999</v>
      </c>
      <c r="Y7" s="26">
        <f t="shared" si="1"/>
        <v>0.15</v>
      </c>
      <c r="Z7" s="26">
        <f t="shared" si="1"/>
        <v>0.155</v>
      </c>
      <c r="AA7" s="26">
        <f t="shared" si="1"/>
        <v>0.16</v>
      </c>
      <c r="AB7" s="26">
        <f t="shared" si="1"/>
        <v>0.16500000000000001</v>
      </c>
      <c r="AC7" s="26">
        <f t="shared" si="1"/>
        <v>0.17</v>
      </c>
      <c r="AD7" s="26">
        <f t="shared" si="1"/>
        <v>0.17499999999999999</v>
      </c>
      <c r="AE7" s="26">
        <f t="shared" si="1"/>
        <v>0.18</v>
      </c>
      <c r="AF7" s="26">
        <f t="shared" si="1"/>
        <v>0.185</v>
      </c>
      <c r="AG7" s="26">
        <f t="shared" si="1"/>
        <v>0.19</v>
      </c>
      <c r="AH7" s="26">
        <f t="shared" si="1"/>
        <v>0.19500000000000001</v>
      </c>
      <c r="AI7" s="26">
        <f t="shared" si="2"/>
        <v>0.2</v>
      </c>
      <c r="AJ7" s="26">
        <f t="shared" si="2"/>
        <v>0.20499999999999999</v>
      </c>
      <c r="AK7" s="26">
        <f t="shared" si="2"/>
        <v>0.21</v>
      </c>
      <c r="AL7" s="26">
        <f t="shared" si="2"/>
        <v>0.215</v>
      </c>
      <c r="AM7" s="26">
        <f t="shared" si="2"/>
        <v>0.22</v>
      </c>
      <c r="AN7" s="26">
        <f t="shared" si="2"/>
        <v>0.22500000000000001</v>
      </c>
      <c r="AO7" s="26">
        <f t="shared" si="2"/>
        <v>0.23</v>
      </c>
      <c r="AP7" s="26">
        <f t="shared" si="2"/>
        <v>0.23499999999999999</v>
      </c>
      <c r="AQ7" s="26">
        <f t="shared" si="2"/>
        <v>0.24</v>
      </c>
      <c r="AR7" s="26">
        <f t="shared" si="2"/>
        <v>0.245</v>
      </c>
      <c r="AS7" s="26">
        <f t="shared" si="2"/>
        <v>0.25</v>
      </c>
      <c r="AT7" s="26">
        <f t="shared" si="2"/>
        <v>0.255</v>
      </c>
      <c r="AU7" s="26">
        <f t="shared" si="2"/>
        <v>0.26</v>
      </c>
      <c r="AV7" s="26">
        <f t="shared" si="2"/>
        <v>0.26500000000000001</v>
      </c>
      <c r="AW7" s="26">
        <f t="shared" si="2"/>
        <v>0.27</v>
      </c>
      <c r="AX7" s="26">
        <f t="shared" si="2"/>
        <v>0.27500000000000002</v>
      </c>
      <c r="AY7" s="26">
        <f t="shared" si="3"/>
        <v>0.28000000000000003</v>
      </c>
      <c r="AZ7" s="26">
        <f t="shared" si="3"/>
        <v>0.28499999999999998</v>
      </c>
      <c r="BA7" s="26">
        <f t="shared" si="3"/>
        <v>0.28999999999999998</v>
      </c>
      <c r="BB7" s="26">
        <f t="shared" si="3"/>
        <v>0.29499999999999998</v>
      </c>
      <c r="BC7" s="26">
        <f t="shared" si="3"/>
        <v>0.3</v>
      </c>
      <c r="BD7" s="26">
        <f t="shared" si="3"/>
        <v>0.30499999999999999</v>
      </c>
      <c r="BE7" s="26">
        <f t="shared" si="3"/>
        <v>0.31</v>
      </c>
      <c r="BF7" s="26">
        <f t="shared" si="3"/>
        <v>0.315</v>
      </c>
      <c r="BG7" s="26">
        <f t="shared" si="3"/>
        <v>0.32</v>
      </c>
      <c r="BH7" s="26">
        <f t="shared" si="3"/>
        <v>0.32500000000000001</v>
      </c>
      <c r="BI7" s="26">
        <f t="shared" si="3"/>
        <v>0.33</v>
      </c>
      <c r="BJ7" s="26">
        <f t="shared" si="3"/>
        <v>0.33500000000000002</v>
      </c>
      <c r="BK7" s="26">
        <f t="shared" si="3"/>
        <v>0.34</v>
      </c>
      <c r="BL7" s="26">
        <f t="shared" si="3"/>
        <v>0.34499999999999997</v>
      </c>
      <c r="BM7" s="26">
        <f t="shared" si="3"/>
        <v>0.35</v>
      </c>
      <c r="BN7" s="26">
        <f t="shared" si="3"/>
        <v>0.35499999999999998</v>
      </c>
      <c r="BO7" s="26">
        <f t="shared" si="4"/>
        <v>0.36</v>
      </c>
      <c r="BP7" s="26">
        <f t="shared" si="4"/>
        <v>0.36499999999999999</v>
      </c>
      <c r="BQ7" s="26">
        <f t="shared" si="4"/>
        <v>0.37</v>
      </c>
      <c r="BR7" s="26">
        <f t="shared" si="4"/>
        <v>0.375</v>
      </c>
      <c r="BS7" s="26">
        <f t="shared" si="4"/>
        <v>0.38</v>
      </c>
      <c r="BT7" s="26">
        <f t="shared" si="4"/>
        <v>0.38500000000000001</v>
      </c>
      <c r="BU7" s="26">
        <f t="shared" si="4"/>
        <v>0.39</v>
      </c>
      <c r="BV7" s="26">
        <f t="shared" si="4"/>
        <v>0.39500000000000002</v>
      </c>
      <c r="BW7" s="26">
        <f t="shared" si="4"/>
        <v>0.4</v>
      </c>
      <c r="BX7" s="26">
        <f t="shared" si="4"/>
        <v>0.40500000000000003</v>
      </c>
      <c r="BY7" s="26">
        <f t="shared" si="4"/>
        <v>0.41</v>
      </c>
      <c r="BZ7" s="26">
        <f t="shared" si="4"/>
        <v>0.41499999999999998</v>
      </c>
      <c r="CA7" s="26">
        <f t="shared" si="4"/>
        <v>0.42</v>
      </c>
      <c r="CB7" s="26">
        <f t="shared" si="4"/>
        <v>0.42499999999999999</v>
      </c>
      <c r="CC7" s="26">
        <f t="shared" si="4"/>
        <v>0.43</v>
      </c>
      <c r="CD7" s="26">
        <f t="shared" si="4"/>
        <v>0.435</v>
      </c>
      <c r="CE7" s="26">
        <f t="shared" si="5"/>
        <v>0.44</v>
      </c>
      <c r="CF7" s="26">
        <f t="shared" si="5"/>
        <v>0.44500000000000001</v>
      </c>
      <c r="CG7" s="26">
        <f t="shared" si="5"/>
        <v>0.45</v>
      </c>
      <c r="CH7" s="26">
        <f t="shared" si="5"/>
        <v>0.45500000000000002</v>
      </c>
      <c r="CI7" s="26">
        <f t="shared" si="5"/>
        <v>0.46</v>
      </c>
      <c r="CJ7" s="26">
        <f t="shared" si="5"/>
        <v>0.46500000000000002</v>
      </c>
      <c r="CK7" s="26">
        <f t="shared" si="5"/>
        <v>0.47</v>
      </c>
      <c r="CL7" s="26">
        <f t="shared" si="5"/>
        <v>0.47499999999999998</v>
      </c>
      <c r="CM7" s="26">
        <f t="shared" si="5"/>
        <v>0.48</v>
      </c>
      <c r="CN7" s="26">
        <f t="shared" si="5"/>
        <v>0.48499999999999999</v>
      </c>
      <c r="CO7" s="26">
        <f t="shared" si="5"/>
        <v>0.49</v>
      </c>
      <c r="CP7" s="26">
        <f t="shared" si="5"/>
        <v>0.495</v>
      </c>
      <c r="CQ7" s="26">
        <f t="shared" si="5"/>
        <v>0.5</v>
      </c>
      <c r="CR7" s="26">
        <f t="shared" si="5"/>
        <v>0.505</v>
      </c>
      <c r="CS7" s="26">
        <f t="shared" si="5"/>
        <v>0.51</v>
      </c>
      <c r="CT7" s="26">
        <f t="shared" si="5"/>
        <v>0.51500000000000001</v>
      </c>
      <c r="CU7" s="26">
        <f t="shared" si="6"/>
        <v>0.52</v>
      </c>
      <c r="CV7" s="26">
        <f t="shared" si="6"/>
        <v>0.52500000000000002</v>
      </c>
      <c r="CW7" s="26">
        <f t="shared" si="6"/>
        <v>0.53</v>
      </c>
    </row>
    <row r="8" spans="2:101" ht="20.100000000000001" customHeight="1">
      <c r="B8" s="26">
        <f t="shared" si="7"/>
        <v>0.04</v>
      </c>
      <c r="C8" s="26">
        <f t="shared" si="0"/>
        <v>4.4999999999999998E-2</v>
      </c>
      <c r="D8" s="26">
        <f t="shared" si="0"/>
        <v>0.05</v>
      </c>
      <c r="E8" s="26">
        <f t="shared" si="0"/>
        <v>5.5E-2</v>
      </c>
      <c r="F8" s="26">
        <f t="shared" si="0"/>
        <v>0.06</v>
      </c>
      <c r="G8" s="26">
        <f t="shared" si="0"/>
        <v>6.5000000000000002E-2</v>
      </c>
      <c r="H8" s="26">
        <f t="shared" si="0"/>
        <v>7.0000000000000007E-2</v>
      </c>
      <c r="I8" s="26">
        <f t="shared" si="0"/>
        <v>7.4999999999999997E-2</v>
      </c>
      <c r="J8" s="26">
        <f t="shared" si="0"/>
        <v>0.08</v>
      </c>
      <c r="K8" s="26">
        <f t="shared" si="0"/>
        <v>8.5000000000000006E-2</v>
      </c>
      <c r="L8" s="26">
        <f t="shared" si="0"/>
        <v>0.09</v>
      </c>
      <c r="M8" s="26">
        <f t="shared" si="0"/>
        <v>9.5000000000000001E-2</v>
      </c>
      <c r="N8" s="26">
        <f t="shared" si="0"/>
        <v>0.1</v>
      </c>
      <c r="O8" s="26">
        <f t="shared" si="0"/>
        <v>0.105</v>
      </c>
      <c r="P8" s="26">
        <f t="shared" si="0"/>
        <v>0.11</v>
      </c>
      <c r="Q8" s="26">
        <f t="shared" si="0"/>
        <v>0.115</v>
      </c>
      <c r="R8" s="26">
        <f t="shared" si="0"/>
        <v>0.12</v>
      </c>
      <c r="S8" s="26">
        <f t="shared" si="1"/>
        <v>0.125</v>
      </c>
      <c r="T8" s="26">
        <f t="shared" si="1"/>
        <v>0.13</v>
      </c>
      <c r="U8" s="26">
        <f t="shared" si="1"/>
        <v>0.13500000000000001</v>
      </c>
      <c r="V8" s="26">
        <f t="shared" si="1"/>
        <v>0.14000000000000001</v>
      </c>
      <c r="W8" s="26">
        <f t="shared" si="1"/>
        <v>0.14499999999999999</v>
      </c>
      <c r="X8" s="26">
        <f t="shared" si="1"/>
        <v>0.15</v>
      </c>
      <c r="Y8" s="26">
        <f t="shared" si="1"/>
        <v>0.155</v>
      </c>
      <c r="Z8" s="26">
        <f t="shared" si="1"/>
        <v>0.16</v>
      </c>
      <c r="AA8" s="26">
        <f t="shared" si="1"/>
        <v>0.16500000000000001</v>
      </c>
      <c r="AB8" s="26">
        <f t="shared" si="1"/>
        <v>0.17</v>
      </c>
      <c r="AC8" s="26">
        <f t="shared" si="1"/>
        <v>0.17499999999999999</v>
      </c>
      <c r="AD8" s="26">
        <f t="shared" si="1"/>
        <v>0.18</v>
      </c>
      <c r="AE8" s="26">
        <f t="shared" si="1"/>
        <v>0.185</v>
      </c>
      <c r="AF8" s="26">
        <f t="shared" si="1"/>
        <v>0.19</v>
      </c>
      <c r="AG8" s="26">
        <f t="shared" si="1"/>
        <v>0.19500000000000001</v>
      </c>
      <c r="AH8" s="26">
        <f t="shared" si="1"/>
        <v>0.2</v>
      </c>
      <c r="AI8" s="26">
        <f t="shared" si="2"/>
        <v>0.20499999999999999</v>
      </c>
      <c r="AJ8" s="26">
        <f t="shared" si="2"/>
        <v>0.21</v>
      </c>
      <c r="AK8" s="26">
        <f t="shared" si="2"/>
        <v>0.215</v>
      </c>
      <c r="AL8" s="26">
        <f t="shared" si="2"/>
        <v>0.22</v>
      </c>
      <c r="AM8" s="26">
        <f t="shared" si="2"/>
        <v>0.22500000000000001</v>
      </c>
      <c r="AN8" s="26">
        <f t="shared" si="2"/>
        <v>0.23</v>
      </c>
      <c r="AO8" s="26">
        <f t="shared" si="2"/>
        <v>0.23499999999999999</v>
      </c>
      <c r="AP8" s="26">
        <f t="shared" si="2"/>
        <v>0.24</v>
      </c>
      <c r="AQ8" s="26">
        <f t="shared" si="2"/>
        <v>0.245</v>
      </c>
      <c r="AR8" s="26">
        <f t="shared" si="2"/>
        <v>0.25</v>
      </c>
      <c r="AS8" s="26">
        <f t="shared" si="2"/>
        <v>0.255</v>
      </c>
      <c r="AT8" s="26">
        <f t="shared" si="2"/>
        <v>0.26</v>
      </c>
      <c r="AU8" s="26">
        <f t="shared" si="2"/>
        <v>0.26500000000000001</v>
      </c>
      <c r="AV8" s="26">
        <f t="shared" si="2"/>
        <v>0.27</v>
      </c>
      <c r="AW8" s="26">
        <f t="shared" si="2"/>
        <v>0.27500000000000002</v>
      </c>
      <c r="AX8" s="26">
        <f t="shared" si="2"/>
        <v>0.28000000000000003</v>
      </c>
      <c r="AY8" s="26">
        <f t="shared" si="3"/>
        <v>0.28499999999999998</v>
      </c>
      <c r="AZ8" s="26">
        <f t="shared" si="3"/>
        <v>0.28999999999999998</v>
      </c>
      <c r="BA8" s="26">
        <f t="shared" si="3"/>
        <v>0.29499999999999998</v>
      </c>
      <c r="BB8" s="26">
        <f t="shared" si="3"/>
        <v>0.3</v>
      </c>
      <c r="BC8" s="26">
        <f t="shared" si="3"/>
        <v>0.30499999999999999</v>
      </c>
      <c r="BD8" s="26">
        <f t="shared" si="3"/>
        <v>0.31</v>
      </c>
      <c r="BE8" s="26">
        <f t="shared" si="3"/>
        <v>0.315</v>
      </c>
      <c r="BF8" s="26">
        <f t="shared" si="3"/>
        <v>0.32</v>
      </c>
      <c r="BG8" s="26">
        <f t="shared" si="3"/>
        <v>0.32500000000000001</v>
      </c>
      <c r="BH8" s="26">
        <f t="shared" si="3"/>
        <v>0.33</v>
      </c>
      <c r="BI8" s="26">
        <f t="shared" si="3"/>
        <v>0.33500000000000002</v>
      </c>
      <c r="BJ8" s="26">
        <f t="shared" si="3"/>
        <v>0.34</v>
      </c>
      <c r="BK8" s="26">
        <f t="shared" si="3"/>
        <v>0.34499999999999997</v>
      </c>
      <c r="BL8" s="26">
        <f t="shared" si="3"/>
        <v>0.35</v>
      </c>
      <c r="BM8" s="26">
        <f t="shared" si="3"/>
        <v>0.35499999999999998</v>
      </c>
      <c r="BN8" s="26">
        <f t="shared" si="3"/>
        <v>0.36</v>
      </c>
      <c r="BO8" s="26">
        <f t="shared" si="4"/>
        <v>0.36499999999999999</v>
      </c>
      <c r="BP8" s="26">
        <f t="shared" si="4"/>
        <v>0.37</v>
      </c>
      <c r="BQ8" s="26">
        <f t="shared" si="4"/>
        <v>0.375</v>
      </c>
      <c r="BR8" s="26">
        <f t="shared" si="4"/>
        <v>0.38</v>
      </c>
      <c r="BS8" s="26">
        <f t="shared" si="4"/>
        <v>0.38500000000000001</v>
      </c>
      <c r="BT8" s="26">
        <f t="shared" si="4"/>
        <v>0.39</v>
      </c>
      <c r="BU8" s="26">
        <f t="shared" si="4"/>
        <v>0.39500000000000002</v>
      </c>
      <c r="BV8" s="26">
        <f t="shared" si="4"/>
        <v>0.4</v>
      </c>
      <c r="BW8" s="26">
        <f t="shared" si="4"/>
        <v>0.40500000000000003</v>
      </c>
      <c r="BX8" s="26">
        <f t="shared" si="4"/>
        <v>0.41</v>
      </c>
      <c r="BY8" s="26">
        <f t="shared" si="4"/>
        <v>0.41499999999999998</v>
      </c>
      <c r="BZ8" s="26">
        <f t="shared" si="4"/>
        <v>0.42</v>
      </c>
      <c r="CA8" s="26">
        <f t="shared" si="4"/>
        <v>0.42499999999999999</v>
      </c>
      <c r="CB8" s="26">
        <f t="shared" si="4"/>
        <v>0.43</v>
      </c>
      <c r="CC8" s="26">
        <f t="shared" si="4"/>
        <v>0.435</v>
      </c>
      <c r="CD8" s="26">
        <f t="shared" si="4"/>
        <v>0.44</v>
      </c>
      <c r="CE8" s="26">
        <f t="shared" si="5"/>
        <v>0.44500000000000001</v>
      </c>
      <c r="CF8" s="26">
        <f t="shared" si="5"/>
        <v>0.45</v>
      </c>
      <c r="CG8" s="26">
        <f t="shared" si="5"/>
        <v>0.45500000000000002</v>
      </c>
      <c r="CH8" s="26">
        <f t="shared" si="5"/>
        <v>0.46</v>
      </c>
      <c r="CI8" s="26">
        <f t="shared" si="5"/>
        <v>0.46500000000000002</v>
      </c>
      <c r="CJ8" s="26">
        <f t="shared" si="5"/>
        <v>0.47</v>
      </c>
      <c r="CK8" s="26">
        <f t="shared" si="5"/>
        <v>0.47499999999999998</v>
      </c>
      <c r="CL8" s="26">
        <f t="shared" si="5"/>
        <v>0.48</v>
      </c>
      <c r="CM8" s="26">
        <f t="shared" si="5"/>
        <v>0.48499999999999999</v>
      </c>
      <c r="CN8" s="26">
        <f t="shared" si="5"/>
        <v>0.49</v>
      </c>
      <c r="CO8" s="26">
        <f t="shared" si="5"/>
        <v>0.495</v>
      </c>
      <c r="CP8" s="26">
        <f t="shared" si="5"/>
        <v>0.5</v>
      </c>
      <c r="CQ8" s="26">
        <f t="shared" si="5"/>
        <v>0.505</v>
      </c>
      <c r="CR8" s="26">
        <f t="shared" si="5"/>
        <v>0.51</v>
      </c>
      <c r="CS8" s="26">
        <f t="shared" si="5"/>
        <v>0.51500000000000001</v>
      </c>
      <c r="CT8" s="26">
        <f t="shared" si="5"/>
        <v>0.52</v>
      </c>
      <c r="CU8" s="26">
        <f t="shared" si="6"/>
        <v>0.52500000000000002</v>
      </c>
      <c r="CV8" s="26">
        <f t="shared" si="6"/>
        <v>0.53</v>
      </c>
      <c r="CW8" s="26">
        <f t="shared" si="6"/>
        <v>0.53500000000000003</v>
      </c>
    </row>
    <row r="9" spans="2:101" ht="20.100000000000001" customHeight="1">
      <c r="B9" s="26">
        <f t="shared" si="7"/>
        <v>4.4999999999999998E-2</v>
      </c>
      <c r="C9" s="26">
        <f t="shared" si="0"/>
        <v>0.05</v>
      </c>
      <c r="D9" s="26">
        <f t="shared" si="0"/>
        <v>5.5E-2</v>
      </c>
      <c r="E9" s="26">
        <f t="shared" si="0"/>
        <v>0.06</v>
      </c>
      <c r="F9" s="26">
        <f t="shared" si="0"/>
        <v>6.5000000000000002E-2</v>
      </c>
      <c r="G9" s="26">
        <f t="shared" si="0"/>
        <v>7.0000000000000007E-2</v>
      </c>
      <c r="H9" s="26">
        <f t="shared" si="0"/>
        <v>7.4999999999999997E-2</v>
      </c>
      <c r="I9" s="26">
        <f t="shared" si="0"/>
        <v>0.08</v>
      </c>
      <c r="J9" s="26">
        <f t="shared" si="0"/>
        <v>8.5000000000000006E-2</v>
      </c>
      <c r="K9" s="26">
        <f t="shared" si="0"/>
        <v>0.09</v>
      </c>
      <c r="L9" s="26">
        <f t="shared" si="0"/>
        <v>9.5000000000000001E-2</v>
      </c>
      <c r="M9" s="26">
        <f t="shared" si="0"/>
        <v>0.1</v>
      </c>
      <c r="N9" s="26">
        <f t="shared" si="0"/>
        <v>0.105</v>
      </c>
      <c r="O9" s="26">
        <f t="shared" si="0"/>
        <v>0.11</v>
      </c>
      <c r="P9" s="26">
        <f t="shared" si="0"/>
        <v>0.115</v>
      </c>
      <c r="Q9" s="26">
        <f t="shared" si="0"/>
        <v>0.12</v>
      </c>
      <c r="R9" s="26">
        <f t="shared" si="0"/>
        <v>0.125</v>
      </c>
      <c r="S9" s="26">
        <f t="shared" si="1"/>
        <v>0.13</v>
      </c>
      <c r="T9" s="26">
        <f t="shared" si="1"/>
        <v>0.13500000000000001</v>
      </c>
      <c r="U9" s="26">
        <f t="shared" si="1"/>
        <v>0.14000000000000001</v>
      </c>
      <c r="V9" s="26">
        <f t="shared" si="1"/>
        <v>0.14499999999999999</v>
      </c>
      <c r="W9" s="26">
        <f t="shared" si="1"/>
        <v>0.15</v>
      </c>
      <c r="X9" s="26">
        <f t="shared" si="1"/>
        <v>0.155</v>
      </c>
      <c r="Y9" s="26">
        <f t="shared" si="1"/>
        <v>0.16</v>
      </c>
      <c r="Z9" s="26">
        <f t="shared" si="1"/>
        <v>0.16500000000000001</v>
      </c>
      <c r="AA9" s="26">
        <f t="shared" si="1"/>
        <v>0.17</v>
      </c>
      <c r="AB9" s="26">
        <f t="shared" si="1"/>
        <v>0.17499999999999999</v>
      </c>
      <c r="AC9" s="26">
        <f t="shared" si="1"/>
        <v>0.18</v>
      </c>
      <c r="AD9" s="26">
        <f t="shared" si="1"/>
        <v>0.185</v>
      </c>
      <c r="AE9" s="26">
        <f t="shared" si="1"/>
        <v>0.19</v>
      </c>
      <c r="AF9" s="26">
        <f t="shared" si="1"/>
        <v>0.19500000000000001</v>
      </c>
      <c r="AG9" s="26">
        <f t="shared" si="1"/>
        <v>0.2</v>
      </c>
      <c r="AH9" s="26">
        <f t="shared" si="1"/>
        <v>0.20499999999999999</v>
      </c>
      <c r="AI9" s="26">
        <f t="shared" si="2"/>
        <v>0.21</v>
      </c>
      <c r="AJ9" s="26">
        <f t="shared" si="2"/>
        <v>0.215</v>
      </c>
      <c r="AK9" s="26">
        <f t="shared" si="2"/>
        <v>0.22</v>
      </c>
      <c r="AL9" s="26">
        <f t="shared" si="2"/>
        <v>0.22500000000000001</v>
      </c>
      <c r="AM9" s="26">
        <f t="shared" si="2"/>
        <v>0.23</v>
      </c>
      <c r="AN9" s="26">
        <f t="shared" si="2"/>
        <v>0.23499999999999999</v>
      </c>
      <c r="AO9" s="26">
        <f t="shared" si="2"/>
        <v>0.24</v>
      </c>
      <c r="AP9" s="26">
        <f t="shared" si="2"/>
        <v>0.245</v>
      </c>
      <c r="AQ9" s="26">
        <f t="shared" si="2"/>
        <v>0.25</v>
      </c>
      <c r="AR9" s="26">
        <f t="shared" si="2"/>
        <v>0.255</v>
      </c>
      <c r="AS9" s="26">
        <f t="shared" si="2"/>
        <v>0.26</v>
      </c>
      <c r="AT9" s="26">
        <f t="shared" si="2"/>
        <v>0.26500000000000001</v>
      </c>
      <c r="AU9" s="26">
        <f t="shared" si="2"/>
        <v>0.27</v>
      </c>
      <c r="AV9" s="26">
        <f t="shared" si="2"/>
        <v>0.27500000000000002</v>
      </c>
      <c r="AW9" s="26">
        <f t="shared" si="2"/>
        <v>0.28000000000000003</v>
      </c>
      <c r="AX9" s="26">
        <f t="shared" si="2"/>
        <v>0.28499999999999998</v>
      </c>
      <c r="AY9" s="26">
        <f t="shared" si="3"/>
        <v>0.28999999999999998</v>
      </c>
      <c r="AZ9" s="26">
        <f t="shared" si="3"/>
        <v>0.29499999999999998</v>
      </c>
      <c r="BA9" s="26">
        <f t="shared" si="3"/>
        <v>0.3</v>
      </c>
      <c r="BB9" s="26">
        <f t="shared" si="3"/>
        <v>0.30499999999999999</v>
      </c>
      <c r="BC9" s="26">
        <f t="shared" si="3"/>
        <v>0.31</v>
      </c>
      <c r="BD9" s="26">
        <f t="shared" si="3"/>
        <v>0.315</v>
      </c>
      <c r="BE9" s="26">
        <f t="shared" si="3"/>
        <v>0.32</v>
      </c>
      <c r="BF9" s="26">
        <f t="shared" si="3"/>
        <v>0.32500000000000001</v>
      </c>
      <c r="BG9" s="26">
        <f t="shared" si="3"/>
        <v>0.33</v>
      </c>
      <c r="BH9" s="26">
        <f t="shared" si="3"/>
        <v>0.33500000000000002</v>
      </c>
      <c r="BI9" s="26">
        <f t="shared" si="3"/>
        <v>0.34</v>
      </c>
      <c r="BJ9" s="26">
        <f t="shared" si="3"/>
        <v>0.34499999999999997</v>
      </c>
      <c r="BK9" s="26">
        <f t="shared" si="3"/>
        <v>0.35</v>
      </c>
      <c r="BL9" s="26">
        <f t="shared" si="3"/>
        <v>0.35499999999999998</v>
      </c>
      <c r="BM9" s="26">
        <f t="shared" si="3"/>
        <v>0.36</v>
      </c>
      <c r="BN9" s="26">
        <f t="shared" si="3"/>
        <v>0.36499999999999999</v>
      </c>
      <c r="BO9" s="26">
        <f t="shared" si="4"/>
        <v>0.37</v>
      </c>
      <c r="BP9" s="26">
        <f t="shared" si="4"/>
        <v>0.375</v>
      </c>
      <c r="BQ9" s="26">
        <f t="shared" si="4"/>
        <v>0.38</v>
      </c>
      <c r="BR9" s="26">
        <f t="shared" si="4"/>
        <v>0.38500000000000001</v>
      </c>
      <c r="BS9" s="26">
        <f t="shared" si="4"/>
        <v>0.39</v>
      </c>
      <c r="BT9" s="26">
        <f t="shared" si="4"/>
        <v>0.39500000000000002</v>
      </c>
      <c r="BU9" s="26">
        <f t="shared" si="4"/>
        <v>0.4</v>
      </c>
      <c r="BV9" s="26">
        <f t="shared" si="4"/>
        <v>0.40500000000000003</v>
      </c>
      <c r="BW9" s="26">
        <f t="shared" si="4"/>
        <v>0.41</v>
      </c>
      <c r="BX9" s="26">
        <f t="shared" si="4"/>
        <v>0.41499999999999998</v>
      </c>
      <c r="BY9" s="26">
        <f t="shared" si="4"/>
        <v>0.42</v>
      </c>
      <c r="BZ9" s="26">
        <f t="shared" si="4"/>
        <v>0.42499999999999999</v>
      </c>
      <c r="CA9" s="26">
        <f t="shared" si="4"/>
        <v>0.43</v>
      </c>
      <c r="CB9" s="26">
        <f t="shared" si="4"/>
        <v>0.435</v>
      </c>
      <c r="CC9" s="26">
        <f t="shared" si="4"/>
        <v>0.44</v>
      </c>
      <c r="CD9" s="26">
        <f t="shared" si="4"/>
        <v>0.44500000000000001</v>
      </c>
      <c r="CE9" s="26">
        <f t="shared" si="5"/>
        <v>0.45</v>
      </c>
      <c r="CF9" s="26">
        <f t="shared" si="5"/>
        <v>0.45500000000000002</v>
      </c>
      <c r="CG9" s="26">
        <f t="shared" si="5"/>
        <v>0.46</v>
      </c>
      <c r="CH9" s="26">
        <f t="shared" si="5"/>
        <v>0.46500000000000002</v>
      </c>
      <c r="CI9" s="26">
        <f t="shared" si="5"/>
        <v>0.47</v>
      </c>
      <c r="CJ9" s="26">
        <f t="shared" si="5"/>
        <v>0.47499999999999998</v>
      </c>
      <c r="CK9" s="26">
        <f t="shared" si="5"/>
        <v>0.48</v>
      </c>
      <c r="CL9" s="26">
        <f t="shared" si="5"/>
        <v>0.48499999999999999</v>
      </c>
      <c r="CM9" s="26">
        <f t="shared" si="5"/>
        <v>0.49</v>
      </c>
      <c r="CN9" s="26">
        <f t="shared" si="5"/>
        <v>0.495</v>
      </c>
      <c r="CO9" s="26">
        <f t="shared" si="5"/>
        <v>0.5</v>
      </c>
      <c r="CP9" s="26">
        <f t="shared" si="5"/>
        <v>0.505</v>
      </c>
      <c r="CQ9" s="26">
        <f t="shared" si="5"/>
        <v>0.51</v>
      </c>
      <c r="CR9" s="26">
        <f t="shared" si="5"/>
        <v>0.51500000000000001</v>
      </c>
      <c r="CS9" s="26">
        <f t="shared" si="5"/>
        <v>0.52</v>
      </c>
      <c r="CT9" s="26">
        <f t="shared" si="5"/>
        <v>0.52500000000000002</v>
      </c>
      <c r="CU9" s="26">
        <f t="shared" si="6"/>
        <v>0.53</v>
      </c>
      <c r="CV9" s="26">
        <f t="shared" si="6"/>
        <v>0.53500000000000003</v>
      </c>
      <c r="CW9" s="26">
        <f t="shared" si="6"/>
        <v>0.54</v>
      </c>
    </row>
    <row r="10" spans="2:101" ht="20.100000000000001" customHeight="1">
      <c r="B10" s="26">
        <f t="shared" si="7"/>
        <v>0.05</v>
      </c>
      <c r="C10" s="26">
        <f t="shared" si="0"/>
        <v>5.5E-2</v>
      </c>
      <c r="D10" s="26">
        <f t="shared" si="0"/>
        <v>0.06</v>
      </c>
      <c r="E10" s="26">
        <f t="shared" si="0"/>
        <v>6.5000000000000002E-2</v>
      </c>
      <c r="F10" s="26">
        <f t="shared" si="0"/>
        <v>7.0000000000000007E-2</v>
      </c>
      <c r="G10" s="26">
        <f t="shared" si="0"/>
        <v>7.4999999999999997E-2</v>
      </c>
      <c r="H10" s="26">
        <f t="shared" si="0"/>
        <v>0.08</v>
      </c>
      <c r="I10" s="26">
        <f t="shared" si="0"/>
        <v>8.5000000000000006E-2</v>
      </c>
      <c r="J10" s="26">
        <f t="shared" si="0"/>
        <v>0.09</v>
      </c>
      <c r="K10" s="26">
        <f t="shared" si="0"/>
        <v>9.5000000000000001E-2</v>
      </c>
      <c r="L10" s="26">
        <f t="shared" si="0"/>
        <v>0.1</v>
      </c>
      <c r="M10" s="26">
        <f t="shared" si="0"/>
        <v>0.105</v>
      </c>
      <c r="N10" s="26">
        <f t="shared" si="0"/>
        <v>0.11</v>
      </c>
      <c r="O10" s="26">
        <f t="shared" si="0"/>
        <v>0.115</v>
      </c>
      <c r="P10" s="26">
        <f t="shared" si="0"/>
        <v>0.12</v>
      </c>
      <c r="Q10" s="26">
        <f t="shared" si="0"/>
        <v>0.125</v>
      </c>
      <c r="R10" s="26">
        <f t="shared" si="0"/>
        <v>0.13</v>
      </c>
      <c r="S10" s="26">
        <f t="shared" si="1"/>
        <v>0.13500000000000001</v>
      </c>
      <c r="T10" s="26">
        <f t="shared" si="1"/>
        <v>0.14000000000000001</v>
      </c>
      <c r="U10" s="26">
        <f t="shared" si="1"/>
        <v>0.14499999999999999</v>
      </c>
      <c r="V10" s="26">
        <f t="shared" si="1"/>
        <v>0.15</v>
      </c>
      <c r="W10" s="26">
        <f t="shared" si="1"/>
        <v>0.155</v>
      </c>
      <c r="X10" s="26">
        <f t="shared" si="1"/>
        <v>0.16</v>
      </c>
      <c r="Y10" s="26">
        <f t="shared" si="1"/>
        <v>0.16500000000000001</v>
      </c>
      <c r="Z10" s="26">
        <f t="shared" si="1"/>
        <v>0.17</v>
      </c>
      <c r="AA10" s="26">
        <f t="shared" si="1"/>
        <v>0.17499999999999999</v>
      </c>
      <c r="AB10" s="26">
        <f t="shared" si="1"/>
        <v>0.18</v>
      </c>
      <c r="AC10" s="26">
        <f t="shared" si="1"/>
        <v>0.185</v>
      </c>
      <c r="AD10" s="26">
        <f t="shared" si="1"/>
        <v>0.19</v>
      </c>
      <c r="AE10" s="26">
        <f t="shared" si="1"/>
        <v>0.19500000000000001</v>
      </c>
      <c r="AF10" s="26">
        <f t="shared" si="1"/>
        <v>0.2</v>
      </c>
      <c r="AG10" s="26">
        <f t="shared" si="1"/>
        <v>0.20499999999999999</v>
      </c>
      <c r="AH10" s="26">
        <f t="shared" si="1"/>
        <v>0.21</v>
      </c>
      <c r="AI10" s="26">
        <f t="shared" si="2"/>
        <v>0.215</v>
      </c>
      <c r="AJ10" s="26">
        <f t="shared" si="2"/>
        <v>0.22</v>
      </c>
      <c r="AK10" s="26">
        <f t="shared" si="2"/>
        <v>0.22500000000000001</v>
      </c>
      <c r="AL10" s="26">
        <f t="shared" si="2"/>
        <v>0.23</v>
      </c>
      <c r="AM10" s="26">
        <f t="shared" si="2"/>
        <v>0.23499999999999999</v>
      </c>
      <c r="AN10" s="26">
        <f t="shared" si="2"/>
        <v>0.24</v>
      </c>
      <c r="AO10" s="26">
        <f t="shared" si="2"/>
        <v>0.245</v>
      </c>
      <c r="AP10" s="26">
        <f t="shared" si="2"/>
        <v>0.25</v>
      </c>
      <c r="AQ10" s="26">
        <f t="shared" si="2"/>
        <v>0.255</v>
      </c>
      <c r="AR10" s="26">
        <f t="shared" si="2"/>
        <v>0.26</v>
      </c>
      <c r="AS10" s="26">
        <f t="shared" si="2"/>
        <v>0.26500000000000001</v>
      </c>
      <c r="AT10" s="26">
        <f t="shared" si="2"/>
        <v>0.27</v>
      </c>
      <c r="AU10" s="26">
        <f t="shared" si="2"/>
        <v>0.27500000000000002</v>
      </c>
      <c r="AV10" s="26">
        <f t="shared" si="2"/>
        <v>0.28000000000000003</v>
      </c>
      <c r="AW10" s="26">
        <f t="shared" si="2"/>
        <v>0.28499999999999998</v>
      </c>
      <c r="AX10" s="26">
        <f t="shared" si="2"/>
        <v>0.28999999999999998</v>
      </c>
      <c r="AY10" s="26">
        <f t="shared" si="3"/>
        <v>0.29499999999999998</v>
      </c>
      <c r="AZ10" s="26">
        <f t="shared" si="3"/>
        <v>0.3</v>
      </c>
      <c r="BA10" s="26">
        <f t="shared" si="3"/>
        <v>0.30499999999999999</v>
      </c>
      <c r="BB10" s="26">
        <f t="shared" si="3"/>
        <v>0.31</v>
      </c>
      <c r="BC10" s="26">
        <f t="shared" si="3"/>
        <v>0.315</v>
      </c>
      <c r="BD10" s="26">
        <f t="shared" si="3"/>
        <v>0.32</v>
      </c>
      <c r="BE10" s="26">
        <f t="shared" si="3"/>
        <v>0.32500000000000001</v>
      </c>
      <c r="BF10" s="26">
        <f t="shared" si="3"/>
        <v>0.33</v>
      </c>
      <c r="BG10" s="26">
        <f t="shared" si="3"/>
        <v>0.33500000000000002</v>
      </c>
      <c r="BH10" s="26">
        <f t="shared" si="3"/>
        <v>0.34</v>
      </c>
      <c r="BI10" s="26">
        <f t="shared" si="3"/>
        <v>0.34499999999999997</v>
      </c>
      <c r="BJ10" s="26">
        <f t="shared" si="3"/>
        <v>0.35</v>
      </c>
      <c r="BK10" s="26">
        <f t="shared" si="3"/>
        <v>0.35499999999999998</v>
      </c>
      <c r="BL10" s="26">
        <f t="shared" si="3"/>
        <v>0.36</v>
      </c>
      <c r="BM10" s="26">
        <f t="shared" si="3"/>
        <v>0.36499999999999999</v>
      </c>
      <c r="BN10" s="26">
        <f t="shared" si="3"/>
        <v>0.37</v>
      </c>
      <c r="BO10" s="26">
        <f t="shared" si="4"/>
        <v>0.375</v>
      </c>
      <c r="BP10" s="26">
        <f t="shared" si="4"/>
        <v>0.38</v>
      </c>
      <c r="BQ10" s="26">
        <f t="shared" si="4"/>
        <v>0.38500000000000001</v>
      </c>
      <c r="BR10" s="26">
        <f t="shared" si="4"/>
        <v>0.39</v>
      </c>
      <c r="BS10" s="26">
        <f t="shared" si="4"/>
        <v>0.39500000000000002</v>
      </c>
      <c r="BT10" s="26">
        <f t="shared" si="4"/>
        <v>0.4</v>
      </c>
      <c r="BU10" s="26">
        <f t="shared" si="4"/>
        <v>0.40500000000000003</v>
      </c>
      <c r="BV10" s="26">
        <f t="shared" si="4"/>
        <v>0.41</v>
      </c>
      <c r="BW10" s="26">
        <f t="shared" si="4"/>
        <v>0.41499999999999998</v>
      </c>
      <c r="BX10" s="26">
        <f t="shared" si="4"/>
        <v>0.42</v>
      </c>
      <c r="BY10" s="26">
        <f t="shared" si="4"/>
        <v>0.42499999999999999</v>
      </c>
      <c r="BZ10" s="26">
        <f t="shared" si="4"/>
        <v>0.43</v>
      </c>
      <c r="CA10" s="26">
        <f t="shared" si="4"/>
        <v>0.435</v>
      </c>
      <c r="CB10" s="26">
        <f t="shared" si="4"/>
        <v>0.44</v>
      </c>
      <c r="CC10" s="26">
        <f t="shared" si="4"/>
        <v>0.44500000000000001</v>
      </c>
      <c r="CD10" s="26">
        <f t="shared" si="4"/>
        <v>0.45</v>
      </c>
      <c r="CE10" s="26">
        <f t="shared" si="5"/>
        <v>0.45500000000000002</v>
      </c>
      <c r="CF10" s="26">
        <f t="shared" si="5"/>
        <v>0.46</v>
      </c>
      <c r="CG10" s="26">
        <f t="shared" si="5"/>
        <v>0.46500000000000002</v>
      </c>
      <c r="CH10" s="26">
        <f t="shared" si="5"/>
        <v>0.47</v>
      </c>
      <c r="CI10" s="26">
        <f t="shared" si="5"/>
        <v>0.47499999999999998</v>
      </c>
      <c r="CJ10" s="26">
        <f t="shared" si="5"/>
        <v>0.48</v>
      </c>
      <c r="CK10" s="26">
        <f t="shared" si="5"/>
        <v>0.48499999999999999</v>
      </c>
      <c r="CL10" s="26">
        <f t="shared" si="5"/>
        <v>0.49</v>
      </c>
      <c r="CM10" s="26">
        <f t="shared" si="5"/>
        <v>0.495</v>
      </c>
      <c r="CN10" s="26">
        <f t="shared" si="5"/>
        <v>0.5</v>
      </c>
      <c r="CO10" s="26">
        <f t="shared" si="5"/>
        <v>0.505</v>
      </c>
      <c r="CP10" s="26">
        <f t="shared" si="5"/>
        <v>0.51</v>
      </c>
      <c r="CQ10" s="26">
        <f t="shared" si="5"/>
        <v>0.51500000000000001</v>
      </c>
      <c r="CR10" s="26">
        <f t="shared" si="5"/>
        <v>0.52</v>
      </c>
      <c r="CS10" s="26">
        <f t="shared" si="5"/>
        <v>0.52500000000000002</v>
      </c>
      <c r="CT10" s="26">
        <f t="shared" si="5"/>
        <v>0.53</v>
      </c>
      <c r="CU10" s="26">
        <f t="shared" si="6"/>
        <v>0.53500000000000003</v>
      </c>
      <c r="CV10" s="26">
        <f t="shared" si="6"/>
        <v>0.54</v>
      </c>
      <c r="CW10" s="26">
        <f t="shared" si="6"/>
        <v>0.54500000000000004</v>
      </c>
    </row>
    <row r="11" spans="2:101" ht="20.100000000000001" customHeight="1">
      <c r="B11" s="26">
        <f t="shared" si="7"/>
        <v>5.5E-2</v>
      </c>
      <c r="C11" s="26">
        <f t="shared" si="0"/>
        <v>0.06</v>
      </c>
      <c r="D11" s="26">
        <f t="shared" si="0"/>
        <v>6.5000000000000002E-2</v>
      </c>
      <c r="E11" s="26">
        <f t="shared" si="0"/>
        <v>7.0000000000000007E-2</v>
      </c>
      <c r="F11" s="26">
        <f t="shared" si="0"/>
        <v>7.4999999999999997E-2</v>
      </c>
      <c r="G11" s="26">
        <f t="shared" si="0"/>
        <v>0.08</v>
      </c>
      <c r="H11" s="26">
        <f t="shared" si="0"/>
        <v>8.5000000000000006E-2</v>
      </c>
      <c r="I11" s="26">
        <f t="shared" si="0"/>
        <v>0.09</v>
      </c>
      <c r="J11" s="26">
        <f t="shared" si="0"/>
        <v>9.5000000000000001E-2</v>
      </c>
      <c r="K11" s="26">
        <f t="shared" si="0"/>
        <v>0.1</v>
      </c>
      <c r="L11" s="26">
        <f t="shared" si="0"/>
        <v>0.105</v>
      </c>
      <c r="M11" s="26">
        <f t="shared" si="0"/>
        <v>0.11</v>
      </c>
      <c r="N11" s="26">
        <f t="shared" si="0"/>
        <v>0.115</v>
      </c>
      <c r="O11" s="26">
        <f t="shared" si="0"/>
        <v>0.12</v>
      </c>
      <c r="P11" s="26">
        <f t="shared" si="0"/>
        <v>0.125</v>
      </c>
      <c r="Q11" s="26">
        <f t="shared" si="0"/>
        <v>0.13</v>
      </c>
      <c r="R11" s="26">
        <f t="shared" si="0"/>
        <v>0.13500000000000001</v>
      </c>
      <c r="S11" s="26">
        <f t="shared" si="1"/>
        <v>0.14000000000000001</v>
      </c>
      <c r="T11" s="26">
        <f t="shared" si="1"/>
        <v>0.14499999999999999</v>
      </c>
      <c r="U11" s="26">
        <f t="shared" si="1"/>
        <v>0.15</v>
      </c>
      <c r="V11" s="26">
        <f t="shared" si="1"/>
        <v>0.155</v>
      </c>
      <c r="W11" s="26">
        <f t="shared" si="1"/>
        <v>0.16</v>
      </c>
      <c r="X11" s="26">
        <f t="shared" si="1"/>
        <v>0.16500000000000001</v>
      </c>
      <c r="Y11" s="26">
        <f t="shared" si="1"/>
        <v>0.17</v>
      </c>
      <c r="Z11" s="26">
        <f t="shared" si="1"/>
        <v>0.17499999999999999</v>
      </c>
      <c r="AA11" s="26">
        <f t="shared" si="1"/>
        <v>0.18</v>
      </c>
      <c r="AB11" s="26">
        <f t="shared" si="1"/>
        <v>0.185</v>
      </c>
      <c r="AC11" s="26">
        <f t="shared" si="1"/>
        <v>0.19</v>
      </c>
      <c r="AD11" s="26">
        <f t="shared" si="1"/>
        <v>0.19500000000000001</v>
      </c>
      <c r="AE11" s="26">
        <f t="shared" si="1"/>
        <v>0.2</v>
      </c>
      <c r="AF11" s="26">
        <f t="shared" si="1"/>
        <v>0.20499999999999999</v>
      </c>
      <c r="AG11" s="26">
        <f t="shared" si="1"/>
        <v>0.21</v>
      </c>
      <c r="AH11" s="26">
        <f t="shared" si="1"/>
        <v>0.215</v>
      </c>
      <c r="AI11" s="26">
        <f t="shared" si="2"/>
        <v>0.22</v>
      </c>
      <c r="AJ11" s="26">
        <f t="shared" si="2"/>
        <v>0.22500000000000001</v>
      </c>
      <c r="AK11" s="26">
        <f t="shared" si="2"/>
        <v>0.23</v>
      </c>
      <c r="AL11" s="26">
        <f t="shared" si="2"/>
        <v>0.23499999999999999</v>
      </c>
      <c r="AM11" s="26">
        <f t="shared" si="2"/>
        <v>0.24</v>
      </c>
      <c r="AN11" s="26">
        <f t="shared" si="2"/>
        <v>0.245</v>
      </c>
      <c r="AO11" s="26">
        <f t="shared" si="2"/>
        <v>0.25</v>
      </c>
      <c r="AP11" s="26">
        <f t="shared" si="2"/>
        <v>0.255</v>
      </c>
      <c r="AQ11" s="26">
        <f t="shared" si="2"/>
        <v>0.26</v>
      </c>
      <c r="AR11" s="26">
        <f t="shared" si="2"/>
        <v>0.26500000000000001</v>
      </c>
      <c r="AS11" s="26">
        <f t="shared" si="2"/>
        <v>0.27</v>
      </c>
      <c r="AT11" s="26">
        <f t="shared" si="2"/>
        <v>0.27500000000000002</v>
      </c>
      <c r="AU11" s="26">
        <f t="shared" si="2"/>
        <v>0.28000000000000003</v>
      </c>
      <c r="AV11" s="26">
        <f t="shared" si="2"/>
        <v>0.28499999999999998</v>
      </c>
      <c r="AW11" s="26">
        <f t="shared" si="2"/>
        <v>0.28999999999999998</v>
      </c>
      <c r="AX11" s="26">
        <f t="shared" si="2"/>
        <v>0.29499999999999998</v>
      </c>
      <c r="AY11" s="26">
        <f t="shared" si="3"/>
        <v>0.3</v>
      </c>
      <c r="AZ11" s="26">
        <f t="shared" si="3"/>
        <v>0.30499999999999999</v>
      </c>
      <c r="BA11" s="26">
        <f t="shared" si="3"/>
        <v>0.31</v>
      </c>
      <c r="BB11" s="26">
        <f t="shared" si="3"/>
        <v>0.315</v>
      </c>
      <c r="BC11" s="26">
        <f t="shared" si="3"/>
        <v>0.32</v>
      </c>
      <c r="BD11" s="26">
        <f t="shared" si="3"/>
        <v>0.32500000000000001</v>
      </c>
      <c r="BE11" s="26">
        <f t="shared" si="3"/>
        <v>0.33</v>
      </c>
      <c r="BF11" s="26">
        <f t="shared" si="3"/>
        <v>0.33500000000000002</v>
      </c>
      <c r="BG11" s="26">
        <f t="shared" si="3"/>
        <v>0.34</v>
      </c>
      <c r="BH11" s="26">
        <f t="shared" si="3"/>
        <v>0.34499999999999997</v>
      </c>
      <c r="BI11" s="26">
        <f t="shared" si="3"/>
        <v>0.35</v>
      </c>
      <c r="BJ11" s="26">
        <f t="shared" si="3"/>
        <v>0.35499999999999998</v>
      </c>
      <c r="BK11" s="26">
        <f t="shared" si="3"/>
        <v>0.36</v>
      </c>
      <c r="BL11" s="26">
        <f t="shared" si="3"/>
        <v>0.36499999999999999</v>
      </c>
      <c r="BM11" s="26">
        <f t="shared" si="3"/>
        <v>0.37</v>
      </c>
      <c r="BN11" s="26">
        <f t="shared" si="3"/>
        <v>0.375</v>
      </c>
      <c r="BO11" s="26">
        <f t="shared" si="4"/>
        <v>0.38</v>
      </c>
      <c r="BP11" s="26">
        <f t="shared" si="4"/>
        <v>0.38500000000000001</v>
      </c>
      <c r="BQ11" s="26">
        <f t="shared" si="4"/>
        <v>0.39</v>
      </c>
      <c r="BR11" s="26">
        <f t="shared" si="4"/>
        <v>0.39500000000000002</v>
      </c>
      <c r="BS11" s="26">
        <f t="shared" si="4"/>
        <v>0.4</v>
      </c>
      <c r="BT11" s="26">
        <f t="shared" si="4"/>
        <v>0.40500000000000003</v>
      </c>
      <c r="BU11" s="26">
        <f t="shared" si="4"/>
        <v>0.41</v>
      </c>
      <c r="BV11" s="26">
        <f t="shared" si="4"/>
        <v>0.41499999999999998</v>
      </c>
      <c r="BW11" s="26">
        <f t="shared" si="4"/>
        <v>0.42</v>
      </c>
      <c r="BX11" s="26">
        <f t="shared" si="4"/>
        <v>0.42499999999999999</v>
      </c>
      <c r="BY11" s="26">
        <f t="shared" si="4"/>
        <v>0.43</v>
      </c>
      <c r="BZ11" s="26">
        <f t="shared" si="4"/>
        <v>0.435</v>
      </c>
      <c r="CA11" s="26">
        <f t="shared" si="4"/>
        <v>0.44</v>
      </c>
      <c r="CB11" s="26">
        <f t="shared" si="4"/>
        <v>0.44500000000000001</v>
      </c>
      <c r="CC11" s="26">
        <f t="shared" si="4"/>
        <v>0.45</v>
      </c>
      <c r="CD11" s="26">
        <f t="shared" si="4"/>
        <v>0.45500000000000002</v>
      </c>
      <c r="CE11" s="26">
        <f t="shared" si="5"/>
        <v>0.46</v>
      </c>
      <c r="CF11" s="26">
        <f t="shared" si="5"/>
        <v>0.46500000000000002</v>
      </c>
      <c r="CG11" s="26">
        <f t="shared" si="5"/>
        <v>0.47</v>
      </c>
      <c r="CH11" s="26">
        <f t="shared" si="5"/>
        <v>0.47499999999999998</v>
      </c>
      <c r="CI11" s="26">
        <f t="shared" si="5"/>
        <v>0.48</v>
      </c>
      <c r="CJ11" s="26">
        <f t="shared" si="5"/>
        <v>0.48499999999999999</v>
      </c>
      <c r="CK11" s="26">
        <f t="shared" si="5"/>
        <v>0.49</v>
      </c>
      <c r="CL11" s="26">
        <f t="shared" si="5"/>
        <v>0.495</v>
      </c>
      <c r="CM11" s="26">
        <f t="shared" si="5"/>
        <v>0.5</v>
      </c>
      <c r="CN11" s="26">
        <f t="shared" si="5"/>
        <v>0.505</v>
      </c>
      <c r="CO11" s="26">
        <f t="shared" si="5"/>
        <v>0.51</v>
      </c>
      <c r="CP11" s="26">
        <f t="shared" si="5"/>
        <v>0.51500000000000001</v>
      </c>
      <c r="CQ11" s="26">
        <f t="shared" si="5"/>
        <v>0.52</v>
      </c>
      <c r="CR11" s="26">
        <f t="shared" si="5"/>
        <v>0.52500000000000002</v>
      </c>
      <c r="CS11" s="26">
        <f t="shared" si="5"/>
        <v>0.53</v>
      </c>
      <c r="CT11" s="26">
        <f t="shared" si="5"/>
        <v>0.53500000000000003</v>
      </c>
      <c r="CU11" s="26">
        <f t="shared" si="6"/>
        <v>0.54</v>
      </c>
      <c r="CV11" s="26">
        <f t="shared" si="6"/>
        <v>0.54500000000000004</v>
      </c>
      <c r="CW11" s="26">
        <f t="shared" si="6"/>
        <v>0.55000000000000004</v>
      </c>
    </row>
    <row r="12" spans="2:101" ht="20.100000000000001" customHeight="1">
      <c r="B12" s="26">
        <f t="shared" si="7"/>
        <v>0.06</v>
      </c>
      <c r="C12" s="26">
        <f t="shared" si="0"/>
        <v>6.5000000000000002E-2</v>
      </c>
      <c r="D12" s="26">
        <f t="shared" si="0"/>
        <v>7.0000000000000007E-2</v>
      </c>
      <c r="E12" s="26">
        <f t="shared" si="0"/>
        <v>7.4999999999999997E-2</v>
      </c>
      <c r="F12" s="26">
        <f t="shared" si="0"/>
        <v>0.08</v>
      </c>
      <c r="G12" s="26">
        <f t="shared" si="0"/>
        <v>8.5000000000000006E-2</v>
      </c>
      <c r="H12" s="26">
        <f t="shared" si="0"/>
        <v>0.09</v>
      </c>
      <c r="I12" s="26">
        <f t="shared" si="0"/>
        <v>9.5000000000000001E-2</v>
      </c>
      <c r="J12" s="26">
        <f t="shared" si="0"/>
        <v>0.1</v>
      </c>
      <c r="K12" s="26">
        <f t="shared" si="0"/>
        <v>0.105</v>
      </c>
      <c r="L12" s="26">
        <f t="shared" si="0"/>
        <v>0.11</v>
      </c>
      <c r="M12" s="26">
        <f t="shared" si="0"/>
        <v>0.115</v>
      </c>
      <c r="N12" s="26">
        <f t="shared" si="0"/>
        <v>0.12</v>
      </c>
      <c r="O12" s="26">
        <f t="shared" si="0"/>
        <v>0.125</v>
      </c>
      <c r="P12" s="26">
        <f t="shared" si="0"/>
        <v>0.13</v>
      </c>
      <c r="Q12" s="26">
        <f t="shared" si="0"/>
        <v>0.13500000000000001</v>
      </c>
      <c r="R12" s="26">
        <f t="shared" si="0"/>
        <v>0.14000000000000001</v>
      </c>
      <c r="S12" s="26">
        <f t="shared" si="1"/>
        <v>0.14499999999999999</v>
      </c>
      <c r="T12" s="26">
        <f t="shared" si="1"/>
        <v>0.15</v>
      </c>
      <c r="U12" s="26">
        <f t="shared" si="1"/>
        <v>0.155</v>
      </c>
      <c r="V12" s="26">
        <f t="shared" si="1"/>
        <v>0.16</v>
      </c>
      <c r="W12" s="26">
        <f t="shared" si="1"/>
        <v>0.16500000000000001</v>
      </c>
      <c r="X12" s="26">
        <f t="shared" si="1"/>
        <v>0.17</v>
      </c>
      <c r="Y12" s="26">
        <f t="shared" si="1"/>
        <v>0.17499999999999999</v>
      </c>
      <c r="Z12" s="26">
        <f t="shared" si="1"/>
        <v>0.18</v>
      </c>
      <c r="AA12" s="26">
        <f t="shared" si="1"/>
        <v>0.185</v>
      </c>
      <c r="AB12" s="26">
        <f t="shared" si="1"/>
        <v>0.19</v>
      </c>
      <c r="AC12" s="26">
        <f t="shared" si="1"/>
        <v>0.19500000000000001</v>
      </c>
      <c r="AD12" s="26">
        <f t="shared" si="1"/>
        <v>0.2</v>
      </c>
      <c r="AE12" s="26">
        <f t="shared" si="1"/>
        <v>0.20499999999999999</v>
      </c>
      <c r="AF12" s="26">
        <f t="shared" si="1"/>
        <v>0.21</v>
      </c>
      <c r="AG12" s="26">
        <f t="shared" si="1"/>
        <v>0.215</v>
      </c>
      <c r="AH12" s="26">
        <f t="shared" si="1"/>
        <v>0.22</v>
      </c>
      <c r="AI12" s="26">
        <f t="shared" si="2"/>
        <v>0.22500000000000001</v>
      </c>
      <c r="AJ12" s="26">
        <f t="shared" si="2"/>
        <v>0.23</v>
      </c>
      <c r="AK12" s="26">
        <f t="shared" si="2"/>
        <v>0.23499999999999999</v>
      </c>
      <c r="AL12" s="26">
        <f t="shared" si="2"/>
        <v>0.24</v>
      </c>
      <c r="AM12" s="26">
        <f t="shared" si="2"/>
        <v>0.245</v>
      </c>
      <c r="AN12" s="26">
        <f t="shared" si="2"/>
        <v>0.25</v>
      </c>
      <c r="AO12" s="26">
        <f t="shared" si="2"/>
        <v>0.255</v>
      </c>
      <c r="AP12" s="26">
        <f t="shared" si="2"/>
        <v>0.26</v>
      </c>
      <c r="AQ12" s="26">
        <f t="shared" si="2"/>
        <v>0.26500000000000001</v>
      </c>
      <c r="AR12" s="26">
        <f t="shared" si="2"/>
        <v>0.27</v>
      </c>
      <c r="AS12" s="26">
        <f t="shared" si="2"/>
        <v>0.27500000000000002</v>
      </c>
      <c r="AT12" s="26">
        <f t="shared" si="2"/>
        <v>0.28000000000000003</v>
      </c>
      <c r="AU12" s="26">
        <f t="shared" si="2"/>
        <v>0.28499999999999998</v>
      </c>
      <c r="AV12" s="26">
        <f t="shared" si="2"/>
        <v>0.28999999999999998</v>
      </c>
      <c r="AW12" s="26">
        <f t="shared" si="2"/>
        <v>0.29499999999999998</v>
      </c>
      <c r="AX12" s="26">
        <f t="shared" si="2"/>
        <v>0.3</v>
      </c>
      <c r="AY12" s="26">
        <f t="shared" si="3"/>
        <v>0.30499999999999999</v>
      </c>
      <c r="AZ12" s="26">
        <f t="shared" si="3"/>
        <v>0.31</v>
      </c>
      <c r="BA12" s="26">
        <f t="shared" si="3"/>
        <v>0.315</v>
      </c>
      <c r="BB12" s="26">
        <f t="shared" si="3"/>
        <v>0.32</v>
      </c>
      <c r="BC12" s="26">
        <f t="shared" si="3"/>
        <v>0.32500000000000001</v>
      </c>
      <c r="BD12" s="26">
        <f t="shared" si="3"/>
        <v>0.33</v>
      </c>
      <c r="BE12" s="26">
        <f t="shared" si="3"/>
        <v>0.33500000000000002</v>
      </c>
      <c r="BF12" s="26">
        <f t="shared" si="3"/>
        <v>0.34</v>
      </c>
      <c r="BG12" s="26">
        <f t="shared" si="3"/>
        <v>0.34499999999999997</v>
      </c>
      <c r="BH12" s="26">
        <f t="shared" si="3"/>
        <v>0.35</v>
      </c>
      <c r="BI12" s="26">
        <f t="shared" si="3"/>
        <v>0.35499999999999998</v>
      </c>
      <c r="BJ12" s="26">
        <f t="shared" si="3"/>
        <v>0.36</v>
      </c>
      <c r="BK12" s="26">
        <f t="shared" si="3"/>
        <v>0.36499999999999999</v>
      </c>
      <c r="BL12" s="26">
        <f t="shared" si="3"/>
        <v>0.37</v>
      </c>
      <c r="BM12" s="26">
        <f t="shared" si="3"/>
        <v>0.375</v>
      </c>
      <c r="BN12" s="26">
        <f t="shared" si="3"/>
        <v>0.38</v>
      </c>
      <c r="BO12" s="26">
        <f t="shared" si="4"/>
        <v>0.38500000000000001</v>
      </c>
      <c r="BP12" s="26">
        <f t="shared" si="4"/>
        <v>0.39</v>
      </c>
      <c r="BQ12" s="26">
        <f t="shared" si="4"/>
        <v>0.39500000000000002</v>
      </c>
      <c r="BR12" s="26">
        <f t="shared" si="4"/>
        <v>0.4</v>
      </c>
      <c r="BS12" s="26">
        <f t="shared" si="4"/>
        <v>0.40500000000000003</v>
      </c>
      <c r="BT12" s="26">
        <f t="shared" si="4"/>
        <v>0.41</v>
      </c>
      <c r="BU12" s="26">
        <f t="shared" si="4"/>
        <v>0.41499999999999998</v>
      </c>
      <c r="BV12" s="26">
        <f t="shared" si="4"/>
        <v>0.42</v>
      </c>
      <c r="BW12" s="26">
        <f t="shared" si="4"/>
        <v>0.42499999999999999</v>
      </c>
      <c r="BX12" s="26">
        <f t="shared" si="4"/>
        <v>0.43</v>
      </c>
      <c r="BY12" s="26">
        <f t="shared" si="4"/>
        <v>0.435</v>
      </c>
      <c r="BZ12" s="26">
        <f t="shared" si="4"/>
        <v>0.44</v>
      </c>
      <c r="CA12" s="26">
        <f t="shared" si="4"/>
        <v>0.44500000000000001</v>
      </c>
      <c r="CB12" s="26">
        <f t="shared" si="4"/>
        <v>0.45</v>
      </c>
      <c r="CC12" s="26">
        <f t="shared" si="4"/>
        <v>0.45500000000000002</v>
      </c>
      <c r="CD12" s="26">
        <f t="shared" si="4"/>
        <v>0.46</v>
      </c>
      <c r="CE12" s="26">
        <f t="shared" si="5"/>
        <v>0.46500000000000002</v>
      </c>
      <c r="CF12" s="26">
        <f t="shared" si="5"/>
        <v>0.47</v>
      </c>
      <c r="CG12" s="26">
        <f t="shared" si="5"/>
        <v>0.47499999999999998</v>
      </c>
      <c r="CH12" s="26">
        <f t="shared" si="5"/>
        <v>0.48</v>
      </c>
      <c r="CI12" s="26">
        <f t="shared" si="5"/>
        <v>0.48499999999999999</v>
      </c>
      <c r="CJ12" s="26">
        <f t="shared" si="5"/>
        <v>0.49</v>
      </c>
      <c r="CK12" s="26">
        <f t="shared" si="5"/>
        <v>0.495</v>
      </c>
      <c r="CL12" s="26">
        <f t="shared" si="5"/>
        <v>0.5</v>
      </c>
      <c r="CM12" s="26">
        <f t="shared" si="5"/>
        <v>0.505</v>
      </c>
      <c r="CN12" s="26">
        <f t="shared" si="5"/>
        <v>0.51</v>
      </c>
      <c r="CO12" s="26">
        <f t="shared" si="5"/>
        <v>0.51500000000000001</v>
      </c>
      <c r="CP12" s="26">
        <f t="shared" si="5"/>
        <v>0.52</v>
      </c>
      <c r="CQ12" s="26">
        <f t="shared" si="5"/>
        <v>0.52500000000000002</v>
      </c>
      <c r="CR12" s="26">
        <f t="shared" si="5"/>
        <v>0.53</v>
      </c>
      <c r="CS12" s="26">
        <f t="shared" si="5"/>
        <v>0.53500000000000003</v>
      </c>
      <c r="CT12" s="26">
        <f t="shared" si="5"/>
        <v>0.54</v>
      </c>
      <c r="CU12" s="26">
        <f t="shared" si="6"/>
        <v>0.54500000000000004</v>
      </c>
      <c r="CV12" s="26">
        <f t="shared" si="6"/>
        <v>0.55000000000000004</v>
      </c>
      <c r="CW12" s="26">
        <f t="shared" si="6"/>
        <v>0.55500000000000005</v>
      </c>
    </row>
    <row r="13" spans="2:101" ht="20.100000000000001" customHeight="1">
      <c r="B13" s="26">
        <f t="shared" si="7"/>
        <v>6.5000000000000002E-2</v>
      </c>
      <c r="C13" s="26">
        <f t="shared" si="0"/>
        <v>7.0000000000000007E-2</v>
      </c>
      <c r="D13" s="26">
        <f t="shared" si="0"/>
        <v>7.4999999999999997E-2</v>
      </c>
      <c r="E13" s="26">
        <f t="shared" si="0"/>
        <v>0.08</v>
      </c>
      <c r="F13" s="26">
        <f t="shared" si="0"/>
        <v>8.5000000000000006E-2</v>
      </c>
      <c r="G13" s="26">
        <f t="shared" si="0"/>
        <v>0.09</v>
      </c>
      <c r="H13" s="26">
        <f t="shared" si="0"/>
        <v>9.5000000000000001E-2</v>
      </c>
      <c r="I13" s="26">
        <f t="shared" si="0"/>
        <v>0.1</v>
      </c>
      <c r="J13" s="26">
        <f t="shared" si="0"/>
        <v>0.105</v>
      </c>
      <c r="K13" s="26">
        <f t="shared" si="0"/>
        <v>0.11</v>
      </c>
      <c r="L13" s="26">
        <f t="shared" si="0"/>
        <v>0.115</v>
      </c>
      <c r="M13" s="26">
        <f t="shared" si="0"/>
        <v>0.12</v>
      </c>
      <c r="N13" s="26">
        <f t="shared" si="0"/>
        <v>0.125</v>
      </c>
      <c r="O13" s="26">
        <f t="shared" si="0"/>
        <v>0.13</v>
      </c>
      <c r="P13" s="26">
        <f t="shared" si="0"/>
        <v>0.13500000000000001</v>
      </c>
      <c r="Q13" s="26">
        <f t="shared" si="0"/>
        <v>0.14000000000000001</v>
      </c>
      <c r="R13" s="26">
        <f t="shared" si="0"/>
        <v>0.14499999999999999</v>
      </c>
      <c r="S13" s="26">
        <f t="shared" si="1"/>
        <v>0.15</v>
      </c>
      <c r="T13" s="26">
        <f t="shared" si="1"/>
        <v>0.155</v>
      </c>
      <c r="U13" s="26">
        <f t="shared" si="1"/>
        <v>0.16</v>
      </c>
      <c r="V13" s="26">
        <f t="shared" si="1"/>
        <v>0.16500000000000001</v>
      </c>
      <c r="W13" s="26">
        <f t="shared" si="1"/>
        <v>0.17</v>
      </c>
      <c r="X13" s="26">
        <f t="shared" si="1"/>
        <v>0.17499999999999999</v>
      </c>
      <c r="Y13" s="26">
        <f t="shared" si="1"/>
        <v>0.18</v>
      </c>
      <c r="Z13" s="26">
        <f t="shared" si="1"/>
        <v>0.185</v>
      </c>
      <c r="AA13" s="26">
        <f t="shared" si="1"/>
        <v>0.19</v>
      </c>
      <c r="AB13" s="26">
        <f t="shared" si="1"/>
        <v>0.19500000000000001</v>
      </c>
      <c r="AC13" s="26">
        <f t="shared" si="1"/>
        <v>0.2</v>
      </c>
      <c r="AD13" s="26">
        <f t="shared" si="1"/>
        <v>0.20499999999999999</v>
      </c>
      <c r="AE13" s="26">
        <f t="shared" si="1"/>
        <v>0.21</v>
      </c>
      <c r="AF13" s="26">
        <f t="shared" si="1"/>
        <v>0.215</v>
      </c>
      <c r="AG13" s="26">
        <f t="shared" si="1"/>
        <v>0.22</v>
      </c>
      <c r="AH13" s="26">
        <f t="shared" si="1"/>
        <v>0.22500000000000001</v>
      </c>
      <c r="AI13" s="26">
        <f t="shared" si="2"/>
        <v>0.23</v>
      </c>
      <c r="AJ13" s="26">
        <f t="shared" si="2"/>
        <v>0.23499999999999999</v>
      </c>
      <c r="AK13" s="26">
        <f t="shared" si="2"/>
        <v>0.24</v>
      </c>
      <c r="AL13" s="26">
        <f t="shared" si="2"/>
        <v>0.245</v>
      </c>
      <c r="AM13" s="26">
        <f t="shared" si="2"/>
        <v>0.25</v>
      </c>
      <c r="AN13" s="26">
        <f t="shared" si="2"/>
        <v>0.255</v>
      </c>
      <c r="AO13" s="26">
        <f t="shared" si="2"/>
        <v>0.26</v>
      </c>
      <c r="AP13" s="26">
        <f t="shared" si="2"/>
        <v>0.26500000000000001</v>
      </c>
      <c r="AQ13" s="26">
        <f t="shared" si="2"/>
        <v>0.27</v>
      </c>
      <c r="AR13" s="26">
        <f t="shared" si="2"/>
        <v>0.27500000000000002</v>
      </c>
      <c r="AS13" s="26">
        <f t="shared" si="2"/>
        <v>0.28000000000000003</v>
      </c>
      <c r="AT13" s="26">
        <f t="shared" si="2"/>
        <v>0.28499999999999998</v>
      </c>
      <c r="AU13" s="26">
        <f t="shared" si="2"/>
        <v>0.28999999999999998</v>
      </c>
      <c r="AV13" s="26">
        <f t="shared" si="2"/>
        <v>0.29499999999999998</v>
      </c>
      <c r="AW13" s="26">
        <f t="shared" si="2"/>
        <v>0.3</v>
      </c>
      <c r="AX13" s="26">
        <f t="shared" si="2"/>
        <v>0.30499999999999999</v>
      </c>
      <c r="AY13" s="26">
        <f t="shared" si="3"/>
        <v>0.31</v>
      </c>
      <c r="AZ13" s="26">
        <f t="shared" si="3"/>
        <v>0.315</v>
      </c>
      <c r="BA13" s="26">
        <f t="shared" si="3"/>
        <v>0.32</v>
      </c>
      <c r="BB13" s="26">
        <f t="shared" si="3"/>
        <v>0.32500000000000001</v>
      </c>
      <c r="BC13" s="26">
        <f t="shared" si="3"/>
        <v>0.33</v>
      </c>
      <c r="BD13" s="26">
        <f t="shared" si="3"/>
        <v>0.33500000000000002</v>
      </c>
      <c r="BE13" s="26">
        <f t="shared" si="3"/>
        <v>0.34</v>
      </c>
      <c r="BF13" s="26">
        <f t="shared" si="3"/>
        <v>0.34499999999999997</v>
      </c>
      <c r="BG13" s="26">
        <f t="shared" si="3"/>
        <v>0.35</v>
      </c>
      <c r="BH13" s="26">
        <f t="shared" si="3"/>
        <v>0.35499999999999998</v>
      </c>
      <c r="BI13" s="26">
        <f t="shared" si="3"/>
        <v>0.36</v>
      </c>
      <c r="BJ13" s="26">
        <f t="shared" si="3"/>
        <v>0.36499999999999999</v>
      </c>
      <c r="BK13" s="26">
        <f t="shared" si="3"/>
        <v>0.37</v>
      </c>
      <c r="BL13" s="26">
        <f t="shared" si="3"/>
        <v>0.375</v>
      </c>
      <c r="BM13" s="26">
        <f t="shared" si="3"/>
        <v>0.38</v>
      </c>
      <c r="BN13" s="26">
        <f t="shared" si="3"/>
        <v>0.38500000000000001</v>
      </c>
      <c r="BO13" s="26">
        <f t="shared" si="4"/>
        <v>0.39</v>
      </c>
      <c r="BP13" s="26">
        <f t="shared" si="4"/>
        <v>0.39500000000000002</v>
      </c>
      <c r="BQ13" s="26">
        <f t="shared" si="4"/>
        <v>0.4</v>
      </c>
      <c r="BR13" s="26">
        <f t="shared" si="4"/>
        <v>0.40500000000000003</v>
      </c>
      <c r="BS13" s="26">
        <f t="shared" si="4"/>
        <v>0.41</v>
      </c>
      <c r="BT13" s="26">
        <f t="shared" si="4"/>
        <v>0.41499999999999998</v>
      </c>
      <c r="BU13" s="26">
        <f t="shared" si="4"/>
        <v>0.42</v>
      </c>
      <c r="BV13" s="26">
        <f t="shared" si="4"/>
        <v>0.42499999999999999</v>
      </c>
      <c r="BW13" s="26">
        <f t="shared" si="4"/>
        <v>0.43</v>
      </c>
      <c r="BX13" s="26">
        <f t="shared" si="4"/>
        <v>0.435</v>
      </c>
      <c r="BY13" s="26">
        <f t="shared" si="4"/>
        <v>0.44</v>
      </c>
      <c r="BZ13" s="26">
        <f t="shared" si="4"/>
        <v>0.44500000000000001</v>
      </c>
      <c r="CA13" s="26">
        <f t="shared" si="4"/>
        <v>0.45</v>
      </c>
      <c r="CB13" s="26">
        <f t="shared" si="4"/>
        <v>0.45500000000000002</v>
      </c>
      <c r="CC13" s="26">
        <f t="shared" si="4"/>
        <v>0.46</v>
      </c>
      <c r="CD13" s="26">
        <f t="shared" si="4"/>
        <v>0.46500000000000002</v>
      </c>
      <c r="CE13" s="26">
        <f t="shared" si="5"/>
        <v>0.47</v>
      </c>
      <c r="CF13" s="26">
        <f t="shared" si="5"/>
        <v>0.47499999999999998</v>
      </c>
      <c r="CG13" s="26">
        <f t="shared" si="5"/>
        <v>0.48</v>
      </c>
      <c r="CH13" s="26">
        <f t="shared" si="5"/>
        <v>0.48499999999999999</v>
      </c>
      <c r="CI13" s="26">
        <f t="shared" si="5"/>
        <v>0.49</v>
      </c>
      <c r="CJ13" s="26">
        <f t="shared" si="5"/>
        <v>0.495</v>
      </c>
      <c r="CK13" s="26">
        <f t="shared" si="5"/>
        <v>0.5</v>
      </c>
      <c r="CL13" s="26">
        <f t="shared" si="5"/>
        <v>0.505</v>
      </c>
      <c r="CM13" s="26">
        <f t="shared" si="5"/>
        <v>0.51</v>
      </c>
      <c r="CN13" s="26">
        <f t="shared" si="5"/>
        <v>0.51500000000000001</v>
      </c>
      <c r="CO13" s="26">
        <f t="shared" si="5"/>
        <v>0.52</v>
      </c>
      <c r="CP13" s="26">
        <f t="shared" si="5"/>
        <v>0.52500000000000002</v>
      </c>
      <c r="CQ13" s="26">
        <f t="shared" si="5"/>
        <v>0.53</v>
      </c>
      <c r="CR13" s="26">
        <f t="shared" si="5"/>
        <v>0.53500000000000003</v>
      </c>
      <c r="CS13" s="26">
        <f t="shared" si="5"/>
        <v>0.54</v>
      </c>
      <c r="CT13" s="26">
        <f t="shared" si="5"/>
        <v>0.54500000000000004</v>
      </c>
      <c r="CU13" s="26">
        <f t="shared" si="6"/>
        <v>0.55000000000000004</v>
      </c>
      <c r="CV13" s="26">
        <f t="shared" si="6"/>
        <v>0.55500000000000005</v>
      </c>
      <c r="CW13" s="26">
        <f t="shared" si="6"/>
        <v>0.56000000000000005</v>
      </c>
    </row>
    <row r="14" spans="2:101" ht="20.100000000000001" customHeight="1">
      <c r="B14" s="26">
        <f t="shared" si="7"/>
        <v>7.0000000000000007E-2</v>
      </c>
      <c r="C14" s="26">
        <f t="shared" si="0"/>
        <v>7.4999999999999997E-2</v>
      </c>
      <c r="D14" s="26">
        <f t="shared" si="0"/>
        <v>0.08</v>
      </c>
      <c r="E14" s="26">
        <f t="shared" si="0"/>
        <v>8.5000000000000006E-2</v>
      </c>
      <c r="F14" s="26">
        <f t="shared" si="0"/>
        <v>0.09</v>
      </c>
      <c r="G14" s="26">
        <f t="shared" si="0"/>
        <v>9.5000000000000001E-2</v>
      </c>
      <c r="H14" s="26">
        <f t="shared" si="0"/>
        <v>0.1</v>
      </c>
      <c r="I14" s="26">
        <f t="shared" si="0"/>
        <v>0.105</v>
      </c>
      <c r="J14" s="26">
        <f t="shared" si="0"/>
        <v>0.11</v>
      </c>
      <c r="K14" s="26">
        <f t="shared" si="0"/>
        <v>0.115</v>
      </c>
      <c r="L14" s="26">
        <f t="shared" si="0"/>
        <v>0.12</v>
      </c>
      <c r="M14" s="26">
        <f t="shared" si="0"/>
        <v>0.125</v>
      </c>
      <c r="N14" s="26">
        <f t="shared" si="0"/>
        <v>0.13</v>
      </c>
      <c r="O14" s="26">
        <f t="shared" si="0"/>
        <v>0.13500000000000001</v>
      </c>
      <c r="P14" s="26">
        <f t="shared" si="0"/>
        <v>0.14000000000000001</v>
      </c>
      <c r="Q14" s="26">
        <f t="shared" si="0"/>
        <v>0.14499999999999999</v>
      </c>
      <c r="R14" s="26">
        <f t="shared" si="0"/>
        <v>0.15</v>
      </c>
      <c r="S14" s="26">
        <f t="shared" si="1"/>
        <v>0.155</v>
      </c>
      <c r="T14" s="26">
        <f t="shared" si="1"/>
        <v>0.16</v>
      </c>
      <c r="U14" s="26">
        <f t="shared" si="1"/>
        <v>0.16500000000000001</v>
      </c>
      <c r="V14" s="26">
        <f t="shared" si="1"/>
        <v>0.17</v>
      </c>
      <c r="W14" s="26">
        <f t="shared" si="1"/>
        <v>0.17499999999999999</v>
      </c>
      <c r="X14" s="26">
        <f t="shared" si="1"/>
        <v>0.18</v>
      </c>
      <c r="Y14" s="26">
        <f t="shared" si="1"/>
        <v>0.185</v>
      </c>
      <c r="Z14" s="26">
        <f t="shared" si="1"/>
        <v>0.19</v>
      </c>
      <c r="AA14" s="26">
        <f t="shared" si="1"/>
        <v>0.19500000000000001</v>
      </c>
      <c r="AB14" s="26">
        <f t="shared" si="1"/>
        <v>0.2</v>
      </c>
      <c r="AC14" s="26">
        <f t="shared" si="1"/>
        <v>0.20499999999999999</v>
      </c>
      <c r="AD14" s="26">
        <f t="shared" si="1"/>
        <v>0.21</v>
      </c>
      <c r="AE14" s="26">
        <f t="shared" si="1"/>
        <v>0.215</v>
      </c>
      <c r="AF14" s="26">
        <f t="shared" si="1"/>
        <v>0.22</v>
      </c>
      <c r="AG14" s="26">
        <f t="shared" si="1"/>
        <v>0.22500000000000001</v>
      </c>
      <c r="AH14" s="26">
        <f t="shared" si="1"/>
        <v>0.23</v>
      </c>
      <c r="AI14" s="26">
        <f t="shared" si="2"/>
        <v>0.23499999999999999</v>
      </c>
      <c r="AJ14" s="26">
        <f t="shared" si="2"/>
        <v>0.24</v>
      </c>
      <c r="AK14" s="26">
        <f t="shared" si="2"/>
        <v>0.245</v>
      </c>
      <c r="AL14" s="26">
        <f t="shared" si="2"/>
        <v>0.25</v>
      </c>
      <c r="AM14" s="26">
        <f t="shared" si="2"/>
        <v>0.255</v>
      </c>
      <c r="AN14" s="26">
        <f t="shared" si="2"/>
        <v>0.26</v>
      </c>
      <c r="AO14" s="26">
        <f t="shared" si="2"/>
        <v>0.26500000000000001</v>
      </c>
      <c r="AP14" s="26">
        <f t="shared" si="2"/>
        <v>0.27</v>
      </c>
      <c r="AQ14" s="26">
        <f t="shared" si="2"/>
        <v>0.27500000000000002</v>
      </c>
      <c r="AR14" s="26">
        <f t="shared" si="2"/>
        <v>0.28000000000000003</v>
      </c>
      <c r="AS14" s="26">
        <f t="shared" si="2"/>
        <v>0.28499999999999998</v>
      </c>
      <c r="AT14" s="26">
        <f t="shared" si="2"/>
        <v>0.28999999999999998</v>
      </c>
      <c r="AU14" s="26">
        <f t="shared" si="2"/>
        <v>0.29499999999999998</v>
      </c>
      <c r="AV14" s="26">
        <f t="shared" si="2"/>
        <v>0.3</v>
      </c>
      <c r="AW14" s="26">
        <f t="shared" si="2"/>
        <v>0.30499999999999999</v>
      </c>
      <c r="AX14" s="26">
        <f t="shared" si="2"/>
        <v>0.31</v>
      </c>
      <c r="AY14" s="26">
        <f t="shared" si="3"/>
        <v>0.315</v>
      </c>
      <c r="AZ14" s="26">
        <f t="shared" si="3"/>
        <v>0.32</v>
      </c>
      <c r="BA14" s="26">
        <f t="shared" si="3"/>
        <v>0.32500000000000001</v>
      </c>
      <c r="BB14" s="26">
        <f t="shared" si="3"/>
        <v>0.33</v>
      </c>
      <c r="BC14" s="26">
        <f t="shared" si="3"/>
        <v>0.33500000000000002</v>
      </c>
      <c r="BD14" s="26">
        <f t="shared" si="3"/>
        <v>0.34</v>
      </c>
      <c r="BE14" s="26">
        <f t="shared" si="3"/>
        <v>0.34499999999999997</v>
      </c>
      <c r="BF14" s="26">
        <f t="shared" si="3"/>
        <v>0.35</v>
      </c>
      <c r="BG14" s="26">
        <f t="shared" si="3"/>
        <v>0.35499999999999998</v>
      </c>
      <c r="BH14" s="26">
        <f t="shared" si="3"/>
        <v>0.36</v>
      </c>
      <c r="BI14" s="26">
        <f t="shared" si="3"/>
        <v>0.36499999999999999</v>
      </c>
      <c r="BJ14" s="26">
        <f t="shared" si="3"/>
        <v>0.37</v>
      </c>
      <c r="BK14" s="26">
        <f t="shared" si="3"/>
        <v>0.375</v>
      </c>
      <c r="BL14" s="26">
        <f t="shared" si="3"/>
        <v>0.38</v>
      </c>
      <c r="BM14" s="26">
        <f t="shared" si="3"/>
        <v>0.38500000000000001</v>
      </c>
      <c r="BN14" s="26">
        <f t="shared" si="3"/>
        <v>0.39</v>
      </c>
      <c r="BO14" s="26">
        <f t="shared" si="4"/>
        <v>0.39500000000000002</v>
      </c>
      <c r="BP14" s="26">
        <f t="shared" si="4"/>
        <v>0.4</v>
      </c>
      <c r="BQ14" s="26">
        <f t="shared" si="4"/>
        <v>0.40500000000000003</v>
      </c>
      <c r="BR14" s="26">
        <f t="shared" si="4"/>
        <v>0.41</v>
      </c>
      <c r="BS14" s="26">
        <f t="shared" si="4"/>
        <v>0.41499999999999998</v>
      </c>
      <c r="BT14" s="26">
        <f t="shared" si="4"/>
        <v>0.42</v>
      </c>
      <c r="BU14" s="26">
        <f t="shared" si="4"/>
        <v>0.42499999999999999</v>
      </c>
      <c r="BV14" s="26">
        <f t="shared" si="4"/>
        <v>0.43</v>
      </c>
      <c r="BW14" s="26">
        <f t="shared" si="4"/>
        <v>0.435</v>
      </c>
      <c r="BX14" s="26">
        <f t="shared" si="4"/>
        <v>0.44</v>
      </c>
      <c r="BY14" s="26">
        <f t="shared" si="4"/>
        <v>0.44500000000000001</v>
      </c>
      <c r="BZ14" s="26">
        <f t="shared" si="4"/>
        <v>0.45</v>
      </c>
      <c r="CA14" s="26">
        <f t="shared" si="4"/>
        <v>0.45500000000000002</v>
      </c>
      <c r="CB14" s="26">
        <f t="shared" si="4"/>
        <v>0.46</v>
      </c>
      <c r="CC14" s="26">
        <f t="shared" si="4"/>
        <v>0.46500000000000002</v>
      </c>
      <c r="CD14" s="26">
        <f t="shared" si="4"/>
        <v>0.47</v>
      </c>
      <c r="CE14" s="26">
        <f t="shared" si="5"/>
        <v>0.47499999999999998</v>
      </c>
      <c r="CF14" s="26">
        <f t="shared" si="5"/>
        <v>0.48</v>
      </c>
      <c r="CG14" s="26">
        <f t="shared" si="5"/>
        <v>0.48499999999999999</v>
      </c>
      <c r="CH14" s="26">
        <f t="shared" si="5"/>
        <v>0.49</v>
      </c>
      <c r="CI14" s="26">
        <f t="shared" si="5"/>
        <v>0.495</v>
      </c>
      <c r="CJ14" s="26">
        <f t="shared" si="5"/>
        <v>0.5</v>
      </c>
      <c r="CK14" s="26">
        <f t="shared" si="5"/>
        <v>0.505</v>
      </c>
      <c r="CL14" s="26">
        <f t="shared" si="5"/>
        <v>0.51</v>
      </c>
      <c r="CM14" s="26">
        <f t="shared" si="5"/>
        <v>0.51500000000000001</v>
      </c>
      <c r="CN14" s="26">
        <f t="shared" si="5"/>
        <v>0.52</v>
      </c>
      <c r="CO14" s="26">
        <f t="shared" si="5"/>
        <v>0.52500000000000002</v>
      </c>
      <c r="CP14" s="26">
        <f t="shared" si="5"/>
        <v>0.53</v>
      </c>
      <c r="CQ14" s="26">
        <f t="shared" si="5"/>
        <v>0.53500000000000003</v>
      </c>
      <c r="CR14" s="26">
        <f t="shared" si="5"/>
        <v>0.54</v>
      </c>
      <c r="CS14" s="26">
        <f t="shared" si="5"/>
        <v>0.54500000000000004</v>
      </c>
      <c r="CT14" s="26">
        <f t="shared" si="5"/>
        <v>0.55000000000000004</v>
      </c>
      <c r="CU14" s="26">
        <f t="shared" si="6"/>
        <v>0.55500000000000005</v>
      </c>
      <c r="CV14" s="26">
        <f t="shared" si="6"/>
        <v>0.56000000000000005</v>
      </c>
      <c r="CW14" s="26">
        <f t="shared" si="6"/>
        <v>0.56499999999999995</v>
      </c>
    </row>
    <row r="15" spans="2:101" ht="20.100000000000001" customHeight="1">
      <c r="B15" s="26">
        <f t="shared" si="7"/>
        <v>7.4999999999999997E-2</v>
      </c>
      <c r="C15" s="26">
        <f t="shared" si="0"/>
        <v>0.08</v>
      </c>
      <c r="D15" s="26">
        <f t="shared" si="0"/>
        <v>8.5000000000000006E-2</v>
      </c>
      <c r="E15" s="26">
        <f t="shared" si="0"/>
        <v>0.09</v>
      </c>
      <c r="F15" s="26">
        <f t="shared" si="0"/>
        <v>9.5000000000000001E-2</v>
      </c>
      <c r="G15" s="26">
        <f t="shared" si="0"/>
        <v>0.1</v>
      </c>
      <c r="H15" s="26">
        <f t="shared" si="0"/>
        <v>0.105</v>
      </c>
      <c r="I15" s="26">
        <f t="shared" si="0"/>
        <v>0.11</v>
      </c>
      <c r="J15" s="26">
        <f t="shared" si="0"/>
        <v>0.115</v>
      </c>
      <c r="K15" s="26">
        <f t="shared" si="0"/>
        <v>0.12</v>
      </c>
      <c r="L15" s="26">
        <f t="shared" si="0"/>
        <v>0.125</v>
      </c>
      <c r="M15" s="26">
        <f t="shared" si="0"/>
        <v>0.13</v>
      </c>
      <c r="N15" s="26">
        <f t="shared" si="0"/>
        <v>0.13500000000000001</v>
      </c>
      <c r="O15" s="26">
        <f t="shared" si="0"/>
        <v>0.14000000000000001</v>
      </c>
      <c r="P15" s="26">
        <f t="shared" si="0"/>
        <v>0.14499999999999999</v>
      </c>
      <c r="Q15" s="26">
        <f t="shared" si="0"/>
        <v>0.15</v>
      </c>
      <c r="R15" s="26">
        <f t="shared" si="0"/>
        <v>0.155</v>
      </c>
      <c r="S15" s="26">
        <f t="shared" si="1"/>
        <v>0.16</v>
      </c>
      <c r="T15" s="26">
        <f t="shared" si="1"/>
        <v>0.16500000000000001</v>
      </c>
      <c r="U15" s="26">
        <f t="shared" si="1"/>
        <v>0.17</v>
      </c>
      <c r="V15" s="26">
        <f t="shared" si="1"/>
        <v>0.17499999999999999</v>
      </c>
      <c r="W15" s="26">
        <f t="shared" si="1"/>
        <v>0.18</v>
      </c>
      <c r="X15" s="26">
        <f t="shared" si="1"/>
        <v>0.185</v>
      </c>
      <c r="Y15" s="26">
        <f t="shared" si="1"/>
        <v>0.19</v>
      </c>
      <c r="Z15" s="26">
        <f t="shared" si="1"/>
        <v>0.19500000000000001</v>
      </c>
      <c r="AA15" s="26">
        <f t="shared" si="1"/>
        <v>0.2</v>
      </c>
      <c r="AB15" s="26">
        <f t="shared" si="1"/>
        <v>0.20499999999999999</v>
      </c>
      <c r="AC15" s="26">
        <f t="shared" si="1"/>
        <v>0.21</v>
      </c>
      <c r="AD15" s="26">
        <f t="shared" si="1"/>
        <v>0.215</v>
      </c>
      <c r="AE15" s="26">
        <f t="shared" si="1"/>
        <v>0.22</v>
      </c>
      <c r="AF15" s="26">
        <f t="shared" si="1"/>
        <v>0.22500000000000001</v>
      </c>
      <c r="AG15" s="26">
        <f t="shared" si="1"/>
        <v>0.23</v>
      </c>
      <c r="AH15" s="26">
        <f t="shared" si="1"/>
        <v>0.23499999999999999</v>
      </c>
      <c r="AI15" s="26">
        <f t="shared" si="2"/>
        <v>0.24</v>
      </c>
      <c r="AJ15" s="26">
        <f t="shared" si="2"/>
        <v>0.245</v>
      </c>
      <c r="AK15" s="26">
        <f t="shared" si="2"/>
        <v>0.25</v>
      </c>
      <c r="AL15" s="26">
        <f t="shared" si="2"/>
        <v>0.255</v>
      </c>
      <c r="AM15" s="26">
        <f t="shared" si="2"/>
        <v>0.26</v>
      </c>
      <c r="AN15" s="26">
        <f t="shared" si="2"/>
        <v>0.26500000000000001</v>
      </c>
      <c r="AO15" s="26">
        <f t="shared" si="2"/>
        <v>0.27</v>
      </c>
      <c r="AP15" s="26">
        <f t="shared" si="2"/>
        <v>0.27500000000000002</v>
      </c>
      <c r="AQ15" s="26">
        <f t="shared" si="2"/>
        <v>0.28000000000000003</v>
      </c>
      <c r="AR15" s="26">
        <f t="shared" si="2"/>
        <v>0.28499999999999998</v>
      </c>
      <c r="AS15" s="26">
        <f t="shared" si="2"/>
        <v>0.28999999999999998</v>
      </c>
      <c r="AT15" s="26">
        <f t="shared" si="2"/>
        <v>0.29499999999999998</v>
      </c>
      <c r="AU15" s="26">
        <f t="shared" si="2"/>
        <v>0.3</v>
      </c>
      <c r="AV15" s="26">
        <f t="shared" si="2"/>
        <v>0.30499999999999999</v>
      </c>
      <c r="AW15" s="26">
        <f t="shared" si="2"/>
        <v>0.31</v>
      </c>
      <c r="AX15" s="26">
        <f t="shared" si="2"/>
        <v>0.315</v>
      </c>
      <c r="AY15" s="26">
        <f t="shared" si="3"/>
        <v>0.32</v>
      </c>
      <c r="AZ15" s="26">
        <f t="shared" si="3"/>
        <v>0.32500000000000001</v>
      </c>
      <c r="BA15" s="26">
        <f t="shared" si="3"/>
        <v>0.33</v>
      </c>
      <c r="BB15" s="26">
        <f t="shared" si="3"/>
        <v>0.33500000000000002</v>
      </c>
      <c r="BC15" s="26">
        <f t="shared" si="3"/>
        <v>0.34</v>
      </c>
      <c r="BD15" s="26">
        <f t="shared" si="3"/>
        <v>0.34499999999999997</v>
      </c>
      <c r="BE15" s="26">
        <f t="shared" si="3"/>
        <v>0.35</v>
      </c>
      <c r="BF15" s="26">
        <f t="shared" si="3"/>
        <v>0.35499999999999998</v>
      </c>
      <c r="BG15" s="26">
        <f t="shared" si="3"/>
        <v>0.36</v>
      </c>
      <c r="BH15" s="26">
        <f t="shared" si="3"/>
        <v>0.36499999999999999</v>
      </c>
      <c r="BI15" s="26">
        <f t="shared" si="3"/>
        <v>0.37</v>
      </c>
      <c r="BJ15" s="26">
        <f t="shared" si="3"/>
        <v>0.375</v>
      </c>
      <c r="BK15" s="26">
        <f t="shared" si="3"/>
        <v>0.38</v>
      </c>
      <c r="BL15" s="26">
        <f t="shared" si="3"/>
        <v>0.38500000000000001</v>
      </c>
      <c r="BM15" s="26">
        <f t="shared" si="3"/>
        <v>0.39</v>
      </c>
      <c r="BN15" s="26">
        <f t="shared" si="3"/>
        <v>0.39500000000000002</v>
      </c>
      <c r="BO15" s="26">
        <f t="shared" si="4"/>
        <v>0.4</v>
      </c>
      <c r="BP15" s="26">
        <f t="shared" si="4"/>
        <v>0.40500000000000003</v>
      </c>
      <c r="BQ15" s="26">
        <f t="shared" si="4"/>
        <v>0.41</v>
      </c>
      <c r="BR15" s="26">
        <f t="shared" si="4"/>
        <v>0.41499999999999998</v>
      </c>
      <c r="BS15" s="26">
        <f t="shared" si="4"/>
        <v>0.42</v>
      </c>
      <c r="BT15" s="26">
        <f t="shared" si="4"/>
        <v>0.42499999999999999</v>
      </c>
      <c r="BU15" s="26">
        <f t="shared" si="4"/>
        <v>0.43</v>
      </c>
      <c r="BV15" s="26">
        <f t="shared" si="4"/>
        <v>0.435</v>
      </c>
      <c r="BW15" s="26">
        <f t="shared" si="4"/>
        <v>0.44</v>
      </c>
      <c r="BX15" s="26">
        <f t="shared" si="4"/>
        <v>0.44500000000000001</v>
      </c>
      <c r="BY15" s="26">
        <f t="shared" si="4"/>
        <v>0.45</v>
      </c>
      <c r="BZ15" s="26">
        <f t="shared" si="4"/>
        <v>0.45500000000000002</v>
      </c>
      <c r="CA15" s="26">
        <f t="shared" si="4"/>
        <v>0.46</v>
      </c>
      <c r="CB15" s="26">
        <f t="shared" si="4"/>
        <v>0.46500000000000002</v>
      </c>
      <c r="CC15" s="26">
        <f t="shared" si="4"/>
        <v>0.47</v>
      </c>
      <c r="CD15" s="26">
        <f t="shared" si="4"/>
        <v>0.47499999999999998</v>
      </c>
      <c r="CE15" s="26">
        <f t="shared" si="5"/>
        <v>0.48</v>
      </c>
      <c r="CF15" s="26">
        <f t="shared" si="5"/>
        <v>0.48499999999999999</v>
      </c>
      <c r="CG15" s="26">
        <f t="shared" si="5"/>
        <v>0.49</v>
      </c>
      <c r="CH15" s="26">
        <f t="shared" si="5"/>
        <v>0.495</v>
      </c>
      <c r="CI15" s="26">
        <f t="shared" si="5"/>
        <v>0.5</v>
      </c>
      <c r="CJ15" s="26">
        <f t="shared" si="5"/>
        <v>0.505</v>
      </c>
      <c r="CK15" s="26">
        <f t="shared" si="5"/>
        <v>0.51</v>
      </c>
      <c r="CL15" s="26">
        <f t="shared" si="5"/>
        <v>0.51500000000000001</v>
      </c>
      <c r="CM15" s="26">
        <f t="shared" si="5"/>
        <v>0.52</v>
      </c>
      <c r="CN15" s="26">
        <f t="shared" si="5"/>
        <v>0.52500000000000002</v>
      </c>
      <c r="CO15" s="26">
        <f t="shared" si="5"/>
        <v>0.53</v>
      </c>
      <c r="CP15" s="26">
        <f t="shared" si="5"/>
        <v>0.53500000000000003</v>
      </c>
      <c r="CQ15" s="26">
        <f t="shared" si="5"/>
        <v>0.54</v>
      </c>
      <c r="CR15" s="26">
        <f t="shared" si="5"/>
        <v>0.54500000000000004</v>
      </c>
      <c r="CS15" s="26">
        <f t="shared" si="5"/>
        <v>0.55000000000000004</v>
      </c>
      <c r="CT15" s="26">
        <f t="shared" si="5"/>
        <v>0.55500000000000005</v>
      </c>
      <c r="CU15" s="26">
        <f t="shared" si="6"/>
        <v>0.56000000000000005</v>
      </c>
      <c r="CV15" s="26">
        <f t="shared" si="6"/>
        <v>0.56499999999999995</v>
      </c>
      <c r="CW15" s="26">
        <f t="shared" si="6"/>
        <v>0.56999999999999995</v>
      </c>
    </row>
    <row r="16" spans="2:101" ht="20.100000000000001" customHeight="1">
      <c r="B16" s="26">
        <f t="shared" si="7"/>
        <v>0.08</v>
      </c>
      <c r="C16" s="26">
        <f t="shared" si="0"/>
        <v>8.5000000000000006E-2</v>
      </c>
      <c r="D16" s="26">
        <f t="shared" si="0"/>
        <v>0.09</v>
      </c>
      <c r="E16" s="26">
        <f t="shared" si="0"/>
        <v>9.5000000000000001E-2</v>
      </c>
      <c r="F16" s="26">
        <f t="shared" si="0"/>
        <v>0.1</v>
      </c>
      <c r="G16" s="26">
        <f t="shared" si="0"/>
        <v>0.105</v>
      </c>
      <c r="H16" s="26">
        <f t="shared" si="0"/>
        <v>0.11</v>
      </c>
      <c r="I16" s="26">
        <f t="shared" si="0"/>
        <v>0.115</v>
      </c>
      <c r="J16" s="26">
        <f t="shared" si="0"/>
        <v>0.12</v>
      </c>
      <c r="K16" s="26">
        <f t="shared" si="0"/>
        <v>0.125</v>
      </c>
      <c r="L16" s="26">
        <f t="shared" si="0"/>
        <v>0.13</v>
      </c>
      <c r="M16" s="26">
        <f t="shared" si="0"/>
        <v>0.13500000000000001</v>
      </c>
      <c r="N16" s="26">
        <f t="shared" si="0"/>
        <v>0.14000000000000001</v>
      </c>
      <c r="O16" s="26">
        <f t="shared" si="0"/>
        <v>0.14499999999999999</v>
      </c>
      <c r="P16" s="26">
        <f t="shared" si="0"/>
        <v>0.15</v>
      </c>
      <c r="Q16" s="26">
        <f t="shared" si="0"/>
        <v>0.155</v>
      </c>
      <c r="R16" s="26">
        <f t="shared" si="0"/>
        <v>0.16</v>
      </c>
      <c r="S16" s="26">
        <f t="shared" si="1"/>
        <v>0.16500000000000001</v>
      </c>
      <c r="T16" s="26">
        <f t="shared" si="1"/>
        <v>0.17</v>
      </c>
      <c r="U16" s="26">
        <f t="shared" si="1"/>
        <v>0.17499999999999999</v>
      </c>
      <c r="V16" s="26">
        <f t="shared" si="1"/>
        <v>0.18</v>
      </c>
      <c r="W16" s="26">
        <f t="shared" si="1"/>
        <v>0.185</v>
      </c>
      <c r="X16" s="26">
        <f t="shared" si="1"/>
        <v>0.19</v>
      </c>
      <c r="Y16" s="26">
        <f t="shared" si="1"/>
        <v>0.19500000000000001</v>
      </c>
      <c r="Z16" s="26">
        <f t="shared" si="1"/>
        <v>0.2</v>
      </c>
      <c r="AA16" s="26">
        <f t="shared" si="1"/>
        <v>0.20499999999999999</v>
      </c>
      <c r="AB16" s="26">
        <f t="shared" si="1"/>
        <v>0.21</v>
      </c>
      <c r="AC16" s="26">
        <f t="shared" si="1"/>
        <v>0.215</v>
      </c>
      <c r="AD16" s="26">
        <f t="shared" si="1"/>
        <v>0.22</v>
      </c>
      <c r="AE16" s="26">
        <f t="shared" si="1"/>
        <v>0.22500000000000001</v>
      </c>
      <c r="AF16" s="26">
        <f t="shared" si="1"/>
        <v>0.23</v>
      </c>
      <c r="AG16" s="26">
        <f t="shared" si="1"/>
        <v>0.23499999999999999</v>
      </c>
      <c r="AH16" s="26">
        <f t="shared" si="1"/>
        <v>0.24</v>
      </c>
      <c r="AI16" s="26">
        <f t="shared" si="2"/>
        <v>0.245</v>
      </c>
      <c r="AJ16" s="26">
        <f t="shared" si="2"/>
        <v>0.25</v>
      </c>
      <c r="AK16" s="26">
        <f t="shared" si="2"/>
        <v>0.255</v>
      </c>
      <c r="AL16" s="26">
        <f t="shared" si="2"/>
        <v>0.26</v>
      </c>
      <c r="AM16" s="26">
        <f t="shared" si="2"/>
        <v>0.26500000000000001</v>
      </c>
      <c r="AN16" s="26">
        <f t="shared" si="2"/>
        <v>0.27</v>
      </c>
      <c r="AO16" s="26">
        <f t="shared" si="2"/>
        <v>0.27500000000000002</v>
      </c>
      <c r="AP16" s="26">
        <f t="shared" si="2"/>
        <v>0.28000000000000003</v>
      </c>
      <c r="AQ16" s="26">
        <f t="shared" si="2"/>
        <v>0.28499999999999998</v>
      </c>
      <c r="AR16" s="26">
        <f t="shared" si="2"/>
        <v>0.28999999999999998</v>
      </c>
      <c r="AS16" s="26">
        <f t="shared" si="2"/>
        <v>0.29499999999999998</v>
      </c>
      <c r="AT16" s="26">
        <f t="shared" si="2"/>
        <v>0.3</v>
      </c>
      <c r="AU16" s="26">
        <f t="shared" si="2"/>
        <v>0.30499999999999999</v>
      </c>
      <c r="AV16" s="26">
        <f t="shared" si="2"/>
        <v>0.31</v>
      </c>
      <c r="AW16" s="26">
        <f t="shared" si="2"/>
        <v>0.315</v>
      </c>
      <c r="AX16" s="26">
        <f t="shared" si="2"/>
        <v>0.32</v>
      </c>
      <c r="AY16" s="26">
        <f t="shared" si="3"/>
        <v>0.32500000000000001</v>
      </c>
      <c r="AZ16" s="26">
        <f t="shared" si="3"/>
        <v>0.33</v>
      </c>
      <c r="BA16" s="26">
        <f t="shared" si="3"/>
        <v>0.33500000000000002</v>
      </c>
      <c r="BB16" s="26">
        <f t="shared" si="3"/>
        <v>0.34</v>
      </c>
      <c r="BC16" s="26">
        <f t="shared" si="3"/>
        <v>0.34499999999999997</v>
      </c>
      <c r="BD16" s="26">
        <f t="shared" si="3"/>
        <v>0.35</v>
      </c>
      <c r="BE16" s="26">
        <f t="shared" si="3"/>
        <v>0.35499999999999998</v>
      </c>
      <c r="BF16" s="26">
        <f t="shared" si="3"/>
        <v>0.36</v>
      </c>
      <c r="BG16" s="26">
        <f t="shared" si="3"/>
        <v>0.36499999999999999</v>
      </c>
      <c r="BH16" s="26">
        <f t="shared" si="3"/>
        <v>0.37</v>
      </c>
      <c r="BI16" s="26">
        <f t="shared" si="3"/>
        <v>0.375</v>
      </c>
      <c r="BJ16" s="26">
        <f t="shared" si="3"/>
        <v>0.38</v>
      </c>
      <c r="BK16" s="26">
        <f t="shared" si="3"/>
        <v>0.38500000000000001</v>
      </c>
      <c r="BL16" s="26">
        <f t="shared" si="3"/>
        <v>0.39</v>
      </c>
      <c r="BM16" s="26">
        <f t="shared" si="3"/>
        <v>0.39500000000000002</v>
      </c>
      <c r="BN16" s="26">
        <f t="shared" si="3"/>
        <v>0.4</v>
      </c>
      <c r="BO16" s="26">
        <f t="shared" si="4"/>
        <v>0.40500000000000003</v>
      </c>
      <c r="BP16" s="26">
        <f t="shared" si="4"/>
        <v>0.41</v>
      </c>
      <c r="BQ16" s="26">
        <f t="shared" si="4"/>
        <v>0.41499999999999998</v>
      </c>
      <c r="BR16" s="26">
        <f t="shared" si="4"/>
        <v>0.42</v>
      </c>
      <c r="BS16" s="26">
        <f t="shared" si="4"/>
        <v>0.42499999999999999</v>
      </c>
      <c r="BT16" s="26">
        <f t="shared" si="4"/>
        <v>0.43</v>
      </c>
      <c r="BU16" s="26">
        <f t="shared" si="4"/>
        <v>0.435</v>
      </c>
      <c r="BV16" s="26">
        <f t="shared" si="4"/>
        <v>0.44</v>
      </c>
      <c r="BW16" s="26">
        <f t="shared" si="4"/>
        <v>0.44500000000000001</v>
      </c>
      <c r="BX16" s="26">
        <f t="shared" si="4"/>
        <v>0.45</v>
      </c>
      <c r="BY16" s="26">
        <f t="shared" si="4"/>
        <v>0.45500000000000002</v>
      </c>
      <c r="BZ16" s="26">
        <f t="shared" si="4"/>
        <v>0.46</v>
      </c>
      <c r="CA16" s="26">
        <f t="shared" si="4"/>
        <v>0.46500000000000002</v>
      </c>
      <c r="CB16" s="26">
        <f t="shared" si="4"/>
        <v>0.47</v>
      </c>
      <c r="CC16" s="26">
        <f t="shared" si="4"/>
        <v>0.47499999999999998</v>
      </c>
      <c r="CD16" s="26">
        <f t="shared" si="4"/>
        <v>0.48</v>
      </c>
      <c r="CE16" s="26">
        <f t="shared" si="5"/>
        <v>0.48499999999999999</v>
      </c>
      <c r="CF16" s="26">
        <f t="shared" si="5"/>
        <v>0.49</v>
      </c>
      <c r="CG16" s="26">
        <f t="shared" si="5"/>
        <v>0.495</v>
      </c>
      <c r="CH16" s="26">
        <f t="shared" si="5"/>
        <v>0.5</v>
      </c>
      <c r="CI16" s="26">
        <f t="shared" si="5"/>
        <v>0.505</v>
      </c>
      <c r="CJ16" s="26">
        <f t="shared" si="5"/>
        <v>0.51</v>
      </c>
      <c r="CK16" s="26">
        <f t="shared" si="5"/>
        <v>0.51500000000000001</v>
      </c>
      <c r="CL16" s="26">
        <f t="shared" si="5"/>
        <v>0.52</v>
      </c>
      <c r="CM16" s="26">
        <f t="shared" si="5"/>
        <v>0.52500000000000002</v>
      </c>
      <c r="CN16" s="26">
        <f t="shared" si="5"/>
        <v>0.53</v>
      </c>
      <c r="CO16" s="26">
        <f t="shared" si="5"/>
        <v>0.53500000000000003</v>
      </c>
      <c r="CP16" s="26">
        <f t="shared" si="5"/>
        <v>0.54</v>
      </c>
      <c r="CQ16" s="26">
        <f t="shared" si="5"/>
        <v>0.54500000000000004</v>
      </c>
      <c r="CR16" s="26">
        <f t="shared" si="5"/>
        <v>0.55000000000000004</v>
      </c>
      <c r="CS16" s="26">
        <f t="shared" si="5"/>
        <v>0.55500000000000005</v>
      </c>
      <c r="CT16" s="26">
        <f t="shared" si="5"/>
        <v>0.56000000000000005</v>
      </c>
      <c r="CU16" s="26">
        <f t="shared" si="6"/>
        <v>0.56499999999999995</v>
      </c>
      <c r="CV16" s="26">
        <f t="shared" si="6"/>
        <v>0.56999999999999995</v>
      </c>
      <c r="CW16" s="26">
        <f t="shared" si="6"/>
        <v>0.57499999999999996</v>
      </c>
    </row>
    <row r="17" spans="2:101" ht="20.100000000000001" customHeight="1">
      <c r="B17" s="26">
        <f t="shared" si="7"/>
        <v>8.5000000000000006E-2</v>
      </c>
      <c r="C17" s="26">
        <f t="shared" si="0"/>
        <v>0.09</v>
      </c>
      <c r="D17" s="26">
        <f t="shared" si="0"/>
        <v>9.5000000000000001E-2</v>
      </c>
      <c r="E17" s="26">
        <f t="shared" si="0"/>
        <v>0.1</v>
      </c>
      <c r="F17" s="26">
        <f t="shared" si="0"/>
        <v>0.105</v>
      </c>
      <c r="G17" s="26">
        <f t="shared" si="0"/>
        <v>0.11</v>
      </c>
      <c r="H17" s="26">
        <f t="shared" si="0"/>
        <v>0.115</v>
      </c>
      <c r="I17" s="26">
        <f t="shared" si="0"/>
        <v>0.12</v>
      </c>
      <c r="J17" s="26">
        <f t="shared" si="0"/>
        <v>0.125</v>
      </c>
      <c r="K17" s="26">
        <f t="shared" si="0"/>
        <v>0.13</v>
      </c>
      <c r="L17" s="26">
        <f t="shared" si="0"/>
        <v>0.13500000000000001</v>
      </c>
      <c r="M17" s="26">
        <f t="shared" si="0"/>
        <v>0.14000000000000001</v>
      </c>
      <c r="N17" s="26">
        <f t="shared" si="0"/>
        <v>0.14499999999999999</v>
      </c>
      <c r="O17" s="26">
        <f t="shared" si="0"/>
        <v>0.15</v>
      </c>
      <c r="P17" s="26">
        <f t="shared" si="0"/>
        <v>0.155</v>
      </c>
      <c r="Q17" s="26">
        <f t="shared" si="0"/>
        <v>0.16</v>
      </c>
      <c r="R17" s="26">
        <f t="shared" ref="R17:AG32" si="8">(ROW(Q16)+COLUMN(Q16))/200</f>
        <v>0.16500000000000001</v>
      </c>
      <c r="S17" s="26">
        <f t="shared" si="1"/>
        <v>0.17</v>
      </c>
      <c r="T17" s="26">
        <f t="shared" si="1"/>
        <v>0.17499999999999999</v>
      </c>
      <c r="U17" s="26">
        <f t="shared" si="1"/>
        <v>0.18</v>
      </c>
      <c r="V17" s="26">
        <f t="shared" si="1"/>
        <v>0.185</v>
      </c>
      <c r="W17" s="26">
        <f t="shared" si="1"/>
        <v>0.19</v>
      </c>
      <c r="X17" s="26">
        <f t="shared" si="1"/>
        <v>0.19500000000000001</v>
      </c>
      <c r="Y17" s="26">
        <f t="shared" si="1"/>
        <v>0.2</v>
      </c>
      <c r="Z17" s="26">
        <f t="shared" si="1"/>
        <v>0.20499999999999999</v>
      </c>
      <c r="AA17" s="26">
        <f t="shared" si="1"/>
        <v>0.21</v>
      </c>
      <c r="AB17" s="26">
        <f t="shared" si="1"/>
        <v>0.215</v>
      </c>
      <c r="AC17" s="26">
        <f t="shared" si="1"/>
        <v>0.22</v>
      </c>
      <c r="AD17" s="26">
        <f t="shared" si="1"/>
        <v>0.22500000000000001</v>
      </c>
      <c r="AE17" s="26">
        <f t="shared" si="1"/>
        <v>0.23</v>
      </c>
      <c r="AF17" s="26">
        <f t="shared" si="1"/>
        <v>0.23499999999999999</v>
      </c>
      <c r="AG17" s="26">
        <f t="shared" si="1"/>
        <v>0.24</v>
      </c>
      <c r="AH17" s="26">
        <f t="shared" ref="AH17:AW32" si="9">(ROW(AG16)+COLUMN(AG16))/200</f>
        <v>0.245</v>
      </c>
      <c r="AI17" s="26">
        <f t="shared" si="2"/>
        <v>0.25</v>
      </c>
      <c r="AJ17" s="26">
        <f t="shared" si="2"/>
        <v>0.255</v>
      </c>
      <c r="AK17" s="26">
        <f t="shared" si="2"/>
        <v>0.26</v>
      </c>
      <c r="AL17" s="26">
        <f t="shared" si="2"/>
        <v>0.26500000000000001</v>
      </c>
      <c r="AM17" s="26">
        <f t="shared" si="2"/>
        <v>0.27</v>
      </c>
      <c r="AN17" s="26">
        <f t="shared" si="2"/>
        <v>0.27500000000000002</v>
      </c>
      <c r="AO17" s="26">
        <f t="shared" si="2"/>
        <v>0.28000000000000003</v>
      </c>
      <c r="AP17" s="26">
        <f t="shared" si="2"/>
        <v>0.28499999999999998</v>
      </c>
      <c r="AQ17" s="26">
        <f t="shared" si="2"/>
        <v>0.28999999999999998</v>
      </c>
      <c r="AR17" s="26">
        <f t="shared" si="2"/>
        <v>0.29499999999999998</v>
      </c>
      <c r="AS17" s="26">
        <f t="shared" si="2"/>
        <v>0.3</v>
      </c>
      <c r="AT17" s="26">
        <f t="shared" si="2"/>
        <v>0.30499999999999999</v>
      </c>
      <c r="AU17" s="26">
        <f t="shared" si="2"/>
        <v>0.31</v>
      </c>
      <c r="AV17" s="26">
        <f t="shared" si="2"/>
        <v>0.315</v>
      </c>
      <c r="AW17" s="26">
        <f t="shared" si="2"/>
        <v>0.32</v>
      </c>
      <c r="AX17" s="26">
        <f t="shared" ref="AX17:BM32" si="10">(ROW(AW16)+COLUMN(AW16))/200</f>
        <v>0.32500000000000001</v>
      </c>
      <c r="AY17" s="26">
        <f t="shared" si="3"/>
        <v>0.33</v>
      </c>
      <c r="AZ17" s="26">
        <f t="shared" si="3"/>
        <v>0.33500000000000002</v>
      </c>
      <c r="BA17" s="26">
        <f t="shared" si="3"/>
        <v>0.34</v>
      </c>
      <c r="BB17" s="26">
        <f t="shared" si="3"/>
        <v>0.34499999999999997</v>
      </c>
      <c r="BC17" s="26">
        <f t="shared" si="3"/>
        <v>0.35</v>
      </c>
      <c r="BD17" s="26">
        <f t="shared" si="3"/>
        <v>0.35499999999999998</v>
      </c>
      <c r="BE17" s="26">
        <f t="shared" si="3"/>
        <v>0.36</v>
      </c>
      <c r="BF17" s="26">
        <f t="shared" si="3"/>
        <v>0.36499999999999999</v>
      </c>
      <c r="BG17" s="26">
        <f t="shared" si="3"/>
        <v>0.37</v>
      </c>
      <c r="BH17" s="26">
        <f t="shared" si="3"/>
        <v>0.375</v>
      </c>
      <c r="BI17" s="26">
        <f t="shared" si="3"/>
        <v>0.38</v>
      </c>
      <c r="BJ17" s="26">
        <f t="shared" si="3"/>
        <v>0.38500000000000001</v>
      </c>
      <c r="BK17" s="26">
        <f t="shared" si="3"/>
        <v>0.39</v>
      </c>
      <c r="BL17" s="26">
        <f t="shared" si="3"/>
        <v>0.39500000000000002</v>
      </c>
      <c r="BM17" s="26">
        <f t="shared" si="3"/>
        <v>0.4</v>
      </c>
      <c r="BN17" s="26">
        <f t="shared" ref="BN17:CC32" si="11">(ROW(BM16)+COLUMN(BM16))/200</f>
        <v>0.40500000000000003</v>
      </c>
      <c r="BO17" s="26">
        <f t="shared" si="4"/>
        <v>0.41</v>
      </c>
      <c r="BP17" s="26">
        <f t="shared" si="4"/>
        <v>0.41499999999999998</v>
      </c>
      <c r="BQ17" s="26">
        <f t="shared" si="4"/>
        <v>0.42</v>
      </c>
      <c r="BR17" s="26">
        <f t="shared" si="4"/>
        <v>0.42499999999999999</v>
      </c>
      <c r="BS17" s="26">
        <f t="shared" si="4"/>
        <v>0.43</v>
      </c>
      <c r="BT17" s="26">
        <f t="shared" si="4"/>
        <v>0.435</v>
      </c>
      <c r="BU17" s="26">
        <f t="shared" si="4"/>
        <v>0.44</v>
      </c>
      <c r="BV17" s="26">
        <f t="shared" si="4"/>
        <v>0.44500000000000001</v>
      </c>
      <c r="BW17" s="26">
        <f t="shared" si="4"/>
        <v>0.45</v>
      </c>
      <c r="BX17" s="26">
        <f t="shared" si="4"/>
        <v>0.45500000000000002</v>
      </c>
      <c r="BY17" s="26">
        <f t="shared" si="4"/>
        <v>0.46</v>
      </c>
      <c r="BZ17" s="26">
        <f t="shared" si="4"/>
        <v>0.46500000000000002</v>
      </c>
      <c r="CA17" s="26">
        <f t="shared" si="4"/>
        <v>0.47</v>
      </c>
      <c r="CB17" s="26">
        <f t="shared" si="4"/>
        <v>0.47499999999999998</v>
      </c>
      <c r="CC17" s="26">
        <f t="shared" si="4"/>
        <v>0.48</v>
      </c>
      <c r="CD17" s="26">
        <f t="shared" ref="CD17:CS32" si="12">(ROW(CC16)+COLUMN(CC16))/200</f>
        <v>0.48499999999999999</v>
      </c>
      <c r="CE17" s="26">
        <f t="shared" si="5"/>
        <v>0.49</v>
      </c>
      <c r="CF17" s="26">
        <f t="shared" si="5"/>
        <v>0.495</v>
      </c>
      <c r="CG17" s="26">
        <f t="shared" si="5"/>
        <v>0.5</v>
      </c>
      <c r="CH17" s="26">
        <f t="shared" si="5"/>
        <v>0.505</v>
      </c>
      <c r="CI17" s="26">
        <f t="shared" si="5"/>
        <v>0.51</v>
      </c>
      <c r="CJ17" s="26">
        <f t="shared" si="5"/>
        <v>0.51500000000000001</v>
      </c>
      <c r="CK17" s="26">
        <f t="shared" si="5"/>
        <v>0.52</v>
      </c>
      <c r="CL17" s="26">
        <f t="shared" si="5"/>
        <v>0.52500000000000002</v>
      </c>
      <c r="CM17" s="26">
        <f t="shared" si="5"/>
        <v>0.53</v>
      </c>
      <c r="CN17" s="26">
        <f t="shared" si="5"/>
        <v>0.53500000000000003</v>
      </c>
      <c r="CO17" s="26">
        <f t="shared" si="5"/>
        <v>0.54</v>
      </c>
      <c r="CP17" s="26">
        <f t="shared" si="5"/>
        <v>0.54500000000000004</v>
      </c>
      <c r="CQ17" s="26">
        <f t="shared" si="5"/>
        <v>0.55000000000000004</v>
      </c>
      <c r="CR17" s="26">
        <f t="shared" si="5"/>
        <v>0.55500000000000005</v>
      </c>
      <c r="CS17" s="26">
        <f t="shared" si="5"/>
        <v>0.56000000000000005</v>
      </c>
      <c r="CT17" s="26">
        <f t="shared" ref="CT17:CW36" si="13">(ROW(CS16)+COLUMN(CS16))/200</f>
        <v>0.56499999999999995</v>
      </c>
      <c r="CU17" s="26">
        <f t="shared" si="6"/>
        <v>0.56999999999999995</v>
      </c>
      <c r="CV17" s="26">
        <f t="shared" si="6"/>
        <v>0.57499999999999996</v>
      </c>
      <c r="CW17" s="26">
        <f t="shared" si="6"/>
        <v>0.57999999999999996</v>
      </c>
    </row>
    <row r="18" spans="2:101" ht="20.100000000000001" customHeight="1">
      <c r="B18" s="26">
        <f t="shared" si="7"/>
        <v>0.09</v>
      </c>
      <c r="C18" s="26">
        <f t="shared" si="7"/>
        <v>9.5000000000000001E-2</v>
      </c>
      <c r="D18" s="26">
        <f t="shared" si="7"/>
        <v>0.1</v>
      </c>
      <c r="E18" s="26">
        <f t="shared" si="7"/>
        <v>0.105</v>
      </c>
      <c r="F18" s="26">
        <f t="shared" si="7"/>
        <v>0.11</v>
      </c>
      <c r="G18" s="26">
        <f t="shared" si="7"/>
        <v>0.115</v>
      </c>
      <c r="H18" s="26">
        <f t="shared" si="7"/>
        <v>0.12</v>
      </c>
      <c r="I18" s="26">
        <f t="shared" si="7"/>
        <v>0.125</v>
      </c>
      <c r="J18" s="26">
        <f t="shared" si="7"/>
        <v>0.13</v>
      </c>
      <c r="K18" s="26">
        <f t="shared" si="7"/>
        <v>0.13500000000000001</v>
      </c>
      <c r="L18" s="26">
        <f t="shared" si="7"/>
        <v>0.14000000000000001</v>
      </c>
      <c r="M18" s="26">
        <f t="shared" si="7"/>
        <v>0.14499999999999999</v>
      </c>
      <c r="N18" s="26">
        <f t="shared" si="7"/>
        <v>0.15</v>
      </c>
      <c r="O18" s="26">
        <f t="shared" si="7"/>
        <v>0.155</v>
      </c>
      <c r="P18" s="26">
        <f t="shared" si="7"/>
        <v>0.16</v>
      </c>
      <c r="Q18" s="26">
        <f t="shared" si="7"/>
        <v>0.16500000000000001</v>
      </c>
      <c r="R18" s="26">
        <f t="shared" si="8"/>
        <v>0.17</v>
      </c>
      <c r="S18" s="26">
        <f t="shared" si="8"/>
        <v>0.17499999999999999</v>
      </c>
      <c r="T18" s="26">
        <f t="shared" si="8"/>
        <v>0.18</v>
      </c>
      <c r="U18" s="26">
        <f t="shared" si="8"/>
        <v>0.185</v>
      </c>
      <c r="V18" s="26">
        <f t="shared" si="8"/>
        <v>0.19</v>
      </c>
      <c r="W18" s="26">
        <f t="shared" si="8"/>
        <v>0.19500000000000001</v>
      </c>
      <c r="X18" s="26">
        <f t="shared" si="8"/>
        <v>0.2</v>
      </c>
      <c r="Y18" s="26">
        <f t="shared" si="8"/>
        <v>0.20499999999999999</v>
      </c>
      <c r="Z18" s="26">
        <f t="shared" si="8"/>
        <v>0.21</v>
      </c>
      <c r="AA18" s="26">
        <f t="shared" si="8"/>
        <v>0.215</v>
      </c>
      <c r="AB18" s="26">
        <f t="shared" si="8"/>
        <v>0.22</v>
      </c>
      <c r="AC18" s="26">
        <f t="shared" si="8"/>
        <v>0.22500000000000001</v>
      </c>
      <c r="AD18" s="26">
        <f t="shared" si="8"/>
        <v>0.23</v>
      </c>
      <c r="AE18" s="26">
        <f t="shared" si="8"/>
        <v>0.23499999999999999</v>
      </c>
      <c r="AF18" s="26">
        <f t="shared" si="8"/>
        <v>0.24</v>
      </c>
      <c r="AG18" s="26">
        <f t="shared" si="8"/>
        <v>0.245</v>
      </c>
      <c r="AH18" s="26">
        <f t="shared" si="9"/>
        <v>0.25</v>
      </c>
      <c r="AI18" s="26">
        <f t="shared" si="9"/>
        <v>0.255</v>
      </c>
      <c r="AJ18" s="26">
        <f t="shared" si="9"/>
        <v>0.26</v>
      </c>
      <c r="AK18" s="26">
        <f t="shared" si="9"/>
        <v>0.26500000000000001</v>
      </c>
      <c r="AL18" s="26">
        <f t="shared" si="9"/>
        <v>0.27</v>
      </c>
      <c r="AM18" s="26">
        <f t="shared" si="9"/>
        <v>0.27500000000000002</v>
      </c>
      <c r="AN18" s="26">
        <f t="shared" si="9"/>
        <v>0.28000000000000003</v>
      </c>
      <c r="AO18" s="26">
        <f t="shared" si="9"/>
        <v>0.28499999999999998</v>
      </c>
      <c r="AP18" s="26">
        <f t="shared" si="9"/>
        <v>0.28999999999999998</v>
      </c>
      <c r="AQ18" s="26">
        <f t="shared" si="9"/>
        <v>0.29499999999999998</v>
      </c>
      <c r="AR18" s="26">
        <f t="shared" si="9"/>
        <v>0.3</v>
      </c>
      <c r="AS18" s="26">
        <f t="shared" si="9"/>
        <v>0.30499999999999999</v>
      </c>
      <c r="AT18" s="26">
        <f t="shared" si="9"/>
        <v>0.31</v>
      </c>
      <c r="AU18" s="26">
        <f t="shared" si="9"/>
        <v>0.315</v>
      </c>
      <c r="AV18" s="26">
        <f t="shared" si="9"/>
        <v>0.32</v>
      </c>
      <c r="AW18" s="26">
        <f t="shared" si="9"/>
        <v>0.32500000000000001</v>
      </c>
      <c r="AX18" s="26">
        <f t="shared" si="10"/>
        <v>0.33</v>
      </c>
      <c r="AY18" s="26">
        <f t="shared" si="10"/>
        <v>0.33500000000000002</v>
      </c>
      <c r="AZ18" s="26">
        <f t="shared" si="10"/>
        <v>0.34</v>
      </c>
      <c r="BA18" s="26">
        <f t="shared" si="10"/>
        <v>0.34499999999999997</v>
      </c>
      <c r="BB18" s="26">
        <f t="shared" si="10"/>
        <v>0.35</v>
      </c>
      <c r="BC18" s="26">
        <f t="shared" si="10"/>
        <v>0.35499999999999998</v>
      </c>
      <c r="BD18" s="26">
        <f t="shared" si="10"/>
        <v>0.36</v>
      </c>
      <c r="BE18" s="26">
        <f t="shared" si="10"/>
        <v>0.36499999999999999</v>
      </c>
      <c r="BF18" s="26">
        <f t="shared" si="10"/>
        <v>0.37</v>
      </c>
      <c r="BG18" s="26">
        <f t="shared" si="10"/>
        <v>0.375</v>
      </c>
      <c r="BH18" s="26">
        <f t="shared" si="10"/>
        <v>0.38</v>
      </c>
      <c r="BI18" s="26">
        <f t="shared" si="10"/>
        <v>0.38500000000000001</v>
      </c>
      <c r="BJ18" s="26">
        <f t="shared" si="10"/>
        <v>0.39</v>
      </c>
      <c r="BK18" s="26">
        <f t="shared" si="10"/>
        <v>0.39500000000000002</v>
      </c>
      <c r="BL18" s="26">
        <f t="shared" si="10"/>
        <v>0.4</v>
      </c>
      <c r="BM18" s="26">
        <f t="shared" si="10"/>
        <v>0.40500000000000003</v>
      </c>
      <c r="BN18" s="26">
        <f t="shared" si="11"/>
        <v>0.41</v>
      </c>
      <c r="BO18" s="26">
        <f t="shared" si="11"/>
        <v>0.41499999999999998</v>
      </c>
      <c r="BP18" s="26">
        <f t="shared" si="11"/>
        <v>0.42</v>
      </c>
      <c r="BQ18" s="26">
        <f t="shared" si="11"/>
        <v>0.42499999999999999</v>
      </c>
      <c r="BR18" s="26">
        <f t="shared" si="11"/>
        <v>0.43</v>
      </c>
      <c r="BS18" s="26">
        <f t="shared" si="11"/>
        <v>0.435</v>
      </c>
      <c r="BT18" s="26">
        <f t="shared" si="11"/>
        <v>0.44</v>
      </c>
      <c r="BU18" s="26">
        <f t="shared" si="11"/>
        <v>0.44500000000000001</v>
      </c>
      <c r="BV18" s="26">
        <f t="shared" si="11"/>
        <v>0.45</v>
      </c>
      <c r="BW18" s="26">
        <f t="shared" si="11"/>
        <v>0.45500000000000002</v>
      </c>
      <c r="BX18" s="26">
        <f t="shared" si="11"/>
        <v>0.46</v>
      </c>
      <c r="BY18" s="26">
        <f t="shared" si="11"/>
        <v>0.46500000000000002</v>
      </c>
      <c r="BZ18" s="26">
        <f t="shared" si="11"/>
        <v>0.47</v>
      </c>
      <c r="CA18" s="26">
        <f t="shared" si="11"/>
        <v>0.47499999999999998</v>
      </c>
      <c r="CB18" s="26">
        <f t="shared" si="11"/>
        <v>0.48</v>
      </c>
      <c r="CC18" s="26">
        <f t="shared" si="11"/>
        <v>0.48499999999999999</v>
      </c>
      <c r="CD18" s="26">
        <f t="shared" si="12"/>
        <v>0.49</v>
      </c>
      <c r="CE18" s="26">
        <f t="shared" si="12"/>
        <v>0.495</v>
      </c>
      <c r="CF18" s="26">
        <f t="shared" si="12"/>
        <v>0.5</v>
      </c>
      <c r="CG18" s="26">
        <f t="shared" si="12"/>
        <v>0.505</v>
      </c>
      <c r="CH18" s="26">
        <f t="shared" si="12"/>
        <v>0.51</v>
      </c>
      <c r="CI18" s="26">
        <f t="shared" si="12"/>
        <v>0.51500000000000001</v>
      </c>
      <c r="CJ18" s="26">
        <f t="shared" si="12"/>
        <v>0.52</v>
      </c>
      <c r="CK18" s="26">
        <f t="shared" si="12"/>
        <v>0.52500000000000002</v>
      </c>
      <c r="CL18" s="26">
        <f t="shared" si="12"/>
        <v>0.53</v>
      </c>
      <c r="CM18" s="26">
        <f t="shared" si="12"/>
        <v>0.53500000000000003</v>
      </c>
      <c r="CN18" s="26">
        <f t="shared" si="12"/>
        <v>0.54</v>
      </c>
      <c r="CO18" s="26">
        <f t="shared" si="12"/>
        <v>0.54500000000000004</v>
      </c>
      <c r="CP18" s="26">
        <f t="shared" si="12"/>
        <v>0.55000000000000004</v>
      </c>
      <c r="CQ18" s="26">
        <f t="shared" si="12"/>
        <v>0.55500000000000005</v>
      </c>
      <c r="CR18" s="26">
        <f t="shared" si="12"/>
        <v>0.56000000000000005</v>
      </c>
      <c r="CS18" s="26">
        <f t="shared" si="12"/>
        <v>0.56499999999999995</v>
      </c>
      <c r="CT18" s="26">
        <f t="shared" si="13"/>
        <v>0.56999999999999995</v>
      </c>
      <c r="CU18" s="26">
        <f t="shared" si="6"/>
        <v>0.57499999999999996</v>
      </c>
      <c r="CV18" s="26">
        <f t="shared" si="6"/>
        <v>0.57999999999999996</v>
      </c>
      <c r="CW18" s="26">
        <f t="shared" si="6"/>
        <v>0.58499999999999996</v>
      </c>
    </row>
    <row r="19" spans="2:101" ht="20.100000000000001" customHeight="1">
      <c r="B19" s="26">
        <f t="shared" ref="B19:Q34" si="14">(ROW(A18)+COLUMN(A18))/200</f>
        <v>9.5000000000000001E-2</v>
      </c>
      <c r="C19" s="26">
        <f t="shared" si="14"/>
        <v>0.1</v>
      </c>
      <c r="D19" s="26">
        <f t="shared" si="14"/>
        <v>0.105</v>
      </c>
      <c r="E19" s="26">
        <f t="shared" si="14"/>
        <v>0.11</v>
      </c>
      <c r="F19" s="26">
        <f t="shared" si="14"/>
        <v>0.115</v>
      </c>
      <c r="G19" s="26">
        <f t="shared" si="14"/>
        <v>0.12</v>
      </c>
      <c r="H19" s="26">
        <f t="shared" si="14"/>
        <v>0.125</v>
      </c>
      <c r="I19" s="26">
        <f t="shared" si="14"/>
        <v>0.13</v>
      </c>
      <c r="J19" s="26">
        <f t="shared" si="14"/>
        <v>0.13500000000000001</v>
      </c>
      <c r="K19" s="26">
        <f t="shared" si="14"/>
        <v>0.14000000000000001</v>
      </c>
      <c r="L19" s="26">
        <f t="shared" si="14"/>
        <v>0.14499999999999999</v>
      </c>
      <c r="M19" s="26">
        <f t="shared" si="14"/>
        <v>0.15</v>
      </c>
      <c r="N19" s="26">
        <f t="shared" si="14"/>
        <v>0.155</v>
      </c>
      <c r="O19" s="26">
        <f t="shared" si="14"/>
        <v>0.16</v>
      </c>
      <c r="P19" s="26">
        <f t="shared" si="14"/>
        <v>0.16500000000000001</v>
      </c>
      <c r="Q19" s="26">
        <f t="shared" si="14"/>
        <v>0.17</v>
      </c>
      <c r="R19" s="26">
        <f t="shared" si="8"/>
        <v>0.17499999999999999</v>
      </c>
      <c r="S19" s="26">
        <f t="shared" si="8"/>
        <v>0.18</v>
      </c>
      <c r="T19" s="26">
        <f t="shared" si="8"/>
        <v>0.185</v>
      </c>
      <c r="U19" s="26">
        <f t="shared" si="8"/>
        <v>0.19</v>
      </c>
      <c r="V19" s="26">
        <f t="shared" si="8"/>
        <v>0.19500000000000001</v>
      </c>
      <c r="W19" s="26">
        <f t="shared" si="8"/>
        <v>0.2</v>
      </c>
      <c r="X19" s="26">
        <f t="shared" si="8"/>
        <v>0.20499999999999999</v>
      </c>
      <c r="Y19" s="26">
        <f t="shared" si="8"/>
        <v>0.21</v>
      </c>
      <c r="Z19" s="26">
        <f t="shared" si="8"/>
        <v>0.215</v>
      </c>
      <c r="AA19" s="26">
        <f t="shared" si="8"/>
        <v>0.22</v>
      </c>
      <c r="AB19" s="26">
        <f t="shared" si="8"/>
        <v>0.22500000000000001</v>
      </c>
      <c r="AC19" s="26">
        <f t="shared" si="8"/>
        <v>0.23</v>
      </c>
      <c r="AD19" s="26">
        <f t="shared" si="8"/>
        <v>0.23499999999999999</v>
      </c>
      <c r="AE19" s="26">
        <f t="shared" si="8"/>
        <v>0.24</v>
      </c>
      <c r="AF19" s="26">
        <f t="shared" si="8"/>
        <v>0.245</v>
      </c>
      <c r="AG19" s="26">
        <f t="shared" si="8"/>
        <v>0.25</v>
      </c>
      <c r="AH19" s="26">
        <f t="shared" si="9"/>
        <v>0.255</v>
      </c>
      <c r="AI19" s="26">
        <f t="shared" si="9"/>
        <v>0.26</v>
      </c>
      <c r="AJ19" s="26">
        <f t="shared" si="9"/>
        <v>0.26500000000000001</v>
      </c>
      <c r="AK19" s="26">
        <f t="shared" si="9"/>
        <v>0.27</v>
      </c>
      <c r="AL19" s="26">
        <f t="shared" si="9"/>
        <v>0.27500000000000002</v>
      </c>
      <c r="AM19" s="26">
        <f t="shared" si="9"/>
        <v>0.28000000000000003</v>
      </c>
      <c r="AN19" s="26">
        <f t="shared" si="9"/>
        <v>0.28499999999999998</v>
      </c>
      <c r="AO19" s="26">
        <f t="shared" si="9"/>
        <v>0.28999999999999998</v>
      </c>
      <c r="AP19" s="26">
        <f t="shared" si="9"/>
        <v>0.29499999999999998</v>
      </c>
      <c r="AQ19" s="26">
        <f t="shared" si="9"/>
        <v>0.3</v>
      </c>
      <c r="AR19" s="26">
        <f t="shared" si="9"/>
        <v>0.30499999999999999</v>
      </c>
      <c r="AS19" s="26">
        <f t="shared" si="9"/>
        <v>0.31</v>
      </c>
      <c r="AT19" s="26">
        <f t="shared" si="9"/>
        <v>0.315</v>
      </c>
      <c r="AU19" s="26">
        <f t="shared" si="9"/>
        <v>0.32</v>
      </c>
      <c r="AV19" s="26">
        <f t="shared" si="9"/>
        <v>0.32500000000000001</v>
      </c>
      <c r="AW19" s="26">
        <f t="shared" si="9"/>
        <v>0.33</v>
      </c>
      <c r="AX19" s="26">
        <f t="shared" si="10"/>
        <v>0.33500000000000002</v>
      </c>
      <c r="AY19" s="26">
        <f t="shared" si="10"/>
        <v>0.34</v>
      </c>
      <c r="AZ19" s="26">
        <f t="shared" si="10"/>
        <v>0.34499999999999997</v>
      </c>
      <c r="BA19" s="26">
        <f t="shared" si="10"/>
        <v>0.35</v>
      </c>
      <c r="BB19" s="26">
        <f t="shared" si="10"/>
        <v>0.35499999999999998</v>
      </c>
      <c r="BC19" s="26">
        <f t="shared" si="10"/>
        <v>0.36</v>
      </c>
      <c r="BD19" s="26">
        <f t="shared" si="10"/>
        <v>0.36499999999999999</v>
      </c>
      <c r="BE19" s="26">
        <f t="shared" si="10"/>
        <v>0.37</v>
      </c>
      <c r="BF19" s="26">
        <f t="shared" si="10"/>
        <v>0.375</v>
      </c>
      <c r="BG19" s="26">
        <f t="shared" si="10"/>
        <v>0.38</v>
      </c>
      <c r="BH19" s="26">
        <f t="shared" si="10"/>
        <v>0.38500000000000001</v>
      </c>
      <c r="BI19" s="26">
        <f t="shared" si="10"/>
        <v>0.39</v>
      </c>
      <c r="BJ19" s="26">
        <f t="shared" si="10"/>
        <v>0.39500000000000002</v>
      </c>
      <c r="BK19" s="26">
        <f t="shared" si="10"/>
        <v>0.4</v>
      </c>
      <c r="BL19" s="26">
        <f t="shared" si="10"/>
        <v>0.40500000000000003</v>
      </c>
      <c r="BM19" s="26">
        <f t="shared" si="10"/>
        <v>0.41</v>
      </c>
      <c r="BN19" s="26">
        <f t="shared" si="11"/>
        <v>0.41499999999999998</v>
      </c>
      <c r="BO19" s="26">
        <f t="shared" si="11"/>
        <v>0.42</v>
      </c>
      <c r="BP19" s="26">
        <f t="shared" si="11"/>
        <v>0.42499999999999999</v>
      </c>
      <c r="BQ19" s="26">
        <f t="shared" si="11"/>
        <v>0.43</v>
      </c>
      <c r="BR19" s="26">
        <f t="shared" si="11"/>
        <v>0.435</v>
      </c>
      <c r="BS19" s="26">
        <f t="shared" si="11"/>
        <v>0.44</v>
      </c>
      <c r="BT19" s="26">
        <f t="shared" si="11"/>
        <v>0.44500000000000001</v>
      </c>
      <c r="BU19" s="26">
        <f t="shared" si="11"/>
        <v>0.45</v>
      </c>
      <c r="BV19" s="26">
        <f t="shared" si="11"/>
        <v>0.45500000000000002</v>
      </c>
      <c r="BW19" s="26">
        <f t="shared" si="11"/>
        <v>0.46</v>
      </c>
      <c r="BX19" s="26">
        <f t="shared" si="11"/>
        <v>0.46500000000000002</v>
      </c>
      <c r="BY19" s="26">
        <f t="shared" si="11"/>
        <v>0.47</v>
      </c>
      <c r="BZ19" s="26">
        <f t="shared" si="11"/>
        <v>0.47499999999999998</v>
      </c>
      <c r="CA19" s="26">
        <f t="shared" si="11"/>
        <v>0.48</v>
      </c>
      <c r="CB19" s="26">
        <f t="shared" si="11"/>
        <v>0.48499999999999999</v>
      </c>
      <c r="CC19" s="26">
        <f t="shared" si="11"/>
        <v>0.49</v>
      </c>
      <c r="CD19" s="26">
        <f t="shared" si="12"/>
        <v>0.495</v>
      </c>
      <c r="CE19" s="26">
        <f t="shared" si="12"/>
        <v>0.5</v>
      </c>
      <c r="CF19" s="26">
        <f t="shared" si="12"/>
        <v>0.505</v>
      </c>
      <c r="CG19" s="26">
        <f t="shared" si="12"/>
        <v>0.51</v>
      </c>
      <c r="CH19" s="26">
        <f t="shared" si="12"/>
        <v>0.51500000000000001</v>
      </c>
      <c r="CI19" s="26">
        <f t="shared" si="12"/>
        <v>0.52</v>
      </c>
      <c r="CJ19" s="26">
        <f t="shared" si="12"/>
        <v>0.52500000000000002</v>
      </c>
      <c r="CK19" s="26">
        <f t="shared" si="12"/>
        <v>0.53</v>
      </c>
      <c r="CL19" s="26">
        <f t="shared" si="12"/>
        <v>0.53500000000000003</v>
      </c>
      <c r="CM19" s="26">
        <f t="shared" si="12"/>
        <v>0.54</v>
      </c>
      <c r="CN19" s="26">
        <f t="shared" si="12"/>
        <v>0.54500000000000004</v>
      </c>
      <c r="CO19" s="26">
        <f t="shared" si="12"/>
        <v>0.55000000000000004</v>
      </c>
      <c r="CP19" s="26">
        <f t="shared" si="12"/>
        <v>0.55500000000000005</v>
      </c>
      <c r="CQ19" s="26">
        <f t="shared" si="12"/>
        <v>0.56000000000000005</v>
      </c>
      <c r="CR19" s="26">
        <f t="shared" si="12"/>
        <v>0.56499999999999995</v>
      </c>
      <c r="CS19" s="26">
        <f t="shared" si="12"/>
        <v>0.56999999999999995</v>
      </c>
      <c r="CT19" s="26">
        <f t="shared" si="13"/>
        <v>0.57499999999999996</v>
      </c>
      <c r="CU19" s="26">
        <f t="shared" si="6"/>
        <v>0.57999999999999996</v>
      </c>
      <c r="CV19" s="26">
        <f t="shared" si="6"/>
        <v>0.58499999999999996</v>
      </c>
      <c r="CW19" s="26">
        <f t="shared" si="6"/>
        <v>0.59</v>
      </c>
    </row>
    <row r="20" spans="2:101" ht="20.100000000000001" customHeight="1">
      <c r="B20" s="26">
        <f t="shared" si="14"/>
        <v>0.1</v>
      </c>
      <c r="C20" s="26">
        <f t="shared" si="14"/>
        <v>0.105</v>
      </c>
      <c r="D20" s="26">
        <f t="shared" si="14"/>
        <v>0.11</v>
      </c>
      <c r="E20" s="26">
        <f t="shared" si="14"/>
        <v>0.115</v>
      </c>
      <c r="F20" s="26">
        <f t="shared" si="14"/>
        <v>0.12</v>
      </c>
      <c r="G20" s="26">
        <f t="shared" si="14"/>
        <v>0.125</v>
      </c>
      <c r="H20" s="26">
        <f t="shared" si="14"/>
        <v>0.13</v>
      </c>
      <c r="I20" s="26">
        <f t="shared" si="14"/>
        <v>0.13500000000000001</v>
      </c>
      <c r="J20" s="26">
        <f t="shared" si="14"/>
        <v>0.14000000000000001</v>
      </c>
      <c r="K20" s="26">
        <f t="shared" si="14"/>
        <v>0.14499999999999999</v>
      </c>
      <c r="L20" s="26">
        <f t="shared" si="14"/>
        <v>0.15</v>
      </c>
      <c r="M20" s="26">
        <f t="shared" si="14"/>
        <v>0.155</v>
      </c>
      <c r="N20" s="26">
        <f t="shared" si="14"/>
        <v>0.16</v>
      </c>
      <c r="O20" s="26">
        <f t="shared" si="14"/>
        <v>0.16500000000000001</v>
      </c>
      <c r="P20" s="26">
        <f t="shared" si="14"/>
        <v>0.17</v>
      </c>
      <c r="Q20" s="26">
        <f t="shared" si="14"/>
        <v>0.17499999999999999</v>
      </c>
      <c r="R20" s="26">
        <f t="shared" si="8"/>
        <v>0.18</v>
      </c>
      <c r="S20" s="26">
        <f t="shared" si="8"/>
        <v>0.185</v>
      </c>
      <c r="T20" s="26">
        <f t="shared" si="8"/>
        <v>0.19</v>
      </c>
      <c r="U20" s="26">
        <f t="shared" si="8"/>
        <v>0.19500000000000001</v>
      </c>
      <c r="V20" s="26">
        <f t="shared" si="8"/>
        <v>0.2</v>
      </c>
      <c r="W20" s="26">
        <f t="shared" si="8"/>
        <v>0.20499999999999999</v>
      </c>
      <c r="X20" s="26">
        <f t="shared" si="8"/>
        <v>0.21</v>
      </c>
      <c r="Y20" s="26">
        <f t="shared" si="8"/>
        <v>0.215</v>
      </c>
      <c r="Z20" s="26">
        <f t="shared" si="8"/>
        <v>0.22</v>
      </c>
      <c r="AA20" s="26">
        <f t="shared" si="8"/>
        <v>0.22500000000000001</v>
      </c>
      <c r="AB20" s="26">
        <f t="shared" si="8"/>
        <v>0.23</v>
      </c>
      <c r="AC20" s="26">
        <f t="shared" si="8"/>
        <v>0.23499999999999999</v>
      </c>
      <c r="AD20" s="26">
        <f t="shared" si="8"/>
        <v>0.24</v>
      </c>
      <c r="AE20" s="26">
        <f t="shared" si="8"/>
        <v>0.245</v>
      </c>
      <c r="AF20" s="26">
        <f t="shared" si="8"/>
        <v>0.25</v>
      </c>
      <c r="AG20" s="26">
        <f t="shared" si="8"/>
        <v>0.255</v>
      </c>
      <c r="AH20" s="26">
        <f t="shared" si="9"/>
        <v>0.26</v>
      </c>
      <c r="AI20" s="26">
        <f t="shared" si="9"/>
        <v>0.26500000000000001</v>
      </c>
      <c r="AJ20" s="26">
        <f t="shared" si="9"/>
        <v>0.27</v>
      </c>
      <c r="AK20" s="26">
        <f t="shared" si="9"/>
        <v>0.27500000000000002</v>
      </c>
      <c r="AL20" s="26">
        <f t="shared" si="9"/>
        <v>0.28000000000000003</v>
      </c>
      <c r="AM20" s="26">
        <f t="shared" si="9"/>
        <v>0.28499999999999998</v>
      </c>
      <c r="AN20" s="26">
        <f t="shared" si="9"/>
        <v>0.28999999999999998</v>
      </c>
      <c r="AO20" s="26">
        <f t="shared" si="9"/>
        <v>0.29499999999999998</v>
      </c>
      <c r="AP20" s="26">
        <f t="shared" si="9"/>
        <v>0.3</v>
      </c>
      <c r="AQ20" s="26">
        <f t="shared" si="9"/>
        <v>0.30499999999999999</v>
      </c>
      <c r="AR20" s="26">
        <f t="shared" si="9"/>
        <v>0.31</v>
      </c>
      <c r="AS20" s="26">
        <f t="shared" si="9"/>
        <v>0.315</v>
      </c>
      <c r="AT20" s="26">
        <f t="shared" si="9"/>
        <v>0.32</v>
      </c>
      <c r="AU20" s="26">
        <f t="shared" si="9"/>
        <v>0.32500000000000001</v>
      </c>
      <c r="AV20" s="26">
        <f t="shared" si="9"/>
        <v>0.33</v>
      </c>
      <c r="AW20" s="26">
        <f t="shared" si="9"/>
        <v>0.33500000000000002</v>
      </c>
      <c r="AX20" s="26">
        <f t="shared" si="10"/>
        <v>0.34</v>
      </c>
      <c r="AY20" s="26">
        <f t="shared" si="10"/>
        <v>0.34499999999999997</v>
      </c>
      <c r="AZ20" s="26">
        <f t="shared" si="10"/>
        <v>0.35</v>
      </c>
      <c r="BA20" s="26">
        <f t="shared" si="10"/>
        <v>0.35499999999999998</v>
      </c>
      <c r="BB20" s="26">
        <f t="shared" si="10"/>
        <v>0.36</v>
      </c>
      <c r="BC20" s="26">
        <f t="shared" si="10"/>
        <v>0.36499999999999999</v>
      </c>
      <c r="BD20" s="26">
        <f t="shared" si="10"/>
        <v>0.37</v>
      </c>
      <c r="BE20" s="26">
        <f t="shared" si="10"/>
        <v>0.375</v>
      </c>
      <c r="BF20" s="26">
        <f t="shared" si="10"/>
        <v>0.38</v>
      </c>
      <c r="BG20" s="26">
        <f t="shared" si="10"/>
        <v>0.38500000000000001</v>
      </c>
      <c r="BH20" s="26">
        <f t="shared" si="10"/>
        <v>0.39</v>
      </c>
      <c r="BI20" s="26">
        <f t="shared" si="10"/>
        <v>0.39500000000000002</v>
      </c>
      <c r="BJ20" s="26">
        <f t="shared" si="10"/>
        <v>0.4</v>
      </c>
      <c r="BK20" s="26">
        <f t="shared" si="10"/>
        <v>0.40500000000000003</v>
      </c>
      <c r="BL20" s="26">
        <f t="shared" si="10"/>
        <v>0.41</v>
      </c>
      <c r="BM20" s="26">
        <f t="shared" si="10"/>
        <v>0.41499999999999998</v>
      </c>
      <c r="BN20" s="26">
        <f t="shared" si="11"/>
        <v>0.42</v>
      </c>
      <c r="BO20" s="26">
        <f t="shared" si="11"/>
        <v>0.42499999999999999</v>
      </c>
      <c r="BP20" s="26">
        <f t="shared" si="11"/>
        <v>0.43</v>
      </c>
      <c r="BQ20" s="26">
        <f t="shared" si="11"/>
        <v>0.435</v>
      </c>
      <c r="BR20" s="26">
        <f t="shared" si="11"/>
        <v>0.44</v>
      </c>
      <c r="BS20" s="26">
        <f t="shared" si="11"/>
        <v>0.44500000000000001</v>
      </c>
      <c r="BT20" s="26">
        <f t="shared" si="11"/>
        <v>0.45</v>
      </c>
      <c r="BU20" s="26">
        <f t="shared" si="11"/>
        <v>0.45500000000000002</v>
      </c>
      <c r="BV20" s="26">
        <f t="shared" si="11"/>
        <v>0.46</v>
      </c>
      <c r="BW20" s="26">
        <f t="shared" si="11"/>
        <v>0.46500000000000002</v>
      </c>
      <c r="BX20" s="26">
        <f t="shared" si="11"/>
        <v>0.47</v>
      </c>
      <c r="BY20" s="26">
        <f t="shared" si="11"/>
        <v>0.47499999999999998</v>
      </c>
      <c r="BZ20" s="26">
        <f t="shared" si="11"/>
        <v>0.48</v>
      </c>
      <c r="CA20" s="26">
        <f t="shared" si="11"/>
        <v>0.48499999999999999</v>
      </c>
      <c r="CB20" s="26">
        <f t="shared" si="11"/>
        <v>0.49</v>
      </c>
      <c r="CC20" s="26">
        <f t="shared" si="11"/>
        <v>0.495</v>
      </c>
      <c r="CD20" s="26">
        <f t="shared" si="12"/>
        <v>0.5</v>
      </c>
      <c r="CE20" s="26">
        <f t="shared" si="12"/>
        <v>0.505</v>
      </c>
      <c r="CF20" s="26">
        <f t="shared" si="12"/>
        <v>0.51</v>
      </c>
      <c r="CG20" s="26">
        <f t="shared" si="12"/>
        <v>0.51500000000000001</v>
      </c>
      <c r="CH20" s="26">
        <f t="shared" si="12"/>
        <v>0.52</v>
      </c>
      <c r="CI20" s="26">
        <f t="shared" si="12"/>
        <v>0.52500000000000002</v>
      </c>
      <c r="CJ20" s="26">
        <f t="shared" si="12"/>
        <v>0.53</v>
      </c>
      <c r="CK20" s="26">
        <f t="shared" si="12"/>
        <v>0.53500000000000003</v>
      </c>
      <c r="CL20" s="26">
        <f t="shared" si="12"/>
        <v>0.54</v>
      </c>
      <c r="CM20" s="26">
        <f t="shared" si="12"/>
        <v>0.54500000000000004</v>
      </c>
      <c r="CN20" s="26">
        <f t="shared" si="12"/>
        <v>0.55000000000000004</v>
      </c>
      <c r="CO20" s="26">
        <f t="shared" si="12"/>
        <v>0.55500000000000005</v>
      </c>
      <c r="CP20" s="26">
        <f t="shared" si="12"/>
        <v>0.56000000000000005</v>
      </c>
      <c r="CQ20" s="26">
        <f t="shared" si="12"/>
        <v>0.56499999999999995</v>
      </c>
      <c r="CR20" s="26">
        <f t="shared" si="12"/>
        <v>0.56999999999999995</v>
      </c>
      <c r="CS20" s="26">
        <f t="shared" si="12"/>
        <v>0.57499999999999996</v>
      </c>
      <c r="CT20" s="26">
        <f t="shared" si="13"/>
        <v>0.57999999999999996</v>
      </c>
      <c r="CU20" s="26">
        <f t="shared" si="6"/>
        <v>0.58499999999999996</v>
      </c>
      <c r="CV20" s="26">
        <f t="shared" si="6"/>
        <v>0.59</v>
      </c>
      <c r="CW20" s="26">
        <f t="shared" si="6"/>
        <v>0.59499999999999997</v>
      </c>
    </row>
    <row r="21" spans="2:101" ht="20.100000000000001" customHeight="1">
      <c r="B21" s="26">
        <f t="shared" si="14"/>
        <v>0.105</v>
      </c>
      <c r="C21" s="26">
        <f t="shared" si="14"/>
        <v>0.11</v>
      </c>
      <c r="D21" s="26">
        <f t="shared" si="14"/>
        <v>0.115</v>
      </c>
      <c r="E21" s="26">
        <f t="shared" si="14"/>
        <v>0.12</v>
      </c>
      <c r="F21" s="26">
        <f t="shared" si="14"/>
        <v>0.125</v>
      </c>
      <c r="G21" s="26">
        <f t="shared" si="14"/>
        <v>0.13</v>
      </c>
      <c r="H21" s="26">
        <f t="shared" si="14"/>
        <v>0.13500000000000001</v>
      </c>
      <c r="I21" s="26">
        <f t="shared" si="14"/>
        <v>0.14000000000000001</v>
      </c>
      <c r="J21" s="26">
        <f t="shared" si="14"/>
        <v>0.14499999999999999</v>
      </c>
      <c r="K21" s="26">
        <f t="shared" si="14"/>
        <v>0.15</v>
      </c>
      <c r="L21" s="26">
        <f t="shared" si="14"/>
        <v>0.155</v>
      </c>
      <c r="M21" s="26">
        <f t="shared" si="14"/>
        <v>0.16</v>
      </c>
      <c r="N21" s="26">
        <f t="shared" si="14"/>
        <v>0.16500000000000001</v>
      </c>
      <c r="O21" s="26">
        <f t="shared" si="14"/>
        <v>0.17</v>
      </c>
      <c r="P21" s="26">
        <f t="shared" si="14"/>
        <v>0.17499999999999999</v>
      </c>
      <c r="Q21" s="26">
        <f t="shared" si="14"/>
        <v>0.18</v>
      </c>
      <c r="R21" s="26">
        <f t="shared" si="8"/>
        <v>0.185</v>
      </c>
      <c r="S21" s="26">
        <f t="shared" si="8"/>
        <v>0.19</v>
      </c>
      <c r="T21" s="26">
        <f t="shared" si="8"/>
        <v>0.19500000000000001</v>
      </c>
      <c r="U21" s="26">
        <f t="shared" si="8"/>
        <v>0.2</v>
      </c>
      <c r="V21" s="26">
        <f t="shared" si="8"/>
        <v>0.20499999999999999</v>
      </c>
      <c r="W21" s="26">
        <f t="shared" si="8"/>
        <v>0.21</v>
      </c>
      <c r="X21" s="26">
        <f t="shared" si="8"/>
        <v>0.215</v>
      </c>
      <c r="Y21" s="26">
        <f t="shared" si="8"/>
        <v>0.22</v>
      </c>
      <c r="Z21" s="26">
        <f t="shared" si="8"/>
        <v>0.22500000000000001</v>
      </c>
      <c r="AA21" s="26">
        <f t="shared" si="8"/>
        <v>0.23</v>
      </c>
      <c r="AB21" s="26">
        <f t="shared" si="8"/>
        <v>0.23499999999999999</v>
      </c>
      <c r="AC21" s="26">
        <f t="shared" si="8"/>
        <v>0.24</v>
      </c>
      <c r="AD21" s="26">
        <f t="shared" si="8"/>
        <v>0.245</v>
      </c>
      <c r="AE21" s="26">
        <f t="shared" si="8"/>
        <v>0.25</v>
      </c>
      <c r="AF21" s="26">
        <f t="shared" si="8"/>
        <v>0.255</v>
      </c>
      <c r="AG21" s="26">
        <f t="shared" si="8"/>
        <v>0.26</v>
      </c>
      <c r="AH21" s="26">
        <f t="shared" si="9"/>
        <v>0.26500000000000001</v>
      </c>
      <c r="AI21" s="26">
        <f t="shared" si="9"/>
        <v>0.27</v>
      </c>
      <c r="AJ21" s="26">
        <f t="shared" si="9"/>
        <v>0.27500000000000002</v>
      </c>
      <c r="AK21" s="26">
        <f t="shared" si="9"/>
        <v>0.28000000000000003</v>
      </c>
      <c r="AL21" s="26">
        <f t="shared" si="9"/>
        <v>0.28499999999999998</v>
      </c>
      <c r="AM21" s="26">
        <f t="shared" si="9"/>
        <v>0.28999999999999998</v>
      </c>
      <c r="AN21" s="26">
        <f t="shared" si="9"/>
        <v>0.29499999999999998</v>
      </c>
      <c r="AO21" s="26">
        <f t="shared" si="9"/>
        <v>0.3</v>
      </c>
      <c r="AP21" s="26">
        <f t="shared" si="9"/>
        <v>0.30499999999999999</v>
      </c>
      <c r="AQ21" s="26">
        <f t="shared" si="9"/>
        <v>0.31</v>
      </c>
      <c r="AR21" s="26">
        <f t="shared" si="9"/>
        <v>0.315</v>
      </c>
      <c r="AS21" s="26">
        <f t="shared" si="9"/>
        <v>0.32</v>
      </c>
      <c r="AT21" s="26">
        <f t="shared" si="9"/>
        <v>0.32500000000000001</v>
      </c>
      <c r="AU21" s="26">
        <f t="shared" si="9"/>
        <v>0.33</v>
      </c>
      <c r="AV21" s="26">
        <f t="shared" si="9"/>
        <v>0.33500000000000002</v>
      </c>
      <c r="AW21" s="26">
        <f t="shared" si="9"/>
        <v>0.34</v>
      </c>
      <c r="AX21" s="26">
        <f t="shared" si="10"/>
        <v>0.34499999999999997</v>
      </c>
      <c r="AY21" s="26">
        <f t="shared" si="10"/>
        <v>0.35</v>
      </c>
      <c r="AZ21" s="26">
        <f t="shared" si="10"/>
        <v>0.35499999999999998</v>
      </c>
      <c r="BA21" s="26">
        <f t="shared" si="10"/>
        <v>0.36</v>
      </c>
      <c r="BB21" s="26">
        <f t="shared" si="10"/>
        <v>0.36499999999999999</v>
      </c>
      <c r="BC21" s="26">
        <f t="shared" si="10"/>
        <v>0.37</v>
      </c>
      <c r="BD21" s="26">
        <f t="shared" si="10"/>
        <v>0.375</v>
      </c>
      <c r="BE21" s="26">
        <f t="shared" si="10"/>
        <v>0.38</v>
      </c>
      <c r="BF21" s="26">
        <f t="shared" si="10"/>
        <v>0.38500000000000001</v>
      </c>
      <c r="BG21" s="26">
        <f t="shared" si="10"/>
        <v>0.39</v>
      </c>
      <c r="BH21" s="26">
        <f t="shared" si="10"/>
        <v>0.39500000000000002</v>
      </c>
      <c r="BI21" s="26">
        <f t="shared" si="10"/>
        <v>0.4</v>
      </c>
      <c r="BJ21" s="26">
        <f t="shared" si="10"/>
        <v>0.40500000000000003</v>
      </c>
      <c r="BK21" s="26">
        <f t="shared" si="10"/>
        <v>0.41</v>
      </c>
      <c r="BL21" s="26">
        <f t="shared" si="10"/>
        <v>0.41499999999999998</v>
      </c>
      <c r="BM21" s="26">
        <f t="shared" si="10"/>
        <v>0.42</v>
      </c>
      <c r="BN21" s="26">
        <f t="shared" si="11"/>
        <v>0.42499999999999999</v>
      </c>
      <c r="BO21" s="26">
        <f t="shared" si="11"/>
        <v>0.43</v>
      </c>
      <c r="BP21" s="26">
        <f t="shared" si="11"/>
        <v>0.435</v>
      </c>
      <c r="BQ21" s="26">
        <f t="shared" si="11"/>
        <v>0.44</v>
      </c>
      <c r="BR21" s="26">
        <f t="shared" si="11"/>
        <v>0.44500000000000001</v>
      </c>
      <c r="BS21" s="26">
        <f t="shared" si="11"/>
        <v>0.45</v>
      </c>
      <c r="BT21" s="26">
        <f t="shared" si="11"/>
        <v>0.45500000000000002</v>
      </c>
      <c r="BU21" s="26">
        <f t="shared" si="11"/>
        <v>0.46</v>
      </c>
      <c r="BV21" s="26">
        <f t="shared" si="11"/>
        <v>0.46500000000000002</v>
      </c>
      <c r="BW21" s="26">
        <f t="shared" si="11"/>
        <v>0.47</v>
      </c>
      <c r="BX21" s="26">
        <f t="shared" si="11"/>
        <v>0.47499999999999998</v>
      </c>
      <c r="BY21" s="26">
        <f t="shared" si="11"/>
        <v>0.48</v>
      </c>
      <c r="BZ21" s="26">
        <f t="shared" si="11"/>
        <v>0.48499999999999999</v>
      </c>
      <c r="CA21" s="26">
        <f t="shared" si="11"/>
        <v>0.49</v>
      </c>
      <c r="CB21" s="26">
        <f t="shared" si="11"/>
        <v>0.495</v>
      </c>
      <c r="CC21" s="26">
        <f t="shared" si="11"/>
        <v>0.5</v>
      </c>
      <c r="CD21" s="26">
        <f t="shared" si="12"/>
        <v>0.505</v>
      </c>
      <c r="CE21" s="26">
        <f t="shared" si="12"/>
        <v>0.51</v>
      </c>
      <c r="CF21" s="26">
        <f t="shared" si="12"/>
        <v>0.51500000000000001</v>
      </c>
      <c r="CG21" s="26">
        <f t="shared" si="12"/>
        <v>0.52</v>
      </c>
      <c r="CH21" s="26">
        <f t="shared" si="12"/>
        <v>0.52500000000000002</v>
      </c>
      <c r="CI21" s="26">
        <f t="shared" si="12"/>
        <v>0.53</v>
      </c>
      <c r="CJ21" s="26">
        <f t="shared" si="12"/>
        <v>0.53500000000000003</v>
      </c>
      <c r="CK21" s="26">
        <f t="shared" si="12"/>
        <v>0.54</v>
      </c>
      <c r="CL21" s="26">
        <f t="shared" si="12"/>
        <v>0.54500000000000004</v>
      </c>
      <c r="CM21" s="26">
        <f t="shared" si="12"/>
        <v>0.55000000000000004</v>
      </c>
      <c r="CN21" s="26">
        <f t="shared" si="12"/>
        <v>0.55500000000000005</v>
      </c>
      <c r="CO21" s="26">
        <f t="shared" si="12"/>
        <v>0.56000000000000005</v>
      </c>
      <c r="CP21" s="26">
        <f t="shared" si="12"/>
        <v>0.56499999999999995</v>
      </c>
      <c r="CQ21" s="26">
        <f t="shared" si="12"/>
        <v>0.56999999999999995</v>
      </c>
      <c r="CR21" s="26">
        <f t="shared" si="12"/>
        <v>0.57499999999999996</v>
      </c>
      <c r="CS21" s="26">
        <f t="shared" si="12"/>
        <v>0.57999999999999996</v>
      </c>
      <c r="CT21" s="26">
        <f t="shared" si="13"/>
        <v>0.58499999999999996</v>
      </c>
      <c r="CU21" s="26">
        <f t="shared" si="6"/>
        <v>0.59</v>
      </c>
      <c r="CV21" s="26">
        <f t="shared" si="6"/>
        <v>0.59499999999999997</v>
      </c>
      <c r="CW21" s="26">
        <f t="shared" si="6"/>
        <v>0.6</v>
      </c>
    </row>
    <row r="22" spans="2:101" ht="20.100000000000001" customHeight="1">
      <c r="B22" s="26">
        <f t="shared" si="14"/>
        <v>0.11</v>
      </c>
      <c r="C22" s="26">
        <f t="shared" si="14"/>
        <v>0.115</v>
      </c>
      <c r="D22" s="26">
        <f t="shared" si="14"/>
        <v>0.12</v>
      </c>
      <c r="E22" s="26">
        <f t="shared" si="14"/>
        <v>0.125</v>
      </c>
      <c r="F22" s="26">
        <f t="shared" si="14"/>
        <v>0.13</v>
      </c>
      <c r="G22" s="26">
        <f t="shared" si="14"/>
        <v>0.13500000000000001</v>
      </c>
      <c r="H22" s="26">
        <f t="shared" si="14"/>
        <v>0.14000000000000001</v>
      </c>
      <c r="I22" s="26">
        <f t="shared" si="14"/>
        <v>0.14499999999999999</v>
      </c>
      <c r="J22" s="26">
        <f t="shared" si="14"/>
        <v>0.15</v>
      </c>
      <c r="K22" s="26">
        <f t="shared" si="14"/>
        <v>0.155</v>
      </c>
      <c r="L22" s="26">
        <f t="shared" si="14"/>
        <v>0.16</v>
      </c>
      <c r="M22" s="26">
        <f t="shared" si="14"/>
        <v>0.16500000000000001</v>
      </c>
      <c r="N22" s="26">
        <f t="shared" si="14"/>
        <v>0.17</v>
      </c>
      <c r="O22" s="26">
        <f t="shared" si="14"/>
        <v>0.17499999999999999</v>
      </c>
      <c r="P22" s="26">
        <f t="shared" si="14"/>
        <v>0.18</v>
      </c>
      <c r="Q22" s="26">
        <f t="shared" si="14"/>
        <v>0.185</v>
      </c>
      <c r="R22" s="26">
        <f t="shared" si="8"/>
        <v>0.19</v>
      </c>
      <c r="S22" s="26">
        <f t="shared" si="8"/>
        <v>0.19500000000000001</v>
      </c>
      <c r="T22" s="26">
        <f t="shared" si="8"/>
        <v>0.2</v>
      </c>
      <c r="U22" s="26">
        <f t="shared" si="8"/>
        <v>0.20499999999999999</v>
      </c>
      <c r="V22" s="26">
        <f t="shared" si="8"/>
        <v>0.21</v>
      </c>
      <c r="W22" s="26">
        <f t="shared" si="8"/>
        <v>0.215</v>
      </c>
      <c r="X22" s="26">
        <f t="shared" si="8"/>
        <v>0.22</v>
      </c>
      <c r="Y22" s="26">
        <f t="shared" si="8"/>
        <v>0.22500000000000001</v>
      </c>
      <c r="Z22" s="26">
        <f t="shared" si="8"/>
        <v>0.23</v>
      </c>
      <c r="AA22" s="26">
        <f t="shared" si="8"/>
        <v>0.23499999999999999</v>
      </c>
      <c r="AB22" s="26">
        <f t="shared" si="8"/>
        <v>0.24</v>
      </c>
      <c r="AC22" s="26">
        <f t="shared" si="8"/>
        <v>0.245</v>
      </c>
      <c r="AD22" s="26">
        <f t="shared" si="8"/>
        <v>0.25</v>
      </c>
      <c r="AE22" s="26">
        <f t="shared" si="8"/>
        <v>0.255</v>
      </c>
      <c r="AF22" s="26">
        <f t="shared" si="8"/>
        <v>0.26</v>
      </c>
      <c r="AG22" s="26">
        <f t="shared" si="8"/>
        <v>0.26500000000000001</v>
      </c>
      <c r="AH22" s="26">
        <f t="shared" si="9"/>
        <v>0.27</v>
      </c>
      <c r="AI22" s="26">
        <f t="shared" si="9"/>
        <v>0.27500000000000002</v>
      </c>
      <c r="AJ22" s="26">
        <f t="shared" si="9"/>
        <v>0.28000000000000003</v>
      </c>
      <c r="AK22" s="26">
        <f t="shared" si="9"/>
        <v>0.28499999999999998</v>
      </c>
      <c r="AL22" s="26">
        <f t="shared" si="9"/>
        <v>0.28999999999999998</v>
      </c>
      <c r="AM22" s="26">
        <f t="shared" si="9"/>
        <v>0.29499999999999998</v>
      </c>
      <c r="AN22" s="26">
        <f t="shared" si="9"/>
        <v>0.3</v>
      </c>
      <c r="AO22" s="26">
        <f t="shared" si="9"/>
        <v>0.30499999999999999</v>
      </c>
      <c r="AP22" s="26">
        <f t="shared" si="9"/>
        <v>0.31</v>
      </c>
      <c r="AQ22" s="26">
        <f t="shared" si="9"/>
        <v>0.315</v>
      </c>
      <c r="AR22" s="26">
        <f t="shared" si="9"/>
        <v>0.32</v>
      </c>
      <c r="AS22" s="26">
        <f t="shared" si="9"/>
        <v>0.32500000000000001</v>
      </c>
      <c r="AT22" s="26">
        <f t="shared" si="9"/>
        <v>0.33</v>
      </c>
      <c r="AU22" s="26">
        <f t="shared" si="9"/>
        <v>0.33500000000000002</v>
      </c>
      <c r="AV22" s="26">
        <f t="shared" si="9"/>
        <v>0.34</v>
      </c>
      <c r="AW22" s="26">
        <f t="shared" si="9"/>
        <v>0.34499999999999997</v>
      </c>
      <c r="AX22" s="26">
        <f t="shared" si="10"/>
        <v>0.35</v>
      </c>
      <c r="AY22" s="26">
        <f t="shared" si="10"/>
        <v>0.35499999999999998</v>
      </c>
      <c r="AZ22" s="26">
        <f t="shared" si="10"/>
        <v>0.36</v>
      </c>
      <c r="BA22" s="26">
        <f t="shared" si="10"/>
        <v>0.36499999999999999</v>
      </c>
      <c r="BB22" s="26">
        <f t="shared" si="10"/>
        <v>0.37</v>
      </c>
      <c r="BC22" s="26">
        <f t="shared" si="10"/>
        <v>0.375</v>
      </c>
      <c r="BD22" s="26">
        <f t="shared" si="10"/>
        <v>0.38</v>
      </c>
      <c r="BE22" s="26">
        <f t="shared" si="10"/>
        <v>0.38500000000000001</v>
      </c>
      <c r="BF22" s="26">
        <f t="shared" si="10"/>
        <v>0.39</v>
      </c>
      <c r="BG22" s="26">
        <f t="shared" si="10"/>
        <v>0.39500000000000002</v>
      </c>
      <c r="BH22" s="26">
        <f t="shared" si="10"/>
        <v>0.4</v>
      </c>
      <c r="BI22" s="26">
        <f t="shared" si="10"/>
        <v>0.40500000000000003</v>
      </c>
      <c r="BJ22" s="26">
        <f t="shared" si="10"/>
        <v>0.41</v>
      </c>
      <c r="BK22" s="26">
        <f t="shared" si="10"/>
        <v>0.41499999999999998</v>
      </c>
      <c r="BL22" s="26">
        <f t="shared" si="10"/>
        <v>0.42</v>
      </c>
      <c r="BM22" s="26">
        <f t="shared" si="10"/>
        <v>0.42499999999999999</v>
      </c>
      <c r="BN22" s="26">
        <f t="shared" si="11"/>
        <v>0.43</v>
      </c>
      <c r="BO22" s="26">
        <f t="shared" si="11"/>
        <v>0.435</v>
      </c>
      <c r="BP22" s="26">
        <f t="shared" si="11"/>
        <v>0.44</v>
      </c>
      <c r="BQ22" s="26">
        <f t="shared" si="11"/>
        <v>0.44500000000000001</v>
      </c>
      <c r="BR22" s="26">
        <f t="shared" si="11"/>
        <v>0.45</v>
      </c>
      <c r="BS22" s="26">
        <f t="shared" si="11"/>
        <v>0.45500000000000002</v>
      </c>
      <c r="BT22" s="26">
        <f t="shared" si="11"/>
        <v>0.46</v>
      </c>
      <c r="BU22" s="26">
        <f t="shared" si="11"/>
        <v>0.46500000000000002</v>
      </c>
      <c r="BV22" s="26">
        <f t="shared" si="11"/>
        <v>0.47</v>
      </c>
      <c r="BW22" s="26">
        <f t="shared" si="11"/>
        <v>0.47499999999999998</v>
      </c>
      <c r="BX22" s="26">
        <f t="shared" si="11"/>
        <v>0.48</v>
      </c>
      <c r="BY22" s="26">
        <f t="shared" si="11"/>
        <v>0.48499999999999999</v>
      </c>
      <c r="BZ22" s="26">
        <f t="shared" si="11"/>
        <v>0.49</v>
      </c>
      <c r="CA22" s="26">
        <f t="shared" si="11"/>
        <v>0.495</v>
      </c>
      <c r="CB22" s="26">
        <f t="shared" si="11"/>
        <v>0.5</v>
      </c>
      <c r="CC22" s="26">
        <f t="shared" si="11"/>
        <v>0.505</v>
      </c>
      <c r="CD22" s="26">
        <f t="shared" si="12"/>
        <v>0.51</v>
      </c>
      <c r="CE22" s="26">
        <f t="shared" si="12"/>
        <v>0.51500000000000001</v>
      </c>
      <c r="CF22" s="26">
        <f t="shared" si="12"/>
        <v>0.52</v>
      </c>
      <c r="CG22" s="26">
        <f t="shared" si="12"/>
        <v>0.52500000000000002</v>
      </c>
      <c r="CH22" s="26">
        <f t="shared" si="12"/>
        <v>0.53</v>
      </c>
      <c r="CI22" s="26">
        <f t="shared" si="12"/>
        <v>0.53500000000000003</v>
      </c>
      <c r="CJ22" s="26">
        <f t="shared" si="12"/>
        <v>0.54</v>
      </c>
      <c r="CK22" s="26">
        <f t="shared" si="12"/>
        <v>0.54500000000000004</v>
      </c>
      <c r="CL22" s="26">
        <f t="shared" si="12"/>
        <v>0.55000000000000004</v>
      </c>
      <c r="CM22" s="26">
        <f t="shared" si="12"/>
        <v>0.55500000000000005</v>
      </c>
      <c r="CN22" s="26">
        <f t="shared" si="12"/>
        <v>0.56000000000000005</v>
      </c>
      <c r="CO22" s="26">
        <f t="shared" si="12"/>
        <v>0.56499999999999995</v>
      </c>
      <c r="CP22" s="26">
        <f t="shared" si="12"/>
        <v>0.56999999999999995</v>
      </c>
      <c r="CQ22" s="26">
        <f t="shared" si="12"/>
        <v>0.57499999999999996</v>
      </c>
      <c r="CR22" s="26">
        <f t="shared" si="12"/>
        <v>0.57999999999999996</v>
      </c>
      <c r="CS22" s="26">
        <f t="shared" si="12"/>
        <v>0.58499999999999996</v>
      </c>
      <c r="CT22" s="26">
        <f t="shared" si="13"/>
        <v>0.59</v>
      </c>
      <c r="CU22" s="26">
        <f t="shared" si="13"/>
        <v>0.59499999999999997</v>
      </c>
      <c r="CV22" s="26">
        <f t="shared" si="13"/>
        <v>0.6</v>
      </c>
      <c r="CW22" s="26">
        <f t="shared" si="13"/>
        <v>0.60499999999999998</v>
      </c>
    </row>
    <row r="23" spans="2:101" ht="20.100000000000001" customHeight="1">
      <c r="B23" s="26">
        <f t="shared" si="14"/>
        <v>0.115</v>
      </c>
      <c r="C23" s="26">
        <f t="shared" si="14"/>
        <v>0.12</v>
      </c>
      <c r="D23" s="26">
        <f t="shared" si="14"/>
        <v>0.125</v>
      </c>
      <c r="E23" s="26">
        <f t="shared" si="14"/>
        <v>0.13</v>
      </c>
      <c r="F23" s="26">
        <f t="shared" si="14"/>
        <v>0.13500000000000001</v>
      </c>
      <c r="G23" s="26">
        <f t="shared" si="14"/>
        <v>0.14000000000000001</v>
      </c>
      <c r="H23" s="26">
        <f t="shared" si="14"/>
        <v>0.14499999999999999</v>
      </c>
      <c r="I23" s="26">
        <f t="shared" si="14"/>
        <v>0.15</v>
      </c>
      <c r="J23" s="26">
        <f t="shared" si="14"/>
        <v>0.155</v>
      </c>
      <c r="K23" s="26">
        <f t="shared" si="14"/>
        <v>0.16</v>
      </c>
      <c r="L23" s="26">
        <f t="shared" si="14"/>
        <v>0.16500000000000001</v>
      </c>
      <c r="M23" s="26">
        <f t="shared" si="14"/>
        <v>0.17</v>
      </c>
      <c r="N23" s="26">
        <f t="shared" si="14"/>
        <v>0.17499999999999999</v>
      </c>
      <c r="O23" s="26">
        <f t="shared" si="14"/>
        <v>0.18</v>
      </c>
      <c r="P23" s="26">
        <f t="shared" si="14"/>
        <v>0.185</v>
      </c>
      <c r="Q23" s="26">
        <f t="shared" si="14"/>
        <v>0.19</v>
      </c>
      <c r="R23" s="26">
        <f t="shared" si="8"/>
        <v>0.19500000000000001</v>
      </c>
      <c r="S23" s="26">
        <f t="shared" si="8"/>
        <v>0.2</v>
      </c>
      <c r="T23" s="26">
        <f t="shared" si="8"/>
        <v>0.20499999999999999</v>
      </c>
      <c r="U23" s="26">
        <f t="shared" si="8"/>
        <v>0.21</v>
      </c>
      <c r="V23" s="26">
        <f t="shared" si="8"/>
        <v>0.215</v>
      </c>
      <c r="W23" s="26">
        <f t="shared" si="8"/>
        <v>0.22</v>
      </c>
      <c r="X23" s="26">
        <f t="shared" si="8"/>
        <v>0.22500000000000001</v>
      </c>
      <c r="Y23" s="26">
        <f t="shared" si="8"/>
        <v>0.23</v>
      </c>
      <c r="Z23" s="26">
        <f t="shared" si="8"/>
        <v>0.23499999999999999</v>
      </c>
      <c r="AA23" s="26">
        <f t="shared" si="8"/>
        <v>0.24</v>
      </c>
      <c r="AB23" s="26">
        <f t="shared" si="8"/>
        <v>0.245</v>
      </c>
      <c r="AC23" s="26">
        <f t="shared" si="8"/>
        <v>0.25</v>
      </c>
      <c r="AD23" s="26">
        <f t="shared" si="8"/>
        <v>0.255</v>
      </c>
      <c r="AE23" s="26">
        <f t="shared" si="8"/>
        <v>0.26</v>
      </c>
      <c r="AF23" s="26">
        <f t="shared" si="8"/>
        <v>0.26500000000000001</v>
      </c>
      <c r="AG23" s="26">
        <f t="shared" si="8"/>
        <v>0.27</v>
      </c>
      <c r="AH23" s="26">
        <f t="shared" si="9"/>
        <v>0.27500000000000002</v>
      </c>
      <c r="AI23" s="26">
        <f t="shared" si="9"/>
        <v>0.28000000000000003</v>
      </c>
      <c r="AJ23" s="26">
        <f t="shared" si="9"/>
        <v>0.28499999999999998</v>
      </c>
      <c r="AK23" s="26">
        <f t="shared" si="9"/>
        <v>0.28999999999999998</v>
      </c>
      <c r="AL23" s="26">
        <f t="shared" si="9"/>
        <v>0.29499999999999998</v>
      </c>
      <c r="AM23" s="26">
        <f t="shared" si="9"/>
        <v>0.3</v>
      </c>
      <c r="AN23" s="26">
        <f t="shared" si="9"/>
        <v>0.30499999999999999</v>
      </c>
      <c r="AO23" s="26">
        <f t="shared" si="9"/>
        <v>0.31</v>
      </c>
      <c r="AP23" s="26">
        <f t="shared" si="9"/>
        <v>0.315</v>
      </c>
      <c r="AQ23" s="26">
        <f t="shared" si="9"/>
        <v>0.32</v>
      </c>
      <c r="AR23" s="26">
        <f t="shared" si="9"/>
        <v>0.32500000000000001</v>
      </c>
      <c r="AS23" s="26">
        <f t="shared" si="9"/>
        <v>0.33</v>
      </c>
      <c r="AT23" s="26">
        <f t="shared" si="9"/>
        <v>0.33500000000000002</v>
      </c>
      <c r="AU23" s="26">
        <f t="shared" si="9"/>
        <v>0.34</v>
      </c>
      <c r="AV23" s="26">
        <f t="shared" si="9"/>
        <v>0.34499999999999997</v>
      </c>
      <c r="AW23" s="26">
        <f t="shared" si="9"/>
        <v>0.35</v>
      </c>
      <c r="AX23" s="26">
        <f t="shared" si="10"/>
        <v>0.35499999999999998</v>
      </c>
      <c r="AY23" s="26">
        <f t="shared" si="10"/>
        <v>0.36</v>
      </c>
      <c r="AZ23" s="26">
        <f t="shared" si="10"/>
        <v>0.36499999999999999</v>
      </c>
      <c r="BA23" s="26">
        <f t="shared" si="10"/>
        <v>0.37</v>
      </c>
      <c r="BB23" s="26">
        <f t="shared" si="10"/>
        <v>0.375</v>
      </c>
      <c r="BC23" s="26">
        <f t="shared" si="10"/>
        <v>0.38</v>
      </c>
      <c r="BD23" s="26">
        <f t="shared" si="10"/>
        <v>0.38500000000000001</v>
      </c>
      <c r="BE23" s="26">
        <f t="shared" si="10"/>
        <v>0.39</v>
      </c>
      <c r="BF23" s="26">
        <f t="shared" si="10"/>
        <v>0.39500000000000002</v>
      </c>
      <c r="BG23" s="26">
        <f t="shared" si="10"/>
        <v>0.4</v>
      </c>
      <c r="BH23" s="26">
        <f t="shared" si="10"/>
        <v>0.40500000000000003</v>
      </c>
      <c r="BI23" s="26">
        <f t="shared" si="10"/>
        <v>0.41</v>
      </c>
      <c r="BJ23" s="26">
        <f t="shared" si="10"/>
        <v>0.41499999999999998</v>
      </c>
      <c r="BK23" s="26">
        <f t="shared" si="10"/>
        <v>0.42</v>
      </c>
      <c r="BL23" s="26">
        <f t="shared" si="10"/>
        <v>0.42499999999999999</v>
      </c>
      <c r="BM23" s="26">
        <f t="shared" si="10"/>
        <v>0.43</v>
      </c>
      <c r="BN23" s="26">
        <f t="shared" si="11"/>
        <v>0.435</v>
      </c>
      <c r="BO23" s="26">
        <f t="shared" si="11"/>
        <v>0.44</v>
      </c>
      <c r="BP23" s="26">
        <f t="shared" si="11"/>
        <v>0.44500000000000001</v>
      </c>
      <c r="BQ23" s="26">
        <f t="shared" si="11"/>
        <v>0.45</v>
      </c>
      <c r="BR23" s="26">
        <f t="shared" si="11"/>
        <v>0.45500000000000002</v>
      </c>
      <c r="BS23" s="26">
        <f t="shared" si="11"/>
        <v>0.46</v>
      </c>
      <c r="BT23" s="26">
        <f t="shared" si="11"/>
        <v>0.46500000000000002</v>
      </c>
      <c r="BU23" s="26">
        <f t="shared" si="11"/>
        <v>0.47</v>
      </c>
      <c r="BV23" s="26">
        <f t="shared" si="11"/>
        <v>0.47499999999999998</v>
      </c>
      <c r="BW23" s="26">
        <f t="shared" si="11"/>
        <v>0.48</v>
      </c>
      <c r="BX23" s="26">
        <f t="shared" si="11"/>
        <v>0.48499999999999999</v>
      </c>
      <c r="BY23" s="26">
        <f t="shared" si="11"/>
        <v>0.49</v>
      </c>
      <c r="BZ23" s="26">
        <f t="shared" si="11"/>
        <v>0.495</v>
      </c>
      <c r="CA23" s="26">
        <f t="shared" si="11"/>
        <v>0.5</v>
      </c>
      <c r="CB23" s="26">
        <f t="shared" si="11"/>
        <v>0.505</v>
      </c>
      <c r="CC23" s="26">
        <f t="shared" si="11"/>
        <v>0.51</v>
      </c>
      <c r="CD23" s="26">
        <f t="shared" si="12"/>
        <v>0.51500000000000001</v>
      </c>
      <c r="CE23" s="26">
        <f t="shared" si="12"/>
        <v>0.52</v>
      </c>
      <c r="CF23" s="26">
        <f t="shared" si="12"/>
        <v>0.52500000000000002</v>
      </c>
      <c r="CG23" s="26">
        <f t="shared" si="12"/>
        <v>0.53</v>
      </c>
      <c r="CH23" s="26">
        <f t="shared" si="12"/>
        <v>0.53500000000000003</v>
      </c>
      <c r="CI23" s="26">
        <f t="shared" si="12"/>
        <v>0.54</v>
      </c>
      <c r="CJ23" s="26">
        <f t="shared" si="12"/>
        <v>0.54500000000000004</v>
      </c>
      <c r="CK23" s="26">
        <f t="shared" si="12"/>
        <v>0.55000000000000004</v>
      </c>
      <c r="CL23" s="26">
        <f t="shared" si="12"/>
        <v>0.55500000000000005</v>
      </c>
      <c r="CM23" s="26">
        <f t="shared" si="12"/>
        <v>0.56000000000000005</v>
      </c>
      <c r="CN23" s="26">
        <f t="shared" si="12"/>
        <v>0.56499999999999995</v>
      </c>
      <c r="CO23" s="26">
        <f t="shared" si="12"/>
        <v>0.56999999999999995</v>
      </c>
      <c r="CP23" s="26">
        <f t="shared" si="12"/>
        <v>0.57499999999999996</v>
      </c>
      <c r="CQ23" s="26">
        <f t="shared" si="12"/>
        <v>0.57999999999999996</v>
      </c>
      <c r="CR23" s="26">
        <f t="shared" si="12"/>
        <v>0.58499999999999996</v>
      </c>
      <c r="CS23" s="26">
        <f t="shared" si="12"/>
        <v>0.59</v>
      </c>
      <c r="CT23" s="26">
        <f t="shared" si="13"/>
        <v>0.59499999999999997</v>
      </c>
      <c r="CU23" s="26">
        <f t="shared" si="13"/>
        <v>0.6</v>
      </c>
      <c r="CV23" s="26">
        <f t="shared" si="13"/>
        <v>0.60499999999999998</v>
      </c>
      <c r="CW23" s="26">
        <f t="shared" si="13"/>
        <v>0.61</v>
      </c>
    </row>
    <row r="24" spans="2:101" ht="20.100000000000001" customHeight="1">
      <c r="B24" s="26">
        <f t="shared" si="14"/>
        <v>0.12</v>
      </c>
      <c r="C24" s="26">
        <f t="shared" si="14"/>
        <v>0.125</v>
      </c>
      <c r="D24" s="26">
        <f t="shared" si="14"/>
        <v>0.13</v>
      </c>
      <c r="E24" s="26">
        <f t="shared" si="14"/>
        <v>0.13500000000000001</v>
      </c>
      <c r="F24" s="26">
        <f t="shared" si="14"/>
        <v>0.14000000000000001</v>
      </c>
      <c r="G24" s="26">
        <f t="shared" si="14"/>
        <v>0.14499999999999999</v>
      </c>
      <c r="H24" s="26">
        <f t="shared" si="14"/>
        <v>0.15</v>
      </c>
      <c r="I24" s="26">
        <f t="shared" si="14"/>
        <v>0.155</v>
      </c>
      <c r="J24" s="26">
        <f t="shared" si="14"/>
        <v>0.16</v>
      </c>
      <c r="K24" s="26">
        <f t="shared" si="14"/>
        <v>0.16500000000000001</v>
      </c>
      <c r="L24" s="26">
        <f t="shared" si="14"/>
        <v>0.17</v>
      </c>
      <c r="M24" s="26">
        <f t="shared" si="14"/>
        <v>0.17499999999999999</v>
      </c>
      <c r="N24" s="26">
        <f t="shared" si="14"/>
        <v>0.18</v>
      </c>
      <c r="O24" s="26">
        <f t="shared" si="14"/>
        <v>0.185</v>
      </c>
      <c r="P24" s="26">
        <f t="shared" si="14"/>
        <v>0.19</v>
      </c>
      <c r="Q24" s="26">
        <f t="shared" si="14"/>
        <v>0.19500000000000001</v>
      </c>
      <c r="R24" s="26">
        <f t="shared" si="8"/>
        <v>0.2</v>
      </c>
      <c r="S24" s="26">
        <f t="shared" si="8"/>
        <v>0.20499999999999999</v>
      </c>
      <c r="T24" s="26">
        <f t="shared" si="8"/>
        <v>0.21</v>
      </c>
      <c r="U24" s="26">
        <f t="shared" si="8"/>
        <v>0.215</v>
      </c>
      <c r="V24" s="26">
        <f t="shared" si="8"/>
        <v>0.22</v>
      </c>
      <c r="W24" s="26">
        <f t="shared" si="8"/>
        <v>0.22500000000000001</v>
      </c>
      <c r="X24" s="26">
        <f t="shared" si="8"/>
        <v>0.23</v>
      </c>
      <c r="Y24" s="26">
        <f t="shared" si="8"/>
        <v>0.23499999999999999</v>
      </c>
      <c r="Z24" s="26">
        <f t="shared" si="8"/>
        <v>0.24</v>
      </c>
      <c r="AA24" s="26">
        <f t="shared" si="8"/>
        <v>0.245</v>
      </c>
      <c r="AB24" s="26">
        <f t="shared" si="8"/>
        <v>0.25</v>
      </c>
      <c r="AC24" s="26">
        <f t="shared" si="8"/>
        <v>0.255</v>
      </c>
      <c r="AD24" s="26">
        <f t="shared" si="8"/>
        <v>0.26</v>
      </c>
      <c r="AE24" s="26">
        <f t="shared" si="8"/>
        <v>0.26500000000000001</v>
      </c>
      <c r="AF24" s="26">
        <f t="shared" si="8"/>
        <v>0.27</v>
      </c>
      <c r="AG24" s="26">
        <f t="shared" si="8"/>
        <v>0.27500000000000002</v>
      </c>
      <c r="AH24" s="26">
        <f t="shared" si="9"/>
        <v>0.28000000000000003</v>
      </c>
      <c r="AI24" s="26">
        <f t="shared" si="9"/>
        <v>0.28499999999999998</v>
      </c>
      <c r="AJ24" s="26">
        <f t="shared" si="9"/>
        <v>0.28999999999999998</v>
      </c>
      <c r="AK24" s="26">
        <f t="shared" si="9"/>
        <v>0.29499999999999998</v>
      </c>
      <c r="AL24" s="26">
        <f t="shared" si="9"/>
        <v>0.3</v>
      </c>
      <c r="AM24" s="26">
        <f t="shared" si="9"/>
        <v>0.30499999999999999</v>
      </c>
      <c r="AN24" s="26">
        <f t="shared" si="9"/>
        <v>0.31</v>
      </c>
      <c r="AO24" s="26">
        <f t="shared" si="9"/>
        <v>0.315</v>
      </c>
      <c r="AP24" s="26">
        <f t="shared" si="9"/>
        <v>0.32</v>
      </c>
      <c r="AQ24" s="26">
        <f t="shared" si="9"/>
        <v>0.32500000000000001</v>
      </c>
      <c r="AR24" s="26">
        <f t="shared" si="9"/>
        <v>0.33</v>
      </c>
      <c r="AS24" s="26">
        <f t="shared" si="9"/>
        <v>0.33500000000000002</v>
      </c>
      <c r="AT24" s="26">
        <f t="shared" si="9"/>
        <v>0.34</v>
      </c>
      <c r="AU24" s="26">
        <f t="shared" si="9"/>
        <v>0.34499999999999997</v>
      </c>
      <c r="AV24" s="26">
        <f t="shared" si="9"/>
        <v>0.35</v>
      </c>
      <c r="AW24" s="26">
        <f t="shared" si="9"/>
        <v>0.35499999999999998</v>
      </c>
      <c r="AX24" s="26">
        <f t="shared" si="10"/>
        <v>0.36</v>
      </c>
      <c r="AY24" s="26">
        <f t="shared" si="10"/>
        <v>0.36499999999999999</v>
      </c>
      <c r="AZ24" s="26">
        <f t="shared" si="10"/>
        <v>0.37</v>
      </c>
      <c r="BA24" s="26">
        <f t="shared" si="10"/>
        <v>0.375</v>
      </c>
      <c r="BB24" s="26">
        <f t="shared" si="10"/>
        <v>0.38</v>
      </c>
      <c r="BC24" s="26">
        <f t="shared" si="10"/>
        <v>0.38500000000000001</v>
      </c>
      <c r="BD24" s="26">
        <f t="shared" si="10"/>
        <v>0.39</v>
      </c>
      <c r="BE24" s="26">
        <f t="shared" si="10"/>
        <v>0.39500000000000002</v>
      </c>
      <c r="BF24" s="26">
        <f t="shared" si="10"/>
        <v>0.4</v>
      </c>
      <c r="BG24" s="26">
        <f t="shared" si="10"/>
        <v>0.40500000000000003</v>
      </c>
      <c r="BH24" s="26">
        <f t="shared" si="10"/>
        <v>0.41</v>
      </c>
      <c r="BI24" s="26">
        <f t="shared" si="10"/>
        <v>0.41499999999999998</v>
      </c>
      <c r="BJ24" s="26">
        <f t="shared" si="10"/>
        <v>0.42</v>
      </c>
      <c r="BK24" s="26">
        <f t="shared" si="10"/>
        <v>0.42499999999999999</v>
      </c>
      <c r="BL24" s="26">
        <f t="shared" si="10"/>
        <v>0.43</v>
      </c>
      <c r="BM24" s="26">
        <f t="shared" si="10"/>
        <v>0.435</v>
      </c>
      <c r="BN24" s="26">
        <f t="shared" si="11"/>
        <v>0.44</v>
      </c>
      <c r="BO24" s="26">
        <f t="shared" si="11"/>
        <v>0.44500000000000001</v>
      </c>
      <c r="BP24" s="26">
        <f t="shared" si="11"/>
        <v>0.45</v>
      </c>
      <c r="BQ24" s="26">
        <f t="shared" si="11"/>
        <v>0.45500000000000002</v>
      </c>
      <c r="BR24" s="26">
        <f t="shared" si="11"/>
        <v>0.46</v>
      </c>
      <c r="BS24" s="26">
        <f t="shared" si="11"/>
        <v>0.46500000000000002</v>
      </c>
      <c r="BT24" s="26">
        <f t="shared" si="11"/>
        <v>0.47</v>
      </c>
      <c r="BU24" s="26">
        <f t="shared" si="11"/>
        <v>0.47499999999999998</v>
      </c>
      <c r="BV24" s="26">
        <f t="shared" si="11"/>
        <v>0.48</v>
      </c>
      <c r="BW24" s="26">
        <f t="shared" si="11"/>
        <v>0.48499999999999999</v>
      </c>
      <c r="BX24" s="26">
        <f t="shared" si="11"/>
        <v>0.49</v>
      </c>
      <c r="BY24" s="26">
        <f t="shared" si="11"/>
        <v>0.495</v>
      </c>
      <c r="BZ24" s="26">
        <f t="shared" si="11"/>
        <v>0.5</v>
      </c>
      <c r="CA24" s="26">
        <f t="shared" si="11"/>
        <v>0.505</v>
      </c>
      <c r="CB24" s="26">
        <f t="shared" si="11"/>
        <v>0.51</v>
      </c>
      <c r="CC24" s="26">
        <f t="shared" si="11"/>
        <v>0.51500000000000001</v>
      </c>
      <c r="CD24" s="26">
        <f t="shared" si="12"/>
        <v>0.52</v>
      </c>
      <c r="CE24" s="26">
        <f t="shared" si="12"/>
        <v>0.52500000000000002</v>
      </c>
      <c r="CF24" s="26">
        <f t="shared" si="12"/>
        <v>0.53</v>
      </c>
      <c r="CG24" s="26">
        <f t="shared" si="12"/>
        <v>0.53500000000000003</v>
      </c>
      <c r="CH24" s="26">
        <f t="shared" si="12"/>
        <v>0.54</v>
      </c>
      <c r="CI24" s="26">
        <f t="shared" si="12"/>
        <v>0.54500000000000004</v>
      </c>
      <c r="CJ24" s="26">
        <f t="shared" si="12"/>
        <v>0.55000000000000004</v>
      </c>
      <c r="CK24" s="26">
        <f t="shared" si="12"/>
        <v>0.55500000000000005</v>
      </c>
      <c r="CL24" s="26">
        <f t="shared" si="12"/>
        <v>0.56000000000000005</v>
      </c>
      <c r="CM24" s="26">
        <f t="shared" si="12"/>
        <v>0.56499999999999995</v>
      </c>
      <c r="CN24" s="26">
        <f t="shared" si="12"/>
        <v>0.56999999999999995</v>
      </c>
      <c r="CO24" s="26">
        <f t="shared" si="12"/>
        <v>0.57499999999999996</v>
      </c>
      <c r="CP24" s="26">
        <f t="shared" si="12"/>
        <v>0.57999999999999996</v>
      </c>
      <c r="CQ24" s="26">
        <f t="shared" si="12"/>
        <v>0.58499999999999996</v>
      </c>
      <c r="CR24" s="26">
        <f t="shared" si="12"/>
        <v>0.59</v>
      </c>
      <c r="CS24" s="26">
        <f t="shared" si="12"/>
        <v>0.59499999999999997</v>
      </c>
      <c r="CT24" s="26">
        <f t="shared" si="13"/>
        <v>0.6</v>
      </c>
      <c r="CU24" s="26">
        <f t="shared" si="13"/>
        <v>0.60499999999999998</v>
      </c>
      <c r="CV24" s="26">
        <f t="shared" si="13"/>
        <v>0.61</v>
      </c>
      <c r="CW24" s="26">
        <f t="shared" si="13"/>
        <v>0.61499999999999999</v>
      </c>
    </row>
    <row r="25" spans="2:101" ht="20.100000000000001" customHeight="1">
      <c r="B25" s="26">
        <f t="shared" si="14"/>
        <v>0.125</v>
      </c>
      <c r="C25" s="26">
        <f t="shared" si="14"/>
        <v>0.13</v>
      </c>
      <c r="D25" s="26">
        <f t="shared" si="14"/>
        <v>0.13500000000000001</v>
      </c>
      <c r="E25" s="26">
        <f t="shared" si="14"/>
        <v>0.14000000000000001</v>
      </c>
      <c r="F25" s="26">
        <f t="shared" si="14"/>
        <v>0.14499999999999999</v>
      </c>
      <c r="G25" s="26">
        <f t="shared" si="14"/>
        <v>0.15</v>
      </c>
      <c r="H25" s="26">
        <f t="shared" si="14"/>
        <v>0.155</v>
      </c>
      <c r="I25" s="26">
        <f t="shared" si="14"/>
        <v>0.16</v>
      </c>
      <c r="J25" s="26">
        <f t="shared" si="14"/>
        <v>0.16500000000000001</v>
      </c>
      <c r="K25" s="26">
        <f t="shared" si="14"/>
        <v>0.17</v>
      </c>
      <c r="L25" s="26">
        <f t="shared" si="14"/>
        <v>0.17499999999999999</v>
      </c>
      <c r="M25" s="26">
        <f t="shared" si="14"/>
        <v>0.18</v>
      </c>
      <c r="N25" s="26">
        <f t="shared" si="14"/>
        <v>0.185</v>
      </c>
      <c r="O25" s="26">
        <f t="shared" si="14"/>
        <v>0.19</v>
      </c>
      <c r="P25" s="26">
        <f t="shared" si="14"/>
        <v>0.19500000000000001</v>
      </c>
      <c r="Q25" s="26">
        <f t="shared" si="14"/>
        <v>0.2</v>
      </c>
      <c r="R25" s="26">
        <f t="shared" si="8"/>
        <v>0.20499999999999999</v>
      </c>
      <c r="S25" s="26">
        <f t="shared" si="8"/>
        <v>0.21</v>
      </c>
      <c r="T25" s="26">
        <f t="shared" si="8"/>
        <v>0.215</v>
      </c>
      <c r="U25" s="26">
        <f t="shared" si="8"/>
        <v>0.22</v>
      </c>
      <c r="V25" s="26">
        <f t="shared" si="8"/>
        <v>0.22500000000000001</v>
      </c>
      <c r="W25" s="26">
        <f t="shared" si="8"/>
        <v>0.23</v>
      </c>
      <c r="X25" s="26">
        <f t="shared" si="8"/>
        <v>0.23499999999999999</v>
      </c>
      <c r="Y25" s="26">
        <f t="shared" si="8"/>
        <v>0.24</v>
      </c>
      <c r="Z25" s="26">
        <f t="shared" si="8"/>
        <v>0.245</v>
      </c>
      <c r="AA25" s="26">
        <f t="shared" si="8"/>
        <v>0.25</v>
      </c>
      <c r="AB25" s="26">
        <f t="shared" si="8"/>
        <v>0.255</v>
      </c>
      <c r="AC25" s="26">
        <f t="shared" si="8"/>
        <v>0.26</v>
      </c>
      <c r="AD25" s="26">
        <f t="shared" si="8"/>
        <v>0.26500000000000001</v>
      </c>
      <c r="AE25" s="26">
        <f t="shared" si="8"/>
        <v>0.27</v>
      </c>
      <c r="AF25" s="26">
        <f t="shared" si="8"/>
        <v>0.27500000000000002</v>
      </c>
      <c r="AG25" s="26">
        <f t="shared" si="8"/>
        <v>0.28000000000000003</v>
      </c>
      <c r="AH25" s="26">
        <f t="shared" si="9"/>
        <v>0.28499999999999998</v>
      </c>
      <c r="AI25" s="26">
        <f t="shared" si="9"/>
        <v>0.28999999999999998</v>
      </c>
      <c r="AJ25" s="26">
        <f t="shared" si="9"/>
        <v>0.29499999999999998</v>
      </c>
      <c r="AK25" s="26">
        <f t="shared" si="9"/>
        <v>0.3</v>
      </c>
      <c r="AL25" s="26">
        <f t="shared" si="9"/>
        <v>0.30499999999999999</v>
      </c>
      <c r="AM25" s="26">
        <f t="shared" si="9"/>
        <v>0.31</v>
      </c>
      <c r="AN25" s="26">
        <f t="shared" si="9"/>
        <v>0.315</v>
      </c>
      <c r="AO25" s="26">
        <f t="shared" si="9"/>
        <v>0.32</v>
      </c>
      <c r="AP25" s="26">
        <f t="shared" si="9"/>
        <v>0.32500000000000001</v>
      </c>
      <c r="AQ25" s="26">
        <f t="shared" si="9"/>
        <v>0.33</v>
      </c>
      <c r="AR25" s="26">
        <f t="shared" si="9"/>
        <v>0.33500000000000002</v>
      </c>
      <c r="AS25" s="26">
        <f t="shared" si="9"/>
        <v>0.34</v>
      </c>
      <c r="AT25" s="26">
        <f t="shared" si="9"/>
        <v>0.34499999999999997</v>
      </c>
      <c r="AU25" s="26">
        <f t="shared" si="9"/>
        <v>0.35</v>
      </c>
      <c r="AV25" s="26">
        <f t="shared" si="9"/>
        <v>0.35499999999999998</v>
      </c>
      <c r="AW25" s="26">
        <f t="shared" si="9"/>
        <v>0.36</v>
      </c>
      <c r="AX25" s="26">
        <f t="shared" si="10"/>
        <v>0.36499999999999999</v>
      </c>
      <c r="AY25" s="26">
        <f t="shared" si="10"/>
        <v>0.37</v>
      </c>
      <c r="AZ25" s="26">
        <f t="shared" si="10"/>
        <v>0.375</v>
      </c>
      <c r="BA25" s="26">
        <f t="shared" si="10"/>
        <v>0.38</v>
      </c>
      <c r="BB25" s="26">
        <f t="shared" si="10"/>
        <v>0.38500000000000001</v>
      </c>
      <c r="BC25" s="26">
        <f t="shared" si="10"/>
        <v>0.39</v>
      </c>
      <c r="BD25" s="26">
        <f t="shared" si="10"/>
        <v>0.39500000000000002</v>
      </c>
      <c r="BE25" s="26">
        <f t="shared" si="10"/>
        <v>0.4</v>
      </c>
      <c r="BF25" s="26">
        <f t="shared" si="10"/>
        <v>0.40500000000000003</v>
      </c>
      <c r="BG25" s="26">
        <f t="shared" si="10"/>
        <v>0.41</v>
      </c>
      <c r="BH25" s="26">
        <f t="shared" si="10"/>
        <v>0.41499999999999998</v>
      </c>
      <c r="BI25" s="26">
        <f t="shared" si="10"/>
        <v>0.42</v>
      </c>
      <c r="BJ25" s="26">
        <f t="shared" si="10"/>
        <v>0.42499999999999999</v>
      </c>
      <c r="BK25" s="26">
        <f t="shared" si="10"/>
        <v>0.43</v>
      </c>
      <c r="BL25" s="26">
        <f t="shared" si="10"/>
        <v>0.435</v>
      </c>
      <c r="BM25" s="26">
        <f t="shared" si="10"/>
        <v>0.44</v>
      </c>
      <c r="BN25" s="26">
        <f t="shared" si="11"/>
        <v>0.44500000000000001</v>
      </c>
      <c r="BO25" s="26">
        <f t="shared" si="11"/>
        <v>0.45</v>
      </c>
      <c r="BP25" s="26">
        <f t="shared" si="11"/>
        <v>0.45500000000000002</v>
      </c>
      <c r="BQ25" s="26">
        <f t="shared" si="11"/>
        <v>0.46</v>
      </c>
      <c r="BR25" s="26">
        <f t="shared" si="11"/>
        <v>0.46500000000000002</v>
      </c>
      <c r="BS25" s="26">
        <f t="shared" si="11"/>
        <v>0.47</v>
      </c>
      <c r="BT25" s="26">
        <f t="shared" si="11"/>
        <v>0.47499999999999998</v>
      </c>
      <c r="BU25" s="26">
        <f t="shared" si="11"/>
        <v>0.48</v>
      </c>
      <c r="BV25" s="26">
        <f t="shared" si="11"/>
        <v>0.48499999999999999</v>
      </c>
      <c r="BW25" s="26">
        <f t="shared" si="11"/>
        <v>0.49</v>
      </c>
      <c r="BX25" s="26">
        <f t="shared" si="11"/>
        <v>0.495</v>
      </c>
      <c r="BY25" s="26">
        <f t="shared" si="11"/>
        <v>0.5</v>
      </c>
      <c r="BZ25" s="26">
        <f t="shared" si="11"/>
        <v>0.505</v>
      </c>
      <c r="CA25" s="26">
        <f t="shared" si="11"/>
        <v>0.51</v>
      </c>
      <c r="CB25" s="26">
        <f t="shared" si="11"/>
        <v>0.51500000000000001</v>
      </c>
      <c r="CC25" s="26">
        <f t="shared" si="11"/>
        <v>0.52</v>
      </c>
      <c r="CD25" s="26">
        <f t="shared" si="12"/>
        <v>0.52500000000000002</v>
      </c>
      <c r="CE25" s="26">
        <f t="shared" si="12"/>
        <v>0.53</v>
      </c>
      <c r="CF25" s="26">
        <f t="shared" si="12"/>
        <v>0.53500000000000003</v>
      </c>
      <c r="CG25" s="26">
        <f t="shared" si="12"/>
        <v>0.54</v>
      </c>
      <c r="CH25" s="26">
        <f t="shared" si="12"/>
        <v>0.54500000000000004</v>
      </c>
      <c r="CI25" s="26">
        <f t="shared" si="12"/>
        <v>0.55000000000000004</v>
      </c>
      <c r="CJ25" s="26">
        <f t="shared" si="12"/>
        <v>0.55500000000000005</v>
      </c>
      <c r="CK25" s="26">
        <f t="shared" si="12"/>
        <v>0.56000000000000005</v>
      </c>
      <c r="CL25" s="26">
        <f t="shared" si="12"/>
        <v>0.56499999999999995</v>
      </c>
      <c r="CM25" s="26">
        <f t="shared" si="12"/>
        <v>0.56999999999999995</v>
      </c>
      <c r="CN25" s="26">
        <f t="shared" si="12"/>
        <v>0.57499999999999996</v>
      </c>
      <c r="CO25" s="26">
        <f t="shared" si="12"/>
        <v>0.57999999999999996</v>
      </c>
      <c r="CP25" s="26">
        <f t="shared" si="12"/>
        <v>0.58499999999999996</v>
      </c>
      <c r="CQ25" s="26">
        <f t="shared" si="12"/>
        <v>0.59</v>
      </c>
      <c r="CR25" s="26">
        <f t="shared" si="12"/>
        <v>0.59499999999999997</v>
      </c>
      <c r="CS25" s="26">
        <f t="shared" si="12"/>
        <v>0.6</v>
      </c>
      <c r="CT25" s="26">
        <f t="shared" si="13"/>
        <v>0.60499999999999998</v>
      </c>
      <c r="CU25" s="26">
        <f t="shared" si="13"/>
        <v>0.61</v>
      </c>
      <c r="CV25" s="26">
        <f t="shared" si="13"/>
        <v>0.61499999999999999</v>
      </c>
      <c r="CW25" s="26">
        <f t="shared" si="13"/>
        <v>0.62</v>
      </c>
    </row>
    <row r="26" spans="2:101" ht="20.100000000000001" customHeight="1">
      <c r="B26" s="26">
        <f t="shared" si="14"/>
        <v>0.13</v>
      </c>
      <c r="C26" s="26">
        <f t="shared" si="14"/>
        <v>0.13500000000000001</v>
      </c>
      <c r="D26" s="26">
        <f t="shared" si="14"/>
        <v>0.14000000000000001</v>
      </c>
      <c r="E26" s="26">
        <f t="shared" si="14"/>
        <v>0.14499999999999999</v>
      </c>
      <c r="F26" s="26">
        <f t="shared" si="14"/>
        <v>0.15</v>
      </c>
      <c r="G26" s="26">
        <f t="shared" si="14"/>
        <v>0.155</v>
      </c>
      <c r="H26" s="26">
        <f t="shared" si="14"/>
        <v>0.16</v>
      </c>
      <c r="I26" s="26">
        <f t="shared" si="14"/>
        <v>0.16500000000000001</v>
      </c>
      <c r="J26" s="26">
        <f t="shared" si="14"/>
        <v>0.17</v>
      </c>
      <c r="K26" s="26">
        <f t="shared" si="14"/>
        <v>0.17499999999999999</v>
      </c>
      <c r="L26" s="26">
        <f t="shared" si="14"/>
        <v>0.18</v>
      </c>
      <c r="M26" s="26">
        <f t="shared" si="14"/>
        <v>0.185</v>
      </c>
      <c r="N26" s="26">
        <f t="shared" si="14"/>
        <v>0.19</v>
      </c>
      <c r="O26" s="26">
        <f t="shared" si="14"/>
        <v>0.19500000000000001</v>
      </c>
      <c r="P26" s="26">
        <f t="shared" si="14"/>
        <v>0.2</v>
      </c>
      <c r="Q26" s="26">
        <f t="shared" si="14"/>
        <v>0.20499999999999999</v>
      </c>
      <c r="R26" s="26">
        <f t="shared" si="8"/>
        <v>0.21</v>
      </c>
      <c r="S26" s="26">
        <f t="shared" si="8"/>
        <v>0.215</v>
      </c>
      <c r="T26" s="26">
        <f t="shared" si="8"/>
        <v>0.22</v>
      </c>
      <c r="U26" s="26">
        <f t="shared" si="8"/>
        <v>0.22500000000000001</v>
      </c>
      <c r="V26" s="26">
        <f t="shared" si="8"/>
        <v>0.23</v>
      </c>
      <c r="W26" s="26">
        <f t="shared" si="8"/>
        <v>0.23499999999999999</v>
      </c>
      <c r="X26" s="26">
        <f t="shared" si="8"/>
        <v>0.24</v>
      </c>
      <c r="Y26" s="26">
        <f t="shared" si="8"/>
        <v>0.245</v>
      </c>
      <c r="Z26" s="26">
        <f t="shared" si="8"/>
        <v>0.25</v>
      </c>
      <c r="AA26" s="26">
        <f t="shared" si="8"/>
        <v>0.255</v>
      </c>
      <c r="AB26" s="26">
        <f t="shared" si="8"/>
        <v>0.26</v>
      </c>
      <c r="AC26" s="26">
        <f t="shared" si="8"/>
        <v>0.26500000000000001</v>
      </c>
      <c r="AD26" s="26">
        <f t="shared" si="8"/>
        <v>0.27</v>
      </c>
      <c r="AE26" s="26">
        <f t="shared" si="8"/>
        <v>0.27500000000000002</v>
      </c>
      <c r="AF26" s="26">
        <f t="shared" si="8"/>
        <v>0.28000000000000003</v>
      </c>
      <c r="AG26" s="26">
        <f t="shared" si="8"/>
        <v>0.28499999999999998</v>
      </c>
      <c r="AH26" s="26">
        <f t="shared" si="9"/>
        <v>0.28999999999999998</v>
      </c>
      <c r="AI26" s="26">
        <f t="shared" si="9"/>
        <v>0.29499999999999998</v>
      </c>
      <c r="AJ26" s="26">
        <f t="shared" si="9"/>
        <v>0.3</v>
      </c>
      <c r="AK26" s="26">
        <f t="shared" si="9"/>
        <v>0.30499999999999999</v>
      </c>
      <c r="AL26" s="26">
        <f t="shared" si="9"/>
        <v>0.31</v>
      </c>
      <c r="AM26" s="26">
        <f t="shared" si="9"/>
        <v>0.315</v>
      </c>
      <c r="AN26" s="26">
        <f t="shared" si="9"/>
        <v>0.32</v>
      </c>
      <c r="AO26" s="26">
        <f t="shared" si="9"/>
        <v>0.32500000000000001</v>
      </c>
      <c r="AP26" s="26">
        <f t="shared" si="9"/>
        <v>0.33</v>
      </c>
      <c r="AQ26" s="26">
        <f t="shared" si="9"/>
        <v>0.33500000000000002</v>
      </c>
      <c r="AR26" s="26">
        <f t="shared" si="9"/>
        <v>0.34</v>
      </c>
      <c r="AS26" s="26">
        <f t="shared" si="9"/>
        <v>0.34499999999999997</v>
      </c>
      <c r="AT26" s="26">
        <f t="shared" si="9"/>
        <v>0.35</v>
      </c>
      <c r="AU26" s="26">
        <f t="shared" si="9"/>
        <v>0.35499999999999998</v>
      </c>
      <c r="AV26" s="26">
        <f t="shared" si="9"/>
        <v>0.36</v>
      </c>
      <c r="AW26" s="26">
        <f t="shared" si="9"/>
        <v>0.36499999999999999</v>
      </c>
      <c r="AX26" s="26">
        <f t="shared" si="10"/>
        <v>0.37</v>
      </c>
      <c r="AY26" s="26">
        <f t="shared" si="10"/>
        <v>0.375</v>
      </c>
      <c r="AZ26" s="26">
        <f t="shared" si="10"/>
        <v>0.38</v>
      </c>
      <c r="BA26" s="26">
        <f t="shared" si="10"/>
        <v>0.38500000000000001</v>
      </c>
      <c r="BB26" s="26">
        <f t="shared" si="10"/>
        <v>0.39</v>
      </c>
      <c r="BC26" s="26">
        <f t="shared" si="10"/>
        <v>0.39500000000000002</v>
      </c>
      <c r="BD26" s="26">
        <f t="shared" si="10"/>
        <v>0.4</v>
      </c>
      <c r="BE26" s="26">
        <f t="shared" si="10"/>
        <v>0.40500000000000003</v>
      </c>
      <c r="BF26" s="26">
        <f t="shared" si="10"/>
        <v>0.41</v>
      </c>
      <c r="BG26" s="26">
        <f t="shared" si="10"/>
        <v>0.41499999999999998</v>
      </c>
      <c r="BH26" s="26">
        <f t="shared" si="10"/>
        <v>0.42</v>
      </c>
      <c r="BI26" s="26">
        <f t="shared" si="10"/>
        <v>0.42499999999999999</v>
      </c>
      <c r="BJ26" s="26">
        <f t="shared" si="10"/>
        <v>0.43</v>
      </c>
      <c r="BK26" s="26">
        <f t="shared" si="10"/>
        <v>0.435</v>
      </c>
      <c r="BL26" s="26">
        <f t="shared" si="10"/>
        <v>0.44</v>
      </c>
      <c r="BM26" s="26">
        <f t="shared" si="10"/>
        <v>0.44500000000000001</v>
      </c>
      <c r="BN26" s="26">
        <f t="shared" si="11"/>
        <v>0.45</v>
      </c>
      <c r="BO26" s="26">
        <f t="shared" si="11"/>
        <v>0.45500000000000002</v>
      </c>
      <c r="BP26" s="26">
        <f t="shared" si="11"/>
        <v>0.46</v>
      </c>
      <c r="BQ26" s="26">
        <f t="shared" si="11"/>
        <v>0.46500000000000002</v>
      </c>
      <c r="BR26" s="26">
        <f t="shared" si="11"/>
        <v>0.47</v>
      </c>
      <c r="BS26" s="26">
        <f t="shared" si="11"/>
        <v>0.47499999999999998</v>
      </c>
      <c r="BT26" s="26">
        <f t="shared" si="11"/>
        <v>0.48</v>
      </c>
      <c r="BU26" s="26">
        <f t="shared" si="11"/>
        <v>0.48499999999999999</v>
      </c>
      <c r="BV26" s="26">
        <f t="shared" si="11"/>
        <v>0.49</v>
      </c>
      <c r="BW26" s="26">
        <f t="shared" si="11"/>
        <v>0.495</v>
      </c>
      <c r="BX26" s="26">
        <f t="shared" si="11"/>
        <v>0.5</v>
      </c>
      <c r="BY26" s="26">
        <f t="shared" si="11"/>
        <v>0.505</v>
      </c>
      <c r="BZ26" s="26">
        <f t="shared" si="11"/>
        <v>0.51</v>
      </c>
      <c r="CA26" s="26">
        <f t="shared" si="11"/>
        <v>0.51500000000000001</v>
      </c>
      <c r="CB26" s="26">
        <f t="shared" si="11"/>
        <v>0.52</v>
      </c>
      <c r="CC26" s="26">
        <f t="shared" si="11"/>
        <v>0.52500000000000002</v>
      </c>
      <c r="CD26" s="26">
        <f t="shared" si="12"/>
        <v>0.53</v>
      </c>
      <c r="CE26" s="26">
        <f t="shared" si="12"/>
        <v>0.53500000000000003</v>
      </c>
      <c r="CF26" s="26">
        <f t="shared" si="12"/>
        <v>0.54</v>
      </c>
      <c r="CG26" s="26">
        <f t="shared" si="12"/>
        <v>0.54500000000000004</v>
      </c>
      <c r="CH26" s="26">
        <f t="shared" si="12"/>
        <v>0.55000000000000004</v>
      </c>
      <c r="CI26" s="26">
        <f t="shared" si="12"/>
        <v>0.55500000000000005</v>
      </c>
      <c r="CJ26" s="26">
        <f t="shared" si="12"/>
        <v>0.56000000000000005</v>
      </c>
      <c r="CK26" s="26">
        <f t="shared" si="12"/>
        <v>0.56499999999999995</v>
      </c>
      <c r="CL26" s="26">
        <f t="shared" si="12"/>
        <v>0.56999999999999995</v>
      </c>
      <c r="CM26" s="26">
        <f t="shared" si="12"/>
        <v>0.57499999999999996</v>
      </c>
      <c r="CN26" s="26">
        <f t="shared" si="12"/>
        <v>0.57999999999999996</v>
      </c>
      <c r="CO26" s="26">
        <f t="shared" si="12"/>
        <v>0.58499999999999996</v>
      </c>
      <c r="CP26" s="26">
        <f t="shared" si="12"/>
        <v>0.59</v>
      </c>
      <c r="CQ26" s="26">
        <f t="shared" si="12"/>
        <v>0.59499999999999997</v>
      </c>
      <c r="CR26" s="26">
        <f t="shared" si="12"/>
        <v>0.6</v>
      </c>
      <c r="CS26" s="26">
        <f t="shared" si="12"/>
        <v>0.60499999999999998</v>
      </c>
      <c r="CT26" s="26">
        <f t="shared" si="13"/>
        <v>0.61</v>
      </c>
      <c r="CU26" s="26">
        <f t="shared" si="13"/>
        <v>0.61499999999999999</v>
      </c>
      <c r="CV26" s="26">
        <f t="shared" si="13"/>
        <v>0.62</v>
      </c>
      <c r="CW26" s="26">
        <f t="shared" si="13"/>
        <v>0.625</v>
      </c>
    </row>
    <row r="27" spans="2:101" ht="20.100000000000001" customHeight="1">
      <c r="B27" s="26">
        <f t="shared" si="14"/>
        <v>0.13500000000000001</v>
      </c>
      <c r="C27" s="26">
        <f t="shared" si="14"/>
        <v>0.14000000000000001</v>
      </c>
      <c r="D27" s="26">
        <f t="shared" si="14"/>
        <v>0.14499999999999999</v>
      </c>
      <c r="E27" s="26">
        <f t="shared" si="14"/>
        <v>0.15</v>
      </c>
      <c r="F27" s="26">
        <f t="shared" si="14"/>
        <v>0.155</v>
      </c>
      <c r="G27" s="26">
        <f t="shared" si="14"/>
        <v>0.16</v>
      </c>
      <c r="H27" s="26">
        <f t="shared" si="14"/>
        <v>0.16500000000000001</v>
      </c>
      <c r="I27" s="26">
        <f t="shared" si="14"/>
        <v>0.17</v>
      </c>
      <c r="J27" s="26">
        <f t="shared" si="14"/>
        <v>0.17499999999999999</v>
      </c>
      <c r="K27" s="26">
        <f t="shared" si="14"/>
        <v>0.18</v>
      </c>
      <c r="L27" s="26">
        <f t="shared" si="14"/>
        <v>0.185</v>
      </c>
      <c r="M27" s="26">
        <f t="shared" si="14"/>
        <v>0.19</v>
      </c>
      <c r="N27" s="26">
        <f t="shared" si="14"/>
        <v>0.19500000000000001</v>
      </c>
      <c r="O27" s="26">
        <f t="shared" si="14"/>
        <v>0.2</v>
      </c>
      <c r="P27" s="26">
        <f t="shared" si="14"/>
        <v>0.20499999999999999</v>
      </c>
      <c r="Q27" s="26">
        <f t="shared" si="14"/>
        <v>0.21</v>
      </c>
      <c r="R27" s="26">
        <f t="shared" si="8"/>
        <v>0.215</v>
      </c>
      <c r="S27" s="26">
        <f t="shared" si="8"/>
        <v>0.22</v>
      </c>
      <c r="T27" s="26">
        <f t="shared" si="8"/>
        <v>0.22500000000000001</v>
      </c>
      <c r="U27" s="26">
        <f t="shared" si="8"/>
        <v>0.23</v>
      </c>
      <c r="V27" s="26">
        <f t="shared" si="8"/>
        <v>0.23499999999999999</v>
      </c>
      <c r="W27" s="26">
        <f t="shared" si="8"/>
        <v>0.24</v>
      </c>
      <c r="X27" s="26">
        <f t="shared" si="8"/>
        <v>0.245</v>
      </c>
      <c r="Y27" s="26">
        <f t="shared" si="8"/>
        <v>0.25</v>
      </c>
      <c r="Z27" s="26">
        <f t="shared" si="8"/>
        <v>0.255</v>
      </c>
      <c r="AA27" s="26">
        <f t="shared" si="8"/>
        <v>0.26</v>
      </c>
      <c r="AB27" s="26">
        <f t="shared" si="8"/>
        <v>0.26500000000000001</v>
      </c>
      <c r="AC27" s="26">
        <f t="shared" si="8"/>
        <v>0.27</v>
      </c>
      <c r="AD27" s="26">
        <f t="shared" si="8"/>
        <v>0.27500000000000002</v>
      </c>
      <c r="AE27" s="26">
        <f t="shared" si="8"/>
        <v>0.28000000000000003</v>
      </c>
      <c r="AF27" s="26">
        <f t="shared" si="8"/>
        <v>0.28499999999999998</v>
      </c>
      <c r="AG27" s="26">
        <f t="shared" si="8"/>
        <v>0.28999999999999998</v>
      </c>
      <c r="AH27" s="26">
        <f t="shared" si="9"/>
        <v>0.29499999999999998</v>
      </c>
      <c r="AI27" s="26">
        <f t="shared" si="9"/>
        <v>0.3</v>
      </c>
      <c r="AJ27" s="26">
        <f t="shared" si="9"/>
        <v>0.30499999999999999</v>
      </c>
      <c r="AK27" s="26">
        <f t="shared" si="9"/>
        <v>0.31</v>
      </c>
      <c r="AL27" s="26">
        <f t="shared" si="9"/>
        <v>0.315</v>
      </c>
      <c r="AM27" s="26">
        <f t="shared" si="9"/>
        <v>0.32</v>
      </c>
      <c r="AN27" s="26">
        <f t="shared" si="9"/>
        <v>0.32500000000000001</v>
      </c>
      <c r="AO27" s="26">
        <f t="shared" si="9"/>
        <v>0.33</v>
      </c>
      <c r="AP27" s="26">
        <f t="shared" si="9"/>
        <v>0.33500000000000002</v>
      </c>
      <c r="AQ27" s="26">
        <f t="shared" si="9"/>
        <v>0.34</v>
      </c>
      <c r="AR27" s="26">
        <f t="shared" si="9"/>
        <v>0.34499999999999997</v>
      </c>
      <c r="AS27" s="26">
        <f t="shared" si="9"/>
        <v>0.35</v>
      </c>
      <c r="AT27" s="26">
        <f t="shared" si="9"/>
        <v>0.35499999999999998</v>
      </c>
      <c r="AU27" s="26">
        <f t="shared" si="9"/>
        <v>0.36</v>
      </c>
      <c r="AV27" s="26">
        <f t="shared" si="9"/>
        <v>0.36499999999999999</v>
      </c>
      <c r="AW27" s="26">
        <f t="shared" si="9"/>
        <v>0.37</v>
      </c>
      <c r="AX27" s="26">
        <f t="shared" si="10"/>
        <v>0.375</v>
      </c>
      <c r="AY27" s="26">
        <f t="shared" si="10"/>
        <v>0.38</v>
      </c>
      <c r="AZ27" s="26">
        <f t="shared" si="10"/>
        <v>0.38500000000000001</v>
      </c>
      <c r="BA27" s="26">
        <f t="shared" si="10"/>
        <v>0.39</v>
      </c>
      <c r="BB27" s="26">
        <f t="shared" si="10"/>
        <v>0.39500000000000002</v>
      </c>
      <c r="BC27" s="26">
        <f t="shared" si="10"/>
        <v>0.4</v>
      </c>
      <c r="BD27" s="26">
        <f t="shared" si="10"/>
        <v>0.40500000000000003</v>
      </c>
      <c r="BE27" s="26">
        <f t="shared" si="10"/>
        <v>0.41</v>
      </c>
      <c r="BF27" s="26">
        <f t="shared" si="10"/>
        <v>0.41499999999999998</v>
      </c>
      <c r="BG27" s="26">
        <f t="shared" si="10"/>
        <v>0.42</v>
      </c>
      <c r="BH27" s="26">
        <f t="shared" si="10"/>
        <v>0.42499999999999999</v>
      </c>
      <c r="BI27" s="26">
        <f t="shared" si="10"/>
        <v>0.43</v>
      </c>
      <c r="BJ27" s="26">
        <f t="shared" si="10"/>
        <v>0.435</v>
      </c>
      <c r="BK27" s="26">
        <f t="shared" si="10"/>
        <v>0.44</v>
      </c>
      <c r="BL27" s="26">
        <f t="shared" si="10"/>
        <v>0.44500000000000001</v>
      </c>
      <c r="BM27" s="26">
        <f t="shared" si="10"/>
        <v>0.45</v>
      </c>
      <c r="BN27" s="26">
        <f t="shared" si="11"/>
        <v>0.45500000000000002</v>
      </c>
      <c r="BO27" s="26">
        <f t="shared" si="11"/>
        <v>0.46</v>
      </c>
      <c r="BP27" s="26">
        <f t="shared" si="11"/>
        <v>0.46500000000000002</v>
      </c>
      <c r="BQ27" s="26">
        <f t="shared" si="11"/>
        <v>0.47</v>
      </c>
      <c r="BR27" s="26">
        <f t="shared" si="11"/>
        <v>0.47499999999999998</v>
      </c>
      <c r="BS27" s="26">
        <f t="shared" si="11"/>
        <v>0.48</v>
      </c>
      <c r="BT27" s="26">
        <f t="shared" si="11"/>
        <v>0.48499999999999999</v>
      </c>
      <c r="BU27" s="26">
        <f t="shared" si="11"/>
        <v>0.49</v>
      </c>
      <c r="BV27" s="26">
        <f t="shared" si="11"/>
        <v>0.495</v>
      </c>
      <c r="BW27" s="26">
        <f t="shared" si="11"/>
        <v>0.5</v>
      </c>
      <c r="BX27" s="26">
        <f t="shared" si="11"/>
        <v>0.505</v>
      </c>
      <c r="BY27" s="26">
        <f t="shared" si="11"/>
        <v>0.51</v>
      </c>
      <c r="BZ27" s="26">
        <f t="shared" si="11"/>
        <v>0.51500000000000001</v>
      </c>
      <c r="CA27" s="26">
        <f t="shared" si="11"/>
        <v>0.52</v>
      </c>
      <c r="CB27" s="26">
        <f t="shared" si="11"/>
        <v>0.52500000000000002</v>
      </c>
      <c r="CC27" s="26">
        <f t="shared" si="11"/>
        <v>0.53</v>
      </c>
      <c r="CD27" s="26">
        <f t="shared" si="12"/>
        <v>0.53500000000000003</v>
      </c>
      <c r="CE27" s="26">
        <f t="shared" si="12"/>
        <v>0.54</v>
      </c>
      <c r="CF27" s="26">
        <f t="shared" si="12"/>
        <v>0.54500000000000004</v>
      </c>
      <c r="CG27" s="26">
        <f t="shared" si="12"/>
        <v>0.55000000000000004</v>
      </c>
      <c r="CH27" s="26">
        <f t="shared" si="12"/>
        <v>0.55500000000000005</v>
      </c>
      <c r="CI27" s="26">
        <f t="shared" si="12"/>
        <v>0.56000000000000005</v>
      </c>
      <c r="CJ27" s="26">
        <f t="shared" si="12"/>
        <v>0.56499999999999995</v>
      </c>
      <c r="CK27" s="26">
        <f t="shared" si="12"/>
        <v>0.56999999999999995</v>
      </c>
      <c r="CL27" s="26">
        <f t="shared" si="12"/>
        <v>0.57499999999999996</v>
      </c>
      <c r="CM27" s="26">
        <f t="shared" si="12"/>
        <v>0.57999999999999996</v>
      </c>
      <c r="CN27" s="26">
        <f t="shared" si="12"/>
        <v>0.58499999999999996</v>
      </c>
      <c r="CO27" s="26">
        <f t="shared" si="12"/>
        <v>0.59</v>
      </c>
      <c r="CP27" s="26">
        <f t="shared" si="12"/>
        <v>0.59499999999999997</v>
      </c>
      <c r="CQ27" s="26">
        <f t="shared" si="12"/>
        <v>0.6</v>
      </c>
      <c r="CR27" s="26">
        <f t="shared" si="12"/>
        <v>0.60499999999999998</v>
      </c>
      <c r="CS27" s="26">
        <f t="shared" si="12"/>
        <v>0.61</v>
      </c>
      <c r="CT27" s="26">
        <f t="shared" si="13"/>
        <v>0.61499999999999999</v>
      </c>
      <c r="CU27" s="26">
        <f t="shared" si="13"/>
        <v>0.62</v>
      </c>
      <c r="CV27" s="26">
        <f t="shared" si="13"/>
        <v>0.625</v>
      </c>
      <c r="CW27" s="26">
        <f t="shared" si="13"/>
        <v>0.63</v>
      </c>
    </row>
    <row r="28" spans="2:101" ht="20.100000000000001" customHeight="1">
      <c r="B28" s="26">
        <f t="shared" si="14"/>
        <v>0.14000000000000001</v>
      </c>
      <c r="C28" s="26">
        <f t="shared" si="14"/>
        <v>0.14499999999999999</v>
      </c>
      <c r="D28" s="26">
        <f t="shared" si="14"/>
        <v>0.15</v>
      </c>
      <c r="E28" s="26">
        <f t="shared" si="14"/>
        <v>0.155</v>
      </c>
      <c r="F28" s="26">
        <f t="shared" si="14"/>
        <v>0.16</v>
      </c>
      <c r="G28" s="26">
        <f t="shared" si="14"/>
        <v>0.16500000000000001</v>
      </c>
      <c r="H28" s="26">
        <f t="shared" si="14"/>
        <v>0.17</v>
      </c>
      <c r="I28" s="26">
        <f t="shared" si="14"/>
        <v>0.17499999999999999</v>
      </c>
      <c r="J28" s="26">
        <f t="shared" si="14"/>
        <v>0.18</v>
      </c>
      <c r="K28" s="26">
        <f t="shared" si="14"/>
        <v>0.185</v>
      </c>
      <c r="L28" s="26">
        <f t="shared" si="14"/>
        <v>0.19</v>
      </c>
      <c r="M28" s="26">
        <f t="shared" si="14"/>
        <v>0.19500000000000001</v>
      </c>
      <c r="N28" s="26">
        <f t="shared" si="14"/>
        <v>0.2</v>
      </c>
      <c r="O28" s="26">
        <f t="shared" si="14"/>
        <v>0.20499999999999999</v>
      </c>
      <c r="P28" s="26">
        <f t="shared" si="14"/>
        <v>0.21</v>
      </c>
      <c r="Q28" s="26">
        <f t="shared" si="14"/>
        <v>0.215</v>
      </c>
      <c r="R28" s="26">
        <f t="shared" si="8"/>
        <v>0.22</v>
      </c>
      <c r="S28" s="26">
        <f t="shared" si="8"/>
        <v>0.22500000000000001</v>
      </c>
      <c r="T28" s="26">
        <f t="shared" si="8"/>
        <v>0.23</v>
      </c>
      <c r="U28" s="26">
        <f t="shared" si="8"/>
        <v>0.23499999999999999</v>
      </c>
      <c r="V28" s="26">
        <f t="shared" si="8"/>
        <v>0.24</v>
      </c>
      <c r="W28" s="26">
        <f t="shared" si="8"/>
        <v>0.245</v>
      </c>
      <c r="X28" s="26">
        <f t="shared" si="8"/>
        <v>0.25</v>
      </c>
      <c r="Y28" s="26">
        <f t="shared" si="8"/>
        <v>0.255</v>
      </c>
      <c r="Z28" s="26">
        <f t="shared" si="8"/>
        <v>0.26</v>
      </c>
      <c r="AA28" s="26">
        <f t="shared" si="8"/>
        <v>0.26500000000000001</v>
      </c>
      <c r="AB28" s="26">
        <f t="shared" si="8"/>
        <v>0.27</v>
      </c>
      <c r="AC28" s="26">
        <f t="shared" si="8"/>
        <v>0.27500000000000002</v>
      </c>
      <c r="AD28" s="26">
        <f t="shared" si="8"/>
        <v>0.28000000000000003</v>
      </c>
      <c r="AE28" s="26">
        <f t="shared" si="8"/>
        <v>0.28499999999999998</v>
      </c>
      <c r="AF28" s="26">
        <f t="shared" si="8"/>
        <v>0.28999999999999998</v>
      </c>
      <c r="AG28" s="26">
        <f t="shared" si="8"/>
        <v>0.29499999999999998</v>
      </c>
      <c r="AH28" s="26">
        <f t="shared" si="9"/>
        <v>0.3</v>
      </c>
      <c r="AI28" s="26">
        <f t="shared" si="9"/>
        <v>0.30499999999999999</v>
      </c>
      <c r="AJ28" s="26">
        <f t="shared" si="9"/>
        <v>0.31</v>
      </c>
      <c r="AK28" s="26">
        <f t="shared" si="9"/>
        <v>0.315</v>
      </c>
      <c r="AL28" s="26">
        <f t="shared" si="9"/>
        <v>0.32</v>
      </c>
      <c r="AM28" s="26">
        <f t="shared" si="9"/>
        <v>0.32500000000000001</v>
      </c>
      <c r="AN28" s="26">
        <f t="shared" si="9"/>
        <v>0.33</v>
      </c>
      <c r="AO28" s="26">
        <f t="shared" si="9"/>
        <v>0.33500000000000002</v>
      </c>
      <c r="AP28" s="26">
        <f t="shared" si="9"/>
        <v>0.34</v>
      </c>
      <c r="AQ28" s="26">
        <f t="shared" si="9"/>
        <v>0.34499999999999997</v>
      </c>
      <c r="AR28" s="26">
        <f t="shared" si="9"/>
        <v>0.35</v>
      </c>
      <c r="AS28" s="26">
        <f t="shared" si="9"/>
        <v>0.35499999999999998</v>
      </c>
      <c r="AT28" s="26">
        <f t="shared" si="9"/>
        <v>0.36</v>
      </c>
      <c r="AU28" s="26">
        <f t="shared" si="9"/>
        <v>0.36499999999999999</v>
      </c>
      <c r="AV28" s="26">
        <f t="shared" si="9"/>
        <v>0.37</v>
      </c>
      <c r="AW28" s="26">
        <f t="shared" si="9"/>
        <v>0.375</v>
      </c>
      <c r="AX28" s="26">
        <f t="shared" si="10"/>
        <v>0.38</v>
      </c>
      <c r="AY28" s="26">
        <f t="shared" si="10"/>
        <v>0.38500000000000001</v>
      </c>
      <c r="AZ28" s="26">
        <f t="shared" si="10"/>
        <v>0.39</v>
      </c>
      <c r="BA28" s="26">
        <f t="shared" si="10"/>
        <v>0.39500000000000002</v>
      </c>
      <c r="BB28" s="26">
        <f t="shared" si="10"/>
        <v>0.4</v>
      </c>
      <c r="BC28" s="26">
        <f t="shared" si="10"/>
        <v>0.40500000000000003</v>
      </c>
      <c r="BD28" s="26">
        <f t="shared" si="10"/>
        <v>0.41</v>
      </c>
      <c r="BE28" s="26">
        <f t="shared" si="10"/>
        <v>0.41499999999999998</v>
      </c>
      <c r="BF28" s="26">
        <f t="shared" si="10"/>
        <v>0.42</v>
      </c>
      <c r="BG28" s="26">
        <f t="shared" si="10"/>
        <v>0.42499999999999999</v>
      </c>
      <c r="BH28" s="26">
        <f t="shared" si="10"/>
        <v>0.43</v>
      </c>
      <c r="BI28" s="26">
        <f t="shared" si="10"/>
        <v>0.435</v>
      </c>
      <c r="BJ28" s="26">
        <f t="shared" si="10"/>
        <v>0.44</v>
      </c>
      <c r="BK28" s="26">
        <f t="shared" si="10"/>
        <v>0.44500000000000001</v>
      </c>
      <c r="BL28" s="26">
        <f t="shared" si="10"/>
        <v>0.45</v>
      </c>
      <c r="BM28" s="26">
        <f t="shared" si="10"/>
        <v>0.45500000000000002</v>
      </c>
      <c r="BN28" s="26">
        <f t="shared" si="11"/>
        <v>0.46</v>
      </c>
      <c r="BO28" s="26">
        <f t="shared" si="11"/>
        <v>0.46500000000000002</v>
      </c>
      <c r="BP28" s="26">
        <f t="shared" si="11"/>
        <v>0.47</v>
      </c>
      <c r="BQ28" s="26">
        <f t="shared" si="11"/>
        <v>0.47499999999999998</v>
      </c>
      <c r="BR28" s="26">
        <f t="shared" si="11"/>
        <v>0.48</v>
      </c>
      <c r="BS28" s="26">
        <f t="shared" si="11"/>
        <v>0.48499999999999999</v>
      </c>
      <c r="BT28" s="26">
        <f t="shared" si="11"/>
        <v>0.49</v>
      </c>
      <c r="BU28" s="26">
        <f t="shared" si="11"/>
        <v>0.495</v>
      </c>
      <c r="BV28" s="26">
        <f t="shared" si="11"/>
        <v>0.5</v>
      </c>
      <c r="BW28" s="26">
        <f t="shared" si="11"/>
        <v>0.505</v>
      </c>
      <c r="BX28" s="26">
        <f t="shared" si="11"/>
        <v>0.51</v>
      </c>
      <c r="BY28" s="26">
        <f t="shared" si="11"/>
        <v>0.51500000000000001</v>
      </c>
      <c r="BZ28" s="26">
        <f t="shared" si="11"/>
        <v>0.52</v>
      </c>
      <c r="CA28" s="26">
        <f t="shared" si="11"/>
        <v>0.52500000000000002</v>
      </c>
      <c r="CB28" s="26">
        <f t="shared" si="11"/>
        <v>0.53</v>
      </c>
      <c r="CC28" s="26">
        <f t="shared" si="11"/>
        <v>0.53500000000000003</v>
      </c>
      <c r="CD28" s="26">
        <f t="shared" si="12"/>
        <v>0.54</v>
      </c>
      <c r="CE28" s="26">
        <f t="shared" si="12"/>
        <v>0.54500000000000004</v>
      </c>
      <c r="CF28" s="26">
        <f t="shared" si="12"/>
        <v>0.55000000000000004</v>
      </c>
      <c r="CG28" s="26">
        <f t="shared" si="12"/>
        <v>0.55500000000000005</v>
      </c>
      <c r="CH28" s="26">
        <f t="shared" si="12"/>
        <v>0.56000000000000005</v>
      </c>
      <c r="CI28" s="26">
        <f t="shared" si="12"/>
        <v>0.56499999999999995</v>
      </c>
      <c r="CJ28" s="26">
        <f t="shared" si="12"/>
        <v>0.56999999999999995</v>
      </c>
      <c r="CK28" s="26">
        <f t="shared" si="12"/>
        <v>0.57499999999999996</v>
      </c>
      <c r="CL28" s="26">
        <f t="shared" si="12"/>
        <v>0.57999999999999996</v>
      </c>
      <c r="CM28" s="26">
        <f t="shared" si="12"/>
        <v>0.58499999999999996</v>
      </c>
      <c r="CN28" s="26">
        <f t="shared" si="12"/>
        <v>0.59</v>
      </c>
      <c r="CO28" s="26">
        <f t="shared" si="12"/>
        <v>0.59499999999999997</v>
      </c>
      <c r="CP28" s="26">
        <f t="shared" si="12"/>
        <v>0.6</v>
      </c>
      <c r="CQ28" s="26">
        <f t="shared" si="12"/>
        <v>0.60499999999999998</v>
      </c>
      <c r="CR28" s="26">
        <f t="shared" si="12"/>
        <v>0.61</v>
      </c>
      <c r="CS28" s="26">
        <f t="shared" si="12"/>
        <v>0.61499999999999999</v>
      </c>
      <c r="CT28" s="26">
        <f t="shared" si="13"/>
        <v>0.62</v>
      </c>
      <c r="CU28" s="26">
        <f t="shared" si="13"/>
        <v>0.625</v>
      </c>
      <c r="CV28" s="26">
        <f t="shared" si="13"/>
        <v>0.63</v>
      </c>
      <c r="CW28" s="26">
        <f t="shared" si="13"/>
        <v>0.63500000000000001</v>
      </c>
    </row>
    <row r="29" spans="2:101" ht="20.100000000000001" customHeight="1">
      <c r="B29" s="26">
        <f t="shared" si="14"/>
        <v>0.14499999999999999</v>
      </c>
      <c r="C29" s="26">
        <f t="shared" si="14"/>
        <v>0.15</v>
      </c>
      <c r="D29" s="26">
        <f t="shared" si="14"/>
        <v>0.155</v>
      </c>
      <c r="E29" s="26">
        <f t="shared" si="14"/>
        <v>0.16</v>
      </c>
      <c r="F29" s="26">
        <f t="shared" si="14"/>
        <v>0.16500000000000001</v>
      </c>
      <c r="G29" s="26">
        <f t="shared" si="14"/>
        <v>0.17</v>
      </c>
      <c r="H29" s="26">
        <f t="shared" si="14"/>
        <v>0.17499999999999999</v>
      </c>
      <c r="I29" s="26">
        <f t="shared" si="14"/>
        <v>0.18</v>
      </c>
      <c r="J29" s="26">
        <f t="shared" si="14"/>
        <v>0.185</v>
      </c>
      <c r="K29" s="26">
        <f t="shared" si="14"/>
        <v>0.19</v>
      </c>
      <c r="L29" s="26">
        <f t="shared" si="14"/>
        <v>0.19500000000000001</v>
      </c>
      <c r="M29" s="26">
        <f t="shared" si="14"/>
        <v>0.2</v>
      </c>
      <c r="N29" s="26">
        <f t="shared" si="14"/>
        <v>0.20499999999999999</v>
      </c>
      <c r="O29" s="26">
        <f t="shared" si="14"/>
        <v>0.21</v>
      </c>
      <c r="P29" s="26">
        <f t="shared" si="14"/>
        <v>0.215</v>
      </c>
      <c r="Q29" s="26">
        <f t="shared" si="14"/>
        <v>0.22</v>
      </c>
      <c r="R29" s="26">
        <f t="shared" si="8"/>
        <v>0.22500000000000001</v>
      </c>
      <c r="S29" s="26">
        <f t="shared" si="8"/>
        <v>0.23</v>
      </c>
      <c r="T29" s="26">
        <f t="shared" si="8"/>
        <v>0.23499999999999999</v>
      </c>
      <c r="U29" s="26">
        <f t="shared" si="8"/>
        <v>0.24</v>
      </c>
      <c r="V29" s="26">
        <f t="shared" si="8"/>
        <v>0.245</v>
      </c>
      <c r="W29" s="26">
        <f t="shared" si="8"/>
        <v>0.25</v>
      </c>
      <c r="X29" s="26">
        <f t="shared" si="8"/>
        <v>0.255</v>
      </c>
      <c r="Y29" s="26">
        <f t="shared" si="8"/>
        <v>0.26</v>
      </c>
      <c r="Z29" s="26">
        <f t="shared" si="8"/>
        <v>0.26500000000000001</v>
      </c>
      <c r="AA29" s="26">
        <f t="shared" si="8"/>
        <v>0.27</v>
      </c>
      <c r="AB29" s="26">
        <f t="shared" si="8"/>
        <v>0.27500000000000002</v>
      </c>
      <c r="AC29" s="26">
        <f t="shared" si="8"/>
        <v>0.28000000000000003</v>
      </c>
      <c r="AD29" s="26">
        <f t="shared" si="8"/>
        <v>0.28499999999999998</v>
      </c>
      <c r="AE29" s="26">
        <f t="shared" si="8"/>
        <v>0.28999999999999998</v>
      </c>
      <c r="AF29" s="26">
        <f t="shared" si="8"/>
        <v>0.29499999999999998</v>
      </c>
      <c r="AG29" s="26">
        <f t="shared" si="8"/>
        <v>0.3</v>
      </c>
      <c r="AH29" s="26">
        <f t="shared" si="9"/>
        <v>0.30499999999999999</v>
      </c>
      <c r="AI29" s="26">
        <f t="shared" si="9"/>
        <v>0.31</v>
      </c>
      <c r="AJ29" s="26">
        <f t="shared" si="9"/>
        <v>0.315</v>
      </c>
      <c r="AK29" s="26">
        <f t="shared" si="9"/>
        <v>0.32</v>
      </c>
      <c r="AL29" s="26">
        <f t="shared" si="9"/>
        <v>0.32500000000000001</v>
      </c>
      <c r="AM29" s="26">
        <f t="shared" si="9"/>
        <v>0.33</v>
      </c>
      <c r="AN29" s="26">
        <f t="shared" si="9"/>
        <v>0.33500000000000002</v>
      </c>
      <c r="AO29" s="26">
        <f t="shared" si="9"/>
        <v>0.34</v>
      </c>
      <c r="AP29" s="26">
        <f t="shared" si="9"/>
        <v>0.34499999999999997</v>
      </c>
      <c r="AQ29" s="26">
        <f t="shared" si="9"/>
        <v>0.35</v>
      </c>
      <c r="AR29" s="26">
        <f t="shared" si="9"/>
        <v>0.35499999999999998</v>
      </c>
      <c r="AS29" s="26">
        <f t="shared" si="9"/>
        <v>0.36</v>
      </c>
      <c r="AT29" s="26">
        <f t="shared" si="9"/>
        <v>0.36499999999999999</v>
      </c>
      <c r="AU29" s="26">
        <f t="shared" si="9"/>
        <v>0.37</v>
      </c>
      <c r="AV29" s="26">
        <f t="shared" si="9"/>
        <v>0.375</v>
      </c>
      <c r="AW29" s="26">
        <f t="shared" si="9"/>
        <v>0.38</v>
      </c>
      <c r="AX29" s="26">
        <f t="shared" si="10"/>
        <v>0.38500000000000001</v>
      </c>
      <c r="AY29" s="26">
        <f t="shared" si="10"/>
        <v>0.39</v>
      </c>
      <c r="AZ29" s="26">
        <f t="shared" si="10"/>
        <v>0.39500000000000002</v>
      </c>
      <c r="BA29" s="26">
        <f t="shared" si="10"/>
        <v>0.4</v>
      </c>
      <c r="BB29" s="26">
        <f t="shared" si="10"/>
        <v>0.40500000000000003</v>
      </c>
      <c r="BC29" s="26">
        <f t="shared" si="10"/>
        <v>0.41</v>
      </c>
      <c r="BD29" s="26">
        <f t="shared" si="10"/>
        <v>0.41499999999999998</v>
      </c>
      <c r="BE29" s="26">
        <f t="shared" si="10"/>
        <v>0.42</v>
      </c>
      <c r="BF29" s="26">
        <f t="shared" si="10"/>
        <v>0.42499999999999999</v>
      </c>
      <c r="BG29" s="26">
        <f t="shared" si="10"/>
        <v>0.43</v>
      </c>
      <c r="BH29" s="26">
        <f t="shared" si="10"/>
        <v>0.435</v>
      </c>
      <c r="BI29" s="26">
        <f t="shared" si="10"/>
        <v>0.44</v>
      </c>
      <c r="BJ29" s="26">
        <f t="shared" si="10"/>
        <v>0.44500000000000001</v>
      </c>
      <c r="BK29" s="26">
        <f t="shared" si="10"/>
        <v>0.45</v>
      </c>
      <c r="BL29" s="26">
        <f t="shared" si="10"/>
        <v>0.45500000000000002</v>
      </c>
      <c r="BM29" s="26">
        <f t="shared" si="10"/>
        <v>0.46</v>
      </c>
      <c r="BN29" s="26">
        <f t="shared" si="11"/>
        <v>0.46500000000000002</v>
      </c>
      <c r="BO29" s="26">
        <f t="shared" si="11"/>
        <v>0.47</v>
      </c>
      <c r="BP29" s="26">
        <f t="shared" si="11"/>
        <v>0.47499999999999998</v>
      </c>
      <c r="BQ29" s="26">
        <f t="shared" si="11"/>
        <v>0.48</v>
      </c>
      <c r="BR29" s="26">
        <f t="shared" si="11"/>
        <v>0.48499999999999999</v>
      </c>
      <c r="BS29" s="26">
        <f t="shared" si="11"/>
        <v>0.49</v>
      </c>
      <c r="BT29" s="26">
        <f t="shared" si="11"/>
        <v>0.495</v>
      </c>
      <c r="BU29" s="26">
        <f t="shared" si="11"/>
        <v>0.5</v>
      </c>
      <c r="BV29" s="26">
        <f t="shared" si="11"/>
        <v>0.505</v>
      </c>
      <c r="BW29" s="26">
        <f t="shared" si="11"/>
        <v>0.51</v>
      </c>
      <c r="BX29" s="26">
        <f t="shared" si="11"/>
        <v>0.51500000000000001</v>
      </c>
      <c r="BY29" s="26">
        <f t="shared" si="11"/>
        <v>0.52</v>
      </c>
      <c r="BZ29" s="26">
        <f t="shared" si="11"/>
        <v>0.52500000000000002</v>
      </c>
      <c r="CA29" s="26">
        <f t="shared" si="11"/>
        <v>0.53</v>
      </c>
      <c r="CB29" s="26">
        <f t="shared" si="11"/>
        <v>0.53500000000000003</v>
      </c>
      <c r="CC29" s="26">
        <f t="shared" si="11"/>
        <v>0.54</v>
      </c>
      <c r="CD29" s="26">
        <f t="shared" si="12"/>
        <v>0.54500000000000004</v>
      </c>
      <c r="CE29" s="26">
        <f t="shared" si="12"/>
        <v>0.55000000000000004</v>
      </c>
      <c r="CF29" s="26">
        <f t="shared" si="12"/>
        <v>0.55500000000000005</v>
      </c>
      <c r="CG29" s="26">
        <f t="shared" si="12"/>
        <v>0.56000000000000005</v>
      </c>
      <c r="CH29" s="26">
        <f t="shared" si="12"/>
        <v>0.56499999999999995</v>
      </c>
      <c r="CI29" s="26">
        <f t="shared" si="12"/>
        <v>0.56999999999999995</v>
      </c>
      <c r="CJ29" s="26">
        <f t="shared" si="12"/>
        <v>0.57499999999999996</v>
      </c>
      <c r="CK29" s="26">
        <f t="shared" si="12"/>
        <v>0.57999999999999996</v>
      </c>
      <c r="CL29" s="26">
        <f t="shared" si="12"/>
        <v>0.58499999999999996</v>
      </c>
      <c r="CM29" s="26">
        <f t="shared" si="12"/>
        <v>0.59</v>
      </c>
      <c r="CN29" s="26">
        <f t="shared" si="12"/>
        <v>0.59499999999999997</v>
      </c>
      <c r="CO29" s="26">
        <f t="shared" si="12"/>
        <v>0.6</v>
      </c>
      <c r="CP29" s="26">
        <f t="shared" si="12"/>
        <v>0.60499999999999998</v>
      </c>
      <c r="CQ29" s="26">
        <f t="shared" si="12"/>
        <v>0.61</v>
      </c>
      <c r="CR29" s="26">
        <f t="shared" si="12"/>
        <v>0.61499999999999999</v>
      </c>
      <c r="CS29" s="26">
        <f t="shared" si="12"/>
        <v>0.62</v>
      </c>
      <c r="CT29" s="26">
        <f t="shared" si="13"/>
        <v>0.625</v>
      </c>
      <c r="CU29" s="26">
        <f t="shared" si="13"/>
        <v>0.63</v>
      </c>
      <c r="CV29" s="26">
        <f t="shared" si="13"/>
        <v>0.63500000000000001</v>
      </c>
      <c r="CW29" s="26">
        <f t="shared" si="13"/>
        <v>0.64</v>
      </c>
    </row>
    <row r="30" spans="2:101" ht="20.100000000000001" customHeight="1">
      <c r="B30" s="26">
        <f t="shared" si="14"/>
        <v>0.15</v>
      </c>
      <c r="C30" s="26">
        <f t="shared" si="14"/>
        <v>0.155</v>
      </c>
      <c r="D30" s="26">
        <f t="shared" si="14"/>
        <v>0.16</v>
      </c>
      <c r="E30" s="26">
        <f t="shared" si="14"/>
        <v>0.16500000000000001</v>
      </c>
      <c r="F30" s="26">
        <f t="shared" si="14"/>
        <v>0.17</v>
      </c>
      <c r="G30" s="26">
        <f t="shared" si="14"/>
        <v>0.17499999999999999</v>
      </c>
      <c r="H30" s="26">
        <f t="shared" si="14"/>
        <v>0.18</v>
      </c>
      <c r="I30" s="26">
        <f t="shared" si="14"/>
        <v>0.185</v>
      </c>
      <c r="J30" s="26">
        <f t="shared" si="14"/>
        <v>0.19</v>
      </c>
      <c r="K30" s="26">
        <f t="shared" si="14"/>
        <v>0.19500000000000001</v>
      </c>
      <c r="L30" s="26">
        <f t="shared" si="14"/>
        <v>0.2</v>
      </c>
      <c r="M30" s="26">
        <f t="shared" si="14"/>
        <v>0.20499999999999999</v>
      </c>
      <c r="N30" s="26">
        <f t="shared" si="14"/>
        <v>0.21</v>
      </c>
      <c r="O30" s="26">
        <f t="shared" si="14"/>
        <v>0.215</v>
      </c>
      <c r="P30" s="26">
        <f t="shared" si="14"/>
        <v>0.22</v>
      </c>
      <c r="Q30" s="26">
        <f t="shared" si="14"/>
        <v>0.22500000000000001</v>
      </c>
      <c r="R30" s="26">
        <f t="shared" si="8"/>
        <v>0.23</v>
      </c>
      <c r="S30" s="26">
        <f t="shared" si="8"/>
        <v>0.23499999999999999</v>
      </c>
      <c r="T30" s="26">
        <f t="shared" si="8"/>
        <v>0.24</v>
      </c>
      <c r="U30" s="26">
        <f t="shared" si="8"/>
        <v>0.245</v>
      </c>
      <c r="V30" s="26">
        <f t="shared" si="8"/>
        <v>0.25</v>
      </c>
      <c r="W30" s="26">
        <f t="shared" si="8"/>
        <v>0.255</v>
      </c>
      <c r="X30" s="26">
        <f t="shared" si="8"/>
        <v>0.26</v>
      </c>
      <c r="Y30" s="26">
        <f t="shared" si="8"/>
        <v>0.26500000000000001</v>
      </c>
      <c r="Z30" s="26">
        <f t="shared" si="8"/>
        <v>0.27</v>
      </c>
      <c r="AA30" s="26">
        <f t="shared" si="8"/>
        <v>0.27500000000000002</v>
      </c>
      <c r="AB30" s="26">
        <f t="shared" si="8"/>
        <v>0.28000000000000003</v>
      </c>
      <c r="AC30" s="26">
        <f t="shared" si="8"/>
        <v>0.28499999999999998</v>
      </c>
      <c r="AD30" s="26">
        <f t="shared" si="8"/>
        <v>0.28999999999999998</v>
      </c>
      <c r="AE30" s="26">
        <f t="shared" si="8"/>
        <v>0.29499999999999998</v>
      </c>
      <c r="AF30" s="26">
        <f t="shared" si="8"/>
        <v>0.3</v>
      </c>
      <c r="AG30" s="26">
        <f t="shared" si="8"/>
        <v>0.30499999999999999</v>
      </c>
      <c r="AH30" s="26">
        <f t="shared" si="9"/>
        <v>0.31</v>
      </c>
      <c r="AI30" s="26">
        <f t="shared" si="9"/>
        <v>0.315</v>
      </c>
      <c r="AJ30" s="26">
        <f t="shared" si="9"/>
        <v>0.32</v>
      </c>
      <c r="AK30" s="26">
        <f t="shared" si="9"/>
        <v>0.32500000000000001</v>
      </c>
      <c r="AL30" s="26">
        <f t="shared" si="9"/>
        <v>0.33</v>
      </c>
      <c r="AM30" s="26">
        <f t="shared" si="9"/>
        <v>0.33500000000000002</v>
      </c>
      <c r="AN30" s="26">
        <f t="shared" si="9"/>
        <v>0.34</v>
      </c>
      <c r="AO30" s="26">
        <f t="shared" si="9"/>
        <v>0.34499999999999997</v>
      </c>
      <c r="AP30" s="26">
        <f t="shared" si="9"/>
        <v>0.35</v>
      </c>
      <c r="AQ30" s="26">
        <f t="shared" si="9"/>
        <v>0.35499999999999998</v>
      </c>
      <c r="AR30" s="26">
        <f t="shared" si="9"/>
        <v>0.36</v>
      </c>
      <c r="AS30" s="26">
        <f t="shared" si="9"/>
        <v>0.36499999999999999</v>
      </c>
      <c r="AT30" s="26">
        <f t="shared" si="9"/>
        <v>0.37</v>
      </c>
      <c r="AU30" s="26">
        <f t="shared" si="9"/>
        <v>0.375</v>
      </c>
      <c r="AV30" s="26">
        <f t="shared" si="9"/>
        <v>0.38</v>
      </c>
      <c r="AW30" s="26">
        <f t="shared" si="9"/>
        <v>0.38500000000000001</v>
      </c>
      <c r="AX30" s="26">
        <f t="shared" si="10"/>
        <v>0.39</v>
      </c>
      <c r="AY30" s="26">
        <f t="shared" si="10"/>
        <v>0.39500000000000002</v>
      </c>
      <c r="AZ30" s="26">
        <f t="shared" si="10"/>
        <v>0.4</v>
      </c>
      <c r="BA30" s="26">
        <f t="shared" si="10"/>
        <v>0.40500000000000003</v>
      </c>
      <c r="BB30" s="26">
        <f t="shared" si="10"/>
        <v>0.41</v>
      </c>
      <c r="BC30" s="26">
        <f t="shared" si="10"/>
        <v>0.41499999999999998</v>
      </c>
      <c r="BD30" s="26">
        <f t="shared" si="10"/>
        <v>0.42</v>
      </c>
      <c r="BE30" s="26">
        <f t="shared" si="10"/>
        <v>0.42499999999999999</v>
      </c>
      <c r="BF30" s="26">
        <f t="shared" si="10"/>
        <v>0.43</v>
      </c>
      <c r="BG30" s="26">
        <f t="shared" si="10"/>
        <v>0.435</v>
      </c>
      <c r="BH30" s="26">
        <f t="shared" si="10"/>
        <v>0.44</v>
      </c>
      <c r="BI30" s="26">
        <f t="shared" si="10"/>
        <v>0.44500000000000001</v>
      </c>
      <c r="BJ30" s="26">
        <f t="shared" si="10"/>
        <v>0.45</v>
      </c>
      <c r="BK30" s="26">
        <f t="shared" si="10"/>
        <v>0.45500000000000002</v>
      </c>
      <c r="BL30" s="26">
        <f t="shared" si="10"/>
        <v>0.46</v>
      </c>
      <c r="BM30" s="26">
        <f t="shared" si="10"/>
        <v>0.46500000000000002</v>
      </c>
      <c r="BN30" s="26">
        <f t="shared" si="11"/>
        <v>0.47</v>
      </c>
      <c r="BO30" s="26">
        <f t="shared" si="11"/>
        <v>0.47499999999999998</v>
      </c>
      <c r="BP30" s="26">
        <f t="shared" si="11"/>
        <v>0.48</v>
      </c>
      <c r="BQ30" s="26">
        <f t="shared" si="11"/>
        <v>0.48499999999999999</v>
      </c>
      <c r="BR30" s="26">
        <f t="shared" si="11"/>
        <v>0.49</v>
      </c>
      <c r="BS30" s="26">
        <f t="shared" si="11"/>
        <v>0.495</v>
      </c>
      <c r="BT30" s="26">
        <f t="shared" si="11"/>
        <v>0.5</v>
      </c>
      <c r="BU30" s="26">
        <f t="shared" si="11"/>
        <v>0.505</v>
      </c>
      <c r="BV30" s="26">
        <f t="shared" si="11"/>
        <v>0.51</v>
      </c>
      <c r="BW30" s="26">
        <f t="shared" si="11"/>
        <v>0.51500000000000001</v>
      </c>
      <c r="BX30" s="26">
        <f t="shared" si="11"/>
        <v>0.52</v>
      </c>
      <c r="BY30" s="26">
        <f t="shared" si="11"/>
        <v>0.52500000000000002</v>
      </c>
      <c r="BZ30" s="26">
        <f t="shared" si="11"/>
        <v>0.53</v>
      </c>
      <c r="CA30" s="26">
        <f t="shared" si="11"/>
        <v>0.53500000000000003</v>
      </c>
      <c r="CB30" s="26">
        <f t="shared" si="11"/>
        <v>0.54</v>
      </c>
      <c r="CC30" s="26">
        <f t="shared" si="11"/>
        <v>0.54500000000000004</v>
      </c>
      <c r="CD30" s="26">
        <f t="shared" si="12"/>
        <v>0.55000000000000004</v>
      </c>
      <c r="CE30" s="26">
        <f t="shared" si="12"/>
        <v>0.55500000000000005</v>
      </c>
      <c r="CF30" s="26">
        <f t="shared" si="12"/>
        <v>0.56000000000000005</v>
      </c>
      <c r="CG30" s="26">
        <f t="shared" si="12"/>
        <v>0.56499999999999995</v>
      </c>
      <c r="CH30" s="26">
        <f t="shared" si="12"/>
        <v>0.56999999999999995</v>
      </c>
      <c r="CI30" s="26">
        <f t="shared" si="12"/>
        <v>0.57499999999999996</v>
      </c>
      <c r="CJ30" s="26">
        <f t="shared" si="12"/>
        <v>0.57999999999999996</v>
      </c>
      <c r="CK30" s="26">
        <f t="shared" si="12"/>
        <v>0.58499999999999996</v>
      </c>
      <c r="CL30" s="26">
        <f t="shared" si="12"/>
        <v>0.59</v>
      </c>
      <c r="CM30" s="26">
        <f t="shared" si="12"/>
        <v>0.59499999999999997</v>
      </c>
      <c r="CN30" s="26">
        <f t="shared" si="12"/>
        <v>0.6</v>
      </c>
      <c r="CO30" s="26">
        <f t="shared" si="12"/>
        <v>0.60499999999999998</v>
      </c>
      <c r="CP30" s="26">
        <f t="shared" si="12"/>
        <v>0.61</v>
      </c>
      <c r="CQ30" s="26">
        <f t="shared" si="12"/>
        <v>0.61499999999999999</v>
      </c>
      <c r="CR30" s="26">
        <f t="shared" si="12"/>
        <v>0.62</v>
      </c>
      <c r="CS30" s="26">
        <f t="shared" si="12"/>
        <v>0.625</v>
      </c>
      <c r="CT30" s="26">
        <f t="shared" si="13"/>
        <v>0.63</v>
      </c>
      <c r="CU30" s="26">
        <f t="shared" si="13"/>
        <v>0.63500000000000001</v>
      </c>
      <c r="CV30" s="26">
        <f t="shared" si="13"/>
        <v>0.64</v>
      </c>
      <c r="CW30" s="26">
        <f t="shared" si="13"/>
        <v>0.64500000000000002</v>
      </c>
    </row>
    <row r="31" spans="2:101" ht="20.100000000000001" customHeight="1">
      <c r="B31" s="26">
        <f t="shared" si="14"/>
        <v>0.155</v>
      </c>
      <c r="C31" s="26">
        <f t="shared" si="14"/>
        <v>0.16</v>
      </c>
      <c r="D31" s="26">
        <f t="shared" si="14"/>
        <v>0.16500000000000001</v>
      </c>
      <c r="E31" s="26">
        <f t="shared" si="14"/>
        <v>0.17</v>
      </c>
      <c r="F31" s="26">
        <f t="shared" si="14"/>
        <v>0.17499999999999999</v>
      </c>
      <c r="G31" s="26">
        <f t="shared" si="14"/>
        <v>0.18</v>
      </c>
      <c r="H31" s="26">
        <f t="shared" si="14"/>
        <v>0.185</v>
      </c>
      <c r="I31" s="26">
        <f t="shared" si="14"/>
        <v>0.19</v>
      </c>
      <c r="J31" s="26">
        <f t="shared" si="14"/>
        <v>0.19500000000000001</v>
      </c>
      <c r="K31" s="26">
        <f t="shared" si="14"/>
        <v>0.2</v>
      </c>
      <c r="L31" s="26">
        <f t="shared" si="14"/>
        <v>0.20499999999999999</v>
      </c>
      <c r="M31" s="26">
        <f t="shared" si="14"/>
        <v>0.21</v>
      </c>
      <c r="N31" s="26">
        <f t="shared" si="14"/>
        <v>0.215</v>
      </c>
      <c r="O31" s="26">
        <f t="shared" si="14"/>
        <v>0.22</v>
      </c>
      <c r="P31" s="26">
        <f t="shared" si="14"/>
        <v>0.22500000000000001</v>
      </c>
      <c r="Q31" s="26">
        <f t="shared" si="14"/>
        <v>0.23</v>
      </c>
      <c r="R31" s="26">
        <f t="shared" si="8"/>
        <v>0.23499999999999999</v>
      </c>
      <c r="S31" s="26">
        <f t="shared" si="8"/>
        <v>0.24</v>
      </c>
      <c r="T31" s="26">
        <f t="shared" si="8"/>
        <v>0.245</v>
      </c>
      <c r="U31" s="26">
        <f t="shared" si="8"/>
        <v>0.25</v>
      </c>
      <c r="V31" s="26">
        <f t="shared" si="8"/>
        <v>0.255</v>
      </c>
      <c r="W31" s="26">
        <f t="shared" si="8"/>
        <v>0.26</v>
      </c>
      <c r="X31" s="26">
        <f t="shared" si="8"/>
        <v>0.26500000000000001</v>
      </c>
      <c r="Y31" s="26">
        <f t="shared" si="8"/>
        <v>0.27</v>
      </c>
      <c r="Z31" s="26">
        <f t="shared" si="8"/>
        <v>0.27500000000000002</v>
      </c>
      <c r="AA31" s="26">
        <f t="shared" si="8"/>
        <v>0.28000000000000003</v>
      </c>
      <c r="AB31" s="26">
        <f t="shared" si="8"/>
        <v>0.28499999999999998</v>
      </c>
      <c r="AC31" s="26">
        <f t="shared" si="8"/>
        <v>0.28999999999999998</v>
      </c>
      <c r="AD31" s="26">
        <f t="shared" si="8"/>
        <v>0.29499999999999998</v>
      </c>
      <c r="AE31" s="26">
        <f t="shared" si="8"/>
        <v>0.3</v>
      </c>
      <c r="AF31" s="26">
        <f t="shared" si="8"/>
        <v>0.30499999999999999</v>
      </c>
      <c r="AG31" s="26">
        <f t="shared" si="8"/>
        <v>0.31</v>
      </c>
      <c r="AH31" s="26">
        <f t="shared" si="9"/>
        <v>0.315</v>
      </c>
      <c r="AI31" s="26">
        <f t="shared" si="9"/>
        <v>0.32</v>
      </c>
      <c r="AJ31" s="26">
        <f t="shared" si="9"/>
        <v>0.32500000000000001</v>
      </c>
      <c r="AK31" s="26">
        <f t="shared" si="9"/>
        <v>0.33</v>
      </c>
      <c r="AL31" s="26">
        <f t="shared" si="9"/>
        <v>0.33500000000000002</v>
      </c>
      <c r="AM31" s="26">
        <f t="shared" si="9"/>
        <v>0.34</v>
      </c>
      <c r="AN31" s="26">
        <f t="shared" si="9"/>
        <v>0.34499999999999997</v>
      </c>
      <c r="AO31" s="26">
        <f t="shared" si="9"/>
        <v>0.35</v>
      </c>
      <c r="AP31" s="26">
        <f t="shared" si="9"/>
        <v>0.35499999999999998</v>
      </c>
      <c r="AQ31" s="26">
        <f t="shared" si="9"/>
        <v>0.36</v>
      </c>
      <c r="AR31" s="26">
        <f t="shared" si="9"/>
        <v>0.36499999999999999</v>
      </c>
      <c r="AS31" s="26">
        <f t="shared" si="9"/>
        <v>0.37</v>
      </c>
      <c r="AT31" s="26">
        <f t="shared" si="9"/>
        <v>0.375</v>
      </c>
      <c r="AU31" s="26">
        <f t="shared" si="9"/>
        <v>0.38</v>
      </c>
      <c r="AV31" s="26">
        <f t="shared" si="9"/>
        <v>0.38500000000000001</v>
      </c>
      <c r="AW31" s="26">
        <f t="shared" si="9"/>
        <v>0.39</v>
      </c>
      <c r="AX31" s="26">
        <f t="shared" si="10"/>
        <v>0.39500000000000002</v>
      </c>
      <c r="AY31" s="26">
        <f t="shared" si="10"/>
        <v>0.4</v>
      </c>
      <c r="AZ31" s="26">
        <f t="shared" si="10"/>
        <v>0.40500000000000003</v>
      </c>
      <c r="BA31" s="26">
        <f t="shared" si="10"/>
        <v>0.41</v>
      </c>
      <c r="BB31" s="26">
        <f t="shared" si="10"/>
        <v>0.41499999999999998</v>
      </c>
      <c r="BC31" s="26">
        <f t="shared" si="10"/>
        <v>0.42</v>
      </c>
      <c r="BD31" s="26">
        <f t="shared" si="10"/>
        <v>0.42499999999999999</v>
      </c>
      <c r="BE31" s="26">
        <f t="shared" si="10"/>
        <v>0.43</v>
      </c>
      <c r="BF31" s="26">
        <f t="shared" si="10"/>
        <v>0.435</v>
      </c>
      <c r="BG31" s="26">
        <f t="shared" si="10"/>
        <v>0.44</v>
      </c>
      <c r="BH31" s="26">
        <f t="shared" si="10"/>
        <v>0.44500000000000001</v>
      </c>
      <c r="BI31" s="26">
        <f t="shared" si="10"/>
        <v>0.45</v>
      </c>
      <c r="BJ31" s="26">
        <f t="shared" si="10"/>
        <v>0.45500000000000002</v>
      </c>
      <c r="BK31" s="26">
        <f t="shared" si="10"/>
        <v>0.46</v>
      </c>
      <c r="BL31" s="26">
        <f t="shared" si="10"/>
        <v>0.46500000000000002</v>
      </c>
      <c r="BM31" s="26">
        <f t="shared" si="10"/>
        <v>0.47</v>
      </c>
      <c r="BN31" s="26">
        <f t="shared" si="11"/>
        <v>0.47499999999999998</v>
      </c>
      <c r="BO31" s="26">
        <f t="shared" si="11"/>
        <v>0.48</v>
      </c>
      <c r="BP31" s="26">
        <f t="shared" si="11"/>
        <v>0.48499999999999999</v>
      </c>
      <c r="BQ31" s="26">
        <f t="shared" si="11"/>
        <v>0.49</v>
      </c>
      <c r="BR31" s="26">
        <f t="shared" si="11"/>
        <v>0.495</v>
      </c>
      <c r="BS31" s="26">
        <f t="shared" si="11"/>
        <v>0.5</v>
      </c>
      <c r="BT31" s="26">
        <f t="shared" si="11"/>
        <v>0.505</v>
      </c>
      <c r="BU31" s="26">
        <f t="shared" si="11"/>
        <v>0.51</v>
      </c>
      <c r="BV31" s="26">
        <f t="shared" si="11"/>
        <v>0.51500000000000001</v>
      </c>
      <c r="BW31" s="26">
        <f t="shared" si="11"/>
        <v>0.52</v>
      </c>
      <c r="BX31" s="26">
        <f t="shared" si="11"/>
        <v>0.52500000000000002</v>
      </c>
      <c r="BY31" s="26">
        <f t="shared" si="11"/>
        <v>0.53</v>
      </c>
      <c r="BZ31" s="26">
        <f t="shared" si="11"/>
        <v>0.53500000000000003</v>
      </c>
      <c r="CA31" s="26">
        <f t="shared" si="11"/>
        <v>0.54</v>
      </c>
      <c r="CB31" s="26">
        <f t="shared" si="11"/>
        <v>0.54500000000000004</v>
      </c>
      <c r="CC31" s="26">
        <f t="shared" si="11"/>
        <v>0.55000000000000004</v>
      </c>
      <c r="CD31" s="26">
        <f t="shared" si="12"/>
        <v>0.55500000000000005</v>
      </c>
      <c r="CE31" s="26">
        <f t="shared" si="12"/>
        <v>0.56000000000000005</v>
      </c>
      <c r="CF31" s="26">
        <f t="shared" si="12"/>
        <v>0.56499999999999995</v>
      </c>
      <c r="CG31" s="26">
        <f t="shared" si="12"/>
        <v>0.56999999999999995</v>
      </c>
      <c r="CH31" s="26">
        <f t="shared" si="12"/>
        <v>0.57499999999999996</v>
      </c>
      <c r="CI31" s="26">
        <f t="shared" si="12"/>
        <v>0.57999999999999996</v>
      </c>
      <c r="CJ31" s="26">
        <f t="shared" si="12"/>
        <v>0.58499999999999996</v>
      </c>
      <c r="CK31" s="26">
        <f t="shared" si="12"/>
        <v>0.59</v>
      </c>
      <c r="CL31" s="26">
        <f t="shared" si="12"/>
        <v>0.59499999999999997</v>
      </c>
      <c r="CM31" s="26">
        <f t="shared" si="12"/>
        <v>0.6</v>
      </c>
      <c r="CN31" s="26">
        <f t="shared" si="12"/>
        <v>0.60499999999999998</v>
      </c>
      <c r="CO31" s="26">
        <f t="shared" si="12"/>
        <v>0.61</v>
      </c>
      <c r="CP31" s="26">
        <f t="shared" si="12"/>
        <v>0.61499999999999999</v>
      </c>
      <c r="CQ31" s="26">
        <f t="shared" si="12"/>
        <v>0.62</v>
      </c>
      <c r="CR31" s="26">
        <f t="shared" si="12"/>
        <v>0.625</v>
      </c>
      <c r="CS31" s="26">
        <f t="shared" si="12"/>
        <v>0.63</v>
      </c>
      <c r="CT31" s="26">
        <f t="shared" si="13"/>
        <v>0.63500000000000001</v>
      </c>
      <c r="CU31" s="26">
        <f t="shared" si="13"/>
        <v>0.64</v>
      </c>
      <c r="CV31" s="26">
        <f t="shared" si="13"/>
        <v>0.64500000000000002</v>
      </c>
      <c r="CW31" s="26">
        <f t="shared" si="13"/>
        <v>0.65</v>
      </c>
    </row>
    <row r="32" spans="2:101" ht="20.100000000000001" customHeight="1">
      <c r="B32" s="26">
        <f t="shared" si="14"/>
        <v>0.16</v>
      </c>
      <c r="C32" s="26">
        <f t="shared" si="14"/>
        <v>0.16500000000000001</v>
      </c>
      <c r="D32" s="26">
        <f t="shared" si="14"/>
        <v>0.17</v>
      </c>
      <c r="E32" s="26">
        <f t="shared" si="14"/>
        <v>0.17499999999999999</v>
      </c>
      <c r="F32" s="26">
        <f t="shared" si="14"/>
        <v>0.18</v>
      </c>
      <c r="G32" s="26">
        <f t="shared" si="14"/>
        <v>0.185</v>
      </c>
      <c r="H32" s="26">
        <f t="shared" si="14"/>
        <v>0.19</v>
      </c>
      <c r="I32" s="26">
        <f t="shared" si="14"/>
        <v>0.19500000000000001</v>
      </c>
      <c r="J32" s="26">
        <f t="shared" si="14"/>
        <v>0.2</v>
      </c>
      <c r="K32" s="26">
        <f t="shared" si="14"/>
        <v>0.20499999999999999</v>
      </c>
      <c r="L32" s="26">
        <f t="shared" si="14"/>
        <v>0.21</v>
      </c>
      <c r="M32" s="26">
        <f t="shared" si="14"/>
        <v>0.215</v>
      </c>
      <c r="N32" s="26">
        <f t="shared" si="14"/>
        <v>0.22</v>
      </c>
      <c r="O32" s="26">
        <f t="shared" si="14"/>
        <v>0.22500000000000001</v>
      </c>
      <c r="P32" s="26">
        <f t="shared" si="14"/>
        <v>0.23</v>
      </c>
      <c r="Q32" s="26">
        <f t="shared" si="14"/>
        <v>0.23499999999999999</v>
      </c>
      <c r="R32" s="26">
        <f t="shared" si="8"/>
        <v>0.24</v>
      </c>
      <c r="S32" s="26">
        <f t="shared" si="8"/>
        <v>0.245</v>
      </c>
      <c r="T32" s="26">
        <f t="shared" si="8"/>
        <v>0.25</v>
      </c>
      <c r="U32" s="26">
        <f t="shared" si="8"/>
        <v>0.255</v>
      </c>
      <c r="V32" s="26">
        <f t="shared" si="8"/>
        <v>0.26</v>
      </c>
      <c r="W32" s="26">
        <f t="shared" si="8"/>
        <v>0.26500000000000001</v>
      </c>
      <c r="X32" s="26">
        <f t="shared" si="8"/>
        <v>0.27</v>
      </c>
      <c r="Y32" s="26">
        <f t="shared" si="8"/>
        <v>0.27500000000000002</v>
      </c>
      <c r="Z32" s="26">
        <f t="shared" si="8"/>
        <v>0.28000000000000003</v>
      </c>
      <c r="AA32" s="26">
        <f t="shared" si="8"/>
        <v>0.28499999999999998</v>
      </c>
      <c r="AB32" s="26">
        <f t="shared" si="8"/>
        <v>0.28999999999999998</v>
      </c>
      <c r="AC32" s="26">
        <f t="shared" si="8"/>
        <v>0.29499999999999998</v>
      </c>
      <c r="AD32" s="26">
        <f t="shared" si="8"/>
        <v>0.3</v>
      </c>
      <c r="AE32" s="26">
        <f t="shared" si="8"/>
        <v>0.30499999999999999</v>
      </c>
      <c r="AF32" s="26">
        <f t="shared" si="8"/>
        <v>0.31</v>
      </c>
      <c r="AG32" s="26">
        <f t="shared" si="8"/>
        <v>0.315</v>
      </c>
      <c r="AH32" s="26">
        <f t="shared" si="9"/>
        <v>0.32</v>
      </c>
      <c r="AI32" s="26">
        <f t="shared" si="9"/>
        <v>0.32500000000000001</v>
      </c>
      <c r="AJ32" s="26">
        <f t="shared" si="9"/>
        <v>0.33</v>
      </c>
      <c r="AK32" s="26">
        <f t="shared" si="9"/>
        <v>0.33500000000000002</v>
      </c>
      <c r="AL32" s="26">
        <f t="shared" si="9"/>
        <v>0.34</v>
      </c>
      <c r="AM32" s="26">
        <f t="shared" si="9"/>
        <v>0.34499999999999997</v>
      </c>
      <c r="AN32" s="26">
        <f t="shared" si="9"/>
        <v>0.35</v>
      </c>
      <c r="AO32" s="26">
        <f t="shared" si="9"/>
        <v>0.35499999999999998</v>
      </c>
      <c r="AP32" s="26">
        <f t="shared" si="9"/>
        <v>0.36</v>
      </c>
      <c r="AQ32" s="26">
        <f t="shared" si="9"/>
        <v>0.36499999999999999</v>
      </c>
      <c r="AR32" s="26">
        <f t="shared" si="9"/>
        <v>0.37</v>
      </c>
      <c r="AS32" s="26">
        <f t="shared" si="9"/>
        <v>0.375</v>
      </c>
      <c r="AT32" s="26">
        <f t="shared" si="9"/>
        <v>0.38</v>
      </c>
      <c r="AU32" s="26">
        <f t="shared" si="9"/>
        <v>0.38500000000000001</v>
      </c>
      <c r="AV32" s="26">
        <f t="shared" si="9"/>
        <v>0.39</v>
      </c>
      <c r="AW32" s="26">
        <f t="shared" si="9"/>
        <v>0.39500000000000002</v>
      </c>
      <c r="AX32" s="26">
        <f t="shared" si="10"/>
        <v>0.4</v>
      </c>
      <c r="AY32" s="26">
        <f t="shared" si="10"/>
        <v>0.40500000000000003</v>
      </c>
      <c r="AZ32" s="26">
        <f t="shared" si="10"/>
        <v>0.41</v>
      </c>
      <c r="BA32" s="26">
        <f t="shared" si="10"/>
        <v>0.41499999999999998</v>
      </c>
      <c r="BB32" s="26">
        <f t="shared" si="10"/>
        <v>0.42</v>
      </c>
      <c r="BC32" s="26">
        <f t="shared" si="10"/>
        <v>0.42499999999999999</v>
      </c>
      <c r="BD32" s="26">
        <f t="shared" si="10"/>
        <v>0.43</v>
      </c>
      <c r="BE32" s="26">
        <f t="shared" si="10"/>
        <v>0.435</v>
      </c>
      <c r="BF32" s="26">
        <f t="shared" si="10"/>
        <v>0.44</v>
      </c>
      <c r="BG32" s="26">
        <f t="shared" si="10"/>
        <v>0.44500000000000001</v>
      </c>
      <c r="BH32" s="26">
        <f t="shared" si="10"/>
        <v>0.45</v>
      </c>
      <c r="BI32" s="26">
        <f t="shared" si="10"/>
        <v>0.45500000000000002</v>
      </c>
      <c r="BJ32" s="26">
        <f t="shared" si="10"/>
        <v>0.46</v>
      </c>
      <c r="BK32" s="26">
        <f t="shared" si="10"/>
        <v>0.46500000000000002</v>
      </c>
      <c r="BL32" s="26">
        <f t="shared" si="10"/>
        <v>0.47</v>
      </c>
      <c r="BM32" s="26">
        <f t="shared" si="10"/>
        <v>0.47499999999999998</v>
      </c>
      <c r="BN32" s="26">
        <f t="shared" si="11"/>
        <v>0.48</v>
      </c>
      <c r="BO32" s="26">
        <f t="shared" si="11"/>
        <v>0.48499999999999999</v>
      </c>
      <c r="BP32" s="26">
        <f t="shared" si="11"/>
        <v>0.49</v>
      </c>
      <c r="BQ32" s="26">
        <f t="shared" si="11"/>
        <v>0.495</v>
      </c>
      <c r="BR32" s="26">
        <f t="shared" si="11"/>
        <v>0.5</v>
      </c>
      <c r="BS32" s="26">
        <f t="shared" si="11"/>
        <v>0.505</v>
      </c>
      <c r="BT32" s="26">
        <f t="shared" si="11"/>
        <v>0.51</v>
      </c>
      <c r="BU32" s="26">
        <f t="shared" si="11"/>
        <v>0.51500000000000001</v>
      </c>
      <c r="BV32" s="26">
        <f t="shared" si="11"/>
        <v>0.52</v>
      </c>
      <c r="BW32" s="26">
        <f t="shared" si="11"/>
        <v>0.52500000000000002</v>
      </c>
      <c r="BX32" s="26">
        <f t="shared" si="11"/>
        <v>0.53</v>
      </c>
      <c r="BY32" s="26">
        <f t="shared" si="11"/>
        <v>0.53500000000000003</v>
      </c>
      <c r="BZ32" s="26">
        <f t="shared" si="11"/>
        <v>0.54</v>
      </c>
      <c r="CA32" s="26">
        <f t="shared" si="11"/>
        <v>0.54500000000000004</v>
      </c>
      <c r="CB32" s="26">
        <f t="shared" si="11"/>
        <v>0.55000000000000004</v>
      </c>
      <c r="CC32" s="26">
        <f t="shared" si="11"/>
        <v>0.55500000000000005</v>
      </c>
      <c r="CD32" s="26">
        <f t="shared" si="12"/>
        <v>0.56000000000000005</v>
      </c>
      <c r="CE32" s="26">
        <f t="shared" si="12"/>
        <v>0.56499999999999995</v>
      </c>
      <c r="CF32" s="26">
        <f t="shared" si="12"/>
        <v>0.56999999999999995</v>
      </c>
      <c r="CG32" s="26">
        <f t="shared" si="12"/>
        <v>0.57499999999999996</v>
      </c>
      <c r="CH32" s="26">
        <f t="shared" si="12"/>
        <v>0.57999999999999996</v>
      </c>
      <c r="CI32" s="26">
        <f t="shared" si="12"/>
        <v>0.58499999999999996</v>
      </c>
      <c r="CJ32" s="26">
        <f t="shared" si="12"/>
        <v>0.59</v>
      </c>
      <c r="CK32" s="26">
        <f t="shared" si="12"/>
        <v>0.59499999999999997</v>
      </c>
      <c r="CL32" s="26">
        <f t="shared" si="12"/>
        <v>0.6</v>
      </c>
      <c r="CM32" s="26">
        <f t="shared" si="12"/>
        <v>0.60499999999999998</v>
      </c>
      <c r="CN32" s="26">
        <f t="shared" si="12"/>
        <v>0.61</v>
      </c>
      <c r="CO32" s="26">
        <f t="shared" si="12"/>
        <v>0.61499999999999999</v>
      </c>
      <c r="CP32" s="26">
        <f t="shared" si="12"/>
        <v>0.62</v>
      </c>
      <c r="CQ32" s="26">
        <f t="shared" si="12"/>
        <v>0.625</v>
      </c>
      <c r="CR32" s="26">
        <f t="shared" si="12"/>
        <v>0.63</v>
      </c>
      <c r="CS32" s="26">
        <f t="shared" si="12"/>
        <v>0.63500000000000001</v>
      </c>
      <c r="CT32" s="26">
        <f t="shared" si="13"/>
        <v>0.64</v>
      </c>
      <c r="CU32" s="26">
        <f t="shared" si="13"/>
        <v>0.64500000000000002</v>
      </c>
      <c r="CV32" s="26">
        <f t="shared" si="13"/>
        <v>0.65</v>
      </c>
      <c r="CW32" s="26">
        <f t="shared" si="13"/>
        <v>0.65500000000000003</v>
      </c>
    </row>
    <row r="33" spans="2:101" ht="20.100000000000001" customHeight="1">
      <c r="B33" s="26">
        <f t="shared" si="14"/>
        <v>0.16500000000000001</v>
      </c>
      <c r="C33" s="26">
        <f t="shared" si="14"/>
        <v>0.17</v>
      </c>
      <c r="D33" s="26">
        <f t="shared" si="14"/>
        <v>0.17499999999999999</v>
      </c>
      <c r="E33" s="26">
        <f t="shared" si="14"/>
        <v>0.18</v>
      </c>
      <c r="F33" s="26">
        <f t="shared" si="14"/>
        <v>0.185</v>
      </c>
      <c r="G33" s="26">
        <f t="shared" si="14"/>
        <v>0.19</v>
      </c>
      <c r="H33" s="26">
        <f t="shared" si="14"/>
        <v>0.19500000000000001</v>
      </c>
      <c r="I33" s="26">
        <f t="shared" si="14"/>
        <v>0.2</v>
      </c>
      <c r="J33" s="26">
        <f t="shared" si="14"/>
        <v>0.20499999999999999</v>
      </c>
      <c r="K33" s="26">
        <f t="shared" si="14"/>
        <v>0.21</v>
      </c>
      <c r="L33" s="26">
        <f t="shared" si="14"/>
        <v>0.215</v>
      </c>
      <c r="M33" s="26">
        <f t="shared" si="14"/>
        <v>0.22</v>
      </c>
      <c r="N33" s="26">
        <f t="shared" si="14"/>
        <v>0.22500000000000001</v>
      </c>
      <c r="O33" s="26">
        <f t="shared" si="14"/>
        <v>0.23</v>
      </c>
      <c r="P33" s="26">
        <f t="shared" si="14"/>
        <v>0.23499999999999999</v>
      </c>
      <c r="Q33" s="26">
        <f t="shared" si="14"/>
        <v>0.24</v>
      </c>
      <c r="R33" s="26">
        <f t="shared" ref="R33:AG48" si="15">(ROW(Q32)+COLUMN(Q32))/200</f>
        <v>0.245</v>
      </c>
      <c r="S33" s="26">
        <f t="shared" si="15"/>
        <v>0.25</v>
      </c>
      <c r="T33" s="26">
        <f t="shared" si="15"/>
        <v>0.255</v>
      </c>
      <c r="U33" s="26">
        <f t="shared" si="15"/>
        <v>0.26</v>
      </c>
      <c r="V33" s="26">
        <f t="shared" si="15"/>
        <v>0.26500000000000001</v>
      </c>
      <c r="W33" s="26">
        <f t="shared" si="15"/>
        <v>0.27</v>
      </c>
      <c r="X33" s="26">
        <f t="shared" si="15"/>
        <v>0.27500000000000002</v>
      </c>
      <c r="Y33" s="26">
        <f t="shared" si="15"/>
        <v>0.28000000000000003</v>
      </c>
      <c r="Z33" s="26">
        <f t="shared" si="15"/>
        <v>0.28499999999999998</v>
      </c>
      <c r="AA33" s="26">
        <f t="shared" si="15"/>
        <v>0.28999999999999998</v>
      </c>
      <c r="AB33" s="26">
        <f t="shared" si="15"/>
        <v>0.29499999999999998</v>
      </c>
      <c r="AC33" s="26">
        <f t="shared" si="15"/>
        <v>0.3</v>
      </c>
      <c r="AD33" s="26">
        <f t="shared" si="15"/>
        <v>0.30499999999999999</v>
      </c>
      <c r="AE33" s="26">
        <f t="shared" si="15"/>
        <v>0.31</v>
      </c>
      <c r="AF33" s="26">
        <f t="shared" si="15"/>
        <v>0.315</v>
      </c>
      <c r="AG33" s="26">
        <f t="shared" si="15"/>
        <v>0.32</v>
      </c>
      <c r="AH33" s="26">
        <f t="shared" ref="AH33:AW48" si="16">(ROW(AG32)+COLUMN(AG32))/200</f>
        <v>0.32500000000000001</v>
      </c>
      <c r="AI33" s="26">
        <f t="shared" si="16"/>
        <v>0.33</v>
      </c>
      <c r="AJ33" s="26">
        <f t="shared" si="16"/>
        <v>0.33500000000000002</v>
      </c>
      <c r="AK33" s="26">
        <f t="shared" si="16"/>
        <v>0.34</v>
      </c>
      <c r="AL33" s="26">
        <f t="shared" si="16"/>
        <v>0.34499999999999997</v>
      </c>
      <c r="AM33" s="26">
        <f t="shared" si="16"/>
        <v>0.35</v>
      </c>
      <c r="AN33" s="26">
        <f t="shared" si="16"/>
        <v>0.35499999999999998</v>
      </c>
      <c r="AO33" s="26">
        <f t="shared" si="16"/>
        <v>0.36</v>
      </c>
      <c r="AP33" s="26">
        <f t="shared" si="16"/>
        <v>0.36499999999999999</v>
      </c>
      <c r="AQ33" s="26">
        <f t="shared" si="16"/>
        <v>0.37</v>
      </c>
      <c r="AR33" s="26">
        <f t="shared" si="16"/>
        <v>0.375</v>
      </c>
      <c r="AS33" s="26">
        <f t="shared" si="16"/>
        <v>0.38</v>
      </c>
      <c r="AT33" s="26">
        <f t="shared" si="16"/>
        <v>0.38500000000000001</v>
      </c>
      <c r="AU33" s="26">
        <f t="shared" si="16"/>
        <v>0.39</v>
      </c>
      <c r="AV33" s="26">
        <f t="shared" si="16"/>
        <v>0.39500000000000002</v>
      </c>
      <c r="AW33" s="26">
        <f t="shared" si="16"/>
        <v>0.4</v>
      </c>
      <c r="AX33" s="26">
        <f t="shared" ref="AX33:BM48" si="17">(ROW(AW32)+COLUMN(AW32))/200</f>
        <v>0.40500000000000003</v>
      </c>
      <c r="AY33" s="26">
        <f t="shared" si="17"/>
        <v>0.41</v>
      </c>
      <c r="AZ33" s="26">
        <f t="shared" si="17"/>
        <v>0.41499999999999998</v>
      </c>
      <c r="BA33" s="26">
        <f t="shared" si="17"/>
        <v>0.42</v>
      </c>
      <c r="BB33" s="26">
        <f t="shared" si="17"/>
        <v>0.42499999999999999</v>
      </c>
      <c r="BC33" s="26">
        <f t="shared" si="17"/>
        <v>0.43</v>
      </c>
      <c r="BD33" s="26">
        <f t="shared" si="17"/>
        <v>0.435</v>
      </c>
      <c r="BE33" s="26">
        <f t="shared" si="17"/>
        <v>0.44</v>
      </c>
      <c r="BF33" s="26">
        <f t="shared" si="17"/>
        <v>0.44500000000000001</v>
      </c>
      <c r="BG33" s="26">
        <f t="shared" si="17"/>
        <v>0.45</v>
      </c>
      <c r="BH33" s="26">
        <f t="shared" si="17"/>
        <v>0.45500000000000002</v>
      </c>
      <c r="BI33" s="26">
        <f t="shared" si="17"/>
        <v>0.46</v>
      </c>
      <c r="BJ33" s="26">
        <f t="shared" si="17"/>
        <v>0.46500000000000002</v>
      </c>
      <c r="BK33" s="26">
        <f t="shared" si="17"/>
        <v>0.47</v>
      </c>
      <c r="BL33" s="26">
        <f t="shared" si="17"/>
        <v>0.47499999999999998</v>
      </c>
      <c r="BM33" s="26">
        <f t="shared" si="17"/>
        <v>0.48</v>
      </c>
      <c r="BN33" s="26">
        <f t="shared" ref="BN33:CC48" si="18">(ROW(BM32)+COLUMN(BM32))/200</f>
        <v>0.48499999999999999</v>
      </c>
      <c r="BO33" s="26">
        <f t="shared" si="18"/>
        <v>0.49</v>
      </c>
      <c r="BP33" s="26">
        <f t="shared" si="18"/>
        <v>0.495</v>
      </c>
      <c r="BQ33" s="26">
        <f t="shared" si="18"/>
        <v>0.5</v>
      </c>
      <c r="BR33" s="26">
        <f t="shared" si="18"/>
        <v>0.505</v>
      </c>
      <c r="BS33" s="26">
        <f t="shared" si="18"/>
        <v>0.51</v>
      </c>
      <c r="BT33" s="26">
        <f t="shared" si="18"/>
        <v>0.51500000000000001</v>
      </c>
      <c r="BU33" s="26">
        <f t="shared" si="18"/>
        <v>0.52</v>
      </c>
      <c r="BV33" s="26">
        <f t="shared" si="18"/>
        <v>0.52500000000000002</v>
      </c>
      <c r="BW33" s="26">
        <f t="shared" si="18"/>
        <v>0.53</v>
      </c>
      <c r="BX33" s="26">
        <f t="shared" si="18"/>
        <v>0.53500000000000003</v>
      </c>
      <c r="BY33" s="26">
        <f t="shared" si="18"/>
        <v>0.54</v>
      </c>
      <c r="BZ33" s="26">
        <f t="shared" si="18"/>
        <v>0.54500000000000004</v>
      </c>
      <c r="CA33" s="26">
        <f t="shared" si="18"/>
        <v>0.55000000000000004</v>
      </c>
      <c r="CB33" s="26">
        <f t="shared" si="18"/>
        <v>0.55500000000000005</v>
      </c>
      <c r="CC33" s="26">
        <f t="shared" si="18"/>
        <v>0.56000000000000005</v>
      </c>
      <c r="CD33" s="26">
        <f t="shared" ref="CD33:CS48" si="19">(ROW(CC32)+COLUMN(CC32))/200</f>
        <v>0.56499999999999995</v>
      </c>
      <c r="CE33" s="26">
        <f t="shared" si="19"/>
        <v>0.56999999999999995</v>
      </c>
      <c r="CF33" s="26">
        <f t="shared" si="19"/>
        <v>0.57499999999999996</v>
      </c>
      <c r="CG33" s="26">
        <f t="shared" si="19"/>
        <v>0.57999999999999996</v>
      </c>
      <c r="CH33" s="26">
        <f t="shared" si="19"/>
        <v>0.58499999999999996</v>
      </c>
      <c r="CI33" s="26">
        <f t="shared" si="19"/>
        <v>0.59</v>
      </c>
      <c r="CJ33" s="26">
        <f t="shared" si="19"/>
        <v>0.59499999999999997</v>
      </c>
      <c r="CK33" s="26">
        <f t="shared" si="19"/>
        <v>0.6</v>
      </c>
      <c r="CL33" s="26">
        <f t="shared" si="19"/>
        <v>0.60499999999999998</v>
      </c>
      <c r="CM33" s="26">
        <f t="shared" si="19"/>
        <v>0.61</v>
      </c>
      <c r="CN33" s="26">
        <f t="shared" si="19"/>
        <v>0.61499999999999999</v>
      </c>
      <c r="CO33" s="26">
        <f t="shared" si="19"/>
        <v>0.62</v>
      </c>
      <c r="CP33" s="26">
        <f t="shared" si="19"/>
        <v>0.625</v>
      </c>
      <c r="CQ33" s="26">
        <f t="shared" si="19"/>
        <v>0.63</v>
      </c>
      <c r="CR33" s="26">
        <f t="shared" si="19"/>
        <v>0.63500000000000001</v>
      </c>
      <c r="CS33" s="26">
        <f t="shared" si="19"/>
        <v>0.64</v>
      </c>
      <c r="CT33" s="26">
        <f t="shared" si="13"/>
        <v>0.64500000000000002</v>
      </c>
      <c r="CU33" s="26">
        <f t="shared" si="13"/>
        <v>0.65</v>
      </c>
      <c r="CV33" s="26">
        <f t="shared" si="13"/>
        <v>0.65500000000000003</v>
      </c>
      <c r="CW33" s="26">
        <f t="shared" si="13"/>
        <v>0.66</v>
      </c>
    </row>
    <row r="34" spans="2:101" ht="20.100000000000001" customHeight="1">
      <c r="B34" s="26">
        <f t="shared" si="14"/>
        <v>0.17</v>
      </c>
      <c r="C34" s="26">
        <f t="shared" si="14"/>
        <v>0.17499999999999999</v>
      </c>
      <c r="D34" s="26">
        <f t="shared" si="14"/>
        <v>0.18</v>
      </c>
      <c r="E34" s="26">
        <f t="shared" si="14"/>
        <v>0.185</v>
      </c>
      <c r="F34" s="26">
        <f t="shared" si="14"/>
        <v>0.19</v>
      </c>
      <c r="G34" s="26">
        <f t="shared" si="14"/>
        <v>0.19500000000000001</v>
      </c>
      <c r="H34" s="26">
        <f t="shared" si="14"/>
        <v>0.2</v>
      </c>
      <c r="I34" s="26">
        <f t="shared" si="14"/>
        <v>0.20499999999999999</v>
      </c>
      <c r="J34" s="26">
        <f t="shared" si="14"/>
        <v>0.21</v>
      </c>
      <c r="K34" s="26">
        <f t="shared" si="14"/>
        <v>0.215</v>
      </c>
      <c r="L34" s="26">
        <f t="shared" si="14"/>
        <v>0.22</v>
      </c>
      <c r="M34" s="26">
        <f t="shared" si="14"/>
        <v>0.22500000000000001</v>
      </c>
      <c r="N34" s="26">
        <f t="shared" si="14"/>
        <v>0.23</v>
      </c>
      <c r="O34" s="26">
        <f t="shared" si="14"/>
        <v>0.23499999999999999</v>
      </c>
      <c r="P34" s="26">
        <f t="shared" si="14"/>
        <v>0.24</v>
      </c>
      <c r="Q34" s="26">
        <f t="shared" ref="Q34:AF49" si="20">(ROW(P33)+COLUMN(P33))/200</f>
        <v>0.245</v>
      </c>
      <c r="R34" s="26">
        <f t="shared" si="15"/>
        <v>0.25</v>
      </c>
      <c r="S34" s="26">
        <f t="shared" si="15"/>
        <v>0.255</v>
      </c>
      <c r="T34" s="26">
        <f t="shared" si="15"/>
        <v>0.26</v>
      </c>
      <c r="U34" s="26">
        <f t="shared" si="15"/>
        <v>0.26500000000000001</v>
      </c>
      <c r="V34" s="26">
        <f t="shared" si="15"/>
        <v>0.27</v>
      </c>
      <c r="W34" s="26">
        <f t="shared" si="15"/>
        <v>0.27500000000000002</v>
      </c>
      <c r="X34" s="26">
        <f t="shared" si="15"/>
        <v>0.28000000000000003</v>
      </c>
      <c r="Y34" s="26">
        <f t="shared" si="15"/>
        <v>0.28499999999999998</v>
      </c>
      <c r="Z34" s="26">
        <f t="shared" si="15"/>
        <v>0.28999999999999998</v>
      </c>
      <c r="AA34" s="26">
        <f t="shared" si="15"/>
        <v>0.29499999999999998</v>
      </c>
      <c r="AB34" s="26">
        <f t="shared" si="15"/>
        <v>0.3</v>
      </c>
      <c r="AC34" s="26">
        <f t="shared" si="15"/>
        <v>0.30499999999999999</v>
      </c>
      <c r="AD34" s="26">
        <f t="shared" si="15"/>
        <v>0.31</v>
      </c>
      <c r="AE34" s="26">
        <f t="shared" si="15"/>
        <v>0.315</v>
      </c>
      <c r="AF34" s="26">
        <f t="shared" si="15"/>
        <v>0.32</v>
      </c>
      <c r="AG34" s="26">
        <f t="shared" si="15"/>
        <v>0.32500000000000001</v>
      </c>
      <c r="AH34" s="26">
        <f t="shared" si="16"/>
        <v>0.33</v>
      </c>
      <c r="AI34" s="26">
        <f t="shared" si="16"/>
        <v>0.33500000000000002</v>
      </c>
      <c r="AJ34" s="26">
        <f t="shared" si="16"/>
        <v>0.34</v>
      </c>
      <c r="AK34" s="26">
        <f t="shared" si="16"/>
        <v>0.34499999999999997</v>
      </c>
      <c r="AL34" s="26">
        <f t="shared" si="16"/>
        <v>0.35</v>
      </c>
      <c r="AM34" s="26">
        <f t="shared" si="16"/>
        <v>0.35499999999999998</v>
      </c>
      <c r="AN34" s="26">
        <f t="shared" si="16"/>
        <v>0.36</v>
      </c>
      <c r="AO34" s="26">
        <f t="shared" si="16"/>
        <v>0.36499999999999999</v>
      </c>
      <c r="AP34" s="26">
        <f t="shared" si="16"/>
        <v>0.37</v>
      </c>
      <c r="AQ34" s="26">
        <f t="shared" si="16"/>
        <v>0.375</v>
      </c>
      <c r="AR34" s="26">
        <f t="shared" si="16"/>
        <v>0.38</v>
      </c>
      <c r="AS34" s="26">
        <f t="shared" si="16"/>
        <v>0.38500000000000001</v>
      </c>
      <c r="AT34" s="26">
        <f t="shared" si="16"/>
        <v>0.39</v>
      </c>
      <c r="AU34" s="26">
        <f t="shared" si="16"/>
        <v>0.39500000000000002</v>
      </c>
      <c r="AV34" s="26">
        <f t="shared" si="16"/>
        <v>0.4</v>
      </c>
      <c r="AW34" s="26">
        <f t="shared" si="16"/>
        <v>0.40500000000000003</v>
      </c>
      <c r="AX34" s="26">
        <f t="shared" si="17"/>
        <v>0.41</v>
      </c>
      <c r="AY34" s="26">
        <f t="shared" si="17"/>
        <v>0.41499999999999998</v>
      </c>
      <c r="AZ34" s="26">
        <f t="shared" si="17"/>
        <v>0.42</v>
      </c>
      <c r="BA34" s="26">
        <f t="shared" si="17"/>
        <v>0.42499999999999999</v>
      </c>
      <c r="BB34" s="26">
        <f t="shared" si="17"/>
        <v>0.43</v>
      </c>
      <c r="BC34" s="26">
        <f t="shared" si="17"/>
        <v>0.435</v>
      </c>
      <c r="BD34" s="26">
        <f t="shared" si="17"/>
        <v>0.44</v>
      </c>
      <c r="BE34" s="26">
        <f t="shared" si="17"/>
        <v>0.44500000000000001</v>
      </c>
      <c r="BF34" s="26">
        <f t="shared" si="17"/>
        <v>0.45</v>
      </c>
      <c r="BG34" s="26">
        <f t="shared" si="17"/>
        <v>0.45500000000000002</v>
      </c>
      <c r="BH34" s="26">
        <f t="shared" si="17"/>
        <v>0.46</v>
      </c>
      <c r="BI34" s="26">
        <f t="shared" si="17"/>
        <v>0.46500000000000002</v>
      </c>
      <c r="BJ34" s="26">
        <f t="shared" si="17"/>
        <v>0.47</v>
      </c>
      <c r="BK34" s="26">
        <f t="shared" si="17"/>
        <v>0.47499999999999998</v>
      </c>
      <c r="BL34" s="26">
        <f t="shared" si="17"/>
        <v>0.48</v>
      </c>
      <c r="BM34" s="26">
        <f t="shared" si="17"/>
        <v>0.48499999999999999</v>
      </c>
      <c r="BN34" s="26">
        <f t="shared" si="18"/>
        <v>0.49</v>
      </c>
      <c r="BO34" s="26">
        <f t="shared" si="18"/>
        <v>0.495</v>
      </c>
      <c r="BP34" s="26">
        <f t="shared" si="18"/>
        <v>0.5</v>
      </c>
      <c r="BQ34" s="26">
        <f t="shared" si="18"/>
        <v>0.505</v>
      </c>
      <c r="BR34" s="26">
        <f t="shared" si="18"/>
        <v>0.51</v>
      </c>
      <c r="BS34" s="26">
        <f t="shared" si="18"/>
        <v>0.51500000000000001</v>
      </c>
      <c r="BT34" s="26">
        <f t="shared" si="18"/>
        <v>0.52</v>
      </c>
      <c r="BU34" s="26">
        <f t="shared" si="18"/>
        <v>0.52500000000000002</v>
      </c>
      <c r="BV34" s="26">
        <f t="shared" si="18"/>
        <v>0.53</v>
      </c>
      <c r="BW34" s="26">
        <f t="shared" si="18"/>
        <v>0.53500000000000003</v>
      </c>
      <c r="BX34" s="26">
        <f t="shared" si="18"/>
        <v>0.54</v>
      </c>
      <c r="BY34" s="26">
        <f t="shared" si="18"/>
        <v>0.54500000000000004</v>
      </c>
      <c r="BZ34" s="26">
        <f t="shared" si="18"/>
        <v>0.55000000000000004</v>
      </c>
      <c r="CA34" s="26">
        <f t="shared" si="18"/>
        <v>0.55500000000000005</v>
      </c>
      <c r="CB34" s="26">
        <f t="shared" si="18"/>
        <v>0.56000000000000005</v>
      </c>
      <c r="CC34" s="26">
        <f t="shared" si="18"/>
        <v>0.56499999999999995</v>
      </c>
      <c r="CD34" s="26">
        <f t="shared" si="19"/>
        <v>0.56999999999999995</v>
      </c>
      <c r="CE34" s="26">
        <f t="shared" si="19"/>
        <v>0.57499999999999996</v>
      </c>
      <c r="CF34" s="26">
        <f t="shared" si="19"/>
        <v>0.57999999999999996</v>
      </c>
      <c r="CG34" s="26">
        <f t="shared" si="19"/>
        <v>0.58499999999999996</v>
      </c>
      <c r="CH34" s="26">
        <f t="shared" si="19"/>
        <v>0.59</v>
      </c>
      <c r="CI34" s="26">
        <f t="shared" si="19"/>
        <v>0.59499999999999997</v>
      </c>
      <c r="CJ34" s="26">
        <f t="shared" si="19"/>
        <v>0.6</v>
      </c>
      <c r="CK34" s="26">
        <f t="shared" si="19"/>
        <v>0.60499999999999998</v>
      </c>
      <c r="CL34" s="26">
        <f t="shared" si="19"/>
        <v>0.61</v>
      </c>
      <c r="CM34" s="26">
        <f t="shared" si="19"/>
        <v>0.61499999999999999</v>
      </c>
      <c r="CN34" s="26">
        <f t="shared" si="19"/>
        <v>0.62</v>
      </c>
      <c r="CO34" s="26">
        <f t="shared" si="19"/>
        <v>0.625</v>
      </c>
      <c r="CP34" s="26">
        <f t="shared" si="19"/>
        <v>0.63</v>
      </c>
      <c r="CQ34" s="26">
        <f t="shared" si="19"/>
        <v>0.63500000000000001</v>
      </c>
      <c r="CR34" s="26">
        <f t="shared" si="19"/>
        <v>0.64</v>
      </c>
      <c r="CS34" s="26">
        <f t="shared" si="19"/>
        <v>0.64500000000000002</v>
      </c>
      <c r="CT34" s="26">
        <f t="shared" si="13"/>
        <v>0.65</v>
      </c>
      <c r="CU34" s="26">
        <f t="shared" si="13"/>
        <v>0.65500000000000003</v>
      </c>
      <c r="CV34" s="26">
        <f t="shared" si="13"/>
        <v>0.66</v>
      </c>
      <c r="CW34" s="26">
        <f t="shared" si="13"/>
        <v>0.66500000000000004</v>
      </c>
    </row>
    <row r="35" spans="2:101" ht="20.100000000000001" customHeight="1">
      <c r="B35" s="26">
        <f t="shared" ref="B35:Q50" si="21">(ROW(A34)+COLUMN(A34))/200</f>
        <v>0.17499999999999999</v>
      </c>
      <c r="C35" s="26">
        <f t="shared" si="21"/>
        <v>0.18</v>
      </c>
      <c r="D35" s="26">
        <f t="shared" si="21"/>
        <v>0.185</v>
      </c>
      <c r="E35" s="26">
        <f t="shared" si="21"/>
        <v>0.19</v>
      </c>
      <c r="F35" s="26">
        <f t="shared" si="21"/>
        <v>0.19500000000000001</v>
      </c>
      <c r="G35" s="26">
        <f t="shared" si="21"/>
        <v>0.2</v>
      </c>
      <c r="H35" s="26">
        <f t="shared" si="21"/>
        <v>0.20499999999999999</v>
      </c>
      <c r="I35" s="26">
        <f t="shared" si="21"/>
        <v>0.21</v>
      </c>
      <c r="J35" s="26">
        <f t="shared" si="21"/>
        <v>0.215</v>
      </c>
      <c r="K35" s="26">
        <f t="shared" si="21"/>
        <v>0.22</v>
      </c>
      <c r="L35" s="26">
        <f t="shared" si="21"/>
        <v>0.22500000000000001</v>
      </c>
      <c r="M35" s="26">
        <f t="shared" si="21"/>
        <v>0.23</v>
      </c>
      <c r="N35" s="26">
        <f t="shared" si="21"/>
        <v>0.23499999999999999</v>
      </c>
      <c r="O35" s="26">
        <f t="shared" si="21"/>
        <v>0.24</v>
      </c>
      <c r="P35" s="26">
        <f t="shared" si="21"/>
        <v>0.245</v>
      </c>
      <c r="Q35" s="26">
        <f t="shared" si="20"/>
        <v>0.25</v>
      </c>
      <c r="R35" s="26">
        <f t="shared" si="15"/>
        <v>0.255</v>
      </c>
      <c r="S35" s="26">
        <f t="shared" si="15"/>
        <v>0.26</v>
      </c>
      <c r="T35" s="26">
        <f t="shared" si="15"/>
        <v>0.26500000000000001</v>
      </c>
      <c r="U35" s="26">
        <f t="shared" si="15"/>
        <v>0.27</v>
      </c>
      <c r="V35" s="26">
        <f t="shared" si="15"/>
        <v>0.27500000000000002</v>
      </c>
      <c r="W35" s="26">
        <f t="shared" si="15"/>
        <v>0.28000000000000003</v>
      </c>
      <c r="X35" s="26">
        <f t="shared" si="15"/>
        <v>0.28499999999999998</v>
      </c>
      <c r="Y35" s="26">
        <f t="shared" si="15"/>
        <v>0.28999999999999998</v>
      </c>
      <c r="Z35" s="26">
        <f t="shared" si="15"/>
        <v>0.29499999999999998</v>
      </c>
      <c r="AA35" s="26">
        <f t="shared" si="15"/>
        <v>0.3</v>
      </c>
      <c r="AB35" s="26">
        <f t="shared" si="15"/>
        <v>0.30499999999999999</v>
      </c>
      <c r="AC35" s="26">
        <f t="shared" si="15"/>
        <v>0.31</v>
      </c>
      <c r="AD35" s="26">
        <f t="shared" si="15"/>
        <v>0.315</v>
      </c>
      <c r="AE35" s="26">
        <f t="shared" si="15"/>
        <v>0.32</v>
      </c>
      <c r="AF35" s="26">
        <f t="shared" si="15"/>
        <v>0.32500000000000001</v>
      </c>
      <c r="AG35" s="26">
        <f t="shared" si="15"/>
        <v>0.33</v>
      </c>
      <c r="AH35" s="26">
        <f t="shared" si="16"/>
        <v>0.33500000000000002</v>
      </c>
      <c r="AI35" s="26">
        <f t="shared" si="16"/>
        <v>0.34</v>
      </c>
      <c r="AJ35" s="26">
        <f t="shared" si="16"/>
        <v>0.34499999999999997</v>
      </c>
      <c r="AK35" s="26">
        <f t="shared" si="16"/>
        <v>0.35</v>
      </c>
      <c r="AL35" s="26">
        <f t="shared" si="16"/>
        <v>0.35499999999999998</v>
      </c>
      <c r="AM35" s="26">
        <f t="shared" si="16"/>
        <v>0.36</v>
      </c>
      <c r="AN35" s="26">
        <f t="shared" si="16"/>
        <v>0.36499999999999999</v>
      </c>
      <c r="AO35" s="26">
        <f t="shared" si="16"/>
        <v>0.37</v>
      </c>
      <c r="AP35" s="26">
        <f t="shared" si="16"/>
        <v>0.375</v>
      </c>
      <c r="AQ35" s="26">
        <f t="shared" si="16"/>
        <v>0.38</v>
      </c>
      <c r="AR35" s="26">
        <f t="shared" si="16"/>
        <v>0.38500000000000001</v>
      </c>
      <c r="AS35" s="26">
        <f t="shared" si="16"/>
        <v>0.39</v>
      </c>
      <c r="AT35" s="26">
        <f t="shared" si="16"/>
        <v>0.39500000000000002</v>
      </c>
      <c r="AU35" s="26">
        <f t="shared" si="16"/>
        <v>0.4</v>
      </c>
      <c r="AV35" s="26">
        <f t="shared" si="16"/>
        <v>0.40500000000000003</v>
      </c>
      <c r="AW35" s="26">
        <f t="shared" si="16"/>
        <v>0.41</v>
      </c>
      <c r="AX35" s="26">
        <f t="shared" si="17"/>
        <v>0.41499999999999998</v>
      </c>
      <c r="AY35" s="26">
        <f t="shared" si="17"/>
        <v>0.42</v>
      </c>
      <c r="AZ35" s="26">
        <f t="shared" si="17"/>
        <v>0.42499999999999999</v>
      </c>
      <c r="BA35" s="26">
        <f t="shared" si="17"/>
        <v>0.43</v>
      </c>
      <c r="BB35" s="26">
        <f t="shared" si="17"/>
        <v>0.435</v>
      </c>
      <c r="BC35" s="26">
        <f t="shared" si="17"/>
        <v>0.44</v>
      </c>
      <c r="BD35" s="26">
        <f t="shared" si="17"/>
        <v>0.44500000000000001</v>
      </c>
      <c r="BE35" s="26">
        <f t="shared" si="17"/>
        <v>0.45</v>
      </c>
      <c r="BF35" s="26">
        <f t="shared" si="17"/>
        <v>0.45500000000000002</v>
      </c>
      <c r="BG35" s="26">
        <f t="shared" si="17"/>
        <v>0.46</v>
      </c>
      <c r="BH35" s="26">
        <f t="shared" si="17"/>
        <v>0.46500000000000002</v>
      </c>
      <c r="BI35" s="26">
        <f t="shared" si="17"/>
        <v>0.47</v>
      </c>
      <c r="BJ35" s="26">
        <f t="shared" si="17"/>
        <v>0.47499999999999998</v>
      </c>
      <c r="BK35" s="26">
        <f t="shared" si="17"/>
        <v>0.48</v>
      </c>
      <c r="BL35" s="26">
        <f t="shared" si="17"/>
        <v>0.48499999999999999</v>
      </c>
      <c r="BM35" s="26">
        <f t="shared" si="17"/>
        <v>0.49</v>
      </c>
      <c r="BN35" s="26">
        <f t="shared" si="18"/>
        <v>0.495</v>
      </c>
      <c r="BO35" s="26">
        <f t="shared" si="18"/>
        <v>0.5</v>
      </c>
      <c r="BP35" s="26">
        <f t="shared" si="18"/>
        <v>0.505</v>
      </c>
      <c r="BQ35" s="26">
        <f t="shared" si="18"/>
        <v>0.51</v>
      </c>
      <c r="BR35" s="26">
        <f t="shared" si="18"/>
        <v>0.51500000000000001</v>
      </c>
      <c r="BS35" s="26">
        <f t="shared" si="18"/>
        <v>0.52</v>
      </c>
      <c r="BT35" s="26">
        <f t="shared" si="18"/>
        <v>0.52500000000000002</v>
      </c>
      <c r="BU35" s="26">
        <f t="shared" si="18"/>
        <v>0.53</v>
      </c>
      <c r="BV35" s="26">
        <f t="shared" si="18"/>
        <v>0.53500000000000003</v>
      </c>
      <c r="BW35" s="26">
        <f t="shared" si="18"/>
        <v>0.54</v>
      </c>
      <c r="BX35" s="26">
        <f t="shared" si="18"/>
        <v>0.54500000000000004</v>
      </c>
      <c r="BY35" s="26">
        <f t="shared" si="18"/>
        <v>0.55000000000000004</v>
      </c>
      <c r="BZ35" s="26">
        <f t="shared" si="18"/>
        <v>0.55500000000000005</v>
      </c>
      <c r="CA35" s="26">
        <f t="shared" si="18"/>
        <v>0.56000000000000005</v>
      </c>
      <c r="CB35" s="26">
        <f t="shared" si="18"/>
        <v>0.56499999999999995</v>
      </c>
      <c r="CC35" s="26">
        <f t="shared" si="18"/>
        <v>0.56999999999999995</v>
      </c>
      <c r="CD35" s="26">
        <f t="shared" si="19"/>
        <v>0.57499999999999996</v>
      </c>
      <c r="CE35" s="26">
        <f t="shared" si="19"/>
        <v>0.57999999999999996</v>
      </c>
      <c r="CF35" s="26">
        <f t="shared" si="19"/>
        <v>0.58499999999999996</v>
      </c>
      <c r="CG35" s="26">
        <f t="shared" si="19"/>
        <v>0.59</v>
      </c>
      <c r="CH35" s="26">
        <f t="shared" si="19"/>
        <v>0.59499999999999997</v>
      </c>
      <c r="CI35" s="26">
        <f t="shared" si="19"/>
        <v>0.6</v>
      </c>
      <c r="CJ35" s="26">
        <f t="shared" si="19"/>
        <v>0.60499999999999998</v>
      </c>
      <c r="CK35" s="26">
        <f t="shared" si="19"/>
        <v>0.61</v>
      </c>
      <c r="CL35" s="26">
        <f t="shared" si="19"/>
        <v>0.61499999999999999</v>
      </c>
      <c r="CM35" s="26">
        <f t="shared" si="19"/>
        <v>0.62</v>
      </c>
      <c r="CN35" s="26">
        <f t="shared" si="19"/>
        <v>0.625</v>
      </c>
      <c r="CO35" s="26">
        <f t="shared" si="19"/>
        <v>0.63</v>
      </c>
      <c r="CP35" s="26">
        <f t="shared" si="19"/>
        <v>0.63500000000000001</v>
      </c>
      <c r="CQ35" s="26">
        <f t="shared" si="19"/>
        <v>0.64</v>
      </c>
      <c r="CR35" s="26">
        <f t="shared" si="19"/>
        <v>0.64500000000000002</v>
      </c>
      <c r="CS35" s="26">
        <f t="shared" si="19"/>
        <v>0.65</v>
      </c>
      <c r="CT35" s="26">
        <f t="shared" si="13"/>
        <v>0.65500000000000003</v>
      </c>
      <c r="CU35" s="26">
        <f t="shared" si="13"/>
        <v>0.66</v>
      </c>
      <c r="CV35" s="26">
        <f t="shared" si="13"/>
        <v>0.66500000000000004</v>
      </c>
      <c r="CW35" s="26">
        <f t="shared" si="13"/>
        <v>0.67</v>
      </c>
    </row>
    <row r="36" spans="2:101" ht="20.100000000000001" customHeight="1">
      <c r="B36" s="26">
        <f t="shared" si="21"/>
        <v>0.18</v>
      </c>
      <c r="C36" s="26">
        <f t="shared" si="21"/>
        <v>0.185</v>
      </c>
      <c r="D36" s="26">
        <f t="shared" si="21"/>
        <v>0.19</v>
      </c>
      <c r="E36" s="26">
        <f t="shared" si="21"/>
        <v>0.19500000000000001</v>
      </c>
      <c r="F36" s="26">
        <f t="shared" si="21"/>
        <v>0.2</v>
      </c>
      <c r="G36" s="26">
        <f t="shared" si="21"/>
        <v>0.20499999999999999</v>
      </c>
      <c r="H36" s="26">
        <f t="shared" si="21"/>
        <v>0.21</v>
      </c>
      <c r="I36" s="26">
        <f t="shared" si="21"/>
        <v>0.215</v>
      </c>
      <c r="J36" s="26">
        <f t="shared" si="21"/>
        <v>0.22</v>
      </c>
      <c r="K36" s="26">
        <f t="shared" si="21"/>
        <v>0.22500000000000001</v>
      </c>
      <c r="L36" s="26">
        <f t="shared" si="21"/>
        <v>0.23</v>
      </c>
      <c r="M36" s="26">
        <f t="shared" si="21"/>
        <v>0.23499999999999999</v>
      </c>
      <c r="N36" s="26">
        <f t="shared" si="21"/>
        <v>0.24</v>
      </c>
      <c r="O36" s="26">
        <f t="shared" si="21"/>
        <v>0.245</v>
      </c>
      <c r="P36" s="26">
        <f t="shared" si="21"/>
        <v>0.25</v>
      </c>
      <c r="Q36" s="26">
        <f t="shared" si="20"/>
        <v>0.255</v>
      </c>
      <c r="R36" s="26">
        <f t="shared" si="15"/>
        <v>0.26</v>
      </c>
      <c r="S36" s="26">
        <f t="shared" si="15"/>
        <v>0.26500000000000001</v>
      </c>
      <c r="T36" s="26">
        <f t="shared" si="15"/>
        <v>0.27</v>
      </c>
      <c r="U36" s="26">
        <f t="shared" si="15"/>
        <v>0.27500000000000002</v>
      </c>
      <c r="V36" s="26">
        <f t="shared" si="15"/>
        <v>0.28000000000000003</v>
      </c>
      <c r="W36" s="26">
        <f t="shared" si="15"/>
        <v>0.28499999999999998</v>
      </c>
      <c r="X36" s="26">
        <f t="shared" si="15"/>
        <v>0.28999999999999998</v>
      </c>
      <c r="Y36" s="26">
        <f t="shared" si="15"/>
        <v>0.29499999999999998</v>
      </c>
      <c r="Z36" s="26">
        <f t="shared" si="15"/>
        <v>0.3</v>
      </c>
      <c r="AA36" s="26">
        <f t="shared" si="15"/>
        <v>0.30499999999999999</v>
      </c>
      <c r="AB36" s="26">
        <f t="shared" si="15"/>
        <v>0.31</v>
      </c>
      <c r="AC36" s="26">
        <f t="shared" si="15"/>
        <v>0.315</v>
      </c>
      <c r="AD36" s="26">
        <f t="shared" si="15"/>
        <v>0.32</v>
      </c>
      <c r="AE36" s="26">
        <f t="shared" si="15"/>
        <v>0.32500000000000001</v>
      </c>
      <c r="AF36" s="26">
        <f t="shared" si="15"/>
        <v>0.33</v>
      </c>
      <c r="AG36" s="26">
        <f t="shared" si="15"/>
        <v>0.33500000000000002</v>
      </c>
      <c r="AH36" s="26">
        <f t="shared" si="16"/>
        <v>0.34</v>
      </c>
      <c r="AI36" s="26">
        <f t="shared" si="16"/>
        <v>0.34499999999999997</v>
      </c>
      <c r="AJ36" s="26">
        <f t="shared" si="16"/>
        <v>0.35</v>
      </c>
      <c r="AK36" s="26">
        <f t="shared" si="16"/>
        <v>0.35499999999999998</v>
      </c>
      <c r="AL36" s="26">
        <f t="shared" si="16"/>
        <v>0.36</v>
      </c>
      <c r="AM36" s="26">
        <f t="shared" si="16"/>
        <v>0.36499999999999999</v>
      </c>
      <c r="AN36" s="26">
        <f t="shared" si="16"/>
        <v>0.37</v>
      </c>
      <c r="AO36" s="26">
        <f t="shared" si="16"/>
        <v>0.375</v>
      </c>
      <c r="AP36" s="26">
        <f t="shared" si="16"/>
        <v>0.38</v>
      </c>
      <c r="AQ36" s="26">
        <f t="shared" si="16"/>
        <v>0.38500000000000001</v>
      </c>
      <c r="AR36" s="26">
        <f t="shared" si="16"/>
        <v>0.39</v>
      </c>
      <c r="AS36" s="26">
        <f t="shared" si="16"/>
        <v>0.39500000000000002</v>
      </c>
      <c r="AT36" s="26">
        <f t="shared" si="16"/>
        <v>0.4</v>
      </c>
      <c r="AU36" s="26">
        <f t="shared" si="16"/>
        <v>0.40500000000000003</v>
      </c>
      <c r="AV36" s="26">
        <f t="shared" si="16"/>
        <v>0.41</v>
      </c>
      <c r="AW36" s="26">
        <f t="shared" si="16"/>
        <v>0.41499999999999998</v>
      </c>
      <c r="AX36" s="26">
        <f t="shared" si="17"/>
        <v>0.42</v>
      </c>
      <c r="AY36" s="26">
        <f t="shared" si="17"/>
        <v>0.42499999999999999</v>
      </c>
      <c r="AZ36" s="26">
        <f t="shared" si="17"/>
        <v>0.43</v>
      </c>
      <c r="BA36" s="26">
        <f t="shared" si="17"/>
        <v>0.435</v>
      </c>
      <c r="BB36" s="26">
        <f t="shared" si="17"/>
        <v>0.44</v>
      </c>
      <c r="BC36" s="26">
        <f t="shared" si="17"/>
        <v>0.44500000000000001</v>
      </c>
      <c r="BD36" s="26">
        <f t="shared" si="17"/>
        <v>0.45</v>
      </c>
      <c r="BE36" s="26">
        <f t="shared" si="17"/>
        <v>0.45500000000000002</v>
      </c>
      <c r="BF36" s="26">
        <f t="shared" si="17"/>
        <v>0.46</v>
      </c>
      <c r="BG36" s="26">
        <f t="shared" si="17"/>
        <v>0.46500000000000002</v>
      </c>
      <c r="BH36" s="26">
        <f t="shared" si="17"/>
        <v>0.47</v>
      </c>
      <c r="BI36" s="26">
        <f t="shared" si="17"/>
        <v>0.47499999999999998</v>
      </c>
      <c r="BJ36" s="26">
        <f t="shared" si="17"/>
        <v>0.48</v>
      </c>
      <c r="BK36" s="26">
        <f t="shared" si="17"/>
        <v>0.48499999999999999</v>
      </c>
      <c r="BL36" s="26">
        <f t="shared" si="17"/>
        <v>0.49</v>
      </c>
      <c r="BM36" s="26">
        <f t="shared" si="17"/>
        <v>0.495</v>
      </c>
      <c r="BN36" s="26">
        <f t="shared" si="18"/>
        <v>0.5</v>
      </c>
      <c r="BO36" s="26">
        <f t="shared" si="18"/>
        <v>0.505</v>
      </c>
      <c r="BP36" s="26">
        <f t="shared" si="18"/>
        <v>0.51</v>
      </c>
      <c r="BQ36" s="26">
        <f t="shared" si="18"/>
        <v>0.51500000000000001</v>
      </c>
      <c r="BR36" s="26">
        <f t="shared" si="18"/>
        <v>0.52</v>
      </c>
      <c r="BS36" s="26">
        <f t="shared" si="18"/>
        <v>0.52500000000000002</v>
      </c>
      <c r="BT36" s="26">
        <f t="shared" si="18"/>
        <v>0.53</v>
      </c>
      <c r="BU36" s="26">
        <f t="shared" si="18"/>
        <v>0.53500000000000003</v>
      </c>
      <c r="BV36" s="26">
        <f t="shared" si="18"/>
        <v>0.54</v>
      </c>
      <c r="BW36" s="26">
        <f t="shared" si="18"/>
        <v>0.54500000000000004</v>
      </c>
      <c r="BX36" s="26">
        <f t="shared" si="18"/>
        <v>0.55000000000000004</v>
      </c>
      <c r="BY36" s="26">
        <f t="shared" si="18"/>
        <v>0.55500000000000005</v>
      </c>
      <c r="BZ36" s="26">
        <f t="shared" si="18"/>
        <v>0.56000000000000005</v>
      </c>
      <c r="CA36" s="26">
        <f t="shared" si="18"/>
        <v>0.56499999999999995</v>
      </c>
      <c r="CB36" s="26">
        <f t="shared" si="18"/>
        <v>0.56999999999999995</v>
      </c>
      <c r="CC36" s="26">
        <f t="shared" si="18"/>
        <v>0.57499999999999996</v>
      </c>
      <c r="CD36" s="26">
        <f t="shared" si="19"/>
        <v>0.57999999999999996</v>
      </c>
      <c r="CE36" s="26">
        <f t="shared" si="19"/>
        <v>0.58499999999999996</v>
      </c>
      <c r="CF36" s="26">
        <f t="shared" si="19"/>
        <v>0.59</v>
      </c>
      <c r="CG36" s="26">
        <f t="shared" si="19"/>
        <v>0.59499999999999997</v>
      </c>
      <c r="CH36" s="26">
        <f t="shared" si="19"/>
        <v>0.6</v>
      </c>
      <c r="CI36" s="26">
        <f t="shared" si="19"/>
        <v>0.60499999999999998</v>
      </c>
      <c r="CJ36" s="26">
        <f t="shared" si="19"/>
        <v>0.61</v>
      </c>
      <c r="CK36" s="26">
        <f t="shared" si="19"/>
        <v>0.61499999999999999</v>
      </c>
      <c r="CL36" s="26">
        <f t="shared" si="19"/>
        <v>0.62</v>
      </c>
      <c r="CM36" s="26">
        <f t="shared" si="19"/>
        <v>0.625</v>
      </c>
      <c r="CN36" s="26">
        <f t="shared" si="19"/>
        <v>0.63</v>
      </c>
      <c r="CO36" s="26">
        <f t="shared" si="19"/>
        <v>0.63500000000000001</v>
      </c>
      <c r="CP36" s="26">
        <f t="shared" si="19"/>
        <v>0.64</v>
      </c>
      <c r="CQ36" s="26">
        <f t="shared" si="19"/>
        <v>0.64500000000000002</v>
      </c>
      <c r="CR36" s="26">
        <f t="shared" si="19"/>
        <v>0.65</v>
      </c>
      <c r="CS36" s="26">
        <f t="shared" si="19"/>
        <v>0.65500000000000003</v>
      </c>
      <c r="CT36" s="26">
        <f t="shared" si="13"/>
        <v>0.66</v>
      </c>
      <c r="CU36" s="26">
        <f t="shared" si="13"/>
        <v>0.66500000000000004</v>
      </c>
      <c r="CV36" s="26">
        <f t="shared" si="13"/>
        <v>0.67</v>
      </c>
      <c r="CW36" s="26">
        <f t="shared" si="13"/>
        <v>0.67500000000000004</v>
      </c>
    </row>
    <row r="37" spans="2:101" ht="20.100000000000001" customHeight="1">
      <c r="B37" s="26">
        <f t="shared" si="21"/>
        <v>0.185</v>
      </c>
      <c r="C37" s="26">
        <f t="shared" si="21"/>
        <v>0.19</v>
      </c>
      <c r="D37" s="26">
        <f t="shared" si="21"/>
        <v>0.19500000000000001</v>
      </c>
      <c r="E37" s="26">
        <f t="shared" si="21"/>
        <v>0.2</v>
      </c>
      <c r="F37" s="26">
        <f t="shared" si="21"/>
        <v>0.20499999999999999</v>
      </c>
      <c r="G37" s="26">
        <f t="shared" si="21"/>
        <v>0.21</v>
      </c>
      <c r="H37" s="26">
        <f t="shared" si="21"/>
        <v>0.215</v>
      </c>
      <c r="I37" s="26">
        <f t="shared" si="21"/>
        <v>0.22</v>
      </c>
      <c r="J37" s="26">
        <f t="shared" si="21"/>
        <v>0.22500000000000001</v>
      </c>
      <c r="K37" s="26">
        <f t="shared" si="21"/>
        <v>0.23</v>
      </c>
      <c r="L37" s="26">
        <f t="shared" si="21"/>
        <v>0.23499999999999999</v>
      </c>
      <c r="M37" s="26">
        <f t="shared" si="21"/>
        <v>0.24</v>
      </c>
      <c r="N37" s="26">
        <f t="shared" si="21"/>
        <v>0.245</v>
      </c>
      <c r="O37" s="26">
        <f t="shared" si="21"/>
        <v>0.25</v>
      </c>
      <c r="P37" s="26">
        <f t="shared" si="21"/>
        <v>0.255</v>
      </c>
      <c r="Q37" s="26">
        <f t="shared" si="20"/>
        <v>0.26</v>
      </c>
      <c r="R37" s="26">
        <f t="shared" si="15"/>
        <v>0.26500000000000001</v>
      </c>
      <c r="S37" s="26">
        <f t="shared" si="15"/>
        <v>0.27</v>
      </c>
      <c r="T37" s="26">
        <f t="shared" si="15"/>
        <v>0.27500000000000002</v>
      </c>
      <c r="U37" s="26">
        <f t="shared" si="15"/>
        <v>0.28000000000000003</v>
      </c>
      <c r="V37" s="26">
        <f t="shared" si="15"/>
        <v>0.28499999999999998</v>
      </c>
      <c r="W37" s="26">
        <f t="shared" si="15"/>
        <v>0.28999999999999998</v>
      </c>
      <c r="X37" s="26">
        <f t="shared" si="15"/>
        <v>0.29499999999999998</v>
      </c>
      <c r="Y37" s="26">
        <f t="shared" si="15"/>
        <v>0.3</v>
      </c>
      <c r="Z37" s="26">
        <f t="shared" si="15"/>
        <v>0.30499999999999999</v>
      </c>
      <c r="AA37" s="26">
        <f t="shared" si="15"/>
        <v>0.31</v>
      </c>
      <c r="AB37" s="26">
        <f t="shared" si="15"/>
        <v>0.315</v>
      </c>
      <c r="AC37" s="26">
        <f t="shared" si="15"/>
        <v>0.32</v>
      </c>
      <c r="AD37" s="26">
        <f t="shared" si="15"/>
        <v>0.32500000000000001</v>
      </c>
      <c r="AE37" s="26">
        <f t="shared" si="15"/>
        <v>0.33</v>
      </c>
      <c r="AF37" s="26">
        <f t="shared" si="15"/>
        <v>0.33500000000000002</v>
      </c>
      <c r="AG37" s="26">
        <f t="shared" si="15"/>
        <v>0.34</v>
      </c>
      <c r="AH37" s="26">
        <f t="shared" si="16"/>
        <v>0.34499999999999997</v>
      </c>
      <c r="AI37" s="26">
        <f t="shared" si="16"/>
        <v>0.35</v>
      </c>
      <c r="AJ37" s="26">
        <f t="shared" si="16"/>
        <v>0.35499999999999998</v>
      </c>
      <c r="AK37" s="26">
        <f t="shared" si="16"/>
        <v>0.36</v>
      </c>
      <c r="AL37" s="26">
        <f t="shared" si="16"/>
        <v>0.36499999999999999</v>
      </c>
      <c r="AM37" s="26">
        <f t="shared" si="16"/>
        <v>0.37</v>
      </c>
      <c r="AN37" s="26">
        <f t="shared" si="16"/>
        <v>0.375</v>
      </c>
      <c r="AO37" s="26">
        <f t="shared" si="16"/>
        <v>0.38</v>
      </c>
      <c r="AP37" s="26">
        <f t="shared" si="16"/>
        <v>0.38500000000000001</v>
      </c>
      <c r="AQ37" s="26">
        <f t="shared" si="16"/>
        <v>0.39</v>
      </c>
      <c r="AR37" s="26">
        <f t="shared" si="16"/>
        <v>0.39500000000000002</v>
      </c>
      <c r="AS37" s="26">
        <f t="shared" si="16"/>
        <v>0.4</v>
      </c>
      <c r="AT37" s="26">
        <f t="shared" si="16"/>
        <v>0.40500000000000003</v>
      </c>
      <c r="AU37" s="26">
        <f t="shared" si="16"/>
        <v>0.41</v>
      </c>
      <c r="AV37" s="26">
        <f t="shared" si="16"/>
        <v>0.41499999999999998</v>
      </c>
      <c r="AW37" s="26">
        <f t="shared" si="16"/>
        <v>0.42</v>
      </c>
      <c r="AX37" s="26">
        <f t="shared" si="17"/>
        <v>0.42499999999999999</v>
      </c>
      <c r="AY37" s="26">
        <f t="shared" si="17"/>
        <v>0.43</v>
      </c>
      <c r="AZ37" s="26">
        <f t="shared" si="17"/>
        <v>0.435</v>
      </c>
      <c r="BA37" s="26">
        <f t="shared" si="17"/>
        <v>0.44</v>
      </c>
      <c r="BB37" s="26">
        <f t="shared" si="17"/>
        <v>0.44500000000000001</v>
      </c>
      <c r="BC37" s="26">
        <f t="shared" si="17"/>
        <v>0.45</v>
      </c>
      <c r="BD37" s="26">
        <f t="shared" si="17"/>
        <v>0.45500000000000002</v>
      </c>
      <c r="BE37" s="26">
        <f t="shared" si="17"/>
        <v>0.46</v>
      </c>
      <c r="BF37" s="26">
        <f t="shared" si="17"/>
        <v>0.46500000000000002</v>
      </c>
      <c r="BG37" s="26">
        <f t="shared" si="17"/>
        <v>0.47</v>
      </c>
      <c r="BH37" s="26">
        <f t="shared" si="17"/>
        <v>0.47499999999999998</v>
      </c>
      <c r="BI37" s="26">
        <f t="shared" si="17"/>
        <v>0.48</v>
      </c>
      <c r="BJ37" s="26">
        <f t="shared" si="17"/>
        <v>0.48499999999999999</v>
      </c>
      <c r="BK37" s="26">
        <f t="shared" si="17"/>
        <v>0.49</v>
      </c>
      <c r="BL37" s="26">
        <f t="shared" si="17"/>
        <v>0.495</v>
      </c>
      <c r="BM37" s="26">
        <f t="shared" si="17"/>
        <v>0.5</v>
      </c>
      <c r="BN37" s="26">
        <f t="shared" si="18"/>
        <v>0.505</v>
      </c>
      <c r="BO37" s="26">
        <f t="shared" si="18"/>
        <v>0.51</v>
      </c>
      <c r="BP37" s="26">
        <f t="shared" si="18"/>
        <v>0.51500000000000001</v>
      </c>
      <c r="BQ37" s="26">
        <f t="shared" si="18"/>
        <v>0.52</v>
      </c>
      <c r="BR37" s="26">
        <f t="shared" si="18"/>
        <v>0.52500000000000002</v>
      </c>
      <c r="BS37" s="26">
        <f t="shared" si="18"/>
        <v>0.53</v>
      </c>
      <c r="BT37" s="26">
        <f t="shared" si="18"/>
        <v>0.53500000000000003</v>
      </c>
      <c r="BU37" s="26">
        <f t="shared" si="18"/>
        <v>0.54</v>
      </c>
      <c r="BV37" s="26">
        <f t="shared" si="18"/>
        <v>0.54500000000000004</v>
      </c>
      <c r="BW37" s="26">
        <f t="shared" si="18"/>
        <v>0.55000000000000004</v>
      </c>
      <c r="BX37" s="26">
        <f t="shared" si="18"/>
        <v>0.55500000000000005</v>
      </c>
      <c r="BY37" s="26">
        <f t="shared" si="18"/>
        <v>0.56000000000000005</v>
      </c>
      <c r="BZ37" s="26">
        <f t="shared" si="18"/>
        <v>0.56499999999999995</v>
      </c>
      <c r="CA37" s="26">
        <f t="shared" si="18"/>
        <v>0.56999999999999995</v>
      </c>
      <c r="CB37" s="26">
        <f t="shared" si="18"/>
        <v>0.57499999999999996</v>
      </c>
      <c r="CC37" s="26">
        <f t="shared" si="18"/>
        <v>0.57999999999999996</v>
      </c>
      <c r="CD37" s="26">
        <f t="shared" si="19"/>
        <v>0.58499999999999996</v>
      </c>
      <c r="CE37" s="26">
        <f t="shared" si="19"/>
        <v>0.59</v>
      </c>
      <c r="CF37" s="26">
        <f t="shared" si="19"/>
        <v>0.59499999999999997</v>
      </c>
      <c r="CG37" s="26">
        <f t="shared" si="19"/>
        <v>0.6</v>
      </c>
      <c r="CH37" s="26">
        <f t="shared" si="19"/>
        <v>0.60499999999999998</v>
      </c>
      <c r="CI37" s="26">
        <f t="shared" si="19"/>
        <v>0.61</v>
      </c>
      <c r="CJ37" s="26">
        <f t="shared" si="19"/>
        <v>0.61499999999999999</v>
      </c>
      <c r="CK37" s="26">
        <f t="shared" si="19"/>
        <v>0.62</v>
      </c>
      <c r="CL37" s="26">
        <f t="shared" si="19"/>
        <v>0.625</v>
      </c>
      <c r="CM37" s="26">
        <f t="shared" si="19"/>
        <v>0.63</v>
      </c>
      <c r="CN37" s="26">
        <f t="shared" si="19"/>
        <v>0.63500000000000001</v>
      </c>
      <c r="CO37" s="26">
        <f t="shared" si="19"/>
        <v>0.64</v>
      </c>
      <c r="CP37" s="26">
        <f t="shared" si="19"/>
        <v>0.64500000000000002</v>
      </c>
      <c r="CQ37" s="26">
        <f t="shared" si="19"/>
        <v>0.65</v>
      </c>
      <c r="CR37" s="26">
        <f t="shared" si="19"/>
        <v>0.65500000000000003</v>
      </c>
      <c r="CS37" s="26">
        <f t="shared" si="19"/>
        <v>0.66</v>
      </c>
      <c r="CT37" s="26">
        <f t="shared" ref="CT37:CW56" si="22">(ROW(CS36)+COLUMN(CS36))/200</f>
        <v>0.66500000000000004</v>
      </c>
      <c r="CU37" s="26">
        <f t="shared" si="22"/>
        <v>0.67</v>
      </c>
      <c r="CV37" s="26">
        <f t="shared" si="22"/>
        <v>0.67500000000000004</v>
      </c>
      <c r="CW37" s="26">
        <f t="shared" si="22"/>
        <v>0.68</v>
      </c>
    </row>
    <row r="38" spans="2:101" ht="20.100000000000001" customHeight="1">
      <c r="B38" s="26">
        <f t="shared" si="21"/>
        <v>0.19</v>
      </c>
      <c r="C38" s="26">
        <f t="shared" si="21"/>
        <v>0.19500000000000001</v>
      </c>
      <c r="D38" s="26">
        <f t="shared" si="21"/>
        <v>0.2</v>
      </c>
      <c r="E38" s="26">
        <f t="shared" si="21"/>
        <v>0.20499999999999999</v>
      </c>
      <c r="F38" s="26">
        <f t="shared" si="21"/>
        <v>0.21</v>
      </c>
      <c r="G38" s="26">
        <f t="shared" si="21"/>
        <v>0.215</v>
      </c>
      <c r="H38" s="26">
        <f t="shared" si="21"/>
        <v>0.22</v>
      </c>
      <c r="I38" s="26">
        <f t="shared" si="21"/>
        <v>0.22500000000000001</v>
      </c>
      <c r="J38" s="26">
        <f t="shared" si="21"/>
        <v>0.23</v>
      </c>
      <c r="K38" s="26">
        <f t="shared" si="21"/>
        <v>0.23499999999999999</v>
      </c>
      <c r="L38" s="26">
        <f t="shared" si="21"/>
        <v>0.24</v>
      </c>
      <c r="M38" s="26">
        <f t="shared" si="21"/>
        <v>0.245</v>
      </c>
      <c r="N38" s="26">
        <f t="shared" si="21"/>
        <v>0.25</v>
      </c>
      <c r="O38" s="26">
        <f t="shared" si="21"/>
        <v>0.255</v>
      </c>
      <c r="P38" s="26">
        <f t="shared" si="21"/>
        <v>0.26</v>
      </c>
      <c r="Q38" s="26">
        <f t="shared" si="20"/>
        <v>0.26500000000000001</v>
      </c>
      <c r="R38" s="26">
        <f t="shared" si="15"/>
        <v>0.27</v>
      </c>
      <c r="S38" s="26">
        <f t="shared" si="15"/>
        <v>0.27500000000000002</v>
      </c>
      <c r="T38" s="26">
        <f t="shared" si="15"/>
        <v>0.28000000000000003</v>
      </c>
      <c r="U38" s="26">
        <f t="shared" si="15"/>
        <v>0.28499999999999998</v>
      </c>
      <c r="V38" s="26">
        <f t="shared" si="15"/>
        <v>0.28999999999999998</v>
      </c>
      <c r="W38" s="26">
        <f t="shared" si="15"/>
        <v>0.29499999999999998</v>
      </c>
      <c r="X38" s="26">
        <f t="shared" si="15"/>
        <v>0.3</v>
      </c>
      <c r="Y38" s="26">
        <f t="shared" si="15"/>
        <v>0.30499999999999999</v>
      </c>
      <c r="Z38" s="26">
        <f t="shared" si="15"/>
        <v>0.31</v>
      </c>
      <c r="AA38" s="26">
        <f t="shared" si="15"/>
        <v>0.315</v>
      </c>
      <c r="AB38" s="26">
        <f t="shared" si="15"/>
        <v>0.32</v>
      </c>
      <c r="AC38" s="26">
        <f t="shared" si="15"/>
        <v>0.32500000000000001</v>
      </c>
      <c r="AD38" s="26">
        <f t="shared" si="15"/>
        <v>0.33</v>
      </c>
      <c r="AE38" s="26">
        <f t="shared" si="15"/>
        <v>0.33500000000000002</v>
      </c>
      <c r="AF38" s="26">
        <f t="shared" si="15"/>
        <v>0.34</v>
      </c>
      <c r="AG38" s="26">
        <f t="shared" si="15"/>
        <v>0.34499999999999997</v>
      </c>
      <c r="AH38" s="26">
        <f t="shared" si="16"/>
        <v>0.35</v>
      </c>
      <c r="AI38" s="26">
        <f t="shared" si="16"/>
        <v>0.35499999999999998</v>
      </c>
      <c r="AJ38" s="26">
        <f t="shared" si="16"/>
        <v>0.36</v>
      </c>
      <c r="AK38" s="26">
        <f t="shared" si="16"/>
        <v>0.36499999999999999</v>
      </c>
      <c r="AL38" s="26">
        <f t="shared" si="16"/>
        <v>0.37</v>
      </c>
      <c r="AM38" s="26">
        <f t="shared" si="16"/>
        <v>0.375</v>
      </c>
      <c r="AN38" s="26">
        <f t="shared" si="16"/>
        <v>0.38</v>
      </c>
      <c r="AO38" s="26">
        <f t="shared" si="16"/>
        <v>0.38500000000000001</v>
      </c>
      <c r="AP38" s="26">
        <f t="shared" si="16"/>
        <v>0.39</v>
      </c>
      <c r="AQ38" s="26">
        <f t="shared" si="16"/>
        <v>0.39500000000000002</v>
      </c>
      <c r="AR38" s="26">
        <f t="shared" si="16"/>
        <v>0.4</v>
      </c>
      <c r="AS38" s="26">
        <f t="shared" si="16"/>
        <v>0.40500000000000003</v>
      </c>
      <c r="AT38" s="26">
        <f t="shared" si="16"/>
        <v>0.41</v>
      </c>
      <c r="AU38" s="26">
        <f t="shared" si="16"/>
        <v>0.41499999999999998</v>
      </c>
      <c r="AV38" s="26">
        <f t="shared" si="16"/>
        <v>0.42</v>
      </c>
      <c r="AW38" s="26">
        <f t="shared" si="16"/>
        <v>0.42499999999999999</v>
      </c>
      <c r="AX38" s="26">
        <f t="shared" si="17"/>
        <v>0.43</v>
      </c>
      <c r="AY38" s="26">
        <f t="shared" si="17"/>
        <v>0.435</v>
      </c>
      <c r="AZ38" s="26">
        <f t="shared" si="17"/>
        <v>0.44</v>
      </c>
      <c r="BA38" s="26">
        <f t="shared" si="17"/>
        <v>0.44500000000000001</v>
      </c>
      <c r="BB38" s="26">
        <f t="shared" si="17"/>
        <v>0.45</v>
      </c>
      <c r="BC38" s="26">
        <f t="shared" si="17"/>
        <v>0.45500000000000002</v>
      </c>
      <c r="BD38" s="26">
        <f t="shared" si="17"/>
        <v>0.46</v>
      </c>
      <c r="BE38" s="26">
        <f t="shared" si="17"/>
        <v>0.46500000000000002</v>
      </c>
      <c r="BF38" s="26">
        <f t="shared" si="17"/>
        <v>0.47</v>
      </c>
      <c r="BG38" s="26">
        <f t="shared" si="17"/>
        <v>0.47499999999999998</v>
      </c>
      <c r="BH38" s="26">
        <f t="shared" si="17"/>
        <v>0.48</v>
      </c>
      <c r="BI38" s="26">
        <f t="shared" si="17"/>
        <v>0.48499999999999999</v>
      </c>
      <c r="BJ38" s="26">
        <f t="shared" si="17"/>
        <v>0.49</v>
      </c>
      <c r="BK38" s="26">
        <f t="shared" si="17"/>
        <v>0.495</v>
      </c>
      <c r="BL38" s="26">
        <f t="shared" si="17"/>
        <v>0.5</v>
      </c>
      <c r="BM38" s="26">
        <f t="shared" si="17"/>
        <v>0.505</v>
      </c>
      <c r="BN38" s="26">
        <f t="shared" si="18"/>
        <v>0.51</v>
      </c>
      <c r="BO38" s="26">
        <f t="shared" si="18"/>
        <v>0.51500000000000001</v>
      </c>
      <c r="BP38" s="26">
        <f t="shared" si="18"/>
        <v>0.52</v>
      </c>
      <c r="BQ38" s="26">
        <f t="shared" si="18"/>
        <v>0.52500000000000002</v>
      </c>
      <c r="BR38" s="26">
        <f t="shared" si="18"/>
        <v>0.53</v>
      </c>
      <c r="BS38" s="26">
        <f t="shared" si="18"/>
        <v>0.53500000000000003</v>
      </c>
      <c r="BT38" s="26">
        <f t="shared" si="18"/>
        <v>0.54</v>
      </c>
      <c r="BU38" s="26">
        <f t="shared" si="18"/>
        <v>0.54500000000000004</v>
      </c>
      <c r="BV38" s="26">
        <f t="shared" si="18"/>
        <v>0.55000000000000004</v>
      </c>
      <c r="BW38" s="26">
        <f t="shared" si="18"/>
        <v>0.55500000000000005</v>
      </c>
      <c r="BX38" s="26">
        <f t="shared" si="18"/>
        <v>0.56000000000000005</v>
      </c>
      <c r="BY38" s="26">
        <f t="shared" si="18"/>
        <v>0.56499999999999995</v>
      </c>
      <c r="BZ38" s="26">
        <f t="shared" si="18"/>
        <v>0.56999999999999995</v>
      </c>
      <c r="CA38" s="26">
        <f t="shared" si="18"/>
        <v>0.57499999999999996</v>
      </c>
      <c r="CB38" s="26">
        <f t="shared" si="18"/>
        <v>0.57999999999999996</v>
      </c>
      <c r="CC38" s="26">
        <f t="shared" si="18"/>
        <v>0.58499999999999996</v>
      </c>
      <c r="CD38" s="26">
        <f t="shared" si="19"/>
        <v>0.59</v>
      </c>
      <c r="CE38" s="26">
        <f t="shared" si="19"/>
        <v>0.59499999999999997</v>
      </c>
      <c r="CF38" s="26">
        <f t="shared" si="19"/>
        <v>0.6</v>
      </c>
      <c r="CG38" s="26">
        <f t="shared" si="19"/>
        <v>0.60499999999999998</v>
      </c>
      <c r="CH38" s="26">
        <f t="shared" si="19"/>
        <v>0.61</v>
      </c>
      <c r="CI38" s="26">
        <f t="shared" si="19"/>
        <v>0.61499999999999999</v>
      </c>
      <c r="CJ38" s="26">
        <f t="shared" si="19"/>
        <v>0.62</v>
      </c>
      <c r="CK38" s="26">
        <f t="shared" si="19"/>
        <v>0.625</v>
      </c>
      <c r="CL38" s="26">
        <f t="shared" si="19"/>
        <v>0.63</v>
      </c>
      <c r="CM38" s="26">
        <f t="shared" si="19"/>
        <v>0.63500000000000001</v>
      </c>
      <c r="CN38" s="26">
        <f t="shared" si="19"/>
        <v>0.64</v>
      </c>
      <c r="CO38" s="26">
        <f t="shared" si="19"/>
        <v>0.64500000000000002</v>
      </c>
      <c r="CP38" s="26">
        <f t="shared" si="19"/>
        <v>0.65</v>
      </c>
      <c r="CQ38" s="26">
        <f t="shared" si="19"/>
        <v>0.65500000000000003</v>
      </c>
      <c r="CR38" s="26">
        <f t="shared" si="19"/>
        <v>0.66</v>
      </c>
      <c r="CS38" s="26">
        <f t="shared" si="19"/>
        <v>0.66500000000000004</v>
      </c>
      <c r="CT38" s="26">
        <f t="shared" si="22"/>
        <v>0.67</v>
      </c>
      <c r="CU38" s="26">
        <f t="shared" si="22"/>
        <v>0.67500000000000004</v>
      </c>
      <c r="CV38" s="26">
        <f t="shared" si="22"/>
        <v>0.68</v>
      </c>
      <c r="CW38" s="26">
        <f t="shared" si="22"/>
        <v>0.68500000000000005</v>
      </c>
    </row>
    <row r="39" spans="2:101" ht="20.100000000000001" customHeight="1">
      <c r="B39" s="26">
        <f t="shared" si="21"/>
        <v>0.19500000000000001</v>
      </c>
      <c r="C39" s="26">
        <f t="shared" si="21"/>
        <v>0.2</v>
      </c>
      <c r="D39" s="26">
        <f t="shared" si="21"/>
        <v>0.20499999999999999</v>
      </c>
      <c r="E39" s="26">
        <f t="shared" si="21"/>
        <v>0.21</v>
      </c>
      <c r="F39" s="26">
        <f t="shared" si="21"/>
        <v>0.215</v>
      </c>
      <c r="G39" s="26">
        <f t="shared" si="21"/>
        <v>0.22</v>
      </c>
      <c r="H39" s="26">
        <f t="shared" si="21"/>
        <v>0.22500000000000001</v>
      </c>
      <c r="I39" s="26">
        <f t="shared" si="21"/>
        <v>0.23</v>
      </c>
      <c r="J39" s="26">
        <f t="shared" si="21"/>
        <v>0.23499999999999999</v>
      </c>
      <c r="K39" s="26">
        <f t="shared" si="21"/>
        <v>0.24</v>
      </c>
      <c r="L39" s="26">
        <f t="shared" si="21"/>
        <v>0.245</v>
      </c>
      <c r="M39" s="26">
        <f t="shared" si="21"/>
        <v>0.25</v>
      </c>
      <c r="N39" s="26">
        <f t="shared" si="21"/>
        <v>0.255</v>
      </c>
      <c r="O39" s="26">
        <f t="shared" si="21"/>
        <v>0.26</v>
      </c>
      <c r="P39" s="26">
        <f t="shared" si="21"/>
        <v>0.26500000000000001</v>
      </c>
      <c r="Q39" s="26">
        <f t="shared" si="20"/>
        <v>0.27</v>
      </c>
      <c r="R39" s="26">
        <f t="shared" si="15"/>
        <v>0.27500000000000002</v>
      </c>
      <c r="S39" s="26">
        <f t="shared" si="15"/>
        <v>0.28000000000000003</v>
      </c>
      <c r="T39" s="26">
        <f t="shared" si="15"/>
        <v>0.28499999999999998</v>
      </c>
      <c r="U39" s="26">
        <f t="shared" si="15"/>
        <v>0.28999999999999998</v>
      </c>
      <c r="V39" s="26">
        <f t="shared" si="15"/>
        <v>0.29499999999999998</v>
      </c>
      <c r="W39" s="26">
        <f t="shared" si="15"/>
        <v>0.3</v>
      </c>
      <c r="X39" s="26">
        <f t="shared" si="15"/>
        <v>0.30499999999999999</v>
      </c>
      <c r="Y39" s="26">
        <f t="shared" si="15"/>
        <v>0.31</v>
      </c>
      <c r="Z39" s="26">
        <f t="shared" si="15"/>
        <v>0.315</v>
      </c>
      <c r="AA39" s="26">
        <f t="shared" si="15"/>
        <v>0.32</v>
      </c>
      <c r="AB39" s="26">
        <f t="shared" si="15"/>
        <v>0.32500000000000001</v>
      </c>
      <c r="AC39" s="26">
        <f t="shared" si="15"/>
        <v>0.33</v>
      </c>
      <c r="AD39" s="26">
        <f t="shared" si="15"/>
        <v>0.33500000000000002</v>
      </c>
      <c r="AE39" s="26">
        <f t="shared" si="15"/>
        <v>0.34</v>
      </c>
      <c r="AF39" s="26">
        <f t="shared" si="15"/>
        <v>0.34499999999999997</v>
      </c>
      <c r="AG39" s="26">
        <f t="shared" si="15"/>
        <v>0.35</v>
      </c>
      <c r="AH39" s="26">
        <f t="shared" si="16"/>
        <v>0.35499999999999998</v>
      </c>
      <c r="AI39" s="26">
        <f t="shared" si="16"/>
        <v>0.36</v>
      </c>
      <c r="AJ39" s="26">
        <f t="shared" si="16"/>
        <v>0.36499999999999999</v>
      </c>
      <c r="AK39" s="26">
        <f t="shared" si="16"/>
        <v>0.37</v>
      </c>
      <c r="AL39" s="26">
        <f t="shared" si="16"/>
        <v>0.375</v>
      </c>
      <c r="AM39" s="26">
        <f t="shared" si="16"/>
        <v>0.38</v>
      </c>
      <c r="AN39" s="26">
        <f t="shared" si="16"/>
        <v>0.38500000000000001</v>
      </c>
      <c r="AO39" s="26">
        <f t="shared" si="16"/>
        <v>0.39</v>
      </c>
      <c r="AP39" s="26">
        <f t="shared" si="16"/>
        <v>0.39500000000000002</v>
      </c>
      <c r="AQ39" s="26">
        <f t="shared" si="16"/>
        <v>0.4</v>
      </c>
      <c r="AR39" s="26">
        <f t="shared" si="16"/>
        <v>0.40500000000000003</v>
      </c>
      <c r="AS39" s="26">
        <f t="shared" si="16"/>
        <v>0.41</v>
      </c>
      <c r="AT39" s="26">
        <f t="shared" si="16"/>
        <v>0.41499999999999998</v>
      </c>
      <c r="AU39" s="26">
        <f t="shared" si="16"/>
        <v>0.42</v>
      </c>
      <c r="AV39" s="26">
        <f t="shared" si="16"/>
        <v>0.42499999999999999</v>
      </c>
      <c r="AW39" s="26">
        <f t="shared" si="16"/>
        <v>0.43</v>
      </c>
      <c r="AX39" s="26">
        <f t="shared" si="17"/>
        <v>0.435</v>
      </c>
      <c r="AY39" s="26">
        <f t="shared" si="17"/>
        <v>0.44</v>
      </c>
      <c r="AZ39" s="26">
        <f t="shared" si="17"/>
        <v>0.44500000000000001</v>
      </c>
      <c r="BA39" s="26">
        <f t="shared" si="17"/>
        <v>0.45</v>
      </c>
      <c r="BB39" s="26">
        <f t="shared" si="17"/>
        <v>0.45500000000000002</v>
      </c>
      <c r="BC39" s="26">
        <f t="shared" si="17"/>
        <v>0.46</v>
      </c>
      <c r="BD39" s="26">
        <f t="shared" si="17"/>
        <v>0.46500000000000002</v>
      </c>
      <c r="BE39" s="26">
        <f t="shared" si="17"/>
        <v>0.47</v>
      </c>
      <c r="BF39" s="26">
        <f t="shared" si="17"/>
        <v>0.47499999999999998</v>
      </c>
      <c r="BG39" s="26">
        <f t="shared" si="17"/>
        <v>0.48</v>
      </c>
      <c r="BH39" s="26">
        <f t="shared" si="17"/>
        <v>0.48499999999999999</v>
      </c>
      <c r="BI39" s="26">
        <f t="shared" si="17"/>
        <v>0.49</v>
      </c>
      <c r="BJ39" s="26">
        <f t="shared" si="17"/>
        <v>0.495</v>
      </c>
      <c r="BK39" s="26">
        <f t="shared" si="17"/>
        <v>0.5</v>
      </c>
      <c r="BL39" s="26">
        <f t="shared" si="17"/>
        <v>0.505</v>
      </c>
      <c r="BM39" s="26">
        <f t="shared" si="17"/>
        <v>0.51</v>
      </c>
      <c r="BN39" s="26">
        <f t="shared" si="18"/>
        <v>0.51500000000000001</v>
      </c>
      <c r="BO39" s="26">
        <f t="shared" si="18"/>
        <v>0.52</v>
      </c>
      <c r="BP39" s="26">
        <f t="shared" si="18"/>
        <v>0.52500000000000002</v>
      </c>
      <c r="BQ39" s="26">
        <f t="shared" si="18"/>
        <v>0.53</v>
      </c>
      <c r="BR39" s="26">
        <f t="shared" si="18"/>
        <v>0.53500000000000003</v>
      </c>
      <c r="BS39" s="26">
        <f t="shared" si="18"/>
        <v>0.54</v>
      </c>
      <c r="BT39" s="26">
        <f t="shared" si="18"/>
        <v>0.54500000000000004</v>
      </c>
      <c r="BU39" s="26">
        <f t="shared" si="18"/>
        <v>0.55000000000000004</v>
      </c>
      <c r="BV39" s="26">
        <f t="shared" si="18"/>
        <v>0.55500000000000005</v>
      </c>
      <c r="BW39" s="26">
        <f t="shared" si="18"/>
        <v>0.56000000000000005</v>
      </c>
      <c r="BX39" s="26">
        <f t="shared" si="18"/>
        <v>0.56499999999999995</v>
      </c>
      <c r="BY39" s="26">
        <f t="shared" si="18"/>
        <v>0.56999999999999995</v>
      </c>
      <c r="BZ39" s="26">
        <f t="shared" si="18"/>
        <v>0.57499999999999996</v>
      </c>
      <c r="CA39" s="26">
        <f t="shared" si="18"/>
        <v>0.57999999999999996</v>
      </c>
      <c r="CB39" s="26">
        <f t="shared" si="18"/>
        <v>0.58499999999999996</v>
      </c>
      <c r="CC39" s="26">
        <f t="shared" si="18"/>
        <v>0.59</v>
      </c>
      <c r="CD39" s="26">
        <f t="shared" si="19"/>
        <v>0.59499999999999997</v>
      </c>
      <c r="CE39" s="26">
        <f t="shared" si="19"/>
        <v>0.6</v>
      </c>
      <c r="CF39" s="26">
        <f t="shared" si="19"/>
        <v>0.60499999999999998</v>
      </c>
      <c r="CG39" s="26">
        <f t="shared" si="19"/>
        <v>0.61</v>
      </c>
      <c r="CH39" s="26">
        <f t="shared" si="19"/>
        <v>0.61499999999999999</v>
      </c>
      <c r="CI39" s="26">
        <f t="shared" si="19"/>
        <v>0.62</v>
      </c>
      <c r="CJ39" s="26">
        <f t="shared" si="19"/>
        <v>0.625</v>
      </c>
      <c r="CK39" s="26">
        <f t="shared" si="19"/>
        <v>0.63</v>
      </c>
      <c r="CL39" s="26">
        <f t="shared" si="19"/>
        <v>0.63500000000000001</v>
      </c>
      <c r="CM39" s="26">
        <f t="shared" si="19"/>
        <v>0.64</v>
      </c>
      <c r="CN39" s="26">
        <f t="shared" si="19"/>
        <v>0.64500000000000002</v>
      </c>
      <c r="CO39" s="26">
        <f t="shared" si="19"/>
        <v>0.65</v>
      </c>
      <c r="CP39" s="26">
        <f t="shared" si="19"/>
        <v>0.65500000000000003</v>
      </c>
      <c r="CQ39" s="26">
        <f t="shared" si="19"/>
        <v>0.66</v>
      </c>
      <c r="CR39" s="26">
        <f t="shared" si="19"/>
        <v>0.66500000000000004</v>
      </c>
      <c r="CS39" s="26">
        <f t="shared" si="19"/>
        <v>0.67</v>
      </c>
      <c r="CT39" s="26">
        <f t="shared" si="22"/>
        <v>0.67500000000000004</v>
      </c>
      <c r="CU39" s="26">
        <f t="shared" si="22"/>
        <v>0.68</v>
      </c>
      <c r="CV39" s="26">
        <f t="shared" si="22"/>
        <v>0.68500000000000005</v>
      </c>
      <c r="CW39" s="26">
        <f t="shared" si="22"/>
        <v>0.69</v>
      </c>
    </row>
    <row r="40" spans="2:101" ht="20.100000000000001" customHeight="1">
      <c r="B40" s="26">
        <f t="shared" si="21"/>
        <v>0.2</v>
      </c>
      <c r="C40" s="26">
        <f t="shared" si="21"/>
        <v>0.20499999999999999</v>
      </c>
      <c r="D40" s="26">
        <f t="shared" si="21"/>
        <v>0.21</v>
      </c>
      <c r="E40" s="26">
        <f t="shared" si="21"/>
        <v>0.215</v>
      </c>
      <c r="F40" s="26">
        <f t="shared" si="21"/>
        <v>0.22</v>
      </c>
      <c r="G40" s="26">
        <f t="shared" si="21"/>
        <v>0.22500000000000001</v>
      </c>
      <c r="H40" s="26">
        <f t="shared" si="21"/>
        <v>0.23</v>
      </c>
      <c r="I40" s="26">
        <f t="shared" si="21"/>
        <v>0.23499999999999999</v>
      </c>
      <c r="J40" s="26">
        <f t="shared" si="21"/>
        <v>0.24</v>
      </c>
      <c r="K40" s="26">
        <f t="shared" si="21"/>
        <v>0.245</v>
      </c>
      <c r="L40" s="26">
        <f t="shared" si="21"/>
        <v>0.25</v>
      </c>
      <c r="M40" s="26">
        <f t="shared" si="21"/>
        <v>0.255</v>
      </c>
      <c r="N40" s="26">
        <f t="shared" si="21"/>
        <v>0.26</v>
      </c>
      <c r="O40" s="26">
        <f t="shared" si="21"/>
        <v>0.26500000000000001</v>
      </c>
      <c r="P40" s="26">
        <f t="shared" si="21"/>
        <v>0.27</v>
      </c>
      <c r="Q40" s="26">
        <f t="shared" si="20"/>
        <v>0.27500000000000002</v>
      </c>
      <c r="R40" s="26">
        <f t="shared" si="15"/>
        <v>0.28000000000000003</v>
      </c>
      <c r="S40" s="26">
        <f t="shared" si="15"/>
        <v>0.28499999999999998</v>
      </c>
      <c r="T40" s="26">
        <f t="shared" si="15"/>
        <v>0.28999999999999998</v>
      </c>
      <c r="U40" s="26">
        <f t="shared" si="15"/>
        <v>0.29499999999999998</v>
      </c>
      <c r="V40" s="26">
        <f t="shared" si="15"/>
        <v>0.3</v>
      </c>
      <c r="W40" s="26">
        <f t="shared" si="15"/>
        <v>0.30499999999999999</v>
      </c>
      <c r="X40" s="26">
        <f t="shared" si="15"/>
        <v>0.31</v>
      </c>
      <c r="Y40" s="26">
        <f t="shared" si="15"/>
        <v>0.315</v>
      </c>
      <c r="Z40" s="26">
        <f t="shared" si="15"/>
        <v>0.32</v>
      </c>
      <c r="AA40" s="26">
        <f t="shared" si="15"/>
        <v>0.32500000000000001</v>
      </c>
      <c r="AB40" s="26">
        <f t="shared" si="15"/>
        <v>0.33</v>
      </c>
      <c r="AC40" s="26">
        <f t="shared" si="15"/>
        <v>0.33500000000000002</v>
      </c>
      <c r="AD40" s="26">
        <f t="shared" si="15"/>
        <v>0.34</v>
      </c>
      <c r="AE40" s="26">
        <f t="shared" si="15"/>
        <v>0.34499999999999997</v>
      </c>
      <c r="AF40" s="26">
        <f t="shared" si="15"/>
        <v>0.35</v>
      </c>
      <c r="AG40" s="26">
        <f t="shared" si="15"/>
        <v>0.35499999999999998</v>
      </c>
      <c r="AH40" s="26">
        <f t="shared" si="16"/>
        <v>0.36</v>
      </c>
      <c r="AI40" s="26">
        <f t="shared" si="16"/>
        <v>0.36499999999999999</v>
      </c>
      <c r="AJ40" s="26">
        <f t="shared" si="16"/>
        <v>0.37</v>
      </c>
      <c r="AK40" s="26">
        <f t="shared" si="16"/>
        <v>0.375</v>
      </c>
      <c r="AL40" s="26">
        <f t="shared" si="16"/>
        <v>0.38</v>
      </c>
      <c r="AM40" s="26">
        <f t="shared" si="16"/>
        <v>0.38500000000000001</v>
      </c>
      <c r="AN40" s="26">
        <f t="shared" si="16"/>
        <v>0.39</v>
      </c>
      <c r="AO40" s="26">
        <f t="shared" si="16"/>
        <v>0.39500000000000002</v>
      </c>
      <c r="AP40" s="26">
        <f t="shared" si="16"/>
        <v>0.4</v>
      </c>
      <c r="AQ40" s="26">
        <f t="shared" si="16"/>
        <v>0.40500000000000003</v>
      </c>
      <c r="AR40" s="26">
        <f t="shared" si="16"/>
        <v>0.41</v>
      </c>
      <c r="AS40" s="26">
        <f t="shared" si="16"/>
        <v>0.41499999999999998</v>
      </c>
      <c r="AT40" s="26">
        <f t="shared" si="16"/>
        <v>0.42</v>
      </c>
      <c r="AU40" s="26">
        <f t="shared" si="16"/>
        <v>0.42499999999999999</v>
      </c>
      <c r="AV40" s="26">
        <f t="shared" si="16"/>
        <v>0.43</v>
      </c>
      <c r="AW40" s="26">
        <f t="shared" si="16"/>
        <v>0.435</v>
      </c>
      <c r="AX40" s="26">
        <f t="shared" si="17"/>
        <v>0.44</v>
      </c>
      <c r="AY40" s="26">
        <f t="shared" si="17"/>
        <v>0.44500000000000001</v>
      </c>
      <c r="AZ40" s="26">
        <f t="shared" si="17"/>
        <v>0.45</v>
      </c>
      <c r="BA40" s="26">
        <f t="shared" si="17"/>
        <v>0.45500000000000002</v>
      </c>
      <c r="BB40" s="26">
        <f t="shared" si="17"/>
        <v>0.46</v>
      </c>
      <c r="BC40" s="26">
        <f t="shared" si="17"/>
        <v>0.46500000000000002</v>
      </c>
      <c r="BD40" s="26">
        <f t="shared" si="17"/>
        <v>0.47</v>
      </c>
      <c r="BE40" s="26">
        <f t="shared" si="17"/>
        <v>0.47499999999999998</v>
      </c>
      <c r="BF40" s="26">
        <f t="shared" si="17"/>
        <v>0.48</v>
      </c>
      <c r="BG40" s="26">
        <f t="shared" si="17"/>
        <v>0.48499999999999999</v>
      </c>
      <c r="BH40" s="26">
        <f t="shared" si="17"/>
        <v>0.49</v>
      </c>
      <c r="BI40" s="26">
        <f t="shared" si="17"/>
        <v>0.495</v>
      </c>
      <c r="BJ40" s="26">
        <f t="shared" si="17"/>
        <v>0.5</v>
      </c>
      <c r="BK40" s="26">
        <f t="shared" si="17"/>
        <v>0.505</v>
      </c>
      <c r="BL40" s="26">
        <f t="shared" si="17"/>
        <v>0.51</v>
      </c>
      <c r="BM40" s="26">
        <f t="shared" si="17"/>
        <v>0.51500000000000001</v>
      </c>
      <c r="BN40" s="26">
        <f t="shared" si="18"/>
        <v>0.52</v>
      </c>
      <c r="BO40" s="26">
        <f t="shared" si="18"/>
        <v>0.52500000000000002</v>
      </c>
      <c r="BP40" s="26">
        <f t="shared" si="18"/>
        <v>0.53</v>
      </c>
      <c r="BQ40" s="26">
        <f t="shared" si="18"/>
        <v>0.53500000000000003</v>
      </c>
      <c r="BR40" s="26">
        <f t="shared" si="18"/>
        <v>0.54</v>
      </c>
      <c r="BS40" s="26">
        <f t="shared" si="18"/>
        <v>0.54500000000000004</v>
      </c>
      <c r="BT40" s="26">
        <f t="shared" si="18"/>
        <v>0.55000000000000004</v>
      </c>
      <c r="BU40" s="26">
        <f t="shared" si="18"/>
        <v>0.55500000000000005</v>
      </c>
      <c r="BV40" s="26">
        <f t="shared" si="18"/>
        <v>0.56000000000000005</v>
      </c>
      <c r="BW40" s="26">
        <f t="shared" si="18"/>
        <v>0.56499999999999995</v>
      </c>
      <c r="BX40" s="26">
        <f t="shared" si="18"/>
        <v>0.56999999999999995</v>
      </c>
      <c r="BY40" s="26">
        <f t="shared" si="18"/>
        <v>0.57499999999999996</v>
      </c>
      <c r="BZ40" s="26">
        <f t="shared" si="18"/>
        <v>0.57999999999999996</v>
      </c>
      <c r="CA40" s="26">
        <f t="shared" si="18"/>
        <v>0.58499999999999996</v>
      </c>
      <c r="CB40" s="26">
        <f t="shared" si="18"/>
        <v>0.59</v>
      </c>
      <c r="CC40" s="26">
        <f t="shared" si="18"/>
        <v>0.59499999999999997</v>
      </c>
      <c r="CD40" s="26">
        <f t="shared" si="19"/>
        <v>0.6</v>
      </c>
      <c r="CE40" s="26">
        <f t="shared" si="19"/>
        <v>0.60499999999999998</v>
      </c>
      <c r="CF40" s="26">
        <f t="shared" si="19"/>
        <v>0.61</v>
      </c>
      <c r="CG40" s="26">
        <f t="shared" si="19"/>
        <v>0.61499999999999999</v>
      </c>
      <c r="CH40" s="26">
        <f t="shared" si="19"/>
        <v>0.62</v>
      </c>
      <c r="CI40" s="26">
        <f t="shared" si="19"/>
        <v>0.625</v>
      </c>
      <c r="CJ40" s="26">
        <f t="shared" si="19"/>
        <v>0.63</v>
      </c>
      <c r="CK40" s="26">
        <f t="shared" si="19"/>
        <v>0.63500000000000001</v>
      </c>
      <c r="CL40" s="26">
        <f t="shared" si="19"/>
        <v>0.64</v>
      </c>
      <c r="CM40" s="26">
        <f t="shared" si="19"/>
        <v>0.64500000000000002</v>
      </c>
      <c r="CN40" s="26">
        <f t="shared" si="19"/>
        <v>0.65</v>
      </c>
      <c r="CO40" s="26">
        <f t="shared" si="19"/>
        <v>0.65500000000000003</v>
      </c>
      <c r="CP40" s="26">
        <f t="shared" si="19"/>
        <v>0.66</v>
      </c>
      <c r="CQ40" s="26">
        <f t="shared" si="19"/>
        <v>0.66500000000000004</v>
      </c>
      <c r="CR40" s="26">
        <f t="shared" si="19"/>
        <v>0.67</v>
      </c>
      <c r="CS40" s="26">
        <f t="shared" si="19"/>
        <v>0.67500000000000004</v>
      </c>
      <c r="CT40" s="26">
        <f t="shared" si="22"/>
        <v>0.68</v>
      </c>
      <c r="CU40" s="26">
        <f t="shared" si="22"/>
        <v>0.68500000000000005</v>
      </c>
      <c r="CV40" s="26">
        <f t="shared" si="22"/>
        <v>0.69</v>
      </c>
      <c r="CW40" s="26">
        <f t="shared" si="22"/>
        <v>0.69499999999999995</v>
      </c>
    </row>
    <row r="41" spans="2:101" ht="20.100000000000001" customHeight="1">
      <c r="B41" s="26">
        <f t="shared" si="21"/>
        <v>0.20499999999999999</v>
      </c>
      <c r="C41" s="26">
        <f t="shared" si="21"/>
        <v>0.21</v>
      </c>
      <c r="D41" s="26">
        <f t="shared" si="21"/>
        <v>0.215</v>
      </c>
      <c r="E41" s="26">
        <f t="shared" si="21"/>
        <v>0.22</v>
      </c>
      <c r="F41" s="26">
        <f t="shared" si="21"/>
        <v>0.22500000000000001</v>
      </c>
      <c r="G41" s="26">
        <f t="shared" si="21"/>
        <v>0.23</v>
      </c>
      <c r="H41" s="26">
        <f t="shared" si="21"/>
        <v>0.23499999999999999</v>
      </c>
      <c r="I41" s="26">
        <f t="shared" si="21"/>
        <v>0.24</v>
      </c>
      <c r="J41" s="26">
        <f t="shared" si="21"/>
        <v>0.245</v>
      </c>
      <c r="K41" s="26">
        <f t="shared" si="21"/>
        <v>0.25</v>
      </c>
      <c r="L41" s="26">
        <f t="shared" si="21"/>
        <v>0.255</v>
      </c>
      <c r="M41" s="26">
        <f t="shared" si="21"/>
        <v>0.26</v>
      </c>
      <c r="N41" s="26">
        <f t="shared" si="21"/>
        <v>0.26500000000000001</v>
      </c>
      <c r="O41" s="26">
        <f t="shared" si="21"/>
        <v>0.27</v>
      </c>
      <c r="P41" s="26">
        <f t="shared" si="21"/>
        <v>0.27500000000000002</v>
      </c>
      <c r="Q41" s="26">
        <f t="shared" si="20"/>
        <v>0.28000000000000003</v>
      </c>
      <c r="R41" s="26">
        <f t="shared" si="15"/>
        <v>0.28499999999999998</v>
      </c>
      <c r="S41" s="26">
        <f t="shared" si="15"/>
        <v>0.28999999999999998</v>
      </c>
      <c r="T41" s="26">
        <f t="shared" si="15"/>
        <v>0.29499999999999998</v>
      </c>
      <c r="U41" s="26">
        <f t="shared" si="15"/>
        <v>0.3</v>
      </c>
      <c r="V41" s="26">
        <f t="shared" si="15"/>
        <v>0.30499999999999999</v>
      </c>
      <c r="W41" s="26">
        <f t="shared" si="15"/>
        <v>0.31</v>
      </c>
      <c r="X41" s="26">
        <f t="shared" si="15"/>
        <v>0.315</v>
      </c>
      <c r="Y41" s="26">
        <f t="shared" si="15"/>
        <v>0.32</v>
      </c>
      <c r="Z41" s="26">
        <f t="shared" si="15"/>
        <v>0.32500000000000001</v>
      </c>
      <c r="AA41" s="26">
        <f t="shared" si="15"/>
        <v>0.33</v>
      </c>
      <c r="AB41" s="26">
        <f t="shared" si="15"/>
        <v>0.33500000000000002</v>
      </c>
      <c r="AC41" s="26">
        <f t="shared" si="15"/>
        <v>0.34</v>
      </c>
      <c r="AD41" s="26">
        <f t="shared" si="15"/>
        <v>0.34499999999999997</v>
      </c>
      <c r="AE41" s="26">
        <f t="shared" si="15"/>
        <v>0.35</v>
      </c>
      <c r="AF41" s="26">
        <f t="shared" si="15"/>
        <v>0.35499999999999998</v>
      </c>
      <c r="AG41" s="26">
        <f t="shared" si="15"/>
        <v>0.36</v>
      </c>
      <c r="AH41" s="26">
        <f t="shared" si="16"/>
        <v>0.36499999999999999</v>
      </c>
      <c r="AI41" s="26">
        <f t="shared" si="16"/>
        <v>0.37</v>
      </c>
      <c r="AJ41" s="26">
        <f t="shared" si="16"/>
        <v>0.375</v>
      </c>
      <c r="AK41" s="26">
        <f t="shared" si="16"/>
        <v>0.38</v>
      </c>
      <c r="AL41" s="26">
        <f t="shared" si="16"/>
        <v>0.38500000000000001</v>
      </c>
      <c r="AM41" s="26">
        <f t="shared" si="16"/>
        <v>0.39</v>
      </c>
      <c r="AN41" s="26">
        <f t="shared" si="16"/>
        <v>0.39500000000000002</v>
      </c>
      <c r="AO41" s="26">
        <f t="shared" si="16"/>
        <v>0.4</v>
      </c>
      <c r="AP41" s="26">
        <f t="shared" si="16"/>
        <v>0.40500000000000003</v>
      </c>
      <c r="AQ41" s="26">
        <f t="shared" si="16"/>
        <v>0.41</v>
      </c>
      <c r="AR41" s="26">
        <f t="shared" si="16"/>
        <v>0.41499999999999998</v>
      </c>
      <c r="AS41" s="26">
        <f t="shared" si="16"/>
        <v>0.42</v>
      </c>
      <c r="AT41" s="26">
        <f t="shared" si="16"/>
        <v>0.42499999999999999</v>
      </c>
      <c r="AU41" s="26">
        <f t="shared" si="16"/>
        <v>0.43</v>
      </c>
      <c r="AV41" s="26">
        <f t="shared" si="16"/>
        <v>0.435</v>
      </c>
      <c r="AW41" s="26">
        <f t="shared" si="16"/>
        <v>0.44</v>
      </c>
      <c r="AX41" s="26">
        <f t="shared" si="17"/>
        <v>0.44500000000000001</v>
      </c>
      <c r="AY41" s="26">
        <f t="shared" si="17"/>
        <v>0.45</v>
      </c>
      <c r="AZ41" s="26">
        <f t="shared" si="17"/>
        <v>0.45500000000000002</v>
      </c>
      <c r="BA41" s="26">
        <f t="shared" si="17"/>
        <v>0.46</v>
      </c>
      <c r="BB41" s="26">
        <f t="shared" si="17"/>
        <v>0.46500000000000002</v>
      </c>
      <c r="BC41" s="26">
        <f t="shared" si="17"/>
        <v>0.47</v>
      </c>
      <c r="BD41" s="26">
        <f t="shared" si="17"/>
        <v>0.47499999999999998</v>
      </c>
      <c r="BE41" s="26">
        <f t="shared" si="17"/>
        <v>0.48</v>
      </c>
      <c r="BF41" s="26">
        <f t="shared" si="17"/>
        <v>0.48499999999999999</v>
      </c>
      <c r="BG41" s="26">
        <f t="shared" si="17"/>
        <v>0.49</v>
      </c>
      <c r="BH41" s="26">
        <f t="shared" si="17"/>
        <v>0.495</v>
      </c>
      <c r="BI41" s="26">
        <f t="shared" si="17"/>
        <v>0.5</v>
      </c>
      <c r="BJ41" s="26">
        <f t="shared" si="17"/>
        <v>0.505</v>
      </c>
      <c r="BK41" s="26">
        <f t="shared" si="17"/>
        <v>0.51</v>
      </c>
      <c r="BL41" s="26">
        <f t="shared" si="17"/>
        <v>0.51500000000000001</v>
      </c>
      <c r="BM41" s="26">
        <f t="shared" si="17"/>
        <v>0.52</v>
      </c>
      <c r="BN41" s="26">
        <f t="shared" si="18"/>
        <v>0.52500000000000002</v>
      </c>
      <c r="BO41" s="26">
        <f t="shared" si="18"/>
        <v>0.53</v>
      </c>
      <c r="BP41" s="26">
        <f t="shared" si="18"/>
        <v>0.53500000000000003</v>
      </c>
      <c r="BQ41" s="26">
        <f t="shared" si="18"/>
        <v>0.54</v>
      </c>
      <c r="BR41" s="26">
        <f t="shared" si="18"/>
        <v>0.54500000000000004</v>
      </c>
      <c r="BS41" s="26">
        <f t="shared" si="18"/>
        <v>0.55000000000000004</v>
      </c>
      <c r="BT41" s="26">
        <f t="shared" si="18"/>
        <v>0.55500000000000005</v>
      </c>
      <c r="BU41" s="26">
        <f t="shared" si="18"/>
        <v>0.56000000000000005</v>
      </c>
      <c r="BV41" s="26">
        <f t="shared" si="18"/>
        <v>0.56499999999999995</v>
      </c>
      <c r="BW41" s="26">
        <f t="shared" si="18"/>
        <v>0.56999999999999995</v>
      </c>
      <c r="BX41" s="26">
        <f t="shared" si="18"/>
        <v>0.57499999999999996</v>
      </c>
      <c r="BY41" s="26">
        <f t="shared" si="18"/>
        <v>0.57999999999999996</v>
      </c>
      <c r="BZ41" s="26">
        <f t="shared" si="18"/>
        <v>0.58499999999999996</v>
      </c>
      <c r="CA41" s="26">
        <f t="shared" si="18"/>
        <v>0.59</v>
      </c>
      <c r="CB41" s="26">
        <f t="shared" si="18"/>
        <v>0.59499999999999997</v>
      </c>
      <c r="CC41" s="26">
        <f t="shared" si="18"/>
        <v>0.6</v>
      </c>
      <c r="CD41" s="26">
        <f t="shared" si="19"/>
        <v>0.60499999999999998</v>
      </c>
      <c r="CE41" s="26">
        <f t="shared" si="19"/>
        <v>0.61</v>
      </c>
      <c r="CF41" s="26">
        <f t="shared" si="19"/>
        <v>0.61499999999999999</v>
      </c>
      <c r="CG41" s="26">
        <f t="shared" si="19"/>
        <v>0.62</v>
      </c>
      <c r="CH41" s="26">
        <f t="shared" si="19"/>
        <v>0.625</v>
      </c>
      <c r="CI41" s="26">
        <f t="shared" si="19"/>
        <v>0.63</v>
      </c>
      <c r="CJ41" s="26">
        <f t="shared" si="19"/>
        <v>0.63500000000000001</v>
      </c>
      <c r="CK41" s="26">
        <f t="shared" si="19"/>
        <v>0.64</v>
      </c>
      <c r="CL41" s="26">
        <f t="shared" si="19"/>
        <v>0.64500000000000002</v>
      </c>
      <c r="CM41" s="26">
        <f t="shared" si="19"/>
        <v>0.65</v>
      </c>
      <c r="CN41" s="26">
        <f t="shared" si="19"/>
        <v>0.65500000000000003</v>
      </c>
      <c r="CO41" s="26">
        <f t="shared" si="19"/>
        <v>0.66</v>
      </c>
      <c r="CP41" s="26">
        <f t="shared" si="19"/>
        <v>0.66500000000000004</v>
      </c>
      <c r="CQ41" s="26">
        <f t="shared" si="19"/>
        <v>0.67</v>
      </c>
      <c r="CR41" s="26">
        <f t="shared" si="19"/>
        <v>0.67500000000000004</v>
      </c>
      <c r="CS41" s="26">
        <f t="shared" si="19"/>
        <v>0.68</v>
      </c>
      <c r="CT41" s="26">
        <f t="shared" si="22"/>
        <v>0.68500000000000005</v>
      </c>
      <c r="CU41" s="26">
        <f t="shared" si="22"/>
        <v>0.69</v>
      </c>
      <c r="CV41" s="26">
        <f t="shared" si="22"/>
        <v>0.69499999999999995</v>
      </c>
      <c r="CW41" s="26">
        <f t="shared" si="22"/>
        <v>0.7</v>
      </c>
    </row>
    <row r="42" spans="2:101" ht="20.100000000000001" customHeight="1">
      <c r="B42" s="26">
        <f t="shared" si="21"/>
        <v>0.21</v>
      </c>
      <c r="C42" s="26">
        <f t="shared" si="21"/>
        <v>0.215</v>
      </c>
      <c r="D42" s="26">
        <f t="shared" si="21"/>
        <v>0.22</v>
      </c>
      <c r="E42" s="26">
        <f t="shared" si="21"/>
        <v>0.22500000000000001</v>
      </c>
      <c r="F42" s="26">
        <f t="shared" si="21"/>
        <v>0.23</v>
      </c>
      <c r="G42" s="26">
        <f t="shared" si="21"/>
        <v>0.23499999999999999</v>
      </c>
      <c r="H42" s="26">
        <f t="shared" si="21"/>
        <v>0.24</v>
      </c>
      <c r="I42" s="26">
        <f t="shared" si="21"/>
        <v>0.245</v>
      </c>
      <c r="J42" s="26">
        <f t="shared" si="21"/>
        <v>0.25</v>
      </c>
      <c r="K42" s="26">
        <f t="shared" si="21"/>
        <v>0.255</v>
      </c>
      <c r="L42" s="26">
        <f t="shared" si="21"/>
        <v>0.26</v>
      </c>
      <c r="M42" s="26">
        <f t="shared" si="21"/>
        <v>0.26500000000000001</v>
      </c>
      <c r="N42" s="26">
        <f t="shared" si="21"/>
        <v>0.27</v>
      </c>
      <c r="O42" s="26">
        <f t="shared" si="21"/>
        <v>0.27500000000000002</v>
      </c>
      <c r="P42" s="26">
        <f t="shared" si="21"/>
        <v>0.28000000000000003</v>
      </c>
      <c r="Q42" s="26">
        <f t="shared" si="20"/>
        <v>0.28499999999999998</v>
      </c>
      <c r="R42" s="26">
        <f t="shared" si="15"/>
        <v>0.28999999999999998</v>
      </c>
      <c r="S42" s="26">
        <f t="shared" si="15"/>
        <v>0.29499999999999998</v>
      </c>
      <c r="T42" s="26">
        <f t="shared" si="15"/>
        <v>0.3</v>
      </c>
      <c r="U42" s="26">
        <f t="shared" si="15"/>
        <v>0.30499999999999999</v>
      </c>
      <c r="V42" s="26">
        <f t="shared" si="15"/>
        <v>0.31</v>
      </c>
      <c r="W42" s="26">
        <f t="shared" si="15"/>
        <v>0.315</v>
      </c>
      <c r="X42" s="26">
        <f t="shared" si="15"/>
        <v>0.32</v>
      </c>
      <c r="Y42" s="26">
        <f t="shared" si="15"/>
        <v>0.32500000000000001</v>
      </c>
      <c r="Z42" s="26">
        <f t="shared" si="15"/>
        <v>0.33</v>
      </c>
      <c r="AA42" s="26">
        <f t="shared" si="15"/>
        <v>0.33500000000000002</v>
      </c>
      <c r="AB42" s="26">
        <f t="shared" si="15"/>
        <v>0.34</v>
      </c>
      <c r="AC42" s="26">
        <f t="shared" si="15"/>
        <v>0.34499999999999997</v>
      </c>
      <c r="AD42" s="26">
        <f t="shared" si="15"/>
        <v>0.35</v>
      </c>
      <c r="AE42" s="26">
        <f t="shared" si="15"/>
        <v>0.35499999999999998</v>
      </c>
      <c r="AF42" s="26">
        <f t="shared" si="15"/>
        <v>0.36</v>
      </c>
      <c r="AG42" s="26">
        <f t="shared" si="15"/>
        <v>0.36499999999999999</v>
      </c>
      <c r="AH42" s="26">
        <f t="shared" si="16"/>
        <v>0.37</v>
      </c>
      <c r="AI42" s="26">
        <f t="shared" si="16"/>
        <v>0.375</v>
      </c>
      <c r="AJ42" s="26">
        <f t="shared" si="16"/>
        <v>0.38</v>
      </c>
      <c r="AK42" s="26">
        <f t="shared" si="16"/>
        <v>0.38500000000000001</v>
      </c>
      <c r="AL42" s="26">
        <f t="shared" si="16"/>
        <v>0.39</v>
      </c>
      <c r="AM42" s="26">
        <f t="shared" si="16"/>
        <v>0.39500000000000002</v>
      </c>
      <c r="AN42" s="26">
        <f t="shared" si="16"/>
        <v>0.4</v>
      </c>
      <c r="AO42" s="26">
        <f t="shared" si="16"/>
        <v>0.40500000000000003</v>
      </c>
      <c r="AP42" s="26">
        <f t="shared" si="16"/>
        <v>0.41</v>
      </c>
      <c r="AQ42" s="26">
        <f t="shared" si="16"/>
        <v>0.41499999999999998</v>
      </c>
      <c r="AR42" s="26">
        <f t="shared" si="16"/>
        <v>0.42</v>
      </c>
      <c r="AS42" s="26">
        <f t="shared" si="16"/>
        <v>0.42499999999999999</v>
      </c>
      <c r="AT42" s="26">
        <f t="shared" si="16"/>
        <v>0.43</v>
      </c>
      <c r="AU42" s="26">
        <f t="shared" si="16"/>
        <v>0.435</v>
      </c>
      <c r="AV42" s="26">
        <f t="shared" si="16"/>
        <v>0.44</v>
      </c>
      <c r="AW42" s="26">
        <f t="shared" si="16"/>
        <v>0.44500000000000001</v>
      </c>
      <c r="AX42" s="26">
        <f t="shared" si="17"/>
        <v>0.45</v>
      </c>
      <c r="AY42" s="26">
        <f t="shared" si="17"/>
        <v>0.45500000000000002</v>
      </c>
      <c r="AZ42" s="26">
        <f t="shared" si="17"/>
        <v>0.46</v>
      </c>
      <c r="BA42" s="26">
        <f t="shared" si="17"/>
        <v>0.46500000000000002</v>
      </c>
      <c r="BB42" s="26">
        <f t="shared" si="17"/>
        <v>0.47</v>
      </c>
      <c r="BC42" s="26">
        <f t="shared" si="17"/>
        <v>0.47499999999999998</v>
      </c>
      <c r="BD42" s="26">
        <f t="shared" si="17"/>
        <v>0.48</v>
      </c>
      <c r="BE42" s="26">
        <f t="shared" si="17"/>
        <v>0.48499999999999999</v>
      </c>
      <c r="BF42" s="26">
        <f t="shared" si="17"/>
        <v>0.49</v>
      </c>
      <c r="BG42" s="26">
        <f t="shared" si="17"/>
        <v>0.495</v>
      </c>
      <c r="BH42" s="26">
        <f t="shared" si="17"/>
        <v>0.5</v>
      </c>
      <c r="BI42" s="26">
        <f t="shared" si="17"/>
        <v>0.505</v>
      </c>
      <c r="BJ42" s="26">
        <f t="shared" si="17"/>
        <v>0.51</v>
      </c>
      <c r="BK42" s="26">
        <f t="shared" si="17"/>
        <v>0.51500000000000001</v>
      </c>
      <c r="BL42" s="26">
        <f t="shared" si="17"/>
        <v>0.52</v>
      </c>
      <c r="BM42" s="26">
        <f t="shared" si="17"/>
        <v>0.52500000000000002</v>
      </c>
      <c r="BN42" s="26">
        <f t="shared" si="18"/>
        <v>0.53</v>
      </c>
      <c r="BO42" s="26">
        <f t="shared" si="18"/>
        <v>0.53500000000000003</v>
      </c>
      <c r="BP42" s="26">
        <f t="shared" si="18"/>
        <v>0.54</v>
      </c>
      <c r="BQ42" s="26">
        <f t="shared" si="18"/>
        <v>0.54500000000000004</v>
      </c>
      <c r="BR42" s="26">
        <f t="shared" si="18"/>
        <v>0.55000000000000004</v>
      </c>
      <c r="BS42" s="26">
        <f t="shared" si="18"/>
        <v>0.55500000000000005</v>
      </c>
      <c r="BT42" s="26">
        <f t="shared" si="18"/>
        <v>0.56000000000000005</v>
      </c>
      <c r="BU42" s="26">
        <f t="shared" si="18"/>
        <v>0.56499999999999995</v>
      </c>
      <c r="BV42" s="26">
        <f t="shared" si="18"/>
        <v>0.56999999999999995</v>
      </c>
      <c r="BW42" s="26">
        <f t="shared" si="18"/>
        <v>0.57499999999999996</v>
      </c>
      <c r="BX42" s="26">
        <f t="shared" si="18"/>
        <v>0.57999999999999996</v>
      </c>
      <c r="BY42" s="26">
        <f t="shared" si="18"/>
        <v>0.58499999999999996</v>
      </c>
      <c r="BZ42" s="26">
        <f t="shared" si="18"/>
        <v>0.59</v>
      </c>
      <c r="CA42" s="26">
        <f t="shared" si="18"/>
        <v>0.59499999999999997</v>
      </c>
      <c r="CB42" s="26">
        <f t="shared" si="18"/>
        <v>0.6</v>
      </c>
      <c r="CC42" s="26">
        <f t="shared" si="18"/>
        <v>0.60499999999999998</v>
      </c>
      <c r="CD42" s="26">
        <f t="shared" si="19"/>
        <v>0.61</v>
      </c>
      <c r="CE42" s="26">
        <f t="shared" si="19"/>
        <v>0.61499999999999999</v>
      </c>
      <c r="CF42" s="26">
        <f t="shared" si="19"/>
        <v>0.62</v>
      </c>
      <c r="CG42" s="26">
        <f t="shared" si="19"/>
        <v>0.625</v>
      </c>
      <c r="CH42" s="26">
        <f t="shared" si="19"/>
        <v>0.63</v>
      </c>
      <c r="CI42" s="26">
        <f t="shared" si="19"/>
        <v>0.63500000000000001</v>
      </c>
      <c r="CJ42" s="26">
        <f t="shared" si="19"/>
        <v>0.64</v>
      </c>
      <c r="CK42" s="26">
        <f t="shared" si="19"/>
        <v>0.64500000000000002</v>
      </c>
      <c r="CL42" s="26">
        <f t="shared" si="19"/>
        <v>0.65</v>
      </c>
      <c r="CM42" s="26">
        <f t="shared" si="19"/>
        <v>0.65500000000000003</v>
      </c>
      <c r="CN42" s="26">
        <f t="shared" si="19"/>
        <v>0.66</v>
      </c>
      <c r="CO42" s="26">
        <f t="shared" si="19"/>
        <v>0.66500000000000004</v>
      </c>
      <c r="CP42" s="26">
        <f t="shared" si="19"/>
        <v>0.67</v>
      </c>
      <c r="CQ42" s="26">
        <f t="shared" si="19"/>
        <v>0.67500000000000004</v>
      </c>
      <c r="CR42" s="26">
        <f t="shared" si="19"/>
        <v>0.68</v>
      </c>
      <c r="CS42" s="26">
        <f t="shared" si="19"/>
        <v>0.68500000000000005</v>
      </c>
      <c r="CT42" s="26">
        <f t="shared" si="22"/>
        <v>0.69</v>
      </c>
      <c r="CU42" s="26">
        <f t="shared" si="22"/>
        <v>0.69499999999999995</v>
      </c>
      <c r="CV42" s="26">
        <f t="shared" si="22"/>
        <v>0.7</v>
      </c>
      <c r="CW42" s="26">
        <f t="shared" si="22"/>
        <v>0.70499999999999996</v>
      </c>
    </row>
    <row r="43" spans="2:101" ht="20.100000000000001" customHeight="1">
      <c r="B43" s="26">
        <f t="shared" si="21"/>
        <v>0.215</v>
      </c>
      <c r="C43" s="26">
        <f t="shared" si="21"/>
        <v>0.22</v>
      </c>
      <c r="D43" s="26">
        <f t="shared" si="21"/>
        <v>0.22500000000000001</v>
      </c>
      <c r="E43" s="26">
        <f t="shared" si="21"/>
        <v>0.23</v>
      </c>
      <c r="F43" s="26">
        <f t="shared" si="21"/>
        <v>0.23499999999999999</v>
      </c>
      <c r="G43" s="26">
        <f t="shared" si="21"/>
        <v>0.24</v>
      </c>
      <c r="H43" s="26">
        <f t="shared" si="21"/>
        <v>0.245</v>
      </c>
      <c r="I43" s="26">
        <f t="shared" si="21"/>
        <v>0.25</v>
      </c>
      <c r="J43" s="26">
        <f t="shared" si="21"/>
        <v>0.255</v>
      </c>
      <c r="K43" s="26">
        <f t="shared" si="21"/>
        <v>0.26</v>
      </c>
      <c r="L43" s="26">
        <f t="shared" si="21"/>
        <v>0.26500000000000001</v>
      </c>
      <c r="M43" s="26">
        <f t="shared" si="21"/>
        <v>0.27</v>
      </c>
      <c r="N43" s="26">
        <f t="shared" si="21"/>
        <v>0.27500000000000002</v>
      </c>
      <c r="O43" s="26">
        <f t="shared" si="21"/>
        <v>0.28000000000000003</v>
      </c>
      <c r="P43" s="26">
        <f t="shared" si="21"/>
        <v>0.28499999999999998</v>
      </c>
      <c r="Q43" s="26">
        <f t="shared" si="20"/>
        <v>0.28999999999999998</v>
      </c>
      <c r="R43" s="26">
        <f t="shared" si="15"/>
        <v>0.29499999999999998</v>
      </c>
      <c r="S43" s="26">
        <f t="shared" si="15"/>
        <v>0.3</v>
      </c>
      <c r="T43" s="26">
        <f t="shared" si="15"/>
        <v>0.30499999999999999</v>
      </c>
      <c r="U43" s="26">
        <f t="shared" si="15"/>
        <v>0.31</v>
      </c>
      <c r="V43" s="26">
        <f t="shared" si="15"/>
        <v>0.315</v>
      </c>
      <c r="W43" s="26">
        <f t="shared" si="15"/>
        <v>0.32</v>
      </c>
      <c r="X43" s="26">
        <f t="shared" si="15"/>
        <v>0.32500000000000001</v>
      </c>
      <c r="Y43" s="26">
        <f t="shared" si="15"/>
        <v>0.33</v>
      </c>
      <c r="Z43" s="26">
        <f t="shared" si="15"/>
        <v>0.33500000000000002</v>
      </c>
      <c r="AA43" s="26">
        <f t="shared" si="15"/>
        <v>0.34</v>
      </c>
      <c r="AB43" s="26">
        <f t="shared" si="15"/>
        <v>0.34499999999999997</v>
      </c>
      <c r="AC43" s="26">
        <f t="shared" si="15"/>
        <v>0.35</v>
      </c>
      <c r="AD43" s="26">
        <f t="shared" si="15"/>
        <v>0.35499999999999998</v>
      </c>
      <c r="AE43" s="26">
        <f t="shared" si="15"/>
        <v>0.36</v>
      </c>
      <c r="AF43" s="26">
        <f t="shared" si="15"/>
        <v>0.36499999999999999</v>
      </c>
      <c r="AG43" s="26">
        <f t="shared" si="15"/>
        <v>0.37</v>
      </c>
      <c r="AH43" s="26">
        <f t="shared" si="16"/>
        <v>0.375</v>
      </c>
      <c r="AI43" s="26">
        <f t="shared" si="16"/>
        <v>0.38</v>
      </c>
      <c r="AJ43" s="26">
        <f t="shared" si="16"/>
        <v>0.38500000000000001</v>
      </c>
      <c r="AK43" s="26">
        <f t="shared" si="16"/>
        <v>0.39</v>
      </c>
      <c r="AL43" s="26">
        <f t="shared" si="16"/>
        <v>0.39500000000000002</v>
      </c>
      <c r="AM43" s="26">
        <f t="shared" si="16"/>
        <v>0.4</v>
      </c>
      <c r="AN43" s="26">
        <f t="shared" si="16"/>
        <v>0.40500000000000003</v>
      </c>
      <c r="AO43" s="26">
        <f t="shared" si="16"/>
        <v>0.41</v>
      </c>
      <c r="AP43" s="26">
        <f t="shared" si="16"/>
        <v>0.41499999999999998</v>
      </c>
      <c r="AQ43" s="26">
        <f t="shared" si="16"/>
        <v>0.42</v>
      </c>
      <c r="AR43" s="26">
        <f t="shared" si="16"/>
        <v>0.42499999999999999</v>
      </c>
      <c r="AS43" s="26">
        <f t="shared" si="16"/>
        <v>0.43</v>
      </c>
      <c r="AT43" s="26">
        <f t="shared" si="16"/>
        <v>0.435</v>
      </c>
      <c r="AU43" s="26">
        <f t="shared" si="16"/>
        <v>0.44</v>
      </c>
      <c r="AV43" s="26">
        <f t="shared" si="16"/>
        <v>0.44500000000000001</v>
      </c>
      <c r="AW43" s="26">
        <f t="shared" si="16"/>
        <v>0.45</v>
      </c>
      <c r="AX43" s="26">
        <f t="shared" si="17"/>
        <v>0.45500000000000002</v>
      </c>
      <c r="AY43" s="26">
        <f t="shared" si="17"/>
        <v>0.46</v>
      </c>
      <c r="AZ43" s="26">
        <f t="shared" si="17"/>
        <v>0.46500000000000002</v>
      </c>
      <c r="BA43" s="26">
        <f t="shared" si="17"/>
        <v>0.47</v>
      </c>
      <c r="BB43" s="26">
        <f t="shared" si="17"/>
        <v>0.47499999999999998</v>
      </c>
      <c r="BC43" s="26">
        <f t="shared" si="17"/>
        <v>0.48</v>
      </c>
      <c r="BD43" s="26">
        <f t="shared" si="17"/>
        <v>0.48499999999999999</v>
      </c>
      <c r="BE43" s="26">
        <f t="shared" si="17"/>
        <v>0.49</v>
      </c>
      <c r="BF43" s="26">
        <f t="shared" si="17"/>
        <v>0.495</v>
      </c>
      <c r="BG43" s="26">
        <f t="shared" si="17"/>
        <v>0.5</v>
      </c>
      <c r="BH43" s="26">
        <f t="shared" si="17"/>
        <v>0.505</v>
      </c>
      <c r="BI43" s="26">
        <f t="shared" si="17"/>
        <v>0.51</v>
      </c>
      <c r="BJ43" s="26">
        <f t="shared" si="17"/>
        <v>0.51500000000000001</v>
      </c>
      <c r="BK43" s="26">
        <f t="shared" si="17"/>
        <v>0.52</v>
      </c>
      <c r="BL43" s="26">
        <f t="shared" si="17"/>
        <v>0.52500000000000002</v>
      </c>
      <c r="BM43" s="26">
        <f t="shared" si="17"/>
        <v>0.53</v>
      </c>
      <c r="BN43" s="26">
        <f t="shared" si="18"/>
        <v>0.53500000000000003</v>
      </c>
      <c r="BO43" s="26">
        <f t="shared" si="18"/>
        <v>0.54</v>
      </c>
      <c r="BP43" s="26">
        <f t="shared" si="18"/>
        <v>0.54500000000000004</v>
      </c>
      <c r="BQ43" s="26">
        <f t="shared" si="18"/>
        <v>0.55000000000000004</v>
      </c>
      <c r="BR43" s="26">
        <f t="shared" si="18"/>
        <v>0.55500000000000005</v>
      </c>
      <c r="BS43" s="26">
        <f t="shared" si="18"/>
        <v>0.56000000000000005</v>
      </c>
      <c r="BT43" s="26">
        <f t="shared" si="18"/>
        <v>0.56499999999999995</v>
      </c>
      <c r="BU43" s="26">
        <f t="shared" si="18"/>
        <v>0.56999999999999995</v>
      </c>
      <c r="BV43" s="26">
        <f t="shared" si="18"/>
        <v>0.57499999999999996</v>
      </c>
      <c r="BW43" s="26">
        <f t="shared" si="18"/>
        <v>0.57999999999999996</v>
      </c>
      <c r="BX43" s="26">
        <f t="shared" si="18"/>
        <v>0.58499999999999996</v>
      </c>
      <c r="BY43" s="26">
        <f t="shared" si="18"/>
        <v>0.59</v>
      </c>
      <c r="BZ43" s="26">
        <f t="shared" si="18"/>
        <v>0.59499999999999997</v>
      </c>
      <c r="CA43" s="26">
        <f t="shared" si="18"/>
        <v>0.6</v>
      </c>
      <c r="CB43" s="26">
        <f t="shared" si="18"/>
        <v>0.60499999999999998</v>
      </c>
      <c r="CC43" s="26">
        <f t="shared" si="18"/>
        <v>0.61</v>
      </c>
      <c r="CD43" s="26">
        <f t="shared" si="19"/>
        <v>0.61499999999999999</v>
      </c>
      <c r="CE43" s="26">
        <f t="shared" si="19"/>
        <v>0.62</v>
      </c>
      <c r="CF43" s="26">
        <f t="shared" si="19"/>
        <v>0.625</v>
      </c>
      <c r="CG43" s="26">
        <f t="shared" si="19"/>
        <v>0.63</v>
      </c>
      <c r="CH43" s="26">
        <f t="shared" si="19"/>
        <v>0.63500000000000001</v>
      </c>
      <c r="CI43" s="26">
        <f t="shared" si="19"/>
        <v>0.64</v>
      </c>
      <c r="CJ43" s="26">
        <f t="shared" si="19"/>
        <v>0.64500000000000002</v>
      </c>
      <c r="CK43" s="26">
        <f t="shared" si="19"/>
        <v>0.65</v>
      </c>
      <c r="CL43" s="26">
        <f t="shared" si="19"/>
        <v>0.65500000000000003</v>
      </c>
      <c r="CM43" s="26">
        <f t="shared" si="19"/>
        <v>0.66</v>
      </c>
      <c r="CN43" s="26">
        <f t="shared" si="19"/>
        <v>0.66500000000000004</v>
      </c>
      <c r="CO43" s="26">
        <f t="shared" si="19"/>
        <v>0.67</v>
      </c>
      <c r="CP43" s="26">
        <f t="shared" si="19"/>
        <v>0.67500000000000004</v>
      </c>
      <c r="CQ43" s="26">
        <f t="shared" si="19"/>
        <v>0.68</v>
      </c>
      <c r="CR43" s="26">
        <f t="shared" si="19"/>
        <v>0.68500000000000005</v>
      </c>
      <c r="CS43" s="26">
        <f t="shared" si="19"/>
        <v>0.69</v>
      </c>
      <c r="CT43" s="26">
        <f t="shared" si="22"/>
        <v>0.69499999999999995</v>
      </c>
      <c r="CU43" s="26">
        <f t="shared" si="22"/>
        <v>0.7</v>
      </c>
      <c r="CV43" s="26">
        <f t="shared" si="22"/>
        <v>0.70499999999999996</v>
      </c>
      <c r="CW43" s="26">
        <f t="shared" si="22"/>
        <v>0.71</v>
      </c>
    </row>
    <row r="44" spans="2:101" ht="20.100000000000001" customHeight="1">
      <c r="B44" s="26">
        <f t="shared" si="21"/>
        <v>0.22</v>
      </c>
      <c r="C44" s="26">
        <f t="shared" si="21"/>
        <v>0.22500000000000001</v>
      </c>
      <c r="D44" s="26">
        <f t="shared" si="21"/>
        <v>0.23</v>
      </c>
      <c r="E44" s="26">
        <f t="shared" si="21"/>
        <v>0.23499999999999999</v>
      </c>
      <c r="F44" s="26">
        <f t="shared" si="21"/>
        <v>0.24</v>
      </c>
      <c r="G44" s="26">
        <f t="shared" si="21"/>
        <v>0.245</v>
      </c>
      <c r="H44" s="26">
        <f t="shared" si="21"/>
        <v>0.25</v>
      </c>
      <c r="I44" s="26">
        <f t="shared" si="21"/>
        <v>0.255</v>
      </c>
      <c r="J44" s="26">
        <f t="shared" si="21"/>
        <v>0.26</v>
      </c>
      <c r="K44" s="26">
        <f t="shared" si="21"/>
        <v>0.26500000000000001</v>
      </c>
      <c r="L44" s="26">
        <f t="shared" si="21"/>
        <v>0.27</v>
      </c>
      <c r="M44" s="26">
        <f t="shared" si="21"/>
        <v>0.27500000000000002</v>
      </c>
      <c r="N44" s="26">
        <f t="shared" si="21"/>
        <v>0.28000000000000003</v>
      </c>
      <c r="O44" s="26">
        <f t="shared" si="21"/>
        <v>0.28499999999999998</v>
      </c>
      <c r="P44" s="26">
        <f t="shared" si="21"/>
        <v>0.28999999999999998</v>
      </c>
      <c r="Q44" s="26">
        <f t="shared" si="20"/>
        <v>0.29499999999999998</v>
      </c>
      <c r="R44" s="26">
        <f t="shared" si="15"/>
        <v>0.3</v>
      </c>
      <c r="S44" s="26">
        <f t="shared" si="15"/>
        <v>0.30499999999999999</v>
      </c>
      <c r="T44" s="26">
        <f t="shared" si="15"/>
        <v>0.31</v>
      </c>
      <c r="U44" s="26">
        <f t="shared" si="15"/>
        <v>0.315</v>
      </c>
      <c r="V44" s="26">
        <f t="shared" si="15"/>
        <v>0.32</v>
      </c>
      <c r="W44" s="26">
        <f t="shared" si="15"/>
        <v>0.32500000000000001</v>
      </c>
      <c r="X44" s="26">
        <f t="shared" si="15"/>
        <v>0.33</v>
      </c>
      <c r="Y44" s="26">
        <f t="shared" si="15"/>
        <v>0.33500000000000002</v>
      </c>
      <c r="Z44" s="26">
        <f t="shared" si="15"/>
        <v>0.34</v>
      </c>
      <c r="AA44" s="26">
        <f t="shared" si="15"/>
        <v>0.34499999999999997</v>
      </c>
      <c r="AB44" s="26">
        <f t="shared" si="15"/>
        <v>0.35</v>
      </c>
      <c r="AC44" s="26">
        <f t="shared" si="15"/>
        <v>0.35499999999999998</v>
      </c>
      <c r="AD44" s="26">
        <f t="shared" si="15"/>
        <v>0.36</v>
      </c>
      <c r="AE44" s="26">
        <f t="shared" si="15"/>
        <v>0.36499999999999999</v>
      </c>
      <c r="AF44" s="26">
        <f t="shared" si="15"/>
        <v>0.37</v>
      </c>
      <c r="AG44" s="26">
        <f t="shared" si="15"/>
        <v>0.375</v>
      </c>
      <c r="AH44" s="26">
        <f t="shared" si="16"/>
        <v>0.38</v>
      </c>
      <c r="AI44" s="26">
        <f t="shared" si="16"/>
        <v>0.38500000000000001</v>
      </c>
      <c r="AJ44" s="26">
        <f t="shared" si="16"/>
        <v>0.39</v>
      </c>
      <c r="AK44" s="26">
        <f t="shared" si="16"/>
        <v>0.39500000000000002</v>
      </c>
      <c r="AL44" s="26">
        <f t="shared" si="16"/>
        <v>0.4</v>
      </c>
      <c r="AM44" s="26">
        <f t="shared" si="16"/>
        <v>0.40500000000000003</v>
      </c>
      <c r="AN44" s="26">
        <f t="shared" si="16"/>
        <v>0.41</v>
      </c>
      <c r="AO44" s="26">
        <f t="shared" si="16"/>
        <v>0.41499999999999998</v>
      </c>
      <c r="AP44" s="26">
        <f t="shared" si="16"/>
        <v>0.42</v>
      </c>
      <c r="AQ44" s="26">
        <f t="shared" si="16"/>
        <v>0.42499999999999999</v>
      </c>
      <c r="AR44" s="26">
        <f t="shared" si="16"/>
        <v>0.43</v>
      </c>
      <c r="AS44" s="26">
        <f t="shared" si="16"/>
        <v>0.435</v>
      </c>
      <c r="AT44" s="26">
        <f t="shared" si="16"/>
        <v>0.44</v>
      </c>
      <c r="AU44" s="26">
        <f t="shared" si="16"/>
        <v>0.44500000000000001</v>
      </c>
      <c r="AV44" s="26">
        <f t="shared" si="16"/>
        <v>0.45</v>
      </c>
      <c r="AW44" s="26">
        <f t="shared" si="16"/>
        <v>0.45500000000000002</v>
      </c>
      <c r="AX44" s="26">
        <f t="shared" si="17"/>
        <v>0.46</v>
      </c>
      <c r="AY44" s="26">
        <f t="shared" si="17"/>
        <v>0.46500000000000002</v>
      </c>
      <c r="AZ44" s="26">
        <f t="shared" si="17"/>
        <v>0.47</v>
      </c>
      <c r="BA44" s="26">
        <f t="shared" si="17"/>
        <v>0.47499999999999998</v>
      </c>
      <c r="BB44" s="26">
        <f t="shared" si="17"/>
        <v>0.48</v>
      </c>
      <c r="BC44" s="26">
        <f t="shared" si="17"/>
        <v>0.48499999999999999</v>
      </c>
      <c r="BD44" s="26">
        <f t="shared" si="17"/>
        <v>0.49</v>
      </c>
      <c r="BE44" s="26">
        <f t="shared" si="17"/>
        <v>0.495</v>
      </c>
      <c r="BF44" s="26">
        <f t="shared" si="17"/>
        <v>0.5</v>
      </c>
      <c r="BG44" s="26">
        <f t="shared" si="17"/>
        <v>0.505</v>
      </c>
      <c r="BH44" s="26">
        <f t="shared" si="17"/>
        <v>0.51</v>
      </c>
      <c r="BI44" s="26">
        <f t="shared" si="17"/>
        <v>0.51500000000000001</v>
      </c>
      <c r="BJ44" s="26">
        <f t="shared" si="17"/>
        <v>0.52</v>
      </c>
      <c r="BK44" s="26">
        <f t="shared" si="17"/>
        <v>0.52500000000000002</v>
      </c>
      <c r="BL44" s="26">
        <f t="shared" si="17"/>
        <v>0.53</v>
      </c>
      <c r="BM44" s="26">
        <f t="shared" si="17"/>
        <v>0.53500000000000003</v>
      </c>
      <c r="BN44" s="26">
        <f t="shared" si="18"/>
        <v>0.54</v>
      </c>
      <c r="BO44" s="26">
        <f t="shared" si="18"/>
        <v>0.54500000000000004</v>
      </c>
      <c r="BP44" s="26">
        <f t="shared" si="18"/>
        <v>0.55000000000000004</v>
      </c>
      <c r="BQ44" s="26">
        <f t="shared" si="18"/>
        <v>0.55500000000000005</v>
      </c>
      <c r="BR44" s="26">
        <f t="shared" si="18"/>
        <v>0.56000000000000005</v>
      </c>
      <c r="BS44" s="26">
        <f t="shared" si="18"/>
        <v>0.56499999999999995</v>
      </c>
      <c r="BT44" s="26">
        <f t="shared" si="18"/>
        <v>0.56999999999999995</v>
      </c>
      <c r="BU44" s="26">
        <f t="shared" si="18"/>
        <v>0.57499999999999996</v>
      </c>
      <c r="BV44" s="26">
        <f t="shared" si="18"/>
        <v>0.57999999999999996</v>
      </c>
      <c r="BW44" s="26">
        <f t="shared" si="18"/>
        <v>0.58499999999999996</v>
      </c>
      <c r="BX44" s="26">
        <f t="shared" si="18"/>
        <v>0.59</v>
      </c>
      <c r="BY44" s="26">
        <f t="shared" si="18"/>
        <v>0.59499999999999997</v>
      </c>
      <c r="BZ44" s="26">
        <f t="shared" si="18"/>
        <v>0.6</v>
      </c>
      <c r="CA44" s="26">
        <f t="shared" si="18"/>
        <v>0.60499999999999998</v>
      </c>
      <c r="CB44" s="26">
        <f t="shared" si="18"/>
        <v>0.61</v>
      </c>
      <c r="CC44" s="26">
        <f t="shared" si="18"/>
        <v>0.61499999999999999</v>
      </c>
      <c r="CD44" s="26">
        <f t="shared" si="19"/>
        <v>0.62</v>
      </c>
      <c r="CE44" s="26">
        <f t="shared" si="19"/>
        <v>0.625</v>
      </c>
      <c r="CF44" s="26">
        <f t="shared" si="19"/>
        <v>0.63</v>
      </c>
      <c r="CG44" s="26">
        <f t="shared" si="19"/>
        <v>0.63500000000000001</v>
      </c>
      <c r="CH44" s="26">
        <f t="shared" si="19"/>
        <v>0.64</v>
      </c>
      <c r="CI44" s="26">
        <f t="shared" si="19"/>
        <v>0.64500000000000002</v>
      </c>
      <c r="CJ44" s="26">
        <f t="shared" si="19"/>
        <v>0.65</v>
      </c>
      <c r="CK44" s="26">
        <f t="shared" si="19"/>
        <v>0.65500000000000003</v>
      </c>
      <c r="CL44" s="26">
        <f t="shared" si="19"/>
        <v>0.66</v>
      </c>
      <c r="CM44" s="26">
        <f t="shared" si="19"/>
        <v>0.66500000000000004</v>
      </c>
      <c r="CN44" s="26">
        <f t="shared" si="19"/>
        <v>0.67</v>
      </c>
      <c r="CO44" s="26">
        <f t="shared" si="19"/>
        <v>0.67500000000000004</v>
      </c>
      <c r="CP44" s="26">
        <f t="shared" si="19"/>
        <v>0.68</v>
      </c>
      <c r="CQ44" s="26">
        <f t="shared" si="19"/>
        <v>0.68500000000000005</v>
      </c>
      <c r="CR44" s="26">
        <f t="shared" si="19"/>
        <v>0.69</v>
      </c>
      <c r="CS44" s="26">
        <f t="shared" si="19"/>
        <v>0.69499999999999995</v>
      </c>
      <c r="CT44" s="26">
        <f t="shared" si="22"/>
        <v>0.7</v>
      </c>
      <c r="CU44" s="26">
        <f t="shared" si="22"/>
        <v>0.70499999999999996</v>
      </c>
      <c r="CV44" s="26">
        <f t="shared" si="22"/>
        <v>0.71</v>
      </c>
      <c r="CW44" s="26">
        <f t="shared" si="22"/>
        <v>0.71499999999999997</v>
      </c>
    </row>
    <row r="45" spans="2:101" ht="20.100000000000001" customHeight="1">
      <c r="B45" s="26">
        <f t="shared" si="21"/>
        <v>0.22500000000000001</v>
      </c>
      <c r="C45" s="26">
        <f t="shared" si="21"/>
        <v>0.23</v>
      </c>
      <c r="D45" s="26">
        <f t="shared" si="21"/>
        <v>0.23499999999999999</v>
      </c>
      <c r="E45" s="26">
        <f t="shared" si="21"/>
        <v>0.24</v>
      </c>
      <c r="F45" s="26">
        <f t="shared" si="21"/>
        <v>0.245</v>
      </c>
      <c r="G45" s="26">
        <f t="shared" si="21"/>
        <v>0.25</v>
      </c>
      <c r="H45" s="26">
        <f t="shared" si="21"/>
        <v>0.255</v>
      </c>
      <c r="I45" s="26">
        <f t="shared" si="21"/>
        <v>0.26</v>
      </c>
      <c r="J45" s="26">
        <f t="shared" si="21"/>
        <v>0.26500000000000001</v>
      </c>
      <c r="K45" s="26">
        <f t="shared" si="21"/>
        <v>0.27</v>
      </c>
      <c r="L45" s="26">
        <f t="shared" si="21"/>
        <v>0.27500000000000002</v>
      </c>
      <c r="M45" s="26">
        <f t="shared" si="21"/>
        <v>0.28000000000000003</v>
      </c>
      <c r="N45" s="26">
        <f t="shared" si="21"/>
        <v>0.28499999999999998</v>
      </c>
      <c r="O45" s="26">
        <f t="shared" si="21"/>
        <v>0.28999999999999998</v>
      </c>
      <c r="P45" s="26">
        <f t="shared" si="21"/>
        <v>0.29499999999999998</v>
      </c>
      <c r="Q45" s="26">
        <f t="shared" si="20"/>
        <v>0.3</v>
      </c>
      <c r="R45" s="26">
        <f t="shared" si="15"/>
        <v>0.30499999999999999</v>
      </c>
      <c r="S45" s="26">
        <f t="shared" si="15"/>
        <v>0.31</v>
      </c>
      <c r="T45" s="26">
        <f t="shared" si="15"/>
        <v>0.315</v>
      </c>
      <c r="U45" s="26">
        <f t="shared" si="15"/>
        <v>0.32</v>
      </c>
      <c r="V45" s="26">
        <f t="shared" si="15"/>
        <v>0.32500000000000001</v>
      </c>
      <c r="W45" s="26">
        <f t="shared" si="15"/>
        <v>0.33</v>
      </c>
      <c r="X45" s="26">
        <f t="shared" si="15"/>
        <v>0.33500000000000002</v>
      </c>
      <c r="Y45" s="26">
        <f t="shared" si="15"/>
        <v>0.34</v>
      </c>
      <c r="Z45" s="26">
        <f t="shared" si="15"/>
        <v>0.34499999999999997</v>
      </c>
      <c r="AA45" s="26">
        <f t="shared" si="15"/>
        <v>0.35</v>
      </c>
      <c r="AB45" s="26">
        <f t="shared" si="15"/>
        <v>0.35499999999999998</v>
      </c>
      <c r="AC45" s="26">
        <f t="shared" si="15"/>
        <v>0.36</v>
      </c>
      <c r="AD45" s="26">
        <f t="shared" si="15"/>
        <v>0.36499999999999999</v>
      </c>
      <c r="AE45" s="26">
        <f t="shared" si="15"/>
        <v>0.37</v>
      </c>
      <c r="AF45" s="26">
        <f t="shared" si="15"/>
        <v>0.375</v>
      </c>
      <c r="AG45" s="26">
        <f t="shared" si="15"/>
        <v>0.38</v>
      </c>
      <c r="AH45" s="26">
        <f t="shared" si="16"/>
        <v>0.38500000000000001</v>
      </c>
      <c r="AI45" s="26">
        <f t="shared" si="16"/>
        <v>0.39</v>
      </c>
      <c r="AJ45" s="26">
        <f t="shared" si="16"/>
        <v>0.39500000000000002</v>
      </c>
      <c r="AK45" s="26">
        <f t="shared" si="16"/>
        <v>0.4</v>
      </c>
      <c r="AL45" s="26">
        <f t="shared" si="16"/>
        <v>0.40500000000000003</v>
      </c>
      <c r="AM45" s="26">
        <f t="shared" si="16"/>
        <v>0.41</v>
      </c>
      <c r="AN45" s="26">
        <f t="shared" si="16"/>
        <v>0.41499999999999998</v>
      </c>
      <c r="AO45" s="26">
        <f t="shared" si="16"/>
        <v>0.42</v>
      </c>
      <c r="AP45" s="26">
        <f t="shared" si="16"/>
        <v>0.42499999999999999</v>
      </c>
      <c r="AQ45" s="26">
        <f t="shared" si="16"/>
        <v>0.43</v>
      </c>
      <c r="AR45" s="26">
        <f t="shared" si="16"/>
        <v>0.435</v>
      </c>
      <c r="AS45" s="26">
        <f t="shared" si="16"/>
        <v>0.44</v>
      </c>
      <c r="AT45" s="26">
        <f t="shared" si="16"/>
        <v>0.44500000000000001</v>
      </c>
      <c r="AU45" s="26">
        <f t="shared" si="16"/>
        <v>0.45</v>
      </c>
      <c r="AV45" s="26">
        <f t="shared" si="16"/>
        <v>0.45500000000000002</v>
      </c>
      <c r="AW45" s="26">
        <f t="shared" si="16"/>
        <v>0.46</v>
      </c>
      <c r="AX45" s="26">
        <f t="shared" si="17"/>
        <v>0.46500000000000002</v>
      </c>
      <c r="AY45" s="26">
        <f t="shared" si="17"/>
        <v>0.47</v>
      </c>
      <c r="AZ45" s="26">
        <f t="shared" si="17"/>
        <v>0.47499999999999998</v>
      </c>
      <c r="BA45" s="26">
        <f t="shared" si="17"/>
        <v>0.48</v>
      </c>
      <c r="BB45" s="26">
        <f t="shared" si="17"/>
        <v>0.48499999999999999</v>
      </c>
      <c r="BC45" s="26">
        <f t="shared" si="17"/>
        <v>0.49</v>
      </c>
      <c r="BD45" s="26">
        <f t="shared" si="17"/>
        <v>0.495</v>
      </c>
      <c r="BE45" s="26">
        <f t="shared" si="17"/>
        <v>0.5</v>
      </c>
      <c r="BF45" s="26">
        <f t="shared" si="17"/>
        <v>0.505</v>
      </c>
      <c r="BG45" s="26">
        <f t="shared" si="17"/>
        <v>0.51</v>
      </c>
      <c r="BH45" s="26">
        <f t="shared" si="17"/>
        <v>0.51500000000000001</v>
      </c>
      <c r="BI45" s="26">
        <f t="shared" si="17"/>
        <v>0.52</v>
      </c>
      <c r="BJ45" s="26">
        <f t="shared" si="17"/>
        <v>0.52500000000000002</v>
      </c>
      <c r="BK45" s="26">
        <f t="shared" si="17"/>
        <v>0.53</v>
      </c>
      <c r="BL45" s="26">
        <f t="shared" si="17"/>
        <v>0.53500000000000003</v>
      </c>
      <c r="BM45" s="26">
        <f t="shared" si="17"/>
        <v>0.54</v>
      </c>
      <c r="BN45" s="26">
        <f t="shared" si="18"/>
        <v>0.54500000000000004</v>
      </c>
      <c r="BO45" s="26">
        <f t="shared" si="18"/>
        <v>0.55000000000000004</v>
      </c>
      <c r="BP45" s="26">
        <f t="shared" si="18"/>
        <v>0.55500000000000005</v>
      </c>
      <c r="BQ45" s="26">
        <f t="shared" si="18"/>
        <v>0.56000000000000005</v>
      </c>
      <c r="BR45" s="26">
        <f t="shared" si="18"/>
        <v>0.56499999999999995</v>
      </c>
      <c r="BS45" s="26">
        <f t="shared" si="18"/>
        <v>0.56999999999999995</v>
      </c>
      <c r="BT45" s="26">
        <f t="shared" si="18"/>
        <v>0.57499999999999996</v>
      </c>
      <c r="BU45" s="26">
        <f t="shared" si="18"/>
        <v>0.57999999999999996</v>
      </c>
      <c r="BV45" s="26">
        <f t="shared" si="18"/>
        <v>0.58499999999999996</v>
      </c>
      <c r="BW45" s="26">
        <f t="shared" si="18"/>
        <v>0.59</v>
      </c>
      <c r="BX45" s="26">
        <f t="shared" si="18"/>
        <v>0.59499999999999997</v>
      </c>
      <c r="BY45" s="26">
        <f t="shared" si="18"/>
        <v>0.6</v>
      </c>
      <c r="BZ45" s="26">
        <f t="shared" si="18"/>
        <v>0.60499999999999998</v>
      </c>
      <c r="CA45" s="26">
        <f t="shared" si="18"/>
        <v>0.61</v>
      </c>
      <c r="CB45" s="26">
        <f t="shared" si="18"/>
        <v>0.61499999999999999</v>
      </c>
      <c r="CC45" s="26">
        <f t="shared" si="18"/>
        <v>0.62</v>
      </c>
      <c r="CD45" s="26">
        <f t="shared" si="19"/>
        <v>0.625</v>
      </c>
      <c r="CE45" s="26">
        <f t="shared" si="19"/>
        <v>0.63</v>
      </c>
      <c r="CF45" s="26">
        <f t="shared" si="19"/>
        <v>0.63500000000000001</v>
      </c>
      <c r="CG45" s="26">
        <f t="shared" si="19"/>
        <v>0.64</v>
      </c>
      <c r="CH45" s="26">
        <f t="shared" si="19"/>
        <v>0.64500000000000002</v>
      </c>
      <c r="CI45" s="26">
        <f t="shared" si="19"/>
        <v>0.65</v>
      </c>
      <c r="CJ45" s="26">
        <f t="shared" si="19"/>
        <v>0.65500000000000003</v>
      </c>
      <c r="CK45" s="26">
        <f t="shared" si="19"/>
        <v>0.66</v>
      </c>
      <c r="CL45" s="26">
        <f t="shared" si="19"/>
        <v>0.66500000000000004</v>
      </c>
      <c r="CM45" s="26">
        <f t="shared" si="19"/>
        <v>0.67</v>
      </c>
      <c r="CN45" s="26">
        <f t="shared" si="19"/>
        <v>0.67500000000000004</v>
      </c>
      <c r="CO45" s="26">
        <f t="shared" si="19"/>
        <v>0.68</v>
      </c>
      <c r="CP45" s="26">
        <f t="shared" si="19"/>
        <v>0.68500000000000005</v>
      </c>
      <c r="CQ45" s="26">
        <f t="shared" si="19"/>
        <v>0.69</v>
      </c>
      <c r="CR45" s="26">
        <f t="shared" si="19"/>
        <v>0.69499999999999995</v>
      </c>
      <c r="CS45" s="26">
        <f t="shared" si="19"/>
        <v>0.7</v>
      </c>
      <c r="CT45" s="26">
        <f t="shared" si="22"/>
        <v>0.70499999999999996</v>
      </c>
      <c r="CU45" s="26">
        <f t="shared" si="22"/>
        <v>0.71</v>
      </c>
      <c r="CV45" s="26">
        <f t="shared" si="22"/>
        <v>0.71499999999999997</v>
      </c>
      <c r="CW45" s="26">
        <f t="shared" si="22"/>
        <v>0.72</v>
      </c>
    </row>
    <row r="46" spans="2:101" ht="20.100000000000001" customHeight="1">
      <c r="B46" s="26">
        <f t="shared" si="21"/>
        <v>0.23</v>
      </c>
      <c r="C46" s="26">
        <f t="shared" si="21"/>
        <v>0.23499999999999999</v>
      </c>
      <c r="D46" s="26">
        <f t="shared" si="21"/>
        <v>0.24</v>
      </c>
      <c r="E46" s="26">
        <f t="shared" si="21"/>
        <v>0.245</v>
      </c>
      <c r="F46" s="26">
        <f t="shared" si="21"/>
        <v>0.25</v>
      </c>
      <c r="G46" s="26">
        <f t="shared" si="21"/>
        <v>0.255</v>
      </c>
      <c r="H46" s="26">
        <f t="shared" si="21"/>
        <v>0.26</v>
      </c>
      <c r="I46" s="26">
        <f t="shared" si="21"/>
        <v>0.26500000000000001</v>
      </c>
      <c r="J46" s="26">
        <f t="shared" si="21"/>
        <v>0.27</v>
      </c>
      <c r="K46" s="26">
        <f t="shared" si="21"/>
        <v>0.27500000000000002</v>
      </c>
      <c r="L46" s="26">
        <f t="shared" si="21"/>
        <v>0.28000000000000003</v>
      </c>
      <c r="M46" s="26">
        <f t="shared" si="21"/>
        <v>0.28499999999999998</v>
      </c>
      <c r="N46" s="26">
        <f t="shared" si="21"/>
        <v>0.28999999999999998</v>
      </c>
      <c r="O46" s="26">
        <f t="shared" si="21"/>
        <v>0.29499999999999998</v>
      </c>
      <c r="P46" s="26">
        <f t="shared" si="21"/>
        <v>0.3</v>
      </c>
      <c r="Q46" s="26">
        <f t="shared" si="20"/>
        <v>0.30499999999999999</v>
      </c>
      <c r="R46" s="26">
        <f t="shared" si="15"/>
        <v>0.31</v>
      </c>
      <c r="S46" s="26">
        <f t="shared" si="15"/>
        <v>0.315</v>
      </c>
      <c r="T46" s="26">
        <f t="shared" si="15"/>
        <v>0.32</v>
      </c>
      <c r="U46" s="26">
        <f t="shared" si="15"/>
        <v>0.32500000000000001</v>
      </c>
      <c r="V46" s="26">
        <f t="shared" si="15"/>
        <v>0.33</v>
      </c>
      <c r="W46" s="26">
        <f t="shared" si="15"/>
        <v>0.33500000000000002</v>
      </c>
      <c r="X46" s="26">
        <f t="shared" si="15"/>
        <v>0.34</v>
      </c>
      <c r="Y46" s="26">
        <f t="shared" si="15"/>
        <v>0.34499999999999997</v>
      </c>
      <c r="Z46" s="26">
        <f t="shared" si="15"/>
        <v>0.35</v>
      </c>
      <c r="AA46" s="26">
        <f t="shared" si="15"/>
        <v>0.35499999999999998</v>
      </c>
      <c r="AB46" s="26">
        <f t="shared" si="15"/>
        <v>0.36</v>
      </c>
      <c r="AC46" s="26">
        <f t="shared" si="15"/>
        <v>0.36499999999999999</v>
      </c>
      <c r="AD46" s="26">
        <f t="shared" si="15"/>
        <v>0.37</v>
      </c>
      <c r="AE46" s="26">
        <f t="shared" si="15"/>
        <v>0.375</v>
      </c>
      <c r="AF46" s="26">
        <f t="shared" si="15"/>
        <v>0.38</v>
      </c>
      <c r="AG46" s="26">
        <f t="shared" si="15"/>
        <v>0.38500000000000001</v>
      </c>
      <c r="AH46" s="26">
        <f t="shared" si="16"/>
        <v>0.39</v>
      </c>
      <c r="AI46" s="26">
        <f t="shared" si="16"/>
        <v>0.39500000000000002</v>
      </c>
      <c r="AJ46" s="26">
        <f t="shared" si="16"/>
        <v>0.4</v>
      </c>
      <c r="AK46" s="26">
        <f t="shared" si="16"/>
        <v>0.40500000000000003</v>
      </c>
      <c r="AL46" s="26">
        <f t="shared" si="16"/>
        <v>0.41</v>
      </c>
      <c r="AM46" s="26">
        <f t="shared" si="16"/>
        <v>0.41499999999999998</v>
      </c>
      <c r="AN46" s="26">
        <f t="shared" si="16"/>
        <v>0.42</v>
      </c>
      <c r="AO46" s="26">
        <f t="shared" si="16"/>
        <v>0.42499999999999999</v>
      </c>
      <c r="AP46" s="26">
        <f t="shared" si="16"/>
        <v>0.43</v>
      </c>
      <c r="AQ46" s="26">
        <f t="shared" si="16"/>
        <v>0.435</v>
      </c>
      <c r="AR46" s="26">
        <f t="shared" si="16"/>
        <v>0.44</v>
      </c>
      <c r="AS46" s="26">
        <f t="shared" si="16"/>
        <v>0.44500000000000001</v>
      </c>
      <c r="AT46" s="26">
        <f t="shared" si="16"/>
        <v>0.45</v>
      </c>
      <c r="AU46" s="26">
        <f t="shared" si="16"/>
        <v>0.45500000000000002</v>
      </c>
      <c r="AV46" s="26">
        <f t="shared" si="16"/>
        <v>0.46</v>
      </c>
      <c r="AW46" s="26">
        <f t="shared" si="16"/>
        <v>0.46500000000000002</v>
      </c>
      <c r="AX46" s="26">
        <f t="shared" si="17"/>
        <v>0.47</v>
      </c>
      <c r="AY46" s="26">
        <f t="shared" si="17"/>
        <v>0.47499999999999998</v>
      </c>
      <c r="AZ46" s="26">
        <f t="shared" si="17"/>
        <v>0.48</v>
      </c>
      <c r="BA46" s="26">
        <f t="shared" si="17"/>
        <v>0.48499999999999999</v>
      </c>
      <c r="BB46" s="26">
        <f t="shared" si="17"/>
        <v>0.49</v>
      </c>
      <c r="BC46" s="26">
        <f t="shared" si="17"/>
        <v>0.495</v>
      </c>
      <c r="BD46" s="26">
        <f t="shared" si="17"/>
        <v>0.5</v>
      </c>
      <c r="BE46" s="26">
        <f t="shared" si="17"/>
        <v>0.505</v>
      </c>
      <c r="BF46" s="26">
        <f t="shared" si="17"/>
        <v>0.51</v>
      </c>
      <c r="BG46" s="26">
        <f t="shared" si="17"/>
        <v>0.51500000000000001</v>
      </c>
      <c r="BH46" s="26">
        <f t="shared" si="17"/>
        <v>0.52</v>
      </c>
      <c r="BI46" s="26">
        <f t="shared" si="17"/>
        <v>0.52500000000000002</v>
      </c>
      <c r="BJ46" s="26">
        <f t="shared" si="17"/>
        <v>0.53</v>
      </c>
      <c r="BK46" s="26">
        <f t="shared" si="17"/>
        <v>0.53500000000000003</v>
      </c>
      <c r="BL46" s="26">
        <f t="shared" si="17"/>
        <v>0.54</v>
      </c>
      <c r="BM46" s="26">
        <f t="shared" si="17"/>
        <v>0.54500000000000004</v>
      </c>
      <c r="BN46" s="26">
        <f t="shared" si="18"/>
        <v>0.55000000000000004</v>
      </c>
      <c r="BO46" s="26">
        <f t="shared" si="18"/>
        <v>0.55500000000000005</v>
      </c>
      <c r="BP46" s="26">
        <f t="shared" si="18"/>
        <v>0.56000000000000005</v>
      </c>
      <c r="BQ46" s="26">
        <f t="shared" si="18"/>
        <v>0.56499999999999995</v>
      </c>
      <c r="BR46" s="26">
        <f t="shared" si="18"/>
        <v>0.56999999999999995</v>
      </c>
      <c r="BS46" s="26">
        <f t="shared" si="18"/>
        <v>0.57499999999999996</v>
      </c>
      <c r="BT46" s="26">
        <f t="shared" si="18"/>
        <v>0.57999999999999996</v>
      </c>
      <c r="BU46" s="26">
        <f t="shared" si="18"/>
        <v>0.58499999999999996</v>
      </c>
      <c r="BV46" s="26">
        <f t="shared" si="18"/>
        <v>0.59</v>
      </c>
      <c r="BW46" s="26">
        <f t="shared" si="18"/>
        <v>0.59499999999999997</v>
      </c>
      <c r="BX46" s="26">
        <f t="shared" si="18"/>
        <v>0.6</v>
      </c>
      <c r="BY46" s="26">
        <f t="shared" si="18"/>
        <v>0.60499999999999998</v>
      </c>
      <c r="BZ46" s="26">
        <f t="shared" si="18"/>
        <v>0.61</v>
      </c>
      <c r="CA46" s="26">
        <f t="shared" si="18"/>
        <v>0.61499999999999999</v>
      </c>
      <c r="CB46" s="26">
        <f t="shared" si="18"/>
        <v>0.62</v>
      </c>
      <c r="CC46" s="26">
        <f t="shared" si="18"/>
        <v>0.625</v>
      </c>
      <c r="CD46" s="26">
        <f t="shared" si="19"/>
        <v>0.63</v>
      </c>
      <c r="CE46" s="26">
        <f t="shared" si="19"/>
        <v>0.63500000000000001</v>
      </c>
      <c r="CF46" s="26">
        <f t="shared" si="19"/>
        <v>0.64</v>
      </c>
      <c r="CG46" s="26">
        <f t="shared" si="19"/>
        <v>0.64500000000000002</v>
      </c>
      <c r="CH46" s="26">
        <f t="shared" si="19"/>
        <v>0.65</v>
      </c>
      <c r="CI46" s="26">
        <f t="shared" si="19"/>
        <v>0.65500000000000003</v>
      </c>
      <c r="CJ46" s="26">
        <f t="shared" si="19"/>
        <v>0.66</v>
      </c>
      <c r="CK46" s="26">
        <f t="shared" si="19"/>
        <v>0.66500000000000004</v>
      </c>
      <c r="CL46" s="26">
        <f t="shared" si="19"/>
        <v>0.67</v>
      </c>
      <c r="CM46" s="26">
        <f t="shared" si="19"/>
        <v>0.67500000000000004</v>
      </c>
      <c r="CN46" s="26">
        <f t="shared" si="19"/>
        <v>0.68</v>
      </c>
      <c r="CO46" s="26">
        <f t="shared" si="19"/>
        <v>0.68500000000000005</v>
      </c>
      <c r="CP46" s="26">
        <f t="shared" si="19"/>
        <v>0.69</v>
      </c>
      <c r="CQ46" s="26">
        <f t="shared" si="19"/>
        <v>0.69499999999999995</v>
      </c>
      <c r="CR46" s="26">
        <f t="shared" si="19"/>
        <v>0.7</v>
      </c>
      <c r="CS46" s="26">
        <f t="shared" si="19"/>
        <v>0.70499999999999996</v>
      </c>
      <c r="CT46" s="26">
        <f t="shared" si="22"/>
        <v>0.71</v>
      </c>
      <c r="CU46" s="26">
        <f t="shared" si="22"/>
        <v>0.71499999999999997</v>
      </c>
      <c r="CV46" s="26">
        <f t="shared" si="22"/>
        <v>0.72</v>
      </c>
      <c r="CW46" s="26">
        <f t="shared" si="22"/>
        <v>0.72499999999999998</v>
      </c>
    </row>
    <row r="47" spans="2:101" ht="20.100000000000001" customHeight="1">
      <c r="B47" s="26">
        <f t="shared" si="21"/>
        <v>0.23499999999999999</v>
      </c>
      <c r="C47" s="26">
        <f t="shared" si="21"/>
        <v>0.24</v>
      </c>
      <c r="D47" s="26">
        <f t="shared" si="21"/>
        <v>0.245</v>
      </c>
      <c r="E47" s="26">
        <f t="shared" si="21"/>
        <v>0.25</v>
      </c>
      <c r="F47" s="26">
        <f t="shared" si="21"/>
        <v>0.255</v>
      </c>
      <c r="G47" s="26">
        <f t="shared" si="21"/>
        <v>0.26</v>
      </c>
      <c r="H47" s="26">
        <f t="shared" si="21"/>
        <v>0.26500000000000001</v>
      </c>
      <c r="I47" s="26">
        <f t="shared" si="21"/>
        <v>0.27</v>
      </c>
      <c r="J47" s="26">
        <f t="shared" si="21"/>
        <v>0.27500000000000002</v>
      </c>
      <c r="K47" s="26">
        <f t="shared" si="21"/>
        <v>0.28000000000000003</v>
      </c>
      <c r="L47" s="26">
        <f t="shared" si="21"/>
        <v>0.28499999999999998</v>
      </c>
      <c r="M47" s="26">
        <f t="shared" si="21"/>
        <v>0.28999999999999998</v>
      </c>
      <c r="N47" s="26">
        <f t="shared" si="21"/>
        <v>0.29499999999999998</v>
      </c>
      <c r="O47" s="26">
        <f t="shared" si="21"/>
        <v>0.3</v>
      </c>
      <c r="P47" s="26">
        <f t="shared" si="21"/>
        <v>0.30499999999999999</v>
      </c>
      <c r="Q47" s="26">
        <f t="shared" si="20"/>
        <v>0.31</v>
      </c>
      <c r="R47" s="26">
        <f t="shared" si="15"/>
        <v>0.315</v>
      </c>
      <c r="S47" s="26">
        <f t="shared" si="15"/>
        <v>0.32</v>
      </c>
      <c r="T47" s="26">
        <f t="shared" si="15"/>
        <v>0.32500000000000001</v>
      </c>
      <c r="U47" s="26">
        <f t="shared" si="15"/>
        <v>0.33</v>
      </c>
      <c r="V47" s="26">
        <f t="shared" si="15"/>
        <v>0.33500000000000002</v>
      </c>
      <c r="W47" s="26">
        <f t="shared" si="15"/>
        <v>0.34</v>
      </c>
      <c r="X47" s="26">
        <f t="shared" si="15"/>
        <v>0.34499999999999997</v>
      </c>
      <c r="Y47" s="26">
        <f t="shared" si="15"/>
        <v>0.35</v>
      </c>
      <c r="Z47" s="26">
        <f t="shared" si="15"/>
        <v>0.35499999999999998</v>
      </c>
      <c r="AA47" s="26">
        <f t="shared" si="15"/>
        <v>0.36</v>
      </c>
      <c r="AB47" s="26">
        <f t="shared" si="15"/>
        <v>0.36499999999999999</v>
      </c>
      <c r="AC47" s="26">
        <f t="shared" si="15"/>
        <v>0.37</v>
      </c>
      <c r="AD47" s="26">
        <f t="shared" si="15"/>
        <v>0.375</v>
      </c>
      <c r="AE47" s="26">
        <f t="shared" si="15"/>
        <v>0.38</v>
      </c>
      <c r="AF47" s="26">
        <f t="shared" si="15"/>
        <v>0.38500000000000001</v>
      </c>
      <c r="AG47" s="26">
        <f t="shared" si="15"/>
        <v>0.39</v>
      </c>
      <c r="AH47" s="26">
        <f t="shared" si="16"/>
        <v>0.39500000000000002</v>
      </c>
      <c r="AI47" s="26">
        <f t="shared" si="16"/>
        <v>0.4</v>
      </c>
      <c r="AJ47" s="26">
        <f t="shared" si="16"/>
        <v>0.40500000000000003</v>
      </c>
      <c r="AK47" s="26">
        <f t="shared" si="16"/>
        <v>0.41</v>
      </c>
      <c r="AL47" s="26">
        <f t="shared" si="16"/>
        <v>0.41499999999999998</v>
      </c>
      <c r="AM47" s="26">
        <f t="shared" si="16"/>
        <v>0.42</v>
      </c>
      <c r="AN47" s="26">
        <f t="shared" si="16"/>
        <v>0.42499999999999999</v>
      </c>
      <c r="AO47" s="26">
        <f t="shared" si="16"/>
        <v>0.43</v>
      </c>
      <c r="AP47" s="26">
        <f t="shared" si="16"/>
        <v>0.435</v>
      </c>
      <c r="AQ47" s="26">
        <f t="shared" si="16"/>
        <v>0.44</v>
      </c>
      <c r="AR47" s="26">
        <f t="shared" si="16"/>
        <v>0.44500000000000001</v>
      </c>
      <c r="AS47" s="26">
        <f t="shared" si="16"/>
        <v>0.45</v>
      </c>
      <c r="AT47" s="26">
        <f t="shared" si="16"/>
        <v>0.45500000000000002</v>
      </c>
      <c r="AU47" s="26">
        <f t="shared" si="16"/>
        <v>0.46</v>
      </c>
      <c r="AV47" s="26">
        <f t="shared" si="16"/>
        <v>0.46500000000000002</v>
      </c>
      <c r="AW47" s="26">
        <f t="shared" si="16"/>
        <v>0.47</v>
      </c>
      <c r="AX47" s="26">
        <f t="shared" si="17"/>
        <v>0.47499999999999998</v>
      </c>
      <c r="AY47" s="26">
        <f t="shared" si="17"/>
        <v>0.48</v>
      </c>
      <c r="AZ47" s="26">
        <f t="shared" si="17"/>
        <v>0.48499999999999999</v>
      </c>
      <c r="BA47" s="26">
        <f t="shared" si="17"/>
        <v>0.49</v>
      </c>
      <c r="BB47" s="26">
        <f t="shared" si="17"/>
        <v>0.495</v>
      </c>
      <c r="BC47" s="26">
        <f t="shared" si="17"/>
        <v>0.5</v>
      </c>
      <c r="BD47" s="26">
        <f t="shared" si="17"/>
        <v>0.505</v>
      </c>
      <c r="BE47" s="26">
        <f t="shared" si="17"/>
        <v>0.51</v>
      </c>
      <c r="BF47" s="26">
        <f t="shared" si="17"/>
        <v>0.51500000000000001</v>
      </c>
      <c r="BG47" s="26">
        <f t="shared" si="17"/>
        <v>0.52</v>
      </c>
      <c r="BH47" s="26">
        <f t="shared" si="17"/>
        <v>0.52500000000000002</v>
      </c>
      <c r="BI47" s="26">
        <f t="shared" si="17"/>
        <v>0.53</v>
      </c>
      <c r="BJ47" s="26">
        <f t="shared" si="17"/>
        <v>0.53500000000000003</v>
      </c>
      <c r="BK47" s="26">
        <f t="shared" si="17"/>
        <v>0.54</v>
      </c>
      <c r="BL47" s="26">
        <f t="shared" si="17"/>
        <v>0.54500000000000004</v>
      </c>
      <c r="BM47" s="26">
        <f t="shared" si="17"/>
        <v>0.55000000000000004</v>
      </c>
      <c r="BN47" s="26">
        <f t="shared" si="18"/>
        <v>0.55500000000000005</v>
      </c>
      <c r="BO47" s="26">
        <f t="shared" si="18"/>
        <v>0.56000000000000005</v>
      </c>
      <c r="BP47" s="26">
        <f t="shared" si="18"/>
        <v>0.56499999999999995</v>
      </c>
      <c r="BQ47" s="26">
        <f t="shared" si="18"/>
        <v>0.56999999999999995</v>
      </c>
      <c r="BR47" s="26">
        <f t="shared" si="18"/>
        <v>0.57499999999999996</v>
      </c>
      <c r="BS47" s="26">
        <f t="shared" si="18"/>
        <v>0.57999999999999996</v>
      </c>
      <c r="BT47" s="26">
        <f t="shared" si="18"/>
        <v>0.58499999999999996</v>
      </c>
      <c r="BU47" s="26">
        <f t="shared" si="18"/>
        <v>0.59</v>
      </c>
      <c r="BV47" s="26">
        <f t="shared" si="18"/>
        <v>0.59499999999999997</v>
      </c>
      <c r="BW47" s="26">
        <f t="shared" si="18"/>
        <v>0.6</v>
      </c>
      <c r="BX47" s="26">
        <f t="shared" si="18"/>
        <v>0.60499999999999998</v>
      </c>
      <c r="BY47" s="26">
        <f t="shared" si="18"/>
        <v>0.61</v>
      </c>
      <c r="BZ47" s="26">
        <f t="shared" si="18"/>
        <v>0.61499999999999999</v>
      </c>
      <c r="CA47" s="26">
        <f t="shared" si="18"/>
        <v>0.62</v>
      </c>
      <c r="CB47" s="26">
        <f t="shared" si="18"/>
        <v>0.625</v>
      </c>
      <c r="CC47" s="26">
        <f t="shared" si="18"/>
        <v>0.63</v>
      </c>
      <c r="CD47" s="26">
        <f t="shared" si="19"/>
        <v>0.63500000000000001</v>
      </c>
      <c r="CE47" s="26">
        <f t="shared" si="19"/>
        <v>0.64</v>
      </c>
      <c r="CF47" s="26">
        <f t="shared" si="19"/>
        <v>0.64500000000000002</v>
      </c>
      <c r="CG47" s="26">
        <f t="shared" si="19"/>
        <v>0.65</v>
      </c>
      <c r="CH47" s="26">
        <f t="shared" si="19"/>
        <v>0.65500000000000003</v>
      </c>
      <c r="CI47" s="26">
        <f t="shared" si="19"/>
        <v>0.66</v>
      </c>
      <c r="CJ47" s="26">
        <f t="shared" si="19"/>
        <v>0.66500000000000004</v>
      </c>
      <c r="CK47" s="26">
        <f t="shared" si="19"/>
        <v>0.67</v>
      </c>
      <c r="CL47" s="26">
        <f t="shared" si="19"/>
        <v>0.67500000000000004</v>
      </c>
      <c r="CM47" s="26">
        <f t="shared" si="19"/>
        <v>0.68</v>
      </c>
      <c r="CN47" s="26">
        <f t="shared" si="19"/>
        <v>0.68500000000000005</v>
      </c>
      <c r="CO47" s="26">
        <f t="shared" si="19"/>
        <v>0.69</v>
      </c>
      <c r="CP47" s="26">
        <f t="shared" si="19"/>
        <v>0.69499999999999995</v>
      </c>
      <c r="CQ47" s="26">
        <f t="shared" si="19"/>
        <v>0.7</v>
      </c>
      <c r="CR47" s="26">
        <f t="shared" si="19"/>
        <v>0.70499999999999996</v>
      </c>
      <c r="CS47" s="26">
        <f t="shared" si="19"/>
        <v>0.71</v>
      </c>
      <c r="CT47" s="26">
        <f t="shared" si="22"/>
        <v>0.71499999999999997</v>
      </c>
      <c r="CU47" s="26">
        <f t="shared" si="22"/>
        <v>0.72</v>
      </c>
      <c r="CV47" s="26">
        <f t="shared" si="22"/>
        <v>0.72499999999999998</v>
      </c>
      <c r="CW47" s="26">
        <f t="shared" si="22"/>
        <v>0.73</v>
      </c>
    </row>
    <row r="48" spans="2:101" ht="20.100000000000001" customHeight="1">
      <c r="B48" s="26">
        <f t="shared" si="21"/>
        <v>0.24</v>
      </c>
      <c r="C48" s="26">
        <f t="shared" si="21"/>
        <v>0.245</v>
      </c>
      <c r="D48" s="26">
        <f t="shared" si="21"/>
        <v>0.25</v>
      </c>
      <c r="E48" s="26">
        <f t="shared" si="21"/>
        <v>0.255</v>
      </c>
      <c r="F48" s="26">
        <f t="shared" si="21"/>
        <v>0.26</v>
      </c>
      <c r="G48" s="26">
        <f t="shared" si="21"/>
        <v>0.26500000000000001</v>
      </c>
      <c r="H48" s="26">
        <f t="shared" si="21"/>
        <v>0.27</v>
      </c>
      <c r="I48" s="26">
        <f t="shared" si="21"/>
        <v>0.27500000000000002</v>
      </c>
      <c r="J48" s="26">
        <f t="shared" si="21"/>
        <v>0.28000000000000003</v>
      </c>
      <c r="K48" s="26">
        <f t="shared" si="21"/>
        <v>0.28499999999999998</v>
      </c>
      <c r="L48" s="26">
        <f t="shared" si="21"/>
        <v>0.28999999999999998</v>
      </c>
      <c r="M48" s="26">
        <f t="shared" si="21"/>
        <v>0.29499999999999998</v>
      </c>
      <c r="N48" s="26">
        <f t="shared" si="21"/>
        <v>0.3</v>
      </c>
      <c r="O48" s="26">
        <f t="shared" si="21"/>
        <v>0.30499999999999999</v>
      </c>
      <c r="P48" s="26">
        <f t="shared" si="21"/>
        <v>0.31</v>
      </c>
      <c r="Q48" s="26">
        <f t="shared" si="20"/>
        <v>0.315</v>
      </c>
      <c r="R48" s="26">
        <f t="shared" si="15"/>
        <v>0.32</v>
      </c>
      <c r="S48" s="26">
        <f t="shared" si="15"/>
        <v>0.32500000000000001</v>
      </c>
      <c r="T48" s="26">
        <f t="shared" si="15"/>
        <v>0.33</v>
      </c>
      <c r="U48" s="26">
        <f t="shared" si="15"/>
        <v>0.33500000000000002</v>
      </c>
      <c r="V48" s="26">
        <f t="shared" si="15"/>
        <v>0.34</v>
      </c>
      <c r="W48" s="26">
        <f t="shared" si="15"/>
        <v>0.34499999999999997</v>
      </c>
      <c r="X48" s="26">
        <f t="shared" si="15"/>
        <v>0.35</v>
      </c>
      <c r="Y48" s="26">
        <f t="shared" si="15"/>
        <v>0.35499999999999998</v>
      </c>
      <c r="Z48" s="26">
        <f t="shared" si="15"/>
        <v>0.36</v>
      </c>
      <c r="AA48" s="26">
        <f t="shared" si="15"/>
        <v>0.36499999999999999</v>
      </c>
      <c r="AB48" s="26">
        <f t="shared" si="15"/>
        <v>0.37</v>
      </c>
      <c r="AC48" s="26">
        <f t="shared" si="15"/>
        <v>0.375</v>
      </c>
      <c r="AD48" s="26">
        <f t="shared" si="15"/>
        <v>0.38</v>
      </c>
      <c r="AE48" s="26">
        <f t="shared" si="15"/>
        <v>0.38500000000000001</v>
      </c>
      <c r="AF48" s="26">
        <f t="shared" si="15"/>
        <v>0.39</v>
      </c>
      <c r="AG48" s="26">
        <f t="shared" ref="AG48:AV63" si="23">(ROW(AF47)+COLUMN(AF47))/200</f>
        <v>0.39500000000000002</v>
      </c>
      <c r="AH48" s="26">
        <f t="shared" si="16"/>
        <v>0.4</v>
      </c>
      <c r="AI48" s="26">
        <f t="shared" si="16"/>
        <v>0.40500000000000003</v>
      </c>
      <c r="AJ48" s="26">
        <f t="shared" si="16"/>
        <v>0.41</v>
      </c>
      <c r="AK48" s="26">
        <f t="shared" si="16"/>
        <v>0.41499999999999998</v>
      </c>
      <c r="AL48" s="26">
        <f t="shared" si="16"/>
        <v>0.42</v>
      </c>
      <c r="AM48" s="26">
        <f t="shared" si="16"/>
        <v>0.42499999999999999</v>
      </c>
      <c r="AN48" s="26">
        <f t="shared" si="16"/>
        <v>0.43</v>
      </c>
      <c r="AO48" s="26">
        <f t="shared" si="16"/>
        <v>0.435</v>
      </c>
      <c r="AP48" s="26">
        <f t="shared" si="16"/>
        <v>0.44</v>
      </c>
      <c r="AQ48" s="26">
        <f t="shared" si="16"/>
        <v>0.44500000000000001</v>
      </c>
      <c r="AR48" s="26">
        <f t="shared" si="16"/>
        <v>0.45</v>
      </c>
      <c r="AS48" s="26">
        <f t="shared" si="16"/>
        <v>0.45500000000000002</v>
      </c>
      <c r="AT48" s="26">
        <f t="shared" si="16"/>
        <v>0.46</v>
      </c>
      <c r="AU48" s="26">
        <f t="shared" si="16"/>
        <v>0.46500000000000002</v>
      </c>
      <c r="AV48" s="26">
        <f t="shared" si="16"/>
        <v>0.47</v>
      </c>
      <c r="AW48" s="26">
        <f t="shared" ref="AW48:BL63" si="24">(ROW(AV47)+COLUMN(AV47))/200</f>
        <v>0.47499999999999998</v>
      </c>
      <c r="AX48" s="26">
        <f t="shared" si="17"/>
        <v>0.48</v>
      </c>
      <c r="AY48" s="26">
        <f t="shared" si="17"/>
        <v>0.48499999999999999</v>
      </c>
      <c r="AZ48" s="26">
        <f t="shared" si="17"/>
        <v>0.49</v>
      </c>
      <c r="BA48" s="26">
        <f t="shared" si="17"/>
        <v>0.495</v>
      </c>
      <c r="BB48" s="26">
        <f t="shared" si="17"/>
        <v>0.5</v>
      </c>
      <c r="BC48" s="26">
        <f t="shared" si="17"/>
        <v>0.505</v>
      </c>
      <c r="BD48" s="26">
        <f t="shared" si="17"/>
        <v>0.51</v>
      </c>
      <c r="BE48" s="26">
        <f t="shared" si="17"/>
        <v>0.51500000000000001</v>
      </c>
      <c r="BF48" s="26">
        <f t="shared" si="17"/>
        <v>0.52</v>
      </c>
      <c r="BG48" s="26">
        <f t="shared" si="17"/>
        <v>0.52500000000000002</v>
      </c>
      <c r="BH48" s="26">
        <f t="shared" si="17"/>
        <v>0.53</v>
      </c>
      <c r="BI48" s="26">
        <f t="shared" si="17"/>
        <v>0.53500000000000003</v>
      </c>
      <c r="BJ48" s="26">
        <f t="shared" si="17"/>
        <v>0.54</v>
      </c>
      <c r="BK48" s="26">
        <f t="shared" si="17"/>
        <v>0.54500000000000004</v>
      </c>
      <c r="BL48" s="26">
        <f t="shared" si="17"/>
        <v>0.55000000000000004</v>
      </c>
      <c r="BM48" s="26">
        <f t="shared" ref="BM48:CB63" si="25">(ROW(BL47)+COLUMN(BL47))/200</f>
        <v>0.55500000000000005</v>
      </c>
      <c r="BN48" s="26">
        <f t="shared" si="18"/>
        <v>0.56000000000000005</v>
      </c>
      <c r="BO48" s="26">
        <f t="shared" si="18"/>
        <v>0.56499999999999995</v>
      </c>
      <c r="BP48" s="26">
        <f t="shared" si="18"/>
        <v>0.56999999999999995</v>
      </c>
      <c r="BQ48" s="26">
        <f t="shared" si="18"/>
        <v>0.57499999999999996</v>
      </c>
      <c r="BR48" s="26">
        <f t="shared" si="18"/>
        <v>0.57999999999999996</v>
      </c>
      <c r="BS48" s="26">
        <f t="shared" si="18"/>
        <v>0.58499999999999996</v>
      </c>
      <c r="BT48" s="26">
        <f t="shared" si="18"/>
        <v>0.59</v>
      </c>
      <c r="BU48" s="26">
        <f t="shared" si="18"/>
        <v>0.59499999999999997</v>
      </c>
      <c r="BV48" s="26">
        <f t="shared" si="18"/>
        <v>0.6</v>
      </c>
      <c r="BW48" s="26">
        <f t="shared" si="18"/>
        <v>0.60499999999999998</v>
      </c>
      <c r="BX48" s="26">
        <f t="shared" si="18"/>
        <v>0.61</v>
      </c>
      <c r="BY48" s="26">
        <f t="shared" si="18"/>
        <v>0.61499999999999999</v>
      </c>
      <c r="BZ48" s="26">
        <f t="shared" si="18"/>
        <v>0.62</v>
      </c>
      <c r="CA48" s="26">
        <f t="shared" si="18"/>
        <v>0.625</v>
      </c>
      <c r="CB48" s="26">
        <f t="shared" si="18"/>
        <v>0.63</v>
      </c>
      <c r="CC48" s="26">
        <f t="shared" ref="CC48:CR63" si="26">(ROW(CB47)+COLUMN(CB47))/200</f>
        <v>0.63500000000000001</v>
      </c>
      <c r="CD48" s="26">
        <f t="shared" si="19"/>
        <v>0.64</v>
      </c>
      <c r="CE48" s="26">
        <f t="shared" si="19"/>
        <v>0.64500000000000002</v>
      </c>
      <c r="CF48" s="26">
        <f t="shared" si="19"/>
        <v>0.65</v>
      </c>
      <c r="CG48" s="26">
        <f t="shared" si="19"/>
        <v>0.65500000000000003</v>
      </c>
      <c r="CH48" s="26">
        <f t="shared" si="19"/>
        <v>0.66</v>
      </c>
      <c r="CI48" s="26">
        <f t="shared" si="19"/>
        <v>0.66500000000000004</v>
      </c>
      <c r="CJ48" s="26">
        <f t="shared" si="19"/>
        <v>0.67</v>
      </c>
      <c r="CK48" s="26">
        <f t="shared" si="19"/>
        <v>0.67500000000000004</v>
      </c>
      <c r="CL48" s="26">
        <f t="shared" si="19"/>
        <v>0.68</v>
      </c>
      <c r="CM48" s="26">
        <f t="shared" si="19"/>
        <v>0.68500000000000005</v>
      </c>
      <c r="CN48" s="26">
        <f t="shared" si="19"/>
        <v>0.69</v>
      </c>
      <c r="CO48" s="26">
        <f t="shared" si="19"/>
        <v>0.69499999999999995</v>
      </c>
      <c r="CP48" s="26">
        <f t="shared" si="19"/>
        <v>0.7</v>
      </c>
      <c r="CQ48" s="26">
        <f t="shared" si="19"/>
        <v>0.70499999999999996</v>
      </c>
      <c r="CR48" s="26">
        <f t="shared" si="19"/>
        <v>0.71</v>
      </c>
      <c r="CS48" s="26">
        <f t="shared" ref="CS48:CW63" si="27">(ROW(CR47)+COLUMN(CR47))/200</f>
        <v>0.71499999999999997</v>
      </c>
      <c r="CT48" s="26">
        <f t="shared" si="22"/>
        <v>0.72</v>
      </c>
      <c r="CU48" s="26">
        <f t="shared" si="22"/>
        <v>0.72499999999999998</v>
      </c>
      <c r="CV48" s="26">
        <f t="shared" si="22"/>
        <v>0.73</v>
      </c>
      <c r="CW48" s="26">
        <f t="shared" si="22"/>
        <v>0.73499999999999999</v>
      </c>
    </row>
    <row r="49" spans="2:101" ht="20.100000000000001" customHeight="1">
      <c r="B49" s="26">
        <f t="shared" si="21"/>
        <v>0.245</v>
      </c>
      <c r="C49" s="26">
        <f t="shared" si="21"/>
        <v>0.25</v>
      </c>
      <c r="D49" s="26">
        <f t="shared" si="21"/>
        <v>0.255</v>
      </c>
      <c r="E49" s="26">
        <f t="shared" si="21"/>
        <v>0.26</v>
      </c>
      <c r="F49" s="26">
        <f t="shared" si="21"/>
        <v>0.26500000000000001</v>
      </c>
      <c r="G49" s="26">
        <f t="shared" si="21"/>
        <v>0.27</v>
      </c>
      <c r="H49" s="26">
        <f t="shared" si="21"/>
        <v>0.27500000000000002</v>
      </c>
      <c r="I49" s="26">
        <f t="shared" si="21"/>
        <v>0.28000000000000003</v>
      </c>
      <c r="J49" s="26">
        <f t="shared" si="21"/>
        <v>0.28499999999999998</v>
      </c>
      <c r="K49" s="26">
        <f t="shared" si="21"/>
        <v>0.28999999999999998</v>
      </c>
      <c r="L49" s="26">
        <f t="shared" si="21"/>
        <v>0.29499999999999998</v>
      </c>
      <c r="M49" s="26">
        <f t="shared" si="21"/>
        <v>0.3</v>
      </c>
      <c r="N49" s="26">
        <f t="shared" si="21"/>
        <v>0.30499999999999999</v>
      </c>
      <c r="O49" s="26">
        <f t="shared" si="21"/>
        <v>0.31</v>
      </c>
      <c r="P49" s="26">
        <f t="shared" si="21"/>
        <v>0.315</v>
      </c>
      <c r="Q49" s="26">
        <f t="shared" si="20"/>
        <v>0.32</v>
      </c>
      <c r="R49" s="26">
        <f t="shared" si="20"/>
        <v>0.32500000000000001</v>
      </c>
      <c r="S49" s="26">
        <f t="shared" si="20"/>
        <v>0.33</v>
      </c>
      <c r="T49" s="26">
        <f t="shared" si="20"/>
        <v>0.33500000000000002</v>
      </c>
      <c r="U49" s="26">
        <f t="shared" si="20"/>
        <v>0.34</v>
      </c>
      <c r="V49" s="26">
        <f t="shared" si="20"/>
        <v>0.34499999999999997</v>
      </c>
      <c r="W49" s="26">
        <f t="shared" si="20"/>
        <v>0.35</v>
      </c>
      <c r="X49" s="26">
        <f t="shared" si="20"/>
        <v>0.35499999999999998</v>
      </c>
      <c r="Y49" s="26">
        <f t="shared" si="20"/>
        <v>0.36</v>
      </c>
      <c r="Z49" s="26">
        <f t="shared" si="20"/>
        <v>0.36499999999999999</v>
      </c>
      <c r="AA49" s="26">
        <f t="shared" si="20"/>
        <v>0.37</v>
      </c>
      <c r="AB49" s="26">
        <f t="shared" si="20"/>
        <v>0.375</v>
      </c>
      <c r="AC49" s="26">
        <f t="shared" si="20"/>
        <v>0.38</v>
      </c>
      <c r="AD49" s="26">
        <f t="shared" si="20"/>
        <v>0.38500000000000001</v>
      </c>
      <c r="AE49" s="26">
        <f t="shared" si="20"/>
        <v>0.39</v>
      </c>
      <c r="AF49" s="26">
        <f t="shared" si="20"/>
        <v>0.39500000000000002</v>
      </c>
      <c r="AG49" s="26">
        <f t="shared" si="23"/>
        <v>0.4</v>
      </c>
      <c r="AH49" s="26">
        <f t="shared" si="23"/>
        <v>0.40500000000000003</v>
      </c>
      <c r="AI49" s="26">
        <f t="shared" si="23"/>
        <v>0.41</v>
      </c>
      <c r="AJ49" s="26">
        <f t="shared" si="23"/>
        <v>0.41499999999999998</v>
      </c>
      <c r="AK49" s="26">
        <f t="shared" si="23"/>
        <v>0.42</v>
      </c>
      <c r="AL49" s="26">
        <f t="shared" si="23"/>
        <v>0.42499999999999999</v>
      </c>
      <c r="AM49" s="26">
        <f t="shared" si="23"/>
        <v>0.43</v>
      </c>
      <c r="AN49" s="26">
        <f t="shared" si="23"/>
        <v>0.435</v>
      </c>
      <c r="AO49" s="26">
        <f t="shared" si="23"/>
        <v>0.44</v>
      </c>
      <c r="AP49" s="26">
        <f t="shared" si="23"/>
        <v>0.44500000000000001</v>
      </c>
      <c r="AQ49" s="26">
        <f t="shared" si="23"/>
        <v>0.45</v>
      </c>
      <c r="AR49" s="26">
        <f t="shared" si="23"/>
        <v>0.45500000000000002</v>
      </c>
      <c r="AS49" s="26">
        <f t="shared" si="23"/>
        <v>0.46</v>
      </c>
      <c r="AT49" s="26">
        <f t="shared" si="23"/>
        <v>0.46500000000000002</v>
      </c>
      <c r="AU49" s="26">
        <f t="shared" si="23"/>
        <v>0.47</v>
      </c>
      <c r="AV49" s="26">
        <f t="shared" si="23"/>
        <v>0.47499999999999998</v>
      </c>
      <c r="AW49" s="26">
        <f t="shared" si="24"/>
        <v>0.48</v>
      </c>
      <c r="AX49" s="26">
        <f t="shared" si="24"/>
        <v>0.48499999999999999</v>
      </c>
      <c r="AY49" s="26">
        <f t="shared" si="24"/>
        <v>0.49</v>
      </c>
      <c r="AZ49" s="26">
        <f t="shared" si="24"/>
        <v>0.495</v>
      </c>
      <c r="BA49" s="26">
        <f t="shared" si="24"/>
        <v>0.5</v>
      </c>
      <c r="BB49" s="26">
        <f t="shared" si="24"/>
        <v>0.505</v>
      </c>
      <c r="BC49" s="26">
        <f t="shared" si="24"/>
        <v>0.51</v>
      </c>
      <c r="BD49" s="26">
        <f t="shared" si="24"/>
        <v>0.51500000000000001</v>
      </c>
      <c r="BE49" s="26">
        <f t="shared" si="24"/>
        <v>0.52</v>
      </c>
      <c r="BF49" s="26">
        <f t="shared" si="24"/>
        <v>0.52500000000000002</v>
      </c>
      <c r="BG49" s="26">
        <f t="shared" si="24"/>
        <v>0.53</v>
      </c>
      <c r="BH49" s="26">
        <f t="shared" si="24"/>
        <v>0.53500000000000003</v>
      </c>
      <c r="BI49" s="26">
        <f t="shared" si="24"/>
        <v>0.54</v>
      </c>
      <c r="BJ49" s="26">
        <f t="shared" si="24"/>
        <v>0.54500000000000004</v>
      </c>
      <c r="BK49" s="26">
        <f t="shared" si="24"/>
        <v>0.55000000000000004</v>
      </c>
      <c r="BL49" s="26">
        <f t="shared" si="24"/>
        <v>0.55500000000000005</v>
      </c>
      <c r="BM49" s="26">
        <f t="shared" si="25"/>
        <v>0.56000000000000005</v>
      </c>
      <c r="BN49" s="26">
        <f t="shared" si="25"/>
        <v>0.56499999999999995</v>
      </c>
      <c r="BO49" s="26">
        <f t="shared" si="25"/>
        <v>0.56999999999999995</v>
      </c>
      <c r="BP49" s="26">
        <f t="shared" si="25"/>
        <v>0.57499999999999996</v>
      </c>
      <c r="BQ49" s="26">
        <f t="shared" si="25"/>
        <v>0.57999999999999996</v>
      </c>
      <c r="BR49" s="26">
        <f t="shared" si="25"/>
        <v>0.58499999999999996</v>
      </c>
      <c r="BS49" s="26">
        <f t="shared" si="25"/>
        <v>0.59</v>
      </c>
      <c r="BT49" s="26">
        <f t="shared" si="25"/>
        <v>0.59499999999999997</v>
      </c>
      <c r="BU49" s="26">
        <f t="shared" si="25"/>
        <v>0.6</v>
      </c>
      <c r="BV49" s="26">
        <f t="shared" si="25"/>
        <v>0.60499999999999998</v>
      </c>
      <c r="BW49" s="26">
        <f t="shared" si="25"/>
        <v>0.61</v>
      </c>
      <c r="BX49" s="26">
        <f t="shared" si="25"/>
        <v>0.61499999999999999</v>
      </c>
      <c r="BY49" s="26">
        <f t="shared" si="25"/>
        <v>0.62</v>
      </c>
      <c r="BZ49" s="26">
        <f t="shared" si="25"/>
        <v>0.625</v>
      </c>
      <c r="CA49" s="26">
        <f t="shared" si="25"/>
        <v>0.63</v>
      </c>
      <c r="CB49" s="26">
        <f t="shared" si="25"/>
        <v>0.63500000000000001</v>
      </c>
      <c r="CC49" s="26">
        <f t="shared" si="26"/>
        <v>0.64</v>
      </c>
      <c r="CD49" s="26">
        <f t="shared" si="26"/>
        <v>0.64500000000000002</v>
      </c>
      <c r="CE49" s="26">
        <f t="shared" si="26"/>
        <v>0.65</v>
      </c>
      <c r="CF49" s="26">
        <f t="shared" si="26"/>
        <v>0.65500000000000003</v>
      </c>
      <c r="CG49" s="26">
        <f t="shared" si="26"/>
        <v>0.66</v>
      </c>
      <c r="CH49" s="26">
        <f t="shared" si="26"/>
        <v>0.66500000000000004</v>
      </c>
      <c r="CI49" s="26">
        <f t="shared" si="26"/>
        <v>0.67</v>
      </c>
      <c r="CJ49" s="26">
        <f t="shared" si="26"/>
        <v>0.67500000000000004</v>
      </c>
      <c r="CK49" s="26">
        <f t="shared" si="26"/>
        <v>0.68</v>
      </c>
      <c r="CL49" s="26">
        <f t="shared" si="26"/>
        <v>0.68500000000000005</v>
      </c>
      <c r="CM49" s="26">
        <f t="shared" si="26"/>
        <v>0.69</v>
      </c>
      <c r="CN49" s="26">
        <f t="shared" si="26"/>
        <v>0.69499999999999995</v>
      </c>
      <c r="CO49" s="26">
        <f t="shared" si="26"/>
        <v>0.7</v>
      </c>
      <c r="CP49" s="26">
        <f t="shared" si="26"/>
        <v>0.70499999999999996</v>
      </c>
      <c r="CQ49" s="26">
        <f t="shared" si="26"/>
        <v>0.71</v>
      </c>
      <c r="CR49" s="26">
        <f t="shared" si="26"/>
        <v>0.71499999999999997</v>
      </c>
      <c r="CS49" s="26">
        <f t="shared" si="27"/>
        <v>0.72</v>
      </c>
      <c r="CT49" s="26">
        <f t="shared" si="22"/>
        <v>0.72499999999999998</v>
      </c>
      <c r="CU49" s="26">
        <f t="shared" si="22"/>
        <v>0.73</v>
      </c>
      <c r="CV49" s="26">
        <f t="shared" si="22"/>
        <v>0.73499999999999999</v>
      </c>
      <c r="CW49" s="26">
        <f t="shared" si="22"/>
        <v>0.74</v>
      </c>
    </row>
    <row r="50" spans="2:101" ht="20.100000000000001" customHeight="1">
      <c r="B50" s="26">
        <f t="shared" si="21"/>
        <v>0.25</v>
      </c>
      <c r="C50" s="26">
        <f t="shared" si="21"/>
        <v>0.255</v>
      </c>
      <c r="D50" s="26">
        <f t="shared" si="21"/>
        <v>0.26</v>
      </c>
      <c r="E50" s="26">
        <f t="shared" si="21"/>
        <v>0.26500000000000001</v>
      </c>
      <c r="F50" s="26">
        <f t="shared" si="21"/>
        <v>0.27</v>
      </c>
      <c r="G50" s="26">
        <f t="shared" si="21"/>
        <v>0.27500000000000002</v>
      </c>
      <c r="H50" s="26">
        <f t="shared" si="21"/>
        <v>0.28000000000000003</v>
      </c>
      <c r="I50" s="26">
        <f t="shared" si="21"/>
        <v>0.28499999999999998</v>
      </c>
      <c r="J50" s="26">
        <f t="shared" si="21"/>
        <v>0.28999999999999998</v>
      </c>
      <c r="K50" s="26">
        <f t="shared" si="21"/>
        <v>0.29499999999999998</v>
      </c>
      <c r="L50" s="26">
        <f t="shared" si="21"/>
        <v>0.3</v>
      </c>
      <c r="M50" s="26">
        <f t="shared" si="21"/>
        <v>0.30499999999999999</v>
      </c>
      <c r="N50" s="26">
        <f t="shared" si="21"/>
        <v>0.31</v>
      </c>
      <c r="O50" s="26">
        <f t="shared" si="21"/>
        <v>0.315</v>
      </c>
      <c r="P50" s="26">
        <f t="shared" si="21"/>
        <v>0.32</v>
      </c>
      <c r="Q50" s="26">
        <f t="shared" si="21"/>
        <v>0.32500000000000001</v>
      </c>
      <c r="R50" s="26">
        <f t="shared" ref="R50:AG65" si="28">(ROW(Q49)+COLUMN(Q49))/200</f>
        <v>0.33</v>
      </c>
      <c r="S50" s="26">
        <f t="shared" si="28"/>
        <v>0.33500000000000002</v>
      </c>
      <c r="T50" s="26">
        <f t="shared" si="28"/>
        <v>0.34</v>
      </c>
      <c r="U50" s="26">
        <f t="shared" si="28"/>
        <v>0.34499999999999997</v>
      </c>
      <c r="V50" s="26">
        <f t="shared" si="28"/>
        <v>0.35</v>
      </c>
      <c r="W50" s="26">
        <f t="shared" si="28"/>
        <v>0.35499999999999998</v>
      </c>
      <c r="X50" s="26">
        <f t="shared" si="28"/>
        <v>0.36</v>
      </c>
      <c r="Y50" s="26">
        <f t="shared" si="28"/>
        <v>0.36499999999999999</v>
      </c>
      <c r="Z50" s="26">
        <f t="shared" si="28"/>
        <v>0.37</v>
      </c>
      <c r="AA50" s="26">
        <f t="shared" si="28"/>
        <v>0.375</v>
      </c>
      <c r="AB50" s="26">
        <f t="shared" si="28"/>
        <v>0.38</v>
      </c>
      <c r="AC50" s="26">
        <f t="shared" si="28"/>
        <v>0.38500000000000001</v>
      </c>
      <c r="AD50" s="26">
        <f t="shared" si="28"/>
        <v>0.39</v>
      </c>
      <c r="AE50" s="26">
        <f t="shared" si="28"/>
        <v>0.39500000000000002</v>
      </c>
      <c r="AF50" s="26">
        <f t="shared" si="28"/>
        <v>0.4</v>
      </c>
      <c r="AG50" s="26">
        <f t="shared" si="23"/>
        <v>0.40500000000000003</v>
      </c>
      <c r="AH50" s="26">
        <f t="shared" si="23"/>
        <v>0.41</v>
      </c>
      <c r="AI50" s="26">
        <f t="shared" si="23"/>
        <v>0.41499999999999998</v>
      </c>
      <c r="AJ50" s="26">
        <f t="shared" si="23"/>
        <v>0.42</v>
      </c>
      <c r="AK50" s="26">
        <f t="shared" si="23"/>
        <v>0.42499999999999999</v>
      </c>
      <c r="AL50" s="26">
        <f t="shared" si="23"/>
        <v>0.43</v>
      </c>
      <c r="AM50" s="26">
        <f t="shared" si="23"/>
        <v>0.435</v>
      </c>
      <c r="AN50" s="26">
        <f t="shared" si="23"/>
        <v>0.44</v>
      </c>
      <c r="AO50" s="26">
        <f t="shared" si="23"/>
        <v>0.44500000000000001</v>
      </c>
      <c r="AP50" s="26">
        <f t="shared" si="23"/>
        <v>0.45</v>
      </c>
      <c r="AQ50" s="26">
        <f t="shared" si="23"/>
        <v>0.45500000000000002</v>
      </c>
      <c r="AR50" s="26">
        <f t="shared" si="23"/>
        <v>0.46</v>
      </c>
      <c r="AS50" s="26">
        <f t="shared" si="23"/>
        <v>0.46500000000000002</v>
      </c>
      <c r="AT50" s="26">
        <f t="shared" si="23"/>
        <v>0.47</v>
      </c>
      <c r="AU50" s="26">
        <f t="shared" si="23"/>
        <v>0.47499999999999998</v>
      </c>
      <c r="AV50" s="26">
        <f t="shared" si="23"/>
        <v>0.48</v>
      </c>
      <c r="AW50" s="26">
        <f t="shared" si="24"/>
        <v>0.48499999999999999</v>
      </c>
      <c r="AX50" s="26">
        <f t="shared" si="24"/>
        <v>0.49</v>
      </c>
      <c r="AY50" s="26">
        <f t="shared" si="24"/>
        <v>0.495</v>
      </c>
      <c r="AZ50" s="26">
        <f t="shared" si="24"/>
        <v>0.5</v>
      </c>
      <c r="BA50" s="26">
        <f t="shared" si="24"/>
        <v>0.505</v>
      </c>
      <c r="BB50" s="26">
        <f t="shared" si="24"/>
        <v>0.51</v>
      </c>
      <c r="BC50" s="26">
        <f t="shared" si="24"/>
        <v>0.51500000000000001</v>
      </c>
      <c r="BD50" s="26">
        <f t="shared" si="24"/>
        <v>0.52</v>
      </c>
      <c r="BE50" s="26">
        <f t="shared" si="24"/>
        <v>0.52500000000000002</v>
      </c>
      <c r="BF50" s="26">
        <f t="shared" si="24"/>
        <v>0.53</v>
      </c>
      <c r="BG50" s="26">
        <f t="shared" si="24"/>
        <v>0.53500000000000003</v>
      </c>
      <c r="BH50" s="26">
        <f t="shared" si="24"/>
        <v>0.54</v>
      </c>
      <c r="BI50" s="26">
        <f t="shared" si="24"/>
        <v>0.54500000000000004</v>
      </c>
      <c r="BJ50" s="26">
        <f t="shared" si="24"/>
        <v>0.55000000000000004</v>
      </c>
      <c r="BK50" s="26">
        <f t="shared" si="24"/>
        <v>0.55500000000000005</v>
      </c>
      <c r="BL50" s="26">
        <f t="shared" si="24"/>
        <v>0.56000000000000005</v>
      </c>
      <c r="BM50" s="26">
        <f t="shared" si="25"/>
        <v>0.56499999999999995</v>
      </c>
      <c r="BN50" s="26">
        <f t="shared" si="25"/>
        <v>0.56999999999999995</v>
      </c>
      <c r="BO50" s="26">
        <f t="shared" si="25"/>
        <v>0.57499999999999996</v>
      </c>
      <c r="BP50" s="26">
        <f t="shared" si="25"/>
        <v>0.57999999999999996</v>
      </c>
      <c r="BQ50" s="26">
        <f t="shared" si="25"/>
        <v>0.58499999999999996</v>
      </c>
      <c r="BR50" s="26">
        <f t="shared" si="25"/>
        <v>0.59</v>
      </c>
      <c r="BS50" s="26">
        <f t="shared" si="25"/>
        <v>0.59499999999999997</v>
      </c>
      <c r="BT50" s="26">
        <f t="shared" si="25"/>
        <v>0.6</v>
      </c>
      <c r="BU50" s="26">
        <f t="shared" si="25"/>
        <v>0.60499999999999998</v>
      </c>
      <c r="BV50" s="26">
        <f t="shared" si="25"/>
        <v>0.61</v>
      </c>
      <c r="BW50" s="26">
        <f t="shared" si="25"/>
        <v>0.61499999999999999</v>
      </c>
      <c r="BX50" s="26">
        <f t="shared" si="25"/>
        <v>0.62</v>
      </c>
      <c r="BY50" s="26">
        <f t="shared" si="25"/>
        <v>0.625</v>
      </c>
      <c r="BZ50" s="26">
        <f t="shared" si="25"/>
        <v>0.63</v>
      </c>
      <c r="CA50" s="26">
        <f t="shared" si="25"/>
        <v>0.63500000000000001</v>
      </c>
      <c r="CB50" s="26">
        <f t="shared" si="25"/>
        <v>0.64</v>
      </c>
      <c r="CC50" s="26">
        <f t="shared" si="26"/>
        <v>0.64500000000000002</v>
      </c>
      <c r="CD50" s="26">
        <f t="shared" si="26"/>
        <v>0.65</v>
      </c>
      <c r="CE50" s="26">
        <f t="shared" si="26"/>
        <v>0.65500000000000003</v>
      </c>
      <c r="CF50" s="26">
        <f t="shared" si="26"/>
        <v>0.66</v>
      </c>
      <c r="CG50" s="26">
        <f t="shared" si="26"/>
        <v>0.66500000000000004</v>
      </c>
      <c r="CH50" s="26">
        <f t="shared" si="26"/>
        <v>0.67</v>
      </c>
      <c r="CI50" s="26">
        <f t="shared" si="26"/>
        <v>0.67500000000000004</v>
      </c>
      <c r="CJ50" s="26">
        <f t="shared" si="26"/>
        <v>0.68</v>
      </c>
      <c r="CK50" s="26">
        <f t="shared" si="26"/>
        <v>0.68500000000000005</v>
      </c>
      <c r="CL50" s="26">
        <f t="shared" si="26"/>
        <v>0.69</v>
      </c>
      <c r="CM50" s="26">
        <f t="shared" si="26"/>
        <v>0.69499999999999995</v>
      </c>
      <c r="CN50" s="26">
        <f t="shared" si="26"/>
        <v>0.7</v>
      </c>
      <c r="CO50" s="26">
        <f t="shared" si="26"/>
        <v>0.70499999999999996</v>
      </c>
      <c r="CP50" s="26">
        <f t="shared" si="26"/>
        <v>0.71</v>
      </c>
      <c r="CQ50" s="26">
        <f t="shared" si="26"/>
        <v>0.71499999999999997</v>
      </c>
      <c r="CR50" s="26">
        <f t="shared" si="26"/>
        <v>0.72</v>
      </c>
      <c r="CS50" s="26">
        <f t="shared" si="27"/>
        <v>0.72499999999999998</v>
      </c>
      <c r="CT50" s="26">
        <f t="shared" si="22"/>
        <v>0.73</v>
      </c>
      <c r="CU50" s="26">
        <f t="shared" si="22"/>
        <v>0.73499999999999999</v>
      </c>
      <c r="CV50" s="26">
        <f t="shared" si="22"/>
        <v>0.74</v>
      </c>
      <c r="CW50" s="26">
        <f t="shared" si="22"/>
        <v>0.745</v>
      </c>
    </row>
    <row r="51" spans="2:101" ht="20.100000000000001" customHeight="1">
      <c r="B51" s="26">
        <f t="shared" ref="B51:Q66" si="29">(ROW(A50)+COLUMN(A50))/200</f>
        <v>0.255</v>
      </c>
      <c r="C51" s="26">
        <f t="shared" si="29"/>
        <v>0.26</v>
      </c>
      <c r="D51" s="26">
        <f t="shared" si="29"/>
        <v>0.26500000000000001</v>
      </c>
      <c r="E51" s="26">
        <f t="shared" si="29"/>
        <v>0.27</v>
      </c>
      <c r="F51" s="26">
        <f t="shared" si="29"/>
        <v>0.27500000000000002</v>
      </c>
      <c r="G51" s="26">
        <f t="shared" si="29"/>
        <v>0.28000000000000003</v>
      </c>
      <c r="H51" s="26">
        <f t="shared" si="29"/>
        <v>0.28499999999999998</v>
      </c>
      <c r="I51" s="26">
        <f t="shared" si="29"/>
        <v>0.28999999999999998</v>
      </c>
      <c r="J51" s="26">
        <f t="shared" si="29"/>
        <v>0.29499999999999998</v>
      </c>
      <c r="K51" s="26">
        <f t="shared" si="29"/>
        <v>0.3</v>
      </c>
      <c r="L51" s="26">
        <f t="shared" si="29"/>
        <v>0.30499999999999999</v>
      </c>
      <c r="M51" s="26">
        <f t="shared" si="29"/>
        <v>0.31</v>
      </c>
      <c r="N51" s="26">
        <f t="shared" si="29"/>
        <v>0.315</v>
      </c>
      <c r="O51" s="26">
        <f t="shared" si="29"/>
        <v>0.32</v>
      </c>
      <c r="P51" s="26">
        <f t="shared" si="29"/>
        <v>0.32500000000000001</v>
      </c>
      <c r="Q51" s="26">
        <f t="shared" si="29"/>
        <v>0.33</v>
      </c>
      <c r="R51" s="26">
        <f t="shared" si="28"/>
        <v>0.33500000000000002</v>
      </c>
      <c r="S51" s="26">
        <f t="shared" si="28"/>
        <v>0.34</v>
      </c>
      <c r="T51" s="26">
        <f t="shared" si="28"/>
        <v>0.34499999999999997</v>
      </c>
      <c r="U51" s="26">
        <f t="shared" si="28"/>
        <v>0.35</v>
      </c>
      <c r="V51" s="26">
        <f t="shared" si="28"/>
        <v>0.35499999999999998</v>
      </c>
      <c r="W51" s="26">
        <f t="shared" si="28"/>
        <v>0.36</v>
      </c>
      <c r="X51" s="26">
        <f t="shared" si="28"/>
        <v>0.36499999999999999</v>
      </c>
      <c r="Y51" s="26">
        <f t="shared" si="28"/>
        <v>0.37</v>
      </c>
      <c r="Z51" s="26">
        <f t="shared" si="28"/>
        <v>0.375</v>
      </c>
      <c r="AA51" s="26">
        <f t="shared" si="28"/>
        <v>0.38</v>
      </c>
      <c r="AB51" s="26">
        <f t="shared" si="28"/>
        <v>0.38500000000000001</v>
      </c>
      <c r="AC51" s="26">
        <f t="shared" si="28"/>
        <v>0.39</v>
      </c>
      <c r="AD51" s="26">
        <f t="shared" si="28"/>
        <v>0.39500000000000002</v>
      </c>
      <c r="AE51" s="26">
        <f t="shared" si="28"/>
        <v>0.4</v>
      </c>
      <c r="AF51" s="26">
        <f t="shared" si="28"/>
        <v>0.40500000000000003</v>
      </c>
      <c r="AG51" s="26">
        <f t="shared" si="23"/>
        <v>0.41</v>
      </c>
      <c r="AH51" s="26">
        <f t="shared" si="23"/>
        <v>0.41499999999999998</v>
      </c>
      <c r="AI51" s="26">
        <f t="shared" si="23"/>
        <v>0.42</v>
      </c>
      <c r="AJ51" s="26">
        <f t="shared" si="23"/>
        <v>0.42499999999999999</v>
      </c>
      <c r="AK51" s="26">
        <f t="shared" si="23"/>
        <v>0.43</v>
      </c>
      <c r="AL51" s="26">
        <f t="shared" si="23"/>
        <v>0.435</v>
      </c>
      <c r="AM51" s="26">
        <f t="shared" si="23"/>
        <v>0.44</v>
      </c>
      <c r="AN51" s="26">
        <f t="shared" si="23"/>
        <v>0.44500000000000001</v>
      </c>
      <c r="AO51" s="26">
        <f t="shared" si="23"/>
        <v>0.45</v>
      </c>
      <c r="AP51" s="26">
        <f t="shared" si="23"/>
        <v>0.45500000000000002</v>
      </c>
      <c r="AQ51" s="26">
        <f t="shared" si="23"/>
        <v>0.46</v>
      </c>
      <c r="AR51" s="26">
        <f t="shared" si="23"/>
        <v>0.46500000000000002</v>
      </c>
      <c r="AS51" s="26">
        <f t="shared" si="23"/>
        <v>0.47</v>
      </c>
      <c r="AT51" s="26">
        <f t="shared" si="23"/>
        <v>0.47499999999999998</v>
      </c>
      <c r="AU51" s="26">
        <f t="shared" si="23"/>
        <v>0.48</v>
      </c>
      <c r="AV51" s="26">
        <f t="shared" si="23"/>
        <v>0.48499999999999999</v>
      </c>
      <c r="AW51" s="26">
        <f t="shared" si="24"/>
        <v>0.49</v>
      </c>
      <c r="AX51" s="26">
        <f t="shared" si="24"/>
        <v>0.495</v>
      </c>
      <c r="AY51" s="26">
        <f t="shared" si="24"/>
        <v>0.5</v>
      </c>
      <c r="AZ51" s="26">
        <f t="shared" si="24"/>
        <v>0.505</v>
      </c>
      <c r="BA51" s="26">
        <f t="shared" si="24"/>
        <v>0.51</v>
      </c>
      <c r="BB51" s="26">
        <f t="shared" si="24"/>
        <v>0.51500000000000001</v>
      </c>
      <c r="BC51" s="26">
        <f t="shared" si="24"/>
        <v>0.52</v>
      </c>
      <c r="BD51" s="26">
        <f t="shared" si="24"/>
        <v>0.52500000000000002</v>
      </c>
      <c r="BE51" s="26">
        <f t="shared" si="24"/>
        <v>0.53</v>
      </c>
      <c r="BF51" s="26">
        <f t="shared" si="24"/>
        <v>0.53500000000000003</v>
      </c>
      <c r="BG51" s="26">
        <f t="shared" si="24"/>
        <v>0.54</v>
      </c>
      <c r="BH51" s="26">
        <f t="shared" si="24"/>
        <v>0.54500000000000004</v>
      </c>
      <c r="BI51" s="26">
        <f t="shared" si="24"/>
        <v>0.55000000000000004</v>
      </c>
      <c r="BJ51" s="26">
        <f t="shared" si="24"/>
        <v>0.55500000000000005</v>
      </c>
      <c r="BK51" s="26">
        <f t="shared" si="24"/>
        <v>0.56000000000000005</v>
      </c>
      <c r="BL51" s="26">
        <f t="shared" si="24"/>
        <v>0.56499999999999995</v>
      </c>
      <c r="BM51" s="26">
        <f t="shared" si="25"/>
        <v>0.56999999999999995</v>
      </c>
      <c r="BN51" s="26">
        <f t="shared" si="25"/>
        <v>0.57499999999999996</v>
      </c>
      <c r="BO51" s="26">
        <f t="shared" si="25"/>
        <v>0.57999999999999996</v>
      </c>
      <c r="BP51" s="26">
        <f t="shared" si="25"/>
        <v>0.58499999999999996</v>
      </c>
      <c r="BQ51" s="26">
        <f t="shared" si="25"/>
        <v>0.59</v>
      </c>
      <c r="BR51" s="26">
        <f t="shared" si="25"/>
        <v>0.59499999999999997</v>
      </c>
      <c r="BS51" s="26">
        <f t="shared" si="25"/>
        <v>0.6</v>
      </c>
      <c r="BT51" s="26">
        <f t="shared" si="25"/>
        <v>0.60499999999999998</v>
      </c>
      <c r="BU51" s="26">
        <f t="shared" si="25"/>
        <v>0.61</v>
      </c>
      <c r="BV51" s="26">
        <f t="shared" si="25"/>
        <v>0.61499999999999999</v>
      </c>
      <c r="BW51" s="26">
        <f t="shared" si="25"/>
        <v>0.62</v>
      </c>
      <c r="BX51" s="26">
        <f t="shared" si="25"/>
        <v>0.625</v>
      </c>
      <c r="BY51" s="26">
        <f t="shared" si="25"/>
        <v>0.63</v>
      </c>
      <c r="BZ51" s="26">
        <f t="shared" si="25"/>
        <v>0.63500000000000001</v>
      </c>
      <c r="CA51" s="26">
        <f t="shared" si="25"/>
        <v>0.64</v>
      </c>
      <c r="CB51" s="26">
        <f t="shared" si="25"/>
        <v>0.64500000000000002</v>
      </c>
      <c r="CC51" s="26">
        <f t="shared" si="26"/>
        <v>0.65</v>
      </c>
      <c r="CD51" s="26">
        <f t="shared" si="26"/>
        <v>0.65500000000000003</v>
      </c>
      <c r="CE51" s="26">
        <f t="shared" si="26"/>
        <v>0.66</v>
      </c>
      <c r="CF51" s="26">
        <f t="shared" si="26"/>
        <v>0.66500000000000004</v>
      </c>
      <c r="CG51" s="26">
        <f t="shared" si="26"/>
        <v>0.67</v>
      </c>
      <c r="CH51" s="26">
        <f t="shared" si="26"/>
        <v>0.67500000000000004</v>
      </c>
      <c r="CI51" s="26">
        <f t="shared" si="26"/>
        <v>0.68</v>
      </c>
      <c r="CJ51" s="26">
        <f t="shared" si="26"/>
        <v>0.68500000000000005</v>
      </c>
      <c r="CK51" s="26">
        <f t="shared" si="26"/>
        <v>0.69</v>
      </c>
      <c r="CL51" s="26">
        <f t="shared" si="26"/>
        <v>0.69499999999999995</v>
      </c>
      <c r="CM51" s="26">
        <f t="shared" si="26"/>
        <v>0.7</v>
      </c>
      <c r="CN51" s="26">
        <f t="shared" si="26"/>
        <v>0.70499999999999996</v>
      </c>
      <c r="CO51" s="26">
        <f t="shared" si="26"/>
        <v>0.71</v>
      </c>
      <c r="CP51" s="26">
        <f t="shared" si="26"/>
        <v>0.71499999999999997</v>
      </c>
      <c r="CQ51" s="26">
        <f t="shared" si="26"/>
        <v>0.72</v>
      </c>
      <c r="CR51" s="26">
        <f t="shared" si="26"/>
        <v>0.72499999999999998</v>
      </c>
      <c r="CS51" s="26">
        <f t="shared" si="27"/>
        <v>0.73</v>
      </c>
      <c r="CT51" s="26">
        <f t="shared" si="22"/>
        <v>0.73499999999999999</v>
      </c>
      <c r="CU51" s="26">
        <f t="shared" si="22"/>
        <v>0.74</v>
      </c>
      <c r="CV51" s="26">
        <f t="shared" si="22"/>
        <v>0.745</v>
      </c>
      <c r="CW51" s="26">
        <f t="shared" si="22"/>
        <v>0.75</v>
      </c>
    </row>
    <row r="52" spans="2:101" ht="20.100000000000001" customHeight="1">
      <c r="B52" s="26">
        <f t="shared" si="29"/>
        <v>0.26</v>
      </c>
      <c r="C52" s="26">
        <f t="shared" si="29"/>
        <v>0.26500000000000001</v>
      </c>
      <c r="D52" s="26">
        <f t="shared" si="29"/>
        <v>0.27</v>
      </c>
      <c r="E52" s="26">
        <f t="shared" si="29"/>
        <v>0.27500000000000002</v>
      </c>
      <c r="F52" s="26">
        <f t="shared" si="29"/>
        <v>0.28000000000000003</v>
      </c>
      <c r="G52" s="26">
        <f t="shared" si="29"/>
        <v>0.28499999999999998</v>
      </c>
      <c r="H52" s="26">
        <f t="shared" si="29"/>
        <v>0.28999999999999998</v>
      </c>
      <c r="I52" s="26">
        <f t="shared" si="29"/>
        <v>0.29499999999999998</v>
      </c>
      <c r="J52" s="26">
        <f t="shared" si="29"/>
        <v>0.3</v>
      </c>
      <c r="K52" s="26">
        <f t="shared" si="29"/>
        <v>0.30499999999999999</v>
      </c>
      <c r="L52" s="26">
        <f t="shared" si="29"/>
        <v>0.31</v>
      </c>
      <c r="M52" s="26">
        <f t="shared" si="29"/>
        <v>0.315</v>
      </c>
      <c r="N52" s="26">
        <f t="shared" si="29"/>
        <v>0.32</v>
      </c>
      <c r="O52" s="26">
        <f t="shared" si="29"/>
        <v>0.32500000000000001</v>
      </c>
      <c r="P52" s="26">
        <f t="shared" si="29"/>
        <v>0.33</v>
      </c>
      <c r="Q52" s="26">
        <f t="shared" si="29"/>
        <v>0.33500000000000002</v>
      </c>
      <c r="R52" s="26">
        <f t="shared" si="28"/>
        <v>0.34</v>
      </c>
      <c r="S52" s="26">
        <f t="shared" si="28"/>
        <v>0.34499999999999997</v>
      </c>
      <c r="T52" s="26">
        <f t="shared" si="28"/>
        <v>0.35</v>
      </c>
      <c r="U52" s="26">
        <f t="shared" si="28"/>
        <v>0.35499999999999998</v>
      </c>
      <c r="V52" s="26">
        <f t="shared" si="28"/>
        <v>0.36</v>
      </c>
      <c r="W52" s="26">
        <f t="shared" si="28"/>
        <v>0.36499999999999999</v>
      </c>
      <c r="X52" s="26">
        <f t="shared" si="28"/>
        <v>0.37</v>
      </c>
      <c r="Y52" s="26">
        <f t="shared" si="28"/>
        <v>0.375</v>
      </c>
      <c r="Z52" s="26">
        <f t="shared" si="28"/>
        <v>0.38</v>
      </c>
      <c r="AA52" s="26">
        <f t="shared" si="28"/>
        <v>0.38500000000000001</v>
      </c>
      <c r="AB52" s="26">
        <f t="shared" si="28"/>
        <v>0.39</v>
      </c>
      <c r="AC52" s="26">
        <f t="shared" si="28"/>
        <v>0.39500000000000002</v>
      </c>
      <c r="AD52" s="26">
        <f t="shared" si="28"/>
        <v>0.4</v>
      </c>
      <c r="AE52" s="26">
        <f t="shared" si="28"/>
        <v>0.40500000000000003</v>
      </c>
      <c r="AF52" s="26">
        <f t="shared" si="28"/>
        <v>0.41</v>
      </c>
      <c r="AG52" s="26">
        <f t="shared" si="23"/>
        <v>0.41499999999999998</v>
      </c>
      <c r="AH52" s="26">
        <f t="shared" si="23"/>
        <v>0.42</v>
      </c>
      <c r="AI52" s="26">
        <f t="shared" si="23"/>
        <v>0.42499999999999999</v>
      </c>
      <c r="AJ52" s="26">
        <f t="shared" si="23"/>
        <v>0.43</v>
      </c>
      <c r="AK52" s="26">
        <f t="shared" si="23"/>
        <v>0.435</v>
      </c>
      <c r="AL52" s="26">
        <f t="shared" si="23"/>
        <v>0.44</v>
      </c>
      <c r="AM52" s="26">
        <f t="shared" si="23"/>
        <v>0.44500000000000001</v>
      </c>
      <c r="AN52" s="26">
        <f t="shared" si="23"/>
        <v>0.45</v>
      </c>
      <c r="AO52" s="26">
        <f t="shared" si="23"/>
        <v>0.45500000000000002</v>
      </c>
      <c r="AP52" s="26">
        <f t="shared" si="23"/>
        <v>0.46</v>
      </c>
      <c r="AQ52" s="26">
        <f t="shared" si="23"/>
        <v>0.46500000000000002</v>
      </c>
      <c r="AR52" s="26">
        <f t="shared" si="23"/>
        <v>0.47</v>
      </c>
      <c r="AS52" s="26">
        <f t="shared" si="23"/>
        <v>0.47499999999999998</v>
      </c>
      <c r="AT52" s="26">
        <f t="shared" si="23"/>
        <v>0.48</v>
      </c>
      <c r="AU52" s="26">
        <f t="shared" si="23"/>
        <v>0.48499999999999999</v>
      </c>
      <c r="AV52" s="26">
        <f t="shared" si="23"/>
        <v>0.49</v>
      </c>
      <c r="AW52" s="26">
        <f t="shared" si="24"/>
        <v>0.495</v>
      </c>
      <c r="AX52" s="26">
        <f t="shared" si="24"/>
        <v>0.5</v>
      </c>
      <c r="AY52" s="26">
        <f t="shared" si="24"/>
        <v>0.505</v>
      </c>
      <c r="AZ52" s="26">
        <f t="shared" si="24"/>
        <v>0.51</v>
      </c>
      <c r="BA52" s="26">
        <f t="shared" si="24"/>
        <v>0.51500000000000001</v>
      </c>
      <c r="BB52" s="26">
        <f t="shared" si="24"/>
        <v>0.52</v>
      </c>
      <c r="BC52" s="26">
        <f t="shared" si="24"/>
        <v>0.52500000000000002</v>
      </c>
      <c r="BD52" s="26">
        <f t="shared" si="24"/>
        <v>0.53</v>
      </c>
      <c r="BE52" s="26">
        <f t="shared" si="24"/>
        <v>0.53500000000000003</v>
      </c>
      <c r="BF52" s="26">
        <f t="shared" si="24"/>
        <v>0.54</v>
      </c>
      <c r="BG52" s="26">
        <f t="shared" si="24"/>
        <v>0.54500000000000004</v>
      </c>
      <c r="BH52" s="26">
        <f t="shared" si="24"/>
        <v>0.55000000000000004</v>
      </c>
      <c r="BI52" s="26">
        <f t="shared" si="24"/>
        <v>0.55500000000000005</v>
      </c>
      <c r="BJ52" s="26">
        <f t="shared" si="24"/>
        <v>0.56000000000000005</v>
      </c>
      <c r="BK52" s="26">
        <f t="shared" si="24"/>
        <v>0.56499999999999995</v>
      </c>
      <c r="BL52" s="26">
        <f t="shared" si="24"/>
        <v>0.56999999999999995</v>
      </c>
      <c r="BM52" s="26">
        <f t="shared" si="25"/>
        <v>0.57499999999999996</v>
      </c>
      <c r="BN52" s="26">
        <f t="shared" si="25"/>
        <v>0.57999999999999996</v>
      </c>
      <c r="BO52" s="26">
        <f t="shared" si="25"/>
        <v>0.58499999999999996</v>
      </c>
      <c r="BP52" s="26">
        <f t="shared" si="25"/>
        <v>0.59</v>
      </c>
      <c r="BQ52" s="26">
        <f t="shared" si="25"/>
        <v>0.59499999999999997</v>
      </c>
      <c r="BR52" s="26">
        <f t="shared" si="25"/>
        <v>0.6</v>
      </c>
      <c r="BS52" s="26">
        <f t="shared" si="25"/>
        <v>0.60499999999999998</v>
      </c>
      <c r="BT52" s="26">
        <f t="shared" si="25"/>
        <v>0.61</v>
      </c>
      <c r="BU52" s="26">
        <f t="shared" si="25"/>
        <v>0.61499999999999999</v>
      </c>
      <c r="BV52" s="26">
        <f t="shared" si="25"/>
        <v>0.62</v>
      </c>
      <c r="BW52" s="26">
        <f t="shared" si="25"/>
        <v>0.625</v>
      </c>
      <c r="BX52" s="26">
        <f t="shared" si="25"/>
        <v>0.63</v>
      </c>
      <c r="BY52" s="26">
        <f t="shared" si="25"/>
        <v>0.63500000000000001</v>
      </c>
      <c r="BZ52" s="26">
        <f t="shared" si="25"/>
        <v>0.64</v>
      </c>
      <c r="CA52" s="26">
        <f t="shared" si="25"/>
        <v>0.64500000000000002</v>
      </c>
      <c r="CB52" s="26">
        <f t="shared" si="25"/>
        <v>0.65</v>
      </c>
      <c r="CC52" s="26">
        <f t="shared" si="26"/>
        <v>0.65500000000000003</v>
      </c>
      <c r="CD52" s="26">
        <f t="shared" si="26"/>
        <v>0.66</v>
      </c>
      <c r="CE52" s="26">
        <f t="shared" si="26"/>
        <v>0.66500000000000004</v>
      </c>
      <c r="CF52" s="26">
        <f t="shared" si="26"/>
        <v>0.67</v>
      </c>
      <c r="CG52" s="26">
        <f t="shared" si="26"/>
        <v>0.67500000000000004</v>
      </c>
      <c r="CH52" s="26">
        <f t="shared" si="26"/>
        <v>0.68</v>
      </c>
      <c r="CI52" s="26">
        <f t="shared" si="26"/>
        <v>0.68500000000000005</v>
      </c>
      <c r="CJ52" s="26">
        <f t="shared" si="26"/>
        <v>0.69</v>
      </c>
      <c r="CK52" s="26">
        <f t="shared" si="26"/>
        <v>0.69499999999999995</v>
      </c>
      <c r="CL52" s="26">
        <f t="shared" si="26"/>
        <v>0.7</v>
      </c>
      <c r="CM52" s="26">
        <f t="shared" si="26"/>
        <v>0.70499999999999996</v>
      </c>
      <c r="CN52" s="26">
        <f t="shared" si="26"/>
        <v>0.71</v>
      </c>
      <c r="CO52" s="26">
        <f t="shared" si="26"/>
        <v>0.71499999999999997</v>
      </c>
      <c r="CP52" s="26">
        <f t="shared" si="26"/>
        <v>0.72</v>
      </c>
      <c r="CQ52" s="26">
        <f t="shared" si="26"/>
        <v>0.72499999999999998</v>
      </c>
      <c r="CR52" s="26">
        <f t="shared" si="26"/>
        <v>0.73</v>
      </c>
      <c r="CS52" s="26">
        <f t="shared" si="27"/>
        <v>0.73499999999999999</v>
      </c>
      <c r="CT52" s="26">
        <f t="shared" si="22"/>
        <v>0.74</v>
      </c>
      <c r="CU52" s="26">
        <f t="shared" si="22"/>
        <v>0.745</v>
      </c>
      <c r="CV52" s="26">
        <f t="shared" si="22"/>
        <v>0.75</v>
      </c>
      <c r="CW52" s="26">
        <f t="shared" si="22"/>
        <v>0.755</v>
      </c>
    </row>
    <row r="53" spans="2:101" ht="20.100000000000001" customHeight="1">
      <c r="B53" s="26">
        <f t="shared" si="29"/>
        <v>0.26500000000000001</v>
      </c>
      <c r="C53" s="26">
        <f t="shared" si="29"/>
        <v>0.27</v>
      </c>
      <c r="D53" s="26">
        <f t="shared" si="29"/>
        <v>0.27500000000000002</v>
      </c>
      <c r="E53" s="26">
        <f t="shared" si="29"/>
        <v>0.28000000000000003</v>
      </c>
      <c r="F53" s="26">
        <f t="shared" si="29"/>
        <v>0.28499999999999998</v>
      </c>
      <c r="G53" s="26">
        <f t="shared" si="29"/>
        <v>0.28999999999999998</v>
      </c>
      <c r="H53" s="26">
        <f t="shared" si="29"/>
        <v>0.29499999999999998</v>
      </c>
      <c r="I53" s="26">
        <f t="shared" si="29"/>
        <v>0.3</v>
      </c>
      <c r="J53" s="26">
        <f t="shared" si="29"/>
        <v>0.30499999999999999</v>
      </c>
      <c r="K53" s="26">
        <f t="shared" si="29"/>
        <v>0.31</v>
      </c>
      <c r="L53" s="26">
        <f t="shared" si="29"/>
        <v>0.315</v>
      </c>
      <c r="M53" s="26">
        <f t="shared" si="29"/>
        <v>0.32</v>
      </c>
      <c r="N53" s="26">
        <f t="shared" si="29"/>
        <v>0.32500000000000001</v>
      </c>
      <c r="O53" s="26">
        <f t="shared" si="29"/>
        <v>0.33</v>
      </c>
      <c r="P53" s="26">
        <f t="shared" si="29"/>
        <v>0.33500000000000002</v>
      </c>
      <c r="Q53" s="26">
        <f t="shared" si="29"/>
        <v>0.34</v>
      </c>
      <c r="R53" s="26">
        <f t="shared" si="28"/>
        <v>0.34499999999999997</v>
      </c>
      <c r="S53" s="26">
        <f t="shared" si="28"/>
        <v>0.35</v>
      </c>
      <c r="T53" s="26">
        <f t="shared" si="28"/>
        <v>0.35499999999999998</v>
      </c>
      <c r="U53" s="26">
        <f t="shared" si="28"/>
        <v>0.36</v>
      </c>
      <c r="V53" s="26">
        <f t="shared" si="28"/>
        <v>0.36499999999999999</v>
      </c>
      <c r="W53" s="26">
        <f t="shared" si="28"/>
        <v>0.37</v>
      </c>
      <c r="X53" s="26">
        <f t="shared" si="28"/>
        <v>0.375</v>
      </c>
      <c r="Y53" s="26">
        <f t="shared" si="28"/>
        <v>0.38</v>
      </c>
      <c r="Z53" s="26">
        <f t="shared" si="28"/>
        <v>0.38500000000000001</v>
      </c>
      <c r="AA53" s="26">
        <f t="shared" si="28"/>
        <v>0.39</v>
      </c>
      <c r="AB53" s="26">
        <f t="shared" si="28"/>
        <v>0.39500000000000002</v>
      </c>
      <c r="AC53" s="26">
        <f t="shared" si="28"/>
        <v>0.4</v>
      </c>
      <c r="AD53" s="26">
        <f t="shared" si="28"/>
        <v>0.40500000000000003</v>
      </c>
      <c r="AE53" s="26">
        <f t="shared" si="28"/>
        <v>0.41</v>
      </c>
      <c r="AF53" s="26">
        <f t="shared" si="28"/>
        <v>0.41499999999999998</v>
      </c>
      <c r="AG53" s="26">
        <f t="shared" si="23"/>
        <v>0.42</v>
      </c>
      <c r="AH53" s="26">
        <f t="shared" si="23"/>
        <v>0.42499999999999999</v>
      </c>
      <c r="AI53" s="26">
        <f t="shared" si="23"/>
        <v>0.43</v>
      </c>
      <c r="AJ53" s="26">
        <f t="shared" si="23"/>
        <v>0.435</v>
      </c>
      <c r="AK53" s="26">
        <f t="shared" si="23"/>
        <v>0.44</v>
      </c>
      <c r="AL53" s="26">
        <f t="shared" si="23"/>
        <v>0.44500000000000001</v>
      </c>
      <c r="AM53" s="26">
        <f t="shared" si="23"/>
        <v>0.45</v>
      </c>
      <c r="AN53" s="26">
        <f t="shared" si="23"/>
        <v>0.45500000000000002</v>
      </c>
      <c r="AO53" s="26">
        <f t="shared" si="23"/>
        <v>0.46</v>
      </c>
      <c r="AP53" s="26">
        <f t="shared" si="23"/>
        <v>0.46500000000000002</v>
      </c>
      <c r="AQ53" s="26">
        <f t="shared" si="23"/>
        <v>0.47</v>
      </c>
      <c r="AR53" s="26">
        <f t="shared" si="23"/>
        <v>0.47499999999999998</v>
      </c>
      <c r="AS53" s="26">
        <f t="shared" si="23"/>
        <v>0.48</v>
      </c>
      <c r="AT53" s="26">
        <f t="shared" si="23"/>
        <v>0.48499999999999999</v>
      </c>
      <c r="AU53" s="26">
        <f t="shared" si="23"/>
        <v>0.49</v>
      </c>
      <c r="AV53" s="26">
        <f t="shared" si="23"/>
        <v>0.495</v>
      </c>
      <c r="AW53" s="26">
        <f t="shared" si="24"/>
        <v>0.5</v>
      </c>
      <c r="AX53" s="26">
        <f t="shared" si="24"/>
        <v>0.505</v>
      </c>
      <c r="AY53" s="26">
        <f t="shared" si="24"/>
        <v>0.51</v>
      </c>
      <c r="AZ53" s="26">
        <f t="shared" si="24"/>
        <v>0.51500000000000001</v>
      </c>
      <c r="BA53" s="26">
        <f t="shared" si="24"/>
        <v>0.52</v>
      </c>
      <c r="BB53" s="26">
        <f t="shared" si="24"/>
        <v>0.52500000000000002</v>
      </c>
      <c r="BC53" s="26">
        <f t="shared" si="24"/>
        <v>0.53</v>
      </c>
      <c r="BD53" s="26">
        <f t="shared" si="24"/>
        <v>0.53500000000000003</v>
      </c>
      <c r="BE53" s="26">
        <f t="shared" si="24"/>
        <v>0.54</v>
      </c>
      <c r="BF53" s="26">
        <f t="shared" si="24"/>
        <v>0.54500000000000004</v>
      </c>
      <c r="BG53" s="26">
        <f t="shared" si="24"/>
        <v>0.55000000000000004</v>
      </c>
      <c r="BH53" s="26">
        <f t="shared" si="24"/>
        <v>0.55500000000000005</v>
      </c>
      <c r="BI53" s="26">
        <f t="shared" si="24"/>
        <v>0.56000000000000005</v>
      </c>
      <c r="BJ53" s="26">
        <f t="shared" si="24"/>
        <v>0.56499999999999995</v>
      </c>
      <c r="BK53" s="26">
        <f t="shared" si="24"/>
        <v>0.56999999999999995</v>
      </c>
      <c r="BL53" s="26">
        <f t="shared" si="24"/>
        <v>0.57499999999999996</v>
      </c>
      <c r="BM53" s="26">
        <f t="shared" si="25"/>
        <v>0.57999999999999996</v>
      </c>
      <c r="BN53" s="26">
        <f t="shared" si="25"/>
        <v>0.58499999999999996</v>
      </c>
      <c r="BO53" s="26">
        <f t="shared" si="25"/>
        <v>0.59</v>
      </c>
      <c r="BP53" s="26">
        <f t="shared" si="25"/>
        <v>0.59499999999999997</v>
      </c>
      <c r="BQ53" s="26">
        <f t="shared" si="25"/>
        <v>0.6</v>
      </c>
      <c r="BR53" s="26">
        <f t="shared" si="25"/>
        <v>0.60499999999999998</v>
      </c>
      <c r="BS53" s="26">
        <f t="shared" si="25"/>
        <v>0.61</v>
      </c>
      <c r="BT53" s="26">
        <f t="shared" si="25"/>
        <v>0.61499999999999999</v>
      </c>
      <c r="BU53" s="26">
        <f t="shared" si="25"/>
        <v>0.62</v>
      </c>
      <c r="BV53" s="26">
        <f t="shared" si="25"/>
        <v>0.625</v>
      </c>
      <c r="BW53" s="26">
        <f t="shared" si="25"/>
        <v>0.63</v>
      </c>
      <c r="BX53" s="26">
        <f t="shared" si="25"/>
        <v>0.63500000000000001</v>
      </c>
      <c r="BY53" s="26">
        <f t="shared" si="25"/>
        <v>0.64</v>
      </c>
      <c r="BZ53" s="26">
        <f t="shared" si="25"/>
        <v>0.64500000000000002</v>
      </c>
      <c r="CA53" s="26">
        <f t="shared" si="25"/>
        <v>0.65</v>
      </c>
      <c r="CB53" s="26">
        <f t="shared" si="25"/>
        <v>0.65500000000000003</v>
      </c>
      <c r="CC53" s="26">
        <f t="shared" si="26"/>
        <v>0.66</v>
      </c>
      <c r="CD53" s="26">
        <f t="shared" si="26"/>
        <v>0.66500000000000004</v>
      </c>
      <c r="CE53" s="26">
        <f t="shared" si="26"/>
        <v>0.67</v>
      </c>
      <c r="CF53" s="26">
        <f t="shared" si="26"/>
        <v>0.67500000000000004</v>
      </c>
      <c r="CG53" s="26">
        <f t="shared" si="26"/>
        <v>0.68</v>
      </c>
      <c r="CH53" s="26">
        <f t="shared" si="26"/>
        <v>0.68500000000000005</v>
      </c>
      <c r="CI53" s="26">
        <f t="shared" si="26"/>
        <v>0.69</v>
      </c>
      <c r="CJ53" s="26">
        <f t="shared" si="26"/>
        <v>0.69499999999999995</v>
      </c>
      <c r="CK53" s="26">
        <f t="shared" si="26"/>
        <v>0.7</v>
      </c>
      <c r="CL53" s="26">
        <f t="shared" si="26"/>
        <v>0.70499999999999996</v>
      </c>
      <c r="CM53" s="26">
        <f t="shared" si="26"/>
        <v>0.71</v>
      </c>
      <c r="CN53" s="26">
        <f t="shared" si="26"/>
        <v>0.71499999999999997</v>
      </c>
      <c r="CO53" s="26">
        <f t="shared" si="26"/>
        <v>0.72</v>
      </c>
      <c r="CP53" s="26">
        <f t="shared" si="26"/>
        <v>0.72499999999999998</v>
      </c>
      <c r="CQ53" s="26">
        <f t="shared" si="26"/>
        <v>0.73</v>
      </c>
      <c r="CR53" s="26">
        <f t="shared" si="26"/>
        <v>0.73499999999999999</v>
      </c>
      <c r="CS53" s="26">
        <f t="shared" si="27"/>
        <v>0.74</v>
      </c>
      <c r="CT53" s="26">
        <f t="shared" si="22"/>
        <v>0.745</v>
      </c>
      <c r="CU53" s="26">
        <f t="shared" si="22"/>
        <v>0.75</v>
      </c>
      <c r="CV53" s="26">
        <f t="shared" si="22"/>
        <v>0.755</v>
      </c>
      <c r="CW53" s="26">
        <f t="shared" si="22"/>
        <v>0.76</v>
      </c>
    </row>
    <row r="54" spans="2:101" ht="20.100000000000001" customHeight="1">
      <c r="B54" s="26">
        <f t="shared" si="29"/>
        <v>0.27</v>
      </c>
      <c r="C54" s="26">
        <f t="shared" si="29"/>
        <v>0.27500000000000002</v>
      </c>
      <c r="D54" s="26">
        <f t="shared" si="29"/>
        <v>0.28000000000000003</v>
      </c>
      <c r="E54" s="26">
        <f t="shared" si="29"/>
        <v>0.28499999999999998</v>
      </c>
      <c r="F54" s="26">
        <f t="shared" si="29"/>
        <v>0.28999999999999998</v>
      </c>
      <c r="G54" s="26">
        <f t="shared" si="29"/>
        <v>0.29499999999999998</v>
      </c>
      <c r="H54" s="26">
        <f t="shared" si="29"/>
        <v>0.3</v>
      </c>
      <c r="I54" s="26">
        <f t="shared" si="29"/>
        <v>0.30499999999999999</v>
      </c>
      <c r="J54" s="26">
        <f t="shared" si="29"/>
        <v>0.31</v>
      </c>
      <c r="K54" s="26">
        <f t="shared" si="29"/>
        <v>0.315</v>
      </c>
      <c r="L54" s="26">
        <f t="shared" si="29"/>
        <v>0.32</v>
      </c>
      <c r="M54" s="26">
        <f t="shared" si="29"/>
        <v>0.32500000000000001</v>
      </c>
      <c r="N54" s="26">
        <f t="shared" si="29"/>
        <v>0.33</v>
      </c>
      <c r="O54" s="26">
        <f t="shared" si="29"/>
        <v>0.33500000000000002</v>
      </c>
      <c r="P54" s="26">
        <f t="shared" si="29"/>
        <v>0.34</v>
      </c>
      <c r="Q54" s="26">
        <f t="shared" si="29"/>
        <v>0.34499999999999997</v>
      </c>
      <c r="R54" s="26">
        <f t="shared" si="28"/>
        <v>0.35</v>
      </c>
      <c r="S54" s="26">
        <f t="shared" si="28"/>
        <v>0.35499999999999998</v>
      </c>
      <c r="T54" s="26">
        <f t="shared" si="28"/>
        <v>0.36</v>
      </c>
      <c r="U54" s="26">
        <f t="shared" si="28"/>
        <v>0.36499999999999999</v>
      </c>
      <c r="V54" s="26">
        <f t="shared" si="28"/>
        <v>0.37</v>
      </c>
      <c r="W54" s="26">
        <f t="shared" si="28"/>
        <v>0.375</v>
      </c>
      <c r="X54" s="26">
        <f t="shared" si="28"/>
        <v>0.38</v>
      </c>
      <c r="Y54" s="26">
        <f t="shared" si="28"/>
        <v>0.38500000000000001</v>
      </c>
      <c r="Z54" s="26">
        <f t="shared" si="28"/>
        <v>0.39</v>
      </c>
      <c r="AA54" s="26">
        <f t="shared" si="28"/>
        <v>0.39500000000000002</v>
      </c>
      <c r="AB54" s="26">
        <f t="shared" si="28"/>
        <v>0.4</v>
      </c>
      <c r="AC54" s="26">
        <f t="shared" si="28"/>
        <v>0.40500000000000003</v>
      </c>
      <c r="AD54" s="26">
        <f t="shared" si="28"/>
        <v>0.41</v>
      </c>
      <c r="AE54" s="26">
        <f t="shared" si="28"/>
        <v>0.41499999999999998</v>
      </c>
      <c r="AF54" s="26">
        <f t="shared" si="28"/>
        <v>0.42</v>
      </c>
      <c r="AG54" s="26">
        <f t="shared" si="23"/>
        <v>0.42499999999999999</v>
      </c>
      <c r="AH54" s="26">
        <f t="shared" si="23"/>
        <v>0.43</v>
      </c>
      <c r="AI54" s="26">
        <f t="shared" si="23"/>
        <v>0.435</v>
      </c>
      <c r="AJ54" s="26">
        <f t="shared" si="23"/>
        <v>0.44</v>
      </c>
      <c r="AK54" s="26">
        <f t="shared" si="23"/>
        <v>0.44500000000000001</v>
      </c>
      <c r="AL54" s="26">
        <f t="shared" si="23"/>
        <v>0.45</v>
      </c>
      <c r="AM54" s="26">
        <f t="shared" si="23"/>
        <v>0.45500000000000002</v>
      </c>
      <c r="AN54" s="26">
        <f t="shared" si="23"/>
        <v>0.46</v>
      </c>
      <c r="AO54" s="26">
        <f t="shared" si="23"/>
        <v>0.46500000000000002</v>
      </c>
      <c r="AP54" s="26">
        <f t="shared" si="23"/>
        <v>0.47</v>
      </c>
      <c r="AQ54" s="26">
        <f t="shared" si="23"/>
        <v>0.47499999999999998</v>
      </c>
      <c r="AR54" s="26">
        <f t="shared" si="23"/>
        <v>0.48</v>
      </c>
      <c r="AS54" s="26">
        <f t="shared" si="23"/>
        <v>0.48499999999999999</v>
      </c>
      <c r="AT54" s="26">
        <f t="shared" si="23"/>
        <v>0.49</v>
      </c>
      <c r="AU54" s="26">
        <f t="shared" si="23"/>
        <v>0.495</v>
      </c>
      <c r="AV54" s="26">
        <f t="shared" si="23"/>
        <v>0.5</v>
      </c>
      <c r="AW54" s="26">
        <f t="shared" si="24"/>
        <v>0.505</v>
      </c>
      <c r="AX54" s="26">
        <f t="shared" si="24"/>
        <v>0.51</v>
      </c>
      <c r="AY54" s="26">
        <f t="shared" si="24"/>
        <v>0.51500000000000001</v>
      </c>
      <c r="AZ54" s="26">
        <f t="shared" si="24"/>
        <v>0.52</v>
      </c>
      <c r="BA54" s="26">
        <f t="shared" si="24"/>
        <v>0.52500000000000002</v>
      </c>
      <c r="BB54" s="26">
        <f t="shared" si="24"/>
        <v>0.53</v>
      </c>
      <c r="BC54" s="26">
        <f t="shared" si="24"/>
        <v>0.53500000000000003</v>
      </c>
      <c r="BD54" s="26">
        <f t="shared" si="24"/>
        <v>0.54</v>
      </c>
      <c r="BE54" s="26">
        <f t="shared" si="24"/>
        <v>0.54500000000000004</v>
      </c>
      <c r="BF54" s="26">
        <f t="shared" si="24"/>
        <v>0.55000000000000004</v>
      </c>
      <c r="BG54" s="26">
        <f t="shared" si="24"/>
        <v>0.55500000000000005</v>
      </c>
      <c r="BH54" s="26">
        <f t="shared" si="24"/>
        <v>0.56000000000000005</v>
      </c>
      <c r="BI54" s="26">
        <f t="shared" si="24"/>
        <v>0.56499999999999995</v>
      </c>
      <c r="BJ54" s="26">
        <f t="shared" si="24"/>
        <v>0.56999999999999995</v>
      </c>
      <c r="BK54" s="26">
        <f t="shared" si="24"/>
        <v>0.57499999999999996</v>
      </c>
      <c r="BL54" s="26">
        <f t="shared" si="24"/>
        <v>0.57999999999999996</v>
      </c>
      <c r="BM54" s="26">
        <f t="shared" si="25"/>
        <v>0.58499999999999996</v>
      </c>
      <c r="BN54" s="26">
        <f t="shared" si="25"/>
        <v>0.59</v>
      </c>
      <c r="BO54" s="26">
        <f t="shared" si="25"/>
        <v>0.59499999999999997</v>
      </c>
      <c r="BP54" s="26">
        <f t="shared" si="25"/>
        <v>0.6</v>
      </c>
      <c r="BQ54" s="26">
        <f t="shared" si="25"/>
        <v>0.60499999999999998</v>
      </c>
      <c r="BR54" s="26">
        <f t="shared" si="25"/>
        <v>0.61</v>
      </c>
      <c r="BS54" s="26">
        <f t="shared" si="25"/>
        <v>0.61499999999999999</v>
      </c>
      <c r="BT54" s="26">
        <f t="shared" si="25"/>
        <v>0.62</v>
      </c>
      <c r="BU54" s="26">
        <f t="shared" si="25"/>
        <v>0.625</v>
      </c>
      <c r="BV54" s="26">
        <f t="shared" si="25"/>
        <v>0.63</v>
      </c>
      <c r="BW54" s="26">
        <f t="shared" si="25"/>
        <v>0.63500000000000001</v>
      </c>
      <c r="BX54" s="26">
        <f t="shared" si="25"/>
        <v>0.64</v>
      </c>
      <c r="BY54" s="26">
        <f t="shared" si="25"/>
        <v>0.64500000000000002</v>
      </c>
      <c r="BZ54" s="26">
        <f t="shared" si="25"/>
        <v>0.65</v>
      </c>
      <c r="CA54" s="26">
        <f t="shared" si="25"/>
        <v>0.65500000000000003</v>
      </c>
      <c r="CB54" s="26">
        <f t="shared" si="25"/>
        <v>0.66</v>
      </c>
      <c r="CC54" s="26">
        <f t="shared" si="26"/>
        <v>0.66500000000000004</v>
      </c>
      <c r="CD54" s="26">
        <f t="shared" si="26"/>
        <v>0.67</v>
      </c>
      <c r="CE54" s="26">
        <f t="shared" si="26"/>
        <v>0.67500000000000004</v>
      </c>
      <c r="CF54" s="26">
        <f t="shared" si="26"/>
        <v>0.68</v>
      </c>
      <c r="CG54" s="26">
        <f t="shared" si="26"/>
        <v>0.68500000000000005</v>
      </c>
      <c r="CH54" s="26">
        <f t="shared" si="26"/>
        <v>0.69</v>
      </c>
      <c r="CI54" s="26">
        <f t="shared" si="26"/>
        <v>0.69499999999999995</v>
      </c>
      <c r="CJ54" s="26">
        <f t="shared" si="26"/>
        <v>0.7</v>
      </c>
      <c r="CK54" s="26">
        <f t="shared" si="26"/>
        <v>0.70499999999999996</v>
      </c>
      <c r="CL54" s="26">
        <f t="shared" si="26"/>
        <v>0.71</v>
      </c>
      <c r="CM54" s="26">
        <f t="shared" si="26"/>
        <v>0.71499999999999997</v>
      </c>
      <c r="CN54" s="26">
        <f t="shared" si="26"/>
        <v>0.72</v>
      </c>
      <c r="CO54" s="26">
        <f t="shared" si="26"/>
        <v>0.72499999999999998</v>
      </c>
      <c r="CP54" s="26">
        <f t="shared" si="26"/>
        <v>0.73</v>
      </c>
      <c r="CQ54" s="26">
        <f t="shared" si="26"/>
        <v>0.73499999999999999</v>
      </c>
      <c r="CR54" s="26">
        <f t="shared" si="26"/>
        <v>0.74</v>
      </c>
      <c r="CS54" s="26">
        <f t="shared" si="27"/>
        <v>0.745</v>
      </c>
      <c r="CT54" s="26">
        <f t="shared" si="22"/>
        <v>0.75</v>
      </c>
      <c r="CU54" s="26">
        <f t="shared" si="22"/>
        <v>0.755</v>
      </c>
      <c r="CV54" s="26">
        <f t="shared" si="22"/>
        <v>0.76</v>
      </c>
      <c r="CW54" s="26">
        <f t="shared" si="22"/>
        <v>0.76500000000000001</v>
      </c>
    </row>
    <row r="55" spans="2:101" ht="20.100000000000001" customHeight="1">
      <c r="B55" s="26">
        <f t="shared" si="29"/>
        <v>0.27500000000000002</v>
      </c>
      <c r="C55" s="26">
        <f t="shared" si="29"/>
        <v>0.28000000000000003</v>
      </c>
      <c r="D55" s="26">
        <f t="shared" si="29"/>
        <v>0.28499999999999998</v>
      </c>
      <c r="E55" s="26">
        <f t="shared" si="29"/>
        <v>0.28999999999999998</v>
      </c>
      <c r="F55" s="26">
        <f t="shared" si="29"/>
        <v>0.29499999999999998</v>
      </c>
      <c r="G55" s="26">
        <f t="shared" si="29"/>
        <v>0.3</v>
      </c>
      <c r="H55" s="26">
        <f t="shared" si="29"/>
        <v>0.30499999999999999</v>
      </c>
      <c r="I55" s="26">
        <f t="shared" si="29"/>
        <v>0.31</v>
      </c>
      <c r="J55" s="26">
        <f t="shared" si="29"/>
        <v>0.315</v>
      </c>
      <c r="K55" s="26">
        <f t="shared" si="29"/>
        <v>0.32</v>
      </c>
      <c r="L55" s="26">
        <f t="shared" si="29"/>
        <v>0.32500000000000001</v>
      </c>
      <c r="M55" s="26">
        <f t="shared" si="29"/>
        <v>0.33</v>
      </c>
      <c r="N55" s="26">
        <f t="shared" si="29"/>
        <v>0.33500000000000002</v>
      </c>
      <c r="O55" s="26">
        <f t="shared" si="29"/>
        <v>0.34</v>
      </c>
      <c r="P55" s="26">
        <f t="shared" si="29"/>
        <v>0.34499999999999997</v>
      </c>
      <c r="Q55" s="26">
        <f t="shared" si="29"/>
        <v>0.35</v>
      </c>
      <c r="R55" s="26">
        <f t="shared" si="28"/>
        <v>0.35499999999999998</v>
      </c>
      <c r="S55" s="26">
        <f t="shared" si="28"/>
        <v>0.36</v>
      </c>
      <c r="T55" s="26">
        <f t="shared" si="28"/>
        <v>0.36499999999999999</v>
      </c>
      <c r="U55" s="26">
        <f t="shared" si="28"/>
        <v>0.37</v>
      </c>
      <c r="V55" s="26">
        <f t="shared" si="28"/>
        <v>0.375</v>
      </c>
      <c r="W55" s="26">
        <f t="shared" si="28"/>
        <v>0.38</v>
      </c>
      <c r="X55" s="26">
        <f t="shared" si="28"/>
        <v>0.38500000000000001</v>
      </c>
      <c r="Y55" s="26">
        <f t="shared" si="28"/>
        <v>0.39</v>
      </c>
      <c r="Z55" s="26">
        <f t="shared" si="28"/>
        <v>0.39500000000000002</v>
      </c>
      <c r="AA55" s="26">
        <f t="shared" si="28"/>
        <v>0.4</v>
      </c>
      <c r="AB55" s="26">
        <f t="shared" si="28"/>
        <v>0.40500000000000003</v>
      </c>
      <c r="AC55" s="26">
        <f t="shared" si="28"/>
        <v>0.41</v>
      </c>
      <c r="AD55" s="26">
        <f t="shared" si="28"/>
        <v>0.41499999999999998</v>
      </c>
      <c r="AE55" s="26">
        <f t="shared" si="28"/>
        <v>0.42</v>
      </c>
      <c r="AF55" s="26">
        <f t="shared" si="28"/>
        <v>0.42499999999999999</v>
      </c>
      <c r="AG55" s="26">
        <f t="shared" si="23"/>
        <v>0.43</v>
      </c>
      <c r="AH55" s="26">
        <f t="shared" si="23"/>
        <v>0.435</v>
      </c>
      <c r="AI55" s="26">
        <f t="shared" si="23"/>
        <v>0.44</v>
      </c>
      <c r="AJ55" s="26">
        <f t="shared" si="23"/>
        <v>0.44500000000000001</v>
      </c>
      <c r="AK55" s="26">
        <f t="shared" si="23"/>
        <v>0.45</v>
      </c>
      <c r="AL55" s="26">
        <f t="shared" si="23"/>
        <v>0.45500000000000002</v>
      </c>
      <c r="AM55" s="26">
        <f t="shared" si="23"/>
        <v>0.46</v>
      </c>
      <c r="AN55" s="26">
        <f t="shared" si="23"/>
        <v>0.46500000000000002</v>
      </c>
      <c r="AO55" s="26">
        <f t="shared" si="23"/>
        <v>0.47</v>
      </c>
      <c r="AP55" s="26">
        <f t="shared" si="23"/>
        <v>0.47499999999999998</v>
      </c>
      <c r="AQ55" s="26">
        <f t="shared" si="23"/>
        <v>0.48</v>
      </c>
      <c r="AR55" s="26">
        <f t="shared" si="23"/>
        <v>0.48499999999999999</v>
      </c>
      <c r="AS55" s="26">
        <f t="shared" si="23"/>
        <v>0.49</v>
      </c>
      <c r="AT55" s="26">
        <f t="shared" si="23"/>
        <v>0.495</v>
      </c>
      <c r="AU55" s="26">
        <f t="shared" si="23"/>
        <v>0.5</v>
      </c>
      <c r="AV55" s="26">
        <f t="shared" si="23"/>
        <v>0.505</v>
      </c>
      <c r="AW55" s="26">
        <f t="shared" si="24"/>
        <v>0.51</v>
      </c>
      <c r="AX55" s="26">
        <f t="shared" si="24"/>
        <v>0.51500000000000001</v>
      </c>
      <c r="AY55" s="26">
        <f t="shared" si="24"/>
        <v>0.52</v>
      </c>
      <c r="AZ55" s="26">
        <f t="shared" si="24"/>
        <v>0.52500000000000002</v>
      </c>
      <c r="BA55" s="26">
        <f t="shared" si="24"/>
        <v>0.53</v>
      </c>
      <c r="BB55" s="26">
        <f t="shared" si="24"/>
        <v>0.53500000000000003</v>
      </c>
      <c r="BC55" s="26">
        <f t="shared" si="24"/>
        <v>0.54</v>
      </c>
      <c r="BD55" s="26">
        <f t="shared" si="24"/>
        <v>0.54500000000000004</v>
      </c>
      <c r="BE55" s="26">
        <f t="shared" si="24"/>
        <v>0.55000000000000004</v>
      </c>
      <c r="BF55" s="26">
        <f t="shared" si="24"/>
        <v>0.55500000000000005</v>
      </c>
      <c r="BG55" s="26">
        <f t="shared" si="24"/>
        <v>0.56000000000000005</v>
      </c>
      <c r="BH55" s="26">
        <f t="shared" si="24"/>
        <v>0.56499999999999995</v>
      </c>
      <c r="BI55" s="26">
        <f t="shared" si="24"/>
        <v>0.56999999999999995</v>
      </c>
      <c r="BJ55" s="26">
        <f t="shared" si="24"/>
        <v>0.57499999999999996</v>
      </c>
      <c r="BK55" s="26">
        <f t="shared" si="24"/>
        <v>0.57999999999999996</v>
      </c>
      <c r="BL55" s="26">
        <f t="shared" si="24"/>
        <v>0.58499999999999996</v>
      </c>
      <c r="BM55" s="26">
        <f t="shared" si="25"/>
        <v>0.59</v>
      </c>
      <c r="BN55" s="26">
        <f t="shared" si="25"/>
        <v>0.59499999999999997</v>
      </c>
      <c r="BO55" s="26">
        <f t="shared" si="25"/>
        <v>0.6</v>
      </c>
      <c r="BP55" s="26">
        <f t="shared" si="25"/>
        <v>0.60499999999999998</v>
      </c>
      <c r="BQ55" s="26">
        <f t="shared" si="25"/>
        <v>0.61</v>
      </c>
      <c r="BR55" s="26">
        <f t="shared" si="25"/>
        <v>0.61499999999999999</v>
      </c>
      <c r="BS55" s="26">
        <f t="shared" si="25"/>
        <v>0.62</v>
      </c>
      <c r="BT55" s="26">
        <f t="shared" si="25"/>
        <v>0.625</v>
      </c>
      <c r="BU55" s="26">
        <f t="shared" si="25"/>
        <v>0.63</v>
      </c>
      <c r="BV55" s="26">
        <f t="shared" si="25"/>
        <v>0.63500000000000001</v>
      </c>
      <c r="BW55" s="26">
        <f t="shared" si="25"/>
        <v>0.64</v>
      </c>
      <c r="BX55" s="26">
        <f t="shared" si="25"/>
        <v>0.64500000000000002</v>
      </c>
      <c r="BY55" s="26">
        <f t="shared" si="25"/>
        <v>0.65</v>
      </c>
      <c r="BZ55" s="26">
        <f t="shared" si="25"/>
        <v>0.65500000000000003</v>
      </c>
      <c r="CA55" s="26">
        <f t="shared" si="25"/>
        <v>0.66</v>
      </c>
      <c r="CB55" s="26">
        <f t="shared" si="25"/>
        <v>0.66500000000000004</v>
      </c>
      <c r="CC55" s="26">
        <f t="shared" si="26"/>
        <v>0.67</v>
      </c>
      <c r="CD55" s="26">
        <f t="shared" si="26"/>
        <v>0.67500000000000004</v>
      </c>
      <c r="CE55" s="26">
        <f t="shared" si="26"/>
        <v>0.68</v>
      </c>
      <c r="CF55" s="26">
        <f t="shared" si="26"/>
        <v>0.68500000000000005</v>
      </c>
      <c r="CG55" s="26">
        <f t="shared" si="26"/>
        <v>0.69</v>
      </c>
      <c r="CH55" s="26">
        <f t="shared" si="26"/>
        <v>0.69499999999999995</v>
      </c>
      <c r="CI55" s="26">
        <f t="shared" si="26"/>
        <v>0.7</v>
      </c>
      <c r="CJ55" s="26">
        <f t="shared" si="26"/>
        <v>0.70499999999999996</v>
      </c>
      <c r="CK55" s="26">
        <f t="shared" si="26"/>
        <v>0.71</v>
      </c>
      <c r="CL55" s="26">
        <f t="shared" si="26"/>
        <v>0.71499999999999997</v>
      </c>
      <c r="CM55" s="26">
        <f t="shared" si="26"/>
        <v>0.72</v>
      </c>
      <c r="CN55" s="26">
        <f t="shared" si="26"/>
        <v>0.72499999999999998</v>
      </c>
      <c r="CO55" s="26">
        <f t="shared" si="26"/>
        <v>0.73</v>
      </c>
      <c r="CP55" s="26">
        <f t="shared" si="26"/>
        <v>0.73499999999999999</v>
      </c>
      <c r="CQ55" s="26">
        <f t="shared" si="26"/>
        <v>0.74</v>
      </c>
      <c r="CR55" s="26">
        <f t="shared" si="26"/>
        <v>0.745</v>
      </c>
      <c r="CS55" s="26">
        <f t="shared" si="27"/>
        <v>0.75</v>
      </c>
      <c r="CT55" s="26">
        <f t="shared" si="22"/>
        <v>0.755</v>
      </c>
      <c r="CU55" s="26">
        <f t="shared" si="22"/>
        <v>0.76</v>
      </c>
      <c r="CV55" s="26">
        <f t="shared" si="22"/>
        <v>0.76500000000000001</v>
      </c>
      <c r="CW55" s="26">
        <f t="shared" si="22"/>
        <v>0.77</v>
      </c>
    </row>
    <row r="56" spans="2:101" ht="20.100000000000001" customHeight="1">
      <c r="B56" s="26">
        <f t="shared" si="29"/>
        <v>0.28000000000000003</v>
      </c>
      <c r="C56" s="26">
        <f t="shared" si="29"/>
        <v>0.28499999999999998</v>
      </c>
      <c r="D56" s="26">
        <f t="shared" si="29"/>
        <v>0.28999999999999998</v>
      </c>
      <c r="E56" s="26">
        <f t="shared" si="29"/>
        <v>0.29499999999999998</v>
      </c>
      <c r="F56" s="26">
        <f t="shared" si="29"/>
        <v>0.3</v>
      </c>
      <c r="G56" s="26">
        <f t="shared" si="29"/>
        <v>0.30499999999999999</v>
      </c>
      <c r="H56" s="26">
        <f t="shared" si="29"/>
        <v>0.31</v>
      </c>
      <c r="I56" s="26">
        <f t="shared" si="29"/>
        <v>0.315</v>
      </c>
      <c r="J56" s="26">
        <f t="shared" si="29"/>
        <v>0.32</v>
      </c>
      <c r="K56" s="26">
        <f t="shared" si="29"/>
        <v>0.32500000000000001</v>
      </c>
      <c r="L56" s="26">
        <f t="shared" si="29"/>
        <v>0.33</v>
      </c>
      <c r="M56" s="26">
        <f t="shared" si="29"/>
        <v>0.33500000000000002</v>
      </c>
      <c r="N56" s="26">
        <f t="shared" si="29"/>
        <v>0.34</v>
      </c>
      <c r="O56" s="26">
        <f t="shared" si="29"/>
        <v>0.34499999999999997</v>
      </c>
      <c r="P56" s="26">
        <f t="shared" si="29"/>
        <v>0.35</v>
      </c>
      <c r="Q56" s="26">
        <f t="shared" si="29"/>
        <v>0.35499999999999998</v>
      </c>
      <c r="R56" s="26">
        <f t="shared" si="28"/>
        <v>0.36</v>
      </c>
      <c r="S56" s="26">
        <f t="shared" si="28"/>
        <v>0.36499999999999999</v>
      </c>
      <c r="T56" s="26">
        <f t="shared" si="28"/>
        <v>0.37</v>
      </c>
      <c r="U56" s="26">
        <f t="shared" si="28"/>
        <v>0.375</v>
      </c>
      <c r="V56" s="26">
        <f t="shared" si="28"/>
        <v>0.38</v>
      </c>
      <c r="W56" s="26">
        <f t="shared" si="28"/>
        <v>0.38500000000000001</v>
      </c>
      <c r="X56" s="26">
        <f t="shared" si="28"/>
        <v>0.39</v>
      </c>
      <c r="Y56" s="26">
        <f t="shared" si="28"/>
        <v>0.39500000000000002</v>
      </c>
      <c r="Z56" s="26">
        <f t="shared" si="28"/>
        <v>0.4</v>
      </c>
      <c r="AA56" s="26">
        <f t="shared" si="28"/>
        <v>0.40500000000000003</v>
      </c>
      <c r="AB56" s="26">
        <f t="shared" si="28"/>
        <v>0.41</v>
      </c>
      <c r="AC56" s="26">
        <f t="shared" si="28"/>
        <v>0.41499999999999998</v>
      </c>
      <c r="AD56" s="26">
        <f t="shared" si="28"/>
        <v>0.42</v>
      </c>
      <c r="AE56" s="26">
        <f t="shared" si="28"/>
        <v>0.42499999999999999</v>
      </c>
      <c r="AF56" s="26">
        <f t="shared" si="28"/>
        <v>0.43</v>
      </c>
      <c r="AG56" s="26">
        <f t="shared" si="23"/>
        <v>0.435</v>
      </c>
      <c r="AH56" s="26">
        <f t="shared" si="23"/>
        <v>0.44</v>
      </c>
      <c r="AI56" s="26">
        <f t="shared" si="23"/>
        <v>0.44500000000000001</v>
      </c>
      <c r="AJ56" s="26">
        <f t="shared" si="23"/>
        <v>0.45</v>
      </c>
      <c r="AK56" s="26">
        <f t="shared" si="23"/>
        <v>0.45500000000000002</v>
      </c>
      <c r="AL56" s="26">
        <f t="shared" si="23"/>
        <v>0.46</v>
      </c>
      <c r="AM56" s="26">
        <f t="shared" si="23"/>
        <v>0.46500000000000002</v>
      </c>
      <c r="AN56" s="26">
        <f t="shared" si="23"/>
        <v>0.47</v>
      </c>
      <c r="AO56" s="26">
        <f t="shared" si="23"/>
        <v>0.47499999999999998</v>
      </c>
      <c r="AP56" s="26">
        <f t="shared" si="23"/>
        <v>0.48</v>
      </c>
      <c r="AQ56" s="26">
        <f t="shared" si="23"/>
        <v>0.48499999999999999</v>
      </c>
      <c r="AR56" s="26">
        <f t="shared" si="23"/>
        <v>0.49</v>
      </c>
      <c r="AS56" s="26">
        <f t="shared" si="23"/>
        <v>0.495</v>
      </c>
      <c r="AT56" s="26">
        <f t="shared" si="23"/>
        <v>0.5</v>
      </c>
      <c r="AU56" s="26">
        <f t="shared" si="23"/>
        <v>0.505</v>
      </c>
      <c r="AV56" s="26">
        <f t="shared" si="23"/>
        <v>0.51</v>
      </c>
      <c r="AW56" s="26">
        <f t="shared" si="24"/>
        <v>0.51500000000000001</v>
      </c>
      <c r="AX56" s="26">
        <f t="shared" si="24"/>
        <v>0.52</v>
      </c>
      <c r="AY56" s="26">
        <f t="shared" si="24"/>
        <v>0.52500000000000002</v>
      </c>
      <c r="AZ56" s="26">
        <f t="shared" si="24"/>
        <v>0.53</v>
      </c>
      <c r="BA56" s="26">
        <f t="shared" si="24"/>
        <v>0.53500000000000003</v>
      </c>
      <c r="BB56" s="26">
        <f t="shared" si="24"/>
        <v>0.54</v>
      </c>
      <c r="BC56" s="26">
        <f t="shared" si="24"/>
        <v>0.54500000000000004</v>
      </c>
      <c r="BD56" s="26">
        <f t="shared" si="24"/>
        <v>0.55000000000000004</v>
      </c>
      <c r="BE56" s="26">
        <f t="shared" si="24"/>
        <v>0.55500000000000005</v>
      </c>
      <c r="BF56" s="26">
        <f t="shared" si="24"/>
        <v>0.56000000000000005</v>
      </c>
      <c r="BG56" s="26">
        <f t="shared" si="24"/>
        <v>0.56499999999999995</v>
      </c>
      <c r="BH56" s="26">
        <f t="shared" si="24"/>
        <v>0.56999999999999995</v>
      </c>
      <c r="BI56" s="26">
        <f t="shared" si="24"/>
        <v>0.57499999999999996</v>
      </c>
      <c r="BJ56" s="26">
        <f t="shared" si="24"/>
        <v>0.57999999999999996</v>
      </c>
      <c r="BK56" s="26">
        <f t="shared" si="24"/>
        <v>0.58499999999999996</v>
      </c>
      <c r="BL56" s="26">
        <f t="shared" si="24"/>
        <v>0.59</v>
      </c>
      <c r="BM56" s="26">
        <f t="shared" si="25"/>
        <v>0.59499999999999997</v>
      </c>
      <c r="BN56" s="26">
        <f t="shared" si="25"/>
        <v>0.6</v>
      </c>
      <c r="BO56" s="26">
        <f t="shared" si="25"/>
        <v>0.60499999999999998</v>
      </c>
      <c r="BP56" s="26">
        <f t="shared" si="25"/>
        <v>0.61</v>
      </c>
      <c r="BQ56" s="26">
        <f t="shared" si="25"/>
        <v>0.61499999999999999</v>
      </c>
      <c r="BR56" s="26">
        <f t="shared" si="25"/>
        <v>0.62</v>
      </c>
      <c r="BS56" s="26">
        <f t="shared" si="25"/>
        <v>0.625</v>
      </c>
      <c r="BT56" s="26">
        <f t="shared" si="25"/>
        <v>0.63</v>
      </c>
      <c r="BU56" s="26">
        <f t="shared" si="25"/>
        <v>0.63500000000000001</v>
      </c>
      <c r="BV56" s="26">
        <f t="shared" si="25"/>
        <v>0.64</v>
      </c>
      <c r="BW56" s="26">
        <f t="shared" si="25"/>
        <v>0.64500000000000002</v>
      </c>
      <c r="BX56" s="26">
        <f t="shared" si="25"/>
        <v>0.65</v>
      </c>
      <c r="BY56" s="26">
        <f t="shared" si="25"/>
        <v>0.65500000000000003</v>
      </c>
      <c r="BZ56" s="26">
        <f t="shared" si="25"/>
        <v>0.66</v>
      </c>
      <c r="CA56" s="26">
        <f t="shared" si="25"/>
        <v>0.66500000000000004</v>
      </c>
      <c r="CB56" s="26">
        <f t="shared" si="25"/>
        <v>0.67</v>
      </c>
      <c r="CC56" s="26">
        <f t="shared" si="26"/>
        <v>0.67500000000000004</v>
      </c>
      <c r="CD56" s="26">
        <f t="shared" si="26"/>
        <v>0.68</v>
      </c>
      <c r="CE56" s="26">
        <f t="shared" si="26"/>
        <v>0.68500000000000005</v>
      </c>
      <c r="CF56" s="26">
        <f t="shared" si="26"/>
        <v>0.69</v>
      </c>
      <c r="CG56" s="26">
        <f t="shared" si="26"/>
        <v>0.69499999999999995</v>
      </c>
      <c r="CH56" s="26">
        <f t="shared" si="26"/>
        <v>0.7</v>
      </c>
      <c r="CI56" s="26">
        <f t="shared" si="26"/>
        <v>0.70499999999999996</v>
      </c>
      <c r="CJ56" s="26">
        <f t="shared" si="26"/>
        <v>0.71</v>
      </c>
      <c r="CK56" s="26">
        <f t="shared" si="26"/>
        <v>0.71499999999999997</v>
      </c>
      <c r="CL56" s="26">
        <f t="shared" si="26"/>
        <v>0.72</v>
      </c>
      <c r="CM56" s="26">
        <f t="shared" si="26"/>
        <v>0.72499999999999998</v>
      </c>
      <c r="CN56" s="26">
        <f t="shared" si="26"/>
        <v>0.73</v>
      </c>
      <c r="CO56" s="26">
        <f t="shared" si="26"/>
        <v>0.73499999999999999</v>
      </c>
      <c r="CP56" s="26">
        <f t="shared" si="26"/>
        <v>0.74</v>
      </c>
      <c r="CQ56" s="26">
        <f t="shared" si="26"/>
        <v>0.745</v>
      </c>
      <c r="CR56" s="26">
        <f t="shared" si="26"/>
        <v>0.75</v>
      </c>
      <c r="CS56" s="26">
        <f t="shared" si="27"/>
        <v>0.755</v>
      </c>
      <c r="CT56" s="26">
        <f t="shared" si="22"/>
        <v>0.76</v>
      </c>
      <c r="CU56" s="26">
        <f t="shared" si="22"/>
        <v>0.76500000000000001</v>
      </c>
      <c r="CV56" s="26">
        <f t="shared" si="22"/>
        <v>0.77</v>
      </c>
      <c r="CW56" s="26">
        <f t="shared" si="22"/>
        <v>0.77500000000000002</v>
      </c>
    </row>
    <row r="57" spans="2:101" ht="20.100000000000001" customHeight="1">
      <c r="B57" s="26">
        <f t="shared" si="29"/>
        <v>0.28499999999999998</v>
      </c>
      <c r="C57" s="26">
        <f t="shared" si="29"/>
        <v>0.28999999999999998</v>
      </c>
      <c r="D57" s="26">
        <f t="shared" si="29"/>
        <v>0.29499999999999998</v>
      </c>
      <c r="E57" s="26">
        <f t="shared" si="29"/>
        <v>0.3</v>
      </c>
      <c r="F57" s="26">
        <f t="shared" si="29"/>
        <v>0.30499999999999999</v>
      </c>
      <c r="G57" s="26">
        <f t="shared" si="29"/>
        <v>0.31</v>
      </c>
      <c r="H57" s="26">
        <f t="shared" si="29"/>
        <v>0.315</v>
      </c>
      <c r="I57" s="26">
        <f t="shared" si="29"/>
        <v>0.32</v>
      </c>
      <c r="J57" s="26">
        <f t="shared" si="29"/>
        <v>0.32500000000000001</v>
      </c>
      <c r="K57" s="26">
        <f t="shared" si="29"/>
        <v>0.33</v>
      </c>
      <c r="L57" s="26">
        <f t="shared" si="29"/>
        <v>0.33500000000000002</v>
      </c>
      <c r="M57" s="26">
        <f t="shared" si="29"/>
        <v>0.34</v>
      </c>
      <c r="N57" s="26">
        <f t="shared" si="29"/>
        <v>0.34499999999999997</v>
      </c>
      <c r="O57" s="26">
        <f t="shared" si="29"/>
        <v>0.35</v>
      </c>
      <c r="P57" s="26">
        <f t="shared" si="29"/>
        <v>0.35499999999999998</v>
      </c>
      <c r="Q57" s="26">
        <f t="shared" si="29"/>
        <v>0.36</v>
      </c>
      <c r="R57" s="26">
        <f t="shared" si="28"/>
        <v>0.36499999999999999</v>
      </c>
      <c r="S57" s="26">
        <f t="shared" si="28"/>
        <v>0.37</v>
      </c>
      <c r="T57" s="26">
        <f t="shared" si="28"/>
        <v>0.375</v>
      </c>
      <c r="U57" s="26">
        <f t="shared" si="28"/>
        <v>0.38</v>
      </c>
      <c r="V57" s="26">
        <f t="shared" si="28"/>
        <v>0.38500000000000001</v>
      </c>
      <c r="W57" s="26">
        <f t="shared" si="28"/>
        <v>0.39</v>
      </c>
      <c r="X57" s="26">
        <f t="shared" si="28"/>
        <v>0.39500000000000002</v>
      </c>
      <c r="Y57" s="26">
        <f t="shared" si="28"/>
        <v>0.4</v>
      </c>
      <c r="Z57" s="26">
        <f t="shared" si="28"/>
        <v>0.40500000000000003</v>
      </c>
      <c r="AA57" s="26">
        <f t="shared" si="28"/>
        <v>0.41</v>
      </c>
      <c r="AB57" s="26">
        <f t="shared" si="28"/>
        <v>0.41499999999999998</v>
      </c>
      <c r="AC57" s="26">
        <f t="shared" si="28"/>
        <v>0.42</v>
      </c>
      <c r="AD57" s="26">
        <f t="shared" si="28"/>
        <v>0.42499999999999999</v>
      </c>
      <c r="AE57" s="26">
        <f t="shared" si="28"/>
        <v>0.43</v>
      </c>
      <c r="AF57" s="26">
        <f t="shared" si="28"/>
        <v>0.435</v>
      </c>
      <c r="AG57" s="26">
        <f t="shared" si="23"/>
        <v>0.44</v>
      </c>
      <c r="AH57" s="26">
        <f t="shared" si="23"/>
        <v>0.44500000000000001</v>
      </c>
      <c r="AI57" s="26">
        <f t="shared" si="23"/>
        <v>0.45</v>
      </c>
      <c r="AJ57" s="26">
        <f t="shared" si="23"/>
        <v>0.45500000000000002</v>
      </c>
      <c r="AK57" s="26">
        <f t="shared" si="23"/>
        <v>0.46</v>
      </c>
      <c r="AL57" s="26">
        <f t="shared" si="23"/>
        <v>0.46500000000000002</v>
      </c>
      <c r="AM57" s="26">
        <f t="shared" si="23"/>
        <v>0.47</v>
      </c>
      <c r="AN57" s="26">
        <f t="shared" si="23"/>
        <v>0.47499999999999998</v>
      </c>
      <c r="AO57" s="26">
        <f t="shared" si="23"/>
        <v>0.48</v>
      </c>
      <c r="AP57" s="26">
        <f t="shared" si="23"/>
        <v>0.48499999999999999</v>
      </c>
      <c r="AQ57" s="26">
        <f t="shared" si="23"/>
        <v>0.49</v>
      </c>
      <c r="AR57" s="26">
        <f t="shared" si="23"/>
        <v>0.495</v>
      </c>
      <c r="AS57" s="26">
        <f t="shared" si="23"/>
        <v>0.5</v>
      </c>
      <c r="AT57" s="26">
        <f t="shared" si="23"/>
        <v>0.505</v>
      </c>
      <c r="AU57" s="26">
        <f t="shared" si="23"/>
        <v>0.51</v>
      </c>
      <c r="AV57" s="26">
        <f t="shared" si="23"/>
        <v>0.51500000000000001</v>
      </c>
      <c r="AW57" s="26">
        <f t="shared" si="24"/>
        <v>0.52</v>
      </c>
      <c r="AX57" s="26">
        <f t="shared" si="24"/>
        <v>0.52500000000000002</v>
      </c>
      <c r="AY57" s="26">
        <f t="shared" si="24"/>
        <v>0.53</v>
      </c>
      <c r="AZ57" s="26">
        <f t="shared" si="24"/>
        <v>0.53500000000000003</v>
      </c>
      <c r="BA57" s="26">
        <f t="shared" si="24"/>
        <v>0.54</v>
      </c>
      <c r="BB57" s="26">
        <f t="shared" si="24"/>
        <v>0.54500000000000004</v>
      </c>
      <c r="BC57" s="26">
        <f t="shared" si="24"/>
        <v>0.55000000000000004</v>
      </c>
      <c r="BD57" s="26">
        <f t="shared" si="24"/>
        <v>0.55500000000000005</v>
      </c>
      <c r="BE57" s="26">
        <f t="shared" si="24"/>
        <v>0.56000000000000005</v>
      </c>
      <c r="BF57" s="26">
        <f t="shared" si="24"/>
        <v>0.56499999999999995</v>
      </c>
      <c r="BG57" s="26">
        <f t="shared" si="24"/>
        <v>0.56999999999999995</v>
      </c>
      <c r="BH57" s="26">
        <f t="shared" si="24"/>
        <v>0.57499999999999996</v>
      </c>
      <c r="BI57" s="26">
        <f t="shared" si="24"/>
        <v>0.57999999999999996</v>
      </c>
      <c r="BJ57" s="26">
        <f t="shared" si="24"/>
        <v>0.58499999999999996</v>
      </c>
      <c r="BK57" s="26">
        <f t="shared" si="24"/>
        <v>0.59</v>
      </c>
      <c r="BL57" s="26">
        <f t="shared" si="24"/>
        <v>0.59499999999999997</v>
      </c>
      <c r="BM57" s="26">
        <f t="shared" si="25"/>
        <v>0.6</v>
      </c>
      <c r="BN57" s="26">
        <f t="shared" si="25"/>
        <v>0.60499999999999998</v>
      </c>
      <c r="BO57" s="26">
        <f t="shared" si="25"/>
        <v>0.61</v>
      </c>
      <c r="BP57" s="26">
        <f t="shared" si="25"/>
        <v>0.61499999999999999</v>
      </c>
      <c r="BQ57" s="26">
        <f t="shared" si="25"/>
        <v>0.62</v>
      </c>
      <c r="BR57" s="26">
        <f t="shared" si="25"/>
        <v>0.625</v>
      </c>
      <c r="BS57" s="26">
        <f t="shared" si="25"/>
        <v>0.63</v>
      </c>
      <c r="BT57" s="26">
        <f t="shared" si="25"/>
        <v>0.63500000000000001</v>
      </c>
      <c r="BU57" s="26">
        <f t="shared" si="25"/>
        <v>0.64</v>
      </c>
      <c r="BV57" s="26">
        <f t="shared" si="25"/>
        <v>0.64500000000000002</v>
      </c>
      <c r="BW57" s="26">
        <f t="shared" si="25"/>
        <v>0.65</v>
      </c>
      <c r="BX57" s="26">
        <f t="shared" si="25"/>
        <v>0.65500000000000003</v>
      </c>
      <c r="BY57" s="26">
        <f t="shared" si="25"/>
        <v>0.66</v>
      </c>
      <c r="BZ57" s="26">
        <f t="shared" si="25"/>
        <v>0.66500000000000004</v>
      </c>
      <c r="CA57" s="26">
        <f t="shared" si="25"/>
        <v>0.67</v>
      </c>
      <c r="CB57" s="26">
        <f t="shared" si="25"/>
        <v>0.67500000000000004</v>
      </c>
      <c r="CC57" s="26">
        <f t="shared" si="26"/>
        <v>0.68</v>
      </c>
      <c r="CD57" s="26">
        <f t="shared" si="26"/>
        <v>0.68500000000000005</v>
      </c>
      <c r="CE57" s="26">
        <f t="shared" si="26"/>
        <v>0.69</v>
      </c>
      <c r="CF57" s="26">
        <f t="shared" si="26"/>
        <v>0.69499999999999995</v>
      </c>
      <c r="CG57" s="26">
        <f t="shared" si="26"/>
        <v>0.7</v>
      </c>
      <c r="CH57" s="26">
        <f t="shared" si="26"/>
        <v>0.70499999999999996</v>
      </c>
      <c r="CI57" s="26">
        <f t="shared" si="26"/>
        <v>0.71</v>
      </c>
      <c r="CJ57" s="26">
        <f t="shared" si="26"/>
        <v>0.71499999999999997</v>
      </c>
      <c r="CK57" s="26">
        <f t="shared" si="26"/>
        <v>0.72</v>
      </c>
      <c r="CL57" s="26">
        <f t="shared" si="26"/>
        <v>0.72499999999999998</v>
      </c>
      <c r="CM57" s="26">
        <f t="shared" si="26"/>
        <v>0.73</v>
      </c>
      <c r="CN57" s="26">
        <f t="shared" si="26"/>
        <v>0.73499999999999999</v>
      </c>
      <c r="CO57" s="26">
        <f t="shared" si="26"/>
        <v>0.74</v>
      </c>
      <c r="CP57" s="26">
        <f t="shared" si="26"/>
        <v>0.745</v>
      </c>
      <c r="CQ57" s="26">
        <f t="shared" si="26"/>
        <v>0.75</v>
      </c>
      <c r="CR57" s="26">
        <f t="shared" si="26"/>
        <v>0.755</v>
      </c>
      <c r="CS57" s="26">
        <f t="shared" si="27"/>
        <v>0.76</v>
      </c>
      <c r="CT57" s="26">
        <f t="shared" si="27"/>
        <v>0.76500000000000001</v>
      </c>
      <c r="CU57" s="26">
        <f t="shared" si="27"/>
        <v>0.77</v>
      </c>
      <c r="CV57" s="26">
        <f t="shared" si="27"/>
        <v>0.77500000000000002</v>
      </c>
      <c r="CW57" s="26">
        <f t="shared" si="27"/>
        <v>0.78</v>
      </c>
    </row>
    <row r="58" spans="2:101" ht="20.100000000000001" customHeight="1">
      <c r="B58" s="26">
        <f t="shared" si="29"/>
        <v>0.28999999999999998</v>
      </c>
      <c r="C58" s="26">
        <f t="shared" si="29"/>
        <v>0.29499999999999998</v>
      </c>
      <c r="D58" s="26">
        <f t="shared" si="29"/>
        <v>0.3</v>
      </c>
      <c r="E58" s="26">
        <f t="shared" si="29"/>
        <v>0.30499999999999999</v>
      </c>
      <c r="F58" s="26">
        <f t="shared" si="29"/>
        <v>0.31</v>
      </c>
      <c r="G58" s="26">
        <f t="shared" si="29"/>
        <v>0.315</v>
      </c>
      <c r="H58" s="26">
        <f t="shared" si="29"/>
        <v>0.32</v>
      </c>
      <c r="I58" s="26">
        <f t="shared" si="29"/>
        <v>0.32500000000000001</v>
      </c>
      <c r="J58" s="26">
        <f t="shared" si="29"/>
        <v>0.33</v>
      </c>
      <c r="K58" s="26">
        <f t="shared" si="29"/>
        <v>0.33500000000000002</v>
      </c>
      <c r="L58" s="26">
        <f t="shared" si="29"/>
        <v>0.34</v>
      </c>
      <c r="M58" s="26">
        <f t="shared" si="29"/>
        <v>0.34499999999999997</v>
      </c>
      <c r="N58" s="26">
        <f t="shared" si="29"/>
        <v>0.35</v>
      </c>
      <c r="O58" s="26">
        <f t="shared" si="29"/>
        <v>0.35499999999999998</v>
      </c>
      <c r="P58" s="26">
        <f t="shared" si="29"/>
        <v>0.36</v>
      </c>
      <c r="Q58" s="26">
        <f t="shared" si="29"/>
        <v>0.36499999999999999</v>
      </c>
      <c r="R58" s="26">
        <f t="shared" si="28"/>
        <v>0.37</v>
      </c>
      <c r="S58" s="26">
        <f t="shared" si="28"/>
        <v>0.375</v>
      </c>
      <c r="T58" s="26">
        <f t="shared" si="28"/>
        <v>0.38</v>
      </c>
      <c r="U58" s="26">
        <f t="shared" si="28"/>
        <v>0.38500000000000001</v>
      </c>
      <c r="V58" s="26">
        <f t="shared" si="28"/>
        <v>0.39</v>
      </c>
      <c r="W58" s="26">
        <f t="shared" si="28"/>
        <v>0.39500000000000002</v>
      </c>
      <c r="X58" s="26">
        <f t="shared" si="28"/>
        <v>0.4</v>
      </c>
      <c r="Y58" s="26">
        <f t="shared" si="28"/>
        <v>0.40500000000000003</v>
      </c>
      <c r="Z58" s="26">
        <f t="shared" si="28"/>
        <v>0.41</v>
      </c>
      <c r="AA58" s="26">
        <f t="shared" si="28"/>
        <v>0.41499999999999998</v>
      </c>
      <c r="AB58" s="26">
        <f t="shared" si="28"/>
        <v>0.42</v>
      </c>
      <c r="AC58" s="26">
        <f t="shared" si="28"/>
        <v>0.42499999999999999</v>
      </c>
      <c r="AD58" s="26">
        <f t="shared" si="28"/>
        <v>0.43</v>
      </c>
      <c r="AE58" s="26">
        <f t="shared" si="28"/>
        <v>0.435</v>
      </c>
      <c r="AF58" s="26">
        <f t="shared" si="28"/>
        <v>0.44</v>
      </c>
      <c r="AG58" s="26">
        <f t="shared" si="23"/>
        <v>0.44500000000000001</v>
      </c>
      <c r="AH58" s="26">
        <f t="shared" si="23"/>
        <v>0.45</v>
      </c>
      <c r="AI58" s="26">
        <f t="shared" si="23"/>
        <v>0.45500000000000002</v>
      </c>
      <c r="AJ58" s="26">
        <f t="shared" si="23"/>
        <v>0.46</v>
      </c>
      <c r="AK58" s="26">
        <f t="shared" si="23"/>
        <v>0.46500000000000002</v>
      </c>
      <c r="AL58" s="26">
        <f t="shared" si="23"/>
        <v>0.47</v>
      </c>
      <c r="AM58" s="26">
        <f t="shared" si="23"/>
        <v>0.47499999999999998</v>
      </c>
      <c r="AN58" s="26">
        <f t="shared" si="23"/>
        <v>0.48</v>
      </c>
      <c r="AO58" s="26">
        <f t="shared" si="23"/>
        <v>0.48499999999999999</v>
      </c>
      <c r="AP58" s="26">
        <f t="shared" si="23"/>
        <v>0.49</v>
      </c>
      <c r="AQ58" s="26">
        <f t="shared" si="23"/>
        <v>0.495</v>
      </c>
      <c r="AR58" s="26">
        <f t="shared" si="23"/>
        <v>0.5</v>
      </c>
      <c r="AS58" s="26">
        <f t="shared" si="23"/>
        <v>0.505</v>
      </c>
      <c r="AT58" s="26">
        <f t="shared" si="23"/>
        <v>0.51</v>
      </c>
      <c r="AU58" s="26">
        <f t="shared" si="23"/>
        <v>0.51500000000000001</v>
      </c>
      <c r="AV58" s="26">
        <f t="shared" si="23"/>
        <v>0.52</v>
      </c>
      <c r="AW58" s="26">
        <f t="shared" si="24"/>
        <v>0.52500000000000002</v>
      </c>
      <c r="AX58" s="26">
        <f t="shared" si="24"/>
        <v>0.53</v>
      </c>
      <c r="AY58" s="26">
        <f t="shared" si="24"/>
        <v>0.53500000000000003</v>
      </c>
      <c r="AZ58" s="26">
        <f t="shared" si="24"/>
        <v>0.54</v>
      </c>
      <c r="BA58" s="26">
        <f t="shared" si="24"/>
        <v>0.54500000000000004</v>
      </c>
      <c r="BB58" s="26">
        <f t="shared" si="24"/>
        <v>0.55000000000000004</v>
      </c>
      <c r="BC58" s="26">
        <f t="shared" si="24"/>
        <v>0.55500000000000005</v>
      </c>
      <c r="BD58" s="26">
        <f t="shared" si="24"/>
        <v>0.56000000000000005</v>
      </c>
      <c r="BE58" s="26">
        <f t="shared" si="24"/>
        <v>0.56499999999999995</v>
      </c>
      <c r="BF58" s="26">
        <f t="shared" si="24"/>
        <v>0.56999999999999995</v>
      </c>
      <c r="BG58" s="26">
        <f t="shared" si="24"/>
        <v>0.57499999999999996</v>
      </c>
      <c r="BH58" s="26">
        <f t="shared" si="24"/>
        <v>0.57999999999999996</v>
      </c>
      <c r="BI58" s="26">
        <f t="shared" si="24"/>
        <v>0.58499999999999996</v>
      </c>
      <c r="BJ58" s="26">
        <f t="shared" si="24"/>
        <v>0.59</v>
      </c>
      <c r="BK58" s="26">
        <f t="shared" si="24"/>
        <v>0.59499999999999997</v>
      </c>
      <c r="BL58" s="26">
        <f t="shared" si="24"/>
        <v>0.6</v>
      </c>
      <c r="BM58" s="26">
        <f t="shared" si="25"/>
        <v>0.60499999999999998</v>
      </c>
      <c r="BN58" s="26">
        <f t="shared" si="25"/>
        <v>0.61</v>
      </c>
      <c r="BO58" s="26">
        <f t="shared" si="25"/>
        <v>0.61499999999999999</v>
      </c>
      <c r="BP58" s="26">
        <f t="shared" si="25"/>
        <v>0.62</v>
      </c>
      <c r="BQ58" s="26">
        <f t="shared" si="25"/>
        <v>0.625</v>
      </c>
      <c r="BR58" s="26">
        <f t="shared" si="25"/>
        <v>0.63</v>
      </c>
      <c r="BS58" s="26">
        <f t="shared" si="25"/>
        <v>0.63500000000000001</v>
      </c>
      <c r="BT58" s="26">
        <f t="shared" si="25"/>
        <v>0.64</v>
      </c>
      <c r="BU58" s="26">
        <f t="shared" si="25"/>
        <v>0.64500000000000002</v>
      </c>
      <c r="BV58" s="26">
        <f t="shared" si="25"/>
        <v>0.65</v>
      </c>
      <c r="BW58" s="26">
        <f t="shared" si="25"/>
        <v>0.65500000000000003</v>
      </c>
      <c r="BX58" s="26">
        <f t="shared" si="25"/>
        <v>0.66</v>
      </c>
      <c r="BY58" s="26">
        <f t="shared" si="25"/>
        <v>0.66500000000000004</v>
      </c>
      <c r="BZ58" s="26">
        <f t="shared" si="25"/>
        <v>0.67</v>
      </c>
      <c r="CA58" s="26">
        <f t="shared" si="25"/>
        <v>0.67500000000000004</v>
      </c>
      <c r="CB58" s="26">
        <f t="shared" si="25"/>
        <v>0.68</v>
      </c>
      <c r="CC58" s="26">
        <f t="shared" si="26"/>
        <v>0.68500000000000005</v>
      </c>
      <c r="CD58" s="26">
        <f t="shared" si="26"/>
        <v>0.69</v>
      </c>
      <c r="CE58" s="26">
        <f t="shared" si="26"/>
        <v>0.69499999999999995</v>
      </c>
      <c r="CF58" s="26">
        <f t="shared" si="26"/>
        <v>0.7</v>
      </c>
      <c r="CG58" s="26">
        <f t="shared" si="26"/>
        <v>0.70499999999999996</v>
      </c>
      <c r="CH58" s="26">
        <f t="shared" si="26"/>
        <v>0.71</v>
      </c>
      <c r="CI58" s="26">
        <f t="shared" si="26"/>
        <v>0.71499999999999997</v>
      </c>
      <c r="CJ58" s="26">
        <f t="shared" si="26"/>
        <v>0.72</v>
      </c>
      <c r="CK58" s="26">
        <f t="shared" si="26"/>
        <v>0.72499999999999998</v>
      </c>
      <c r="CL58" s="26">
        <f t="shared" si="26"/>
        <v>0.73</v>
      </c>
      <c r="CM58" s="26">
        <f t="shared" si="26"/>
        <v>0.73499999999999999</v>
      </c>
      <c r="CN58" s="26">
        <f t="shared" si="26"/>
        <v>0.74</v>
      </c>
      <c r="CO58" s="26">
        <f t="shared" si="26"/>
        <v>0.745</v>
      </c>
      <c r="CP58" s="26">
        <f t="shared" si="26"/>
        <v>0.75</v>
      </c>
      <c r="CQ58" s="26">
        <f t="shared" si="26"/>
        <v>0.755</v>
      </c>
      <c r="CR58" s="26">
        <f t="shared" si="26"/>
        <v>0.76</v>
      </c>
      <c r="CS58" s="26">
        <f t="shared" si="27"/>
        <v>0.76500000000000001</v>
      </c>
      <c r="CT58" s="26">
        <f t="shared" si="27"/>
        <v>0.77</v>
      </c>
      <c r="CU58" s="26">
        <f t="shared" si="27"/>
        <v>0.77500000000000002</v>
      </c>
      <c r="CV58" s="26">
        <f t="shared" si="27"/>
        <v>0.78</v>
      </c>
      <c r="CW58" s="26">
        <f t="shared" si="27"/>
        <v>0.78500000000000003</v>
      </c>
    </row>
    <row r="59" spans="2:101" ht="20.100000000000001" customHeight="1">
      <c r="B59" s="26">
        <f t="shared" si="29"/>
        <v>0.29499999999999998</v>
      </c>
      <c r="C59" s="26">
        <f t="shared" si="29"/>
        <v>0.3</v>
      </c>
      <c r="D59" s="26">
        <f t="shared" si="29"/>
        <v>0.30499999999999999</v>
      </c>
      <c r="E59" s="26">
        <f t="shared" si="29"/>
        <v>0.31</v>
      </c>
      <c r="F59" s="26">
        <f t="shared" si="29"/>
        <v>0.315</v>
      </c>
      <c r="G59" s="26">
        <f t="shared" si="29"/>
        <v>0.32</v>
      </c>
      <c r="H59" s="26">
        <f t="shared" si="29"/>
        <v>0.32500000000000001</v>
      </c>
      <c r="I59" s="26">
        <f t="shared" si="29"/>
        <v>0.33</v>
      </c>
      <c r="J59" s="26">
        <f t="shared" si="29"/>
        <v>0.33500000000000002</v>
      </c>
      <c r="K59" s="26">
        <f t="shared" si="29"/>
        <v>0.34</v>
      </c>
      <c r="L59" s="26">
        <f t="shared" si="29"/>
        <v>0.34499999999999997</v>
      </c>
      <c r="M59" s="26">
        <f t="shared" si="29"/>
        <v>0.35</v>
      </c>
      <c r="N59" s="26">
        <f t="shared" si="29"/>
        <v>0.35499999999999998</v>
      </c>
      <c r="O59" s="26">
        <f t="shared" si="29"/>
        <v>0.36</v>
      </c>
      <c r="P59" s="26">
        <f t="shared" si="29"/>
        <v>0.36499999999999999</v>
      </c>
      <c r="Q59" s="26">
        <f t="shared" si="29"/>
        <v>0.37</v>
      </c>
      <c r="R59" s="26">
        <f t="shared" si="28"/>
        <v>0.375</v>
      </c>
      <c r="S59" s="26">
        <f t="shared" si="28"/>
        <v>0.38</v>
      </c>
      <c r="T59" s="26">
        <f t="shared" si="28"/>
        <v>0.38500000000000001</v>
      </c>
      <c r="U59" s="26">
        <f t="shared" si="28"/>
        <v>0.39</v>
      </c>
      <c r="V59" s="26">
        <f t="shared" si="28"/>
        <v>0.39500000000000002</v>
      </c>
      <c r="W59" s="26">
        <f t="shared" si="28"/>
        <v>0.4</v>
      </c>
      <c r="X59" s="26">
        <f t="shared" si="28"/>
        <v>0.40500000000000003</v>
      </c>
      <c r="Y59" s="26">
        <f t="shared" si="28"/>
        <v>0.41</v>
      </c>
      <c r="Z59" s="26">
        <f t="shared" si="28"/>
        <v>0.41499999999999998</v>
      </c>
      <c r="AA59" s="26">
        <f t="shared" si="28"/>
        <v>0.42</v>
      </c>
      <c r="AB59" s="26">
        <f t="shared" si="28"/>
        <v>0.42499999999999999</v>
      </c>
      <c r="AC59" s="26">
        <f t="shared" si="28"/>
        <v>0.43</v>
      </c>
      <c r="AD59" s="26">
        <f t="shared" si="28"/>
        <v>0.435</v>
      </c>
      <c r="AE59" s="26">
        <f t="shared" si="28"/>
        <v>0.44</v>
      </c>
      <c r="AF59" s="26">
        <f t="shared" si="28"/>
        <v>0.44500000000000001</v>
      </c>
      <c r="AG59" s="26">
        <f t="shared" si="23"/>
        <v>0.45</v>
      </c>
      <c r="AH59" s="26">
        <f t="shared" si="23"/>
        <v>0.45500000000000002</v>
      </c>
      <c r="AI59" s="26">
        <f t="shared" si="23"/>
        <v>0.46</v>
      </c>
      <c r="AJ59" s="26">
        <f t="shared" si="23"/>
        <v>0.46500000000000002</v>
      </c>
      <c r="AK59" s="26">
        <f t="shared" si="23"/>
        <v>0.47</v>
      </c>
      <c r="AL59" s="26">
        <f t="shared" si="23"/>
        <v>0.47499999999999998</v>
      </c>
      <c r="AM59" s="26">
        <f t="shared" si="23"/>
        <v>0.48</v>
      </c>
      <c r="AN59" s="26">
        <f t="shared" si="23"/>
        <v>0.48499999999999999</v>
      </c>
      <c r="AO59" s="26">
        <f t="shared" si="23"/>
        <v>0.49</v>
      </c>
      <c r="AP59" s="26">
        <f t="shared" si="23"/>
        <v>0.495</v>
      </c>
      <c r="AQ59" s="26">
        <f t="shared" si="23"/>
        <v>0.5</v>
      </c>
      <c r="AR59" s="26">
        <f t="shared" si="23"/>
        <v>0.505</v>
      </c>
      <c r="AS59" s="26">
        <f t="shared" si="23"/>
        <v>0.51</v>
      </c>
      <c r="AT59" s="26">
        <f t="shared" si="23"/>
        <v>0.51500000000000001</v>
      </c>
      <c r="AU59" s="26">
        <f t="shared" si="23"/>
        <v>0.52</v>
      </c>
      <c r="AV59" s="26">
        <f t="shared" si="23"/>
        <v>0.52500000000000002</v>
      </c>
      <c r="AW59" s="26">
        <f t="shared" si="24"/>
        <v>0.53</v>
      </c>
      <c r="AX59" s="26">
        <f t="shared" si="24"/>
        <v>0.53500000000000003</v>
      </c>
      <c r="AY59" s="26">
        <f t="shared" si="24"/>
        <v>0.54</v>
      </c>
      <c r="AZ59" s="26">
        <f t="shared" si="24"/>
        <v>0.54500000000000004</v>
      </c>
      <c r="BA59" s="26">
        <f t="shared" si="24"/>
        <v>0.55000000000000004</v>
      </c>
      <c r="BB59" s="26">
        <f t="shared" si="24"/>
        <v>0.55500000000000005</v>
      </c>
      <c r="BC59" s="26">
        <f t="shared" si="24"/>
        <v>0.56000000000000005</v>
      </c>
      <c r="BD59" s="26">
        <f t="shared" si="24"/>
        <v>0.56499999999999995</v>
      </c>
      <c r="BE59" s="26">
        <f t="shared" si="24"/>
        <v>0.56999999999999995</v>
      </c>
      <c r="BF59" s="26">
        <f t="shared" si="24"/>
        <v>0.57499999999999996</v>
      </c>
      <c r="BG59" s="26">
        <f t="shared" si="24"/>
        <v>0.57999999999999996</v>
      </c>
      <c r="BH59" s="26">
        <f t="shared" si="24"/>
        <v>0.58499999999999996</v>
      </c>
      <c r="BI59" s="26">
        <f t="shared" si="24"/>
        <v>0.59</v>
      </c>
      <c r="BJ59" s="26">
        <f t="shared" si="24"/>
        <v>0.59499999999999997</v>
      </c>
      <c r="BK59" s="26">
        <f t="shared" si="24"/>
        <v>0.6</v>
      </c>
      <c r="BL59" s="26">
        <f t="shared" si="24"/>
        <v>0.60499999999999998</v>
      </c>
      <c r="BM59" s="26">
        <f t="shared" si="25"/>
        <v>0.61</v>
      </c>
      <c r="BN59" s="26">
        <f t="shared" si="25"/>
        <v>0.61499999999999999</v>
      </c>
      <c r="BO59" s="26">
        <f t="shared" si="25"/>
        <v>0.62</v>
      </c>
      <c r="BP59" s="26">
        <f t="shared" si="25"/>
        <v>0.625</v>
      </c>
      <c r="BQ59" s="26">
        <f t="shared" si="25"/>
        <v>0.63</v>
      </c>
      <c r="BR59" s="26">
        <f t="shared" si="25"/>
        <v>0.63500000000000001</v>
      </c>
      <c r="BS59" s="26">
        <f t="shared" si="25"/>
        <v>0.64</v>
      </c>
      <c r="BT59" s="26">
        <f t="shared" si="25"/>
        <v>0.64500000000000002</v>
      </c>
      <c r="BU59" s="26">
        <f t="shared" si="25"/>
        <v>0.65</v>
      </c>
      <c r="BV59" s="26">
        <f t="shared" si="25"/>
        <v>0.65500000000000003</v>
      </c>
      <c r="BW59" s="26">
        <f t="shared" si="25"/>
        <v>0.66</v>
      </c>
      <c r="BX59" s="26">
        <f t="shared" si="25"/>
        <v>0.66500000000000004</v>
      </c>
      <c r="BY59" s="26">
        <f t="shared" si="25"/>
        <v>0.67</v>
      </c>
      <c r="BZ59" s="26">
        <f t="shared" si="25"/>
        <v>0.67500000000000004</v>
      </c>
      <c r="CA59" s="26">
        <f t="shared" si="25"/>
        <v>0.68</v>
      </c>
      <c r="CB59" s="26">
        <f t="shared" si="25"/>
        <v>0.68500000000000005</v>
      </c>
      <c r="CC59" s="26">
        <f t="shared" si="26"/>
        <v>0.69</v>
      </c>
      <c r="CD59" s="26">
        <f t="shared" si="26"/>
        <v>0.69499999999999995</v>
      </c>
      <c r="CE59" s="26">
        <f t="shared" si="26"/>
        <v>0.7</v>
      </c>
      <c r="CF59" s="26">
        <f t="shared" si="26"/>
        <v>0.70499999999999996</v>
      </c>
      <c r="CG59" s="26">
        <f t="shared" si="26"/>
        <v>0.71</v>
      </c>
      <c r="CH59" s="26">
        <f t="shared" si="26"/>
        <v>0.71499999999999997</v>
      </c>
      <c r="CI59" s="26">
        <f t="shared" si="26"/>
        <v>0.72</v>
      </c>
      <c r="CJ59" s="26">
        <f t="shared" si="26"/>
        <v>0.72499999999999998</v>
      </c>
      <c r="CK59" s="26">
        <f t="shared" si="26"/>
        <v>0.73</v>
      </c>
      <c r="CL59" s="26">
        <f t="shared" si="26"/>
        <v>0.73499999999999999</v>
      </c>
      <c r="CM59" s="26">
        <f t="shared" si="26"/>
        <v>0.74</v>
      </c>
      <c r="CN59" s="26">
        <f t="shared" si="26"/>
        <v>0.745</v>
      </c>
      <c r="CO59" s="26">
        <f t="shared" si="26"/>
        <v>0.75</v>
      </c>
      <c r="CP59" s="26">
        <f t="shared" si="26"/>
        <v>0.755</v>
      </c>
      <c r="CQ59" s="26">
        <f t="shared" si="26"/>
        <v>0.76</v>
      </c>
      <c r="CR59" s="26">
        <f t="shared" si="26"/>
        <v>0.76500000000000001</v>
      </c>
      <c r="CS59" s="26">
        <f t="shared" si="27"/>
        <v>0.77</v>
      </c>
      <c r="CT59" s="26">
        <f t="shared" si="27"/>
        <v>0.77500000000000002</v>
      </c>
      <c r="CU59" s="26">
        <f t="shared" si="27"/>
        <v>0.78</v>
      </c>
      <c r="CV59" s="26">
        <f t="shared" si="27"/>
        <v>0.78500000000000003</v>
      </c>
      <c r="CW59" s="26">
        <f t="shared" si="27"/>
        <v>0.79</v>
      </c>
    </row>
    <row r="60" spans="2:101" ht="20.100000000000001" customHeight="1">
      <c r="B60" s="26">
        <f t="shared" si="29"/>
        <v>0.3</v>
      </c>
      <c r="C60" s="26">
        <f t="shared" si="29"/>
        <v>0.30499999999999999</v>
      </c>
      <c r="D60" s="26">
        <f t="shared" si="29"/>
        <v>0.31</v>
      </c>
      <c r="E60" s="26">
        <f t="shared" si="29"/>
        <v>0.315</v>
      </c>
      <c r="F60" s="26">
        <f t="shared" si="29"/>
        <v>0.32</v>
      </c>
      <c r="G60" s="26">
        <f t="shared" si="29"/>
        <v>0.32500000000000001</v>
      </c>
      <c r="H60" s="26">
        <f t="shared" si="29"/>
        <v>0.33</v>
      </c>
      <c r="I60" s="26">
        <f t="shared" si="29"/>
        <v>0.33500000000000002</v>
      </c>
      <c r="J60" s="26">
        <f t="shared" si="29"/>
        <v>0.34</v>
      </c>
      <c r="K60" s="26">
        <f t="shared" si="29"/>
        <v>0.34499999999999997</v>
      </c>
      <c r="L60" s="26">
        <f t="shared" si="29"/>
        <v>0.35</v>
      </c>
      <c r="M60" s="26">
        <f t="shared" si="29"/>
        <v>0.35499999999999998</v>
      </c>
      <c r="N60" s="26">
        <f t="shared" si="29"/>
        <v>0.36</v>
      </c>
      <c r="O60" s="26">
        <f t="shared" si="29"/>
        <v>0.36499999999999999</v>
      </c>
      <c r="P60" s="26">
        <f t="shared" si="29"/>
        <v>0.37</v>
      </c>
      <c r="Q60" s="26">
        <f t="shared" si="29"/>
        <v>0.375</v>
      </c>
      <c r="R60" s="26">
        <f t="shared" si="28"/>
        <v>0.38</v>
      </c>
      <c r="S60" s="26">
        <f t="shared" si="28"/>
        <v>0.38500000000000001</v>
      </c>
      <c r="T60" s="26">
        <f t="shared" si="28"/>
        <v>0.39</v>
      </c>
      <c r="U60" s="26">
        <f t="shared" si="28"/>
        <v>0.39500000000000002</v>
      </c>
      <c r="V60" s="26">
        <f t="shared" si="28"/>
        <v>0.4</v>
      </c>
      <c r="W60" s="26">
        <f t="shared" si="28"/>
        <v>0.40500000000000003</v>
      </c>
      <c r="X60" s="26">
        <f t="shared" si="28"/>
        <v>0.41</v>
      </c>
      <c r="Y60" s="26">
        <f t="shared" si="28"/>
        <v>0.41499999999999998</v>
      </c>
      <c r="Z60" s="26">
        <f t="shared" si="28"/>
        <v>0.42</v>
      </c>
      <c r="AA60" s="26">
        <f t="shared" si="28"/>
        <v>0.42499999999999999</v>
      </c>
      <c r="AB60" s="26">
        <f t="shared" si="28"/>
        <v>0.43</v>
      </c>
      <c r="AC60" s="26">
        <f t="shared" si="28"/>
        <v>0.435</v>
      </c>
      <c r="AD60" s="26">
        <f t="shared" si="28"/>
        <v>0.44</v>
      </c>
      <c r="AE60" s="26">
        <f t="shared" si="28"/>
        <v>0.44500000000000001</v>
      </c>
      <c r="AF60" s="26">
        <f t="shared" si="28"/>
        <v>0.45</v>
      </c>
      <c r="AG60" s="26">
        <f t="shared" si="23"/>
        <v>0.45500000000000002</v>
      </c>
      <c r="AH60" s="26">
        <f t="shared" si="23"/>
        <v>0.46</v>
      </c>
      <c r="AI60" s="26">
        <f t="shared" si="23"/>
        <v>0.46500000000000002</v>
      </c>
      <c r="AJ60" s="26">
        <f t="shared" si="23"/>
        <v>0.47</v>
      </c>
      <c r="AK60" s="26">
        <f t="shared" si="23"/>
        <v>0.47499999999999998</v>
      </c>
      <c r="AL60" s="26">
        <f t="shared" si="23"/>
        <v>0.48</v>
      </c>
      <c r="AM60" s="26">
        <f t="shared" si="23"/>
        <v>0.48499999999999999</v>
      </c>
      <c r="AN60" s="26">
        <f t="shared" si="23"/>
        <v>0.49</v>
      </c>
      <c r="AO60" s="26">
        <f t="shared" si="23"/>
        <v>0.495</v>
      </c>
      <c r="AP60" s="26">
        <f t="shared" si="23"/>
        <v>0.5</v>
      </c>
      <c r="AQ60" s="26">
        <f t="shared" si="23"/>
        <v>0.505</v>
      </c>
      <c r="AR60" s="26">
        <f t="shared" si="23"/>
        <v>0.51</v>
      </c>
      <c r="AS60" s="26">
        <f t="shared" si="23"/>
        <v>0.51500000000000001</v>
      </c>
      <c r="AT60" s="26">
        <f t="shared" si="23"/>
        <v>0.52</v>
      </c>
      <c r="AU60" s="26">
        <f t="shared" si="23"/>
        <v>0.52500000000000002</v>
      </c>
      <c r="AV60" s="26">
        <f t="shared" si="23"/>
        <v>0.53</v>
      </c>
      <c r="AW60" s="26">
        <f t="shared" si="24"/>
        <v>0.53500000000000003</v>
      </c>
      <c r="AX60" s="26">
        <f t="shared" si="24"/>
        <v>0.54</v>
      </c>
      <c r="AY60" s="26">
        <f t="shared" si="24"/>
        <v>0.54500000000000004</v>
      </c>
      <c r="AZ60" s="26">
        <f t="shared" si="24"/>
        <v>0.55000000000000004</v>
      </c>
      <c r="BA60" s="26">
        <f t="shared" si="24"/>
        <v>0.55500000000000005</v>
      </c>
      <c r="BB60" s="26">
        <f t="shared" si="24"/>
        <v>0.56000000000000005</v>
      </c>
      <c r="BC60" s="26">
        <f t="shared" si="24"/>
        <v>0.56499999999999995</v>
      </c>
      <c r="BD60" s="26">
        <f t="shared" si="24"/>
        <v>0.56999999999999995</v>
      </c>
      <c r="BE60" s="26">
        <f t="shared" si="24"/>
        <v>0.57499999999999996</v>
      </c>
      <c r="BF60" s="26">
        <f t="shared" si="24"/>
        <v>0.57999999999999996</v>
      </c>
      <c r="BG60" s="26">
        <f t="shared" si="24"/>
        <v>0.58499999999999996</v>
      </c>
      <c r="BH60" s="26">
        <f t="shared" si="24"/>
        <v>0.59</v>
      </c>
      <c r="BI60" s="26">
        <f t="shared" si="24"/>
        <v>0.59499999999999997</v>
      </c>
      <c r="BJ60" s="26">
        <f t="shared" si="24"/>
        <v>0.6</v>
      </c>
      <c r="BK60" s="26">
        <f t="shared" si="24"/>
        <v>0.60499999999999998</v>
      </c>
      <c r="BL60" s="26">
        <f t="shared" si="24"/>
        <v>0.61</v>
      </c>
      <c r="BM60" s="26">
        <f t="shared" si="25"/>
        <v>0.61499999999999999</v>
      </c>
      <c r="BN60" s="26">
        <f t="shared" si="25"/>
        <v>0.62</v>
      </c>
      <c r="BO60" s="26">
        <f t="shared" si="25"/>
        <v>0.625</v>
      </c>
      <c r="BP60" s="26">
        <f t="shared" si="25"/>
        <v>0.63</v>
      </c>
      <c r="BQ60" s="26">
        <f t="shared" si="25"/>
        <v>0.63500000000000001</v>
      </c>
      <c r="BR60" s="26">
        <f t="shared" si="25"/>
        <v>0.64</v>
      </c>
      <c r="BS60" s="26">
        <f t="shared" si="25"/>
        <v>0.64500000000000002</v>
      </c>
      <c r="BT60" s="26">
        <f t="shared" si="25"/>
        <v>0.65</v>
      </c>
      <c r="BU60" s="26">
        <f t="shared" si="25"/>
        <v>0.65500000000000003</v>
      </c>
      <c r="BV60" s="26">
        <f t="shared" si="25"/>
        <v>0.66</v>
      </c>
      <c r="BW60" s="26">
        <f t="shared" si="25"/>
        <v>0.66500000000000004</v>
      </c>
      <c r="BX60" s="26">
        <f t="shared" si="25"/>
        <v>0.67</v>
      </c>
      <c r="BY60" s="26">
        <f t="shared" si="25"/>
        <v>0.67500000000000004</v>
      </c>
      <c r="BZ60" s="26">
        <f t="shared" si="25"/>
        <v>0.68</v>
      </c>
      <c r="CA60" s="26">
        <f t="shared" si="25"/>
        <v>0.68500000000000005</v>
      </c>
      <c r="CB60" s="26">
        <f t="shared" si="25"/>
        <v>0.69</v>
      </c>
      <c r="CC60" s="26">
        <f t="shared" si="26"/>
        <v>0.69499999999999995</v>
      </c>
      <c r="CD60" s="26">
        <f t="shared" si="26"/>
        <v>0.7</v>
      </c>
      <c r="CE60" s="26">
        <f t="shared" si="26"/>
        <v>0.70499999999999996</v>
      </c>
      <c r="CF60" s="26">
        <f t="shared" si="26"/>
        <v>0.71</v>
      </c>
      <c r="CG60" s="26">
        <f t="shared" si="26"/>
        <v>0.71499999999999997</v>
      </c>
      <c r="CH60" s="26">
        <f t="shared" si="26"/>
        <v>0.72</v>
      </c>
      <c r="CI60" s="26">
        <f t="shared" si="26"/>
        <v>0.72499999999999998</v>
      </c>
      <c r="CJ60" s="26">
        <f t="shared" si="26"/>
        <v>0.73</v>
      </c>
      <c r="CK60" s="26">
        <f t="shared" si="26"/>
        <v>0.73499999999999999</v>
      </c>
      <c r="CL60" s="26">
        <f t="shared" si="26"/>
        <v>0.74</v>
      </c>
      <c r="CM60" s="26">
        <f t="shared" si="26"/>
        <v>0.745</v>
      </c>
      <c r="CN60" s="26">
        <f t="shared" si="26"/>
        <v>0.75</v>
      </c>
      <c r="CO60" s="26">
        <f t="shared" si="26"/>
        <v>0.755</v>
      </c>
      <c r="CP60" s="26">
        <f t="shared" si="26"/>
        <v>0.76</v>
      </c>
      <c r="CQ60" s="26">
        <f t="shared" si="26"/>
        <v>0.76500000000000001</v>
      </c>
      <c r="CR60" s="26">
        <f t="shared" si="26"/>
        <v>0.77</v>
      </c>
      <c r="CS60" s="26">
        <f t="shared" si="27"/>
        <v>0.77500000000000002</v>
      </c>
      <c r="CT60" s="26">
        <f t="shared" si="27"/>
        <v>0.78</v>
      </c>
      <c r="CU60" s="26">
        <f t="shared" si="27"/>
        <v>0.78500000000000003</v>
      </c>
      <c r="CV60" s="26">
        <f t="shared" si="27"/>
        <v>0.79</v>
      </c>
      <c r="CW60" s="26">
        <f t="shared" si="27"/>
        <v>0.79500000000000004</v>
      </c>
    </row>
    <row r="61" spans="2:101" ht="20.100000000000001" customHeight="1">
      <c r="B61" s="26">
        <f t="shared" si="29"/>
        <v>0.30499999999999999</v>
      </c>
      <c r="C61" s="26">
        <f t="shared" si="29"/>
        <v>0.31</v>
      </c>
      <c r="D61" s="26">
        <f t="shared" si="29"/>
        <v>0.315</v>
      </c>
      <c r="E61" s="26">
        <f t="shared" si="29"/>
        <v>0.32</v>
      </c>
      <c r="F61" s="26">
        <f t="shared" si="29"/>
        <v>0.32500000000000001</v>
      </c>
      <c r="G61" s="26">
        <f t="shared" si="29"/>
        <v>0.33</v>
      </c>
      <c r="H61" s="26">
        <f t="shared" si="29"/>
        <v>0.33500000000000002</v>
      </c>
      <c r="I61" s="26">
        <f t="shared" si="29"/>
        <v>0.34</v>
      </c>
      <c r="J61" s="26">
        <f t="shared" si="29"/>
        <v>0.34499999999999997</v>
      </c>
      <c r="K61" s="26">
        <f t="shared" si="29"/>
        <v>0.35</v>
      </c>
      <c r="L61" s="26">
        <f t="shared" si="29"/>
        <v>0.35499999999999998</v>
      </c>
      <c r="M61" s="26">
        <f t="shared" si="29"/>
        <v>0.36</v>
      </c>
      <c r="N61" s="26">
        <f t="shared" si="29"/>
        <v>0.36499999999999999</v>
      </c>
      <c r="O61" s="26">
        <f t="shared" si="29"/>
        <v>0.37</v>
      </c>
      <c r="P61" s="26">
        <f t="shared" si="29"/>
        <v>0.375</v>
      </c>
      <c r="Q61" s="26">
        <f t="shared" si="29"/>
        <v>0.38</v>
      </c>
      <c r="R61" s="26">
        <f t="shared" si="28"/>
        <v>0.38500000000000001</v>
      </c>
      <c r="S61" s="26">
        <f t="shared" si="28"/>
        <v>0.39</v>
      </c>
      <c r="T61" s="26">
        <f t="shared" si="28"/>
        <v>0.39500000000000002</v>
      </c>
      <c r="U61" s="26">
        <f t="shared" si="28"/>
        <v>0.4</v>
      </c>
      <c r="V61" s="26">
        <f t="shared" si="28"/>
        <v>0.40500000000000003</v>
      </c>
      <c r="W61" s="26">
        <f t="shared" si="28"/>
        <v>0.41</v>
      </c>
      <c r="X61" s="26">
        <f t="shared" si="28"/>
        <v>0.41499999999999998</v>
      </c>
      <c r="Y61" s="26">
        <f t="shared" si="28"/>
        <v>0.42</v>
      </c>
      <c r="Z61" s="26">
        <f t="shared" si="28"/>
        <v>0.42499999999999999</v>
      </c>
      <c r="AA61" s="26">
        <f t="shared" si="28"/>
        <v>0.43</v>
      </c>
      <c r="AB61" s="26">
        <f t="shared" si="28"/>
        <v>0.435</v>
      </c>
      <c r="AC61" s="26">
        <f t="shared" si="28"/>
        <v>0.44</v>
      </c>
      <c r="AD61" s="26">
        <f t="shared" si="28"/>
        <v>0.44500000000000001</v>
      </c>
      <c r="AE61" s="26">
        <f t="shared" si="28"/>
        <v>0.45</v>
      </c>
      <c r="AF61" s="26">
        <f t="shared" si="28"/>
        <v>0.45500000000000002</v>
      </c>
      <c r="AG61" s="26">
        <f t="shared" si="23"/>
        <v>0.46</v>
      </c>
      <c r="AH61" s="26">
        <f t="shared" si="23"/>
        <v>0.46500000000000002</v>
      </c>
      <c r="AI61" s="26">
        <f t="shared" si="23"/>
        <v>0.47</v>
      </c>
      <c r="AJ61" s="26">
        <f t="shared" si="23"/>
        <v>0.47499999999999998</v>
      </c>
      <c r="AK61" s="26">
        <f t="shared" si="23"/>
        <v>0.48</v>
      </c>
      <c r="AL61" s="26">
        <f t="shared" si="23"/>
        <v>0.48499999999999999</v>
      </c>
      <c r="AM61" s="26">
        <f t="shared" si="23"/>
        <v>0.49</v>
      </c>
      <c r="AN61" s="26">
        <f t="shared" si="23"/>
        <v>0.495</v>
      </c>
      <c r="AO61" s="26">
        <f t="shared" si="23"/>
        <v>0.5</v>
      </c>
      <c r="AP61" s="26">
        <f t="shared" si="23"/>
        <v>0.505</v>
      </c>
      <c r="AQ61" s="26">
        <f t="shared" si="23"/>
        <v>0.51</v>
      </c>
      <c r="AR61" s="26">
        <f t="shared" si="23"/>
        <v>0.51500000000000001</v>
      </c>
      <c r="AS61" s="26">
        <f t="shared" si="23"/>
        <v>0.52</v>
      </c>
      <c r="AT61" s="26">
        <f t="shared" si="23"/>
        <v>0.52500000000000002</v>
      </c>
      <c r="AU61" s="26">
        <f t="shared" si="23"/>
        <v>0.53</v>
      </c>
      <c r="AV61" s="26">
        <f t="shared" si="23"/>
        <v>0.53500000000000003</v>
      </c>
      <c r="AW61" s="26">
        <f t="shared" si="24"/>
        <v>0.54</v>
      </c>
      <c r="AX61" s="26">
        <f t="shared" si="24"/>
        <v>0.54500000000000004</v>
      </c>
      <c r="AY61" s="26">
        <f t="shared" si="24"/>
        <v>0.55000000000000004</v>
      </c>
      <c r="AZ61" s="26">
        <f t="shared" si="24"/>
        <v>0.55500000000000005</v>
      </c>
      <c r="BA61" s="26">
        <f t="shared" si="24"/>
        <v>0.56000000000000005</v>
      </c>
      <c r="BB61" s="26">
        <f t="shared" si="24"/>
        <v>0.56499999999999995</v>
      </c>
      <c r="BC61" s="26">
        <f t="shared" si="24"/>
        <v>0.56999999999999995</v>
      </c>
      <c r="BD61" s="26">
        <f t="shared" si="24"/>
        <v>0.57499999999999996</v>
      </c>
      <c r="BE61" s="26">
        <f t="shared" si="24"/>
        <v>0.57999999999999996</v>
      </c>
      <c r="BF61" s="26">
        <f t="shared" si="24"/>
        <v>0.58499999999999996</v>
      </c>
      <c r="BG61" s="26">
        <f t="shared" si="24"/>
        <v>0.59</v>
      </c>
      <c r="BH61" s="26">
        <f t="shared" si="24"/>
        <v>0.59499999999999997</v>
      </c>
      <c r="BI61" s="26">
        <f t="shared" si="24"/>
        <v>0.6</v>
      </c>
      <c r="BJ61" s="26">
        <f t="shared" si="24"/>
        <v>0.60499999999999998</v>
      </c>
      <c r="BK61" s="26">
        <f t="shared" si="24"/>
        <v>0.61</v>
      </c>
      <c r="BL61" s="26">
        <f t="shared" si="24"/>
        <v>0.61499999999999999</v>
      </c>
      <c r="BM61" s="26">
        <f t="shared" si="25"/>
        <v>0.62</v>
      </c>
      <c r="BN61" s="26">
        <f t="shared" si="25"/>
        <v>0.625</v>
      </c>
      <c r="BO61" s="26">
        <f t="shared" si="25"/>
        <v>0.63</v>
      </c>
      <c r="BP61" s="26">
        <f t="shared" si="25"/>
        <v>0.63500000000000001</v>
      </c>
      <c r="BQ61" s="26">
        <f t="shared" si="25"/>
        <v>0.64</v>
      </c>
      <c r="BR61" s="26">
        <f t="shared" si="25"/>
        <v>0.64500000000000002</v>
      </c>
      <c r="BS61" s="26">
        <f t="shared" si="25"/>
        <v>0.65</v>
      </c>
      <c r="BT61" s="26">
        <f t="shared" si="25"/>
        <v>0.65500000000000003</v>
      </c>
      <c r="BU61" s="26">
        <f t="shared" si="25"/>
        <v>0.66</v>
      </c>
      <c r="BV61" s="26">
        <f t="shared" si="25"/>
        <v>0.66500000000000004</v>
      </c>
      <c r="BW61" s="26">
        <f t="shared" si="25"/>
        <v>0.67</v>
      </c>
      <c r="BX61" s="26">
        <f t="shared" si="25"/>
        <v>0.67500000000000004</v>
      </c>
      <c r="BY61" s="26">
        <f t="shared" si="25"/>
        <v>0.68</v>
      </c>
      <c r="BZ61" s="26">
        <f t="shared" si="25"/>
        <v>0.68500000000000005</v>
      </c>
      <c r="CA61" s="26">
        <f t="shared" si="25"/>
        <v>0.69</v>
      </c>
      <c r="CB61" s="26">
        <f t="shared" si="25"/>
        <v>0.69499999999999995</v>
      </c>
      <c r="CC61" s="26">
        <f t="shared" si="26"/>
        <v>0.7</v>
      </c>
      <c r="CD61" s="26">
        <f t="shared" si="26"/>
        <v>0.70499999999999996</v>
      </c>
      <c r="CE61" s="26">
        <f t="shared" si="26"/>
        <v>0.71</v>
      </c>
      <c r="CF61" s="26">
        <f t="shared" si="26"/>
        <v>0.71499999999999997</v>
      </c>
      <c r="CG61" s="26">
        <f t="shared" si="26"/>
        <v>0.72</v>
      </c>
      <c r="CH61" s="26">
        <f t="shared" si="26"/>
        <v>0.72499999999999998</v>
      </c>
      <c r="CI61" s="26">
        <f t="shared" si="26"/>
        <v>0.73</v>
      </c>
      <c r="CJ61" s="26">
        <f t="shared" si="26"/>
        <v>0.73499999999999999</v>
      </c>
      <c r="CK61" s="26">
        <f t="shared" si="26"/>
        <v>0.74</v>
      </c>
      <c r="CL61" s="26">
        <f t="shared" si="26"/>
        <v>0.745</v>
      </c>
      <c r="CM61" s="26">
        <f t="shared" si="26"/>
        <v>0.75</v>
      </c>
      <c r="CN61" s="26">
        <f t="shared" si="26"/>
        <v>0.755</v>
      </c>
      <c r="CO61" s="26">
        <f t="shared" si="26"/>
        <v>0.76</v>
      </c>
      <c r="CP61" s="26">
        <f t="shared" si="26"/>
        <v>0.76500000000000001</v>
      </c>
      <c r="CQ61" s="26">
        <f t="shared" si="26"/>
        <v>0.77</v>
      </c>
      <c r="CR61" s="26">
        <f t="shared" si="26"/>
        <v>0.77500000000000002</v>
      </c>
      <c r="CS61" s="26">
        <f t="shared" si="27"/>
        <v>0.78</v>
      </c>
      <c r="CT61" s="26">
        <f t="shared" si="27"/>
        <v>0.78500000000000003</v>
      </c>
      <c r="CU61" s="26">
        <f t="shared" si="27"/>
        <v>0.79</v>
      </c>
      <c r="CV61" s="26">
        <f t="shared" si="27"/>
        <v>0.79500000000000004</v>
      </c>
      <c r="CW61" s="26">
        <f t="shared" si="27"/>
        <v>0.8</v>
      </c>
    </row>
    <row r="62" spans="2:101" ht="20.100000000000001" customHeight="1">
      <c r="B62" s="26">
        <f t="shared" si="29"/>
        <v>0.31</v>
      </c>
      <c r="C62" s="26">
        <f t="shared" si="29"/>
        <v>0.315</v>
      </c>
      <c r="D62" s="26">
        <f t="shared" si="29"/>
        <v>0.32</v>
      </c>
      <c r="E62" s="26">
        <f t="shared" si="29"/>
        <v>0.32500000000000001</v>
      </c>
      <c r="F62" s="26">
        <f t="shared" si="29"/>
        <v>0.33</v>
      </c>
      <c r="G62" s="26">
        <f t="shared" si="29"/>
        <v>0.33500000000000002</v>
      </c>
      <c r="H62" s="26">
        <f t="shared" si="29"/>
        <v>0.34</v>
      </c>
      <c r="I62" s="26">
        <f t="shared" si="29"/>
        <v>0.34499999999999997</v>
      </c>
      <c r="J62" s="26">
        <f t="shared" si="29"/>
        <v>0.35</v>
      </c>
      <c r="K62" s="26">
        <f t="shared" si="29"/>
        <v>0.35499999999999998</v>
      </c>
      <c r="L62" s="26">
        <f t="shared" si="29"/>
        <v>0.36</v>
      </c>
      <c r="M62" s="26">
        <f t="shared" si="29"/>
        <v>0.36499999999999999</v>
      </c>
      <c r="N62" s="26">
        <f t="shared" si="29"/>
        <v>0.37</v>
      </c>
      <c r="O62" s="26">
        <f t="shared" si="29"/>
        <v>0.375</v>
      </c>
      <c r="P62" s="26">
        <f t="shared" si="29"/>
        <v>0.38</v>
      </c>
      <c r="Q62" s="26">
        <f t="shared" si="29"/>
        <v>0.38500000000000001</v>
      </c>
      <c r="R62" s="26">
        <f t="shared" si="28"/>
        <v>0.39</v>
      </c>
      <c r="S62" s="26">
        <f t="shared" si="28"/>
        <v>0.39500000000000002</v>
      </c>
      <c r="T62" s="26">
        <f t="shared" si="28"/>
        <v>0.4</v>
      </c>
      <c r="U62" s="26">
        <f t="shared" si="28"/>
        <v>0.40500000000000003</v>
      </c>
      <c r="V62" s="26">
        <f t="shared" si="28"/>
        <v>0.41</v>
      </c>
      <c r="W62" s="26">
        <f t="shared" si="28"/>
        <v>0.41499999999999998</v>
      </c>
      <c r="X62" s="26">
        <f t="shared" si="28"/>
        <v>0.42</v>
      </c>
      <c r="Y62" s="26">
        <f t="shared" si="28"/>
        <v>0.42499999999999999</v>
      </c>
      <c r="Z62" s="26">
        <f t="shared" si="28"/>
        <v>0.43</v>
      </c>
      <c r="AA62" s="26">
        <f t="shared" si="28"/>
        <v>0.435</v>
      </c>
      <c r="AB62" s="26">
        <f t="shared" si="28"/>
        <v>0.44</v>
      </c>
      <c r="AC62" s="26">
        <f t="shared" si="28"/>
        <v>0.44500000000000001</v>
      </c>
      <c r="AD62" s="26">
        <f t="shared" si="28"/>
        <v>0.45</v>
      </c>
      <c r="AE62" s="26">
        <f t="shared" si="28"/>
        <v>0.45500000000000002</v>
      </c>
      <c r="AF62" s="26">
        <f t="shared" si="28"/>
        <v>0.46</v>
      </c>
      <c r="AG62" s="26">
        <f t="shared" si="23"/>
        <v>0.46500000000000002</v>
      </c>
      <c r="AH62" s="26">
        <f t="shared" si="23"/>
        <v>0.47</v>
      </c>
      <c r="AI62" s="26">
        <f t="shared" si="23"/>
        <v>0.47499999999999998</v>
      </c>
      <c r="AJ62" s="26">
        <f t="shared" si="23"/>
        <v>0.48</v>
      </c>
      <c r="AK62" s="26">
        <f t="shared" si="23"/>
        <v>0.48499999999999999</v>
      </c>
      <c r="AL62" s="26">
        <f t="shared" si="23"/>
        <v>0.49</v>
      </c>
      <c r="AM62" s="26">
        <f t="shared" si="23"/>
        <v>0.495</v>
      </c>
      <c r="AN62" s="26">
        <f t="shared" si="23"/>
        <v>0.5</v>
      </c>
      <c r="AO62" s="26">
        <f t="shared" si="23"/>
        <v>0.505</v>
      </c>
      <c r="AP62" s="26">
        <f t="shared" si="23"/>
        <v>0.51</v>
      </c>
      <c r="AQ62" s="26">
        <f t="shared" si="23"/>
        <v>0.51500000000000001</v>
      </c>
      <c r="AR62" s="26">
        <f t="shared" si="23"/>
        <v>0.52</v>
      </c>
      <c r="AS62" s="26">
        <f t="shared" si="23"/>
        <v>0.52500000000000002</v>
      </c>
      <c r="AT62" s="26">
        <f t="shared" si="23"/>
        <v>0.53</v>
      </c>
      <c r="AU62" s="26">
        <f t="shared" si="23"/>
        <v>0.53500000000000003</v>
      </c>
      <c r="AV62" s="26">
        <f t="shared" si="23"/>
        <v>0.54</v>
      </c>
      <c r="AW62" s="26">
        <f t="shared" si="24"/>
        <v>0.54500000000000004</v>
      </c>
      <c r="AX62" s="26">
        <f t="shared" si="24"/>
        <v>0.55000000000000004</v>
      </c>
      <c r="AY62" s="26">
        <f t="shared" si="24"/>
        <v>0.55500000000000005</v>
      </c>
      <c r="AZ62" s="26">
        <f t="shared" si="24"/>
        <v>0.56000000000000005</v>
      </c>
      <c r="BA62" s="26">
        <f t="shared" si="24"/>
        <v>0.56499999999999995</v>
      </c>
      <c r="BB62" s="26">
        <f t="shared" si="24"/>
        <v>0.56999999999999995</v>
      </c>
      <c r="BC62" s="26">
        <f t="shared" si="24"/>
        <v>0.57499999999999996</v>
      </c>
      <c r="BD62" s="26">
        <f t="shared" si="24"/>
        <v>0.57999999999999996</v>
      </c>
      <c r="BE62" s="26">
        <f t="shared" si="24"/>
        <v>0.58499999999999996</v>
      </c>
      <c r="BF62" s="26">
        <f t="shared" si="24"/>
        <v>0.59</v>
      </c>
      <c r="BG62" s="26">
        <f t="shared" si="24"/>
        <v>0.59499999999999997</v>
      </c>
      <c r="BH62" s="26">
        <f t="shared" si="24"/>
        <v>0.6</v>
      </c>
      <c r="BI62" s="26">
        <f t="shared" si="24"/>
        <v>0.60499999999999998</v>
      </c>
      <c r="BJ62" s="26">
        <f t="shared" si="24"/>
        <v>0.61</v>
      </c>
      <c r="BK62" s="26">
        <f t="shared" si="24"/>
        <v>0.61499999999999999</v>
      </c>
      <c r="BL62" s="26">
        <f t="shared" si="24"/>
        <v>0.62</v>
      </c>
      <c r="BM62" s="26">
        <f t="shared" si="25"/>
        <v>0.625</v>
      </c>
      <c r="BN62" s="26">
        <f t="shared" si="25"/>
        <v>0.63</v>
      </c>
      <c r="BO62" s="26">
        <f t="shared" si="25"/>
        <v>0.63500000000000001</v>
      </c>
      <c r="BP62" s="26">
        <f t="shared" si="25"/>
        <v>0.64</v>
      </c>
      <c r="BQ62" s="26">
        <f t="shared" si="25"/>
        <v>0.64500000000000002</v>
      </c>
      <c r="BR62" s="26">
        <f t="shared" si="25"/>
        <v>0.65</v>
      </c>
      <c r="BS62" s="26">
        <f t="shared" si="25"/>
        <v>0.65500000000000003</v>
      </c>
      <c r="BT62" s="26">
        <f t="shared" si="25"/>
        <v>0.66</v>
      </c>
      <c r="BU62" s="26">
        <f t="shared" si="25"/>
        <v>0.66500000000000004</v>
      </c>
      <c r="BV62" s="26">
        <f t="shared" si="25"/>
        <v>0.67</v>
      </c>
      <c r="BW62" s="26">
        <f t="shared" si="25"/>
        <v>0.67500000000000004</v>
      </c>
      <c r="BX62" s="26">
        <f t="shared" si="25"/>
        <v>0.68</v>
      </c>
      <c r="BY62" s="26">
        <f t="shared" si="25"/>
        <v>0.68500000000000005</v>
      </c>
      <c r="BZ62" s="26">
        <f t="shared" si="25"/>
        <v>0.69</v>
      </c>
      <c r="CA62" s="26">
        <f t="shared" si="25"/>
        <v>0.69499999999999995</v>
      </c>
      <c r="CB62" s="26">
        <f t="shared" si="25"/>
        <v>0.7</v>
      </c>
      <c r="CC62" s="26">
        <f t="shared" si="26"/>
        <v>0.70499999999999996</v>
      </c>
      <c r="CD62" s="26">
        <f t="shared" si="26"/>
        <v>0.71</v>
      </c>
      <c r="CE62" s="26">
        <f t="shared" si="26"/>
        <v>0.71499999999999997</v>
      </c>
      <c r="CF62" s="26">
        <f t="shared" si="26"/>
        <v>0.72</v>
      </c>
      <c r="CG62" s="26">
        <f t="shared" si="26"/>
        <v>0.72499999999999998</v>
      </c>
      <c r="CH62" s="26">
        <f t="shared" si="26"/>
        <v>0.73</v>
      </c>
      <c r="CI62" s="26">
        <f t="shared" si="26"/>
        <v>0.73499999999999999</v>
      </c>
      <c r="CJ62" s="26">
        <f t="shared" si="26"/>
        <v>0.74</v>
      </c>
      <c r="CK62" s="26">
        <f t="shared" si="26"/>
        <v>0.745</v>
      </c>
      <c r="CL62" s="26">
        <f t="shared" si="26"/>
        <v>0.75</v>
      </c>
      <c r="CM62" s="26">
        <f t="shared" si="26"/>
        <v>0.755</v>
      </c>
      <c r="CN62" s="26">
        <f t="shared" si="26"/>
        <v>0.76</v>
      </c>
      <c r="CO62" s="26">
        <f t="shared" si="26"/>
        <v>0.76500000000000001</v>
      </c>
      <c r="CP62" s="26">
        <f t="shared" si="26"/>
        <v>0.77</v>
      </c>
      <c r="CQ62" s="26">
        <f t="shared" si="26"/>
        <v>0.77500000000000002</v>
      </c>
      <c r="CR62" s="26">
        <f t="shared" si="26"/>
        <v>0.78</v>
      </c>
      <c r="CS62" s="26">
        <f t="shared" si="27"/>
        <v>0.78500000000000003</v>
      </c>
      <c r="CT62" s="26">
        <f t="shared" si="27"/>
        <v>0.79</v>
      </c>
      <c r="CU62" s="26">
        <f t="shared" si="27"/>
        <v>0.79500000000000004</v>
      </c>
      <c r="CV62" s="26">
        <f t="shared" si="27"/>
        <v>0.8</v>
      </c>
      <c r="CW62" s="26">
        <f t="shared" si="27"/>
        <v>0.80500000000000005</v>
      </c>
    </row>
    <row r="63" spans="2:101" ht="20.100000000000001" customHeight="1">
      <c r="B63" s="26">
        <f t="shared" si="29"/>
        <v>0.315</v>
      </c>
      <c r="C63" s="26">
        <f t="shared" si="29"/>
        <v>0.32</v>
      </c>
      <c r="D63" s="26">
        <f t="shared" si="29"/>
        <v>0.32500000000000001</v>
      </c>
      <c r="E63" s="26">
        <f t="shared" si="29"/>
        <v>0.33</v>
      </c>
      <c r="F63" s="26">
        <f t="shared" si="29"/>
        <v>0.33500000000000002</v>
      </c>
      <c r="G63" s="26">
        <f t="shared" si="29"/>
        <v>0.34</v>
      </c>
      <c r="H63" s="26">
        <f t="shared" si="29"/>
        <v>0.34499999999999997</v>
      </c>
      <c r="I63" s="26">
        <f t="shared" si="29"/>
        <v>0.35</v>
      </c>
      <c r="J63" s="26">
        <f t="shared" si="29"/>
        <v>0.35499999999999998</v>
      </c>
      <c r="K63" s="26">
        <f t="shared" si="29"/>
        <v>0.36</v>
      </c>
      <c r="L63" s="26">
        <f t="shared" si="29"/>
        <v>0.36499999999999999</v>
      </c>
      <c r="M63" s="26">
        <f t="shared" si="29"/>
        <v>0.37</v>
      </c>
      <c r="N63" s="26">
        <f t="shared" si="29"/>
        <v>0.375</v>
      </c>
      <c r="O63" s="26">
        <f t="shared" si="29"/>
        <v>0.38</v>
      </c>
      <c r="P63" s="26">
        <f t="shared" si="29"/>
        <v>0.38500000000000001</v>
      </c>
      <c r="Q63" s="26">
        <f t="shared" si="29"/>
        <v>0.39</v>
      </c>
      <c r="R63" s="26">
        <f t="shared" si="28"/>
        <v>0.39500000000000002</v>
      </c>
      <c r="S63" s="26">
        <f t="shared" si="28"/>
        <v>0.4</v>
      </c>
      <c r="T63" s="26">
        <f t="shared" si="28"/>
        <v>0.40500000000000003</v>
      </c>
      <c r="U63" s="26">
        <f t="shared" si="28"/>
        <v>0.41</v>
      </c>
      <c r="V63" s="26">
        <f t="shared" si="28"/>
        <v>0.41499999999999998</v>
      </c>
      <c r="W63" s="26">
        <f t="shared" si="28"/>
        <v>0.42</v>
      </c>
      <c r="X63" s="26">
        <f t="shared" si="28"/>
        <v>0.42499999999999999</v>
      </c>
      <c r="Y63" s="26">
        <f t="shared" si="28"/>
        <v>0.43</v>
      </c>
      <c r="Z63" s="26">
        <f t="shared" si="28"/>
        <v>0.435</v>
      </c>
      <c r="AA63" s="26">
        <f t="shared" si="28"/>
        <v>0.44</v>
      </c>
      <c r="AB63" s="26">
        <f t="shared" si="28"/>
        <v>0.44500000000000001</v>
      </c>
      <c r="AC63" s="26">
        <f t="shared" si="28"/>
        <v>0.45</v>
      </c>
      <c r="AD63" s="26">
        <f t="shared" si="28"/>
        <v>0.45500000000000002</v>
      </c>
      <c r="AE63" s="26">
        <f t="shared" si="28"/>
        <v>0.46</v>
      </c>
      <c r="AF63" s="26">
        <f t="shared" si="28"/>
        <v>0.46500000000000002</v>
      </c>
      <c r="AG63" s="26">
        <f t="shared" si="23"/>
        <v>0.47</v>
      </c>
      <c r="AH63" s="26">
        <f t="shared" si="23"/>
        <v>0.47499999999999998</v>
      </c>
      <c r="AI63" s="26">
        <f t="shared" si="23"/>
        <v>0.48</v>
      </c>
      <c r="AJ63" s="26">
        <f t="shared" si="23"/>
        <v>0.48499999999999999</v>
      </c>
      <c r="AK63" s="26">
        <f t="shared" si="23"/>
        <v>0.49</v>
      </c>
      <c r="AL63" s="26">
        <f t="shared" si="23"/>
        <v>0.495</v>
      </c>
      <c r="AM63" s="26">
        <f t="shared" si="23"/>
        <v>0.5</v>
      </c>
      <c r="AN63" s="26">
        <f t="shared" si="23"/>
        <v>0.505</v>
      </c>
      <c r="AO63" s="26">
        <f t="shared" si="23"/>
        <v>0.51</v>
      </c>
      <c r="AP63" s="26">
        <f t="shared" si="23"/>
        <v>0.51500000000000001</v>
      </c>
      <c r="AQ63" s="26">
        <f t="shared" si="23"/>
        <v>0.52</v>
      </c>
      <c r="AR63" s="26">
        <f t="shared" si="23"/>
        <v>0.52500000000000002</v>
      </c>
      <c r="AS63" s="26">
        <f t="shared" si="23"/>
        <v>0.53</v>
      </c>
      <c r="AT63" s="26">
        <f t="shared" si="23"/>
        <v>0.53500000000000003</v>
      </c>
      <c r="AU63" s="26">
        <f t="shared" si="23"/>
        <v>0.54</v>
      </c>
      <c r="AV63" s="26">
        <f t="shared" si="23"/>
        <v>0.54500000000000004</v>
      </c>
      <c r="AW63" s="26">
        <f t="shared" si="24"/>
        <v>0.55000000000000004</v>
      </c>
      <c r="AX63" s="26">
        <f t="shared" si="24"/>
        <v>0.55500000000000005</v>
      </c>
      <c r="AY63" s="26">
        <f t="shared" si="24"/>
        <v>0.56000000000000005</v>
      </c>
      <c r="AZ63" s="26">
        <f t="shared" si="24"/>
        <v>0.56499999999999995</v>
      </c>
      <c r="BA63" s="26">
        <f t="shared" si="24"/>
        <v>0.56999999999999995</v>
      </c>
      <c r="BB63" s="26">
        <f t="shared" si="24"/>
        <v>0.57499999999999996</v>
      </c>
      <c r="BC63" s="26">
        <f t="shared" si="24"/>
        <v>0.57999999999999996</v>
      </c>
      <c r="BD63" s="26">
        <f t="shared" si="24"/>
        <v>0.58499999999999996</v>
      </c>
      <c r="BE63" s="26">
        <f t="shared" si="24"/>
        <v>0.59</v>
      </c>
      <c r="BF63" s="26">
        <f t="shared" si="24"/>
        <v>0.59499999999999997</v>
      </c>
      <c r="BG63" s="26">
        <f t="shared" si="24"/>
        <v>0.6</v>
      </c>
      <c r="BH63" s="26">
        <f t="shared" si="24"/>
        <v>0.60499999999999998</v>
      </c>
      <c r="BI63" s="26">
        <f t="shared" si="24"/>
        <v>0.61</v>
      </c>
      <c r="BJ63" s="26">
        <f t="shared" si="24"/>
        <v>0.61499999999999999</v>
      </c>
      <c r="BK63" s="26">
        <f t="shared" si="24"/>
        <v>0.62</v>
      </c>
      <c r="BL63" s="26">
        <f t="shared" si="24"/>
        <v>0.625</v>
      </c>
      <c r="BM63" s="26">
        <f t="shared" si="25"/>
        <v>0.63</v>
      </c>
      <c r="BN63" s="26">
        <f t="shared" si="25"/>
        <v>0.63500000000000001</v>
      </c>
      <c r="BO63" s="26">
        <f t="shared" si="25"/>
        <v>0.64</v>
      </c>
      <c r="BP63" s="26">
        <f t="shared" si="25"/>
        <v>0.64500000000000002</v>
      </c>
      <c r="BQ63" s="26">
        <f t="shared" si="25"/>
        <v>0.65</v>
      </c>
      <c r="BR63" s="26">
        <f t="shared" si="25"/>
        <v>0.65500000000000003</v>
      </c>
      <c r="BS63" s="26">
        <f t="shared" si="25"/>
        <v>0.66</v>
      </c>
      <c r="BT63" s="26">
        <f t="shared" si="25"/>
        <v>0.66500000000000004</v>
      </c>
      <c r="BU63" s="26">
        <f t="shared" si="25"/>
        <v>0.67</v>
      </c>
      <c r="BV63" s="26">
        <f t="shared" si="25"/>
        <v>0.67500000000000004</v>
      </c>
      <c r="BW63" s="26">
        <f t="shared" si="25"/>
        <v>0.68</v>
      </c>
      <c r="BX63" s="26">
        <f t="shared" si="25"/>
        <v>0.68500000000000005</v>
      </c>
      <c r="BY63" s="26">
        <f t="shared" si="25"/>
        <v>0.69</v>
      </c>
      <c r="BZ63" s="26">
        <f t="shared" si="25"/>
        <v>0.69499999999999995</v>
      </c>
      <c r="CA63" s="26">
        <f t="shared" si="25"/>
        <v>0.7</v>
      </c>
      <c r="CB63" s="26">
        <f t="shared" si="25"/>
        <v>0.70499999999999996</v>
      </c>
      <c r="CC63" s="26">
        <f t="shared" si="26"/>
        <v>0.71</v>
      </c>
      <c r="CD63" s="26">
        <f t="shared" si="26"/>
        <v>0.71499999999999997</v>
      </c>
      <c r="CE63" s="26">
        <f t="shared" si="26"/>
        <v>0.72</v>
      </c>
      <c r="CF63" s="26">
        <f t="shared" si="26"/>
        <v>0.72499999999999998</v>
      </c>
      <c r="CG63" s="26">
        <f t="shared" si="26"/>
        <v>0.73</v>
      </c>
      <c r="CH63" s="26">
        <f t="shared" si="26"/>
        <v>0.73499999999999999</v>
      </c>
      <c r="CI63" s="26">
        <f t="shared" si="26"/>
        <v>0.74</v>
      </c>
      <c r="CJ63" s="26">
        <f t="shared" si="26"/>
        <v>0.745</v>
      </c>
      <c r="CK63" s="26">
        <f t="shared" si="26"/>
        <v>0.75</v>
      </c>
      <c r="CL63" s="26">
        <f t="shared" si="26"/>
        <v>0.755</v>
      </c>
      <c r="CM63" s="26">
        <f t="shared" si="26"/>
        <v>0.76</v>
      </c>
      <c r="CN63" s="26">
        <f t="shared" si="26"/>
        <v>0.76500000000000001</v>
      </c>
      <c r="CO63" s="26">
        <f t="shared" si="26"/>
        <v>0.77</v>
      </c>
      <c r="CP63" s="26">
        <f t="shared" si="26"/>
        <v>0.77500000000000002</v>
      </c>
      <c r="CQ63" s="26">
        <f t="shared" si="26"/>
        <v>0.78</v>
      </c>
      <c r="CR63" s="26">
        <f t="shared" si="26"/>
        <v>0.78500000000000003</v>
      </c>
      <c r="CS63" s="26">
        <f t="shared" si="27"/>
        <v>0.79</v>
      </c>
      <c r="CT63" s="26">
        <f t="shared" si="27"/>
        <v>0.79500000000000004</v>
      </c>
      <c r="CU63" s="26">
        <f t="shared" si="27"/>
        <v>0.8</v>
      </c>
      <c r="CV63" s="26">
        <f t="shared" si="27"/>
        <v>0.80500000000000005</v>
      </c>
      <c r="CW63" s="26">
        <f t="shared" si="27"/>
        <v>0.81</v>
      </c>
    </row>
    <row r="64" spans="2:101" ht="20.100000000000001" customHeight="1">
      <c r="B64" s="26">
        <f t="shared" si="29"/>
        <v>0.32</v>
      </c>
      <c r="C64" s="26">
        <f t="shared" si="29"/>
        <v>0.32500000000000001</v>
      </c>
      <c r="D64" s="26">
        <f t="shared" si="29"/>
        <v>0.33</v>
      </c>
      <c r="E64" s="26">
        <f t="shared" si="29"/>
        <v>0.33500000000000002</v>
      </c>
      <c r="F64" s="26">
        <f t="shared" si="29"/>
        <v>0.34</v>
      </c>
      <c r="G64" s="26">
        <f t="shared" si="29"/>
        <v>0.34499999999999997</v>
      </c>
      <c r="H64" s="26">
        <f t="shared" si="29"/>
        <v>0.35</v>
      </c>
      <c r="I64" s="26">
        <f t="shared" si="29"/>
        <v>0.35499999999999998</v>
      </c>
      <c r="J64" s="26">
        <f t="shared" si="29"/>
        <v>0.36</v>
      </c>
      <c r="K64" s="26">
        <f t="shared" si="29"/>
        <v>0.36499999999999999</v>
      </c>
      <c r="L64" s="26">
        <f t="shared" si="29"/>
        <v>0.37</v>
      </c>
      <c r="M64" s="26">
        <f t="shared" si="29"/>
        <v>0.375</v>
      </c>
      <c r="N64" s="26">
        <f t="shared" si="29"/>
        <v>0.38</v>
      </c>
      <c r="O64" s="26">
        <f t="shared" si="29"/>
        <v>0.38500000000000001</v>
      </c>
      <c r="P64" s="26">
        <f t="shared" si="29"/>
        <v>0.39</v>
      </c>
      <c r="Q64" s="26">
        <f t="shared" si="29"/>
        <v>0.39500000000000002</v>
      </c>
      <c r="R64" s="26">
        <f t="shared" si="28"/>
        <v>0.4</v>
      </c>
      <c r="S64" s="26">
        <f t="shared" si="28"/>
        <v>0.40500000000000003</v>
      </c>
      <c r="T64" s="26">
        <f t="shared" si="28"/>
        <v>0.41</v>
      </c>
      <c r="U64" s="26">
        <f t="shared" si="28"/>
        <v>0.41499999999999998</v>
      </c>
      <c r="V64" s="26">
        <f t="shared" si="28"/>
        <v>0.42</v>
      </c>
      <c r="W64" s="26">
        <f t="shared" si="28"/>
        <v>0.42499999999999999</v>
      </c>
      <c r="X64" s="26">
        <f t="shared" si="28"/>
        <v>0.43</v>
      </c>
      <c r="Y64" s="26">
        <f t="shared" si="28"/>
        <v>0.435</v>
      </c>
      <c r="Z64" s="26">
        <f t="shared" si="28"/>
        <v>0.44</v>
      </c>
      <c r="AA64" s="26">
        <f t="shared" si="28"/>
        <v>0.44500000000000001</v>
      </c>
      <c r="AB64" s="26">
        <f t="shared" si="28"/>
        <v>0.45</v>
      </c>
      <c r="AC64" s="26">
        <f t="shared" si="28"/>
        <v>0.45500000000000002</v>
      </c>
      <c r="AD64" s="26">
        <f t="shared" si="28"/>
        <v>0.46</v>
      </c>
      <c r="AE64" s="26">
        <f t="shared" si="28"/>
        <v>0.46500000000000002</v>
      </c>
      <c r="AF64" s="26">
        <f t="shared" si="28"/>
        <v>0.47</v>
      </c>
      <c r="AG64" s="26">
        <f t="shared" si="28"/>
        <v>0.47499999999999998</v>
      </c>
      <c r="AH64" s="26">
        <f t="shared" ref="AH64:AW79" si="30">(ROW(AG63)+COLUMN(AG63))/200</f>
        <v>0.48</v>
      </c>
      <c r="AI64" s="26">
        <f t="shared" si="30"/>
        <v>0.48499999999999999</v>
      </c>
      <c r="AJ64" s="26">
        <f t="shared" si="30"/>
        <v>0.49</v>
      </c>
      <c r="AK64" s="26">
        <f t="shared" si="30"/>
        <v>0.495</v>
      </c>
      <c r="AL64" s="26">
        <f t="shared" si="30"/>
        <v>0.5</v>
      </c>
      <c r="AM64" s="26">
        <f t="shared" si="30"/>
        <v>0.505</v>
      </c>
      <c r="AN64" s="26">
        <f t="shared" si="30"/>
        <v>0.51</v>
      </c>
      <c r="AO64" s="26">
        <f t="shared" si="30"/>
        <v>0.51500000000000001</v>
      </c>
      <c r="AP64" s="26">
        <f t="shared" si="30"/>
        <v>0.52</v>
      </c>
      <c r="AQ64" s="26">
        <f t="shared" si="30"/>
        <v>0.52500000000000002</v>
      </c>
      <c r="AR64" s="26">
        <f t="shared" si="30"/>
        <v>0.53</v>
      </c>
      <c r="AS64" s="26">
        <f t="shared" si="30"/>
        <v>0.53500000000000003</v>
      </c>
      <c r="AT64" s="26">
        <f t="shared" si="30"/>
        <v>0.54</v>
      </c>
      <c r="AU64" s="26">
        <f t="shared" si="30"/>
        <v>0.54500000000000004</v>
      </c>
      <c r="AV64" s="26">
        <f t="shared" si="30"/>
        <v>0.55000000000000004</v>
      </c>
      <c r="AW64" s="26">
        <f t="shared" si="30"/>
        <v>0.55500000000000005</v>
      </c>
      <c r="AX64" s="26">
        <f t="shared" ref="AX64:BM79" si="31">(ROW(AW63)+COLUMN(AW63))/200</f>
        <v>0.56000000000000005</v>
      </c>
      <c r="AY64" s="26">
        <f t="shared" si="31"/>
        <v>0.56499999999999995</v>
      </c>
      <c r="AZ64" s="26">
        <f t="shared" si="31"/>
        <v>0.56999999999999995</v>
      </c>
      <c r="BA64" s="26">
        <f t="shared" si="31"/>
        <v>0.57499999999999996</v>
      </c>
      <c r="BB64" s="26">
        <f t="shared" si="31"/>
        <v>0.57999999999999996</v>
      </c>
      <c r="BC64" s="26">
        <f t="shared" si="31"/>
        <v>0.58499999999999996</v>
      </c>
      <c r="BD64" s="26">
        <f t="shared" si="31"/>
        <v>0.59</v>
      </c>
      <c r="BE64" s="26">
        <f t="shared" si="31"/>
        <v>0.59499999999999997</v>
      </c>
      <c r="BF64" s="26">
        <f t="shared" si="31"/>
        <v>0.6</v>
      </c>
      <c r="BG64" s="26">
        <f t="shared" si="31"/>
        <v>0.60499999999999998</v>
      </c>
      <c r="BH64" s="26">
        <f t="shared" si="31"/>
        <v>0.61</v>
      </c>
      <c r="BI64" s="26">
        <f t="shared" si="31"/>
        <v>0.61499999999999999</v>
      </c>
      <c r="BJ64" s="26">
        <f t="shared" si="31"/>
        <v>0.62</v>
      </c>
      <c r="BK64" s="26">
        <f t="shared" si="31"/>
        <v>0.625</v>
      </c>
      <c r="BL64" s="26">
        <f t="shared" si="31"/>
        <v>0.63</v>
      </c>
      <c r="BM64" s="26">
        <f t="shared" si="31"/>
        <v>0.63500000000000001</v>
      </c>
      <c r="BN64" s="26">
        <f t="shared" ref="BN64:CC79" si="32">(ROW(BM63)+COLUMN(BM63))/200</f>
        <v>0.64</v>
      </c>
      <c r="BO64" s="26">
        <f t="shared" si="32"/>
        <v>0.64500000000000002</v>
      </c>
      <c r="BP64" s="26">
        <f t="shared" si="32"/>
        <v>0.65</v>
      </c>
      <c r="BQ64" s="26">
        <f t="shared" si="32"/>
        <v>0.65500000000000003</v>
      </c>
      <c r="BR64" s="26">
        <f t="shared" si="32"/>
        <v>0.66</v>
      </c>
      <c r="BS64" s="26">
        <f t="shared" si="32"/>
        <v>0.66500000000000004</v>
      </c>
      <c r="BT64" s="26">
        <f t="shared" si="32"/>
        <v>0.67</v>
      </c>
      <c r="BU64" s="26">
        <f t="shared" si="32"/>
        <v>0.67500000000000004</v>
      </c>
      <c r="BV64" s="26">
        <f t="shared" si="32"/>
        <v>0.68</v>
      </c>
      <c r="BW64" s="26">
        <f t="shared" si="32"/>
        <v>0.68500000000000005</v>
      </c>
      <c r="BX64" s="26">
        <f t="shared" si="32"/>
        <v>0.69</v>
      </c>
      <c r="BY64" s="26">
        <f t="shared" si="32"/>
        <v>0.69499999999999995</v>
      </c>
      <c r="BZ64" s="26">
        <f t="shared" si="32"/>
        <v>0.7</v>
      </c>
      <c r="CA64" s="26">
        <f t="shared" si="32"/>
        <v>0.70499999999999996</v>
      </c>
      <c r="CB64" s="26">
        <f t="shared" si="32"/>
        <v>0.71</v>
      </c>
      <c r="CC64" s="26">
        <f t="shared" si="32"/>
        <v>0.71499999999999997</v>
      </c>
      <c r="CD64" s="26">
        <f t="shared" ref="CD64:CS79" si="33">(ROW(CC63)+COLUMN(CC63))/200</f>
        <v>0.72</v>
      </c>
      <c r="CE64" s="26">
        <f t="shared" si="33"/>
        <v>0.72499999999999998</v>
      </c>
      <c r="CF64" s="26">
        <f t="shared" si="33"/>
        <v>0.73</v>
      </c>
      <c r="CG64" s="26">
        <f t="shared" si="33"/>
        <v>0.73499999999999999</v>
      </c>
      <c r="CH64" s="26">
        <f t="shared" si="33"/>
        <v>0.74</v>
      </c>
      <c r="CI64" s="26">
        <f t="shared" si="33"/>
        <v>0.745</v>
      </c>
      <c r="CJ64" s="26">
        <f t="shared" si="33"/>
        <v>0.75</v>
      </c>
      <c r="CK64" s="26">
        <f t="shared" si="33"/>
        <v>0.755</v>
      </c>
      <c r="CL64" s="26">
        <f t="shared" si="33"/>
        <v>0.76</v>
      </c>
      <c r="CM64" s="26">
        <f t="shared" si="33"/>
        <v>0.76500000000000001</v>
      </c>
      <c r="CN64" s="26">
        <f t="shared" si="33"/>
        <v>0.77</v>
      </c>
      <c r="CO64" s="26">
        <f t="shared" si="33"/>
        <v>0.77500000000000002</v>
      </c>
      <c r="CP64" s="26">
        <f t="shared" si="33"/>
        <v>0.78</v>
      </c>
      <c r="CQ64" s="26">
        <f t="shared" si="33"/>
        <v>0.78500000000000003</v>
      </c>
      <c r="CR64" s="26">
        <f t="shared" si="33"/>
        <v>0.79</v>
      </c>
      <c r="CS64" s="26">
        <f t="shared" si="33"/>
        <v>0.79500000000000004</v>
      </c>
      <c r="CT64" s="26">
        <f t="shared" ref="CT64:CW83" si="34">(ROW(CS63)+COLUMN(CS63))/200</f>
        <v>0.8</v>
      </c>
      <c r="CU64" s="26">
        <f t="shared" si="34"/>
        <v>0.80500000000000005</v>
      </c>
      <c r="CV64" s="26">
        <f t="shared" si="34"/>
        <v>0.81</v>
      </c>
      <c r="CW64" s="26">
        <f t="shared" si="34"/>
        <v>0.81499999999999995</v>
      </c>
    </row>
    <row r="65" spans="2:101" ht="20.100000000000001" customHeight="1">
      <c r="B65" s="26">
        <f t="shared" si="29"/>
        <v>0.32500000000000001</v>
      </c>
      <c r="C65" s="26">
        <f t="shared" si="29"/>
        <v>0.33</v>
      </c>
      <c r="D65" s="26">
        <f t="shared" si="29"/>
        <v>0.33500000000000002</v>
      </c>
      <c r="E65" s="26">
        <f t="shared" si="29"/>
        <v>0.34</v>
      </c>
      <c r="F65" s="26">
        <f t="shared" si="29"/>
        <v>0.34499999999999997</v>
      </c>
      <c r="G65" s="26">
        <f t="shared" si="29"/>
        <v>0.35</v>
      </c>
      <c r="H65" s="26">
        <f t="shared" si="29"/>
        <v>0.35499999999999998</v>
      </c>
      <c r="I65" s="26">
        <f t="shared" si="29"/>
        <v>0.36</v>
      </c>
      <c r="J65" s="26">
        <f t="shared" si="29"/>
        <v>0.36499999999999999</v>
      </c>
      <c r="K65" s="26">
        <f t="shared" si="29"/>
        <v>0.37</v>
      </c>
      <c r="L65" s="26">
        <f t="shared" si="29"/>
        <v>0.375</v>
      </c>
      <c r="M65" s="26">
        <f t="shared" si="29"/>
        <v>0.38</v>
      </c>
      <c r="N65" s="26">
        <f t="shared" si="29"/>
        <v>0.38500000000000001</v>
      </c>
      <c r="O65" s="26">
        <f t="shared" si="29"/>
        <v>0.39</v>
      </c>
      <c r="P65" s="26">
        <f t="shared" si="29"/>
        <v>0.39500000000000002</v>
      </c>
      <c r="Q65" s="26">
        <f t="shared" si="29"/>
        <v>0.4</v>
      </c>
      <c r="R65" s="26">
        <f t="shared" si="28"/>
        <v>0.40500000000000003</v>
      </c>
      <c r="S65" s="26">
        <f t="shared" si="28"/>
        <v>0.41</v>
      </c>
      <c r="T65" s="26">
        <f t="shared" si="28"/>
        <v>0.41499999999999998</v>
      </c>
      <c r="U65" s="26">
        <f t="shared" si="28"/>
        <v>0.42</v>
      </c>
      <c r="V65" s="26">
        <f t="shared" si="28"/>
        <v>0.42499999999999999</v>
      </c>
      <c r="W65" s="26">
        <f t="shared" si="28"/>
        <v>0.43</v>
      </c>
      <c r="X65" s="26">
        <f t="shared" si="28"/>
        <v>0.435</v>
      </c>
      <c r="Y65" s="26">
        <f t="shared" si="28"/>
        <v>0.44</v>
      </c>
      <c r="Z65" s="26">
        <f t="shared" si="28"/>
        <v>0.44500000000000001</v>
      </c>
      <c r="AA65" s="26">
        <f t="shared" si="28"/>
        <v>0.45</v>
      </c>
      <c r="AB65" s="26">
        <f t="shared" si="28"/>
        <v>0.45500000000000002</v>
      </c>
      <c r="AC65" s="26">
        <f t="shared" si="28"/>
        <v>0.46</v>
      </c>
      <c r="AD65" s="26">
        <f t="shared" si="28"/>
        <v>0.46500000000000002</v>
      </c>
      <c r="AE65" s="26">
        <f t="shared" si="28"/>
        <v>0.47</v>
      </c>
      <c r="AF65" s="26">
        <f t="shared" si="28"/>
        <v>0.47499999999999998</v>
      </c>
      <c r="AG65" s="26">
        <f t="shared" si="28"/>
        <v>0.48</v>
      </c>
      <c r="AH65" s="26">
        <f t="shared" si="30"/>
        <v>0.48499999999999999</v>
      </c>
      <c r="AI65" s="26">
        <f t="shared" si="30"/>
        <v>0.49</v>
      </c>
      <c r="AJ65" s="26">
        <f t="shared" si="30"/>
        <v>0.495</v>
      </c>
      <c r="AK65" s="26">
        <f t="shared" si="30"/>
        <v>0.5</v>
      </c>
      <c r="AL65" s="26">
        <f t="shared" si="30"/>
        <v>0.505</v>
      </c>
      <c r="AM65" s="26">
        <f t="shared" si="30"/>
        <v>0.51</v>
      </c>
      <c r="AN65" s="26">
        <f t="shared" si="30"/>
        <v>0.51500000000000001</v>
      </c>
      <c r="AO65" s="26">
        <f t="shared" si="30"/>
        <v>0.52</v>
      </c>
      <c r="AP65" s="26">
        <f t="shared" si="30"/>
        <v>0.52500000000000002</v>
      </c>
      <c r="AQ65" s="26">
        <f t="shared" si="30"/>
        <v>0.53</v>
      </c>
      <c r="AR65" s="26">
        <f t="shared" si="30"/>
        <v>0.53500000000000003</v>
      </c>
      <c r="AS65" s="26">
        <f t="shared" si="30"/>
        <v>0.54</v>
      </c>
      <c r="AT65" s="26">
        <f t="shared" si="30"/>
        <v>0.54500000000000004</v>
      </c>
      <c r="AU65" s="26">
        <f t="shared" si="30"/>
        <v>0.55000000000000004</v>
      </c>
      <c r="AV65" s="26">
        <f t="shared" si="30"/>
        <v>0.55500000000000005</v>
      </c>
      <c r="AW65" s="26">
        <f t="shared" si="30"/>
        <v>0.56000000000000005</v>
      </c>
      <c r="AX65" s="26">
        <f t="shared" si="31"/>
        <v>0.56499999999999995</v>
      </c>
      <c r="AY65" s="26">
        <f t="shared" si="31"/>
        <v>0.56999999999999995</v>
      </c>
      <c r="AZ65" s="26">
        <f t="shared" si="31"/>
        <v>0.57499999999999996</v>
      </c>
      <c r="BA65" s="26">
        <f t="shared" si="31"/>
        <v>0.57999999999999996</v>
      </c>
      <c r="BB65" s="26">
        <f t="shared" si="31"/>
        <v>0.58499999999999996</v>
      </c>
      <c r="BC65" s="26">
        <f t="shared" si="31"/>
        <v>0.59</v>
      </c>
      <c r="BD65" s="26">
        <f t="shared" si="31"/>
        <v>0.59499999999999997</v>
      </c>
      <c r="BE65" s="26">
        <f t="shared" si="31"/>
        <v>0.6</v>
      </c>
      <c r="BF65" s="26">
        <f t="shared" si="31"/>
        <v>0.60499999999999998</v>
      </c>
      <c r="BG65" s="26">
        <f t="shared" si="31"/>
        <v>0.61</v>
      </c>
      <c r="BH65" s="26">
        <f t="shared" si="31"/>
        <v>0.61499999999999999</v>
      </c>
      <c r="BI65" s="26">
        <f t="shared" si="31"/>
        <v>0.62</v>
      </c>
      <c r="BJ65" s="26">
        <f t="shared" si="31"/>
        <v>0.625</v>
      </c>
      <c r="BK65" s="26">
        <f t="shared" si="31"/>
        <v>0.63</v>
      </c>
      <c r="BL65" s="26">
        <f t="shared" si="31"/>
        <v>0.63500000000000001</v>
      </c>
      <c r="BM65" s="26">
        <f t="shared" si="31"/>
        <v>0.64</v>
      </c>
      <c r="BN65" s="26">
        <f t="shared" si="32"/>
        <v>0.64500000000000002</v>
      </c>
      <c r="BO65" s="26">
        <f t="shared" si="32"/>
        <v>0.65</v>
      </c>
      <c r="BP65" s="26">
        <f t="shared" si="32"/>
        <v>0.65500000000000003</v>
      </c>
      <c r="BQ65" s="26">
        <f t="shared" si="32"/>
        <v>0.66</v>
      </c>
      <c r="BR65" s="26">
        <f t="shared" si="32"/>
        <v>0.66500000000000004</v>
      </c>
      <c r="BS65" s="26">
        <f t="shared" si="32"/>
        <v>0.67</v>
      </c>
      <c r="BT65" s="26">
        <f t="shared" si="32"/>
        <v>0.67500000000000004</v>
      </c>
      <c r="BU65" s="26">
        <f t="shared" si="32"/>
        <v>0.68</v>
      </c>
      <c r="BV65" s="26">
        <f t="shared" si="32"/>
        <v>0.68500000000000005</v>
      </c>
      <c r="BW65" s="26">
        <f t="shared" si="32"/>
        <v>0.69</v>
      </c>
      <c r="BX65" s="26">
        <f t="shared" si="32"/>
        <v>0.69499999999999995</v>
      </c>
      <c r="BY65" s="26">
        <f t="shared" si="32"/>
        <v>0.7</v>
      </c>
      <c r="BZ65" s="26">
        <f t="shared" si="32"/>
        <v>0.70499999999999996</v>
      </c>
      <c r="CA65" s="26">
        <f t="shared" si="32"/>
        <v>0.71</v>
      </c>
      <c r="CB65" s="26">
        <f t="shared" si="32"/>
        <v>0.71499999999999997</v>
      </c>
      <c r="CC65" s="26">
        <f t="shared" si="32"/>
        <v>0.72</v>
      </c>
      <c r="CD65" s="26">
        <f t="shared" si="33"/>
        <v>0.72499999999999998</v>
      </c>
      <c r="CE65" s="26">
        <f t="shared" si="33"/>
        <v>0.73</v>
      </c>
      <c r="CF65" s="26">
        <f t="shared" si="33"/>
        <v>0.73499999999999999</v>
      </c>
      <c r="CG65" s="26">
        <f t="shared" si="33"/>
        <v>0.74</v>
      </c>
      <c r="CH65" s="26">
        <f t="shared" si="33"/>
        <v>0.745</v>
      </c>
      <c r="CI65" s="26">
        <f t="shared" si="33"/>
        <v>0.75</v>
      </c>
      <c r="CJ65" s="26">
        <f t="shared" si="33"/>
        <v>0.755</v>
      </c>
      <c r="CK65" s="26">
        <f t="shared" si="33"/>
        <v>0.76</v>
      </c>
      <c r="CL65" s="26">
        <f t="shared" si="33"/>
        <v>0.76500000000000001</v>
      </c>
      <c r="CM65" s="26">
        <f t="shared" si="33"/>
        <v>0.77</v>
      </c>
      <c r="CN65" s="26">
        <f t="shared" si="33"/>
        <v>0.77500000000000002</v>
      </c>
      <c r="CO65" s="26">
        <f t="shared" si="33"/>
        <v>0.78</v>
      </c>
      <c r="CP65" s="26">
        <f t="shared" si="33"/>
        <v>0.78500000000000003</v>
      </c>
      <c r="CQ65" s="26">
        <f t="shared" si="33"/>
        <v>0.79</v>
      </c>
      <c r="CR65" s="26">
        <f t="shared" si="33"/>
        <v>0.79500000000000004</v>
      </c>
      <c r="CS65" s="26">
        <f t="shared" si="33"/>
        <v>0.8</v>
      </c>
      <c r="CT65" s="26">
        <f t="shared" si="34"/>
        <v>0.80500000000000005</v>
      </c>
      <c r="CU65" s="26">
        <f t="shared" si="34"/>
        <v>0.81</v>
      </c>
      <c r="CV65" s="26">
        <f t="shared" si="34"/>
        <v>0.81499999999999995</v>
      </c>
      <c r="CW65" s="26">
        <f t="shared" si="34"/>
        <v>0.82</v>
      </c>
    </row>
    <row r="66" spans="2:101" ht="20.100000000000001" customHeight="1">
      <c r="B66" s="26">
        <f t="shared" si="29"/>
        <v>0.33</v>
      </c>
      <c r="C66" s="26">
        <f t="shared" si="29"/>
        <v>0.33500000000000002</v>
      </c>
      <c r="D66" s="26">
        <f t="shared" si="29"/>
        <v>0.34</v>
      </c>
      <c r="E66" s="26">
        <f t="shared" si="29"/>
        <v>0.34499999999999997</v>
      </c>
      <c r="F66" s="26">
        <f t="shared" si="29"/>
        <v>0.35</v>
      </c>
      <c r="G66" s="26">
        <f t="shared" si="29"/>
        <v>0.35499999999999998</v>
      </c>
      <c r="H66" s="26">
        <f t="shared" si="29"/>
        <v>0.36</v>
      </c>
      <c r="I66" s="26">
        <f t="shared" si="29"/>
        <v>0.36499999999999999</v>
      </c>
      <c r="J66" s="26">
        <f t="shared" si="29"/>
        <v>0.37</v>
      </c>
      <c r="K66" s="26">
        <f t="shared" si="29"/>
        <v>0.375</v>
      </c>
      <c r="L66" s="26">
        <f t="shared" si="29"/>
        <v>0.38</v>
      </c>
      <c r="M66" s="26">
        <f t="shared" si="29"/>
        <v>0.38500000000000001</v>
      </c>
      <c r="N66" s="26">
        <f t="shared" si="29"/>
        <v>0.39</v>
      </c>
      <c r="O66" s="26">
        <f t="shared" si="29"/>
        <v>0.39500000000000002</v>
      </c>
      <c r="P66" s="26">
        <f t="shared" si="29"/>
        <v>0.4</v>
      </c>
      <c r="Q66" s="26">
        <f t="shared" ref="Q66:AF81" si="35">(ROW(P65)+COLUMN(P65))/200</f>
        <v>0.40500000000000003</v>
      </c>
      <c r="R66" s="26">
        <f t="shared" si="35"/>
        <v>0.41</v>
      </c>
      <c r="S66" s="26">
        <f t="shared" si="35"/>
        <v>0.41499999999999998</v>
      </c>
      <c r="T66" s="26">
        <f t="shared" si="35"/>
        <v>0.42</v>
      </c>
      <c r="U66" s="26">
        <f t="shared" si="35"/>
        <v>0.42499999999999999</v>
      </c>
      <c r="V66" s="26">
        <f t="shared" si="35"/>
        <v>0.43</v>
      </c>
      <c r="W66" s="26">
        <f t="shared" si="35"/>
        <v>0.435</v>
      </c>
      <c r="X66" s="26">
        <f t="shared" si="35"/>
        <v>0.44</v>
      </c>
      <c r="Y66" s="26">
        <f t="shared" si="35"/>
        <v>0.44500000000000001</v>
      </c>
      <c r="Z66" s="26">
        <f t="shared" si="35"/>
        <v>0.45</v>
      </c>
      <c r="AA66" s="26">
        <f t="shared" si="35"/>
        <v>0.45500000000000002</v>
      </c>
      <c r="AB66" s="26">
        <f t="shared" si="35"/>
        <v>0.46</v>
      </c>
      <c r="AC66" s="26">
        <f t="shared" si="35"/>
        <v>0.46500000000000002</v>
      </c>
      <c r="AD66" s="26">
        <f t="shared" si="35"/>
        <v>0.47</v>
      </c>
      <c r="AE66" s="26">
        <f t="shared" si="35"/>
        <v>0.47499999999999998</v>
      </c>
      <c r="AF66" s="26">
        <f t="shared" si="35"/>
        <v>0.48</v>
      </c>
      <c r="AG66" s="26">
        <f t="shared" ref="AG66:AV81" si="36">(ROW(AF65)+COLUMN(AF65))/200</f>
        <v>0.48499999999999999</v>
      </c>
      <c r="AH66" s="26">
        <f t="shared" si="30"/>
        <v>0.49</v>
      </c>
      <c r="AI66" s="26">
        <f t="shared" si="30"/>
        <v>0.495</v>
      </c>
      <c r="AJ66" s="26">
        <f t="shared" si="30"/>
        <v>0.5</v>
      </c>
      <c r="AK66" s="26">
        <f t="shared" si="30"/>
        <v>0.505</v>
      </c>
      <c r="AL66" s="26">
        <f t="shared" si="30"/>
        <v>0.51</v>
      </c>
      <c r="AM66" s="26">
        <f t="shared" si="30"/>
        <v>0.51500000000000001</v>
      </c>
      <c r="AN66" s="26">
        <f t="shared" si="30"/>
        <v>0.52</v>
      </c>
      <c r="AO66" s="26">
        <f t="shared" si="30"/>
        <v>0.52500000000000002</v>
      </c>
      <c r="AP66" s="26">
        <f t="shared" si="30"/>
        <v>0.53</v>
      </c>
      <c r="AQ66" s="26">
        <f t="shared" si="30"/>
        <v>0.53500000000000003</v>
      </c>
      <c r="AR66" s="26">
        <f t="shared" si="30"/>
        <v>0.54</v>
      </c>
      <c r="AS66" s="26">
        <f t="shared" si="30"/>
        <v>0.54500000000000004</v>
      </c>
      <c r="AT66" s="26">
        <f t="shared" si="30"/>
        <v>0.55000000000000004</v>
      </c>
      <c r="AU66" s="26">
        <f t="shared" si="30"/>
        <v>0.55500000000000005</v>
      </c>
      <c r="AV66" s="26">
        <f t="shared" si="30"/>
        <v>0.56000000000000005</v>
      </c>
      <c r="AW66" s="26">
        <f t="shared" si="30"/>
        <v>0.56499999999999995</v>
      </c>
      <c r="AX66" s="26">
        <f t="shared" si="31"/>
        <v>0.56999999999999995</v>
      </c>
      <c r="AY66" s="26">
        <f t="shared" si="31"/>
        <v>0.57499999999999996</v>
      </c>
      <c r="AZ66" s="26">
        <f t="shared" si="31"/>
        <v>0.57999999999999996</v>
      </c>
      <c r="BA66" s="26">
        <f t="shared" si="31"/>
        <v>0.58499999999999996</v>
      </c>
      <c r="BB66" s="26">
        <f t="shared" si="31"/>
        <v>0.59</v>
      </c>
      <c r="BC66" s="26">
        <f t="shared" si="31"/>
        <v>0.59499999999999997</v>
      </c>
      <c r="BD66" s="26">
        <f t="shared" si="31"/>
        <v>0.6</v>
      </c>
      <c r="BE66" s="26">
        <f t="shared" si="31"/>
        <v>0.60499999999999998</v>
      </c>
      <c r="BF66" s="26">
        <f t="shared" si="31"/>
        <v>0.61</v>
      </c>
      <c r="BG66" s="26">
        <f t="shared" si="31"/>
        <v>0.61499999999999999</v>
      </c>
      <c r="BH66" s="26">
        <f t="shared" si="31"/>
        <v>0.62</v>
      </c>
      <c r="BI66" s="26">
        <f t="shared" si="31"/>
        <v>0.625</v>
      </c>
      <c r="BJ66" s="26">
        <f t="shared" si="31"/>
        <v>0.63</v>
      </c>
      <c r="BK66" s="26">
        <f t="shared" si="31"/>
        <v>0.63500000000000001</v>
      </c>
      <c r="BL66" s="26">
        <f t="shared" si="31"/>
        <v>0.64</v>
      </c>
      <c r="BM66" s="26">
        <f t="shared" si="31"/>
        <v>0.64500000000000002</v>
      </c>
      <c r="BN66" s="26">
        <f t="shared" si="32"/>
        <v>0.65</v>
      </c>
      <c r="BO66" s="26">
        <f t="shared" si="32"/>
        <v>0.65500000000000003</v>
      </c>
      <c r="BP66" s="26">
        <f t="shared" si="32"/>
        <v>0.66</v>
      </c>
      <c r="BQ66" s="26">
        <f t="shared" si="32"/>
        <v>0.66500000000000004</v>
      </c>
      <c r="BR66" s="26">
        <f t="shared" si="32"/>
        <v>0.67</v>
      </c>
      <c r="BS66" s="26">
        <f t="shared" si="32"/>
        <v>0.67500000000000004</v>
      </c>
      <c r="BT66" s="26">
        <f t="shared" si="32"/>
        <v>0.68</v>
      </c>
      <c r="BU66" s="26">
        <f t="shared" si="32"/>
        <v>0.68500000000000005</v>
      </c>
      <c r="BV66" s="26">
        <f t="shared" si="32"/>
        <v>0.69</v>
      </c>
      <c r="BW66" s="26">
        <f t="shared" si="32"/>
        <v>0.69499999999999995</v>
      </c>
      <c r="BX66" s="26">
        <f t="shared" si="32"/>
        <v>0.7</v>
      </c>
      <c r="BY66" s="26">
        <f t="shared" si="32"/>
        <v>0.70499999999999996</v>
      </c>
      <c r="BZ66" s="26">
        <f t="shared" si="32"/>
        <v>0.71</v>
      </c>
      <c r="CA66" s="26">
        <f t="shared" si="32"/>
        <v>0.71499999999999997</v>
      </c>
      <c r="CB66" s="26">
        <f t="shared" si="32"/>
        <v>0.72</v>
      </c>
      <c r="CC66" s="26">
        <f t="shared" si="32"/>
        <v>0.72499999999999998</v>
      </c>
      <c r="CD66" s="26">
        <f t="shared" si="33"/>
        <v>0.73</v>
      </c>
      <c r="CE66" s="26">
        <f t="shared" si="33"/>
        <v>0.73499999999999999</v>
      </c>
      <c r="CF66" s="26">
        <f t="shared" si="33"/>
        <v>0.74</v>
      </c>
      <c r="CG66" s="26">
        <f t="shared" si="33"/>
        <v>0.745</v>
      </c>
      <c r="CH66" s="26">
        <f t="shared" si="33"/>
        <v>0.75</v>
      </c>
      <c r="CI66" s="26">
        <f t="shared" si="33"/>
        <v>0.755</v>
      </c>
      <c r="CJ66" s="26">
        <f t="shared" si="33"/>
        <v>0.76</v>
      </c>
      <c r="CK66" s="26">
        <f t="shared" si="33"/>
        <v>0.76500000000000001</v>
      </c>
      <c r="CL66" s="26">
        <f t="shared" si="33"/>
        <v>0.77</v>
      </c>
      <c r="CM66" s="26">
        <f t="shared" si="33"/>
        <v>0.77500000000000002</v>
      </c>
      <c r="CN66" s="26">
        <f t="shared" si="33"/>
        <v>0.78</v>
      </c>
      <c r="CO66" s="26">
        <f t="shared" si="33"/>
        <v>0.78500000000000003</v>
      </c>
      <c r="CP66" s="26">
        <f t="shared" si="33"/>
        <v>0.79</v>
      </c>
      <c r="CQ66" s="26">
        <f t="shared" si="33"/>
        <v>0.79500000000000004</v>
      </c>
      <c r="CR66" s="26">
        <f t="shared" si="33"/>
        <v>0.8</v>
      </c>
      <c r="CS66" s="26">
        <f t="shared" si="33"/>
        <v>0.80500000000000005</v>
      </c>
      <c r="CT66" s="26">
        <f t="shared" si="34"/>
        <v>0.81</v>
      </c>
      <c r="CU66" s="26">
        <f t="shared" si="34"/>
        <v>0.81499999999999995</v>
      </c>
      <c r="CV66" s="26">
        <f t="shared" si="34"/>
        <v>0.82</v>
      </c>
      <c r="CW66" s="26">
        <f t="shared" si="34"/>
        <v>0.82499999999999996</v>
      </c>
    </row>
    <row r="67" spans="2:101" ht="20.100000000000001" customHeight="1">
      <c r="B67" s="26">
        <f t="shared" ref="B67:Q82" si="37">(ROW(A66)+COLUMN(A66))/200</f>
        <v>0.33500000000000002</v>
      </c>
      <c r="C67" s="26">
        <f t="shared" si="37"/>
        <v>0.34</v>
      </c>
      <c r="D67" s="26">
        <f t="shared" si="37"/>
        <v>0.34499999999999997</v>
      </c>
      <c r="E67" s="26">
        <f t="shared" si="37"/>
        <v>0.35</v>
      </c>
      <c r="F67" s="26">
        <f t="shared" si="37"/>
        <v>0.35499999999999998</v>
      </c>
      <c r="G67" s="26">
        <f t="shared" si="37"/>
        <v>0.36</v>
      </c>
      <c r="H67" s="26">
        <f t="shared" si="37"/>
        <v>0.36499999999999999</v>
      </c>
      <c r="I67" s="26">
        <f t="shared" si="37"/>
        <v>0.37</v>
      </c>
      <c r="J67" s="26">
        <f t="shared" si="37"/>
        <v>0.375</v>
      </c>
      <c r="K67" s="26">
        <f t="shared" si="37"/>
        <v>0.38</v>
      </c>
      <c r="L67" s="26">
        <f t="shared" si="37"/>
        <v>0.38500000000000001</v>
      </c>
      <c r="M67" s="26">
        <f t="shared" si="37"/>
        <v>0.39</v>
      </c>
      <c r="N67" s="26">
        <f t="shared" si="37"/>
        <v>0.39500000000000002</v>
      </c>
      <c r="O67" s="26">
        <f t="shared" si="37"/>
        <v>0.4</v>
      </c>
      <c r="P67" s="26">
        <f t="shared" si="37"/>
        <v>0.40500000000000003</v>
      </c>
      <c r="Q67" s="26">
        <f t="shared" si="35"/>
        <v>0.41</v>
      </c>
      <c r="R67" s="26">
        <f t="shared" si="35"/>
        <v>0.41499999999999998</v>
      </c>
      <c r="S67" s="26">
        <f t="shared" si="35"/>
        <v>0.42</v>
      </c>
      <c r="T67" s="26">
        <f t="shared" si="35"/>
        <v>0.42499999999999999</v>
      </c>
      <c r="U67" s="26">
        <f t="shared" si="35"/>
        <v>0.43</v>
      </c>
      <c r="V67" s="26">
        <f t="shared" si="35"/>
        <v>0.435</v>
      </c>
      <c r="W67" s="26">
        <f t="shared" si="35"/>
        <v>0.44</v>
      </c>
      <c r="X67" s="26">
        <f t="shared" si="35"/>
        <v>0.44500000000000001</v>
      </c>
      <c r="Y67" s="26">
        <f t="shared" si="35"/>
        <v>0.45</v>
      </c>
      <c r="Z67" s="26">
        <f t="shared" si="35"/>
        <v>0.45500000000000002</v>
      </c>
      <c r="AA67" s="26">
        <f t="shared" si="35"/>
        <v>0.46</v>
      </c>
      <c r="AB67" s="26">
        <f t="shared" si="35"/>
        <v>0.46500000000000002</v>
      </c>
      <c r="AC67" s="26">
        <f t="shared" si="35"/>
        <v>0.47</v>
      </c>
      <c r="AD67" s="26">
        <f t="shared" si="35"/>
        <v>0.47499999999999998</v>
      </c>
      <c r="AE67" s="26">
        <f t="shared" si="35"/>
        <v>0.48</v>
      </c>
      <c r="AF67" s="26">
        <f t="shared" si="35"/>
        <v>0.48499999999999999</v>
      </c>
      <c r="AG67" s="26">
        <f t="shared" si="36"/>
        <v>0.49</v>
      </c>
      <c r="AH67" s="26">
        <f t="shared" si="30"/>
        <v>0.495</v>
      </c>
      <c r="AI67" s="26">
        <f t="shared" si="30"/>
        <v>0.5</v>
      </c>
      <c r="AJ67" s="26">
        <f t="shared" si="30"/>
        <v>0.505</v>
      </c>
      <c r="AK67" s="26">
        <f t="shared" si="30"/>
        <v>0.51</v>
      </c>
      <c r="AL67" s="26">
        <f t="shared" si="30"/>
        <v>0.51500000000000001</v>
      </c>
      <c r="AM67" s="26">
        <f t="shared" si="30"/>
        <v>0.52</v>
      </c>
      <c r="AN67" s="26">
        <f t="shared" si="30"/>
        <v>0.52500000000000002</v>
      </c>
      <c r="AO67" s="26">
        <f t="shared" si="30"/>
        <v>0.53</v>
      </c>
      <c r="AP67" s="26">
        <f t="shared" si="30"/>
        <v>0.53500000000000003</v>
      </c>
      <c r="AQ67" s="26">
        <f t="shared" si="30"/>
        <v>0.54</v>
      </c>
      <c r="AR67" s="26">
        <f t="shared" si="30"/>
        <v>0.54500000000000004</v>
      </c>
      <c r="AS67" s="26">
        <f t="shared" si="30"/>
        <v>0.55000000000000004</v>
      </c>
      <c r="AT67" s="26">
        <f t="shared" si="30"/>
        <v>0.55500000000000005</v>
      </c>
      <c r="AU67" s="26">
        <f t="shared" si="30"/>
        <v>0.56000000000000005</v>
      </c>
      <c r="AV67" s="26">
        <f t="shared" si="30"/>
        <v>0.56499999999999995</v>
      </c>
      <c r="AW67" s="26">
        <f t="shared" si="30"/>
        <v>0.56999999999999995</v>
      </c>
      <c r="AX67" s="26">
        <f t="shared" si="31"/>
        <v>0.57499999999999996</v>
      </c>
      <c r="AY67" s="26">
        <f t="shared" si="31"/>
        <v>0.57999999999999996</v>
      </c>
      <c r="AZ67" s="26">
        <f t="shared" si="31"/>
        <v>0.58499999999999996</v>
      </c>
      <c r="BA67" s="26">
        <f t="shared" si="31"/>
        <v>0.59</v>
      </c>
      <c r="BB67" s="26">
        <f t="shared" si="31"/>
        <v>0.59499999999999997</v>
      </c>
      <c r="BC67" s="26">
        <f t="shared" si="31"/>
        <v>0.6</v>
      </c>
      <c r="BD67" s="26">
        <f t="shared" si="31"/>
        <v>0.60499999999999998</v>
      </c>
      <c r="BE67" s="26">
        <f t="shared" si="31"/>
        <v>0.61</v>
      </c>
      <c r="BF67" s="26">
        <f t="shared" si="31"/>
        <v>0.61499999999999999</v>
      </c>
      <c r="BG67" s="26">
        <f t="shared" si="31"/>
        <v>0.62</v>
      </c>
      <c r="BH67" s="26">
        <f t="shared" si="31"/>
        <v>0.625</v>
      </c>
      <c r="BI67" s="26">
        <f t="shared" si="31"/>
        <v>0.63</v>
      </c>
      <c r="BJ67" s="26">
        <f t="shared" si="31"/>
        <v>0.63500000000000001</v>
      </c>
      <c r="BK67" s="26">
        <f t="shared" si="31"/>
        <v>0.64</v>
      </c>
      <c r="BL67" s="26">
        <f t="shared" si="31"/>
        <v>0.64500000000000002</v>
      </c>
      <c r="BM67" s="26">
        <f t="shared" si="31"/>
        <v>0.65</v>
      </c>
      <c r="BN67" s="26">
        <f t="shared" si="32"/>
        <v>0.65500000000000003</v>
      </c>
      <c r="BO67" s="26">
        <f t="shared" si="32"/>
        <v>0.66</v>
      </c>
      <c r="BP67" s="26">
        <f t="shared" si="32"/>
        <v>0.66500000000000004</v>
      </c>
      <c r="BQ67" s="26">
        <f t="shared" si="32"/>
        <v>0.67</v>
      </c>
      <c r="BR67" s="26">
        <f t="shared" si="32"/>
        <v>0.67500000000000004</v>
      </c>
      <c r="BS67" s="26">
        <f t="shared" si="32"/>
        <v>0.68</v>
      </c>
      <c r="BT67" s="26">
        <f t="shared" si="32"/>
        <v>0.68500000000000005</v>
      </c>
      <c r="BU67" s="26">
        <f t="shared" si="32"/>
        <v>0.69</v>
      </c>
      <c r="BV67" s="26">
        <f t="shared" si="32"/>
        <v>0.69499999999999995</v>
      </c>
      <c r="BW67" s="26">
        <f t="shared" si="32"/>
        <v>0.7</v>
      </c>
      <c r="BX67" s="26">
        <f t="shared" si="32"/>
        <v>0.70499999999999996</v>
      </c>
      <c r="BY67" s="26">
        <f t="shared" si="32"/>
        <v>0.71</v>
      </c>
      <c r="BZ67" s="26">
        <f t="shared" si="32"/>
        <v>0.71499999999999997</v>
      </c>
      <c r="CA67" s="26">
        <f t="shared" si="32"/>
        <v>0.72</v>
      </c>
      <c r="CB67" s="26">
        <f t="shared" si="32"/>
        <v>0.72499999999999998</v>
      </c>
      <c r="CC67" s="26">
        <f t="shared" si="32"/>
        <v>0.73</v>
      </c>
      <c r="CD67" s="26">
        <f t="shared" si="33"/>
        <v>0.73499999999999999</v>
      </c>
      <c r="CE67" s="26">
        <f t="shared" si="33"/>
        <v>0.74</v>
      </c>
      <c r="CF67" s="26">
        <f t="shared" si="33"/>
        <v>0.745</v>
      </c>
      <c r="CG67" s="26">
        <f t="shared" si="33"/>
        <v>0.75</v>
      </c>
      <c r="CH67" s="26">
        <f t="shared" si="33"/>
        <v>0.755</v>
      </c>
      <c r="CI67" s="26">
        <f t="shared" si="33"/>
        <v>0.76</v>
      </c>
      <c r="CJ67" s="26">
        <f t="shared" si="33"/>
        <v>0.76500000000000001</v>
      </c>
      <c r="CK67" s="26">
        <f t="shared" si="33"/>
        <v>0.77</v>
      </c>
      <c r="CL67" s="26">
        <f t="shared" si="33"/>
        <v>0.77500000000000002</v>
      </c>
      <c r="CM67" s="26">
        <f t="shared" si="33"/>
        <v>0.78</v>
      </c>
      <c r="CN67" s="26">
        <f t="shared" si="33"/>
        <v>0.78500000000000003</v>
      </c>
      <c r="CO67" s="26">
        <f t="shared" si="33"/>
        <v>0.79</v>
      </c>
      <c r="CP67" s="26">
        <f t="shared" si="33"/>
        <v>0.79500000000000004</v>
      </c>
      <c r="CQ67" s="26">
        <f t="shared" si="33"/>
        <v>0.8</v>
      </c>
      <c r="CR67" s="26">
        <f t="shared" si="33"/>
        <v>0.80500000000000005</v>
      </c>
      <c r="CS67" s="26">
        <f t="shared" si="33"/>
        <v>0.81</v>
      </c>
      <c r="CT67" s="26">
        <f t="shared" si="34"/>
        <v>0.81499999999999995</v>
      </c>
      <c r="CU67" s="26">
        <f t="shared" si="34"/>
        <v>0.82</v>
      </c>
      <c r="CV67" s="26">
        <f t="shared" si="34"/>
        <v>0.82499999999999996</v>
      </c>
      <c r="CW67" s="26">
        <f t="shared" si="34"/>
        <v>0.83</v>
      </c>
    </row>
    <row r="68" spans="2:101" ht="20.100000000000001" customHeight="1">
      <c r="B68" s="26">
        <f t="shared" si="37"/>
        <v>0.34</v>
      </c>
      <c r="C68" s="26">
        <f t="shared" si="37"/>
        <v>0.34499999999999997</v>
      </c>
      <c r="D68" s="26">
        <f t="shared" si="37"/>
        <v>0.35</v>
      </c>
      <c r="E68" s="26">
        <f t="shared" si="37"/>
        <v>0.35499999999999998</v>
      </c>
      <c r="F68" s="26">
        <f t="shared" si="37"/>
        <v>0.36</v>
      </c>
      <c r="G68" s="26">
        <f t="shared" si="37"/>
        <v>0.36499999999999999</v>
      </c>
      <c r="H68" s="26">
        <f t="shared" si="37"/>
        <v>0.37</v>
      </c>
      <c r="I68" s="26">
        <f t="shared" si="37"/>
        <v>0.375</v>
      </c>
      <c r="J68" s="26">
        <f t="shared" si="37"/>
        <v>0.38</v>
      </c>
      <c r="K68" s="26">
        <f t="shared" si="37"/>
        <v>0.38500000000000001</v>
      </c>
      <c r="L68" s="26">
        <f t="shared" si="37"/>
        <v>0.39</v>
      </c>
      <c r="M68" s="26">
        <f t="shared" si="37"/>
        <v>0.39500000000000002</v>
      </c>
      <c r="N68" s="26">
        <f t="shared" si="37"/>
        <v>0.4</v>
      </c>
      <c r="O68" s="26">
        <f t="shared" si="37"/>
        <v>0.40500000000000003</v>
      </c>
      <c r="P68" s="26">
        <f t="shared" si="37"/>
        <v>0.41</v>
      </c>
      <c r="Q68" s="26">
        <f t="shared" si="35"/>
        <v>0.41499999999999998</v>
      </c>
      <c r="R68" s="26">
        <f t="shared" si="35"/>
        <v>0.42</v>
      </c>
      <c r="S68" s="26">
        <f t="shared" si="35"/>
        <v>0.42499999999999999</v>
      </c>
      <c r="T68" s="26">
        <f t="shared" si="35"/>
        <v>0.43</v>
      </c>
      <c r="U68" s="26">
        <f t="shared" si="35"/>
        <v>0.435</v>
      </c>
      <c r="V68" s="26">
        <f t="shared" si="35"/>
        <v>0.44</v>
      </c>
      <c r="W68" s="26">
        <f t="shared" si="35"/>
        <v>0.44500000000000001</v>
      </c>
      <c r="X68" s="26">
        <f t="shared" si="35"/>
        <v>0.45</v>
      </c>
      <c r="Y68" s="26">
        <f t="shared" si="35"/>
        <v>0.45500000000000002</v>
      </c>
      <c r="Z68" s="26">
        <f t="shared" si="35"/>
        <v>0.46</v>
      </c>
      <c r="AA68" s="26">
        <f t="shared" si="35"/>
        <v>0.46500000000000002</v>
      </c>
      <c r="AB68" s="26">
        <f t="shared" si="35"/>
        <v>0.47</v>
      </c>
      <c r="AC68" s="26">
        <f t="shared" si="35"/>
        <v>0.47499999999999998</v>
      </c>
      <c r="AD68" s="26">
        <f t="shared" si="35"/>
        <v>0.48</v>
      </c>
      <c r="AE68" s="26">
        <f t="shared" si="35"/>
        <v>0.48499999999999999</v>
      </c>
      <c r="AF68" s="26">
        <f t="shared" si="35"/>
        <v>0.49</v>
      </c>
      <c r="AG68" s="26">
        <f t="shared" si="36"/>
        <v>0.495</v>
      </c>
      <c r="AH68" s="26">
        <f t="shared" si="30"/>
        <v>0.5</v>
      </c>
      <c r="AI68" s="26">
        <f t="shared" si="30"/>
        <v>0.505</v>
      </c>
      <c r="AJ68" s="26">
        <f t="shared" si="30"/>
        <v>0.51</v>
      </c>
      <c r="AK68" s="26">
        <f t="shared" si="30"/>
        <v>0.51500000000000001</v>
      </c>
      <c r="AL68" s="26">
        <f t="shared" si="30"/>
        <v>0.52</v>
      </c>
      <c r="AM68" s="26">
        <f t="shared" si="30"/>
        <v>0.52500000000000002</v>
      </c>
      <c r="AN68" s="26">
        <f t="shared" si="30"/>
        <v>0.53</v>
      </c>
      <c r="AO68" s="26">
        <f t="shared" si="30"/>
        <v>0.53500000000000003</v>
      </c>
      <c r="AP68" s="26">
        <f t="shared" si="30"/>
        <v>0.54</v>
      </c>
      <c r="AQ68" s="26">
        <f t="shared" si="30"/>
        <v>0.54500000000000004</v>
      </c>
      <c r="AR68" s="26">
        <f t="shared" si="30"/>
        <v>0.55000000000000004</v>
      </c>
      <c r="AS68" s="26">
        <f t="shared" si="30"/>
        <v>0.55500000000000005</v>
      </c>
      <c r="AT68" s="26">
        <f t="shared" si="30"/>
        <v>0.56000000000000005</v>
      </c>
      <c r="AU68" s="26">
        <f t="shared" si="30"/>
        <v>0.56499999999999995</v>
      </c>
      <c r="AV68" s="26">
        <f t="shared" si="30"/>
        <v>0.56999999999999995</v>
      </c>
      <c r="AW68" s="26">
        <f t="shared" si="30"/>
        <v>0.57499999999999996</v>
      </c>
      <c r="AX68" s="26">
        <f t="shared" si="31"/>
        <v>0.57999999999999996</v>
      </c>
      <c r="AY68" s="26">
        <f t="shared" si="31"/>
        <v>0.58499999999999996</v>
      </c>
      <c r="AZ68" s="26">
        <f t="shared" si="31"/>
        <v>0.59</v>
      </c>
      <c r="BA68" s="26">
        <f t="shared" si="31"/>
        <v>0.59499999999999997</v>
      </c>
      <c r="BB68" s="26">
        <f t="shared" si="31"/>
        <v>0.6</v>
      </c>
      <c r="BC68" s="26">
        <f t="shared" si="31"/>
        <v>0.60499999999999998</v>
      </c>
      <c r="BD68" s="26">
        <f t="shared" si="31"/>
        <v>0.61</v>
      </c>
      <c r="BE68" s="26">
        <f t="shared" si="31"/>
        <v>0.61499999999999999</v>
      </c>
      <c r="BF68" s="26">
        <f t="shared" si="31"/>
        <v>0.62</v>
      </c>
      <c r="BG68" s="26">
        <f t="shared" si="31"/>
        <v>0.625</v>
      </c>
      <c r="BH68" s="26">
        <f t="shared" si="31"/>
        <v>0.63</v>
      </c>
      <c r="BI68" s="26">
        <f t="shared" si="31"/>
        <v>0.63500000000000001</v>
      </c>
      <c r="BJ68" s="26">
        <f t="shared" si="31"/>
        <v>0.64</v>
      </c>
      <c r="BK68" s="26">
        <f t="shared" si="31"/>
        <v>0.64500000000000002</v>
      </c>
      <c r="BL68" s="26">
        <f t="shared" si="31"/>
        <v>0.65</v>
      </c>
      <c r="BM68" s="26">
        <f t="shared" si="31"/>
        <v>0.65500000000000003</v>
      </c>
      <c r="BN68" s="26">
        <f t="shared" si="32"/>
        <v>0.66</v>
      </c>
      <c r="BO68" s="26">
        <f t="shared" si="32"/>
        <v>0.66500000000000004</v>
      </c>
      <c r="BP68" s="26">
        <f t="shared" si="32"/>
        <v>0.67</v>
      </c>
      <c r="BQ68" s="26">
        <f t="shared" si="32"/>
        <v>0.67500000000000004</v>
      </c>
      <c r="BR68" s="26">
        <f t="shared" si="32"/>
        <v>0.68</v>
      </c>
      <c r="BS68" s="26">
        <f t="shared" si="32"/>
        <v>0.68500000000000005</v>
      </c>
      <c r="BT68" s="26">
        <f t="shared" si="32"/>
        <v>0.69</v>
      </c>
      <c r="BU68" s="26">
        <f t="shared" si="32"/>
        <v>0.69499999999999995</v>
      </c>
      <c r="BV68" s="26">
        <f t="shared" si="32"/>
        <v>0.7</v>
      </c>
      <c r="BW68" s="26">
        <f t="shared" si="32"/>
        <v>0.70499999999999996</v>
      </c>
      <c r="BX68" s="26">
        <f t="shared" si="32"/>
        <v>0.71</v>
      </c>
      <c r="BY68" s="26">
        <f t="shared" si="32"/>
        <v>0.71499999999999997</v>
      </c>
      <c r="BZ68" s="26">
        <f t="shared" si="32"/>
        <v>0.72</v>
      </c>
      <c r="CA68" s="26">
        <f t="shared" si="32"/>
        <v>0.72499999999999998</v>
      </c>
      <c r="CB68" s="26">
        <f t="shared" si="32"/>
        <v>0.73</v>
      </c>
      <c r="CC68" s="26">
        <f t="shared" si="32"/>
        <v>0.73499999999999999</v>
      </c>
      <c r="CD68" s="26">
        <f t="shared" si="33"/>
        <v>0.74</v>
      </c>
      <c r="CE68" s="26">
        <f t="shared" si="33"/>
        <v>0.745</v>
      </c>
      <c r="CF68" s="26">
        <f t="shared" si="33"/>
        <v>0.75</v>
      </c>
      <c r="CG68" s="26">
        <f t="shared" si="33"/>
        <v>0.755</v>
      </c>
      <c r="CH68" s="26">
        <f t="shared" si="33"/>
        <v>0.76</v>
      </c>
      <c r="CI68" s="26">
        <f t="shared" si="33"/>
        <v>0.76500000000000001</v>
      </c>
      <c r="CJ68" s="26">
        <f t="shared" si="33"/>
        <v>0.77</v>
      </c>
      <c r="CK68" s="26">
        <f t="shared" si="33"/>
        <v>0.77500000000000002</v>
      </c>
      <c r="CL68" s="26">
        <f t="shared" si="33"/>
        <v>0.78</v>
      </c>
      <c r="CM68" s="26">
        <f t="shared" si="33"/>
        <v>0.78500000000000003</v>
      </c>
      <c r="CN68" s="26">
        <f t="shared" si="33"/>
        <v>0.79</v>
      </c>
      <c r="CO68" s="26">
        <f t="shared" si="33"/>
        <v>0.79500000000000004</v>
      </c>
      <c r="CP68" s="26">
        <f t="shared" si="33"/>
        <v>0.8</v>
      </c>
      <c r="CQ68" s="26">
        <f t="shared" si="33"/>
        <v>0.80500000000000005</v>
      </c>
      <c r="CR68" s="26">
        <f t="shared" si="33"/>
        <v>0.81</v>
      </c>
      <c r="CS68" s="26">
        <f t="shared" si="33"/>
        <v>0.81499999999999995</v>
      </c>
      <c r="CT68" s="26">
        <f t="shared" si="34"/>
        <v>0.82</v>
      </c>
      <c r="CU68" s="26">
        <f t="shared" si="34"/>
        <v>0.82499999999999996</v>
      </c>
      <c r="CV68" s="26">
        <f t="shared" si="34"/>
        <v>0.83</v>
      </c>
      <c r="CW68" s="26">
        <f t="shared" si="34"/>
        <v>0.83499999999999996</v>
      </c>
    </row>
    <row r="69" spans="2:101" ht="20.100000000000001" customHeight="1">
      <c r="B69" s="26">
        <f t="shared" si="37"/>
        <v>0.34499999999999997</v>
      </c>
      <c r="C69" s="26">
        <f t="shared" si="37"/>
        <v>0.35</v>
      </c>
      <c r="D69" s="26">
        <f t="shared" si="37"/>
        <v>0.35499999999999998</v>
      </c>
      <c r="E69" s="26">
        <f t="shared" si="37"/>
        <v>0.36</v>
      </c>
      <c r="F69" s="26">
        <f t="shared" si="37"/>
        <v>0.36499999999999999</v>
      </c>
      <c r="G69" s="26">
        <f t="shared" si="37"/>
        <v>0.37</v>
      </c>
      <c r="H69" s="26">
        <f t="shared" si="37"/>
        <v>0.375</v>
      </c>
      <c r="I69" s="26">
        <f t="shared" si="37"/>
        <v>0.38</v>
      </c>
      <c r="J69" s="26">
        <f t="shared" si="37"/>
        <v>0.38500000000000001</v>
      </c>
      <c r="K69" s="26">
        <f t="shared" si="37"/>
        <v>0.39</v>
      </c>
      <c r="L69" s="26">
        <f t="shared" si="37"/>
        <v>0.39500000000000002</v>
      </c>
      <c r="M69" s="26">
        <f t="shared" si="37"/>
        <v>0.4</v>
      </c>
      <c r="N69" s="26">
        <f t="shared" si="37"/>
        <v>0.40500000000000003</v>
      </c>
      <c r="O69" s="26">
        <f t="shared" si="37"/>
        <v>0.41</v>
      </c>
      <c r="P69" s="26">
        <f t="shared" si="37"/>
        <v>0.41499999999999998</v>
      </c>
      <c r="Q69" s="26">
        <f t="shared" si="35"/>
        <v>0.42</v>
      </c>
      <c r="R69" s="26">
        <f t="shared" si="35"/>
        <v>0.42499999999999999</v>
      </c>
      <c r="S69" s="26">
        <f t="shared" si="35"/>
        <v>0.43</v>
      </c>
      <c r="T69" s="26">
        <f t="shared" si="35"/>
        <v>0.435</v>
      </c>
      <c r="U69" s="26">
        <f t="shared" si="35"/>
        <v>0.44</v>
      </c>
      <c r="V69" s="26">
        <f t="shared" si="35"/>
        <v>0.44500000000000001</v>
      </c>
      <c r="W69" s="26">
        <f t="shared" si="35"/>
        <v>0.45</v>
      </c>
      <c r="X69" s="26">
        <f t="shared" si="35"/>
        <v>0.45500000000000002</v>
      </c>
      <c r="Y69" s="26">
        <f t="shared" si="35"/>
        <v>0.46</v>
      </c>
      <c r="Z69" s="26">
        <f t="shared" si="35"/>
        <v>0.46500000000000002</v>
      </c>
      <c r="AA69" s="26">
        <f t="shared" si="35"/>
        <v>0.47</v>
      </c>
      <c r="AB69" s="26">
        <f t="shared" si="35"/>
        <v>0.47499999999999998</v>
      </c>
      <c r="AC69" s="26">
        <f t="shared" si="35"/>
        <v>0.48</v>
      </c>
      <c r="AD69" s="26">
        <f t="shared" si="35"/>
        <v>0.48499999999999999</v>
      </c>
      <c r="AE69" s="26">
        <f t="shared" si="35"/>
        <v>0.49</v>
      </c>
      <c r="AF69" s="26">
        <f t="shared" si="35"/>
        <v>0.495</v>
      </c>
      <c r="AG69" s="26">
        <f t="shared" si="36"/>
        <v>0.5</v>
      </c>
      <c r="AH69" s="26">
        <f t="shared" si="30"/>
        <v>0.505</v>
      </c>
      <c r="AI69" s="26">
        <f t="shared" si="30"/>
        <v>0.51</v>
      </c>
      <c r="AJ69" s="26">
        <f t="shared" si="30"/>
        <v>0.51500000000000001</v>
      </c>
      <c r="AK69" s="26">
        <f t="shared" si="30"/>
        <v>0.52</v>
      </c>
      <c r="AL69" s="26">
        <f t="shared" si="30"/>
        <v>0.52500000000000002</v>
      </c>
      <c r="AM69" s="26">
        <f t="shared" si="30"/>
        <v>0.53</v>
      </c>
      <c r="AN69" s="26">
        <f t="shared" si="30"/>
        <v>0.53500000000000003</v>
      </c>
      <c r="AO69" s="26">
        <f t="shared" si="30"/>
        <v>0.54</v>
      </c>
      <c r="AP69" s="26">
        <f t="shared" si="30"/>
        <v>0.54500000000000004</v>
      </c>
      <c r="AQ69" s="26">
        <f t="shared" si="30"/>
        <v>0.55000000000000004</v>
      </c>
      <c r="AR69" s="26">
        <f t="shared" si="30"/>
        <v>0.55500000000000005</v>
      </c>
      <c r="AS69" s="26">
        <f t="shared" si="30"/>
        <v>0.56000000000000005</v>
      </c>
      <c r="AT69" s="26">
        <f t="shared" si="30"/>
        <v>0.56499999999999995</v>
      </c>
      <c r="AU69" s="26">
        <f t="shared" si="30"/>
        <v>0.56999999999999995</v>
      </c>
      <c r="AV69" s="26">
        <f t="shared" si="30"/>
        <v>0.57499999999999996</v>
      </c>
      <c r="AW69" s="26">
        <f t="shared" si="30"/>
        <v>0.57999999999999996</v>
      </c>
      <c r="AX69" s="26">
        <f t="shared" si="31"/>
        <v>0.58499999999999996</v>
      </c>
      <c r="AY69" s="26">
        <f t="shared" si="31"/>
        <v>0.59</v>
      </c>
      <c r="AZ69" s="26">
        <f t="shared" si="31"/>
        <v>0.59499999999999997</v>
      </c>
      <c r="BA69" s="26">
        <f t="shared" si="31"/>
        <v>0.6</v>
      </c>
      <c r="BB69" s="26">
        <f t="shared" si="31"/>
        <v>0.60499999999999998</v>
      </c>
      <c r="BC69" s="26">
        <f t="shared" si="31"/>
        <v>0.61</v>
      </c>
      <c r="BD69" s="26">
        <f t="shared" si="31"/>
        <v>0.61499999999999999</v>
      </c>
      <c r="BE69" s="26">
        <f t="shared" si="31"/>
        <v>0.62</v>
      </c>
      <c r="BF69" s="26">
        <f t="shared" si="31"/>
        <v>0.625</v>
      </c>
      <c r="BG69" s="26">
        <f t="shared" si="31"/>
        <v>0.63</v>
      </c>
      <c r="BH69" s="26">
        <f t="shared" si="31"/>
        <v>0.63500000000000001</v>
      </c>
      <c r="BI69" s="26">
        <f t="shared" si="31"/>
        <v>0.64</v>
      </c>
      <c r="BJ69" s="26">
        <f t="shared" si="31"/>
        <v>0.64500000000000002</v>
      </c>
      <c r="BK69" s="26">
        <f t="shared" si="31"/>
        <v>0.65</v>
      </c>
      <c r="BL69" s="26">
        <f t="shared" si="31"/>
        <v>0.65500000000000003</v>
      </c>
      <c r="BM69" s="26">
        <f t="shared" si="31"/>
        <v>0.66</v>
      </c>
      <c r="BN69" s="26">
        <f t="shared" si="32"/>
        <v>0.66500000000000004</v>
      </c>
      <c r="BO69" s="26">
        <f t="shared" si="32"/>
        <v>0.67</v>
      </c>
      <c r="BP69" s="26">
        <f t="shared" si="32"/>
        <v>0.67500000000000004</v>
      </c>
      <c r="BQ69" s="26">
        <f t="shared" si="32"/>
        <v>0.68</v>
      </c>
      <c r="BR69" s="26">
        <f t="shared" si="32"/>
        <v>0.68500000000000005</v>
      </c>
      <c r="BS69" s="26">
        <f t="shared" si="32"/>
        <v>0.69</v>
      </c>
      <c r="BT69" s="26">
        <f t="shared" si="32"/>
        <v>0.69499999999999995</v>
      </c>
      <c r="BU69" s="26">
        <f t="shared" si="32"/>
        <v>0.7</v>
      </c>
      <c r="BV69" s="26">
        <f t="shared" si="32"/>
        <v>0.70499999999999996</v>
      </c>
      <c r="BW69" s="26">
        <f t="shared" si="32"/>
        <v>0.71</v>
      </c>
      <c r="BX69" s="26">
        <f t="shared" si="32"/>
        <v>0.71499999999999997</v>
      </c>
      <c r="BY69" s="26">
        <f t="shared" si="32"/>
        <v>0.72</v>
      </c>
      <c r="BZ69" s="26">
        <f t="shared" si="32"/>
        <v>0.72499999999999998</v>
      </c>
      <c r="CA69" s="26">
        <f t="shared" si="32"/>
        <v>0.73</v>
      </c>
      <c r="CB69" s="26">
        <f t="shared" si="32"/>
        <v>0.73499999999999999</v>
      </c>
      <c r="CC69" s="26">
        <f t="shared" si="32"/>
        <v>0.74</v>
      </c>
      <c r="CD69" s="26">
        <f t="shared" si="33"/>
        <v>0.745</v>
      </c>
      <c r="CE69" s="26">
        <f t="shared" si="33"/>
        <v>0.75</v>
      </c>
      <c r="CF69" s="26">
        <f t="shared" si="33"/>
        <v>0.755</v>
      </c>
      <c r="CG69" s="26">
        <f t="shared" si="33"/>
        <v>0.76</v>
      </c>
      <c r="CH69" s="26">
        <f t="shared" si="33"/>
        <v>0.76500000000000001</v>
      </c>
      <c r="CI69" s="26">
        <f t="shared" si="33"/>
        <v>0.77</v>
      </c>
      <c r="CJ69" s="26">
        <f t="shared" si="33"/>
        <v>0.77500000000000002</v>
      </c>
      <c r="CK69" s="26">
        <f t="shared" si="33"/>
        <v>0.78</v>
      </c>
      <c r="CL69" s="26">
        <f t="shared" si="33"/>
        <v>0.78500000000000003</v>
      </c>
      <c r="CM69" s="26">
        <f t="shared" si="33"/>
        <v>0.79</v>
      </c>
      <c r="CN69" s="26">
        <f t="shared" si="33"/>
        <v>0.79500000000000004</v>
      </c>
      <c r="CO69" s="26">
        <f t="shared" si="33"/>
        <v>0.8</v>
      </c>
      <c r="CP69" s="26">
        <f t="shared" si="33"/>
        <v>0.80500000000000005</v>
      </c>
      <c r="CQ69" s="26">
        <f t="shared" si="33"/>
        <v>0.81</v>
      </c>
      <c r="CR69" s="26">
        <f t="shared" si="33"/>
        <v>0.81499999999999995</v>
      </c>
      <c r="CS69" s="26">
        <f t="shared" si="33"/>
        <v>0.82</v>
      </c>
      <c r="CT69" s="26">
        <f t="shared" si="34"/>
        <v>0.82499999999999996</v>
      </c>
      <c r="CU69" s="26">
        <f t="shared" si="34"/>
        <v>0.83</v>
      </c>
      <c r="CV69" s="26">
        <f t="shared" si="34"/>
        <v>0.83499999999999996</v>
      </c>
      <c r="CW69" s="26">
        <f t="shared" si="34"/>
        <v>0.84</v>
      </c>
    </row>
    <row r="70" spans="2:101" ht="20.100000000000001" customHeight="1">
      <c r="B70" s="26">
        <f t="shared" si="37"/>
        <v>0.35</v>
      </c>
      <c r="C70" s="26">
        <f t="shared" si="37"/>
        <v>0.35499999999999998</v>
      </c>
      <c r="D70" s="26">
        <f t="shared" si="37"/>
        <v>0.36</v>
      </c>
      <c r="E70" s="26">
        <f t="shared" si="37"/>
        <v>0.36499999999999999</v>
      </c>
      <c r="F70" s="26">
        <f t="shared" si="37"/>
        <v>0.37</v>
      </c>
      <c r="G70" s="26">
        <f t="shared" si="37"/>
        <v>0.375</v>
      </c>
      <c r="H70" s="26">
        <f t="shared" si="37"/>
        <v>0.38</v>
      </c>
      <c r="I70" s="26">
        <f t="shared" si="37"/>
        <v>0.38500000000000001</v>
      </c>
      <c r="J70" s="26">
        <f t="shared" si="37"/>
        <v>0.39</v>
      </c>
      <c r="K70" s="26">
        <f t="shared" si="37"/>
        <v>0.39500000000000002</v>
      </c>
      <c r="L70" s="26">
        <f t="shared" si="37"/>
        <v>0.4</v>
      </c>
      <c r="M70" s="26">
        <f t="shared" si="37"/>
        <v>0.40500000000000003</v>
      </c>
      <c r="N70" s="26">
        <f t="shared" si="37"/>
        <v>0.41</v>
      </c>
      <c r="O70" s="26">
        <f t="shared" si="37"/>
        <v>0.41499999999999998</v>
      </c>
      <c r="P70" s="26">
        <f t="shared" si="37"/>
        <v>0.42</v>
      </c>
      <c r="Q70" s="26">
        <f t="shared" si="35"/>
        <v>0.42499999999999999</v>
      </c>
      <c r="R70" s="26">
        <f t="shared" si="35"/>
        <v>0.43</v>
      </c>
      <c r="S70" s="26">
        <f t="shared" si="35"/>
        <v>0.435</v>
      </c>
      <c r="T70" s="26">
        <f t="shared" si="35"/>
        <v>0.44</v>
      </c>
      <c r="U70" s="26">
        <f t="shared" si="35"/>
        <v>0.44500000000000001</v>
      </c>
      <c r="V70" s="26">
        <f t="shared" si="35"/>
        <v>0.45</v>
      </c>
      <c r="W70" s="26">
        <f t="shared" si="35"/>
        <v>0.45500000000000002</v>
      </c>
      <c r="X70" s="26">
        <f t="shared" si="35"/>
        <v>0.46</v>
      </c>
      <c r="Y70" s="26">
        <f t="shared" si="35"/>
        <v>0.46500000000000002</v>
      </c>
      <c r="Z70" s="26">
        <f t="shared" si="35"/>
        <v>0.47</v>
      </c>
      <c r="AA70" s="26">
        <f t="shared" si="35"/>
        <v>0.47499999999999998</v>
      </c>
      <c r="AB70" s="26">
        <f t="shared" si="35"/>
        <v>0.48</v>
      </c>
      <c r="AC70" s="26">
        <f t="shared" si="35"/>
        <v>0.48499999999999999</v>
      </c>
      <c r="AD70" s="26">
        <f t="shared" si="35"/>
        <v>0.49</v>
      </c>
      <c r="AE70" s="26">
        <f t="shared" si="35"/>
        <v>0.495</v>
      </c>
      <c r="AF70" s="26">
        <f t="shared" si="35"/>
        <v>0.5</v>
      </c>
      <c r="AG70" s="26">
        <f t="shared" si="36"/>
        <v>0.505</v>
      </c>
      <c r="AH70" s="26">
        <f t="shared" si="30"/>
        <v>0.51</v>
      </c>
      <c r="AI70" s="26">
        <f t="shared" si="30"/>
        <v>0.51500000000000001</v>
      </c>
      <c r="AJ70" s="26">
        <f t="shared" si="30"/>
        <v>0.52</v>
      </c>
      <c r="AK70" s="26">
        <f t="shared" si="30"/>
        <v>0.52500000000000002</v>
      </c>
      <c r="AL70" s="26">
        <f t="shared" si="30"/>
        <v>0.53</v>
      </c>
      <c r="AM70" s="26">
        <f t="shared" si="30"/>
        <v>0.53500000000000003</v>
      </c>
      <c r="AN70" s="26">
        <f t="shared" si="30"/>
        <v>0.54</v>
      </c>
      <c r="AO70" s="26">
        <f t="shared" si="30"/>
        <v>0.54500000000000004</v>
      </c>
      <c r="AP70" s="26">
        <f t="shared" si="30"/>
        <v>0.55000000000000004</v>
      </c>
      <c r="AQ70" s="26">
        <f t="shared" si="30"/>
        <v>0.55500000000000005</v>
      </c>
      <c r="AR70" s="26">
        <f t="shared" si="30"/>
        <v>0.56000000000000005</v>
      </c>
      <c r="AS70" s="26">
        <f t="shared" si="30"/>
        <v>0.56499999999999995</v>
      </c>
      <c r="AT70" s="26">
        <f t="shared" si="30"/>
        <v>0.56999999999999995</v>
      </c>
      <c r="AU70" s="26">
        <f t="shared" si="30"/>
        <v>0.57499999999999996</v>
      </c>
      <c r="AV70" s="26">
        <f t="shared" si="30"/>
        <v>0.57999999999999996</v>
      </c>
      <c r="AW70" s="26">
        <f t="shared" si="30"/>
        <v>0.58499999999999996</v>
      </c>
      <c r="AX70" s="26">
        <f t="shared" si="31"/>
        <v>0.59</v>
      </c>
      <c r="AY70" s="26">
        <f t="shared" si="31"/>
        <v>0.59499999999999997</v>
      </c>
      <c r="AZ70" s="26">
        <f t="shared" si="31"/>
        <v>0.6</v>
      </c>
      <c r="BA70" s="26">
        <f t="shared" si="31"/>
        <v>0.60499999999999998</v>
      </c>
      <c r="BB70" s="26">
        <f t="shared" si="31"/>
        <v>0.61</v>
      </c>
      <c r="BC70" s="26">
        <f t="shared" si="31"/>
        <v>0.61499999999999999</v>
      </c>
      <c r="BD70" s="26">
        <f t="shared" si="31"/>
        <v>0.62</v>
      </c>
      <c r="BE70" s="26">
        <f t="shared" si="31"/>
        <v>0.625</v>
      </c>
      <c r="BF70" s="26">
        <f t="shared" si="31"/>
        <v>0.63</v>
      </c>
      <c r="BG70" s="26">
        <f t="shared" si="31"/>
        <v>0.63500000000000001</v>
      </c>
      <c r="BH70" s="26">
        <f t="shared" si="31"/>
        <v>0.64</v>
      </c>
      <c r="BI70" s="26">
        <f t="shared" si="31"/>
        <v>0.64500000000000002</v>
      </c>
      <c r="BJ70" s="26">
        <f t="shared" si="31"/>
        <v>0.65</v>
      </c>
      <c r="BK70" s="26">
        <f t="shared" si="31"/>
        <v>0.65500000000000003</v>
      </c>
      <c r="BL70" s="26">
        <f t="shared" si="31"/>
        <v>0.66</v>
      </c>
      <c r="BM70" s="26">
        <f t="shared" si="31"/>
        <v>0.66500000000000004</v>
      </c>
      <c r="BN70" s="26">
        <f t="shared" si="32"/>
        <v>0.67</v>
      </c>
      <c r="BO70" s="26">
        <f t="shared" si="32"/>
        <v>0.67500000000000004</v>
      </c>
      <c r="BP70" s="26">
        <f t="shared" si="32"/>
        <v>0.68</v>
      </c>
      <c r="BQ70" s="26">
        <f t="shared" si="32"/>
        <v>0.68500000000000005</v>
      </c>
      <c r="BR70" s="26">
        <f t="shared" si="32"/>
        <v>0.69</v>
      </c>
      <c r="BS70" s="26">
        <f t="shared" si="32"/>
        <v>0.69499999999999995</v>
      </c>
      <c r="BT70" s="26">
        <f t="shared" si="32"/>
        <v>0.7</v>
      </c>
      <c r="BU70" s="26">
        <f t="shared" si="32"/>
        <v>0.70499999999999996</v>
      </c>
      <c r="BV70" s="26">
        <f t="shared" si="32"/>
        <v>0.71</v>
      </c>
      <c r="BW70" s="26">
        <f t="shared" si="32"/>
        <v>0.71499999999999997</v>
      </c>
      <c r="BX70" s="26">
        <f t="shared" si="32"/>
        <v>0.72</v>
      </c>
      <c r="BY70" s="26">
        <f t="shared" si="32"/>
        <v>0.72499999999999998</v>
      </c>
      <c r="BZ70" s="26">
        <f t="shared" si="32"/>
        <v>0.73</v>
      </c>
      <c r="CA70" s="26">
        <f t="shared" si="32"/>
        <v>0.73499999999999999</v>
      </c>
      <c r="CB70" s="26">
        <f t="shared" si="32"/>
        <v>0.74</v>
      </c>
      <c r="CC70" s="26">
        <f t="shared" si="32"/>
        <v>0.745</v>
      </c>
      <c r="CD70" s="26">
        <f t="shared" si="33"/>
        <v>0.75</v>
      </c>
      <c r="CE70" s="26">
        <f t="shared" si="33"/>
        <v>0.755</v>
      </c>
      <c r="CF70" s="26">
        <f t="shared" si="33"/>
        <v>0.76</v>
      </c>
      <c r="CG70" s="26">
        <f t="shared" si="33"/>
        <v>0.76500000000000001</v>
      </c>
      <c r="CH70" s="26">
        <f t="shared" si="33"/>
        <v>0.77</v>
      </c>
      <c r="CI70" s="26">
        <f t="shared" si="33"/>
        <v>0.77500000000000002</v>
      </c>
      <c r="CJ70" s="26">
        <f t="shared" si="33"/>
        <v>0.78</v>
      </c>
      <c r="CK70" s="26">
        <f t="shared" si="33"/>
        <v>0.78500000000000003</v>
      </c>
      <c r="CL70" s="26">
        <f t="shared" si="33"/>
        <v>0.79</v>
      </c>
      <c r="CM70" s="26">
        <f t="shared" si="33"/>
        <v>0.79500000000000004</v>
      </c>
      <c r="CN70" s="26">
        <f t="shared" si="33"/>
        <v>0.8</v>
      </c>
      <c r="CO70" s="26">
        <f t="shared" si="33"/>
        <v>0.80500000000000005</v>
      </c>
      <c r="CP70" s="26">
        <f t="shared" si="33"/>
        <v>0.81</v>
      </c>
      <c r="CQ70" s="26">
        <f t="shared" si="33"/>
        <v>0.81499999999999995</v>
      </c>
      <c r="CR70" s="26">
        <f t="shared" si="33"/>
        <v>0.82</v>
      </c>
      <c r="CS70" s="26">
        <f t="shared" si="33"/>
        <v>0.82499999999999996</v>
      </c>
      <c r="CT70" s="26">
        <f t="shared" si="34"/>
        <v>0.83</v>
      </c>
      <c r="CU70" s="26">
        <f t="shared" si="34"/>
        <v>0.83499999999999996</v>
      </c>
      <c r="CV70" s="26">
        <f t="shared" si="34"/>
        <v>0.84</v>
      </c>
      <c r="CW70" s="26">
        <f t="shared" si="34"/>
        <v>0.84499999999999997</v>
      </c>
    </row>
    <row r="71" spans="2:101" ht="20.100000000000001" customHeight="1">
      <c r="B71" s="26">
        <f t="shared" si="37"/>
        <v>0.35499999999999998</v>
      </c>
      <c r="C71" s="26">
        <f t="shared" si="37"/>
        <v>0.36</v>
      </c>
      <c r="D71" s="26">
        <f t="shared" si="37"/>
        <v>0.36499999999999999</v>
      </c>
      <c r="E71" s="26">
        <f t="shared" si="37"/>
        <v>0.37</v>
      </c>
      <c r="F71" s="26">
        <f t="shared" si="37"/>
        <v>0.375</v>
      </c>
      <c r="G71" s="26">
        <f t="shared" si="37"/>
        <v>0.38</v>
      </c>
      <c r="H71" s="26">
        <f t="shared" si="37"/>
        <v>0.38500000000000001</v>
      </c>
      <c r="I71" s="26">
        <f t="shared" si="37"/>
        <v>0.39</v>
      </c>
      <c r="J71" s="26">
        <f t="shared" si="37"/>
        <v>0.39500000000000002</v>
      </c>
      <c r="K71" s="26">
        <f t="shared" si="37"/>
        <v>0.4</v>
      </c>
      <c r="L71" s="26">
        <f t="shared" si="37"/>
        <v>0.40500000000000003</v>
      </c>
      <c r="M71" s="26">
        <f t="shared" si="37"/>
        <v>0.41</v>
      </c>
      <c r="N71" s="26">
        <f t="shared" si="37"/>
        <v>0.41499999999999998</v>
      </c>
      <c r="O71" s="26">
        <f t="shared" si="37"/>
        <v>0.42</v>
      </c>
      <c r="P71" s="26">
        <f t="shared" si="37"/>
        <v>0.42499999999999999</v>
      </c>
      <c r="Q71" s="26">
        <f t="shared" si="35"/>
        <v>0.43</v>
      </c>
      <c r="R71" s="26">
        <f t="shared" si="35"/>
        <v>0.435</v>
      </c>
      <c r="S71" s="26">
        <f t="shared" si="35"/>
        <v>0.44</v>
      </c>
      <c r="T71" s="26">
        <f t="shared" si="35"/>
        <v>0.44500000000000001</v>
      </c>
      <c r="U71" s="26">
        <f t="shared" si="35"/>
        <v>0.45</v>
      </c>
      <c r="V71" s="26">
        <f t="shared" si="35"/>
        <v>0.45500000000000002</v>
      </c>
      <c r="W71" s="26">
        <f t="shared" si="35"/>
        <v>0.46</v>
      </c>
      <c r="X71" s="26">
        <f t="shared" si="35"/>
        <v>0.46500000000000002</v>
      </c>
      <c r="Y71" s="26">
        <f t="shared" si="35"/>
        <v>0.47</v>
      </c>
      <c r="Z71" s="26">
        <f t="shared" si="35"/>
        <v>0.47499999999999998</v>
      </c>
      <c r="AA71" s="26">
        <f t="shared" si="35"/>
        <v>0.48</v>
      </c>
      <c r="AB71" s="26">
        <f t="shared" si="35"/>
        <v>0.48499999999999999</v>
      </c>
      <c r="AC71" s="26">
        <f t="shared" si="35"/>
        <v>0.49</v>
      </c>
      <c r="AD71" s="26">
        <f t="shared" si="35"/>
        <v>0.495</v>
      </c>
      <c r="AE71" s="26">
        <f t="shared" si="35"/>
        <v>0.5</v>
      </c>
      <c r="AF71" s="26">
        <f t="shared" si="35"/>
        <v>0.505</v>
      </c>
      <c r="AG71" s="26">
        <f t="shared" si="36"/>
        <v>0.51</v>
      </c>
      <c r="AH71" s="26">
        <f t="shared" si="30"/>
        <v>0.51500000000000001</v>
      </c>
      <c r="AI71" s="26">
        <f t="shared" si="30"/>
        <v>0.52</v>
      </c>
      <c r="AJ71" s="26">
        <f t="shared" si="30"/>
        <v>0.52500000000000002</v>
      </c>
      <c r="AK71" s="26">
        <f t="shared" si="30"/>
        <v>0.53</v>
      </c>
      <c r="AL71" s="26">
        <f t="shared" si="30"/>
        <v>0.53500000000000003</v>
      </c>
      <c r="AM71" s="26">
        <f t="shared" si="30"/>
        <v>0.54</v>
      </c>
      <c r="AN71" s="26">
        <f t="shared" si="30"/>
        <v>0.54500000000000004</v>
      </c>
      <c r="AO71" s="26">
        <f t="shared" si="30"/>
        <v>0.55000000000000004</v>
      </c>
      <c r="AP71" s="26">
        <f t="shared" si="30"/>
        <v>0.55500000000000005</v>
      </c>
      <c r="AQ71" s="26">
        <f t="shared" si="30"/>
        <v>0.56000000000000005</v>
      </c>
      <c r="AR71" s="26">
        <f t="shared" si="30"/>
        <v>0.56499999999999995</v>
      </c>
      <c r="AS71" s="26">
        <f t="shared" si="30"/>
        <v>0.56999999999999995</v>
      </c>
      <c r="AT71" s="26">
        <f t="shared" si="30"/>
        <v>0.57499999999999996</v>
      </c>
      <c r="AU71" s="26">
        <f t="shared" si="30"/>
        <v>0.57999999999999996</v>
      </c>
      <c r="AV71" s="26">
        <f t="shared" si="30"/>
        <v>0.58499999999999996</v>
      </c>
      <c r="AW71" s="26">
        <f t="shared" si="30"/>
        <v>0.59</v>
      </c>
      <c r="AX71" s="26">
        <f t="shared" si="31"/>
        <v>0.59499999999999997</v>
      </c>
      <c r="AY71" s="26">
        <f t="shared" si="31"/>
        <v>0.6</v>
      </c>
      <c r="AZ71" s="26">
        <f t="shared" si="31"/>
        <v>0.60499999999999998</v>
      </c>
      <c r="BA71" s="26">
        <f t="shared" si="31"/>
        <v>0.61</v>
      </c>
      <c r="BB71" s="26">
        <f t="shared" si="31"/>
        <v>0.61499999999999999</v>
      </c>
      <c r="BC71" s="26">
        <f t="shared" si="31"/>
        <v>0.62</v>
      </c>
      <c r="BD71" s="26">
        <f t="shared" si="31"/>
        <v>0.625</v>
      </c>
      <c r="BE71" s="26">
        <f t="shared" si="31"/>
        <v>0.63</v>
      </c>
      <c r="BF71" s="26">
        <f t="shared" si="31"/>
        <v>0.63500000000000001</v>
      </c>
      <c r="BG71" s="26">
        <f t="shared" si="31"/>
        <v>0.64</v>
      </c>
      <c r="BH71" s="26">
        <f t="shared" si="31"/>
        <v>0.64500000000000002</v>
      </c>
      <c r="BI71" s="26">
        <f t="shared" si="31"/>
        <v>0.65</v>
      </c>
      <c r="BJ71" s="26">
        <f t="shared" si="31"/>
        <v>0.65500000000000003</v>
      </c>
      <c r="BK71" s="26">
        <f t="shared" si="31"/>
        <v>0.66</v>
      </c>
      <c r="BL71" s="26">
        <f t="shared" si="31"/>
        <v>0.66500000000000004</v>
      </c>
      <c r="BM71" s="26">
        <f t="shared" si="31"/>
        <v>0.67</v>
      </c>
      <c r="BN71" s="26">
        <f t="shared" si="32"/>
        <v>0.67500000000000004</v>
      </c>
      <c r="BO71" s="26">
        <f t="shared" si="32"/>
        <v>0.68</v>
      </c>
      <c r="BP71" s="26">
        <f t="shared" si="32"/>
        <v>0.68500000000000005</v>
      </c>
      <c r="BQ71" s="26">
        <f t="shared" si="32"/>
        <v>0.69</v>
      </c>
      <c r="BR71" s="26">
        <f t="shared" si="32"/>
        <v>0.69499999999999995</v>
      </c>
      <c r="BS71" s="26">
        <f t="shared" si="32"/>
        <v>0.7</v>
      </c>
      <c r="BT71" s="26">
        <f t="shared" si="32"/>
        <v>0.70499999999999996</v>
      </c>
      <c r="BU71" s="26">
        <f t="shared" si="32"/>
        <v>0.71</v>
      </c>
      <c r="BV71" s="26">
        <f t="shared" si="32"/>
        <v>0.71499999999999997</v>
      </c>
      <c r="BW71" s="26">
        <f t="shared" si="32"/>
        <v>0.72</v>
      </c>
      <c r="BX71" s="26">
        <f t="shared" si="32"/>
        <v>0.72499999999999998</v>
      </c>
      <c r="BY71" s="26">
        <f t="shared" si="32"/>
        <v>0.73</v>
      </c>
      <c r="BZ71" s="26">
        <f t="shared" si="32"/>
        <v>0.73499999999999999</v>
      </c>
      <c r="CA71" s="26">
        <f t="shared" si="32"/>
        <v>0.74</v>
      </c>
      <c r="CB71" s="26">
        <f t="shared" si="32"/>
        <v>0.745</v>
      </c>
      <c r="CC71" s="26">
        <f t="shared" si="32"/>
        <v>0.75</v>
      </c>
      <c r="CD71" s="26">
        <f t="shared" si="33"/>
        <v>0.755</v>
      </c>
      <c r="CE71" s="26">
        <f t="shared" si="33"/>
        <v>0.76</v>
      </c>
      <c r="CF71" s="26">
        <f t="shared" si="33"/>
        <v>0.76500000000000001</v>
      </c>
      <c r="CG71" s="26">
        <f t="shared" si="33"/>
        <v>0.77</v>
      </c>
      <c r="CH71" s="26">
        <f t="shared" si="33"/>
        <v>0.77500000000000002</v>
      </c>
      <c r="CI71" s="26">
        <f t="shared" si="33"/>
        <v>0.78</v>
      </c>
      <c r="CJ71" s="26">
        <f t="shared" si="33"/>
        <v>0.78500000000000003</v>
      </c>
      <c r="CK71" s="26">
        <f t="shared" si="33"/>
        <v>0.79</v>
      </c>
      <c r="CL71" s="26">
        <f t="shared" si="33"/>
        <v>0.79500000000000004</v>
      </c>
      <c r="CM71" s="26">
        <f t="shared" si="33"/>
        <v>0.8</v>
      </c>
      <c r="CN71" s="26">
        <f t="shared" si="33"/>
        <v>0.80500000000000005</v>
      </c>
      <c r="CO71" s="26">
        <f t="shared" si="33"/>
        <v>0.81</v>
      </c>
      <c r="CP71" s="26">
        <f t="shared" si="33"/>
        <v>0.81499999999999995</v>
      </c>
      <c r="CQ71" s="26">
        <f t="shared" si="33"/>
        <v>0.82</v>
      </c>
      <c r="CR71" s="26">
        <f t="shared" si="33"/>
        <v>0.82499999999999996</v>
      </c>
      <c r="CS71" s="26">
        <f t="shared" si="33"/>
        <v>0.83</v>
      </c>
      <c r="CT71" s="26">
        <f t="shared" si="34"/>
        <v>0.83499999999999996</v>
      </c>
      <c r="CU71" s="26">
        <f t="shared" si="34"/>
        <v>0.84</v>
      </c>
      <c r="CV71" s="26">
        <f t="shared" si="34"/>
        <v>0.84499999999999997</v>
      </c>
      <c r="CW71" s="26">
        <f t="shared" si="34"/>
        <v>0.85</v>
      </c>
    </row>
    <row r="72" spans="2:101" ht="20.100000000000001" customHeight="1">
      <c r="B72" s="26">
        <f t="shared" si="37"/>
        <v>0.36</v>
      </c>
      <c r="C72" s="26">
        <f t="shared" si="37"/>
        <v>0.36499999999999999</v>
      </c>
      <c r="D72" s="26">
        <f t="shared" si="37"/>
        <v>0.37</v>
      </c>
      <c r="E72" s="26">
        <f t="shared" si="37"/>
        <v>0.375</v>
      </c>
      <c r="F72" s="26">
        <f t="shared" si="37"/>
        <v>0.38</v>
      </c>
      <c r="G72" s="26">
        <f t="shared" si="37"/>
        <v>0.38500000000000001</v>
      </c>
      <c r="H72" s="26">
        <f t="shared" si="37"/>
        <v>0.39</v>
      </c>
      <c r="I72" s="26">
        <f t="shared" si="37"/>
        <v>0.39500000000000002</v>
      </c>
      <c r="J72" s="26">
        <f t="shared" si="37"/>
        <v>0.4</v>
      </c>
      <c r="K72" s="26">
        <f t="shared" si="37"/>
        <v>0.40500000000000003</v>
      </c>
      <c r="L72" s="26">
        <f t="shared" si="37"/>
        <v>0.41</v>
      </c>
      <c r="M72" s="26">
        <f t="shared" si="37"/>
        <v>0.41499999999999998</v>
      </c>
      <c r="N72" s="26">
        <f t="shared" si="37"/>
        <v>0.42</v>
      </c>
      <c r="O72" s="26">
        <f t="shared" si="37"/>
        <v>0.42499999999999999</v>
      </c>
      <c r="P72" s="26">
        <f t="shared" si="37"/>
        <v>0.43</v>
      </c>
      <c r="Q72" s="26">
        <f t="shared" si="35"/>
        <v>0.435</v>
      </c>
      <c r="R72" s="26">
        <f t="shared" si="35"/>
        <v>0.44</v>
      </c>
      <c r="S72" s="26">
        <f t="shared" si="35"/>
        <v>0.44500000000000001</v>
      </c>
      <c r="T72" s="26">
        <f t="shared" si="35"/>
        <v>0.45</v>
      </c>
      <c r="U72" s="26">
        <f t="shared" si="35"/>
        <v>0.45500000000000002</v>
      </c>
      <c r="V72" s="26">
        <f t="shared" si="35"/>
        <v>0.46</v>
      </c>
      <c r="W72" s="26">
        <f t="shared" si="35"/>
        <v>0.46500000000000002</v>
      </c>
      <c r="X72" s="26">
        <f t="shared" si="35"/>
        <v>0.47</v>
      </c>
      <c r="Y72" s="26">
        <f t="shared" si="35"/>
        <v>0.47499999999999998</v>
      </c>
      <c r="Z72" s="26">
        <f t="shared" si="35"/>
        <v>0.48</v>
      </c>
      <c r="AA72" s="26">
        <f t="shared" si="35"/>
        <v>0.48499999999999999</v>
      </c>
      <c r="AB72" s="26">
        <f t="shared" si="35"/>
        <v>0.49</v>
      </c>
      <c r="AC72" s="26">
        <f t="shared" si="35"/>
        <v>0.495</v>
      </c>
      <c r="AD72" s="26">
        <f t="shared" si="35"/>
        <v>0.5</v>
      </c>
      <c r="AE72" s="26">
        <f t="shared" si="35"/>
        <v>0.505</v>
      </c>
      <c r="AF72" s="26">
        <f t="shared" si="35"/>
        <v>0.51</v>
      </c>
      <c r="AG72" s="26">
        <f t="shared" si="36"/>
        <v>0.51500000000000001</v>
      </c>
      <c r="AH72" s="26">
        <f t="shared" si="30"/>
        <v>0.52</v>
      </c>
      <c r="AI72" s="26">
        <f t="shared" si="30"/>
        <v>0.52500000000000002</v>
      </c>
      <c r="AJ72" s="26">
        <f t="shared" si="30"/>
        <v>0.53</v>
      </c>
      <c r="AK72" s="26">
        <f t="shared" si="30"/>
        <v>0.53500000000000003</v>
      </c>
      <c r="AL72" s="26">
        <f t="shared" si="30"/>
        <v>0.54</v>
      </c>
      <c r="AM72" s="26">
        <f t="shared" si="30"/>
        <v>0.54500000000000004</v>
      </c>
      <c r="AN72" s="26">
        <f t="shared" si="30"/>
        <v>0.55000000000000004</v>
      </c>
      <c r="AO72" s="26">
        <f t="shared" si="30"/>
        <v>0.55500000000000005</v>
      </c>
      <c r="AP72" s="26">
        <f t="shared" si="30"/>
        <v>0.56000000000000005</v>
      </c>
      <c r="AQ72" s="26">
        <f t="shared" si="30"/>
        <v>0.56499999999999995</v>
      </c>
      <c r="AR72" s="26">
        <f t="shared" si="30"/>
        <v>0.56999999999999995</v>
      </c>
      <c r="AS72" s="26">
        <f t="shared" si="30"/>
        <v>0.57499999999999996</v>
      </c>
      <c r="AT72" s="26">
        <f t="shared" si="30"/>
        <v>0.57999999999999996</v>
      </c>
      <c r="AU72" s="26">
        <f t="shared" si="30"/>
        <v>0.58499999999999996</v>
      </c>
      <c r="AV72" s="26">
        <f t="shared" si="30"/>
        <v>0.59</v>
      </c>
      <c r="AW72" s="26">
        <f t="shared" si="30"/>
        <v>0.59499999999999997</v>
      </c>
      <c r="AX72" s="26">
        <f t="shared" si="31"/>
        <v>0.6</v>
      </c>
      <c r="AY72" s="26">
        <f t="shared" si="31"/>
        <v>0.60499999999999998</v>
      </c>
      <c r="AZ72" s="26">
        <f t="shared" si="31"/>
        <v>0.61</v>
      </c>
      <c r="BA72" s="26">
        <f t="shared" si="31"/>
        <v>0.61499999999999999</v>
      </c>
      <c r="BB72" s="26">
        <f t="shared" si="31"/>
        <v>0.62</v>
      </c>
      <c r="BC72" s="26">
        <f t="shared" si="31"/>
        <v>0.625</v>
      </c>
      <c r="BD72" s="26">
        <f t="shared" si="31"/>
        <v>0.63</v>
      </c>
      <c r="BE72" s="26">
        <f t="shared" si="31"/>
        <v>0.63500000000000001</v>
      </c>
      <c r="BF72" s="26">
        <f t="shared" si="31"/>
        <v>0.64</v>
      </c>
      <c r="BG72" s="26">
        <f t="shared" si="31"/>
        <v>0.64500000000000002</v>
      </c>
      <c r="BH72" s="26">
        <f t="shared" si="31"/>
        <v>0.65</v>
      </c>
      <c r="BI72" s="26">
        <f t="shared" si="31"/>
        <v>0.65500000000000003</v>
      </c>
      <c r="BJ72" s="26">
        <f t="shared" si="31"/>
        <v>0.66</v>
      </c>
      <c r="BK72" s="26">
        <f t="shared" si="31"/>
        <v>0.66500000000000004</v>
      </c>
      <c r="BL72" s="26">
        <f t="shared" si="31"/>
        <v>0.67</v>
      </c>
      <c r="BM72" s="26">
        <f t="shared" si="31"/>
        <v>0.67500000000000004</v>
      </c>
      <c r="BN72" s="26">
        <f t="shared" si="32"/>
        <v>0.68</v>
      </c>
      <c r="BO72" s="26">
        <f t="shared" si="32"/>
        <v>0.68500000000000005</v>
      </c>
      <c r="BP72" s="26">
        <f t="shared" si="32"/>
        <v>0.69</v>
      </c>
      <c r="BQ72" s="26">
        <f t="shared" si="32"/>
        <v>0.69499999999999995</v>
      </c>
      <c r="BR72" s="26">
        <f t="shared" si="32"/>
        <v>0.7</v>
      </c>
      <c r="BS72" s="26">
        <f t="shared" si="32"/>
        <v>0.70499999999999996</v>
      </c>
      <c r="BT72" s="26">
        <f t="shared" si="32"/>
        <v>0.71</v>
      </c>
      <c r="BU72" s="26">
        <f t="shared" si="32"/>
        <v>0.71499999999999997</v>
      </c>
      <c r="BV72" s="26">
        <f t="shared" si="32"/>
        <v>0.72</v>
      </c>
      <c r="BW72" s="26">
        <f t="shared" si="32"/>
        <v>0.72499999999999998</v>
      </c>
      <c r="BX72" s="26">
        <f t="shared" si="32"/>
        <v>0.73</v>
      </c>
      <c r="BY72" s="26">
        <f t="shared" si="32"/>
        <v>0.73499999999999999</v>
      </c>
      <c r="BZ72" s="26">
        <f t="shared" si="32"/>
        <v>0.74</v>
      </c>
      <c r="CA72" s="26">
        <f t="shared" si="32"/>
        <v>0.745</v>
      </c>
      <c r="CB72" s="26">
        <f t="shared" si="32"/>
        <v>0.75</v>
      </c>
      <c r="CC72" s="26">
        <f t="shared" si="32"/>
        <v>0.755</v>
      </c>
      <c r="CD72" s="26">
        <f t="shared" si="33"/>
        <v>0.76</v>
      </c>
      <c r="CE72" s="26">
        <f t="shared" si="33"/>
        <v>0.76500000000000001</v>
      </c>
      <c r="CF72" s="26">
        <f t="shared" si="33"/>
        <v>0.77</v>
      </c>
      <c r="CG72" s="26">
        <f t="shared" si="33"/>
        <v>0.77500000000000002</v>
      </c>
      <c r="CH72" s="26">
        <f t="shared" si="33"/>
        <v>0.78</v>
      </c>
      <c r="CI72" s="26">
        <f t="shared" si="33"/>
        <v>0.78500000000000003</v>
      </c>
      <c r="CJ72" s="26">
        <f t="shared" si="33"/>
        <v>0.79</v>
      </c>
      <c r="CK72" s="26">
        <f t="shared" si="33"/>
        <v>0.79500000000000004</v>
      </c>
      <c r="CL72" s="26">
        <f t="shared" si="33"/>
        <v>0.8</v>
      </c>
      <c r="CM72" s="26">
        <f t="shared" si="33"/>
        <v>0.80500000000000005</v>
      </c>
      <c r="CN72" s="26">
        <f t="shared" si="33"/>
        <v>0.81</v>
      </c>
      <c r="CO72" s="26">
        <f t="shared" si="33"/>
        <v>0.81499999999999995</v>
      </c>
      <c r="CP72" s="26">
        <f t="shared" si="33"/>
        <v>0.82</v>
      </c>
      <c r="CQ72" s="26">
        <f t="shared" si="33"/>
        <v>0.82499999999999996</v>
      </c>
      <c r="CR72" s="26">
        <f t="shared" si="33"/>
        <v>0.83</v>
      </c>
      <c r="CS72" s="26">
        <f t="shared" si="33"/>
        <v>0.83499999999999996</v>
      </c>
      <c r="CT72" s="26">
        <f t="shared" si="34"/>
        <v>0.84</v>
      </c>
      <c r="CU72" s="26">
        <f t="shared" si="34"/>
        <v>0.84499999999999997</v>
      </c>
      <c r="CV72" s="26">
        <f t="shared" si="34"/>
        <v>0.85</v>
      </c>
      <c r="CW72" s="26">
        <f t="shared" si="34"/>
        <v>0.85499999999999998</v>
      </c>
    </row>
    <row r="73" spans="2:101" ht="20.100000000000001" customHeight="1">
      <c r="B73" s="26">
        <f t="shared" si="37"/>
        <v>0.36499999999999999</v>
      </c>
      <c r="C73" s="26">
        <f t="shared" si="37"/>
        <v>0.37</v>
      </c>
      <c r="D73" s="26">
        <f t="shared" si="37"/>
        <v>0.375</v>
      </c>
      <c r="E73" s="26">
        <f t="shared" si="37"/>
        <v>0.38</v>
      </c>
      <c r="F73" s="26">
        <f t="shared" si="37"/>
        <v>0.38500000000000001</v>
      </c>
      <c r="G73" s="26">
        <f t="shared" si="37"/>
        <v>0.39</v>
      </c>
      <c r="H73" s="26">
        <f t="shared" si="37"/>
        <v>0.39500000000000002</v>
      </c>
      <c r="I73" s="26">
        <f t="shared" si="37"/>
        <v>0.4</v>
      </c>
      <c r="J73" s="26">
        <f t="shared" si="37"/>
        <v>0.40500000000000003</v>
      </c>
      <c r="K73" s="26">
        <f t="shared" si="37"/>
        <v>0.41</v>
      </c>
      <c r="L73" s="26">
        <f t="shared" si="37"/>
        <v>0.41499999999999998</v>
      </c>
      <c r="M73" s="26">
        <f t="shared" si="37"/>
        <v>0.42</v>
      </c>
      <c r="N73" s="26">
        <f t="shared" si="37"/>
        <v>0.42499999999999999</v>
      </c>
      <c r="O73" s="26">
        <f t="shared" si="37"/>
        <v>0.43</v>
      </c>
      <c r="P73" s="26">
        <f t="shared" si="37"/>
        <v>0.435</v>
      </c>
      <c r="Q73" s="26">
        <f t="shared" si="35"/>
        <v>0.44</v>
      </c>
      <c r="R73" s="26">
        <f t="shared" si="35"/>
        <v>0.44500000000000001</v>
      </c>
      <c r="S73" s="26">
        <f t="shared" si="35"/>
        <v>0.45</v>
      </c>
      <c r="T73" s="26">
        <f t="shared" si="35"/>
        <v>0.45500000000000002</v>
      </c>
      <c r="U73" s="26">
        <f t="shared" si="35"/>
        <v>0.46</v>
      </c>
      <c r="V73" s="26">
        <f t="shared" si="35"/>
        <v>0.46500000000000002</v>
      </c>
      <c r="W73" s="26">
        <f t="shared" si="35"/>
        <v>0.47</v>
      </c>
      <c r="X73" s="26">
        <f t="shared" si="35"/>
        <v>0.47499999999999998</v>
      </c>
      <c r="Y73" s="26">
        <f t="shared" si="35"/>
        <v>0.48</v>
      </c>
      <c r="Z73" s="26">
        <f t="shared" si="35"/>
        <v>0.48499999999999999</v>
      </c>
      <c r="AA73" s="26">
        <f t="shared" si="35"/>
        <v>0.49</v>
      </c>
      <c r="AB73" s="26">
        <f t="shared" si="35"/>
        <v>0.495</v>
      </c>
      <c r="AC73" s="26">
        <f t="shared" si="35"/>
        <v>0.5</v>
      </c>
      <c r="AD73" s="26">
        <f t="shared" si="35"/>
        <v>0.505</v>
      </c>
      <c r="AE73" s="26">
        <f t="shared" si="35"/>
        <v>0.51</v>
      </c>
      <c r="AF73" s="26">
        <f t="shared" si="35"/>
        <v>0.51500000000000001</v>
      </c>
      <c r="AG73" s="26">
        <f t="shared" si="36"/>
        <v>0.52</v>
      </c>
      <c r="AH73" s="26">
        <f t="shared" si="30"/>
        <v>0.52500000000000002</v>
      </c>
      <c r="AI73" s="26">
        <f t="shared" si="30"/>
        <v>0.53</v>
      </c>
      <c r="AJ73" s="26">
        <f t="shared" si="30"/>
        <v>0.53500000000000003</v>
      </c>
      <c r="AK73" s="26">
        <f t="shared" si="30"/>
        <v>0.54</v>
      </c>
      <c r="AL73" s="26">
        <f t="shared" si="30"/>
        <v>0.54500000000000004</v>
      </c>
      <c r="AM73" s="26">
        <f t="shared" si="30"/>
        <v>0.55000000000000004</v>
      </c>
      <c r="AN73" s="26">
        <f t="shared" si="30"/>
        <v>0.55500000000000005</v>
      </c>
      <c r="AO73" s="26">
        <f t="shared" si="30"/>
        <v>0.56000000000000005</v>
      </c>
      <c r="AP73" s="26">
        <f t="shared" si="30"/>
        <v>0.56499999999999995</v>
      </c>
      <c r="AQ73" s="26">
        <f t="shared" si="30"/>
        <v>0.56999999999999995</v>
      </c>
      <c r="AR73" s="26">
        <f t="shared" si="30"/>
        <v>0.57499999999999996</v>
      </c>
      <c r="AS73" s="26">
        <f t="shared" si="30"/>
        <v>0.57999999999999996</v>
      </c>
      <c r="AT73" s="26">
        <f t="shared" si="30"/>
        <v>0.58499999999999996</v>
      </c>
      <c r="AU73" s="26">
        <f t="shared" si="30"/>
        <v>0.59</v>
      </c>
      <c r="AV73" s="26">
        <f t="shared" si="30"/>
        <v>0.59499999999999997</v>
      </c>
      <c r="AW73" s="26">
        <f t="shared" si="30"/>
        <v>0.6</v>
      </c>
      <c r="AX73" s="26">
        <f t="shared" si="31"/>
        <v>0.60499999999999998</v>
      </c>
      <c r="AY73" s="26">
        <f t="shared" si="31"/>
        <v>0.61</v>
      </c>
      <c r="AZ73" s="26">
        <f t="shared" si="31"/>
        <v>0.61499999999999999</v>
      </c>
      <c r="BA73" s="26">
        <f t="shared" si="31"/>
        <v>0.62</v>
      </c>
      <c r="BB73" s="26">
        <f t="shared" si="31"/>
        <v>0.625</v>
      </c>
      <c r="BC73" s="26">
        <f t="shared" si="31"/>
        <v>0.63</v>
      </c>
      <c r="BD73" s="26">
        <f t="shared" si="31"/>
        <v>0.63500000000000001</v>
      </c>
      <c r="BE73" s="26">
        <f t="shared" si="31"/>
        <v>0.64</v>
      </c>
      <c r="BF73" s="26">
        <f t="shared" si="31"/>
        <v>0.64500000000000002</v>
      </c>
      <c r="BG73" s="26">
        <f t="shared" si="31"/>
        <v>0.65</v>
      </c>
      <c r="BH73" s="26">
        <f t="shared" si="31"/>
        <v>0.65500000000000003</v>
      </c>
      <c r="BI73" s="26">
        <f t="shared" si="31"/>
        <v>0.66</v>
      </c>
      <c r="BJ73" s="26">
        <f t="shared" si="31"/>
        <v>0.66500000000000004</v>
      </c>
      <c r="BK73" s="26">
        <f t="shared" si="31"/>
        <v>0.67</v>
      </c>
      <c r="BL73" s="26">
        <f t="shared" si="31"/>
        <v>0.67500000000000004</v>
      </c>
      <c r="BM73" s="26">
        <f t="shared" si="31"/>
        <v>0.68</v>
      </c>
      <c r="BN73" s="26">
        <f t="shared" si="32"/>
        <v>0.68500000000000005</v>
      </c>
      <c r="BO73" s="26">
        <f t="shared" si="32"/>
        <v>0.69</v>
      </c>
      <c r="BP73" s="26">
        <f t="shared" si="32"/>
        <v>0.69499999999999995</v>
      </c>
      <c r="BQ73" s="26">
        <f t="shared" si="32"/>
        <v>0.7</v>
      </c>
      <c r="BR73" s="26">
        <f t="shared" si="32"/>
        <v>0.70499999999999996</v>
      </c>
      <c r="BS73" s="26">
        <f t="shared" si="32"/>
        <v>0.71</v>
      </c>
      <c r="BT73" s="26">
        <f t="shared" si="32"/>
        <v>0.71499999999999997</v>
      </c>
      <c r="BU73" s="26">
        <f t="shared" si="32"/>
        <v>0.72</v>
      </c>
      <c r="BV73" s="26">
        <f t="shared" si="32"/>
        <v>0.72499999999999998</v>
      </c>
      <c r="BW73" s="26">
        <f t="shared" si="32"/>
        <v>0.73</v>
      </c>
      <c r="BX73" s="26">
        <f t="shared" si="32"/>
        <v>0.73499999999999999</v>
      </c>
      <c r="BY73" s="26">
        <f t="shared" si="32"/>
        <v>0.74</v>
      </c>
      <c r="BZ73" s="26">
        <f t="shared" si="32"/>
        <v>0.745</v>
      </c>
      <c r="CA73" s="26">
        <f t="shared" si="32"/>
        <v>0.75</v>
      </c>
      <c r="CB73" s="26">
        <f t="shared" si="32"/>
        <v>0.755</v>
      </c>
      <c r="CC73" s="26">
        <f t="shared" si="32"/>
        <v>0.76</v>
      </c>
      <c r="CD73" s="26">
        <f t="shared" si="33"/>
        <v>0.76500000000000001</v>
      </c>
      <c r="CE73" s="26">
        <f t="shared" si="33"/>
        <v>0.77</v>
      </c>
      <c r="CF73" s="26">
        <f t="shared" si="33"/>
        <v>0.77500000000000002</v>
      </c>
      <c r="CG73" s="26">
        <f t="shared" si="33"/>
        <v>0.78</v>
      </c>
      <c r="CH73" s="26">
        <f t="shared" si="33"/>
        <v>0.78500000000000003</v>
      </c>
      <c r="CI73" s="26">
        <f t="shared" si="33"/>
        <v>0.79</v>
      </c>
      <c r="CJ73" s="26">
        <f t="shared" si="33"/>
        <v>0.79500000000000004</v>
      </c>
      <c r="CK73" s="26">
        <f t="shared" si="33"/>
        <v>0.8</v>
      </c>
      <c r="CL73" s="26">
        <f t="shared" si="33"/>
        <v>0.80500000000000005</v>
      </c>
      <c r="CM73" s="26">
        <f t="shared" si="33"/>
        <v>0.81</v>
      </c>
      <c r="CN73" s="26">
        <f t="shared" si="33"/>
        <v>0.81499999999999995</v>
      </c>
      <c r="CO73" s="26">
        <f t="shared" si="33"/>
        <v>0.82</v>
      </c>
      <c r="CP73" s="26">
        <f t="shared" si="33"/>
        <v>0.82499999999999996</v>
      </c>
      <c r="CQ73" s="26">
        <f t="shared" si="33"/>
        <v>0.83</v>
      </c>
      <c r="CR73" s="26">
        <f t="shared" si="33"/>
        <v>0.83499999999999996</v>
      </c>
      <c r="CS73" s="26">
        <f t="shared" si="33"/>
        <v>0.84</v>
      </c>
      <c r="CT73" s="26">
        <f t="shared" si="34"/>
        <v>0.84499999999999997</v>
      </c>
      <c r="CU73" s="26">
        <f t="shared" si="34"/>
        <v>0.85</v>
      </c>
      <c r="CV73" s="26">
        <f t="shared" si="34"/>
        <v>0.85499999999999998</v>
      </c>
      <c r="CW73" s="26">
        <f t="shared" si="34"/>
        <v>0.86</v>
      </c>
    </row>
    <row r="74" spans="2:101" ht="20.100000000000001" customHeight="1">
      <c r="B74" s="26">
        <f t="shared" si="37"/>
        <v>0.37</v>
      </c>
      <c r="C74" s="26">
        <f t="shared" si="37"/>
        <v>0.375</v>
      </c>
      <c r="D74" s="26">
        <f t="shared" si="37"/>
        <v>0.38</v>
      </c>
      <c r="E74" s="26">
        <f t="shared" si="37"/>
        <v>0.38500000000000001</v>
      </c>
      <c r="F74" s="26">
        <f t="shared" si="37"/>
        <v>0.39</v>
      </c>
      <c r="G74" s="26">
        <f t="shared" si="37"/>
        <v>0.39500000000000002</v>
      </c>
      <c r="H74" s="26">
        <f t="shared" si="37"/>
        <v>0.4</v>
      </c>
      <c r="I74" s="26">
        <f t="shared" si="37"/>
        <v>0.40500000000000003</v>
      </c>
      <c r="J74" s="26">
        <f t="shared" si="37"/>
        <v>0.41</v>
      </c>
      <c r="K74" s="26">
        <f t="shared" si="37"/>
        <v>0.41499999999999998</v>
      </c>
      <c r="L74" s="26">
        <f t="shared" si="37"/>
        <v>0.42</v>
      </c>
      <c r="M74" s="26">
        <f t="shared" si="37"/>
        <v>0.42499999999999999</v>
      </c>
      <c r="N74" s="26">
        <f t="shared" si="37"/>
        <v>0.43</v>
      </c>
      <c r="O74" s="26">
        <f t="shared" si="37"/>
        <v>0.435</v>
      </c>
      <c r="P74" s="26">
        <f t="shared" si="37"/>
        <v>0.44</v>
      </c>
      <c r="Q74" s="26">
        <f t="shared" si="35"/>
        <v>0.44500000000000001</v>
      </c>
      <c r="R74" s="26">
        <f t="shared" si="35"/>
        <v>0.45</v>
      </c>
      <c r="S74" s="26">
        <f t="shared" si="35"/>
        <v>0.45500000000000002</v>
      </c>
      <c r="T74" s="26">
        <f t="shared" si="35"/>
        <v>0.46</v>
      </c>
      <c r="U74" s="26">
        <f t="shared" si="35"/>
        <v>0.46500000000000002</v>
      </c>
      <c r="V74" s="26">
        <f t="shared" si="35"/>
        <v>0.47</v>
      </c>
      <c r="W74" s="26">
        <f t="shared" si="35"/>
        <v>0.47499999999999998</v>
      </c>
      <c r="X74" s="26">
        <f t="shared" si="35"/>
        <v>0.48</v>
      </c>
      <c r="Y74" s="26">
        <f t="shared" si="35"/>
        <v>0.48499999999999999</v>
      </c>
      <c r="Z74" s="26">
        <f t="shared" si="35"/>
        <v>0.49</v>
      </c>
      <c r="AA74" s="26">
        <f t="shared" si="35"/>
        <v>0.495</v>
      </c>
      <c r="AB74" s="26">
        <f t="shared" si="35"/>
        <v>0.5</v>
      </c>
      <c r="AC74" s="26">
        <f t="shared" si="35"/>
        <v>0.505</v>
      </c>
      <c r="AD74" s="26">
        <f t="shared" si="35"/>
        <v>0.51</v>
      </c>
      <c r="AE74" s="26">
        <f t="shared" si="35"/>
        <v>0.51500000000000001</v>
      </c>
      <c r="AF74" s="26">
        <f t="shared" si="35"/>
        <v>0.52</v>
      </c>
      <c r="AG74" s="26">
        <f t="shared" si="36"/>
        <v>0.52500000000000002</v>
      </c>
      <c r="AH74" s="26">
        <f t="shared" si="30"/>
        <v>0.53</v>
      </c>
      <c r="AI74" s="26">
        <f t="shared" si="30"/>
        <v>0.53500000000000003</v>
      </c>
      <c r="AJ74" s="26">
        <f t="shared" si="30"/>
        <v>0.54</v>
      </c>
      <c r="AK74" s="26">
        <f t="shared" si="30"/>
        <v>0.54500000000000004</v>
      </c>
      <c r="AL74" s="26">
        <f t="shared" si="30"/>
        <v>0.55000000000000004</v>
      </c>
      <c r="AM74" s="26">
        <f t="shared" si="30"/>
        <v>0.55500000000000005</v>
      </c>
      <c r="AN74" s="26">
        <f t="shared" si="30"/>
        <v>0.56000000000000005</v>
      </c>
      <c r="AO74" s="26">
        <f t="shared" si="30"/>
        <v>0.56499999999999995</v>
      </c>
      <c r="AP74" s="26">
        <f t="shared" si="30"/>
        <v>0.56999999999999995</v>
      </c>
      <c r="AQ74" s="26">
        <f t="shared" si="30"/>
        <v>0.57499999999999996</v>
      </c>
      <c r="AR74" s="26">
        <f t="shared" si="30"/>
        <v>0.57999999999999996</v>
      </c>
      <c r="AS74" s="26">
        <f t="shared" si="30"/>
        <v>0.58499999999999996</v>
      </c>
      <c r="AT74" s="26">
        <f t="shared" si="30"/>
        <v>0.59</v>
      </c>
      <c r="AU74" s="26">
        <f t="shared" si="30"/>
        <v>0.59499999999999997</v>
      </c>
      <c r="AV74" s="26">
        <f t="shared" si="30"/>
        <v>0.6</v>
      </c>
      <c r="AW74" s="26">
        <f t="shared" si="30"/>
        <v>0.60499999999999998</v>
      </c>
      <c r="AX74" s="26">
        <f t="shared" si="31"/>
        <v>0.61</v>
      </c>
      <c r="AY74" s="26">
        <f t="shared" si="31"/>
        <v>0.61499999999999999</v>
      </c>
      <c r="AZ74" s="26">
        <f t="shared" si="31"/>
        <v>0.62</v>
      </c>
      <c r="BA74" s="26">
        <f t="shared" si="31"/>
        <v>0.625</v>
      </c>
      <c r="BB74" s="26">
        <f t="shared" si="31"/>
        <v>0.63</v>
      </c>
      <c r="BC74" s="26">
        <f t="shared" si="31"/>
        <v>0.63500000000000001</v>
      </c>
      <c r="BD74" s="26">
        <f t="shared" si="31"/>
        <v>0.64</v>
      </c>
      <c r="BE74" s="26">
        <f t="shared" si="31"/>
        <v>0.64500000000000002</v>
      </c>
      <c r="BF74" s="26">
        <f t="shared" si="31"/>
        <v>0.65</v>
      </c>
      <c r="BG74" s="26">
        <f t="shared" si="31"/>
        <v>0.65500000000000003</v>
      </c>
      <c r="BH74" s="26">
        <f t="shared" si="31"/>
        <v>0.66</v>
      </c>
      <c r="BI74" s="26">
        <f t="shared" si="31"/>
        <v>0.66500000000000004</v>
      </c>
      <c r="BJ74" s="26">
        <f t="shared" si="31"/>
        <v>0.67</v>
      </c>
      <c r="BK74" s="26">
        <f t="shared" si="31"/>
        <v>0.67500000000000004</v>
      </c>
      <c r="BL74" s="26">
        <f t="shared" si="31"/>
        <v>0.68</v>
      </c>
      <c r="BM74" s="26">
        <f t="shared" si="31"/>
        <v>0.68500000000000005</v>
      </c>
      <c r="BN74" s="26">
        <f t="shared" si="32"/>
        <v>0.69</v>
      </c>
      <c r="BO74" s="26">
        <f t="shared" si="32"/>
        <v>0.69499999999999995</v>
      </c>
      <c r="BP74" s="26">
        <f t="shared" si="32"/>
        <v>0.7</v>
      </c>
      <c r="BQ74" s="26">
        <f t="shared" si="32"/>
        <v>0.70499999999999996</v>
      </c>
      <c r="BR74" s="26">
        <f t="shared" si="32"/>
        <v>0.71</v>
      </c>
      <c r="BS74" s="26">
        <f t="shared" si="32"/>
        <v>0.71499999999999997</v>
      </c>
      <c r="BT74" s="26">
        <f t="shared" si="32"/>
        <v>0.72</v>
      </c>
      <c r="BU74" s="26">
        <f t="shared" si="32"/>
        <v>0.72499999999999998</v>
      </c>
      <c r="BV74" s="26">
        <f t="shared" si="32"/>
        <v>0.73</v>
      </c>
      <c r="BW74" s="26">
        <f t="shared" si="32"/>
        <v>0.73499999999999999</v>
      </c>
      <c r="BX74" s="26">
        <f t="shared" si="32"/>
        <v>0.74</v>
      </c>
      <c r="BY74" s="26">
        <f t="shared" si="32"/>
        <v>0.745</v>
      </c>
      <c r="BZ74" s="26">
        <f t="shared" si="32"/>
        <v>0.75</v>
      </c>
      <c r="CA74" s="26">
        <f t="shared" si="32"/>
        <v>0.755</v>
      </c>
      <c r="CB74" s="26">
        <f t="shared" si="32"/>
        <v>0.76</v>
      </c>
      <c r="CC74" s="26">
        <f t="shared" si="32"/>
        <v>0.76500000000000001</v>
      </c>
      <c r="CD74" s="26">
        <f t="shared" si="33"/>
        <v>0.77</v>
      </c>
      <c r="CE74" s="26">
        <f t="shared" si="33"/>
        <v>0.77500000000000002</v>
      </c>
      <c r="CF74" s="26">
        <f t="shared" si="33"/>
        <v>0.78</v>
      </c>
      <c r="CG74" s="26">
        <f t="shared" si="33"/>
        <v>0.78500000000000003</v>
      </c>
      <c r="CH74" s="26">
        <f t="shared" si="33"/>
        <v>0.79</v>
      </c>
      <c r="CI74" s="26">
        <f t="shared" si="33"/>
        <v>0.79500000000000004</v>
      </c>
      <c r="CJ74" s="26">
        <f t="shared" si="33"/>
        <v>0.8</v>
      </c>
      <c r="CK74" s="26">
        <f t="shared" si="33"/>
        <v>0.80500000000000005</v>
      </c>
      <c r="CL74" s="26">
        <f t="shared" si="33"/>
        <v>0.81</v>
      </c>
      <c r="CM74" s="26">
        <f t="shared" si="33"/>
        <v>0.81499999999999995</v>
      </c>
      <c r="CN74" s="26">
        <f t="shared" si="33"/>
        <v>0.82</v>
      </c>
      <c r="CO74" s="26">
        <f t="shared" si="33"/>
        <v>0.82499999999999996</v>
      </c>
      <c r="CP74" s="26">
        <f t="shared" si="33"/>
        <v>0.83</v>
      </c>
      <c r="CQ74" s="26">
        <f t="shared" si="33"/>
        <v>0.83499999999999996</v>
      </c>
      <c r="CR74" s="26">
        <f t="shared" si="33"/>
        <v>0.84</v>
      </c>
      <c r="CS74" s="26">
        <f t="shared" si="33"/>
        <v>0.84499999999999997</v>
      </c>
      <c r="CT74" s="26">
        <f t="shared" si="34"/>
        <v>0.85</v>
      </c>
      <c r="CU74" s="26">
        <f t="shared" si="34"/>
        <v>0.85499999999999998</v>
      </c>
      <c r="CV74" s="26">
        <f t="shared" si="34"/>
        <v>0.86</v>
      </c>
      <c r="CW74" s="26">
        <f t="shared" si="34"/>
        <v>0.86499999999999999</v>
      </c>
    </row>
    <row r="75" spans="2:101" ht="20.100000000000001" customHeight="1">
      <c r="B75" s="26">
        <f t="shared" si="37"/>
        <v>0.375</v>
      </c>
      <c r="C75" s="26">
        <f t="shared" si="37"/>
        <v>0.38</v>
      </c>
      <c r="D75" s="26">
        <f t="shared" si="37"/>
        <v>0.38500000000000001</v>
      </c>
      <c r="E75" s="26">
        <f t="shared" si="37"/>
        <v>0.39</v>
      </c>
      <c r="F75" s="26">
        <f t="shared" si="37"/>
        <v>0.39500000000000002</v>
      </c>
      <c r="G75" s="26">
        <f t="shared" si="37"/>
        <v>0.4</v>
      </c>
      <c r="H75" s="26">
        <f t="shared" si="37"/>
        <v>0.40500000000000003</v>
      </c>
      <c r="I75" s="26">
        <f t="shared" si="37"/>
        <v>0.41</v>
      </c>
      <c r="J75" s="26">
        <f t="shared" si="37"/>
        <v>0.41499999999999998</v>
      </c>
      <c r="K75" s="26">
        <f t="shared" si="37"/>
        <v>0.42</v>
      </c>
      <c r="L75" s="26">
        <f t="shared" si="37"/>
        <v>0.42499999999999999</v>
      </c>
      <c r="M75" s="26">
        <f t="shared" si="37"/>
        <v>0.43</v>
      </c>
      <c r="N75" s="26">
        <f t="shared" si="37"/>
        <v>0.435</v>
      </c>
      <c r="O75" s="26">
        <f t="shared" si="37"/>
        <v>0.44</v>
      </c>
      <c r="P75" s="26">
        <f t="shared" si="37"/>
        <v>0.44500000000000001</v>
      </c>
      <c r="Q75" s="26">
        <f t="shared" si="35"/>
        <v>0.45</v>
      </c>
      <c r="R75" s="26">
        <f t="shared" si="35"/>
        <v>0.45500000000000002</v>
      </c>
      <c r="S75" s="26">
        <f t="shared" si="35"/>
        <v>0.46</v>
      </c>
      <c r="T75" s="26">
        <f t="shared" si="35"/>
        <v>0.46500000000000002</v>
      </c>
      <c r="U75" s="26">
        <f t="shared" si="35"/>
        <v>0.47</v>
      </c>
      <c r="V75" s="26">
        <f t="shared" si="35"/>
        <v>0.47499999999999998</v>
      </c>
      <c r="W75" s="26">
        <f t="shared" si="35"/>
        <v>0.48</v>
      </c>
      <c r="X75" s="26">
        <f t="shared" si="35"/>
        <v>0.48499999999999999</v>
      </c>
      <c r="Y75" s="26">
        <f t="shared" si="35"/>
        <v>0.49</v>
      </c>
      <c r="Z75" s="26">
        <f t="shared" si="35"/>
        <v>0.495</v>
      </c>
      <c r="AA75" s="26">
        <f t="shared" si="35"/>
        <v>0.5</v>
      </c>
      <c r="AB75" s="26">
        <f t="shared" si="35"/>
        <v>0.505</v>
      </c>
      <c r="AC75" s="26">
        <f t="shared" si="35"/>
        <v>0.51</v>
      </c>
      <c r="AD75" s="26">
        <f t="shared" si="35"/>
        <v>0.51500000000000001</v>
      </c>
      <c r="AE75" s="26">
        <f t="shared" si="35"/>
        <v>0.52</v>
      </c>
      <c r="AF75" s="26">
        <f t="shared" si="35"/>
        <v>0.52500000000000002</v>
      </c>
      <c r="AG75" s="26">
        <f t="shared" si="36"/>
        <v>0.53</v>
      </c>
      <c r="AH75" s="26">
        <f t="shared" si="30"/>
        <v>0.53500000000000003</v>
      </c>
      <c r="AI75" s="26">
        <f t="shared" si="30"/>
        <v>0.54</v>
      </c>
      <c r="AJ75" s="26">
        <f t="shared" si="30"/>
        <v>0.54500000000000004</v>
      </c>
      <c r="AK75" s="26">
        <f t="shared" si="30"/>
        <v>0.55000000000000004</v>
      </c>
      <c r="AL75" s="26">
        <f t="shared" si="30"/>
        <v>0.55500000000000005</v>
      </c>
      <c r="AM75" s="26">
        <f t="shared" si="30"/>
        <v>0.56000000000000005</v>
      </c>
      <c r="AN75" s="26">
        <f t="shared" si="30"/>
        <v>0.56499999999999995</v>
      </c>
      <c r="AO75" s="26">
        <f t="shared" si="30"/>
        <v>0.56999999999999995</v>
      </c>
      <c r="AP75" s="26">
        <f t="shared" si="30"/>
        <v>0.57499999999999996</v>
      </c>
      <c r="AQ75" s="26">
        <f t="shared" si="30"/>
        <v>0.57999999999999996</v>
      </c>
      <c r="AR75" s="26">
        <f t="shared" si="30"/>
        <v>0.58499999999999996</v>
      </c>
      <c r="AS75" s="26">
        <f t="shared" si="30"/>
        <v>0.59</v>
      </c>
      <c r="AT75" s="26">
        <f t="shared" si="30"/>
        <v>0.59499999999999997</v>
      </c>
      <c r="AU75" s="26">
        <f t="shared" si="30"/>
        <v>0.6</v>
      </c>
      <c r="AV75" s="26">
        <f t="shared" si="30"/>
        <v>0.60499999999999998</v>
      </c>
      <c r="AW75" s="26">
        <f t="shared" si="30"/>
        <v>0.61</v>
      </c>
      <c r="AX75" s="26">
        <f t="shared" si="31"/>
        <v>0.61499999999999999</v>
      </c>
      <c r="AY75" s="26">
        <f t="shared" si="31"/>
        <v>0.62</v>
      </c>
      <c r="AZ75" s="26">
        <f t="shared" si="31"/>
        <v>0.625</v>
      </c>
      <c r="BA75" s="26">
        <f t="shared" si="31"/>
        <v>0.63</v>
      </c>
      <c r="BB75" s="26">
        <f t="shared" si="31"/>
        <v>0.63500000000000001</v>
      </c>
      <c r="BC75" s="26">
        <f t="shared" si="31"/>
        <v>0.64</v>
      </c>
      <c r="BD75" s="26">
        <f t="shared" si="31"/>
        <v>0.64500000000000002</v>
      </c>
      <c r="BE75" s="26">
        <f t="shared" si="31"/>
        <v>0.65</v>
      </c>
      <c r="BF75" s="26">
        <f t="shared" si="31"/>
        <v>0.65500000000000003</v>
      </c>
      <c r="BG75" s="26">
        <f t="shared" si="31"/>
        <v>0.66</v>
      </c>
      <c r="BH75" s="26">
        <f t="shared" si="31"/>
        <v>0.66500000000000004</v>
      </c>
      <c r="BI75" s="26">
        <f t="shared" si="31"/>
        <v>0.67</v>
      </c>
      <c r="BJ75" s="26">
        <f t="shared" si="31"/>
        <v>0.67500000000000004</v>
      </c>
      <c r="BK75" s="26">
        <f t="shared" si="31"/>
        <v>0.68</v>
      </c>
      <c r="BL75" s="26">
        <f t="shared" si="31"/>
        <v>0.68500000000000005</v>
      </c>
      <c r="BM75" s="26">
        <f t="shared" si="31"/>
        <v>0.69</v>
      </c>
      <c r="BN75" s="26">
        <f t="shared" si="32"/>
        <v>0.69499999999999995</v>
      </c>
      <c r="BO75" s="26">
        <f t="shared" si="32"/>
        <v>0.7</v>
      </c>
      <c r="BP75" s="26">
        <f t="shared" si="32"/>
        <v>0.70499999999999996</v>
      </c>
      <c r="BQ75" s="26">
        <f t="shared" si="32"/>
        <v>0.71</v>
      </c>
      <c r="BR75" s="26">
        <f t="shared" si="32"/>
        <v>0.71499999999999997</v>
      </c>
      <c r="BS75" s="26">
        <f t="shared" si="32"/>
        <v>0.72</v>
      </c>
      <c r="BT75" s="26">
        <f t="shared" si="32"/>
        <v>0.72499999999999998</v>
      </c>
      <c r="BU75" s="26">
        <f t="shared" si="32"/>
        <v>0.73</v>
      </c>
      <c r="BV75" s="26">
        <f t="shared" si="32"/>
        <v>0.73499999999999999</v>
      </c>
      <c r="BW75" s="26">
        <f t="shared" si="32"/>
        <v>0.74</v>
      </c>
      <c r="BX75" s="26">
        <f t="shared" si="32"/>
        <v>0.745</v>
      </c>
      <c r="BY75" s="26">
        <f t="shared" si="32"/>
        <v>0.75</v>
      </c>
      <c r="BZ75" s="26">
        <f t="shared" si="32"/>
        <v>0.755</v>
      </c>
      <c r="CA75" s="26">
        <f t="shared" si="32"/>
        <v>0.76</v>
      </c>
      <c r="CB75" s="26">
        <f t="shared" si="32"/>
        <v>0.76500000000000001</v>
      </c>
      <c r="CC75" s="26">
        <f t="shared" si="32"/>
        <v>0.77</v>
      </c>
      <c r="CD75" s="26">
        <f t="shared" si="33"/>
        <v>0.77500000000000002</v>
      </c>
      <c r="CE75" s="26">
        <f t="shared" si="33"/>
        <v>0.78</v>
      </c>
      <c r="CF75" s="26">
        <f t="shared" si="33"/>
        <v>0.78500000000000003</v>
      </c>
      <c r="CG75" s="26">
        <f t="shared" si="33"/>
        <v>0.79</v>
      </c>
      <c r="CH75" s="26">
        <f t="shared" si="33"/>
        <v>0.79500000000000004</v>
      </c>
      <c r="CI75" s="26">
        <f t="shared" si="33"/>
        <v>0.8</v>
      </c>
      <c r="CJ75" s="26">
        <f t="shared" si="33"/>
        <v>0.80500000000000005</v>
      </c>
      <c r="CK75" s="26">
        <f t="shared" si="33"/>
        <v>0.81</v>
      </c>
      <c r="CL75" s="26">
        <f t="shared" si="33"/>
        <v>0.81499999999999995</v>
      </c>
      <c r="CM75" s="26">
        <f t="shared" si="33"/>
        <v>0.82</v>
      </c>
      <c r="CN75" s="26">
        <f t="shared" si="33"/>
        <v>0.82499999999999996</v>
      </c>
      <c r="CO75" s="26">
        <f t="shared" si="33"/>
        <v>0.83</v>
      </c>
      <c r="CP75" s="26">
        <f t="shared" si="33"/>
        <v>0.83499999999999996</v>
      </c>
      <c r="CQ75" s="26">
        <f t="shared" si="33"/>
        <v>0.84</v>
      </c>
      <c r="CR75" s="26">
        <f t="shared" si="33"/>
        <v>0.84499999999999997</v>
      </c>
      <c r="CS75" s="26">
        <f t="shared" si="33"/>
        <v>0.85</v>
      </c>
      <c r="CT75" s="26">
        <f t="shared" si="34"/>
        <v>0.85499999999999998</v>
      </c>
      <c r="CU75" s="26">
        <f t="shared" si="34"/>
        <v>0.86</v>
      </c>
      <c r="CV75" s="26">
        <f t="shared" si="34"/>
        <v>0.86499999999999999</v>
      </c>
      <c r="CW75" s="26">
        <f t="shared" si="34"/>
        <v>0.87</v>
      </c>
    </row>
    <row r="76" spans="2:101" ht="20.100000000000001" customHeight="1">
      <c r="B76" s="26">
        <f t="shared" si="37"/>
        <v>0.38</v>
      </c>
      <c r="C76" s="26">
        <f t="shared" si="37"/>
        <v>0.38500000000000001</v>
      </c>
      <c r="D76" s="26">
        <f t="shared" si="37"/>
        <v>0.39</v>
      </c>
      <c r="E76" s="26">
        <f t="shared" si="37"/>
        <v>0.39500000000000002</v>
      </c>
      <c r="F76" s="26">
        <f t="shared" si="37"/>
        <v>0.4</v>
      </c>
      <c r="G76" s="26">
        <f t="shared" si="37"/>
        <v>0.40500000000000003</v>
      </c>
      <c r="H76" s="26">
        <f t="shared" si="37"/>
        <v>0.41</v>
      </c>
      <c r="I76" s="26">
        <f t="shared" si="37"/>
        <v>0.41499999999999998</v>
      </c>
      <c r="J76" s="26">
        <f t="shared" si="37"/>
        <v>0.42</v>
      </c>
      <c r="K76" s="26">
        <f t="shared" si="37"/>
        <v>0.42499999999999999</v>
      </c>
      <c r="L76" s="26">
        <f t="shared" si="37"/>
        <v>0.43</v>
      </c>
      <c r="M76" s="26">
        <f t="shared" si="37"/>
        <v>0.435</v>
      </c>
      <c r="N76" s="26">
        <f t="shared" si="37"/>
        <v>0.44</v>
      </c>
      <c r="O76" s="26">
        <f t="shared" si="37"/>
        <v>0.44500000000000001</v>
      </c>
      <c r="P76" s="26">
        <f t="shared" si="37"/>
        <v>0.45</v>
      </c>
      <c r="Q76" s="26">
        <f t="shared" si="35"/>
        <v>0.45500000000000002</v>
      </c>
      <c r="R76" s="26">
        <f t="shared" si="35"/>
        <v>0.46</v>
      </c>
      <c r="S76" s="26">
        <f t="shared" si="35"/>
        <v>0.46500000000000002</v>
      </c>
      <c r="T76" s="26">
        <f t="shared" si="35"/>
        <v>0.47</v>
      </c>
      <c r="U76" s="26">
        <f t="shared" si="35"/>
        <v>0.47499999999999998</v>
      </c>
      <c r="V76" s="26">
        <f t="shared" si="35"/>
        <v>0.48</v>
      </c>
      <c r="W76" s="26">
        <f t="shared" si="35"/>
        <v>0.48499999999999999</v>
      </c>
      <c r="X76" s="26">
        <f t="shared" si="35"/>
        <v>0.49</v>
      </c>
      <c r="Y76" s="26">
        <f t="shared" si="35"/>
        <v>0.495</v>
      </c>
      <c r="Z76" s="26">
        <f t="shared" si="35"/>
        <v>0.5</v>
      </c>
      <c r="AA76" s="26">
        <f t="shared" si="35"/>
        <v>0.505</v>
      </c>
      <c r="AB76" s="26">
        <f t="shared" si="35"/>
        <v>0.51</v>
      </c>
      <c r="AC76" s="26">
        <f t="shared" si="35"/>
        <v>0.51500000000000001</v>
      </c>
      <c r="AD76" s="26">
        <f t="shared" si="35"/>
        <v>0.52</v>
      </c>
      <c r="AE76" s="26">
        <f t="shared" si="35"/>
        <v>0.52500000000000002</v>
      </c>
      <c r="AF76" s="26">
        <f t="shared" si="35"/>
        <v>0.53</v>
      </c>
      <c r="AG76" s="26">
        <f t="shared" si="36"/>
        <v>0.53500000000000003</v>
      </c>
      <c r="AH76" s="26">
        <f t="shared" si="30"/>
        <v>0.54</v>
      </c>
      <c r="AI76" s="26">
        <f t="shared" si="30"/>
        <v>0.54500000000000004</v>
      </c>
      <c r="AJ76" s="26">
        <f t="shared" si="30"/>
        <v>0.55000000000000004</v>
      </c>
      <c r="AK76" s="26">
        <f t="shared" si="30"/>
        <v>0.55500000000000005</v>
      </c>
      <c r="AL76" s="26">
        <f t="shared" si="30"/>
        <v>0.56000000000000005</v>
      </c>
      <c r="AM76" s="26">
        <f t="shared" si="30"/>
        <v>0.56499999999999995</v>
      </c>
      <c r="AN76" s="26">
        <f t="shared" si="30"/>
        <v>0.56999999999999995</v>
      </c>
      <c r="AO76" s="26">
        <f t="shared" si="30"/>
        <v>0.57499999999999996</v>
      </c>
      <c r="AP76" s="26">
        <f t="shared" si="30"/>
        <v>0.57999999999999996</v>
      </c>
      <c r="AQ76" s="26">
        <f t="shared" si="30"/>
        <v>0.58499999999999996</v>
      </c>
      <c r="AR76" s="26">
        <f t="shared" si="30"/>
        <v>0.59</v>
      </c>
      <c r="AS76" s="26">
        <f t="shared" si="30"/>
        <v>0.59499999999999997</v>
      </c>
      <c r="AT76" s="26">
        <f t="shared" si="30"/>
        <v>0.6</v>
      </c>
      <c r="AU76" s="26">
        <f t="shared" si="30"/>
        <v>0.60499999999999998</v>
      </c>
      <c r="AV76" s="26">
        <f t="shared" si="30"/>
        <v>0.61</v>
      </c>
      <c r="AW76" s="26">
        <f t="shared" si="30"/>
        <v>0.61499999999999999</v>
      </c>
      <c r="AX76" s="26">
        <f t="shared" si="31"/>
        <v>0.62</v>
      </c>
      <c r="AY76" s="26">
        <f t="shared" si="31"/>
        <v>0.625</v>
      </c>
      <c r="AZ76" s="26">
        <f t="shared" si="31"/>
        <v>0.63</v>
      </c>
      <c r="BA76" s="26">
        <f t="shared" si="31"/>
        <v>0.63500000000000001</v>
      </c>
      <c r="BB76" s="26">
        <f t="shared" si="31"/>
        <v>0.64</v>
      </c>
      <c r="BC76" s="26">
        <f t="shared" si="31"/>
        <v>0.64500000000000002</v>
      </c>
      <c r="BD76" s="26">
        <f t="shared" si="31"/>
        <v>0.65</v>
      </c>
      <c r="BE76" s="26">
        <f t="shared" si="31"/>
        <v>0.65500000000000003</v>
      </c>
      <c r="BF76" s="26">
        <f t="shared" si="31"/>
        <v>0.66</v>
      </c>
      <c r="BG76" s="26">
        <f t="shared" si="31"/>
        <v>0.66500000000000004</v>
      </c>
      <c r="BH76" s="26">
        <f t="shared" si="31"/>
        <v>0.67</v>
      </c>
      <c r="BI76" s="26">
        <f t="shared" si="31"/>
        <v>0.67500000000000004</v>
      </c>
      <c r="BJ76" s="26">
        <f t="shared" si="31"/>
        <v>0.68</v>
      </c>
      <c r="BK76" s="26">
        <f t="shared" si="31"/>
        <v>0.68500000000000005</v>
      </c>
      <c r="BL76" s="26">
        <f t="shared" si="31"/>
        <v>0.69</v>
      </c>
      <c r="BM76" s="26">
        <f t="shared" si="31"/>
        <v>0.69499999999999995</v>
      </c>
      <c r="BN76" s="26">
        <f t="shared" si="32"/>
        <v>0.7</v>
      </c>
      <c r="BO76" s="26">
        <f t="shared" si="32"/>
        <v>0.70499999999999996</v>
      </c>
      <c r="BP76" s="26">
        <f t="shared" si="32"/>
        <v>0.71</v>
      </c>
      <c r="BQ76" s="26">
        <f t="shared" si="32"/>
        <v>0.71499999999999997</v>
      </c>
      <c r="BR76" s="26">
        <f t="shared" si="32"/>
        <v>0.72</v>
      </c>
      <c r="BS76" s="26">
        <f t="shared" si="32"/>
        <v>0.72499999999999998</v>
      </c>
      <c r="BT76" s="26">
        <f t="shared" si="32"/>
        <v>0.73</v>
      </c>
      <c r="BU76" s="26">
        <f t="shared" si="32"/>
        <v>0.73499999999999999</v>
      </c>
      <c r="BV76" s="26">
        <f t="shared" si="32"/>
        <v>0.74</v>
      </c>
      <c r="BW76" s="26">
        <f t="shared" si="32"/>
        <v>0.745</v>
      </c>
      <c r="BX76" s="26">
        <f t="shared" si="32"/>
        <v>0.75</v>
      </c>
      <c r="BY76" s="26">
        <f t="shared" si="32"/>
        <v>0.755</v>
      </c>
      <c r="BZ76" s="26">
        <f t="shared" si="32"/>
        <v>0.76</v>
      </c>
      <c r="CA76" s="26">
        <f t="shared" si="32"/>
        <v>0.76500000000000001</v>
      </c>
      <c r="CB76" s="26">
        <f t="shared" si="32"/>
        <v>0.77</v>
      </c>
      <c r="CC76" s="26">
        <f t="shared" si="32"/>
        <v>0.77500000000000002</v>
      </c>
      <c r="CD76" s="26">
        <f t="shared" si="33"/>
        <v>0.78</v>
      </c>
      <c r="CE76" s="26">
        <f t="shared" si="33"/>
        <v>0.78500000000000003</v>
      </c>
      <c r="CF76" s="26">
        <f t="shared" si="33"/>
        <v>0.79</v>
      </c>
      <c r="CG76" s="26">
        <f t="shared" si="33"/>
        <v>0.79500000000000004</v>
      </c>
      <c r="CH76" s="26">
        <f t="shared" si="33"/>
        <v>0.8</v>
      </c>
      <c r="CI76" s="26">
        <f t="shared" si="33"/>
        <v>0.80500000000000005</v>
      </c>
      <c r="CJ76" s="26">
        <f t="shared" si="33"/>
        <v>0.81</v>
      </c>
      <c r="CK76" s="26">
        <f t="shared" si="33"/>
        <v>0.81499999999999995</v>
      </c>
      <c r="CL76" s="26">
        <f t="shared" si="33"/>
        <v>0.82</v>
      </c>
      <c r="CM76" s="26">
        <f t="shared" si="33"/>
        <v>0.82499999999999996</v>
      </c>
      <c r="CN76" s="26">
        <f t="shared" si="33"/>
        <v>0.83</v>
      </c>
      <c r="CO76" s="26">
        <f t="shared" si="33"/>
        <v>0.83499999999999996</v>
      </c>
      <c r="CP76" s="26">
        <f t="shared" si="33"/>
        <v>0.84</v>
      </c>
      <c r="CQ76" s="26">
        <f t="shared" si="33"/>
        <v>0.84499999999999997</v>
      </c>
      <c r="CR76" s="26">
        <f t="shared" si="33"/>
        <v>0.85</v>
      </c>
      <c r="CS76" s="26">
        <f t="shared" si="33"/>
        <v>0.85499999999999998</v>
      </c>
      <c r="CT76" s="26">
        <f t="shared" si="34"/>
        <v>0.86</v>
      </c>
      <c r="CU76" s="26">
        <f t="shared" si="34"/>
        <v>0.86499999999999999</v>
      </c>
      <c r="CV76" s="26">
        <f t="shared" si="34"/>
        <v>0.87</v>
      </c>
      <c r="CW76" s="26">
        <f t="shared" si="34"/>
        <v>0.875</v>
      </c>
    </row>
    <row r="77" spans="2:101" ht="20.100000000000001" customHeight="1">
      <c r="B77" s="26">
        <f t="shared" si="37"/>
        <v>0.38500000000000001</v>
      </c>
      <c r="C77" s="26">
        <f t="shared" si="37"/>
        <v>0.39</v>
      </c>
      <c r="D77" s="26">
        <f t="shared" si="37"/>
        <v>0.39500000000000002</v>
      </c>
      <c r="E77" s="26">
        <f t="shared" si="37"/>
        <v>0.4</v>
      </c>
      <c r="F77" s="26">
        <f t="shared" si="37"/>
        <v>0.40500000000000003</v>
      </c>
      <c r="G77" s="26">
        <f t="shared" si="37"/>
        <v>0.41</v>
      </c>
      <c r="H77" s="26">
        <f t="shared" si="37"/>
        <v>0.41499999999999998</v>
      </c>
      <c r="I77" s="26">
        <f t="shared" si="37"/>
        <v>0.42</v>
      </c>
      <c r="J77" s="26">
        <f t="shared" si="37"/>
        <v>0.42499999999999999</v>
      </c>
      <c r="K77" s="26">
        <f t="shared" si="37"/>
        <v>0.43</v>
      </c>
      <c r="L77" s="26">
        <f t="shared" si="37"/>
        <v>0.435</v>
      </c>
      <c r="M77" s="26">
        <f t="shared" si="37"/>
        <v>0.44</v>
      </c>
      <c r="N77" s="26">
        <f t="shared" si="37"/>
        <v>0.44500000000000001</v>
      </c>
      <c r="O77" s="26">
        <f t="shared" si="37"/>
        <v>0.45</v>
      </c>
      <c r="P77" s="26">
        <f t="shared" si="37"/>
        <v>0.45500000000000002</v>
      </c>
      <c r="Q77" s="26">
        <f t="shared" si="35"/>
        <v>0.46</v>
      </c>
      <c r="R77" s="26">
        <f t="shared" si="35"/>
        <v>0.46500000000000002</v>
      </c>
      <c r="S77" s="26">
        <f t="shared" si="35"/>
        <v>0.47</v>
      </c>
      <c r="T77" s="26">
        <f t="shared" si="35"/>
        <v>0.47499999999999998</v>
      </c>
      <c r="U77" s="26">
        <f t="shared" si="35"/>
        <v>0.48</v>
      </c>
      <c r="V77" s="26">
        <f t="shared" si="35"/>
        <v>0.48499999999999999</v>
      </c>
      <c r="W77" s="26">
        <f t="shared" si="35"/>
        <v>0.49</v>
      </c>
      <c r="X77" s="26">
        <f t="shared" si="35"/>
        <v>0.495</v>
      </c>
      <c r="Y77" s="26">
        <f t="shared" si="35"/>
        <v>0.5</v>
      </c>
      <c r="Z77" s="26">
        <f t="shared" si="35"/>
        <v>0.505</v>
      </c>
      <c r="AA77" s="26">
        <f t="shared" si="35"/>
        <v>0.51</v>
      </c>
      <c r="AB77" s="26">
        <f t="shared" si="35"/>
        <v>0.51500000000000001</v>
      </c>
      <c r="AC77" s="26">
        <f t="shared" si="35"/>
        <v>0.52</v>
      </c>
      <c r="AD77" s="26">
        <f t="shared" si="35"/>
        <v>0.52500000000000002</v>
      </c>
      <c r="AE77" s="26">
        <f t="shared" si="35"/>
        <v>0.53</v>
      </c>
      <c r="AF77" s="26">
        <f t="shared" si="35"/>
        <v>0.53500000000000003</v>
      </c>
      <c r="AG77" s="26">
        <f t="shared" si="36"/>
        <v>0.54</v>
      </c>
      <c r="AH77" s="26">
        <f t="shared" si="30"/>
        <v>0.54500000000000004</v>
      </c>
      <c r="AI77" s="26">
        <f t="shared" si="30"/>
        <v>0.55000000000000004</v>
      </c>
      <c r="AJ77" s="26">
        <f t="shared" si="30"/>
        <v>0.55500000000000005</v>
      </c>
      <c r="AK77" s="26">
        <f t="shared" si="30"/>
        <v>0.56000000000000005</v>
      </c>
      <c r="AL77" s="26">
        <f t="shared" si="30"/>
        <v>0.56499999999999995</v>
      </c>
      <c r="AM77" s="26">
        <f t="shared" si="30"/>
        <v>0.56999999999999995</v>
      </c>
      <c r="AN77" s="26">
        <f t="shared" si="30"/>
        <v>0.57499999999999996</v>
      </c>
      <c r="AO77" s="26">
        <f t="shared" si="30"/>
        <v>0.57999999999999996</v>
      </c>
      <c r="AP77" s="26">
        <f t="shared" si="30"/>
        <v>0.58499999999999996</v>
      </c>
      <c r="AQ77" s="26">
        <f t="shared" si="30"/>
        <v>0.59</v>
      </c>
      <c r="AR77" s="26">
        <f t="shared" si="30"/>
        <v>0.59499999999999997</v>
      </c>
      <c r="AS77" s="26">
        <f t="shared" si="30"/>
        <v>0.6</v>
      </c>
      <c r="AT77" s="26">
        <f t="shared" si="30"/>
        <v>0.60499999999999998</v>
      </c>
      <c r="AU77" s="26">
        <f t="shared" si="30"/>
        <v>0.61</v>
      </c>
      <c r="AV77" s="26">
        <f t="shared" si="30"/>
        <v>0.61499999999999999</v>
      </c>
      <c r="AW77" s="26">
        <f t="shared" si="30"/>
        <v>0.62</v>
      </c>
      <c r="AX77" s="26">
        <f t="shared" si="31"/>
        <v>0.625</v>
      </c>
      <c r="AY77" s="26">
        <f t="shared" si="31"/>
        <v>0.63</v>
      </c>
      <c r="AZ77" s="26">
        <f t="shared" si="31"/>
        <v>0.63500000000000001</v>
      </c>
      <c r="BA77" s="26">
        <f t="shared" si="31"/>
        <v>0.64</v>
      </c>
      <c r="BB77" s="26">
        <f t="shared" si="31"/>
        <v>0.64500000000000002</v>
      </c>
      <c r="BC77" s="26">
        <f t="shared" si="31"/>
        <v>0.65</v>
      </c>
      <c r="BD77" s="26">
        <f t="shared" si="31"/>
        <v>0.65500000000000003</v>
      </c>
      <c r="BE77" s="26">
        <f t="shared" si="31"/>
        <v>0.66</v>
      </c>
      <c r="BF77" s="26">
        <f t="shared" si="31"/>
        <v>0.66500000000000004</v>
      </c>
      <c r="BG77" s="26">
        <f t="shared" si="31"/>
        <v>0.67</v>
      </c>
      <c r="BH77" s="26">
        <f t="shared" si="31"/>
        <v>0.67500000000000004</v>
      </c>
      <c r="BI77" s="26">
        <f t="shared" si="31"/>
        <v>0.68</v>
      </c>
      <c r="BJ77" s="26">
        <f t="shared" si="31"/>
        <v>0.68500000000000005</v>
      </c>
      <c r="BK77" s="26">
        <f t="shared" si="31"/>
        <v>0.69</v>
      </c>
      <c r="BL77" s="26">
        <f t="shared" si="31"/>
        <v>0.69499999999999995</v>
      </c>
      <c r="BM77" s="26">
        <f t="shared" si="31"/>
        <v>0.7</v>
      </c>
      <c r="BN77" s="26">
        <f t="shared" si="32"/>
        <v>0.70499999999999996</v>
      </c>
      <c r="BO77" s="26">
        <f t="shared" si="32"/>
        <v>0.71</v>
      </c>
      <c r="BP77" s="26">
        <f t="shared" si="32"/>
        <v>0.71499999999999997</v>
      </c>
      <c r="BQ77" s="26">
        <f t="shared" si="32"/>
        <v>0.72</v>
      </c>
      <c r="BR77" s="26">
        <f t="shared" si="32"/>
        <v>0.72499999999999998</v>
      </c>
      <c r="BS77" s="26">
        <f t="shared" si="32"/>
        <v>0.73</v>
      </c>
      <c r="BT77" s="26">
        <f t="shared" si="32"/>
        <v>0.73499999999999999</v>
      </c>
      <c r="BU77" s="26">
        <f t="shared" si="32"/>
        <v>0.74</v>
      </c>
      <c r="BV77" s="26">
        <f t="shared" si="32"/>
        <v>0.745</v>
      </c>
      <c r="BW77" s="26">
        <f t="shared" si="32"/>
        <v>0.75</v>
      </c>
      <c r="BX77" s="26">
        <f t="shared" si="32"/>
        <v>0.755</v>
      </c>
      <c r="BY77" s="26">
        <f t="shared" si="32"/>
        <v>0.76</v>
      </c>
      <c r="BZ77" s="26">
        <f t="shared" si="32"/>
        <v>0.76500000000000001</v>
      </c>
      <c r="CA77" s="26">
        <f t="shared" si="32"/>
        <v>0.77</v>
      </c>
      <c r="CB77" s="26">
        <f t="shared" si="32"/>
        <v>0.77500000000000002</v>
      </c>
      <c r="CC77" s="26">
        <f t="shared" si="32"/>
        <v>0.78</v>
      </c>
      <c r="CD77" s="26">
        <f t="shared" si="33"/>
        <v>0.78500000000000003</v>
      </c>
      <c r="CE77" s="26">
        <f t="shared" si="33"/>
        <v>0.79</v>
      </c>
      <c r="CF77" s="26">
        <f t="shared" si="33"/>
        <v>0.79500000000000004</v>
      </c>
      <c r="CG77" s="26">
        <f t="shared" si="33"/>
        <v>0.8</v>
      </c>
      <c r="CH77" s="26">
        <f t="shared" si="33"/>
        <v>0.80500000000000005</v>
      </c>
      <c r="CI77" s="26">
        <f t="shared" si="33"/>
        <v>0.81</v>
      </c>
      <c r="CJ77" s="26">
        <f t="shared" si="33"/>
        <v>0.81499999999999995</v>
      </c>
      <c r="CK77" s="26">
        <f t="shared" si="33"/>
        <v>0.82</v>
      </c>
      <c r="CL77" s="26">
        <f t="shared" si="33"/>
        <v>0.82499999999999996</v>
      </c>
      <c r="CM77" s="26">
        <f t="shared" si="33"/>
        <v>0.83</v>
      </c>
      <c r="CN77" s="26">
        <f t="shared" si="33"/>
        <v>0.83499999999999996</v>
      </c>
      <c r="CO77" s="26">
        <f t="shared" si="33"/>
        <v>0.84</v>
      </c>
      <c r="CP77" s="26">
        <f t="shared" si="33"/>
        <v>0.84499999999999997</v>
      </c>
      <c r="CQ77" s="26">
        <f t="shared" si="33"/>
        <v>0.85</v>
      </c>
      <c r="CR77" s="26">
        <f t="shared" si="33"/>
        <v>0.85499999999999998</v>
      </c>
      <c r="CS77" s="26">
        <f t="shared" si="33"/>
        <v>0.86</v>
      </c>
      <c r="CT77" s="26">
        <f t="shared" si="34"/>
        <v>0.86499999999999999</v>
      </c>
      <c r="CU77" s="26">
        <f t="shared" si="34"/>
        <v>0.87</v>
      </c>
      <c r="CV77" s="26">
        <f t="shared" si="34"/>
        <v>0.875</v>
      </c>
      <c r="CW77" s="26">
        <f t="shared" si="34"/>
        <v>0.88</v>
      </c>
    </row>
    <row r="78" spans="2:101" ht="20.100000000000001" customHeight="1">
      <c r="B78" s="26">
        <f t="shared" si="37"/>
        <v>0.39</v>
      </c>
      <c r="C78" s="26">
        <f t="shared" si="37"/>
        <v>0.39500000000000002</v>
      </c>
      <c r="D78" s="26">
        <f t="shared" si="37"/>
        <v>0.4</v>
      </c>
      <c r="E78" s="26">
        <f t="shared" si="37"/>
        <v>0.40500000000000003</v>
      </c>
      <c r="F78" s="26">
        <f t="shared" si="37"/>
        <v>0.41</v>
      </c>
      <c r="G78" s="26">
        <f t="shared" si="37"/>
        <v>0.41499999999999998</v>
      </c>
      <c r="H78" s="26">
        <f t="shared" si="37"/>
        <v>0.42</v>
      </c>
      <c r="I78" s="26">
        <f t="shared" si="37"/>
        <v>0.42499999999999999</v>
      </c>
      <c r="J78" s="26">
        <f t="shared" si="37"/>
        <v>0.43</v>
      </c>
      <c r="K78" s="26">
        <f t="shared" si="37"/>
        <v>0.435</v>
      </c>
      <c r="L78" s="26">
        <f t="shared" si="37"/>
        <v>0.44</v>
      </c>
      <c r="M78" s="26">
        <f t="shared" si="37"/>
        <v>0.44500000000000001</v>
      </c>
      <c r="N78" s="26">
        <f t="shared" si="37"/>
        <v>0.45</v>
      </c>
      <c r="O78" s="26">
        <f t="shared" si="37"/>
        <v>0.45500000000000002</v>
      </c>
      <c r="P78" s="26">
        <f t="shared" si="37"/>
        <v>0.46</v>
      </c>
      <c r="Q78" s="26">
        <f t="shared" si="35"/>
        <v>0.46500000000000002</v>
      </c>
      <c r="R78" s="26">
        <f t="shared" si="35"/>
        <v>0.47</v>
      </c>
      <c r="S78" s="26">
        <f t="shared" si="35"/>
        <v>0.47499999999999998</v>
      </c>
      <c r="T78" s="26">
        <f t="shared" si="35"/>
        <v>0.48</v>
      </c>
      <c r="U78" s="26">
        <f t="shared" si="35"/>
        <v>0.48499999999999999</v>
      </c>
      <c r="V78" s="26">
        <f t="shared" si="35"/>
        <v>0.49</v>
      </c>
      <c r="W78" s="26">
        <f t="shared" si="35"/>
        <v>0.495</v>
      </c>
      <c r="X78" s="26">
        <f t="shared" si="35"/>
        <v>0.5</v>
      </c>
      <c r="Y78" s="26">
        <f t="shared" si="35"/>
        <v>0.505</v>
      </c>
      <c r="Z78" s="26">
        <f t="shared" si="35"/>
        <v>0.51</v>
      </c>
      <c r="AA78" s="26">
        <f t="shared" si="35"/>
        <v>0.51500000000000001</v>
      </c>
      <c r="AB78" s="26">
        <f t="shared" si="35"/>
        <v>0.52</v>
      </c>
      <c r="AC78" s="26">
        <f t="shared" si="35"/>
        <v>0.52500000000000002</v>
      </c>
      <c r="AD78" s="26">
        <f t="shared" si="35"/>
        <v>0.53</v>
      </c>
      <c r="AE78" s="26">
        <f t="shared" si="35"/>
        <v>0.53500000000000003</v>
      </c>
      <c r="AF78" s="26">
        <f t="shared" si="35"/>
        <v>0.54</v>
      </c>
      <c r="AG78" s="26">
        <f t="shared" si="36"/>
        <v>0.54500000000000004</v>
      </c>
      <c r="AH78" s="26">
        <f t="shared" si="30"/>
        <v>0.55000000000000004</v>
      </c>
      <c r="AI78" s="26">
        <f t="shared" si="30"/>
        <v>0.55500000000000005</v>
      </c>
      <c r="AJ78" s="26">
        <f t="shared" si="30"/>
        <v>0.56000000000000005</v>
      </c>
      <c r="AK78" s="26">
        <f t="shared" si="30"/>
        <v>0.56499999999999995</v>
      </c>
      <c r="AL78" s="26">
        <f t="shared" si="30"/>
        <v>0.56999999999999995</v>
      </c>
      <c r="AM78" s="26">
        <f t="shared" si="30"/>
        <v>0.57499999999999996</v>
      </c>
      <c r="AN78" s="26">
        <f t="shared" si="30"/>
        <v>0.57999999999999996</v>
      </c>
      <c r="AO78" s="26">
        <f t="shared" si="30"/>
        <v>0.58499999999999996</v>
      </c>
      <c r="AP78" s="26">
        <f t="shared" si="30"/>
        <v>0.59</v>
      </c>
      <c r="AQ78" s="26">
        <f t="shared" si="30"/>
        <v>0.59499999999999997</v>
      </c>
      <c r="AR78" s="26">
        <f t="shared" si="30"/>
        <v>0.6</v>
      </c>
      <c r="AS78" s="26">
        <f t="shared" si="30"/>
        <v>0.60499999999999998</v>
      </c>
      <c r="AT78" s="26">
        <f t="shared" si="30"/>
        <v>0.61</v>
      </c>
      <c r="AU78" s="26">
        <f t="shared" si="30"/>
        <v>0.61499999999999999</v>
      </c>
      <c r="AV78" s="26">
        <f t="shared" si="30"/>
        <v>0.62</v>
      </c>
      <c r="AW78" s="26">
        <f t="shared" si="30"/>
        <v>0.625</v>
      </c>
      <c r="AX78" s="26">
        <f t="shared" si="31"/>
        <v>0.63</v>
      </c>
      <c r="AY78" s="26">
        <f t="shared" si="31"/>
        <v>0.63500000000000001</v>
      </c>
      <c r="AZ78" s="26">
        <f t="shared" si="31"/>
        <v>0.64</v>
      </c>
      <c r="BA78" s="26">
        <f t="shared" si="31"/>
        <v>0.64500000000000002</v>
      </c>
      <c r="BB78" s="26">
        <f t="shared" si="31"/>
        <v>0.65</v>
      </c>
      <c r="BC78" s="26">
        <f t="shared" si="31"/>
        <v>0.65500000000000003</v>
      </c>
      <c r="BD78" s="26">
        <f t="shared" si="31"/>
        <v>0.66</v>
      </c>
      <c r="BE78" s="26">
        <f t="shared" si="31"/>
        <v>0.66500000000000004</v>
      </c>
      <c r="BF78" s="26">
        <f t="shared" si="31"/>
        <v>0.67</v>
      </c>
      <c r="BG78" s="26">
        <f t="shared" si="31"/>
        <v>0.67500000000000004</v>
      </c>
      <c r="BH78" s="26">
        <f t="shared" si="31"/>
        <v>0.68</v>
      </c>
      <c r="BI78" s="26">
        <f t="shared" si="31"/>
        <v>0.68500000000000005</v>
      </c>
      <c r="BJ78" s="26">
        <f t="shared" si="31"/>
        <v>0.69</v>
      </c>
      <c r="BK78" s="26">
        <f t="shared" si="31"/>
        <v>0.69499999999999995</v>
      </c>
      <c r="BL78" s="26">
        <f t="shared" si="31"/>
        <v>0.7</v>
      </c>
      <c r="BM78" s="26">
        <f t="shared" si="31"/>
        <v>0.70499999999999996</v>
      </c>
      <c r="BN78" s="26">
        <f t="shared" si="32"/>
        <v>0.71</v>
      </c>
      <c r="BO78" s="26">
        <f t="shared" si="32"/>
        <v>0.71499999999999997</v>
      </c>
      <c r="BP78" s="26">
        <f t="shared" si="32"/>
        <v>0.72</v>
      </c>
      <c r="BQ78" s="26">
        <f t="shared" si="32"/>
        <v>0.72499999999999998</v>
      </c>
      <c r="BR78" s="26">
        <f t="shared" si="32"/>
        <v>0.73</v>
      </c>
      <c r="BS78" s="26">
        <f t="shared" si="32"/>
        <v>0.73499999999999999</v>
      </c>
      <c r="BT78" s="26">
        <f t="shared" si="32"/>
        <v>0.74</v>
      </c>
      <c r="BU78" s="26">
        <f t="shared" si="32"/>
        <v>0.745</v>
      </c>
      <c r="BV78" s="26">
        <f t="shared" si="32"/>
        <v>0.75</v>
      </c>
      <c r="BW78" s="26">
        <f t="shared" si="32"/>
        <v>0.755</v>
      </c>
      <c r="BX78" s="26">
        <f t="shared" si="32"/>
        <v>0.76</v>
      </c>
      <c r="BY78" s="26">
        <f t="shared" si="32"/>
        <v>0.76500000000000001</v>
      </c>
      <c r="BZ78" s="26">
        <f t="shared" si="32"/>
        <v>0.77</v>
      </c>
      <c r="CA78" s="26">
        <f t="shared" si="32"/>
        <v>0.77500000000000002</v>
      </c>
      <c r="CB78" s="26">
        <f t="shared" si="32"/>
        <v>0.78</v>
      </c>
      <c r="CC78" s="26">
        <f t="shared" si="32"/>
        <v>0.78500000000000003</v>
      </c>
      <c r="CD78" s="26">
        <f t="shared" si="33"/>
        <v>0.79</v>
      </c>
      <c r="CE78" s="26">
        <f t="shared" si="33"/>
        <v>0.79500000000000004</v>
      </c>
      <c r="CF78" s="26">
        <f t="shared" si="33"/>
        <v>0.8</v>
      </c>
      <c r="CG78" s="26">
        <f t="shared" si="33"/>
        <v>0.80500000000000005</v>
      </c>
      <c r="CH78" s="26">
        <f t="shared" si="33"/>
        <v>0.81</v>
      </c>
      <c r="CI78" s="26">
        <f t="shared" si="33"/>
        <v>0.81499999999999995</v>
      </c>
      <c r="CJ78" s="26">
        <f t="shared" si="33"/>
        <v>0.82</v>
      </c>
      <c r="CK78" s="26">
        <f t="shared" si="33"/>
        <v>0.82499999999999996</v>
      </c>
      <c r="CL78" s="26">
        <f t="shared" si="33"/>
        <v>0.83</v>
      </c>
      <c r="CM78" s="26">
        <f t="shared" si="33"/>
        <v>0.83499999999999996</v>
      </c>
      <c r="CN78" s="26">
        <f t="shared" si="33"/>
        <v>0.84</v>
      </c>
      <c r="CO78" s="26">
        <f t="shared" si="33"/>
        <v>0.84499999999999997</v>
      </c>
      <c r="CP78" s="26">
        <f t="shared" si="33"/>
        <v>0.85</v>
      </c>
      <c r="CQ78" s="26">
        <f t="shared" si="33"/>
        <v>0.85499999999999998</v>
      </c>
      <c r="CR78" s="26">
        <f t="shared" si="33"/>
        <v>0.86</v>
      </c>
      <c r="CS78" s="26">
        <f t="shared" si="33"/>
        <v>0.86499999999999999</v>
      </c>
      <c r="CT78" s="26">
        <f t="shared" si="34"/>
        <v>0.87</v>
      </c>
      <c r="CU78" s="26">
        <f t="shared" si="34"/>
        <v>0.875</v>
      </c>
      <c r="CV78" s="26">
        <f t="shared" si="34"/>
        <v>0.88</v>
      </c>
      <c r="CW78" s="26">
        <f t="shared" si="34"/>
        <v>0.88500000000000001</v>
      </c>
    </row>
    <row r="79" spans="2:101" ht="20.100000000000001" customHeight="1">
      <c r="B79" s="26">
        <f t="shared" si="37"/>
        <v>0.39500000000000002</v>
      </c>
      <c r="C79" s="26">
        <f t="shared" si="37"/>
        <v>0.4</v>
      </c>
      <c r="D79" s="26">
        <f t="shared" si="37"/>
        <v>0.40500000000000003</v>
      </c>
      <c r="E79" s="26">
        <f t="shared" si="37"/>
        <v>0.41</v>
      </c>
      <c r="F79" s="26">
        <f t="shared" si="37"/>
        <v>0.41499999999999998</v>
      </c>
      <c r="G79" s="26">
        <f t="shared" si="37"/>
        <v>0.42</v>
      </c>
      <c r="H79" s="26">
        <f t="shared" si="37"/>
        <v>0.42499999999999999</v>
      </c>
      <c r="I79" s="26">
        <f t="shared" si="37"/>
        <v>0.43</v>
      </c>
      <c r="J79" s="26">
        <f t="shared" si="37"/>
        <v>0.435</v>
      </c>
      <c r="K79" s="26">
        <f t="shared" si="37"/>
        <v>0.44</v>
      </c>
      <c r="L79" s="26">
        <f t="shared" si="37"/>
        <v>0.44500000000000001</v>
      </c>
      <c r="M79" s="26">
        <f t="shared" si="37"/>
        <v>0.45</v>
      </c>
      <c r="N79" s="26">
        <f t="shared" si="37"/>
        <v>0.45500000000000002</v>
      </c>
      <c r="O79" s="26">
        <f t="shared" si="37"/>
        <v>0.46</v>
      </c>
      <c r="P79" s="26">
        <f t="shared" si="37"/>
        <v>0.46500000000000002</v>
      </c>
      <c r="Q79" s="26">
        <f t="shared" si="35"/>
        <v>0.47</v>
      </c>
      <c r="R79" s="26">
        <f t="shared" si="35"/>
        <v>0.47499999999999998</v>
      </c>
      <c r="S79" s="26">
        <f t="shared" si="35"/>
        <v>0.48</v>
      </c>
      <c r="T79" s="26">
        <f t="shared" si="35"/>
        <v>0.48499999999999999</v>
      </c>
      <c r="U79" s="26">
        <f t="shared" si="35"/>
        <v>0.49</v>
      </c>
      <c r="V79" s="26">
        <f t="shared" si="35"/>
        <v>0.495</v>
      </c>
      <c r="W79" s="26">
        <f t="shared" si="35"/>
        <v>0.5</v>
      </c>
      <c r="X79" s="26">
        <f t="shared" si="35"/>
        <v>0.505</v>
      </c>
      <c r="Y79" s="26">
        <f t="shared" si="35"/>
        <v>0.51</v>
      </c>
      <c r="Z79" s="26">
        <f t="shared" si="35"/>
        <v>0.51500000000000001</v>
      </c>
      <c r="AA79" s="26">
        <f t="shared" si="35"/>
        <v>0.52</v>
      </c>
      <c r="AB79" s="26">
        <f t="shared" si="35"/>
        <v>0.52500000000000002</v>
      </c>
      <c r="AC79" s="26">
        <f t="shared" si="35"/>
        <v>0.53</v>
      </c>
      <c r="AD79" s="26">
        <f t="shared" si="35"/>
        <v>0.53500000000000003</v>
      </c>
      <c r="AE79" s="26">
        <f t="shared" si="35"/>
        <v>0.54</v>
      </c>
      <c r="AF79" s="26">
        <f t="shared" si="35"/>
        <v>0.54500000000000004</v>
      </c>
      <c r="AG79" s="26">
        <f t="shared" si="36"/>
        <v>0.55000000000000004</v>
      </c>
      <c r="AH79" s="26">
        <f t="shared" si="30"/>
        <v>0.55500000000000005</v>
      </c>
      <c r="AI79" s="26">
        <f t="shared" si="30"/>
        <v>0.56000000000000005</v>
      </c>
      <c r="AJ79" s="26">
        <f t="shared" si="30"/>
        <v>0.56499999999999995</v>
      </c>
      <c r="AK79" s="26">
        <f t="shared" si="30"/>
        <v>0.56999999999999995</v>
      </c>
      <c r="AL79" s="26">
        <f t="shared" si="30"/>
        <v>0.57499999999999996</v>
      </c>
      <c r="AM79" s="26">
        <f t="shared" si="30"/>
        <v>0.57999999999999996</v>
      </c>
      <c r="AN79" s="26">
        <f t="shared" si="30"/>
        <v>0.58499999999999996</v>
      </c>
      <c r="AO79" s="26">
        <f t="shared" si="30"/>
        <v>0.59</v>
      </c>
      <c r="AP79" s="26">
        <f t="shared" si="30"/>
        <v>0.59499999999999997</v>
      </c>
      <c r="AQ79" s="26">
        <f t="shared" si="30"/>
        <v>0.6</v>
      </c>
      <c r="AR79" s="26">
        <f t="shared" si="30"/>
        <v>0.60499999999999998</v>
      </c>
      <c r="AS79" s="26">
        <f t="shared" si="30"/>
        <v>0.61</v>
      </c>
      <c r="AT79" s="26">
        <f t="shared" si="30"/>
        <v>0.61499999999999999</v>
      </c>
      <c r="AU79" s="26">
        <f t="shared" si="30"/>
        <v>0.62</v>
      </c>
      <c r="AV79" s="26">
        <f t="shared" si="30"/>
        <v>0.625</v>
      </c>
      <c r="AW79" s="26">
        <f t="shared" ref="AW79:BL94" si="38">(ROW(AV78)+COLUMN(AV78))/200</f>
        <v>0.63</v>
      </c>
      <c r="AX79" s="26">
        <f t="shared" si="31"/>
        <v>0.63500000000000001</v>
      </c>
      <c r="AY79" s="26">
        <f t="shared" si="31"/>
        <v>0.64</v>
      </c>
      <c r="AZ79" s="26">
        <f t="shared" si="31"/>
        <v>0.64500000000000002</v>
      </c>
      <c r="BA79" s="26">
        <f t="shared" si="31"/>
        <v>0.65</v>
      </c>
      <c r="BB79" s="26">
        <f t="shared" si="31"/>
        <v>0.65500000000000003</v>
      </c>
      <c r="BC79" s="26">
        <f t="shared" si="31"/>
        <v>0.66</v>
      </c>
      <c r="BD79" s="26">
        <f t="shared" si="31"/>
        <v>0.66500000000000004</v>
      </c>
      <c r="BE79" s="26">
        <f t="shared" si="31"/>
        <v>0.67</v>
      </c>
      <c r="BF79" s="26">
        <f t="shared" si="31"/>
        <v>0.67500000000000004</v>
      </c>
      <c r="BG79" s="26">
        <f t="shared" si="31"/>
        <v>0.68</v>
      </c>
      <c r="BH79" s="26">
        <f t="shared" si="31"/>
        <v>0.68500000000000005</v>
      </c>
      <c r="BI79" s="26">
        <f t="shared" si="31"/>
        <v>0.69</v>
      </c>
      <c r="BJ79" s="26">
        <f t="shared" si="31"/>
        <v>0.69499999999999995</v>
      </c>
      <c r="BK79" s="26">
        <f t="shared" si="31"/>
        <v>0.7</v>
      </c>
      <c r="BL79" s="26">
        <f t="shared" si="31"/>
        <v>0.70499999999999996</v>
      </c>
      <c r="BM79" s="26">
        <f t="shared" ref="BM79:CB94" si="39">(ROW(BL78)+COLUMN(BL78))/200</f>
        <v>0.71</v>
      </c>
      <c r="BN79" s="26">
        <f t="shared" si="32"/>
        <v>0.71499999999999997</v>
      </c>
      <c r="BO79" s="26">
        <f t="shared" si="32"/>
        <v>0.72</v>
      </c>
      <c r="BP79" s="26">
        <f t="shared" si="32"/>
        <v>0.72499999999999998</v>
      </c>
      <c r="BQ79" s="26">
        <f t="shared" si="32"/>
        <v>0.73</v>
      </c>
      <c r="BR79" s="26">
        <f t="shared" si="32"/>
        <v>0.73499999999999999</v>
      </c>
      <c r="BS79" s="26">
        <f t="shared" si="32"/>
        <v>0.74</v>
      </c>
      <c r="BT79" s="26">
        <f t="shared" si="32"/>
        <v>0.745</v>
      </c>
      <c r="BU79" s="26">
        <f t="shared" si="32"/>
        <v>0.75</v>
      </c>
      <c r="BV79" s="26">
        <f t="shared" si="32"/>
        <v>0.755</v>
      </c>
      <c r="BW79" s="26">
        <f t="shared" si="32"/>
        <v>0.76</v>
      </c>
      <c r="BX79" s="26">
        <f t="shared" si="32"/>
        <v>0.76500000000000001</v>
      </c>
      <c r="BY79" s="26">
        <f t="shared" si="32"/>
        <v>0.77</v>
      </c>
      <c r="BZ79" s="26">
        <f t="shared" si="32"/>
        <v>0.77500000000000002</v>
      </c>
      <c r="CA79" s="26">
        <f t="shared" si="32"/>
        <v>0.78</v>
      </c>
      <c r="CB79" s="26">
        <f t="shared" si="32"/>
        <v>0.78500000000000003</v>
      </c>
      <c r="CC79" s="26">
        <f t="shared" ref="CC79:CR94" si="40">(ROW(CB78)+COLUMN(CB78))/200</f>
        <v>0.79</v>
      </c>
      <c r="CD79" s="26">
        <f t="shared" si="33"/>
        <v>0.79500000000000004</v>
      </c>
      <c r="CE79" s="26">
        <f t="shared" si="33"/>
        <v>0.8</v>
      </c>
      <c r="CF79" s="26">
        <f t="shared" si="33"/>
        <v>0.80500000000000005</v>
      </c>
      <c r="CG79" s="26">
        <f t="shared" si="33"/>
        <v>0.81</v>
      </c>
      <c r="CH79" s="26">
        <f t="shared" si="33"/>
        <v>0.81499999999999995</v>
      </c>
      <c r="CI79" s="26">
        <f t="shared" si="33"/>
        <v>0.82</v>
      </c>
      <c r="CJ79" s="26">
        <f t="shared" si="33"/>
        <v>0.82499999999999996</v>
      </c>
      <c r="CK79" s="26">
        <f t="shared" si="33"/>
        <v>0.83</v>
      </c>
      <c r="CL79" s="26">
        <f t="shared" si="33"/>
        <v>0.83499999999999996</v>
      </c>
      <c r="CM79" s="26">
        <f t="shared" si="33"/>
        <v>0.84</v>
      </c>
      <c r="CN79" s="26">
        <f t="shared" si="33"/>
        <v>0.84499999999999997</v>
      </c>
      <c r="CO79" s="26">
        <f t="shared" si="33"/>
        <v>0.85</v>
      </c>
      <c r="CP79" s="26">
        <f t="shared" si="33"/>
        <v>0.85499999999999998</v>
      </c>
      <c r="CQ79" s="26">
        <f t="shared" si="33"/>
        <v>0.86</v>
      </c>
      <c r="CR79" s="26">
        <f t="shared" si="33"/>
        <v>0.86499999999999999</v>
      </c>
      <c r="CS79" s="26">
        <f t="shared" ref="CS79:CW94" si="41">(ROW(CR78)+COLUMN(CR78))/200</f>
        <v>0.87</v>
      </c>
      <c r="CT79" s="26">
        <f t="shared" si="34"/>
        <v>0.875</v>
      </c>
      <c r="CU79" s="26">
        <f t="shared" si="34"/>
        <v>0.88</v>
      </c>
      <c r="CV79" s="26">
        <f t="shared" si="34"/>
        <v>0.88500000000000001</v>
      </c>
      <c r="CW79" s="26">
        <f t="shared" si="34"/>
        <v>0.89</v>
      </c>
    </row>
    <row r="80" spans="2:101" ht="20.100000000000001" customHeight="1">
      <c r="B80" s="26">
        <f t="shared" si="37"/>
        <v>0.4</v>
      </c>
      <c r="C80" s="26">
        <f t="shared" si="37"/>
        <v>0.40500000000000003</v>
      </c>
      <c r="D80" s="26">
        <f t="shared" si="37"/>
        <v>0.41</v>
      </c>
      <c r="E80" s="26">
        <f t="shared" si="37"/>
        <v>0.41499999999999998</v>
      </c>
      <c r="F80" s="26">
        <f t="shared" si="37"/>
        <v>0.42</v>
      </c>
      <c r="G80" s="26">
        <f t="shared" si="37"/>
        <v>0.42499999999999999</v>
      </c>
      <c r="H80" s="26">
        <f t="shared" si="37"/>
        <v>0.43</v>
      </c>
      <c r="I80" s="26">
        <f t="shared" si="37"/>
        <v>0.435</v>
      </c>
      <c r="J80" s="26">
        <f t="shared" si="37"/>
        <v>0.44</v>
      </c>
      <c r="K80" s="26">
        <f t="shared" si="37"/>
        <v>0.44500000000000001</v>
      </c>
      <c r="L80" s="26">
        <f t="shared" si="37"/>
        <v>0.45</v>
      </c>
      <c r="M80" s="26">
        <f t="shared" si="37"/>
        <v>0.45500000000000002</v>
      </c>
      <c r="N80" s="26">
        <f t="shared" si="37"/>
        <v>0.46</v>
      </c>
      <c r="O80" s="26">
        <f t="shared" si="37"/>
        <v>0.46500000000000002</v>
      </c>
      <c r="P80" s="26">
        <f t="shared" si="37"/>
        <v>0.47</v>
      </c>
      <c r="Q80" s="26">
        <f t="shared" si="35"/>
        <v>0.47499999999999998</v>
      </c>
      <c r="R80" s="26">
        <f t="shared" si="35"/>
        <v>0.48</v>
      </c>
      <c r="S80" s="26">
        <f t="shared" si="35"/>
        <v>0.48499999999999999</v>
      </c>
      <c r="T80" s="26">
        <f t="shared" si="35"/>
        <v>0.49</v>
      </c>
      <c r="U80" s="26">
        <f t="shared" si="35"/>
        <v>0.495</v>
      </c>
      <c r="V80" s="26">
        <f t="shared" si="35"/>
        <v>0.5</v>
      </c>
      <c r="W80" s="26">
        <f t="shared" si="35"/>
        <v>0.505</v>
      </c>
      <c r="X80" s="26">
        <f t="shared" si="35"/>
        <v>0.51</v>
      </c>
      <c r="Y80" s="26">
        <f t="shared" si="35"/>
        <v>0.51500000000000001</v>
      </c>
      <c r="Z80" s="26">
        <f t="shared" si="35"/>
        <v>0.52</v>
      </c>
      <c r="AA80" s="26">
        <f t="shared" si="35"/>
        <v>0.52500000000000002</v>
      </c>
      <c r="AB80" s="26">
        <f t="shared" si="35"/>
        <v>0.53</v>
      </c>
      <c r="AC80" s="26">
        <f t="shared" si="35"/>
        <v>0.53500000000000003</v>
      </c>
      <c r="AD80" s="26">
        <f t="shared" si="35"/>
        <v>0.54</v>
      </c>
      <c r="AE80" s="26">
        <f t="shared" si="35"/>
        <v>0.54500000000000004</v>
      </c>
      <c r="AF80" s="26">
        <f t="shared" si="35"/>
        <v>0.55000000000000004</v>
      </c>
      <c r="AG80" s="26">
        <f t="shared" si="36"/>
        <v>0.55500000000000005</v>
      </c>
      <c r="AH80" s="26">
        <f t="shared" si="36"/>
        <v>0.56000000000000005</v>
      </c>
      <c r="AI80" s="26">
        <f t="shared" si="36"/>
        <v>0.56499999999999995</v>
      </c>
      <c r="AJ80" s="26">
        <f t="shared" si="36"/>
        <v>0.56999999999999995</v>
      </c>
      <c r="AK80" s="26">
        <f t="shared" si="36"/>
        <v>0.57499999999999996</v>
      </c>
      <c r="AL80" s="26">
        <f t="shared" si="36"/>
        <v>0.57999999999999996</v>
      </c>
      <c r="AM80" s="26">
        <f t="shared" si="36"/>
        <v>0.58499999999999996</v>
      </c>
      <c r="AN80" s="26">
        <f t="shared" si="36"/>
        <v>0.59</v>
      </c>
      <c r="AO80" s="26">
        <f t="shared" si="36"/>
        <v>0.59499999999999997</v>
      </c>
      <c r="AP80" s="26">
        <f t="shared" si="36"/>
        <v>0.6</v>
      </c>
      <c r="AQ80" s="26">
        <f t="shared" si="36"/>
        <v>0.60499999999999998</v>
      </c>
      <c r="AR80" s="26">
        <f t="shared" si="36"/>
        <v>0.61</v>
      </c>
      <c r="AS80" s="26">
        <f t="shared" si="36"/>
        <v>0.61499999999999999</v>
      </c>
      <c r="AT80" s="26">
        <f t="shared" si="36"/>
        <v>0.62</v>
      </c>
      <c r="AU80" s="26">
        <f t="shared" si="36"/>
        <v>0.625</v>
      </c>
      <c r="AV80" s="26">
        <f t="shared" si="36"/>
        <v>0.63</v>
      </c>
      <c r="AW80" s="26">
        <f t="shared" si="38"/>
        <v>0.63500000000000001</v>
      </c>
      <c r="AX80" s="26">
        <f t="shared" si="38"/>
        <v>0.64</v>
      </c>
      <c r="AY80" s="26">
        <f t="shared" si="38"/>
        <v>0.64500000000000002</v>
      </c>
      <c r="AZ80" s="26">
        <f t="shared" si="38"/>
        <v>0.65</v>
      </c>
      <c r="BA80" s="26">
        <f t="shared" si="38"/>
        <v>0.65500000000000003</v>
      </c>
      <c r="BB80" s="26">
        <f t="shared" si="38"/>
        <v>0.66</v>
      </c>
      <c r="BC80" s="26">
        <f t="shared" si="38"/>
        <v>0.66500000000000004</v>
      </c>
      <c r="BD80" s="26">
        <f t="shared" si="38"/>
        <v>0.67</v>
      </c>
      <c r="BE80" s="26">
        <f t="shared" si="38"/>
        <v>0.67500000000000004</v>
      </c>
      <c r="BF80" s="26">
        <f t="shared" si="38"/>
        <v>0.68</v>
      </c>
      <c r="BG80" s="26">
        <f t="shared" si="38"/>
        <v>0.68500000000000005</v>
      </c>
      <c r="BH80" s="26">
        <f t="shared" si="38"/>
        <v>0.69</v>
      </c>
      <c r="BI80" s="26">
        <f t="shared" si="38"/>
        <v>0.69499999999999995</v>
      </c>
      <c r="BJ80" s="26">
        <f t="shared" si="38"/>
        <v>0.7</v>
      </c>
      <c r="BK80" s="26">
        <f t="shared" si="38"/>
        <v>0.70499999999999996</v>
      </c>
      <c r="BL80" s="26">
        <f t="shared" si="38"/>
        <v>0.71</v>
      </c>
      <c r="BM80" s="26">
        <f t="shared" si="39"/>
        <v>0.71499999999999997</v>
      </c>
      <c r="BN80" s="26">
        <f t="shared" si="39"/>
        <v>0.72</v>
      </c>
      <c r="BO80" s="26">
        <f t="shared" si="39"/>
        <v>0.72499999999999998</v>
      </c>
      <c r="BP80" s="26">
        <f t="shared" si="39"/>
        <v>0.73</v>
      </c>
      <c r="BQ80" s="26">
        <f t="shared" si="39"/>
        <v>0.73499999999999999</v>
      </c>
      <c r="BR80" s="26">
        <f t="shared" si="39"/>
        <v>0.74</v>
      </c>
      <c r="BS80" s="26">
        <f t="shared" si="39"/>
        <v>0.745</v>
      </c>
      <c r="BT80" s="26">
        <f t="shared" si="39"/>
        <v>0.75</v>
      </c>
      <c r="BU80" s="26">
        <f t="shared" si="39"/>
        <v>0.755</v>
      </c>
      <c r="BV80" s="26">
        <f t="shared" si="39"/>
        <v>0.76</v>
      </c>
      <c r="BW80" s="26">
        <f t="shared" si="39"/>
        <v>0.76500000000000001</v>
      </c>
      <c r="BX80" s="26">
        <f t="shared" si="39"/>
        <v>0.77</v>
      </c>
      <c r="BY80" s="26">
        <f t="shared" si="39"/>
        <v>0.77500000000000002</v>
      </c>
      <c r="BZ80" s="26">
        <f t="shared" si="39"/>
        <v>0.78</v>
      </c>
      <c r="CA80" s="26">
        <f t="shared" si="39"/>
        <v>0.78500000000000003</v>
      </c>
      <c r="CB80" s="26">
        <f t="shared" si="39"/>
        <v>0.79</v>
      </c>
      <c r="CC80" s="26">
        <f t="shared" si="40"/>
        <v>0.79500000000000004</v>
      </c>
      <c r="CD80" s="26">
        <f t="shared" si="40"/>
        <v>0.8</v>
      </c>
      <c r="CE80" s="26">
        <f t="shared" si="40"/>
        <v>0.80500000000000005</v>
      </c>
      <c r="CF80" s="26">
        <f t="shared" si="40"/>
        <v>0.81</v>
      </c>
      <c r="CG80" s="26">
        <f t="shared" si="40"/>
        <v>0.81499999999999995</v>
      </c>
      <c r="CH80" s="26">
        <f t="shared" si="40"/>
        <v>0.82</v>
      </c>
      <c r="CI80" s="26">
        <f t="shared" si="40"/>
        <v>0.82499999999999996</v>
      </c>
      <c r="CJ80" s="26">
        <f t="shared" si="40"/>
        <v>0.83</v>
      </c>
      <c r="CK80" s="26">
        <f t="shared" si="40"/>
        <v>0.83499999999999996</v>
      </c>
      <c r="CL80" s="26">
        <f t="shared" si="40"/>
        <v>0.84</v>
      </c>
      <c r="CM80" s="26">
        <f t="shared" si="40"/>
        <v>0.84499999999999997</v>
      </c>
      <c r="CN80" s="26">
        <f t="shared" si="40"/>
        <v>0.85</v>
      </c>
      <c r="CO80" s="26">
        <f t="shared" si="40"/>
        <v>0.85499999999999998</v>
      </c>
      <c r="CP80" s="26">
        <f t="shared" si="40"/>
        <v>0.86</v>
      </c>
      <c r="CQ80" s="26">
        <f t="shared" si="40"/>
        <v>0.86499999999999999</v>
      </c>
      <c r="CR80" s="26">
        <f t="shared" si="40"/>
        <v>0.87</v>
      </c>
      <c r="CS80" s="26">
        <f t="shared" si="41"/>
        <v>0.875</v>
      </c>
      <c r="CT80" s="26">
        <f t="shared" si="34"/>
        <v>0.88</v>
      </c>
      <c r="CU80" s="26">
        <f t="shared" si="34"/>
        <v>0.88500000000000001</v>
      </c>
      <c r="CV80" s="26">
        <f t="shared" si="34"/>
        <v>0.89</v>
      </c>
      <c r="CW80" s="26">
        <f t="shared" si="34"/>
        <v>0.89500000000000002</v>
      </c>
    </row>
    <row r="81" spans="2:101" ht="20.100000000000001" customHeight="1">
      <c r="B81" s="26">
        <f t="shared" si="37"/>
        <v>0.40500000000000003</v>
      </c>
      <c r="C81" s="26">
        <f t="shared" si="37"/>
        <v>0.41</v>
      </c>
      <c r="D81" s="26">
        <f t="shared" si="37"/>
        <v>0.41499999999999998</v>
      </c>
      <c r="E81" s="26">
        <f t="shared" si="37"/>
        <v>0.42</v>
      </c>
      <c r="F81" s="26">
        <f t="shared" si="37"/>
        <v>0.42499999999999999</v>
      </c>
      <c r="G81" s="26">
        <f t="shared" si="37"/>
        <v>0.43</v>
      </c>
      <c r="H81" s="26">
        <f t="shared" si="37"/>
        <v>0.435</v>
      </c>
      <c r="I81" s="26">
        <f t="shared" si="37"/>
        <v>0.44</v>
      </c>
      <c r="J81" s="26">
        <f t="shared" si="37"/>
        <v>0.44500000000000001</v>
      </c>
      <c r="K81" s="26">
        <f t="shared" si="37"/>
        <v>0.45</v>
      </c>
      <c r="L81" s="26">
        <f t="shared" si="37"/>
        <v>0.45500000000000002</v>
      </c>
      <c r="M81" s="26">
        <f t="shared" si="37"/>
        <v>0.46</v>
      </c>
      <c r="N81" s="26">
        <f t="shared" si="37"/>
        <v>0.46500000000000002</v>
      </c>
      <c r="O81" s="26">
        <f t="shared" si="37"/>
        <v>0.47</v>
      </c>
      <c r="P81" s="26">
        <f t="shared" si="37"/>
        <v>0.47499999999999998</v>
      </c>
      <c r="Q81" s="26">
        <f t="shared" si="35"/>
        <v>0.48</v>
      </c>
      <c r="R81" s="26">
        <f t="shared" si="35"/>
        <v>0.48499999999999999</v>
      </c>
      <c r="S81" s="26">
        <f t="shared" si="35"/>
        <v>0.49</v>
      </c>
      <c r="T81" s="26">
        <f t="shared" si="35"/>
        <v>0.495</v>
      </c>
      <c r="U81" s="26">
        <f t="shared" si="35"/>
        <v>0.5</v>
      </c>
      <c r="V81" s="26">
        <f t="shared" si="35"/>
        <v>0.505</v>
      </c>
      <c r="W81" s="26">
        <f t="shared" si="35"/>
        <v>0.51</v>
      </c>
      <c r="X81" s="26">
        <f t="shared" si="35"/>
        <v>0.51500000000000001</v>
      </c>
      <c r="Y81" s="26">
        <f t="shared" si="35"/>
        <v>0.52</v>
      </c>
      <c r="Z81" s="26">
        <f t="shared" si="35"/>
        <v>0.52500000000000002</v>
      </c>
      <c r="AA81" s="26">
        <f t="shared" si="35"/>
        <v>0.53</v>
      </c>
      <c r="AB81" s="26">
        <f t="shared" si="35"/>
        <v>0.53500000000000003</v>
      </c>
      <c r="AC81" s="26">
        <f t="shared" si="35"/>
        <v>0.54</v>
      </c>
      <c r="AD81" s="26">
        <f t="shared" si="35"/>
        <v>0.54500000000000004</v>
      </c>
      <c r="AE81" s="26">
        <f t="shared" si="35"/>
        <v>0.55000000000000004</v>
      </c>
      <c r="AF81" s="26">
        <f t="shared" ref="AF81:AU96" si="42">(ROW(AE80)+COLUMN(AE80))/200</f>
        <v>0.55500000000000005</v>
      </c>
      <c r="AG81" s="26">
        <f t="shared" si="36"/>
        <v>0.56000000000000005</v>
      </c>
      <c r="AH81" s="26">
        <f t="shared" si="36"/>
        <v>0.56499999999999995</v>
      </c>
      <c r="AI81" s="26">
        <f t="shared" si="36"/>
        <v>0.56999999999999995</v>
      </c>
      <c r="AJ81" s="26">
        <f t="shared" si="36"/>
        <v>0.57499999999999996</v>
      </c>
      <c r="AK81" s="26">
        <f t="shared" si="36"/>
        <v>0.57999999999999996</v>
      </c>
      <c r="AL81" s="26">
        <f t="shared" si="36"/>
        <v>0.58499999999999996</v>
      </c>
      <c r="AM81" s="26">
        <f t="shared" si="36"/>
        <v>0.59</v>
      </c>
      <c r="AN81" s="26">
        <f t="shared" si="36"/>
        <v>0.59499999999999997</v>
      </c>
      <c r="AO81" s="26">
        <f t="shared" si="36"/>
        <v>0.6</v>
      </c>
      <c r="AP81" s="26">
        <f t="shared" si="36"/>
        <v>0.60499999999999998</v>
      </c>
      <c r="AQ81" s="26">
        <f t="shared" si="36"/>
        <v>0.61</v>
      </c>
      <c r="AR81" s="26">
        <f t="shared" si="36"/>
        <v>0.61499999999999999</v>
      </c>
      <c r="AS81" s="26">
        <f t="shared" si="36"/>
        <v>0.62</v>
      </c>
      <c r="AT81" s="26">
        <f t="shared" si="36"/>
        <v>0.625</v>
      </c>
      <c r="AU81" s="26">
        <f t="shared" si="36"/>
        <v>0.63</v>
      </c>
      <c r="AV81" s="26">
        <f t="shared" si="36"/>
        <v>0.63500000000000001</v>
      </c>
      <c r="AW81" s="26">
        <f t="shared" si="38"/>
        <v>0.64</v>
      </c>
      <c r="AX81" s="26">
        <f t="shared" si="38"/>
        <v>0.64500000000000002</v>
      </c>
      <c r="AY81" s="26">
        <f t="shared" si="38"/>
        <v>0.65</v>
      </c>
      <c r="AZ81" s="26">
        <f t="shared" si="38"/>
        <v>0.65500000000000003</v>
      </c>
      <c r="BA81" s="26">
        <f t="shared" si="38"/>
        <v>0.66</v>
      </c>
      <c r="BB81" s="26">
        <f t="shared" si="38"/>
        <v>0.66500000000000004</v>
      </c>
      <c r="BC81" s="26">
        <f t="shared" si="38"/>
        <v>0.67</v>
      </c>
      <c r="BD81" s="26">
        <f t="shared" si="38"/>
        <v>0.67500000000000004</v>
      </c>
      <c r="BE81" s="26">
        <f t="shared" si="38"/>
        <v>0.68</v>
      </c>
      <c r="BF81" s="26">
        <f t="shared" si="38"/>
        <v>0.68500000000000005</v>
      </c>
      <c r="BG81" s="26">
        <f t="shared" si="38"/>
        <v>0.69</v>
      </c>
      <c r="BH81" s="26">
        <f t="shared" si="38"/>
        <v>0.69499999999999995</v>
      </c>
      <c r="BI81" s="26">
        <f t="shared" si="38"/>
        <v>0.7</v>
      </c>
      <c r="BJ81" s="26">
        <f t="shared" si="38"/>
        <v>0.70499999999999996</v>
      </c>
      <c r="BK81" s="26">
        <f t="shared" si="38"/>
        <v>0.71</v>
      </c>
      <c r="BL81" s="26">
        <f t="shared" si="38"/>
        <v>0.71499999999999997</v>
      </c>
      <c r="BM81" s="26">
        <f t="shared" si="39"/>
        <v>0.72</v>
      </c>
      <c r="BN81" s="26">
        <f t="shared" si="39"/>
        <v>0.72499999999999998</v>
      </c>
      <c r="BO81" s="26">
        <f t="shared" si="39"/>
        <v>0.73</v>
      </c>
      <c r="BP81" s="26">
        <f t="shared" si="39"/>
        <v>0.73499999999999999</v>
      </c>
      <c r="BQ81" s="26">
        <f t="shared" si="39"/>
        <v>0.74</v>
      </c>
      <c r="BR81" s="26">
        <f t="shared" si="39"/>
        <v>0.745</v>
      </c>
      <c r="BS81" s="26">
        <f t="shared" si="39"/>
        <v>0.75</v>
      </c>
      <c r="BT81" s="26">
        <f t="shared" si="39"/>
        <v>0.755</v>
      </c>
      <c r="BU81" s="26">
        <f t="shared" si="39"/>
        <v>0.76</v>
      </c>
      <c r="BV81" s="26">
        <f t="shared" si="39"/>
        <v>0.76500000000000001</v>
      </c>
      <c r="BW81" s="26">
        <f t="shared" si="39"/>
        <v>0.77</v>
      </c>
      <c r="BX81" s="26">
        <f t="shared" si="39"/>
        <v>0.77500000000000002</v>
      </c>
      <c r="BY81" s="26">
        <f t="shared" si="39"/>
        <v>0.78</v>
      </c>
      <c r="BZ81" s="26">
        <f t="shared" si="39"/>
        <v>0.78500000000000003</v>
      </c>
      <c r="CA81" s="26">
        <f t="shared" si="39"/>
        <v>0.79</v>
      </c>
      <c r="CB81" s="26">
        <f t="shared" si="39"/>
        <v>0.79500000000000004</v>
      </c>
      <c r="CC81" s="26">
        <f t="shared" si="40"/>
        <v>0.8</v>
      </c>
      <c r="CD81" s="26">
        <f t="shared" si="40"/>
        <v>0.80500000000000005</v>
      </c>
      <c r="CE81" s="26">
        <f t="shared" si="40"/>
        <v>0.81</v>
      </c>
      <c r="CF81" s="26">
        <f t="shared" si="40"/>
        <v>0.81499999999999995</v>
      </c>
      <c r="CG81" s="26">
        <f t="shared" si="40"/>
        <v>0.82</v>
      </c>
      <c r="CH81" s="26">
        <f t="shared" si="40"/>
        <v>0.82499999999999996</v>
      </c>
      <c r="CI81" s="26">
        <f t="shared" si="40"/>
        <v>0.83</v>
      </c>
      <c r="CJ81" s="26">
        <f t="shared" si="40"/>
        <v>0.83499999999999996</v>
      </c>
      <c r="CK81" s="26">
        <f t="shared" si="40"/>
        <v>0.84</v>
      </c>
      <c r="CL81" s="26">
        <f t="shared" si="40"/>
        <v>0.84499999999999997</v>
      </c>
      <c r="CM81" s="26">
        <f t="shared" si="40"/>
        <v>0.85</v>
      </c>
      <c r="CN81" s="26">
        <f t="shared" si="40"/>
        <v>0.85499999999999998</v>
      </c>
      <c r="CO81" s="26">
        <f t="shared" si="40"/>
        <v>0.86</v>
      </c>
      <c r="CP81" s="26">
        <f t="shared" si="40"/>
        <v>0.86499999999999999</v>
      </c>
      <c r="CQ81" s="26">
        <f t="shared" si="40"/>
        <v>0.87</v>
      </c>
      <c r="CR81" s="26">
        <f t="shared" si="40"/>
        <v>0.875</v>
      </c>
      <c r="CS81" s="26">
        <f t="shared" si="41"/>
        <v>0.88</v>
      </c>
      <c r="CT81" s="26">
        <f t="shared" si="34"/>
        <v>0.88500000000000001</v>
      </c>
      <c r="CU81" s="26">
        <f t="shared" si="34"/>
        <v>0.89</v>
      </c>
      <c r="CV81" s="26">
        <f t="shared" si="34"/>
        <v>0.89500000000000002</v>
      </c>
      <c r="CW81" s="26">
        <f t="shared" si="34"/>
        <v>0.9</v>
      </c>
    </row>
    <row r="82" spans="2:101" ht="20.100000000000001" customHeight="1">
      <c r="B82" s="26">
        <f t="shared" si="37"/>
        <v>0.41</v>
      </c>
      <c r="C82" s="26">
        <f t="shared" si="37"/>
        <v>0.41499999999999998</v>
      </c>
      <c r="D82" s="26">
        <f t="shared" si="37"/>
        <v>0.42</v>
      </c>
      <c r="E82" s="26">
        <f t="shared" si="37"/>
        <v>0.42499999999999999</v>
      </c>
      <c r="F82" s="26">
        <f t="shared" si="37"/>
        <v>0.43</v>
      </c>
      <c r="G82" s="26">
        <f t="shared" si="37"/>
        <v>0.435</v>
      </c>
      <c r="H82" s="26">
        <f t="shared" si="37"/>
        <v>0.44</v>
      </c>
      <c r="I82" s="26">
        <f t="shared" si="37"/>
        <v>0.44500000000000001</v>
      </c>
      <c r="J82" s="26">
        <f t="shared" si="37"/>
        <v>0.45</v>
      </c>
      <c r="K82" s="26">
        <f t="shared" si="37"/>
        <v>0.45500000000000002</v>
      </c>
      <c r="L82" s="26">
        <f t="shared" si="37"/>
        <v>0.46</v>
      </c>
      <c r="M82" s="26">
        <f t="shared" si="37"/>
        <v>0.46500000000000002</v>
      </c>
      <c r="N82" s="26">
        <f t="shared" si="37"/>
        <v>0.47</v>
      </c>
      <c r="O82" s="26">
        <f t="shared" si="37"/>
        <v>0.47499999999999998</v>
      </c>
      <c r="P82" s="26">
        <f t="shared" si="37"/>
        <v>0.48</v>
      </c>
      <c r="Q82" s="26">
        <f t="shared" si="37"/>
        <v>0.48499999999999999</v>
      </c>
      <c r="R82" s="26">
        <f t="shared" ref="R82:AG97" si="43">(ROW(Q81)+COLUMN(Q81))/200</f>
        <v>0.49</v>
      </c>
      <c r="S82" s="26">
        <f t="shared" si="43"/>
        <v>0.495</v>
      </c>
      <c r="T82" s="26">
        <f t="shared" si="43"/>
        <v>0.5</v>
      </c>
      <c r="U82" s="26">
        <f t="shared" si="43"/>
        <v>0.505</v>
      </c>
      <c r="V82" s="26">
        <f t="shared" si="43"/>
        <v>0.51</v>
      </c>
      <c r="W82" s="26">
        <f t="shared" si="43"/>
        <v>0.51500000000000001</v>
      </c>
      <c r="X82" s="26">
        <f t="shared" si="43"/>
        <v>0.52</v>
      </c>
      <c r="Y82" s="26">
        <f t="shared" si="43"/>
        <v>0.52500000000000002</v>
      </c>
      <c r="Z82" s="26">
        <f t="shared" si="43"/>
        <v>0.53</v>
      </c>
      <c r="AA82" s="26">
        <f t="shared" si="43"/>
        <v>0.53500000000000003</v>
      </c>
      <c r="AB82" s="26">
        <f t="shared" si="43"/>
        <v>0.54</v>
      </c>
      <c r="AC82" s="26">
        <f t="shared" si="43"/>
        <v>0.54500000000000004</v>
      </c>
      <c r="AD82" s="26">
        <f t="shared" si="43"/>
        <v>0.55000000000000004</v>
      </c>
      <c r="AE82" s="26">
        <f t="shared" si="43"/>
        <v>0.55500000000000005</v>
      </c>
      <c r="AF82" s="26">
        <f t="shared" si="42"/>
        <v>0.56000000000000005</v>
      </c>
      <c r="AG82" s="26">
        <f t="shared" si="42"/>
        <v>0.56499999999999995</v>
      </c>
      <c r="AH82" s="26">
        <f t="shared" si="42"/>
        <v>0.56999999999999995</v>
      </c>
      <c r="AI82" s="26">
        <f t="shared" si="42"/>
        <v>0.57499999999999996</v>
      </c>
      <c r="AJ82" s="26">
        <f t="shared" si="42"/>
        <v>0.57999999999999996</v>
      </c>
      <c r="AK82" s="26">
        <f t="shared" si="42"/>
        <v>0.58499999999999996</v>
      </c>
      <c r="AL82" s="26">
        <f t="shared" si="42"/>
        <v>0.59</v>
      </c>
      <c r="AM82" s="26">
        <f t="shared" si="42"/>
        <v>0.59499999999999997</v>
      </c>
      <c r="AN82" s="26">
        <f t="shared" si="42"/>
        <v>0.6</v>
      </c>
      <c r="AO82" s="26">
        <f t="shared" si="42"/>
        <v>0.60499999999999998</v>
      </c>
      <c r="AP82" s="26">
        <f t="shared" si="42"/>
        <v>0.61</v>
      </c>
      <c r="AQ82" s="26">
        <f t="shared" si="42"/>
        <v>0.61499999999999999</v>
      </c>
      <c r="AR82" s="26">
        <f t="shared" si="42"/>
        <v>0.62</v>
      </c>
      <c r="AS82" s="26">
        <f t="shared" si="42"/>
        <v>0.625</v>
      </c>
      <c r="AT82" s="26">
        <f t="shared" si="42"/>
        <v>0.63</v>
      </c>
      <c r="AU82" s="26">
        <f t="shared" si="42"/>
        <v>0.63500000000000001</v>
      </c>
      <c r="AV82" s="26">
        <f t="shared" ref="AV82:BK97" si="44">(ROW(AU81)+COLUMN(AU81))/200</f>
        <v>0.64</v>
      </c>
      <c r="AW82" s="26">
        <f t="shared" si="38"/>
        <v>0.64500000000000002</v>
      </c>
      <c r="AX82" s="26">
        <f t="shared" si="38"/>
        <v>0.65</v>
      </c>
      <c r="AY82" s="26">
        <f t="shared" si="38"/>
        <v>0.65500000000000003</v>
      </c>
      <c r="AZ82" s="26">
        <f t="shared" si="38"/>
        <v>0.66</v>
      </c>
      <c r="BA82" s="26">
        <f t="shared" si="38"/>
        <v>0.66500000000000004</v>
      </c>
      <c r="BB82" s="26">
        <f t="shared" si="38"/>
        <v>0.67</v>
      </c>
      <c r="BC82" s="26">
        <f t="shared" si="38"/>
        <v>0.67500000000000004</v>
      </c>
      <c r="BD82" s="26">
        <f t="shared" si="38"/>
        <v>0.68</v>
      </c>
      <c r="BE82" s="26">
        <f t="shared" si="38"/>
        <v>0.68500000000000005</v>
      </c>
      <c r="BF82" s="26">
        <f t="shared" si="38"/>
        <v>0.69</v>
      </c>
      <c r="BG82" s="26">
        <f t="shared" si="38"/>
        <v>0.69499999999999995</v>
      </c>
      <c r="BH82" s="26">
        <f t="shared" si="38"/>
        <v>0.7</v>
      </c>
      <c r="BI82" s="26">
        <f t="shared" si="38"/>
        <v>0.70499999999999996</v>
      </c>
      <c r="BJ82" s="26">
        <f t="shared" si="38"/>
        <v>0.71</v>
      </c>
      <c r="BK82" s="26">
        <f t="shared" si="38"/>
        <v>0.71499999999999997</v>
      </c>
      <c r="BL82" s="26">
        <f t="shared" si="38"/>
        <v>0.72</v>
      </c>
      <c r="BM82" s="26">
        <f t="shared" si="39"/>
        <v>0.72499999999999998</v>
      </c>
      <c r="BN82" s="26">
        <f t="shared" si="39"/>
        <v>0.73</v>
      </c>
      <c r="BO82" s="26">
        <f t="shared" si="39"/>
        <v>0.73499999999999999</v>
      </c>
      <c r="BP82" s="26">
        <f t="shared" si="39"/>
        <v>0.74</v>
      </c>
      <c r="BQ82" s="26">
        <f t="shared" si="39"/>
        <v>0.745</v>
      </c>
      <c r="BR82" s="26">
        <f t="shared" si="39"/>
        <v>0.75</v>
      </c>
      <c r="BS82" s="26">
        <f t="shared" si="39"/>
        <v>0.755</v>
      </c>
      <c r="BT82" s="26">
        <f t="shared" si="39"/>
        <v>0.76</v>
      </c>
      <c r="BU82" s="26">
        <f t="shared" si="39"/>
        <v>0.76500000000000001</v>
      </c>
      <c r="BV82" s="26">
        <f t="shared" si="39"/>
        <v>0.77</v>
      </c>
      <c r="BW82" s="26">
        <f t="shared" si="39"/>
        <v>0.77500000000000002</v>
      </c>
      <c r="BX82" s="26">
        <f t="shared" si="39"/>
        <v>0.78</v>
      </c>
      <c r="BY82" s="26">
        <f t="shared" si="39"/>
        <v>0.78500000000000003</v>
      </c>
      <c r="BZ82" s="26">
        <f t="shared" si="39"/>
        <v>0.79</v>
      </c>
      <c r="CA82" s="26">
        <f t="shared" si="39"/>
        <v>0.79500000000000004</v>
      </c>
      <c r="CB82" s="26">
        <f t="shared" si="39"/>
        <v>0.8</v>
      </c>
      <c r="CC82" s="26">
        <f t="shared" si="40"/>
        <v>0.80500000000000005</v>
      </c>
      <c r="CD82" s="26">
        <f t="shared" si="40"/>
        <v>0.81</v>
      </c>
      <c r="CE82" s="26">
        <f t="shared" si="40"/>
        <v>0.81499999999999995</v>
      </c>
      <c r="CF82" s="26">
        <f t="shared" si="40"/>
        <v>0.82</v>
      </c>
      <c r="CG82" s="26">
        <f t="shared" si="40"/>
        <v>0.82499999999999996</v>
      </c>
      <c r="CH82" s="26">
        <f t="shared" si="40"/>
        <v>0.83</v>
      </c>
      <c r="CI82" s="26">
        <f t="shared" si="40"/>
        <v>0.83499999999999996</v>
      </c>
      <c r="CJ82" s="26">
        <f t="shared" si="40"/>
        <v>0.84</v>
      </c>
      <c r="CK82" s="26">
        <f t="shared" si="40"/>
        <v>0.84499999999999997</v>
      </c>
      <c r="CL82" s="26">
        <f t="shared" si="40"/>
        <v>0.85</v>
      </c>
      <c r="CM82" s="26">
        <f t="shared" si="40"/>
        <v>0.85499999999999998</v>
      </c>
      <c r="CN82" s="26">
        <f t="shared" si="40"/>
        <v>0.86</v>
      </c>
      <c r="CO82" s="26">
        <f t="shared" si="40"/>
        <v>0.86499999999999999</v>
      </c>
      <c r="CP82" s="26">
        <f t="shared" si="40"/>
        <v>0.87</v>
      </c>
      <c r="CQ82" s="26">
        <f t="shared" si="40"/>
        <v>0.875</v>
      </c>
      <c r="CR82" s="26">
        <f t="shared" si="40"/>
        <v>0.88</v>
      </c>
      <c r="CS82" s="26">
        <f t="shared" si="41"/>
        <v>0.88500000000000001</v>
      </c>
      <c r="CT82" s="26">
        <f t="shared" si="34"/>
        <v>0.89</v>
      </c>
      <c r="CU82" s="26">
        <f t="shared" si="34"/>
        <v>0.89500000000000002</v>
      </c>
      <c r="CV82" s="26">
        <f t="shared" si="34"/>
        <v>0.9</v>
      </c>
      <c r="CW82" s="26">
        <f t="shared" si="34"/>
        <v>0.90500000000000003</v>
      </c>
    </row>
    <row r="83" spans="2:101" ht="20.100000000000001" customHeight="1">
      <c r="B83" s="26">
        <f t="shared" ref="B83:Q98" si="45">(ROW(A82)+COLUMN(A82))/200</f>
        <v>0.41499999999999998</v>
      </c>
      <c r="C83" s="26">
        <f t="shared" si="45"/>
        <v>0.42</v>
      </c>
      <c r="D83" s="26">
        <f t="shared" si="45"/>
        <v>0.42499999999999999</v>
      </c>
      <c r="E83" s="26">
        <f t="shared" si="45"/>
        <v>0.43</v>
      </c>
      <c r="F83" s="26">
        <f t="shared" si="45"/>
        <v>0.435</v>
      </c>
      <c r="G83" s="26">
        <f t="shared" si="45"/>
        <v>0.44</v>
      </c>
      <c r="H83" s="26">
        <f t="shared" si="45"/>
        <v>0.44500000000000001</v>
      </c>
      <c r="I83" s="26">
        <f t="shared" si="45"/>
        <v>0.45</v>
      </c>
      <c r="J83" s="26">
        <f t="shared" si="45"/>
        <v>0.45500000000000002</v>
      </c>
      <c r="K83" s="26">
        <f t="shared" si="45"/>
        <v>0.46</v>
      </c>
      <c r="L83" s="26">
        <f t="shared" si="45"/>
        <v>0.46500000000000002</v>
      </c>
      <c r="M83" s="26">
        <f t="shared" si="45"/>
        <v>0.47</v>
      </c>
      <c r="N83" s="26">
        <f t="shared" si="45"/>
        <v>0.47499999999999998</v>
      </c>
      <c r="O83" s="26">
        <f t="shared" si="45"/>
        <v>0.48</v>
      </c>
      <c r="P83" s="26">
        <f t="shared" si="45"/>
        <v>0.48499999999999999</v>
      </c>
      <c r="Q83" s="26">
        <f t="shared" si="45"/>
        <v>0.49</v>
      </c>
      <c r="R83" s="26">
        <f t="shared" si="43"/>
        <v>0.495</v>
      </c>
      <c r="S83" s="26">
        <f t="shared" si="43"/>
        <v>0.5</v>
      </c>
      <c r="T83" s="26">
        <f t="shared" si="43"/>
        <v>0.505</v>
      </c>
      <c r="U83" s="26">
        <f t="shared" si="43"/>
        <v>0.51</v>
      </c>
      <c r="V83" s="26">
        <f t="shared" si="43"/>
        <v>0.51500000000000001</v>
      </c>
      <c r="W83" s="26">
        <f t="shared" si="43"/>
        <v>0.52</v>
      </c>
      <c r="X83" s="26">
        <f t="shared" si="43"/>
        <v>0.52500000000000002</v>
      </c>
      <c r="Y83" s="26">
        <f t="shared" si="43"/>
        <v>0.53</v>
      </c>
      <c r="Z83" s="26">
        <f t="shared" si="43"/>
        <v>0.53500000000000003</v>
      </c>
      <c r="AA83" s="26">
        <f t="shared" si="43"/>
        <v>0.54</v>
      </c>
      <c r="AB83" s="26">
        <f t="shared" si="43"/>
        <v>0.54500000000000004</v>
      </c>
      <c r="AC83" s="26">
        <f t="shared" si="43"/>
        <v>0.55000000000000004</v>
      </c>
      <c r="AD83" s="26">
        <f t="shared" si="43"/>
        <v>0.55500000000000005</v>
      </c>
      <c r="AE83" s="26">
        <f t="shared" si="43"/>
        <v>0.56000000000000005</v>
      </c>
      <c r="AF83" s="26">
        <f t="shared" si="42"/>
        <v>0.56499999999999995</v>
      </c>
      <c r="AG83" s="26">
        <f t="shared" si="42"/>
        <v>0.56999999999999995</v>
      </c>
      <c r="AH83" s="26">
        <f t="shared" si="42"/>
        <v>0.57499999999999996</v>
      </c>
      <c r="AI83" s="26">
        <f t="shared" si="42"/>
        <v>0.57999999999999996</v>
      </c>
      <c r="AJ83" s="26">
        <f t="shared" si="42"/>
        <v>0.58499999999999996</v>
      </c>
      <c r="AK83" s="26">
        <f t="shared" si="42"/>
        <v>0.59</v>
      </c>
      <c r="AL83" s="26">
        <f t="shared" si="42"/>
        <v>0.59499999999999997</v>
      </c>
      <c r="AM83" s="26">
        <f t="shared" si="42"/>
        <v>0.6</v>
      </c>
      <c r="AN83" s="26">
        <f t="shared" si="42"/>
        <v>0.60499999999999998</v>
      </c>
      <c r="AO83" s="26">
        <f t="shared" si="42"/>
        <v>0.61</v>
      </c>
      <c r="AP83" s="26">
        <f t="shared" si="42"/>
        <v>0.61499999999999999</v>
      </c>
      <c r="AQ83" s="26">
        <f t="shared" si="42"/>
        <v>0.62</v>
      </c>
      <c r="AR83" s="26">
        <f t="shared" si="42"/>
        <v>0.625</v>
      </c>
      <c r="AS83" s="26">
        <f t="shared" si="42"/>
        <v>0.63</v>
      </c>
      <c r="AT83" s="26">
        <f t="shared" si="42"/>
        <v>0.63500000000000001</v>
      </c>
      <c r="AU83" s="26">
        <f t="shared" si="42"/>
        <v>0.64</v>
      </c>
      <c r="AV83" s="26">
        <f t="shared" si="44"/>
        <v>0.64500000000000002</v>
      </c>
      <c r="AW83" s="26">
        <f t="shared" si="38"/>
        <v>0.65</v>
      </c>
      <c r="AX83" s="26">
        <f t="shared" si="38"/>
        <v>0.65500000000000003</v>
      </c>
      <c r="AY83" s="26">
        <f t="shared" si="38"/>
        <v>0.66</v>
      </c>
      <c r="AZ83" s="26">
        <f t="shared" si="38"/>
        <v>0.66500000000000004</v>
      </c>
      <c r="BA83" s="26">
        <f t="shared" si="38"/>
        <v>0.67</v>
      </c>
      <c r="BB83" s="26">
        <f t="shared" si="38"/>
        <v>0.67500000000000004</v>
      </c>
      <c r="BC83" s="26">
        <f t="shared" si="38"/>
        <v>0.68</v>
      </c>
      <c r="BD83" s="26">
        <f t="shared" si="38"/>
        <v>0.68500000000000005</v>
      </c>
      <c r="BE83" s="26">
        <f t="shared" si="38"/>
        <v>0.69</v>
      </c>
      <c r="BF83" s="26">
        <f t="shared" si="38"/>
        <v>0.69499999999999995</v>
      </c>
      <c r="BG83" s="26">
        <f t="shared" si="38"/>
        <v>0.7</v>
      </c>
      <c r="BH83" s="26">
        <f t="shared" si="38"/>
        <v>0.70499999999999996</v>
      </c>
      <c r="BI83" s="26">
        <f t="shared" si="38"/>
        <v>0.71</v>
      </c>
      <c r="BJ83" s="26">
        <f t="shared" si="38"/>
        <v>0.71499999999999997</v>
      </c>
      <c r="BK83" s="26">
        <f t="shared" si="38"/>
        <v>0.72</v>
      </c>
      <c r="BL83" s="26">
        <f t="shared" si="38"/>
        <v>0.72499999999999998</v>
      </c>
      <c r="BM83" s="26">
        <f t="shared" si="39"/>
        <v>0.73</v>
      </c>
      <c r="BN83" s="26">
        <f t="shared" si="39"/>
        <v>0.73499999999999999</v>
      </c>
      <c r="BO83" s="26">
        <f t="shared" si="39"/>
        <v>0.74</v>
      </c>
      <c r="BP83" s="26">
        <f t="shared" si="39"/>
        <v>0.745</v>
      </c>
      <c r="BQ83" s="26">
        <f t="shared" si="39"/>
        <v>0.75</v>
      </c>
      <c r="BR83" s="26">
        <f t="shared" si="39"/>
        <v>0.755</v>
      </c>
      <c r="BS83" s="26">
        <f t="shared" si="39"/>
        <v>0.76</v>
      </c>
      <c r="BT83" s="26">
        <f t="shared" si="39"/>
        <v>0.76500000000000001</v>
      </c>
      <c r="BU83" s="26">
        <f t="shared" si="39"/>
        <v>0.77</v>
      </c>
      <c r="BV83" s="26">
        <f t="shared" si="39"/>
        <v>0.77500000000000002</v>
      </c>
      <c r="BW83" s="26">
        <f t="shared" si="39"/>
        <v>0.78</v>
      </c>
      <c r="BX83" s="26">
        <f t="shared" si="39"/>
        <v>0.78500000000000003</v>
      </c>
      <c r="BY83" s="26">
        <f t="shared" si="39"/>
        <v>0.79</v>
      </c>
      <c r="BZ83" s="26">
        <f t="shared" si="39"/>
        <v>0.79500000000000004</v>
      </c>
      <c r="CA83" s="26">
        <f t="shared" si="39"/>
        <v>0.8</v>
      </c>
      <c r="CB83" s="26">
        <f t="shared" si="39"/>
        <v>0.80500000000000005</v>
      </c>
      <c r="CC83" s="26">
        <f t="shared" si="40"/>
        <v>0.81</v>
      </c>
      <c r="CD83" s="26">
        <f t="shared" si="40"/>
        <v>0.81499999999999995</v>
      </c>
      <c r="CE83" s="26">
        <f t="shared" si="40"/>
        <v>0.82</v>
      </c>
      <c r="CF83" s="26">
        <f t="shared" si="40"/>
        <v>0.82499999999999996</v>
      </c>
      <c r="CG83" s="26">
        <f t="shared" si="40"/>
        <v>0.83</v>
      </c>
      <c r="CH83" s="26">
        <f t="shared" si="40"/>
        <v>0.83499999999999996</v>
      </c>
      <c r="CI83" s="26">
        <f t="shared" si="40"/>
        <v>0.84</v>
      </c>
      <c r="CJ83" s="26">
        <f t="shared" si="40"/>
        <v>0.84499999999999997</v>
      </c>
      <c r="CK83" s="26">
        <f t="shared" si="40"/>
        <v>0.85</v>
      </c>
      <c r="CL83" s="26">
        <f t="shared" si="40"/>
        <v>0.85499999999999998</v>
      </c>
      <c r="CM83" s="26">
        <f t="shared" si="40"/>
        <v>0.86</v>
      </c>
      <c r="CN83" s="26">
        <f t="shared" si="40"/>
        <v>0.86499999999999999</v>
      </c>
      <c r="CO83" s="26">
        <f t="shared" si="40"/>
        <v>0.87</v>
      </c>
      <c r="CP83" s="26">
        <f t="shared" si="40"/>
        <v>0.875</v>
      </c>
      <c r="CQ83" s="26">
        <f t="shared" si="40"/>
        <v>0.88</v>
      </c>
      <c r="CR83" s="26">
        <f t="shared" si="40"/>
        <v>0.88500000000000001</v>
      </c>
      <c r="CS83" s="26">
        <f t="shared" si="41"/>
        <v>0.89</v>
      </c>
      <c r="CT83" s="26">
        <f t="shared" si="34"/>
        <v>0.89500000000000002</v>
      </c>
      <c r="CU83" s="26">
        <f t="shared" si="34"/>
        <v>0.9</v>
      </c>
      <c r="CV83" s="26">
        <f t="shared" si="34"/>
        <v>0.90500000000000003</v>
      </c>
      <c r="CW83" s="26">
        <f t="shared" si="34"/>
        <v>0.91</v>
      </c>
    </row>
    <row r="84" spans="2:101" ht="20.100000000000001" customHeight="1">
      <c r="B84" s="26">
        <f t="shared" si="45"/>
        <v>0.42</v>
      </c>
      <c r="C84" s="26">
        <f t="shared" si="45"/>
        <v>0.42499999999999999</v>
      </c>
      <c r="D84" s="26">
        <f t="shared" si="45"/>
        <v>0.43</v>
      </c>
      <c r="E84" s="26">
        <f t="shared" si="45"/>
        <v>0.435</v>
      </c>
      <c r="F84" s="26">
        <f t="shared" si="45"/>
        <v>0.44</v>
      </c>
      <c r="G84" s="26">
        <f t="shared" si="45"/>
        <v>0.44500000000000001</v>
      </c>
      <c r="H84" s="26">
        <f t="shared" si="45"/>
        <v>0.45</v>
      </c>
      <c r="I84" s="26">
        <f t="shared" si="45"/>
        <v>0.45500000000000002</v>
      </c>
      <c r="J84" s="26">
        <f t="shared" si="45"/>
        <v>0.46</v>
      </c>
      <c r="K84" s="26">
        <f t="shared" si="45"/>
        <v>0.46500000000000002</v>
      </c>
      <c r="L84" s="26">
        <f t="shared" si="45"/>
        <v>0.47</v>
      </c>
      <c r="M84" s="26">
        <f t="shared" si="45"/>
        <v>0.47499999999999998</v>
      </c>
      <c r="N84" s="26">
        <f t="shared" si="45"/>
        <v>0.48</v>
      </c>
      <c r="O84" s="26">
        <f t="shared" si="45"/>
        <v>0.48499999999999999</v>
      </c>
      <c r="P84" s="26">
        <f t="shared" si="45"/>
        <v>0.49</v>
      </c>
      <c r="Q84" s="26">
        <f t="shared" si="45"/>
        <v>0.495</v>
      </c>
      <c r="R84" s="26">
        <f t="shared" si="43"/>
        <v>0.5</v>
      </c>
      <c r="S84" s="26">
        <f t="shared" si="43"/>
        <v>0.505</v>
      </c>
      <c r="T84" s="26">
        <f t="shared" si="43"/>
        <v>0.51</v>
      </c>
      <c r="U84" s="26">
        <f t="shared" si="43"/>
        <v>0.51500000000000001</v>
      </c>
      <c r="V84" s="26">
        <f t="shared" si="43"/>
        <v>0.52</v>
      </c>
      <c r="W84" s="26">
        <f t="shared" si="43"/>
        <v>0.52500000000000002</v>
      </c>
      <c r="X84" s="26">
        <f t="shared" si="43"/>
        <v>0.53</v>
      </c>
      <c r="Y84" s="26">
        <f t="shared" si="43"/>
        <v>0.53500000000000003</v>
      </c>
      <c r="Z84" s="26">
        <f t="shared" si="43"/>
        <v>0.54</v>
      </c>
      <c r="AA84" s="26">
        <f t="shared" si="43"/>
        <v>0.54500000000000004</v>
      </c>
      <c r="AB84" s="26">
        <f t="shared" si="43"/>
        <v>0.55000000000000004</v>
      </c>
      <c r="AC84" s="26">
        <f t="shared" si="43"/>
        <v>0.55500000000000005</v>
      </c>
      <c r="AD84" s="26">
        <f t="shared" si="43"/>
        <v>0.56000000000000005</v>
      </c>
      <c r="AE84" s="26">
        <f t="shared" si="43"/>
        <v>0.56499999999999995</v>
      </c>
      <c r="AF84" s="26">
        <f t="shared" si="42"/>
        <v>0.56999999999999995</v>
      </c>
      <c r="AG84" s="26">
        <f t="shared" si="42"/>
        <v>0.57499999999999996</v>
      </c>
      <c r="AH84" s="26">
        <f t="shared" si="42"/>
        <v>0.57999999999999996</v>
      </c>
      <c r="AI84" s="26">
        <f t="shared" si="42"/>
        <v>0.58499999999999996</v>
      </c>
      <c r="AJ84" s="26">
        <f t="shared" si="42"/>
        <v>0.59</v>
      </c>
      <c r="AK84" s="26">
        <f t="shared" si="42"/>
        <v>0.59499999999999997</v>
      </c>
      <c r="AL84" s="26">
        <f t="shared" si="42"/>
        <v>0.6</v>
      </c>
      <c r="AM84" s="26">
        <f t="shared" si="42"/>
        <v>0.60499999999999998</v>
      </c>
      <c r="AN84" s="26">
        <f t="shared" si="42"/>
        <v>0.61</v>
      </c>
      <c r="AO84" s="26">
        <f t="shared" si="42"/>
        <v>0.61499999999999999</v>
      </c>
      <c r="AP84" s="26">
        <f t="shared" si="42"/>
        <v>0.62</v>
      </c>
      <c r="AQ84" s="26">
        <f t="shared" si="42"/>
        <v>0.625</v>
      </c>
      <c r="AR84" s="26">
        <f t="shared" si="42"/>
        <v>0.63</v>
      </c>
      <c r="AS84" s="26">
        <f t="shared" si="42"/>
        <v>0.63500000000000001</v>
      </c>
      <c r="AT84" s="26">
        <f t="shared" si="42"/>
        <v>0.64</v>
      </c>
      <c r="AU84" s="26">
        <f t="shared" si="42"/>
        <v>0.64500000000000002</v>
      </c>
      <c r="AV84" s="26">
        <f t="shared" si="44"/>
        <v>0.65</v>
      </c>
      <c r="AW84" s="26">
        <f t="shared" si="38"/>
        <v>0.65500000000000003</v>
      </c>
      <c r="AX84" s="26">
        <f t="shared" si="38"/>
        <v>0.66</v>
      </c>
      <c r="AY84" s="26">
        <f t="shared" si="38"/>
        <v>0.66500000000000004</v>
      </c>
      <c r="AZ84" s="26">
        <f t="shared" si="38"/>
        <v>0.67</v>
      </c>
      <c r="BA84" s="26">
        <f t="shared" si="38"/>
        <v>0.67500000000000004</v>
      </c>
      <c r="BB84" s="26">
        <f t="shared" si="38"/>
        <v>0.68</v>
      </c>
      <c r="BC84" s="26">
        <f t="shared" si="38"/>
        <v>0.68500000000000005</v>
      </c>
      <c r="BD84" s="26">
        <f t="shared" si="38"/>
        <v>0.69</v>
      </c>
      <c r="BE84" s="26">
        <f t="shared" si="38"/>
        <v>0.69499999999999995</v>
      </c>
      <c r="BF84" s="26">
        <f t="shared" si="38"/>
        <v>0.7</v>
      </c>
      <c r="BG84" s="26">
        <f t="shared" si="38"/>
        <v>0.70499999999999996</v>
      </c>
      <c r="BH84" s="26">
        <f t="shared" si="38"/>
        <v>0.71</v>
      </c>
      <c r="BI84" s="26">
        <f t="shared" si="38"/>
        <v>0.71499999999999997</v>
      </c>
      <c r="BJ84" s="26">
        <f t="shared" si="38"/>
        <v>0.72</v>
      </c>
      <c r="BK84" s="26">
        <f t="shared" si="38"/>
        <v>0.72499999999999998</v>
      </c>
      <c r="BL84" s="26">
        <f t="shared" si="38"/>
        <v>0.73</v>
      </c>
      <c r="BM84" s="26">
        <f t="shared" si="39"/>
        <v>0.73499999999999999</v>
      </c>
      <c r="BN84" s="26">
        <f t="shared" si="39"/>
        <v>0.74</v>
      </c>
      <c r="BO84" s="26">
        <f t="shared" si="39"/>
        <v>0.745</v>
      </c>
      <c r="BP84" s="26">
        <f t="shared" si="39"/>
        <v>0.75</v>
      </c>
      <c r="BQ84" s="26">
        <f t="shared" si="39"/>
        <v>0.755</v>
      </c>
      <c r="BR84" s="26">
        <f t="shared" si="39"/>
        <v>0.76</v>
      </c>
      <c r="BS84" s="26">
        <f t="shared" si="39"/>
        <v>0.76500000000000001</v>
      </c>
      <c r="BT84" s="26">
        <f t="shared" si="39"/>
        <v>0.77</v>
      </c>
      <c r="BU84" s="26">
        <f t="shared" si="39"/>
        <v>0.77500000000000002</v>
      </c>
      <c r="BV84" s="26">
        <f t="shared" si="39"/>
        <v>0.78</v>
      </c>
      <c r="BW84" s="26">
        <f t="shared" si="39"/>
        <v>0.78500000000000003</v>
      </c>
      <c r="BX84" s="26">
        <f t="shared" si="39"/>
        <v>0.79</v>
      </c>
      <c r="BY84" s="26">
        <f t="shared" si="39"/>
        <v>0.79500000000000004</v>
      </c>
      <c r="BZ84" s="26">
        <f t="shared" si="39"/>
        <v>0.8</v>
      </c>
      <c r="CA84" s="26">
        <f t="shared" si="39"/>
        <v>0.80500000000000005</v>
      </c>
      <c r="CB84" s="26">
        <f t="shared" si="39"/>
        <v>0.81</v>
      </c>
      <c r="CC84" s="26">
        <f t="shared" si="40"/>
        <v>0.81499999999999995</v>
      </c>
      <c r="CD84" s="26">
        <f t="shared" si="40"/>
        <v>0.82</v>
      </c>
      <c r="CE84" s="26">
        <f t="shared" si="40"/>
        <v>0.82499999999999996</v>
      </c>
      <c r="CF84" s="26">
        <f t="shared" si="40"/>
        <v>0.83</v>
      </c>
      <c r="CG84" s="26">
        <f t="shared" si="40"/>
        <v>0.83499999999999996</v>
      </c>
      <c r="CH84" s="26">
        <f t="shared" si="40"/>
        <v>0.84</v>
      </c>
      <c r="CI84" s="26">
        <f t="shared" si="40"/>
        <v>0.84499999999999997</v>
      </c>
      <c r="CJ84" s="26">
        <f t="shared" si="40"/>
        <v>0.85</v>
      </c>
      <c r="CK84" s="26">
        <f t="shared" si="40"/>
        <v>0.85499999999999998</v>
      </c>
      <c r="CL84" s="26">
        <f t="shared" si="40"/>
        <v>0.86</v>
      </c>
      <c r="CM84" s="26">
        <f t="shared" si="40"/>
        <v>0.86499999999999999</v>
      </c>
      <c r="CN84" s="26">
        <f t="shared" si="40"/>
        <v>0.87</v>
      </c>
      <c r="CO84" s="26">
        <f t="shared" si="40"/>
        <v>0.875</v>
      </c>
      <c r="CP84" s="26">
        <f t="shared" si="40"/>
        <v>0.88</v>
      </c>
      <c r="CQ84" s="26">
        <f t="shared" si="40"/>
        <v>0.88500000000000001</v>
      </c>
      <c r="CR84" s="26">
        <f t="shared" si="40"/>
        <v>0.89</v>
      </c>
      <c r="CS84" s="26">
        <f t="shared" si="41"/>
        <v>0.89500000000000002</v>
      </c>
      <c r="CT84" s="26">
        <f t="shared" si="41"/>
        <v>0.9</v>
      </c>
      <c r="CU84" s="26">
        <f t="shared" si="41"/>
        <v>0.90500000000000003</v>
      </c>
      <c r="CV84" s="26">
        <f t="shared" si="41"/>
        <v>0.91</v>
      </c>
      <c r="CW84" s="26">
        <f t="shared" si="41"/>
        <v>0.91500000000000004</v>
      </c>
    </row>
    <row r="85" spans="2:101" ht="20.100000000000001" customHeight="1">
      <c r="B85" s="26">
        <f t="shared" si="45"/>
        <v>0.42499999999999999</v>
      </c>
      <c r="C85" s="26">
        <f t="shared" si="45"/>
        <v>0.43</v>
      </c>
      <c r="D85" s="26">
        <f t="shared" si="45"/>
        <v>0.435</v>
      </c>
      <c r="E85" s="26">
        <f t="shared" si="45"/>
        <v>0.44</v>
      </c>
      <c r="F85" s="26">
        <f t="shared" si="45"/>
        <v>0.44500000000000001</v>
      </c>
      <c r="G85" s="26">
        <f t="shared" si="45"/>
        <v>0.45</v>
      </c>
      <c r="H85" s="26">
        <f t="shared" si="45"/>
        <v>0.45500000000000002</v>
      </c>
      <c r="I85" s="26">
        <f t="shared" si="45"/>
        <v>0.46</v>
      </c>
      <c r="J85" s="26">
        <f t="shared" si="45"/>
        <v>0.46500000000000002</v>
      </c>
      <c r="K85" s="26">
        <f t="shared" si="45"/>
        <v>0.47</v>
      </c>
      <c r="L85" s="26">
        <f t="shared" si="45"/>
        <v>0.47499999999999998</v>
      </c>
      <c r="M85" s="26">
        <f t="shared" si="45"/>
        <v>0.48</v>
      </c>
      <c r="N85" s="26">
        <f t="shared" si="45"/>
        <v>0.48499999999999999</v>
      </c>
      <c r="O85" s="26">
        <f t="shared" si="45"/>
        <v>0.49</v>
      </c>
      <c r="P85" s="26">
        <f t="shared" si="45"/>
        <v>0.495</v>
      </c>
      <c r="Q85" s="26">
        <f t="shared" si="45"/>
        <v>0.5</v>
      </c>
      <c r="R85" s="26">
        <f t="shared" si="43"/>
        <v>0.505</v>
      </c>
      <c r="S85" s="26">
        <f t="shared" si="43"/>
        <v>0.51</v>
      </c>
      <c r="T85" s="26">
        <f t="shared" si="43"/>
        <v>0.51500000000000001</v>
      </c>
      <c r="U85" s="26">
        <f t="shared" si="43"/>
        <v>0.52</v>
      </c>
      <c r="V85" s="26">
        <f t="shared" si="43"/>
        <v>0.52500000000000002</v>
      </c>
      <c r="W85" s="26">
        <f t="shared" si="43"/>
        <v>0.53</v>
      </c>
      <c r="X85" s="26">
        <f t="shared" si="43"/>
        <v>0.53500000000000003</v>
      </c>
      <c r="Y85" s="26">
        <f t="shared" si="43"/>
        <v>0.54</v>
      </c>
      <c r="Z85" s="26">
        <f t="shared" si="43"/>
        <v>0.54500000000000004</v>
      </c>
      <c r="AA85" s="26">
        <f t="shared" si="43"/>
        <v>0.55000000000000004</v>
      </c>
      <c r="AB85" s="26">
        <f t="shared" si="43"/>
        <v>0.55500000000000005</v>
      </c>
      <c r="AC85" s="26">
        <f t="shared" si="43"/>
        <v>0.56000000000000005</v>
      </c>
      <c r="AD85" s="26">
        <f t="shared" si="43"/>
        <v>0.56499999999999995</v>
      </c>
      <c r="AE85" s="26">
        <f t="shared" si="43"/>
        <v>0.56999999999999995</v>
      </c>
      <c r="AF85" s="26">
        <f t="shared" si="42"/>
        <v>0.57499999999999996</v>
      </c>
      <c r="AG85" s="26">
        <f t="shared" si="42"/>
        <v>0.57999999999999996</v>
      </c>
      <c r="AH85" s="26">
        <f t="shared" si="42"/>
        <v>0.58499999999999996</v>
      </c>
      <c r="AI85" s="26">
        <f t="shared" si="42"/>
        <v>0.59</v>
      </c>
      <c r="AJ85" s="26">
        <f t="shared" si="42"/>
        <v>0.59499999999999997</v>
      </c>
      <c r="AK85" s="26">
        <f t="shared" si="42"/>
        <v>0.6</v>
      </c>
      <c r="AL85" s="26">
        <f t="shared" si="42"/>
        <v>0.60499999999999998</v>
      </c>
      <c r="AM85" s="26">
        <f t="shared" si="42"/>
        <v>0.61</v>
      </c>
      <c r="AN85" s="26">
        <f t="shared" si="42"/>
        <v>0.61499999999999999</v>
      </c>
      <c r="AO85" s="26">
        <f t="shared" si="42"/>
        <v>0.62</v>
      </c>
      <c r="AP85" s="26">
        <f t="shared" si="42"/>
        <v>0.625</v>
      </c>
      <c r="AQ85" s="26">
        <f t="shared" si="42"/>
        <v>0.63</v>
      </c>
      <c r="AR85" s="26">
        <f t="shared" si="42"/>
        <v>0.63500000000000001</v>
      </c>
      <c r="AS85" s="26">
        <f t="shared" si="42"/>
        <v>0.64</v>
      </c>
      <c r="AT85" s="26">
        <f t="shared" si="42"/>
        <v>0.64500000000000002</v>
      </c>
      <c r="AU85" s="26">
        <f t="shared" si="42"/>
        <v>0.65</v>
      </c>
      <c r="AV85" s="26">
        <f t="shared" si="44"/>
        <v>0.65500000000000003</v>
      </c>
      <c r="AW85" s="26">
        <f t="shared" si="38"/>
        <v>0.66</v>
      </c>
      <c r="AX85" s="26">
        <f t="shared" si="38"/>
        <v>0.66500000000000004</v>
      </c>
      <c r="AY85" s="26">
        <f t="shared" si="38"/>
        <v>0.67</v>
      </c>
      <c r="AZ85" s="26">
        <f t="shared" si="38"/>
        <v>0.67500000000000004</v>
      </c>
      <c r="BA85" s="26">
        <f t="shared" si="38"/>
        <v>0.68</v>
      </c>
      <c r="BB85" s="26">
        <f t="shared" si="38"/>
        <v>0.68500000000000005</v>
      </c>
      <c r="BC85" s="26">
        <f t="shared" si="38"/>
        <v>0.69</v>
      </c>
      <c r="BD85" s="26">
        <f t="shared" si="38"/>
        <v>0.69499999999999995</v>
      </c>
      <c r="BE85" s="26">
        <f t="shared" si="38"/>
        <v>0.7</v>
      </c>
      <c r="BF85" s="26">
        <f t="shared" si="38"/>
        <v>0.70499999999999996</v>
      </c>
      <c r="BG85" s="26">
        <f t="shared" si="38"/>
        <v>0.71</v>
      </c>
      <c r="BH85" s="26">
        <f t="shared" si="38"/>
        <v>0.71499999999999997</v>
      </c>
      <c r="BI85" s="26">
        <f t="shared" si="38"/>
        <v>0.72</v>
      </c>
      <c r="BJ85" s="26">
        <f t="shared" si="38"/>
        <v>0.72499999999999998</v>
      </c>
      <c r="BK85" s="26">
        <f t="shared" si="38"/>
        <v>0.73</v>
      </c>
      <c r="BL85" s="26">
        <f t="shared" si="38"/>
        <v>0.73499999999999999</v>
      </c>
      <c r="BM85" s="26">
        <f t="shared" si="39"/>
        <v>0.74</v>
      </c>
      <c r="BN85" s="26">
        <f t="shared" si="39"/>
        <v>0.745</v>
      </c>
      <c r="BO85" s="26">
        <f t="shared" si="39"/>
        <v>0.75</v>
      </c>
      <c r="BP85" s="26">
        <f t="shared" si="39"/>
        <v>0.755</v>
      </c>
      <c r="BQ85" s="26">
        <f t="shared" si="39"/>
        <v>0.76</v>
      </c>
      <c r="BR85" s="26">
        <f t="shared" si="39"/>
        <v>0.76500000000000001</v>
      </c>
      <c r="BS85" s="26">
        <f t="shared" si="39"/>
        <v>0.77</v>
      </c>
      <c r="BT85" s="26">
        <f t="shared" si="39"/>
        <v>0.77500000000000002</v>
      </c>
      <c r="BU85" s="26">
        <f t="shared" si="39"/>
        <v>0.78</v>
      </c>
      <c r="BV85" s="26">
        <f t="shared" si="39"/>
        <v>0.78500000000000003</v>
      </c>
      <c r="BW85" s="26">
        <f t="shared" si="39"/>
        <v>0.79</v>
      </c>
      <c r="BX85" s="26">
        <f t="shared" si="39"/>
        <v>0.79500000000000004</v>
      </c>
      <c r="BY85" s="26">
        <f t="shared" si="39"/>
        <v>0.8</v>
      </c>
      <c r="BZ85" s="26">
        <f t="shared" si="39"/>
        <v>0.80500000000000005</v>
      </c>
      <c r="CA85" s="26">
        <f t="shared" si="39"/>
        <v>0.81</v>
      </c>
      <c r="CB85" s="26">
        <f t="shared" si="39"/>
        <v>0.81499999999999995</v>
      </c>
      <c r="CC85" s="26">
        <f t="shared" si="40"/>
        <v>0.82</v>
      </c>
      <c r="CD85" s="26">
        <f t="shared" si="40"/>
        <v>0.82499999999999996</v>
      </c>
      <c r="CE85" s="26">
        <f t="shared" si="40"/>
        <v>0.83</v>
      </c>
      <c r="CF85" s="26">
        <f t="shared" si="40"/>
        <v>0.83499999999999996</v>
      </c>
      <c r="CG85" s="26">
        <f t="shared" si="40"/>
        <v>0.84</v>
      </c>
      <c r="CH85" s="26">
        <f t="shared" si="40"/>
        <v>0.84499999999999997</v>
      </c>
      <c r="CI85" s="26">
        <f t="shared" si="40"/>
        <v>0.85</v>
      </c>
      <c r="CJ85" s="26">
        <f t="shared" si="40"/>
        <v>0.85499999999999998</v>
      </c>
      <c r="CK85" s="26">
        <f t="shared" si="40"/>
        <v>0.86</v>
      </c>
      <c r="CL85" s="26">
        <f t="shared" si="40"/>
        <v>0.86499999999999999</v>
      </c>
      <c r="CM85" s="26">
        <f t="shared" si="40"/>
        <v>0.87</v>
      </c>
      <c r="CN85" s="26">
        <f t="shared" si="40"/>
        <v>0.875</v>
      </c>
      <c r="CO85" s="26">
        <f t="shared" si="40"/>
        <v>0.88</v>
      </c>
      <c r="CP85" s="26">
        <f t="shared" si="40"/>
        <v>0.88500000000000001</v>
      </c>
      <c r="CQ85" s="26">
        <f t="shared" si="40"/>
        <v>0.89</v>
      </c>
      <c r="CR85" s="26">
        <f t="shared" si="40"/>
        <v>0.89500000000000002</v>
      </c>
      <c r="CS85" s="26">
        <f t="shared" si="41"/>
        <v>0.9</v>
      </c>
      <c r="CT85" s="26">
        <f t="shared" si="41"/>
        <v>0.90500000000000003</v>
      </c>
      <c r="CU85" s="26">
        <f t="shared" si="41"/>
        <v>0.91</v>
      </c>
      <c r="CV85" s="26">
        <f t="shared" si="41"/>
        <v>0.91500000000000004</v>
      </c>
      <c r="CW85" s="26">
        <f t="shared" si="41"/>
        <v>0.92</v>
      </c>
    </row>
    <row r="86" spans="2:101" ht="20.100000000000001" customHeight="1">
      <c r="B86" s="26">
        <f t="shared" si="45"/>
        <v>0.43</v>
      </c>
      <c r="C86" s="26">
        <f t="shared" si="45"/>
        <v>0.435</v>
      </c>
      <c r="D86" s="26">
        <f t="shared" si="45"/>
        <v>0.44</v>
      </c>
      <c r="E86" s="26">
        <f t="shared" si="45"/>
        <v>0.44500000000000001</v>
      </c>
      <c r="F86" s="26">
        <f t="shared" si="45"/>
        <v>0.45</v>
      </c>
      <c r="G86" s="26">
        <f t="shared" si="45"/>
        <v>0.45500000000000002</v>
      </c>
      <c r="H86" s="26">
        <f t="shared" si="45"/>
        <v>0.46</v>
      </c>
      <c r="I86" s="26">
        <f t="shared" si="45"/>
        <v>0.46500000000000002</v>
      </c>
      <c r="J86" s="26">
        <f t="shared" si="45"/>
        <v>0.47</v>
      </c>
      <c r="K86" s="26">
        <f t="shared" si="45"/>
        <v>0.47499999999999998</v>
      </c>
      <c r="L86" s="26">
        <f t="shared" si="45"/>
        <v>0.48</v>
      </c>
      <c r="M86" s="26">
        <f t="shared" si="45"/>
        <v>0.48499999999999999</v>
      </c>
      <c r="N86" s="26">
        <f t="shared" si="45"/>
        <v>0.49</v>
      </c>
      <c r="O86" s="26">
        <f t="shared" si="45"/>
        <v>0.495</v>
      </c>
      <c r="P86" s="26">
        <f t="shared" si="45"/>
        <v>0.5</v>
      </c>
      <c r="Q86" s="26">
        <f t="shared" si="45"/>
        <v>0.505</v>
      </c>
      <c r="R86" s="26">
        <f t="shared" si="43"/>
        <v>0.51</v>
      </c>
      <c r="S86" s="26">
        <f t="shared" si="43"/>
        <v>0.51500000000000001</v>
      </c>
      <c r="T86" s="26">
        <f t="shared" si="43"/>
        <v>0.52</v>
      </c>
      <c r="U86" s="26">
        <f t="shared" si="43"/>
        <v>0.52500000000000002</v>
      </c>
      <c r="V86" s="26">
        <f t="shared" si="43"/>
        <v>0.53</v>
      </c>
      <c r="W86" s="26">
        <f t="shared" si="43"/>
        <v>0.53500000000000003</v>
      </c>
      <c r="X86" s="26">
        <f t="shared" si="43"/>
        <v>0.54</v>
      </c>
      <c r="Y86" s="26">
        <f t="shared" si="43"/>
        <v>0.54500000000000004</v>
      </c>
      <c r="Z86" s="26">
        <f t="shared" si="43"/>
        <v>0.55000000000000004</v>
      </c>
      <c r="AA86" s="26">
        <f t="shared" si="43"/>
        <v>0.55500000000000005</v>
      </c>
      <c r="AB86" s="26">
        <f t="shared" si="43"/>
        <v>0.56000000000000005</v>
      </c>
      <c r="AC86" s="26">
        <f t="shared" si="43"/>
        <v>0.56499999999999995</v>
      </c>
      <c r="AD86" s="26">
        <f t="shared" si="43"/>
        <v>0.56999999999999995</v>
      </c>
      <c r="AE86" s="26">
        <f t="shared" si="43"/>
        <v>0.57499999999999996</v>
      </c>
      <c r="AF86" s="26">
        <f t="shared" si="42"/>
        <v>0.57999999999999996</v>
      </c>
      <c r="AG86" s="26">
        <f t="shared" si="42"/>
        <v>0.58499999999999996</v>
      </c>
      <c r="AH86" s="26">
        <f t="shared" si="42"/>
        <v>0.59</v>
      </c>
      <c r="AI86" s="26">
        <f t="shared" si="42"/>
        <v>0.59499999999999997</v>
      </c>
      <c r="AJ86" s="26">
        <f t="shared" si="42"/>
        <v>0.6</v>
      </c>
      <c r="AK86" s="26">
        <f t="shared" si="42"/>
        <v>0.60499999999999998</v>
      </c>
      <c r="AL86" s="26">
        <f t="shared" si="42"/>
        <v>0.61</v>
      </c>
      <c r="AM86" s="26">
        <f t="shared" si="42"/>
        <v>0.61499999999999999</v>
      </c>
      <c r="AN86" s="26">
        <f t="shared" si="42"/>
        <v>0.62</v>
      </c>
      <c r="AO86" s="26">
        <f t="shared" si="42"/>
        <v>0.625</v>
      </c>
      <c r="AP86" s="26">
        <f t="shared" si="42"/>
        <v>0.63</v>
      </c>
      <c r="AQ86" s="26">
        <f t="shared" si="42"/>
        <v>0.63500000000000001</v>
      </c>
      <c r="AR86" s="26">
        <f t="shared" si="42"/>
        <v>0.64</v>
      </c>
      <c r="AS86" s="26">
        <f t="shared" si="42"/>
        <v>0.64500000000000002</v>
      </c>
      <c r="AT86" s="26">
        <f t="shared" si="42"/>
        <v>0.65</v>
      </c>
      <c r="AU86" s="26">
        <f t="shared" si="42"/>
        <v>0.65500000000000003</v>
      </c>
      <c r="AV86" s="26">
        <f t="shared" si="44"/>
        <v>0.66</v>
      </c>
      <c r="AW86" s="26">
        <f t="shared" si="38"/>
        <v>0.66500000000000004</v>
      </c>
      <c r="AX86" s="26">
        <f t="shared" si="38"/>
        <v>0.67</v>
      </c>
      <c r="AY86" s="26">
        <f t="shared" si="38"/>
        <v>0.67500000000000004</v>
      </c>
      <c r="AZ86" s="26">
        <f t="shared" si="38"/>
        <v>0.68</v>
      </c>
      <c r="BA86" s="26">
        <f t="shared" si="38"/>
        <v>0.68500000000000005</v>
      </c>
      <c r="BB86" s="26">
        <f t="shared" si="38"/>
        <v>0.69</v>
      </c>
      <c r="BC86" s="26">
        <f t="shared" si="38"/>
        <v>0.69499999999999995</v>
      </c>
      <c r="BD86" s="26">
        <f t="shared" si="38"/>
        <v>0.7</v>
      </c>
      <c r="BE86" s="26">
        <f t="shared" si="38"/>
        <v>0.70499999999999996</v>
      </c>
      <c r="BF86" s="26">
        <f t="shared" si="38"/>
        <v>0.71</v>
      </c>
      <c r="BG86" s="26">
        <f t="shared" si="38"/>
        <v>0.71499999999999997</v>
      </c>
      <c r="BH86" s="26">
        <f t="shared" si="38"/>
        <v>0.72</v>
      </c>
      <c r="BI86" s="26">
        <f t="shared" si="38"/>
        <v>0.72499999999999998</v>
      </c>
      <c r="BJ86" s="26">
        <f t="shared" si="38"/>
        <v>0.73</v>
      </c>
      <c r="BK86" s="26">
        <f t="shared" si="38"/>
        <v>0.73499999999999999</v>
      </c>
      <c r="BL86" s="26">
        <f t="shared" si="38"/>
        <v>0.74</v>
      </c>
      <c r="BM86" s="26">
        <f t="shared" si="39"/>
        <v>0.745</v>
      </c>
      <c r="BN86" s="26">
        <f t="shared" si="39"/>
        <v>0.75</v>
      </c>
      <c r="BO86" s="26">
        <f t="shared" si="39"/>
        <v>0.755</v>
      </c>
      <c r="BP86" s="26">
        <f t="shared" si="39"/>
        <v>0.76</v>
      </c>
      <c r="BQ86" s="26">
        <f t="shared" si="39"/>
        <v>0.76500000000000001</v>
      </c>
      <c r="BR86" s="26">
        <f t="shared" si="39"/>
        <v>0.77</v>
      </c>
      <c r="BS86" s="26">
        <f t="shared" si="39"/>
        <v>0.77500000000000002</v>
      </c>
      <c r="BT86" s="26">
        <f t="shared" si="39"/>
        <v>0.78</v>
      </c>
      <c r="BU86" s="26">
        <f t="shared" si="39"/>
        <v>0.78500000000000003</v>
      </c>
      <c r="BV86" s="26">
        <f t="shared" si="39"/>
        <v>0.79</v>
      </c>
      <c r="BW86" s="26">
        <f t="shared" si="39"/>
        <v>0.79500000000000004</v>
      </c>
      <c r="BX86" s="26">
        <f t="shared" si="39"/>
        <v>0.8</v>
      </c>
      <c r="BY86" s="26">
        <f t="shared" si="39"/>
        <v>0.80500000000000005</v>
      </c>
      <c r="BZ86" s="26">
        <f t="shared" si="39"/>
        <v>0.81</v>
      </c>
      <c r="CA86" s="26">
        <f t="shared" si="39"/>
        <v>0.81499999999999995</v>
      </c>
      <c r="CB86" s="26">
        <f t="shared" si="39"/>
        <v>0.82</v>
      </c>
      <c r="CC86" s="26">
        <f t="shared" si="40"/>
        <v>0.82499999999999996</v>
      </c>
      <c r="CD86" s="26">
        <f t="shared" si="40"/>
        <v>0.83</v>
      </c>
      <c r="CE86" s="26">
        <f t="shared" si="40"/>
        <v>0.83499999999999996</v>
      </c>
      <c r="CF86" s="26">
        <f t="shared" si="40"/>
        <v>0.84</v>
      </c>
      <c r="CG86" s="26">
        <f t="shared" si="40"/>
        <v>0.84499999999999997</v>
      </c>
      <c r="CH86" s="26">
        <f t="shared" si="40"/>
        <v>0.85</v>
      </c>
      <c r="CI86" s="26">
        <f t="shared" si="40"/>
        <v>0.85499999999999998</v>
      </c>
      <c r="CJ86" s="26">
        <f t="shared" si="40"/>
        <v>0.86</v>
      </c>
      <c r="CK86" s="26">
        <f t="shared" si="40"/>
        <v>0.86499999999999999</v>
      </c>
      <c r="CL86" s="26">
        <f t="shared" si="40"/>
        <v>0.87</v>
      </c>
      <c r="CM86" s="26">
        <f t="shared" si="40"/>
        <v>0.875</v>
      </c>
      <c r="CN86" s="26">
        <f t="shared" si="40"/>
        <v>0.88</v>
      </c>
      <c r="CO86" s="26">
        <f t="shared" si="40"/>
        <v>0.88500000000000001</v>
      </c>
      <c r="CP86" s="26">
        <f t="shared" si="40"/>
        <v>0.89</v>
      </c>
      <c r="CQ86" s="26">
        <f t="shared" si="40"/>
        <v>0.89500000000000002</v>
      </c>
      <c r="CR86" s="26">
        <f t="shared" si="40"/>
        <v>0.9</v>
      </c>
      <c r="CS86" s="26">
        <f t="shared" si="41"/>
        <v>0.90500000000000003</v>
      </c>
      <c r="CT86" s="26">
        <f t="shared" si="41"/>
        <v>0.91</v>
      </c>
      <c r="CU86" s="26">
        <f t="shared" si="41"/>
        <v>0.91500000000000004</v>
      </c>
      <c r="CV86" s="26">
        <f t="shared" si="41"/>
        <v>0.92</v>
      </c>
      <c r="CW86" s="26">
        <f t="shared" si="41"/>
        <v>0.92500000000000004</v>
      </c>
    </row>
    <row r="87" spans="2:101" ht="20.100000000000001" customHeight="1">
      <c r="B87" s="26">
        <f t="shared" si="45"/>
        <v>0.435</v>
      </c>
      <c r="C87" s="26">
        <f t="shared" si="45"/>
        <v>0.44</v>
      </c>
      <c r="D87" s="26">
        <f t="shared" si="45"/>
        <v>0.44500000000000001</v>
      </c>
      <c r="E87" s="26">
        <f t="shared" si="45"/>
        <v>0.45</v>
      </c>
      <c r="F87" s="26">
        <f t="shared" si="45"/>
        <v>0.45500000000000002</v>
      </c>
      <c r="G87" s="26">
        <f t="shared" si="45"/>
        <v>0.46</v>
      </c>
      <c r="H87" s="26">
        <f t="shared" si="45"/>
        <v>0.46500000000000002</v>
      </c>
      <c r="I87" s="26">
        <f t="shared" si="45"/>
        <v>0.47</v>
      </c>
      <c r="J87" s="26">
        <f t="shared" si="45"/>
        <v>0.47499999999999998</v>
      </c>
      <c r="K87" s="26">
        <f t="shared" si="45"/>
        <v>0.48</v>
      </c>
      <c r="L87" s="26">
        <f t="shared" si="45"/>
        <v>0.48499999999999999</v>
      </c>
      <c r="M87" s="26">
        <f t="shared" si="45"/>
        <v>0.49</v>
      </c>
      <c r="N87" s="26">
        <f t="shared" si="45"/>
        <v>0.495</v>
      </c>
      <c r="O87" s="26">
        <f t="shared" si="45"/>
        <v>0.5</v>
      </c>
      <c r="P87" s="26">
        <f t="shared" si="45"/>
        <v>0.505</v>
      </c>
      <c r="Q87" s="26">
        <f t="shared" si="45"/>
        <v>0.51</v>
      </c>
      <c r="R87" s="26">
        <f t="shared" si="43"/>
        <v>0.51500000000000001</v>
      </c>
      <c r="S87" s="26">
        <f t="shared" si="43"/>
        <v>0.52</v>
      </c>
      <c r="T87" s="26">
        <f t="shared" si="43"/>
        <v>0.52500000000000002</v>
      </c>
      <c r="U87" s="26">
        <f t="shared" si="43"/>
        <v>0.53</v>
      </c>
      <c r="V87" s="26">
        <f t="shared" si="43"/>
        <v>0.53500000000000003</v>
      </c>
      <c r="W87" s="26">
        <f t="shared" si="43"/>
        <v>0.54</v>
      </c>
      <c r="X87" s="26">
        <f t="shared" si="43"/>
        <v>0.54500000000000004</v>
      </c>
      <c r="Y87" s="26">
        <f t="shared" si="43"/>
        <v>0.55000000000000004</v>
      </c>
      <c r="Z87" s="26">
        <f t="shared" si="43"/>
        <v>0.55500000000000005</v>
      </c>
      <c r="AA87" s="26">
        <f t="shared" si="43"/>
        <v>0.56000000000000005</v>
      </c>
      <c r="AB87" s="26">
        <f t="shared" si="43"/>
        <v>0.56499999999999995</v>
      </c>
      <c r="AC87" s="26">
        <f t="shared" si="43"/>
        <v>0.56999999999999995</v>
      </c>
      <c r="AD87" s="26">
        <f t="shared" si="43"/>
        <v>0.57499999999999996</v>
      </c>
      <c r="AE87" s="26">
        <f t="shared" si="43"/>
        <v>0.57999999999999996</v>
      </c>
      <c r="AF87" s="26">
        <f t="shared" si="42"/>
        <v>0.58499999999999996</v>
      </c>
      <c r="AG87" s="26">
        <f t="shared" si="42"/>
        <v>0.59</v>
      </c>
      <c r="AH87" s="26">
        <f t="shared" si="42"/>
        <v>0.59499999999999997</v>
      </c>
      <c r="AI87" s="26">
        <f t="shared" si="42"/>
        <v>0.6</v>
      </c>
      <c r="AJ87" s="26">
        <f t="shared" si="42"/>
        <v>0.60499999999999998</v>
      </c>
      <c r="AK87" s="26">
        <f t="shared" si="42"/>
        <v>0.61</v>
      </c>
      <c r="AL87" s="26">
        <f t="shared" si="42"/>
        <v>0.61499999999999999</v>
      </c>
      <c r="AM87" s="26">
        <f t="shared" si="42"/>
        <v>0.62</v>
      </c>
      <c r="AN87" s="26">
        <f t="shared" si="42"/>
        <v>0.625</v>
      </c>
      <c r="AO87" s="26">
        <f t="shared" si="42"/>
        <v>0.63</v>
      </c>
      <c r="AP87" s="26">
        <f t="shared" si="42"/>
        <v>0.63500000000000001</v>
      </c>
      <c r="AQ87" s="26">
        <f t="shared" si="42"/>
        <v>0.64</v>
      </c>
      <c r="AR87" s="26">
        <f t="shared" si="42"/>
        <v>0.64500000000000002</v>
      </c>
      <c r="AS87" s="26">
        <f t="shared" si="42"/>
        <v>0.65</v>
      </c>
      <c r="AT87" s="26">
        <f t="shared" si="42"/>
        <v>0.65500000000000003</v>
      </c>
      <c r="AU87" s="26">
        <f t="shared" si="42"/>
        <v>0.66</v>
      </c>
      <c r="AV87" s="26">
        <f t="shared" si="44"/>
        <v>0.66500000000000004</v>
      </c>
      <c r="AW87" s="26">
        <f t="shared" si="38"/>
        <v>0.67</v>
      </c>
      <c r="AX87" s="26">
        <f t="shared" si="38"/>
        <v>0.67500000000000004</v>
      </c>
      <c r="AY87" s="26">
        <f t="shared" si="38"/>
        <v>0.68</v>
      </c>
      <c r="AZ87" s="26">
        <f t="shared" si="38"/>
        <v>0.68500000000000005</v>
      </c>
      <c r="BA87" s="26">
        <f t="shared" si="38"/>
        <v>0.69</v>
      </c>
      <c r="BB87" s="26">
        <f t="shared" si="38"/>
        <v>0.69499999999999995</v>
      </c>
      <c r="BC87" s="26">
        <f t="shared" si="38"/>
        <v>0.7</v>
      </c>
      <c r="BD87" s="26">
        <f t="shared" si="38"/>
        <v>0.70499999999999996</v>
      </c>
      <c r="BE87" s="26">
        <f t="shared" si="38"/>
        <v>0.71</v>
      </c>
      <c r="BF87" s="26">
        <f t="shared" si="38"/>
        <v>0.71499999999999997</v>
      </c>
      <c r="BG87" s="26">
        <f t="shared" si="38"/>
        <v>0.72</v>
      </c>
      <c r="BH87" s="26">
        <f t="shared" si="38"/>
        <v>0.72499999999999998</v>
      </c>
      <c r="BI87" s="26">
        <f t="shared" si="38"/>
        <v>0.73</v>
      </c>
      <c r="BJ87" s="26">
        <f t="shared" si="38"/>
        <v>0.73499999999999999</v>
      </c>
      <c r="BK87" s="26">
        <f t="shared" si="38"/>
        <v>0.74</v>
      </c>
      <c r="BL87" s="26">
        <f t="shared" si="38"/>
        <v>0.745</v>
      </c>
      <c r="BM87" s="26">
        <f t="shared" si="39"/>
        <v>0.75</v>
      </c>
      <c r="BN87" s="26">
        <f t="shared" si="39"/>
        <v>0.755</v>
      </c>
      <c r="BO87" s="26">
        <f t="shared" si="39"/>
        <v>0.76</v>
      </c>
      <c r="BP87" s="26">
        <f t="shared" si="39"/>
        <v>0.76500000000000001</v>
      </c>
      <c r="BQ87" s="26">
        <f t="shared" si="39"/>
        <v>0.77</v>
      </c>
      <c r="BR87" s="26">
        <f t="shared" si="39"/>
        <v>0.77500000000000002</v>
      </c>
      <c r="BS87" s="26">
        <f t="shared" si="39"/>
        <v>0.78</v>
      </c>
      <c r="BT87" s="26">
        <f t="shared" si="39"/>
        <v>0.78500000000000003</v>
      </c>
      <c r="BU87" s="26">
        <f t="shared" si="39"/>
        <v>0.79</v>
      </c>
      <c r="BV87" s="26">
        <f t="shared" si="39"/>
        <v>0.79500000000000004</v>
      </c>
      <c r="BW87" s="26">
        <f t="shared" si="39"/>
        <v>0.8</v>
      </c>
      <c r="BX87" s="26">
        <f t="shared" si="39"/>
        <v>0.80500000000000005</v>
      </c>
      <c r="BY87" s="26">
        <f t="shared" si="39"/>
        <v>0.81</v>
      </c>
      <c r="BZ87" s="26">
        <f t="shared" si="39"/>
        <v>0.81499999999999995</v>
      </c>
      <c r="CA87" s="26">
        <f t="shared" si="39"/>
        <v>0.82</v>
      </c>
      <c r="CB87" s="26">
        <f t="shared" si="39"/>
        <v>0.82499999999999996</v>
      </c>
      <c r="CC87" s="26">
        <f t="shared" si="40"/>
        <v>0.83</v>
      </c>
      <c r="CD87" s="26">
        <f t="shared" si="40"/>
        <v>0.83499999999999996</v>
      </c>
      <c r="CE87" s="26">
        <f t="shared" si="40"/>
        <v>0.84</v>
      </c>
      <c r="CF87" s="26">
        <f t="shared" si="40"/>
        <v>0.84499999999999997</v>
      </c>
      <c r="CG87" s="26">
        <f t="shared" si="40"/>
        <v>0.85</v>
      </c>
      <c r="CH87" s="26">
        <f t="shared" si="40"/>
        <v>0.85499999999999998</v>
      </c>
      <c r="CI87" s="26">
        <f t="shared" si="40"/>
        <v>0.86</v>
      </c>
      <c r="CJ87" s="26">
        <f t="shared" si="40"/>
        <v>0.86499999999999999</v>
      </c>
      <c r="CK87" s="26">
        <f t="shared" si="40"/>
        <v>0.87</v>
      </c>
      <c r="CL87" s="26">
        <f t="shared" si="40"/>
        <v>0.875</v>
      </c>
      <c r="CM87" s="26">
        <f t="shared" si="40"/>
        <v>0.88</v>
      </c>
      <c r="CN87" s="26">
        <f t="shared" si="40"/>
        <v>0.88500000000000001</v>
      </c>
      <c r="CO87" s="26">
        <f t="shared" si="40"/>
        <v>0.89</v>
      </c>
      <c r="CP87" s="26">
        <f t="shared" si="40"/>
        <v>0.89500000000000002</v>
      </c>
      <c r="CQ87" s="26">
        <f t="shared" si="40"/>
        <v>0.9</v>
      </c>
      <c r="CR87" s="26">
        <f t="shared" si="40"/>
        <v>0.90500000000000003</v>
      </c>
      <c r="CS87" s="26">
        <f t="shared" si="41"/>
        <v>0.91</v>
      </c>
      <c r="CT87" s="26">
        <f t="shared" si="41"/>
        <v>0.91500000000000004</v>
      </c>
      <c r="CU87" s="26">
        <f t="shared" si="41"/>
        <v>0.92</v>
      </c>
      <c r="CV87" s="26">
        <f t="shared" si="41"/>
        <v>0.92500000000000004</v>
      </c>
      <c r="CW87" s="26">
        <f t="shared" si="41"/>
        <v>0.93</v>
      </c>
    </row>
    <row r="88" spans="2:101" ht="20.100000000000001" customHeight="1">
      <c r="B88" s="26">
        <f t="shared" si="45"/>
        <v>0.44</v>
      </c>
      <c r="C88" s="26">
        <f t="shared" si="45"/>
        <v>0.44500000000000001</v>
      </c>
      <c r="D88" s="26">
        <f t="shared" si="45"/>
        <v>0.45</v>
      </c>
      <c r="E88" s="26">
        <f t="shared" si="45"/>
        <v>0.45500000000000002</v>
      </c>
      <c r="F88" s="26">
        <f t="shared" si="45"/>
        <v>0.46</v>
      </c>
      <c r="G88" s="26">
        <f t="shared" si="45"/>
        <v>0.46500000000000002</v>
      </c>
      <c r="H88" s="26">
        <f t="shared" si="45"/>
        <v>0.47</v>
      </c>
      <c r="I88" s="26">
        <f t="shared" si="45"/>
        <v>0.47499999999999998</v>
      </c>
      <c r="J88" s="26">
        <f t="shared" si="45"/>
        <v>0.48</v>
      </c>
      <c r="K88" s="26">
        <f t="shared" si="45"/>
        <v>0.48499999999999999</v>
      </c>
      <c r="L88" s="26">
        <f t="shared" si="45"/>
        <v>0.49</v>
      </c>
      <c r="M88" s="26">
        <f t="shared" si="45"/>
        <v>0.495</v>
      </c>
      <c r="N88" s="26">
        <f t="shared" si="45"/>
        <v>0.5</v>
      </c>
      <c r="O88" s="26">
        <f t="shared" si="45"/>
        <v>0.505</v>
      </c>
      <c r="P88" s="26">
        <f t="shared" si="45"/>
        <v>0.51</v>
      </c>
      <c r="Q88" s="26">
        <f t="shared" si="45"/>
        <v>0.51500000000000001</v>
      </c>
      <c r="R88" s="26">
        <f t="shared" si="43"/>
        <v>0.52</v>
      </c>
      <c r="S88" s="26">
        <f t="shared" si="43"/>
        <v>0.52500000000000002</v>
      </c>
      <c r="T88" s="26">
        <f t="shared" si="43"/>
        <v>0.53</v>
      </c>
      <c r="U88" s="26">
        <f t="shared" si="43"/>
        <v>0.53500000000000003</v>
      </c>
      <c r="V88" s="26">
        <f t="shared" si="43"/>
        <v>0.54</v>
      </c>
      <c r="W88" s="26">
        <f t="shared" si="43"/>
        <v>0.54500000000000004</v>
      </c>
      <c r="X88" s="26">
        <f t="shared" si="43"/>
        <v>0.55000000000000004</v>
      </c>
      <c r="Y88" s="26">
        <f t="shared" si="43"/>
        <v>0.55500000000000005</v>
      </c>
      <c r="Z88" s="26">
        <f t="shared" si="43"/>
        <v>0.56000000000000005</v>
      </c>
      <c r="AA88" s="26">
        <f t="shared" si="43"/>
        <v>0.56499999999999995</v>
      </c>
      <c r="AB88" s="26">
        <f t="shared" si="43"/>
        <v>0.56999999999999995</v>
      </c>
      <c r="AC88" s="26">
        <f t="shared" si="43"/>
        <v>0.57499999999999996</v>
      </c>
      <c r="AD88" s="26">
        <f t="shared" si="43"/>
        <v>0.57999999999999996</v>
      </c>
      <c r="AE88" s="26">
        <f t="shared" si="43"/>
        <v>0.58499999999999996</v>
      </c>
      <c r="AF88" s="26">
        <f t="shared" si="42"/>
        <v>0.59</v>
      </c>
      <c r="AG88" s="26">
        <f t="shared" si="42"/>
        <v>0.59499999999999997</v>
      </c>
      <c r="AH88" s="26">
        <f t="shared" si="42"/>
        <v>0.6</v>
      </c>
      <c r="AI88" s="26">
        <f t="shared" si="42"/>
        <v>0.60499999999999998</v>
      </c>
      <c r="AJ88" s="26">
        <f t="shared" si="42"/>
        <v>0.61</v>
      </c>
      <c r="AK88" s="26">
        <f t="shared" si="42"/>
        <v>0.61499999999999999</v>
      </c>
      <c r="AL88" s="26">
        <f t="shared" si="42"/>
        <v>0.62</v>
      </c>
      <c r="AM88" s="26">
        <f t="shared" si="42"/>
        <v>0.625</v>
      </c>
      <c r="AN88" s="26">
        <f t="shared" si="42"/>
        <v>0.63</v>
      </c>
      <c r="AO88" s="26">
        <f t="shared" si="42"/>
        <v>0.63500000000000001</v>
      </c>
      <c r="AP88" s="26">
        <f t="shared" si="42"/>
        <v>0.64</v>
      </c>
      <c r="AQ88" s="26">
        <f t="shared" si="42"/>
        <v>0.64500000000000002</v>
      </c>
      <c r="AR88" s="26">
        <f t="shared" si="42"/>
        <v>0.65</v>
      </c>
      <c r="AS88" s="26">
        <f t="shared" si="42"/>
        <v>0.65500000000000003</v>
      </c>
      <c r="AT88" s="26">
        <f t="shared" si="42"/>
        <v>0.66</v>
      </c>
      <c r="AU88" s="26">
        <f t="shared" si="42"/>
        <v>0.66500000000000004</v>
      </c>
      <c r="AV88" s="26">
        <f t="shared" si="44"/>
        <v>0.67</v>
      </c>
      <c r="AW88" s="26">
        <f t="shared" si="38"/>
        <v>0.67500000000000004</v>
      </c>
      <c r="AX88" s="26">
        <f t="shared" si="38"/>
        <v>0.68</v>
      </c>
      <c r="AY88" s="26">
        <f t="shared" si="38"/>
        <v>0.68500000000000005</v>
      </c>
      <c r="AZ88" s="26">
        <f t="shared" si="38"/>
        <v>0.69</v>
      </c>
      <c r="BA88" s="26">
        <f t="shared" si="38"/>
        <v>0.69499999999999995</v>
      </c>
      <c r="BB88" s="26">
        <f t="shared" si="38"/>
        <v>0.7</v>
      </c>
      <c r="BC88" s="26">
        <f t="shared" si="38"/>
        <v>0.70499999999999996</v>
      </c>
      <c r="BD88" s="26">
        <f t="shared" si="38"/>
        <v>0.71</v>
      </c>
      <c r="BE88" s="26">
        <f t="shared" si="38"/>
        <v>0.71499999999999997</v>
      </c>
      <c r="BF88" s="26">
        <f t="shared" si="38"/>
        <v>0.72</v>
      </c>
      <c r="BG88" s="26">
        <f t="shared" si="38"/>
        <v>0.72499999999999998</v>
      </c>
      <c r="BH88" s="26">
        <f t="shared" si="38"/>
        <v>0.73</v>
      </c>
      <c r="BI88" s="26">
        <f t="shared" si="38"/>
        <v>0.73499999999999999</v>
      </c>
      <c r="BJ88" s="26">
        <f t="shared" si="38"/>
        <v>0.74</v>
      </c>
      <c r="BK88" s="26">
        <f t="shared" si="38"/>
        <v>0.745</v>
      </c>
      <c r="BL88" s="26">
        <f t="shared" si="38"/>
        <v>0.75</v>
      </c>
      <c r="BM88" s="26">
        <f t="shared" si="39"/>
        <v>0.755</v>
      </c>
      <c r="BN88" s="26">
        <f t="shared" si="39"/>
        <v>0.76</v>
      </c>
      <c r="BO88" s="26">
        <f t="shared" si="39"/>
        <v>0.76500000000000001</v>
      </c>
      <c r="BP88" s="26">
        <f t="shared" si="39"/>
        <v>0.77</v>
      </c>
      <c r="BQ88" s="26">
        <f t="shared" si="39"/>
        <v>0.77500000000000002</v>
      </c>
      <c r="BR88" s="26">
        <f t="shared" si="39"/>
        <v>0.78</v>
      </c>
      <c r="BS88" s="26">
        <f t="shared" si="39"/>
        <v>0.78500000000000003</v>
      </c>
      <c r="BT88" s="26">
        <f t="shared" si="39"/>
        <v>0.79</v>
      </c>
      <c r="BU88" s="26">
        <f t="shared" si="39"/>
        <v>0.79500000000000004</v>
      </c>
      <c r="BV88" s="26">
        <f t="shared" si="39"/>
        <v>0.8</v>
      </c>
      <c r="BW88" s="26">
        <f t="shared" si="39"/>
        <v>0.80500000000000005</v>
      </c>
      <c r="BX88" s="26">
        <f t="shared" si="39"/>
        <v>0.81</v>
      </c>
      <c r="BY88" s="26">
        <f t="shared" si="39"/>
        <v>0.81499999999999995</v>
      </c>
      <c r="BZ88" s="26">
        <f t="shared" si="39"/>
        <v>0.82</v>
      </c>
      <c r="CA88" s="26">
        <f t="shared" si="39"/>
        <v>0.82499999999999996</v>
      </c>
      <c r="CB88" s="26">
        <f t="shared" si="39"/>
        <v>0.83</v>
      </c>
      <c r="CC88" s="26">
        <f t="shared" si="40"/>
        <v>0.83499999999999996</v>
      </c>
      <c r="CD88" s="26">
        <f t="shared" si="40"/>
        <v>0.84</v>
      </c>
      <c r="CE88" s="26">
        <f t="shared" si="40"/>
        <v>0.84499999999999997</v>
      </c>
      <c r="CF88" s="26">
        <f t="shared" si="40"/>
        <v>0.85</v>
      </c>
      <c r="CG88" s="26">
        <f t="shared" si="40"/>
        <v>0.85499999999999998</v>
      </c>
      <c r="CH88" s="26">
        <f t="shared" si="40"/>
        <v>0.86</v>
      </c>
      <c r="CI88" s="26">
        <f t="shared" si="40"/>
        <v>0.86499999999999999</v>
      </c>
      <c r="CJ88" s="26">
        <f t="shared" si="40"/>
        <v>0.87</v>
      </c>
      <c r="CK88" s="26">
        <f t="shared" si="40"/>
        <v>0.875</v>
      </c>
      <c r="CL88" s="26">
        <f t="shared" si="40"/>
        <v>0.88</v>
      </c>
      <c r="CM88" s="26">
        <f t="shared" si="40"/>
        <v>0.88500000000000001</v>
      </c>
      <c r="CN88" s="26">
        <f t="shared" si="40"/>
        <v>0.89</v>
      </c>
      <c r="CO88" s="26">
        <f t="shared" si="40"/>
        <v>0.89500000000000002</v>
      </c>
      <c r="CP88" s="26">
        <f t="shared" si="40"/>
        <v>0.9</v>
      </c>
      <c r="CQ88" s="26">
        <f t="shared" si="40"/>
        <v>0.90500000000000003</v>
      </c>
      <c r="CR88" s="26">
        <f t="shared" si="40"/>
        <v>0.91</v>
      </c>
      <c r="CS88" s="26">
        <f t="shared" si="41"/>
        <v>0.91500000000000004</v>
      </c>
      <c r="CT88" s="26">
        <f t="shared" si="41"/>
        <v>0.92</v>
      </c>
      <c r="CU88" s="26">
        <f t="shared" si="41"/>
        <v>0.92500000000000004</v>
      </c>
      <c r="CV88" s="26">
        <f t="shared" si="41"/>
        <v>0.93</v>
      </c>
      <c r="CW88" s="26">
        <f t="shared" si="41"/>
        <v>0.93500000000000005</v>
      </c>
    </row>
    <row r="89" spans="2:101" ht="20.100000000000001" customHeight="1">
      <c r="B89" s="26">
        <f t="shared" si="45"/>
        <v>0.44500000000000001</v>
      </c>
      <c r="C89" s="26">
        <f t="shared" si="45"/>
        <v>0.45</v>
      </c>
      <c r="D89" s="26">
        <f t="shared" si="45"/>
        <v>0.45500000000000002</v>
      </c>
      <c r="E89" s="26">
        <f t="shared" si="45"/>
        <v>0.46</v>
      </c>
      <c r="F89" s="26">
        <f t="shared" si="45"/>
        <v>0.46500000000000002</v>
      </c>
      <c r="G89" s="26">
        <f t="shared" si="45"/>
        <v>0.47</v>
      </c>
      <c r="H89" s="26">
        <f t="shared" si="45"/>
        <v>0.47499999999999998</v>
      </c>
      <c r="I89" s="26">
        <f t="shared" si="45"/>
        <v>0.48</v>
      </c>
      <c r="J89" s="26">
        <f t="shared" si="45"/>
        <v>0.48499999999999999</v>
      </c>
      <c r="K89" s="26">
        <f t="shared" si="45"/>
        <v>0.49</v>
      </c>
      <c r="L89" s="26">
        <f t="shared" si="45"/>
        <v>0.495</v>
      </c>
      <c r="M89" s="26">
        <f t="shared" si="45"/>
        <v>0.5</v>
      </c>
      <c r="N89" s="26">
        <f t="shared" si="45"/>
        <v>0.505</v>
      </c>
      <c r="O89" s="26">
        <f t="shared" si="45"/>
        <v>0.51</v>
      </c>
      <c r="P89" s="26">
        <f t="shared" si="45"/>
        <v>0.51500000000000001</v>
      </c>
      <c r="Q89" s="26">
        <f t="shared" si="45"/>
        <v>0.52</v>
      </c>
      <c r="R89" s="26">
        <f t="shared" si="43"/>
        <v>0.52500000000000002</v>
      </c>
      <c r="S89" s="26">
        <f t="shared" si="43"/>
        <v>0.53</v>
      </c>
      <c r="T89" s="26">
        <f t="shared" si="43"/>
        <v>0.53500000000000003</v>
      </c>
      <c r="U89" s="26">
        <f t="shared" si="43"/>
        <v>0.54</v>
      </c>
      <c r="V89" s="26">
        <f t="shared" si="43"/>
        <v>0.54500000000000004</v>
      </c>
      <c r="W89" s="26">
        <f t="shared" si="43"/>
        <v>0.55000000000000004</v>
      </c>
      <c r="X89" s="26">
        <f t="shared" si="43"/>
        <v>0.55500000000000005</v>
      </c>
      <c r="Y89" s="26">
        <f t="shared" si="43"/>
        <v>0.56000000000000005</v>
      </c>
      <c r="Z89" s="26">
        <f t="shared" si="43"/>
        <v>0.56499999999999995</v>
      </c>
      <c r="AA89" s="26">
        <f t="shared" si="43"/>
        <v>0.56999999999999995</v>
      </c>
      <c r="AB89" s="26">
        <f t="shared" si="43"/>
        <v>0.57499999999999996</v>
      </c>
      <c r="AC89" s="26">
        <f t="shared" si="43"/>
        <v>0.57999999999999996</v>
      </c>
      <c r="AD89" s="26">
        <f t="shared" si="43"/>
        <v>0.58499999999999996</v>
      </c>
      <c r="AE89" s="26">
        <f t="shared" si="43"/>
        <v>0.59</v>
      </c>
      <c r="AF89" s="26">
        <f t="shared" si="42"/>
        <v>0.59499999999999997</v>
      </c>
      <c r="AG89" s="26">
        <f t="shared" si="42"/>
        <v>0.6</v>
      </c>
      <c r="AH89" s="26">
        <f t="shared" si="42"/>
        <v>0.60499999999999998</v>
      </c>
      <c r="AI89" s="26">
        <f t="shared" si="42"/>
        <v>0.61</v>
      </c>
      <c r="AJ89" s="26">
        <f t="shared" si="42"/>
        <v>0.61499999999999999</v>
      </c>
      <c r="AK89" s="26">
        <f t="shared" si="42"/>
        <v>0.62</v>
      </c>
      <c r="AL89" s="26">
        <f t="shared" si="42"/>
        <v>0.625</v>
      </c>
      <c r="AM89" s="26">
        <f t="shared" si="42"/>
        <v>0.63</v>
      </c>
      <c r="AN89" s="26">
        <f t="shared" si="42"/>
        <v>0.63500000000000001</v>
      </c>
      <c r="AO89" s="26">
        <f t="shared" si="42"/>
        <v>0.64</v>
      </c>
      <c r="AP89" s="26">
        <f t="shared" si="42"/>
        <v>0.64500000000000002</v>
      </c>
      <c r="AQ89" s="26">
        <f t="shared" si="42"/>
        <v>0.65</v>
      </c>
      <c r="AR89" s="26">
        <f t="shared" si="42"/>
        <v>0.65500000000000003</v>
      </c>
      <c r="AS89" s="26">
        <f t="shared" si="42"/>
        <v>0.66</v>
      </c>
      <c r="AT89" s="26">
        <f t="shared" si="42"/>
        <v>0.66500000000000004</v>
      </c>
      <c r="AU89" s="26">
        <f t="shared" si="42"/>
        <v>0.67</v>
      </c>
      <c r="AV89" s="26">
        <f t="shared" si="44"/>
        <v>0.67500000000000004</v>
      </c>
      <c r="AW89" s="26">
        <f t="shared" si="38"/>
        <v>0.68</v>
      </c>
      <c r="AX89" s="26">
        <f t="shared" si="38"/>
        <v>0.68500000000000005</v>
      </c>
      <c r="AY89" s="26">
        <f t="shared" si="38"/>
        <v>0.69</v>
      </c>
      <c r="AZ89" s="26">
        <f t="shared" si="38"/>
        <v>0.69499999999999995</v>
      </c>
      <c r="BA89" s="26">
        <f t="shared" si="38"/>
        <v>0.7</v>
      </c>
      <c r="BB89" s="26">
        <f t="shared" si="38"/>
        <v>0.70499999999999996</v>
      </c>
      <c r="BC89" s="26">
        <f t="shared" si="38"/>
        <v>0.71</v>
      </c>
      <c r="BD89" s="26">
        <f t="shared" si="38"/>
        <v>0.71499999999999997</v>
      </c>
      <c r="BE89" s="26">
        <f t="shared" si="38"/>
        <v>0.72</v>
      </c>
      <c r="BF89" s="26">
        <f t="shared" si="38"/>
        <v>0.72499999999999998</v>
      </c>
      <c r="BG89" s="26">
        <f t="shared" si="38"/>
        <v>0.73</v>
      </c>
      <c r="BH89" s="26">
        <f t="shared" si="38"/>
        <v>0.73499999999999999</v>
      </c>
      <c r="BI89" s="26">
        <f t="shared" si="38"/>
        <v>0.74</v>
      </c>
      <c r="BJ89" s="26">
        <f t="shared" si="38"/>
        <v>0.745</v>
      </c>
      <c r="BK89" s="26">
        <f t="shared" si="38"/>
        <v>0.75</v>
      </c>
      <c r="BL89" s="26">
        <f t="shared" si="38"/>
        <v>0.755</v>
      </c>
      <c r="BM89" s="26">
        <f t="shared" si="39"/>
        <v>0.76</v>
      </c>
      <c r="BN89" s="26">
        <f t="shared" si="39"/>
        <v>0.76500000000000001</v>
      </c>
      <c r="BO89" s="26">
        <f t="shared" si="39"/>
        <v>0.77</v>
      </c>
      <c r="BP89" s="26">
        <f t="shared" si="39"/>
        <v>0.77500000000000002</v>
      </c>
      <c r="BQ89" s="26">
        <f t="shared" si="39"/>
        <v>0.78</v>
      </c>
      <c r="BR89" s="26">
        <f t="shared" si="39"/>
        <v>0.78500000000000003</v>
      </c>
      <c r="BS89" s="26">
        <f t="shared" si="39"/>
        <v>0.79</v>
      </c>
      <c r="BT89" s="26">
        <f t="shared" si="39"/>
        <v>0.79500000000000004</v>
      </c>
      <c r="BU89" s="26">
        <f t="shared" si="39"/>
        <v>0.8</v>
      </c>
      <c r="BV89" s="26">
        <f t="shared" si="39"/>
        <v>0.80500000000000005</v>
      </c>
      <c r="BW89" s="26">
        <f t="shared" si="39"/>
        <v>0.81</v>
      </c>
      <c r="BX89" s="26">
        <f t="shared" si="39"/>
        <v>0.81499999999999995</v>
      </c>
      <c r="BY89" s="26">
        <f t="shared" si="39"/>
        <v>0.82</v>
      </c>
      <c r="BZ89" s="26">
        <f t="shared" si="39"/>
        <v>0.82499999999999996</v>
      </c>
      <c r="CA89" s="26">
        <f t="shared" si="39"/>
        <v>0.83</v>
      </c>
      <c r="CB89" s="26">
        <f t="shared" si="39"/>
        <v>0.83499999999999996</v>
      </c>
      <c r="CC89" s="26">
        <f t="shared" si="40"/>
        <v>0.84</v>
      </c>
      <c r="CD89" s="26">
        <f t="shared" si="40"/>
        <v>0.84499999999999997</v>
      </c>
      <c r="CE89" s="26">
        <f t="shared" si="40"/>
        <v>0.85</v>
      </c>
      <c r="CF89" s="26">
        <f t="shared" si="40"/>
        <v>0.85499999999999998</v>
      </c>
      <c r="CG89" s="26">
        <f t="shared" si="40"/>
        <v>0.86</v>
      </c>
      <c r="CH89" s="26">
        <f t="shared" si="40"/>
        <v>0.86499999999999999</v>
      </c>
      <c r="CI89" s="26">
        <f t="shared" si="40"/>
        <v>0.87</v>
      </c>
      <c r="CJ89" s="26">
        <f t="shared" si="40"/>
        <v>0.875</v>
      </c>
      <c r="CK89" s="26">
        <f t="shared" si="40"/>
        <v>0.88</v>
      </c>
      <c r="CL89" s="26">
        <f t="shared" si="40"/>
        <v>0.88500000000000001</v>
      </c>
      <c r="CM89" s="26">
        <f t="shared" si="40"/>
        <v>0.89</v>
      </c>
      <c r="CN89" s="26">
        <f t="shared" si="40"/>
        <v>0.89500000000000002</v>
      </c>
      <c r="CO89" s="26">
        <f t="shared" si="40"/>
        <v>0.9</v>
      </c>
      <c r="CP89" s="26">
        <f t="shared" si="40"/>
        <v>0.90500000000000003</v>
      </c>
      <c r="CQ89" s="26">
        <f t="shared" si="40"/>
        <v>0.91</v>
      </c>
      <c r="CR89" s="26">
        <f t="shared" si="40"/>
        <v>0.91500000000000004</v>
      </c>
      <c r="CS89" s="26">
        <f t="shared" si="41"/>
        <v>0.92</v>
      </c>
      <c r="CT89" s="26">
        <f t="shared" si="41"/>
        <v>0.92500000000000004</v>
      </c>
      <c r="CU89" s="26">
        <f t="shared" si="41"/>
        <v>0.93</v>
      </c>
      <c r="CV89" s="26">
        <f t="shared" si="41"/>
        <v>0.93500000000000005</v>
      </c>
      <c r="CW89" s="26">
        <f t="shared" si="41"/>
        <v>0.94</v>
      </c>
    </row>
    <row r="90" spans="2:101" ht="20.100000000000001" customHeight="1">
      <c r="B90" s="26">
        <f t="shared" si="45"/>
        <v>0.45</v>
      </c>
      <c r="C90" s="26">
        <f t="shared" si="45"/>
        <v>0.45500000000000002</v>
      </c>
      <c r="D90" s="26">
        <f t="shared" si="45"/>
        <v>0.46</v>
      </c>
      <c r="E90" s="26">
        <f t="shared" si="45"/>
        <v>0.46500000000000002</v>
      </c>
      <c r="F90" s="26">
        <f t="shared" si="45"/>
        <v>0.47</v>
      </c>
      <c r="G90" s="26">
        <f t="shared" si="45"/>
        <v>0.47499999999999998</v>
      </c>
      <c r="H90" s="26">
        <f t="shared" si="45"/>
        <v>0.48</v>
      </c>
      <c r="I90" s="26">
        <f t="shared" si="45"/>
        <v>0.48499999999999999</v>
      </c>
      <c r="J90" s="26">
        <f t="shared" si="45"/>
        <v>0.49</v>
      </c>
      <c r="K90" s="26">
        <f t="shared" si="45"/>
        <v>0.495</v>
      </c>
      <c r="L90" s="26">
        <f t="shared" si="45"/>
        <v>0.5</v>
      </c>
      <c r="M90" s="26">
        <f t="shared" si="45"/>
        <v>0.505</v>
      </c>
      <c r="N90" s="26">
        <f t="shared" si="45"/>
        <v>0.51</v>
      </c>
      <c r="O90" s="26">
        <f t="shared" si="45"/>
        <v>0.51500000000000001</v>
      </c>
      <c r="P90" s="26">
        <f t="shared" si="45"/>
        <v>0.52</v>
      </c>
      <c r="Q90" s="26">
        <f t="shared" si="45"/>
        <v>0.52500000000000002</v>
      </c>
      <c r="R90" s="26">
        <f t="shared" si="43"/>
        <v>0.53</v>
      </c>
      <c r="S90" s="26">
        <f t="shared" si="43"/>
        <v>0.53500000000000003</v>
      </c>
      <c r="T90" s="26">
        <f t="shared" si="43"/>
        <v>0.54</v>
      </c>
      <c r="U90" s="26">
        <f t="shared" si="43"/>
        <v>0.54500000000000004</v>
      </c>
      <c r="V90" s="26">
        <f t="shared" si="43"/>
        <v>0.55000000000000004</v>
      </c>
      <c r="W90" s="26">
        <f t="shared" si="43"/>
        <v>0.55500000000000005</v>
      </c>
      <c r="X90" s="26">
        <f t="shared" si="43"/>
        <v>0.56000000000000005</v>
      </c>
      <c r="Y90" s="26">
        <f t="shared" si="43"/>
        <v>0.56499999999999995</v>
      </c>
      <c r="Z90" s="26">
        <f t="shared" si="43"/>
        <v>0.56999999999999995</v>
      </c>
      <c r="AA90" s="26">
        <f t="shared" si="43"/>
        <v>0.57499999999999996</v>
      </c>
      <c r="AB90" s="26">
        <f t="shared" si="43"/>
        <v>0.57999999999999996</v>
      </c>
      <c r="AC90" s="26">
        <f t="shared" si="43"/>
        <v>0.58499999999999996</v>
      </c>
      <c r="AD90" s="26">
        <f t="shared" si="43"/>
        <v>0.59</v>
      </c>
      <c r="AE90" s="26">
        <f t="shared" si="43"/>
        <v>0.59499999999999997</v>
      </c>
      <c r="AF90" s="26">
        <f t="shared" si="42"/>
        <v>0.6</v>
      </c>
      <c r="AG90" s="26">
        <f t="shared" si="42"/>
        <v>0.60499999999999998</v>
      </c>
      <c r="AH90" s="26">
        <f t="shared" si="42"/>
        <v>0.61</v>
      </c>
      <c r="AI90" s="26">
        <f t="shared" si="42"/>
        <v>0.61499999999999999</v>
      </c>
      <c r="AJ90" s="26">
        <f t="shared" si="42"/>
        <v>0.62</v>
      </c>
      <c r="AK90" s="26">
        <f t="shared" si="42"/>
        <v>0.625</v>
      </c>
      <c r="AL90" s="26">
        <f t="shared" si="42"/>
        <v>0.63</v>
      </c>
      <c r="AM90" s="26">
        <f t="shared" si="42"/>
        <v>0.63500000000000001</v>
      </c>
      <c r="AN90" s="26">
        <f t="shared" si="42"/>
        <v>0.64</v>
      </c>
      <c r="AO90" s="26">
        <f t="shared" si="42"/>
        <v>0.64500000000000002</v>
      </c>
      <c r="AP90" s="26">
        <f t="shared" si="42"/>
        <v>0.65</v>
      </c>
      <c r="AQ90" s="26">
        <f t="shared" si="42"/>
        <v>0.65500000000000003</v>
      </c>
      <c r="AR90" s="26">
        <f t="shared" si="42"/>
        <v>0.66</v>
      </c>
      <c r="AS90" s="26">
        <f t="shared" si="42"/>
        <v>0.66500000000000004</v>
      </c>
      <c r="AT90" s="26">
        <f t="shared" si="42"/>
        <v>0.67</v>
      </c>
      <c r="AU90" s="26">
        <f t="shared" si="42"/>
        <v>0.67500000000000004</v>
      </c>
      <c r="AV90" s="26">
        <f t="shared" si="44"/>
        <v>0.68</v>
      </c>
      <c r="AW90" s="26">
        <f t="shared" si="38"/>
        <v>0.68500000000000005</v>
      </c>
      <c r="AX90" s="26">
        <f t="shared" si="38"/>
        <v>0.69</v>
      </c>
      <c r="AY90" s="26">
        <f t="shared" si="38"/>
        <v>0.69499999999999995</v>
      </c>
      <c r="AZ90" s="26">
        <f t="shared" si="38"/>
        <v>0.7</v>
      </c>
      <c r="BA90" s="26">
        <f t="shared" si="38"/>
        <v>0.70499999999999996</v>
      </c>
      <c r="BB90" s="26">
        <f t="shared" si="38"/>
        <v>0.71</v>
      </c>
      <c r="BC90" s="26">
        <f t="shared" si="38"/>
        <v>0.71499999999999997</v>
      </c>
      <c r="BD90" s="26">
        <f t="shared" si="38"/>
        <v>0.72</v>
      </c>
      <c r="BE90" s="26">
        <f t="shared" si="38"/>
        <v>0.72499999999999998</v>
      </c>
      <c r="BF90" s="26">
        <f t="shared" si="38"/>
        <v>0.73</v>
      </c>
      <c r="BG90" s="26">
        <f t="shared" si="38"/>
        <v>0.73499999999999999</v>
      </c>
      <c r="BH90" s="26">
        <f t="shared" si="38"/>
        <v>0.74</v>
      </c>
      <c r="BI90" s="26">
        <f t="shared" si="38"/>
        <v>0.745</v>
      </c>
      <c r="BJ90" s="26">
        <f t="shared" si="38"/>
        <v>0.75</v>
      </c>
      <c r="BK90" s="26">
        <f t="shared" si="38"/>
        <v>0.755</v>
      </c>
      <c r="BL90" s="26">
        <f t="shared" si="38"/>
        <v>0.76</v>
      </c>
      <c r="BM90" s="26">
        <f t="shared" si="39"/>
        <v>0.76500000000000001</v>
      </c>
      <c r="BN90" s="26">
        <f t="shared" si="39"/>
        <v>0.77</v>
      </c>
      <c r="BO90" s="26">
        <f t="shared" si="39"/>
        <v>0.77500000000000002</v>
      </c>
      <c r="BP90" s="26">
        <f t="shared" si="39"/>
        <v>0.78</v>
      </c>
      <c r="BQ90" s="26">
        <f t="shared" si="39"/>
        <v>0.78500000000000003</v>
      </c>
      <c r="BR90" s="26">
        <f t="shared" si="39"/>
        <v>0.79</v>
      </c>
      <c r="BS90" s="26">
        <f t="shared" si="39"/>
        <v>0.79500000000000004</v>
      </c>
      <c r="BT90" s="26">
        <f t="shared" si="39"/>
        <v>0.8</v>
      </c>
      <c r="BU90" s="26">
        <f t="shared" si="39"/>
        <v>0.80500000000000005</v>
      </c>
      <c r="BV90" s="26">
        <f t="shared" si="39"/>
        <v>0.81</v>
      </c>
      <c r="BW90" s="26">
        <f t="shared" si="39"/>
        <v>0.81499999999999995</v>
      </c>
      <c r="BX90" s="26">
        <f t="shared" si="39"/>
        <v>0.82</v>
      </c>
      <c r="BY90" s="26">
        <f t="shared" si="39"/>
        <v>0.82499999999999996</v>
      </c>
      <c r="BZ90" s="26">
        <f t="shared" si="39"/>
        <v>0.83</v>
      </c>
      <c r="CA90" s="26">
        <f t="shared" si="39"/>
        <v>0.83499999999999996</v>
      </c>
      <c r="CB90" s="26">
        <f t="shared" si="39"/>
        <v>0.84</v>
      </c>
      <c r="CC90" s="26">
        <f t="shared" si="40"/>
        <v>0.84499999999999997</v>
      </c>
      <c r="CD90" s="26">
        <f t="shared" si="40"/>
        <v>0.85</v>
      </c>
      <c r="CE90" s="26">
        <f t="shared" si="40"/>
        <v>0.85499999999999998</v>
      </c>
      <c r="CF90" s="26">
        <f t="shared" si="40"/>
        <v>0.86</v>
      </c>
      <c r="CG90" s="26">
        <f t="shared" si="40"/>
        <v>0.86499999999999999</v>
      </c>
      <c r="CH90" s="26">
        <f t="shared" si="40"/>
        <v>0.87</v>
      </c>
      <c r="CI90" s="26">
        <f t="shared" si="40"/>
        <v>0.875</v>
      </c>
      <c r="CJ90" s="26">
        <f t="shared" si="40"/>
        <v>0.88</v>
      </c>
      <c r="CK90" s="26">
        <f t="shared" si="40"/>
        <v>0.88500000000000001</v>
      </c>
      <c r="CL90" s="26">
        <f t="shared" si="40"/>
        <v>0.89</v>
      </c>
      <c r="CM90" s="26">
        <f t="shared" si="40"/>
        <v>0.89500000000000002</v>
      </c>
      <c r="CN90" s="26">
        <f t="shared" si="40"/>
        <v>0.9</v>
      </c>
      <c r="CO90" s="26">
        <f t="shared" si="40"/>
        <v>0.90500000000000003</v>
      </c>
      <c r="CP90" s="26">
        <f t="shared" si="40"/>
        <v>0.91</v>
      </c>
      <c r="CQ90" s="26">
        <f t="shared" si="40"/>
        <v>0.91500000000000004</v>
      </c>
      <c r="CR90" s="26">
        <f t="shared" si="40"/>
        <v>0.92</v>
      </c>
      <c r="CS90" s="26">
        <f t="shared" si="41"/>
        <v>0.92500000000000004</v>
      </c>
      <c r="CT90" s="26">
        <f t="shared" si="41"/>
        <v>0.93</v>
      </c>
      <c r="CU90" s="26">
        <f t="shared" si="41"/>
        <v>0.93500000000000005</v>
      </c>
      <c r="CV90" s="26">
        <f t="shared" si="41"/>
        <v>0.94</v>
      </c>
      <c r="CW90" s="26">
        <f t="shared" si="41"/>
        <v>0.94499999999999995</v>
      </c>
    </row>
    <row r="91" spans="2:101" ht="20.100000000000001" customHeight="1">
      <c r="B91" s="26">
        <f t="shared" si="45"/>
        <v>0.45500000000000002</v>
      </c>
      <c r="C91" s="26">
        <f t="shared" si="45"/>
        <v>0.46</v>
      </c>
      <c r="D91" s="26">
        <f t="shared" si="45"/>
        <v>0.46500000000000002</v>
      </c>
      <c r="E91" s="26">
        <f t="shared" si="45"/>
        <v>0.47</v>
      </c>
      <c r="F91" s="26">
        <f t="shared" si="45"/>
        <v>0.47499999999999998</v>
      </c>
      <c r="G91" s="26">
        <f t="shared" si="45"/>
        <v>0.48</v>
      </c>
      <c r="H91" s="26">
        <f t="shared" si="45"/>
        <v>0.48499999999999999</v>
      </c>
      <c r="I91" s="26">
        <f t="shared" si="45"/>
        <v>0.49</v>
      </c>
      <c r="J91" s="26">
        <f t="shared" si="45"/>
        <v>0.495</v>
      </c>
      <c r="K91" s="26">
        <f t="shared" si="45"/>
        <v>0.5</v>
      </c>
      <c r="L91" s="26">
        <f t="shared" si="45"/>
        <v>0.505</v>
      </c>
      <c r="M91" s="26">
        <f t="shared" si="45"/>
        <v>0.51</v>
      </c>
      <c r="N91" s="26">
        <f t="shared" si="45"/>
        <v>0.51500000000000001</v>
      </c>
      <c r="O91" s="26">
        <f t="shared" si="45"/>
        <v>0.52</v>
      </c>
      <c r="P91" s="26">
        <f t="shared" si="45"/>
        <v>0.52500000000000002</v>
      </c>
      <c r="Q91" s="26">
        <f t="shared" si="45"/>
        <v>0.53</v>
      </c>
      <c r="R91" s="26">
        <f t="shared" si="43"/>
        <v>0.53500000000000003</v>
      </c>
      <c r="S91" s="26">
        <f t="shared" si="43"/>
        <v>0.54</v>
      </c>
      <c r="T91" s="26">
        <f t="shared" si="43"/>
        <v>0.54500000000000004</v>
      </c>
      <c r="U91" s="26">
        <f t="shared" si="43"/>
        <v>0.55000000000000004</v>
      </c>
      <c r="V91" s="26">
        <f t="shared" si="43"/>
        <v>0.55500000000000005</v>
      </c>
      <c r="W91" s="26">
        <f t="shared" si="43"/>
        <v>0.56000000000000005</v>
      </c>
      <c r="X91" s="26">
        <f t="shared" si="43"/>
        <v>0.56499999999999995</v>
      </c>
      <c r="Y91" s="26">
        <f t="shared" si="43"/>
        <v>0.56999999999999995</v>
      </c>
      <c r="Z91" s="26">
        <f t="shared" si="43"/>
        <v>0.57499999999999996</v>
      </c>
      <c r="AA91" s="26">
        <f t="shared" si="43"/>
        <v>0.57999999999999996</v>
      </c>
      <c r="AB91" s="26">
        <f t="shared" si="43"/>
        <v>0.58499999999999996</v>
      </c>
      <c r="AC91" s="26">
        <f t="shared" si="43"/>
        <v>0.59</v>
      </c>
      <c r="AD91" s="26">
        <f t="shared" si="43"/>
        <v>0.59499999999999997</v>
      </c>
      <c r="AE91" s="26">
        <f t="shared" si="43"/>
        <v>0.6</v>
      </c>
      <c r="AF91" s="26">
        <f t="shared" si="42"/>
        <v>0.60499999999999998</v>
      </c>
      <c r="AG91" s="26">
        <f t="shared" si="42"/>
        <v>0.61</v>
      </c>
      <c r="AH91" s="26">
        <f t="shared" si="42"/>
        <v>0.61499999999999999</v>
      </c>
      <c r="AI91" s="26">
        <f t="shared" si="42"/>
        <v>0.62</v>
      </c>
      <c r="AJ91" s="26">
        <f t="shared" si="42"/>
        <v>0.625</v>
      </c>
      <c r="AK91" s="26">
        <f t="shared" si="42"/>
        <v>0.63</v>
      </c>
      <c r="AL91" s="26">
        <f t="shared" si="42"/>
        <v>0.63500000000000001</v>
      </c>
      <c r="AM91" s="26">
        <f t="shared" si="42"/>
        <v>0.64</v>
      </c>
      <c r="AN91" s="26">
        <f t="shared" si="42"/>
        <v>0.64500000000000002</v>
      </c>
      <c r="AO91" s="26">
        <f t="shared" si="42"/>
        <v>0.65</v>
      </c>
      <c r="AP91" s="26">
        <f t="shared" si="42"/>
        <v>0.65500000000000003</v>
      </c>
      <c r="AQ91" s="26">
        <f t="shared" si="42"/>
        <v>0.66</v>
      </c>
      <c r="AR91" s="26">
        <f t="shared" si="42"/>
        <v>0.66500000000000004</v>
      </c>
      <c r="AS91" s="26">
        <f t="shared" si="42"/>
        <v>0.67</v>
      </c>
      <c r="AT91" s="26">
        <f t="shared" si="42"/>
        <v>0.67500000000000004</v>
      </c>
      <c r="AU91" s="26">
        <f t="shared" si="42"/>
        <v>0.68</v>
      </c>
      <c r="AV91" s="26">
        <f t="shared" si="44"/>
        <v>0.68500000000000005</v>
      </c>
      <c r="AW91" s="26">
        <f t="shared" si="38"/>
        <v>0.69</v>
      </c>
      <c r="AX91" s="26">
        <f t="shared" si="38"/>
        <v>0.69499999999999995</v>
      </c>
      <c r="AY91" s="26">
        <f t="shared" si="38"/>
        <v>0.7</v>
      </c>
      <c r="AZ91" s="26">
        <f t="shared" si="38"/>
        <v>0.70499999999999996</v>
      </c>
      <c r="BA91" s="26">
        <f t="shared" si="38"/>
        <v>0.71</v>
      </c>
      <c r="BB91" s="26">
        <f t="shared" si="38"/>
        <v>0.71499999999999997</v>
      </c>
      <c r="BC91" s="26">
        <f t="shared" si="38"/>
        <v>0.72</v>
      </c>
      <c r="BD91" s="26">
        <f t="shared" si="38"/>
        <v>0.72499999999999998</v>
      </c>
      <c r="BE91" s="26">
        <f t="shared" si="38"/>
        <v>0.73</v>
      </c>
      <c r="BF91" s="26">
        <f t="shared" si="38"/>
        <v>0.73499999999999999</v>
      </c>
      <c r="BG91" s="26">
        <f t="shared" si="38"/>
        <v>0.74</v>
      </c>
      <c r="BH91" s="26">
        <f t="shared" si="38"/>
        <v>0.745</v>
      </c>
      <c r="BI91" s="26">
        <f t="shared" si="38"/>
        <v>0.75</v>
      </c>
      <c r="BJ91" s="26">
        <f t="shared" si="38"/>
        <v>0.755</v>
      </c>
      <c r="BK91" s="26">
        <f t="shared" si="38"/>
        <v>0.76</v>
      </c>
      <c r="BL91" s="26">
        <f t="shared" si="38"/>
        <v>0.76500000000000001</v>
      </c>
      <c r="BM91" s="26">
        <f t="shared" si="39"/>
        <v>0.77</v>
      </c>
      <c r="BN91" s="26">
        <f t="shared" si="39"/>
        <v>0.77500000000000002</v>
      </c>
      <c r="BO91" s="26">
        <f t="shared" si="39"/>
        <v>0.78</v>
      </c>
      <c r="BP91" s="26">
        <f t="shared" si="39"/>
        <v>0.78500000000000003</v>
      </c>
      <c r="BQ91" s="26">
        <f t="shared" si="39"/>
        <v>0.79</v>
      </c>
      <c r="BR91" s="26">
        <f t="shared" si="39"/>
        <v>0.79500000000000004</v>
      </c>
      <c r="BS91" s="26">
        <f t="shared" si="39"/>
        <v>0.8</v>
      </c>
      <c r="BT91" s="26">
        <f t="shared" si="39"/>
        <v>0.80500000000000005</v>
      </c>
      <c r="BU91" s="26">
        <f t="shared" si="39"/>
        <v>0.81</v>
      </c>
      <c r="BV91" s="26">
        <f t="shared" si="39"/>
        <v>0.81499999999999995</v>
      </c>
      <c r="BW91" s="26">
        <f t="shared" si="39"/>
        <v>0.82</v>
      </c>
      <c r="BX91" s="26">
        <f t="shared" si="39"/>
        <v>0.82499999999999996</v>
      </c>
      <c r="BY91" s="26">
        <f t="shared" si="39"/>
        <v>0.83</v>
      </c>
      <c r="BZ91" s="26">
        <f t="shared" si="39"/>
        <v>0.83499999999999996</v>
      </c>
      <c r="CA91" s="26">
        <f t="shared" si="39"/>
        <v>0.84</v>
      </c>
      <c r="CB91" s="26">
        <f t="shared" si="39"/>
        <v>0.84499999999999997</v>
      </c>
      <c r="CC91" s="26">
        <f t="shared" si="40"/>
        <v>0.85</v>
      </c>
      <c r="CD91" s="26">
        <f t="shared" si="40"/>
        <v>0.85499999999999998</v>
      </c>
      <c r="CE91" s="26">
        <f t="shared" si="40"/>
        <v>0.86</v>
      </c>
      <c r="CF91" s="26">
        <f t="shared" si="40"/>
        <v>0.86499999999999999</v>
      </c>
      <c r="CG91" s="26">
        <f t="shared" si="40"/>
        <v>0.87</v>
      </c>
      <c r="CH91" s="26">
        <f t="shared" si="40"/>
        <v>0.875</v>
      </c>
      <c r="CI91" s="26">
        <f t="shared" si="40"/>
        <v>0.88</v>
      </c>
      <c r="CJ91" s="26">
        <f t="shared" si="40"/>
        <v>0.88500000000000001</v>
      </c>
      <c r="CK91" s="26">
        <f t="shared" si="40"/>
        <v>0.89</v>
      </c>
      <c r="CL91" s="26">
        <f t="shared" si="40"/>
        <v>0.89500000000000002</v>
      </c>
      <c r="CM91" s="26">
        <f t="shared" si="40"/>
        <v>0.9</v>
      </c>
      <c r="CN91" s="26">
        <f t="shared" si="40"/>
        <v>0.90500000000000003</v>
      </c>
      <c r="CO91" s="26">
        <f t="shared" si="40"/>
        <v>0.91</v>
      </c>
      <c r="CP91" s="26">
        <f t="shared" si="40"/>
        <v>0.91500000000000004</v>
      </c>
      <c r="CQ91" s="26">
        <f t="shared" si="40"/>
        <v>0.92</v>
      </c>
      <c r="CR91" s="26">
        <f t="shared" si="40"/>
        <v>0.92500000000000004</v>
      </c>
      <c r="CS91" s="26">
        <f t="shared" si="41"/>
        <v>0.93</v>
      </c>
      <c r="CT91" s="26">
        <f t="shared" si="41"/>
        <v>0.93500000000000005</v>
      </c>
      <c r="CU91" s="26">
        <f t="shared" si="41"/>
        <v>0.94</v>
      </c>
      <c r="CV91" s="26">
        <f t="shared" si="41"/>
        <v>0.94499999999999995</v>
      </c>
      <c r="CW91" s="26">
        <f t="shared" si="41"/>
        <v>0.95</v>
      </c>
    </row>
    <row r="92" spans="2:101" ht="20.100000000000001" customHeight="1">
      <c r="B92" s="26">
        <f t="shared" si="45"/>
        <v>0.46</v>
      </c>
      <c r="C92" s="26">
        <f t="shared" si="45"/>
        <v>0.46500000000000002</v>
      </c>
      <c r="D92" s="26">
        <f t="shared" si="45"/>
        <v>0.47</v>
      </c>
      <c r="E92" s="26">
        <f t="shared" si="45"/>
        <v>0.47499999999999998</v>
      </c>
      <c r="F92" s="26">
        <f t="shared" si="45"/>
        <v>0.48</v>
      </c>
      <c r="G92" s="26">
        <f t="shared" si="45"/>
        <v>0.48499999999999999</v>
      </c>
      <c r="H92" s="26">
        <f t="shared" si="45"/>
        <v>0.49</v>
      </c>
      <c r="I92" s="26">
        <f t="shared" si="45"/>
        <v>0.495</v>
      </c>
      <c r="J92" s="26">
        <f t="shared" si="45"/>
        <v>0.5</v>
      </c>
      <c r="K92" s="26">
        <f t="shared" si="45"/>
        <v>0.505</v>
      </c>
      <c r="L92" s="26">
        <f t="shared" si="45"/>
        <v>0.51</v>
      </c>
      <c r="M92" s="26">
        <f t="shared" si="45"/>
        <v>0.51500000000000001</v>
      </c>
      <c r="N92" s="26">
        <f t="shared" si="45"/>
        <v>0.52</v>
      </c>
      <c r="O92" s="26">
        <f t="shared" si="45"/>
        <v>0.52500000000000002</v>
      </c>
      <c r="P92" s="26">
        <f t="shared" si="45"/>
        <v>0.53</v>
      </c>
      <c r="Q92" s="26">
        <f t="shared" si="45"/>
        <v>0.53500000000000003</v>
      </c>
      <c r="R92" s="26">
        <f t="shared" si="43"/>
        <v>0.54</v>
      </c>
      <c r="S92" s="26">
        <f t="shared" si="43"/>
        <v>0.54500000000000004</v>
      </c>
      <c r="T92" s="26">
        <f t="shared" si="43"/>
        <v>0.55000000000000004</v>
      </c>
      <c r="U92" s="26">
        <f t="shared" si="43"/>
        <v>0.55500000000000005</v>
      </c>
      <c r="V92" s="26">
        <f t="shared" si="43"/>
        <v>0.56000000000000005</v>
      </c>
      <c r="W92" s="26">
        <f t="shared" si="43"/>
        <v>0.56499999999999995</v>
      </c>
      <c r="X92" s="26">
        <f t="shared" si="43"/>
        <v>0.56999999999999995</v>
      </c>
      <c r="Y92" s="26">
        <f t="shared" si="43"/>
        <v>0.57499999999999996</v>
      </c>
      <c r="Z92" s="26">
        <f t="shared" si="43"/>
        <v>0.57999999999999996</v>
      </c>
      <c r="AA92" s="26">
        <f t="shared" si="43"/>
        <v>0.58499999999999996</v>
      </c>
      <c r="AB92" s="26">
        <f t="shared" si="43"/>
        <v>0.59</v>
      </c>
      <c r="AC92" s="26">
        <f t="shared" si="43"/>
        <v>0.59499999999999997</v>
      </c>
      <c r="AD92" s="26">
        <f t="shared" si="43"/>
        <v>0.6</v>
      </c>
      <c r="AE92" s="26">
        <f t="shared" si="43"/>
        <v>0.60499999999999998</v>
      </c>
      <c r="AF92" s="26">
        <f t="shared" si="42"/>
        <v>0.61</v>
      </c>
      <c r="AG92" s="26">
        <f t="shared" si="42"/>
        <v>0.61499999999999999</v>
      </c>
      <c r="AH92" s="26">
        <f t="shared" si="42"/>
        <v>0.62</v>
      </c>
      <c r="AI92" s="26">
        <f t="shared" si="42"/>
        <v>0.625</v>
      </c>
      <c r="AJ92" s="26">
        <f t="shared" si="42"/>
        <v>0.63</v>
      </c>
      <c r="AK92" s="26">
        <f t="shared" si="42"/>
        <v>0.63500000000000001</v>
      </c>
      <c r="AL92" s="26">
        <f t="shared" si="42"/>
        <v>0.64</v>
      </c>
      <c r="AM92" s="26">
        <f t="shared" si="42"/>
        <v>0.64500000000000002</v>
      </c>
      <c r="AN92" s="26">
        <f t="shared" si="42"/>
        <v>0.65</v>
      </c>
      <c r="AO92" s="26">
        <f t="shared" si="42"/>
        <v>0.65500000000000003</v>
      </c>
      <c r="AP92" s="26">
        <f t="shared" si="42"/>
        <v>0.66</v>
      </c>
      <c r="AQ92" s="26">
        <f t="shared" si="42"/>
        <v>0.66500000000000004</v>
      </c>
      <c r="AR92" s="26">
        <f t="shared" si="42"/>
        <v>0.67</v>
      </c>
      <c r="AS92" s="26">
        <f t="shared" si="42"/>
        <v>0.67500000000000004</v>
      </c>
      <c r="AT92" s="26">
        <f t="shared" si="42"/>
        <v>0.68</v>
      </c>
      <c r="AU92" s="26">
        <f t="shared" si="42"/>
        <v>0.68500000000000005</v>
      </c>
      <c r="AV92" s="26">
        <f t="shared" si="44"/>
        <v>0.69</v>
      </c>
      <c r="AW92" s="26">
        <f t="shared" si="38"/>
        <v>0.69499999999999995</v>
      </c>
      <c r="AX92" s="26">
        <f t="shared" si="38"/>
        <v>0.7</v>
      </c>
      <c r="AY92" s="26">
        <f t="shared" si="38"/>
        <v>0.70499999999999996</v>
      </c>
      <c r="AZ92" s="26">
        <f t="shared" si="38"/>
        <v>0.71</v>
      </c>
      <c r="BA92" s="26">
        <f t="shared" si="38"/>
        <v>0.71499999999999997</v>
      </c>
      <c r="BB92" s="26">
        <f t="shared" si="38"/>
        <v>0.72</v>
      </c>
      <c r="BC92" s="26">
        <f t="shared" si="38"/>
        <v>0.72499999999999998</v>
      </c>
      <c r="BD92" s="26">
        <f t="shared" si="38"/>
        <v>0.73</v>
      </c>
      <c r="BE92" s="26">
        <f t="shared" si="38"/>
        <v>0.73499999999999999</v>
      </c>
      <c r="BF92" s="26">
        <f t="shared" si="38"/>
        <v>0.74</v>
      </c>
      <c r="BG92" s="26">
        <f t="shared" si="38"/>
        <v>0.745</v>
      </c>
      <c r="BH92" s="26">
        <f t="shared" si="38"/>
        <v>0.75</v>
      </c>
      <c r="BI92" s="26">
        <f t="shared" si="38"/>
        <v>0.755</v>
      </c>
      <c r="BJ92" s="26">
        <f t="shared" si="38"/>
        <v>0.76</v>
      </c>
      <c r="BK92" s="26">
        <f t="shared" si="38"/>
        <v>0.76500000000000001</v>
      </c>
      <c r="BL92" s="26">
        <f t="shared" si="38"/>
        <v>0.77</v>
      </c>
      <c r="BM92" s="26">
        <f t="shared" si="39"/>
        <v>0.77500000000000002</v>
      </c>
      <c r="BN92" s="26">
        <f t="shared" si="39"/>
        <v>0.78</v>
      </c>
      <c r="BO92" s="26">
        <f t="shared" si="39"/>
        <v>0.78500000000000003</v>
      </c>
      <c r="BP92" s="26">
        <f t="shared" si="39"/>
        <v>0.79</v>
      </c>
      <c r="BQ92" s="26">
        <f t="shared" si="39"/>
        <v>0.79500000000000004</v>
      </c>
      <c r="BR92" s="26">
        <f t="shared" si="39"/>
        <v>0.8</v>
      </c>
      <c r="BS92" s="26">
        <f t="shared" si="39"/>
        <v>0.80500000000000005</v>
      </c>
      <c r="BT92" s="26">
        <f t="shared" si="39"/>
        <v>0.81</v>
      </c>
      <c r="BU92" s="26">
        <f t="shared" si="39"/>
        <v>0.81499999999999995</v>
      </c>
      <c r="BV92" s="26">
        <f t="shared" si="39"/>
        <v>0.82</v>
      </c>
      <c r="BW92" s="26">
        <f t="shared" si="39"/>
        <v>0.82499999999999996</v>
      </c>
      <c r="BX92" s="26">
        <f t="shared" si="39"/>
        <v>0.83</v>
      </c>
      <c r="BY92" s="26">
        <f t="shared" si="39"/>
        <v>0.83499999999999996</v>
      </c>
      <c r="BZ92" s="26">
        <f t="shared" si="39"/>
        <v>0.84</v>
      </c>
      <c r="CA92" s="26">
        <f t="shared" si="39"/>
        <v>0.84499999999999997</v>
      </c>
      <c r="CB92" s="26">
        <f t="shared" si="39"/>
        <v>0.85</v>
      </c>
      <c r="CC92" s="26">
        <f t="shared" si="40"/>
        <v>0.85499999999999998</v>
      </c>
      <c r="CD92" s="26">
        <f t="shared" si="40"/>
        <v>0.86</v>
      </c>
      <c r="CE92" s="26">
        <f t="shared" si="40"/>
        <v>0.86499999999999999</v>
      </c>
      <c r="CF92" s="26">
        <f t="shared" si="40"/>
        <v>0.87</v>
      </c>
      <c r="CG92" s="26">
        <f t="shared" si="40"/>
        <v>0.875</v>
      </c>
      <c r="CH92" s="26">
        <f t="shared" si="40"/>
        <v>0.88</v>
      </c>
      <c r="CI92" s="26">
        <f t="shared" si="40"/>
        <v>0.88500000000000001</v>
      </c>
      <c r="CJ92" s="26">
        <f t="shared" si="40"/>
        <v>0.89</v>
      </c>
      <c r="CK92" s="26">
        <f t="shared" si="40"/>
        <v>0.89500000000000002</v>
      </c>
      <c r="CL92" s="26">
        <f t="shared" si="40"/>
        <v>0.9</v>
      </c>
      <c r="CM92" s="26">
        <f t="shared" si="40"/>
        <v>0.90500000000000003</v>
      </c>
      <c r="CN92" s="26">
        <f t="shared" si="40"/>
        <v>0.91</v>
      </c>
      <c r="CO92" s="26">
        <f t="shared" si="40"/>
        <v>0.91500000000000004</v>
      </c>
      <c r="CP92" s="26">
        <f t="shared" si="40"/>
        <v>0.92</v>
      </c>
      <c r="CQ92" s="26">
        <f t="shared" si="40"/>
        <v>0.92500000000000004</v>
      </c>
      <c r="CR92" s="26">
        <f t="shared" si="40"/>
        <v>0.93</v>
      </c>
      <c r="CS92" s="26">
        <f t="shared" si="41"/>
        <v>0.93500000000000005</v>
      </c>
      <c r="CT92" s="26">
        <f t="shared" si="41"/>
        <v>0.94</v>
      </c>
      <c r="CU92" s="26">
        <f t="shared" si="41"/>
        <v>0.94499999999999995</v>
      </c>
      <c r="CV92" s="26">
        <f t="shared" si="41"/>
        <v>0.95</v>
      </c>
      <c r="CW92" s="26">
        <f t="shared" si="41"/>
        <v>0.95499999999999996</v>
      </c>
    </row>
    <row r="93" spans="2:101" ht="20.100000000000001" customHeight="1">
      <c r="B93" s="26">
        <f t="shared" si="45"/>
        <v>0.46500000000000002</v>
      </c>
      <c r="C93" s="26">
        <f t="shared" si="45"/>
        <v>0.47</v>
      </c>
      <c r="D93" s="26">
        <f t="shared" si="45"/>
        <v>0.47499999999999998</v>
      </c>
      <c r="E93" s="26">
        <f t="shared" si="45"/>
        <v>0.48</v>
      </c>
      <c r="F93" s="26">
        <f t="shared" si="45"/>
        <v>0.48499999999999999</v>
      </c>
      <c r="G93" s="26">
        <f t="shared" si="45"/>
        <v>0.49</v>
      </c>
      <c r="H93" s="26">
        <f t="shared" si="45"/>
        <v>0.495</v>
      </c>
      <c r="I93" s="26">
        <f t="shared" si="45"/>
        <v>0.5</v>
      </c>
      <c r="J93" s="26">
        <f t="shared" si="45"/>
        <v>0.505</v>
      </c>
      <c r="K93" s="26">
        <f t="shared" si="45"/>
        <v>0.51</v>
      </c>
      <c r="L93" s="26">
        <f t="shared" si="45"/>
        <v>0.51500000000000001</v>
      </c>
      <c r="M93" s="26">
        <f t="shared" si="45"/>
        <v>0.52</v>
      </c>
      <c r="N93" s="26">
        <f t="shared" si="45"/>
        <v>0.52500000000000002</v>
      </c>
      <c r="O93" s="26">
        <f t="shared" si="45"/>
        <v>0.53</v>
      </c>
      <c r="P93" s="26">
        <f t="shared" si="45"/>
        <v>0.53500000000000003</v>
      </c>
      <c r="Q93" s="26">
        <f t="shared" si="45"/>
        <v>0.54</v>
      </c>
      <c r="R93" s="26">
        <f t="shared" si="43"/>
        <v>0.54500000000000004</v>
      </c>
      <c r="S93" s="26">
        <f t="shared" si="43"/>
        <v>0.55000000000000004</v>
      </c>
      <c r="T93" s="26">
        <f t="shared" si="43"/>
        <v>0.55500000000000005</v>
      </c>
      <c r="U93" s="26">
        <f t="shared" si="43"/>
        <v>0.56000000000000005</v>
      </c>
      <c r="V93" s="26">
        <f t="shared" si="43"/>
        <v>0.56499999999999995</v>
      </c>
      <c r="W93" s="26">
        <f t="shared" si="43"/>
        <v>0.56999999999999995</v>
      </c>
      <c r="X93" s="26">
        <f t="shared" si="43"/>
        <v>0.57499999999999996</v>
      </c>
      <c r="Y93" s="26">
        <f t="shared" si="43"/>
        <v>0.57999999999999996</v>
      </c>
      <c r="Z93" s="26">
        <f t="shared" si="43"/>
        <v>0.58499999999999996</v>
      </c>
      <c r="AA93" s="26">
        <f t="shared" si="43"/>
        <v>0.59</v>
      </c>
      <c r="AB93" s="26">
        <f t="shared" si="43"/>
        <v>0.59499999999999997</v>
      </c>
      <c r="AC93" s="26">
        <f t="shared" si="43"/>
        <v>0.6</v>
      </c>
      <c r="AD93" s="26">
        <f t="shared" si="43"/>
        <v>0.60499999999999998</v>
      </c>
      <c r="AE93" s="26">
        <f t="shared" si="43"/>
        <v>0.61</v>
      </c>
      <c r="AF93" s="26">
        <f t="shared" si="42"/>
        <v>0.61499999999999999</v>
      </c>
      <c r="AG93" s="26">
        <f t="shared" si="42"/>
        <v>0.62</v>
      </c>
      <c r="AH93" s="26">
        <f t="shared" si="42"/>
        <v>0.625</v>
      </c>
      <c r="AI93" s="26">
        <f t="shared" si="42"/>
        <v>0.63</v>
      </c>
      <c r="AJ93" s="26">
        <f t="shared" si="42"/>
        <v>0.63500000000000001</v>
      </c>
      <c r="AK93" s="26">
        <f t="shared" si="42"/>
        <v>0.64</v>
      </c>
      <c r="AL93" s="26">
        <f t="shared" si="42"/>
        <v>0.64500000000000002</v>
      </c>
      <c r="AM93" s="26">
        <f t="shared" si="42"/>
        <v>0.65</v>
      </c>
      <c r="AN93" s="26">
        <f t="shared" si="42"/>
        <v>0.65500000000000003</v>
      </c>
      <c r="AO93" s="26">
        <f t="shared" si="42"/>
        <v>0.66</v>
      </c>
      <c r="AP93" s="26">
        <f t="shared" si="42"/>
        <v>0.66500000000000004</v>
      </c>
      <c r="AQ93" s="26">
        <f t="shared" si="42"/>
        <v>0.67</v>
      </c>
      <c r="AR93" s="26">
        <f t="shared" si="42"/>
        <v>0.67500000000000004</v>
      </c>
      <c r="AS93" s="26">
        <f t="shared" si="42"/>
        <v>0.68</v>
      </c>
      <c r="AT93" s="26">
        <f t="shared" si="42"/>
        <v>0.68500000000000005</v>
      </c>
      <c r="AU93" s="26">
        <f t="shared" si="42"/>
        <v>0.69</v>
      </c>
      <c r="AV93" s="26">
        <f t="shared" si="44"/>
        <v>0.69499999999999995</v>
      </c>
      <c r="AW93" s="26">
        <f t="shared" si="38"/>
        <v>0.7</v>
      </c>
      <c r="AX93" s="26">
        <f t="shared" si="38"/>
        <v>0.70499999999999996</v>
      </c>
      <c r="AY93" s="26">
        <f t="shared" si="38"/>
        <v>0.71</v>
      </c>
      <c r="AZ93" s="26">
        <f t="shared" si="38"/>
        <v>0.71499999999999997</v>
      </c>
      <c r="BA93" s="26">
        <f t="shared" si="38"/>
        <v>0.72</v>
      </c>
      <c r="BB93" s="26">
        <f t="shared" si="38"/>
        <v>0.72499999999999998</v>
      </c>
      <c r="BC93" s="26">
        <f t="shared" si="38"/>
        <v>0.73</v>
      </c>
      <c r="BD93" s="26">
        <f t="shared" si="38"/>
        <v>0.73499999999999999</v>
      </c>
      <c r="BE93" s="26">
        <f t="shared" si="38"/>
        <v>0.74</v>
      </c>
      <c r="BF93" s="26">
        <f t="shared" si="38"/>
        <v>0.745</v>
      </c>
      <c r="BG93" s="26">
        <f t="shared" si="38"/>
        <v>0.75</v>
      </c>
      <c r="BH93" s="26">
        <f t="shared" si="38"/>
        <v>0.755</v>
      </c>
      <c r="BI93" s="26">
        <f t="shared" si="38"/>
        <v>0.76</v>
      </c>
      <c r="BJ93" s="26">
        <f t="shared" si="38"/>
        <v>0.76500000000000001</v>
      </c>
      <c r="BK93" s="26">
        <f t="shared" si="38"/>
        <v>0.77</v>
      </c>
      <c r="BL93" s="26">
        <f t="shared" si="38"/>
        <v>0.77500000000000002</v>
      </c>
      <c r="BM93" s="26">
        <f t="shared" si="39"/>
        <v>0.78</v>
      </c>
      <c r="BN93" s="26">
        <f t="shared" si="39"/>
        <v>0.78500000000000003</v>
      </c>
      <c r="BO93" s="26">
        <f t="shared" si="39"/>
        <v>0.79</v>
      </c>
      <c r="BP93" s="26">
        <f t="shared" si="39"/>
        <v>0.79500000000000004</v>
      </c>
      <c r="BQ93" s="26">
        <f t="shared" si="39"/>
        <v>0.8</v>
      </c>
      <c r="BR93" s="26">
        <f t="shared" si="39"/>
        <v>0.80500000000000005</v>
      </c>
      <c r="BS93" s="26">
        <f t="shared" si="39"/>
        <v>0.81</v>
      </c>
      <c r="BT93" s="26">
        <f t="shared" si="39"/>
        <v>0.81499999999999995</v>
      </c>
      <c r="BU93" s="26">
        <f t="shared" si="39"/>
        <v>0.82</v>
      </c>
      <c r="BV93" s="26">
        <f t="shared" si="39"/>
        <v>0.82499999999999996</v>
      </c>
      <c r="BW93" s="26">
        <f t="shared" si="39"/>
        <v>0.83</v>
      </c>
      <c r="BX93" s="26">
        <f t="shared" si="39"/>
        <v>0.83499999999999996</v>
      </c>
      <c r="BY93" s="26">
        <f t="shared" si="39"/>
        <v>0.84</v>
      </c>
      <c r="BZ93" s="26">
        <f t="shared" si="39"/>
        <v>0.84499999999999997</v>
      </c>
      <c r="CA93" s="26">
        <f t="shared" si="39"/>
        <v>0.85</v>
      </c>
      <c r="CB93" s="26">
        <f t="shared" si="39"/>
        <v>0.85499999999999998</v>
      </c>
      <c r="CC93" s="26">
        <f t="shared" si="40"/>
        <v>0.86</v>
      </c>
      <c r="CD93" s="26">
        <f t="shared" si="40"/>
        <v>0.86499999999999999</v>
      </c>
      <c r="CE93" s="26">
        <f t="shared" si="40"/>
        <v>0.87</v>
      </c>
      <c r="CF93" s="26">
        <f t="shared" si="40"/>
        <v>0.875</v>
      </c>
      <c r="CG93" s="26">
        <f t="shared" si="40"/>
        <v>0.88</v>
      </c>
      <c r="CH93" s="26">
        <f t="shared" si="40"/>
        <v>0.88500000000000001</v>
      </c>
      <c r="CI93" s="26">
        <f t="shared" si="40"/>
        <v>0.89</v>
      </c>
      <c r="CJ93" s="26">
        <f t="shared" si="40"/>
        <v>0.89500000000000002</v>
      </c>
      <c r="CK93" s="26">
        <f t="shared" si="40"/>
        <v>0.9</v>
      </c>
      <c r="CL93" s="26">
        <f t="shared" si="40"/>
        <v>0.90500000000000003</v>
      </c>
      <c r="CM93" s="26">
        <f t="shared" si="40"/>
        <v>0.91</v>
      </c>
      <c r="CN93" s="26">
        <f t="shared" si="40"/>
        <v>0.91500000000000004</v>
      </c>
      <c r="CO93" s="26">
        <f t="shared" si="40"/>
        <v>0.92</v>
      </c>
      <c r="CP93" s="26">
        <f t="shared" si="40"/>
        <v>0.92500000000000004</v>
      </c>
      <c r="CQ93" s="26">
        <f t="shared" si="40"/>
        <v>0.93</v>
      </c>
      <c r="CR93" s="26">
        <f t="shared" si="40"/>
        <v>0.93500000000000005</v>
      </c>
      <c r="CS93" s="26">
        <f t="shared" si="41"/>
        <v>0.94</v>
      </c>
      <c r="CT93" s="26">
        <f t="shared" si="41"/>
        <v>0.94499999999999995</v>
      </c>
      <c r="CU93" s="26">
        <f t="shared" si="41"/>
        <v>0.95</v>
      </c>
      <c r="CV93" s="26">
        <f t="shared" si="41"/>
        <v>0.95499999999999996</v>
      </c>
      <c r="CW93" s="26">
        <f t="shared" si="41"/>
        <v>0.96</v>
      </c>
    </row>
    <row r="94" spans="2:101" ht="20.100000000000001" customHeight="1">
      <c r="B94" s="26">
        <f t="shared" si="45"/>
        <v>0.47</v>
      </c>
      <c r="C94" s="26">
        <f t="shared" si="45"/>
        <v>0.47499999999999998</v>
      </c>
      <c r="D94" s="26">
        <f t="shared" si="45"/>
        <v>0.48</v>
      </c>
      <c r="E94" s="26">
        <f t="shared" si="45"/>
        <v>0.48499999999999999</v>
      </c>
      <c r="F94" s="26">
        <f t="shared" si="45"/>
        <v>0.49</v>
      </c>
      <c r="G94" s="26">
        <f t="shared" si="45"/>
        <v>0.495</v>
      </c>
      <c r="H94" s="26">
        <f t="shared" si="45"/>
        <v>0.5</v>
      </c>
      <c r="I94" s="26">
        <f t="shared" si="45"/>
        <v>0.505</v>
      </c>
      <c r="J94" s="26">
        <f t="shared" si="45"/>
        <v>0.51</v>
      </c>
      <c r="K94" s="26">
        <f t="shared" si="45"/>
        <v>0.51500000000000001</v>
      </c>
      <c r="L94" s="26">
        <f t="shared" si="45"/>
        <v>0.52</v>
      </c>
      <c r="M94" s="26">
        <f t="shared" si="45"/>
        <v>0.52500000000000002</v>
      </c>
      <c r="N94" s="26">
        <f t="shared" si="45"/>
        <v>0.53</v>
      </c>
      <c r="O94" s="26">
        <f t="shared" si="45"/>
        <v>0.53500000000000003</v>
      </c>
      <c r="P94" s="26">
        <f t="shared" si="45"/>
        <v>0.54</v>
      </c>
      <c r="Q94" s="26">
        <f t="shared" si="45"/>
        <v>0.54500000000000004</v>
      </c>
      <c r="R94" s="26">
        <f t="shared" si="43"/>
        <v>0.55000000000000004</v>
      </c>
      <c r="S94" s="26">
        <f t="shared" si="43"/>
        <v>0.55500000000000005</v>
      </c>
      <c r="T94" s="26">
        <f t="shared" si="43"/>
        <v>0.56000000000000005</v>
      </c>
      <c r="U94" s="26">
        <f t="shared" si="43"/>
        <v>0.56499999999999995</v>
      </c>
      <c r="V94" s="26">
        <f t="shared" si="43"/>
        <v>0.56999999999999995</v>
      </c>
      <c r="W94" s="26">
        <f t="shared" si="43"/>
        <v>0.57499999999999996</v>
      </c>
      <c r="X94" s="26">
        <f t="shared" si="43"/>
        <v>0.57999999999999996</v>
      </c>
      <c r="Y94" s="26">
        <f t="shared" si="43"/>
        <v>0.58499999999999996</v>
      </c>
      <c r="Z94" s="26">
        <f t="shared" si="43"/>
        <v>0.59</v>
      </c>
      <c r="AA94" s="26">
        <f t="shared" si="43"/>
        <v>0.59499999999999997</v>
      </c>
      <c r="AB94" s="26">
        <f t="shared" si="43"/>
        <v>0.6</v>
      </c>
      <c r="AC94" s="26">
        <f t="shared" si="43"/>
        <v>0.60499999999999998</v>
      </c>
      <c r="AD94" s="26">
        <f t="shared" si="43"/>
        <v>0.61</v>
      </c>
      <c r="AE94" s="26">
        <f t="shared" si="43"/>
        <v>0.61499999999999999</v>
      </c>
      <c r="AF94" s="26">
        <f t="shared" si="42"/>
        <v>0.62</v>
      </c>
      <c r="AG94" s="26">
        <f t="shared" si="42"/>
        <v>0.625</v>
      </c>
      <c r="AH94" s="26">
        <f t="shared" si="42"/>
        <v>0.63</v>
      </c>
      <c r="AI94" s="26">
        <f t="shared" si="42"/>
        <v>0.63500000000000001</v>
      </c>
      <c r="AJ94" s="26">
        <f t="shared" si="42"/>
        <v>0.64</v>
      </c>
      <c r="AK94" s="26">
        <f t="shared" si="42"/>
        <v>0.64500000000000002</v>
      </c>
      <c r="AL94" s="26">
        <f t="shared" si="42"/>
        <v>0.65</v>
      </c>
      <c r="AM94" s="26">
        <f t="shared" si="42"/>
        <v>0.65500000000000003</v>
      </c>
      <c r="AN94" s="26">
        <f t="shared" si="42"/>
        <v>0.66</v>
      </c>
      <c r="AO94" s="26">
        <f t="shared" si="42"/>
        <v>0.66500000000000004</v>
      </c>
      <c r="AP94" s="26">
        <f t="shared" si="42"/>
        <v>0.67</v>
      </c>
      <c r="AQ94" s="26">
        <f t="shared" si="42"/>
        <v>0.67500000000000004</v>
      </c>
      <c r="AR94" s="26">
        <f t="shared" si="42"/>
        <v>0.68</v>
      </c>
      <c r="AS94" s="26">
        <f t="shared" si="42"/>
        <v>0.68500000000000005</v>
      </c>
      <c r="AT94" s="26">
        <f t="shared" si="42"/>
        <v>0.69</v>
      </c>
      <c r="AU94" s="26">
        <f t="shared" si="42"/>
        <v>0.69499999999999995</v>
      </c>
      <c r="AV94" s="26">
        <f t="shared" si="44"/>
        <v>0.7</v>
      </c>
      <c r="AW94" s="26">
        <f t="shared" si="38"/>
        <v>0.70499999999999996</v>
      </c>
      <c r="AX94" s="26">
        <f t="shared" si="38"/>
        <v>0.71</v>
      </c>
      <c r="AY94" s="26">
        <f t="shared" si="38"/>
        <v>0.71499999999999997</v>
      </c>
      <c r="AZ94" s="26">
        <f t="shared" si="38"/>
        <v>0.72</v>
      </c>
      <c r="BA94" s="26">
        <f t="shared" si="38"/>
        <v>0.72499999999999998</v>
      </c>
      <c r="BB94" s="26">
        <f t="shared" si="38"/>
        <v>0.73</v>
      </c>
      <c r="BC94" s="26">
        <f t="shared" si="38"/>
        <v>0.73499999999999999</v>
      </c>
      <c r="BD94" s="26">
        <f t="shared" si="38"/>
        <v>0.74</v>
      </c>
      <c r="BE94" s="26">
        <f t="shared" si="38"/>
        <v>0.745</v>
      </c>
      <c r="BF94" s="26">
        <f t="shared" si="38"/>
        <v>0.75</v>
      </c>
      <c r="BG94" s="26">
        <f t="shared" si="38"/>
        <v>0.755</v>
      </c>
      <c r="BH94" s="26">
        <f t="shared" si="38"/>
        <v>0.76</v>
      </c>
      <c r="BI94" s="26">
        <f t="shared" si="38"/>
        <v>0.76500000000000001</v>
      </c>
      <c r="BJ94" s="26">
        <f t="shared" si="38"/>
        <v>0.77</v>
      </c>
      <c r="BK94" s="26">
        <f t="shared" si="38"/>
        <v>0.77500000000000002</v>
      </c>
      <c r="BL94" s="26">
        <f t="shared" si="38"/>
        <v>0.78</v>
      </c>
      <c r="BM94" s="26">
        <f t="shared" si="39"/>
        <v>0.78500000000000003</v>
      </c>
      <c r="BN94" s="26">
        <f t="shared" si="39"/>
        <v>0.79</v>
      </c>
      <c r="BO94" s="26">
        <f t="shared" si="39"/>
        <v>0.79500000000000004</v>
      </c>
      <c r="BP94" s="26">
        <f t="shared" si="39"/>
        <v>0.8</v>
      </c>
      <c r="BQ94" s="26">
        <f t="shared" si="39"/>
        <v>0.80500000000000005</v>
      </c>
      <c r="BR94" s="26">
        <f t="shared" si="39"/>
        <v>0.81</v>
      </c>
      <c r="BS94" s="26">
        <f t="shared" si="39"/>
        <v>0.81499999999999995</v>
      </c>
      <c r="BT94" s="26">
        <f t="shared" si="39"/>
        <v>0.82</v>
      </c>
      <c r="BU94" s="26">
        <f t="shared" si="39"/>
        <v>0.82499999999999996</v>
      </c>
      <c r="BV94" s="26">
        <f t="shared" si="39"/>
        <v>0.83</v>
      </c>
      <c r="BW94" s="26">
        <f t="shared" si="39"/>
        <v>0.83499999999999996</v>
      </c>
      <c r="BX94" s="26">
        <f t="shared" si="39"/>
        <v>0.84</v>
      </c>
      <c r="BY94" s="26">
        <f t="shared" si="39"/>
        <v>0.84499999999999997</v>
      </c>
      <c r="BZ94" s="26">
        <f t="shared" si="39"/>
        <v>0.85</v>
      </c>
      <c r="CA94" s="26">
        <f t="shared" si="39"/>
        <v>0.85499999999999998</v>
      </c>
      <c r="CB94" s="26">
        <f t="shared" si="39"/>
        <v>0.86</v>
      </c>
      <c r="CC94" s="26">
        <f t="shared" si="40"/>
        <v>0.86499999999999999</v>
      </c>
      <c r="CD94" s="26">
        <f t="shared" si="40"/>
        <v>0.87</v>
      </c>
      <c r="CE94" s="26">
        <f t="shared" si="40"/>
        <v>0.875</v>
      </c>
      <c r="CF94" s="26">
        <f t="shared" si="40"/>
        <v>0.88</v>
      </c>
      <c r="CG94" s="26">
        <f t="shared" si="40"/>
        <v>0.88500000000000001</v>
      </c>
      <c r="CH94" s="26">
        <f t="shared" si="40"/>
        <v>0.89</v>
      </c>
      <c r="CI94" s="26">
        <f t="shared" si="40"/>
        <v>0.89500000000000002</v>
      </c>
      <c r="CJ94" s="26">
        <f t="shared" si="40"/>
        <v>0.9</v>
      </c>
      <c r="CK94" s="26">
        <f t="shared" si="40"/>
        <v>0.90500000000000003</v>
      </c>
      <c r="CL94" s="26">
        <f t="shared" si="40"/>
        <v>0.91</v>
      </c>
      <c r="CM94" s="26">
        <f t="shared" si="40"/>
        <v>0.91500000000000004</v>
      </c>
      <c r="CN94" s="26">
        <f t="shared" si="40"/>
        <v>0.92</v>
      </c>
      <c r="CO94" s="26">
        <f t="shared" si="40"/>
        <v>0.92500000000000004</v>
      </c>
      <c r="CP94" s="26">
        <f t="shared" si="40"/>
        <v>0.93</v>
      </c>
      <c r="CQ94" s="26">
        <f t="shared" si="40"/>
        <v>0.93500000000000005</v>
      </c>
      <c r="CR94" s="26">
        <f t="shared" si="40"/>
        <v>0.94</v>
      </c>
      <c r="CS94" s="26">
        <f t="shared" si="41"/>
        <v>0.94499999999999995</v>
      </c>
      <c r="CT94" s="26">
        <f t="shared" si="41"/>
        <v>0.95</v>
      </c>
      <c r="CU94" s="26">
        <f t="shared" si="41"/>
        <v>0.95499999999999996</v>
      </c>
      <c r="CV94" s="26">
        <f t="shared" si="41"/>
        <v>0.96</v>
      </c>
      <c r="CW94" s="26">
        <f t="shared" si="41"/>
        <v>0.96499999999999997</v>
      </c>
    </row>
    <row r="95" spans="2:101" ht="20.100000000000001" customHeight="1">
      <c r="B95" s="26">
        <f t="shared" si="45"/>
        <v>0.47499999999999998</v>
      </c>
      <c r="C95" s="26">
        <f t="shared" si="45"/>
        <v>0.48</v>
      </c>
      <c r="D95" s="26">
        <f t="shared" si="45"/>
        <v>0.48499999999999999</v>
      </c>
      <c r="E95" s="26">
        <f t="shared" si="45"/>
        <v>0.49</v>
      </c>
      <c r="F95" s="26">
        <f t="shared" si="45"/>
        <v>0.495</v>
      </c>
      <c r="G95" s="26">
        <f t="shared" si="45"/>
        <v>0.5</v>
      </c>
      <c r="H95" s="26">
        <f t="shared" si="45"/>
        <v>0.505</v>
      </c>
      <c r="I95" s="26">
        <f t="shared" si="45"/>
        <v>0.51</v>
      </c>
      <c r="J95" s="26">
        <f t="shared" si="45"/>
        <v>0.51500000000000001</v>
      </c>
      <c r="K95" s="26">
        <f t="shared" si="45"/>
        <v>0.52</v>
      </c>
      <c r="L95" s="26">
        <f t="shared" si="45"/>
        <v>0.52500000000000002</v>
      </c>
      <c r="M95" s="26">
        <f t="shared" si="45"/>
        <v>0.53</v>
      </c>
      <c r="N95" s="26">
        <f t="shared" si="45"/>
        <v>0.53500000000000003</v>
      </c>
      <c r="O95" s="26">
        <f t="shared" si="45"/>
        <v>0.54</v>
      </c>
      <c r="P95" s="26">
        <f t="shared" si="45"/>
        <v>0.54500000000000004</v>
      </c>
      <c r="Q95" s="26">
        <f t="shared" si="45"/>
        <v>0.55000000000000004</v>
      </c>
      <c r="R95" s="26">
        <f t="shared" si="43"/>
        <v>0.55500000000000005</v>
      </c>
      <c r="S95" s="26">
        <f t="shared" si="43"/>
        <v>0.56000000000000005</v>
      </c>
      <c r="T95" s="26">
        <f t="shared" si="43"/>
        <v>0.56499999999999995</v>
      </c>
      <c r="U95" s="26">
        <f t="shared" si="43"/>
        <v>0.56999999999999995</v>
      </c>
      <c r="V95" s="26">
        <f t="shared" si="43"/>
        <v>0.57499999999999996</v>
      </c>
      <c r="W95" s="26">
        <f t="shared" si="43"/>
        <v>0.57999999999999996</v>
      </c>
      <c r="X95" s="26">
        <f t="shared" si="43"/>
        <v>0.58499999999999996</v>
      </c>
      <c r="Y95" s="26">
        <f t="shared" si="43"/>
        <v>0.59</v>
      </c>
      <c r="Z95" s="26">
        <f t="shared" si="43"/>
        <v>0.59499999999999997</v>
      </c>
      <c r="AA95" s="26">
        <f t="shared" si="43"/>
        <v>0.6</v>
      </c>
      <c r="AB95" s="26">
        <f t="shared" si="43"/>
        <v>0.60499999999999998</v>
      </c>
      <c r="AC95" s="26">
        <f t="shared" si="43"/>
        <v>0.61</v>
      </c>
      <c r="AD95" s="26">
        <f t="shared" si="43"/>
        <v>0.61499999999999999</v>
      </c>
      <c r="AE95" s="26">
        <f t="shared" si="43"/>
        <v>0.62</v>
      </c>
      <c r="AF95" s="26">
        <f t="shared" si="42"/>
        <v>0.625</v>
      </c>
      <c r="AG95" s="26">
        <f t="shared" si="42"/>
        <v>0.63</v>
      </c>
      <c r="AH95" s="26">
        <f t="shared" si="42"/>
        <v>0.63500000000000001</v>
      </c>
      <c r="AI95" s="26">
        <f t="shared" si="42"/>
        <v>0.64</v>
      </c>
      <c r="AJ95" s="26">
        <f t="shared" si="42"/>
        <v>0.64500000000000002</v>
      </c>
      <c r="AK95" s="26">
        <f t="shared" si="42"/>
        <v>0.65</v>
      </c>
      <c r="AL95" s="26">
        <f t="shared" si="42"/>
        <v>0.65500000000000003</v>
      </c>
      <c r="AM95" s="26">
        <f t="shared" si="42"/>
        <v>0.66</v>
      </c>
      <c r="AN95" s="26">
        <f t="shared" si="42"/>
        <v>0.66500000000000004</v>
      </c>
      <c r="AO95" s="26">
        <f t="shared" si="42"/>
        <v>0.67</v>
      </c>
      <c r="AP95" s="26">
        <f t="shared" si="42"/>
        <v>0.67500000000000004</v>
      </c>
      <c r="AQ95" s="26">
        <f t="shared" si="42"/>
        <v>0.68</v>
      </c>
      <c r="AR95" s="26">
        <f t="shared" si="42"/>
        <v>0.68500000000000005</v>
      </c>
      <c r="AS95" s="26">
        <f t="shared" si="42"/>
        <v>0.69</v>
      </c>
      <c r="AT95" s="26">
        <f t="shared" si="42"/>
        <v>0.69499999999999995</v>
      </c>
      <c r="AU95" s="26">
        <f t="shared" si="42"/>
        <v>0.7</v>
      </c>
      <c r="AV95" s="26">
        <f t="shared" si="44"/>
        <v>0.70499999999999996</v>
      </c>
      <c r="AW95" s="26">
        <f t="shared" si="44"/>
        <v>0.71</v>
      </c>
      <c r="AX95" s="26">
        <f t="shared" si="44"/>
        <v>0.71499999999999997</v>
      </c>
      <c r="AY95" s="26">
        <f t="shared" si="44"/>
        <v>0.72</v>
      </c>
      <c r="AZ95" s="26">
        <f t="shared" si="44"/>
        <v>0.72499999999999998</v>
      </c>
      <c r="BA95" s="26">
        <f t="shared" si="44"/>
        <v>0.73</v>
      </c>
      <c r="BB95" s="26">
        <f t="shared" si="44"/>
        <v>0.73499999999999999</v>
      </c>
      <c r="BC95" s="26">
        <f t="shared" si="44"/>
        <v>0.74</v>
      </c>
      <c r="BD95" s="26">
        <f t="shared" si="44"/>
        <v>0.745</v>
      </c>
      <c r="BE95" s="26">
        <f t="shared" si="44"/>
        <v>0.75</v>
      </c>
      <c r="BF95" s="26">
        <f t="shared" si="44"/>
        <v>0.755</v>
      </c>
      <c r="BG95" s="26">
        <f t="shared" si="44"/>
        <v>0.76</v>
      </c>
      <c r="BH95" s="26">
        <f t="shared" si="44"/>
        <v>0.76500000000000001</v>
      </c>
      <c r="BI95" s="26">
        <f t="shared" si="44"/>
        <v>0.77</v>
      </c>
      <c r="BJ95" s="26">
        <f t="shared" si="44"/>
        <v>0.77500000000000002</v>
      </c>
      <c r="BK95" s="26">
        <f t="shared" si="44"/>
        <v>0.78</v>
      </c>
      <c r="BL95" s="26">
        <f t="shared" ref="BL95:CA101" si="46">(ROW(BK94)+COLUMN(BK94))/200</f>
        <v>0.78500000000000003</v>
      </c>
      <c r="BM95" s="26">
        <f t="shared" si="46"/>
        <v>0.79</v>
      </c>
      <c r="BN95" s="26">
        <f t="shared" si="46"/>
        <v>0.79500000000000004</v>
      </c>
      <c r="BO95" s="26">
        <f t="shared" si="46"/>
        <v>0.8</v>
      </c>
      <c r="BP95" s="26">
        <f t="shared" si="46"/>
        <v>0.80500000000000005</v>
      </c>
      <c r="BQ95" s="26">
        <f t="shared" si="46"/>
        <v>0.81</v>
      </c>
      <c r="BR95" s="26">
        <f t="shared" si="46"/>
        <v>0.81499999999999995</v>
      </c>
      <c r="BS95" s="26">
        <f t="shared" si="46"/>
        <v>0.82</v>
      </c>
      <c r="BT95" s="26">
        <f t="shared" si="46"/>
        <v>0.82499999999999996</v>
      </c>
      <c r="BU95" s="26">
        <f t="shared" si="46"/>
        <v>0.83</v>
      </c>
      <c r="BV95" s="26">
        <f t="shared" si="46"/>
        <v>0.83499999999999996</v>
      </c>
      <c r="BW95" s="26">
        <f t="shared" si="46"/>
        <v>0.84</v>
      </c>
      <c r="BX95" s="26">
        <f t="shared" si="46"/>
        <v>0.84499999999999997</v>
      </c>
      <c r="BY95" s="26">
        <f t="shared" si="46"/>
        <v>0.85</v>
      </c>
      <c r="BZ95" s="26">
        <f t="shared" si="46"/>
        <v>0.85499999999999998</v>
      </c>
      <c r="CA95" s="26">
        <f t="shared" si="46"/>
        <v>0.86</v>
      </c>
      <c r="CB95" s="26">
        <f t="shared" ref="CB95:CQ101" si="47">(ROW(CA94)+COLUMN(CA94))/200</f>
        <v>0.86499999999999999</v>
      </c>
      <c r="CC95" s="26">
        <f t="shared" si="47"/>
        <v>0.87</v>
      </c>
      <c r="CD95" s="26">
        <f t="shared" si="47"/>
        <v>0.875</v>
      </c>
      <c r="CE95" s="26">
        <f t="shared" si="47"/>
        <v>0.88</v>
      </c>
      <c r="CF95" s="26">
        <f t="shared" si="47"/>
        <v>0.88500000000000001</v>
      </c>
      <c r="CG95" s="26">
        <f t="shared" si="47"/>
        <v>0.89</v>
      </c>
      <c r="CH95" s="26">
        <f t="shared" si="47"/>
        <v>0.89500000000000002</v>
      </c>
      <c r="CI95" s="26">
        <f t="shared" si="47"/>
        <v>0.9</v>
      </c>
      <c r="CJ95" s="26">
        <f t="shared" si="47"/>
        <v>0.90500000000000003</v>
      </c>
      <c r="CK95" s="26">
        <f t="shared" si="47"/>
        <v>0.91</v>
      </c>
      <c r="CL95" s="26">
        <f t="shared" si="47"/>
        <v>0.91500000000000004</v>
      </c>
      <c r="CM95" s="26">
        <f t="shared" si="47"/>
        <v>0.92</v>
      </c>
      <c r="CN95" s="26">
        <f t="shared" si="47"/>
        <v>0.92500000000000004</v>
      </c>
      <c r="CO95" s="26">
        <f t="shared" si="47"/>
        <v>0.93</v>
      </c>
      <c r="CP95" s="26">
        <f t="shared" si="47"/>
        <v>0.93500000000000005</v>
      </c>
      <c r="CQ95" s="26">
        <f t="shared" si="47"/>
        <v>0.94</v>
      </c>
      <c r="CR95" s="26">
        <f t="shared" ref="CR95:CW101" si="48">(ROW(CQ94)+COLUMN(CQ94))/200</f>
        <v>0.94499999999999995</v>
      </c>
      <c r="CS95" s="26">
        <f t="shared" si="48"/>
        <v>0.95</v>
      </c>
      <c r="CT95" s="26">
        <f t="shared" si="48"/>
        <v>0.95499999999999996</v>
      </c>
      <c r="CU95" s="26">
        <f t="shared" si="48"/>
        <v>0.96</v>
      </c>
      <c r="CV95" s="26">
        <f t="shared" si="48"/>
        <v>0.96499999999999997</v>
      </c>
      <c r="CW95" s="26">
        <f t="shared" si="48"/>
        <v>0.97</v>
      </c>
    </row>
    <row r="96" spans="2:101" ht="20.100000000000001" customHeight="1">
      <c r="B96" s="26">
        <f t="shared" si="45"/>
        <v>0.48</v>
      </c>
      <c r="C96" s="26">
        <f t="shared" si="45"/>
        <v>0.48499999999999999</v>
      </c>
      <c r="D96" s="26">
        <f t="shared" si="45"/>
        <v>0.49</v>
      </c>
      <c r="E96" s="26">
        <f t="shared" si="45"/>
        <v>0.495</v>
      </c>
      <c r="F96" s="26">
        <f t="shared" si="45"/>
        <v>0.5</v>
      </c>
      <c r="G96" s="26">
        <f t="shared" si="45"/>
        <v>0.505</v>
      </c>
      <c r="H96" s="26">
        <f t="shared" si="45"/>
        <v>0.51</v>
      </c>
      <c r="I96" s="26">
        <f t="shared" si="45"/>
        <v>0.51500000000000001</v>
      </c>
      <c r="J96" s="26">
        <f t="shared" si="45"/>
        <v>0.52</v>
      </c>
      <c r="K96" s="26">
        <f t="shared" si="45"/>
        <v>0.52500000000000002</v>
      </c>
      <c r="L96" s="26">
        <f t="shared" si="45"/>
        <v>0.53</v>
      </c>
      <c r="M96" s="26">
        <f t="shared" si="45"/>
        <v>0.53500000000000003</v>
      </c>
      <c r="N96" s="26">
        <f t="shared" si="45"/>
        <v>0.54</v>
      </c>
      <c r="O96" s="26">
        <f t="shared" si="45"/>
        <v>0.54500000000000004</v>
      </c>
      <c r="P96" s="26">
        <f t="shared" si="45"/>
        <v>0.55000000000000004</v>
      </c>
      <c r="Q96" s="26">
        <f t="shared" si="45"/>
        <v>0.55500000000000005</v>
      </c>
      <c r="R96" s="26">
        <f t="shared" si="43"/>
        <v>0.56000000000000005</v>
      </c>
      <c r="S96" s="26">
        <f t="shared" si="43"/>
        <v>0.56499999999999995</v>
      </c>
      <c r="T96" s="26">
        <f t="shared" si="43"/>
        <v>0.56999999999999995</v>
      </c>
      <c r="U96" s="26">
        <f t="shared" si="43"/>
        <v>0.57499999999999996</v>
      </c>
      <c r="V96" s="26">
        <f t="shared" si="43"/>
        <v>0.57999999999999996</v>
      </c>
      <c r="W96" s="26">
        <f t="shared" si="43"/>
        <v>0.58499999999999996</v>
      </c>
      <c r="X96" s="26">
        <f t="shared" si="43"/>
        <v>0.59</v>
      </c>
      <c r="Y96" s="26">
        <f t="shared" si="43"/>
        <v>0.59499999999999997</v>
      </c>
      <c r="Z96" s="26">
        <f t="shared" si="43"/>
        <v>0.6</v>
      </c>
      <c r="AA96" s="26">
        <f t="shared" si="43"/>
        <v>0.60499999999999998</v>
      </c>
      <c r="AB96" s="26">
        <f t="shared" si="43"/>
        <v>0.61</v>
      </c>
      <c r="AC96" s="26">
        <f t="shared" si="43"/>
        <v>0.61499999999999999</v>
      </c>
      <c r="AD96" s="26">
        <f t="shared" si="43"/>
        <v>0.62</v>
      </c>
      <c r="AE96" s="26">
        <f t="shared" si="43"/>
        <v>0.625</v>
      </c>
      <c r="AF96" s="26">
        <f t="shared" si="42"/>
        <v>0.63</v>
      </c>
      <c r="AG96" s="26">
        <f t="shared" si="42"/>
        <v>0.63500000000000001</v>
      </c>
      <c r="AH96" s="26">
        <f t="shared" si="42"/>
        <v>0.64</v>
      </c>
      <c r="AI96" s="26">
        <f t="shared" si="42"/>
        <v>0.64500000000000002</v>
      </c>
      <c r="AJ96" s="26">
        <f t="shared" si="42"/>
        <v>0.65</v>
      </c>
      <c r="AK96" s="26">
        <f t="shared" si="42"/>
        <v>0.65500000000000003</v>
      </c>
      <c r="AL96" s="26">
        <f t="shared" si="42"/>
        <v>0.66</v>
      </c>
      <c r="AM96" s="26">
        <f t="shared" si="42"/>
        <v>0.66500000000000004</v>
      </c>
      <c r="AN96" s="26">
        <f t="shared" si="42"/>
        <v>0.67</v>
      </c>
      <c r="AO96" s="26">
        <f t="shared" si="42"/>
        <v>0.67500000000000004</v>
      </c>
      <c r="AP96" s="26">
        <f t="shared" si="42"/>
        <v>0.68</v>
      </c>
      <c r="AQ96" s="26">
        <f t="shared" si="42"/>
        <v>0.68500000000000005</v>
      </c>
      <c r="AR96" s="26">
        <f t="shared" si="42"/>
        <v>0.69</v>
      </c>
      <c r="AS96" s="26">
        <f t="shared" si="42"/>
        <v>0.69499999999999995</v>
      </c>
      <c r="AT96" s="26">
        <f t="shared" si="42"/>
        <v>0.7</v>
      </c>
      <c r="AU96" s="26">
        <f t="shared" si="42"/>
        <v>0.70499999999999996</v>
      </c>
      <c r="AV96" s="26">
        <f t="shared" si="44"/>
        <v>0.71</v>
      </c>
      <c r="AW96" s="26">
        <f t="shared" si="44"/>
        <v>0.71499999999999997</v>
      </c>
      <c r="AX96" s="26">
        <f t="shared" si="44"/>
        <v>0.72</v>
      </c>
      <c r="AY96" s="26">
        <f t="shared" si="44"/>
        <v>0.72499999999999998</v>
      </c>
      <c r="AZ96" s="26">
        <f t="shared" si="44"/>
        <v>0.73</v>
      </c>
      <c r="BA96" s="26">
        <f t="shared" si="44"/>
        <v>0.73499999999999999</v>
      </c>
      <c r="BB96" s="26">
        <f t="shared" si="44"/>
        <v>0.74</v>
      </c>
      <c r="BC96" s="26">
        <f t="shared" si="44"/>
        <v>0.745</v>
      </c>
      <c r="BD96" s="26">
        <f t="shared" si="44"/>
        <v>0.75</v>
      </c>
      <c r="BE96" s="26">
        <f t="shared" si="44"/>
        <v>0.755</v>
      </c>
      <c r="BF96" s="26">
        <f t="shared" si="44"/>
        <v>0.76</v>
      </c>
      <c r="BG96" s="26">
        <f t="shared" si="44"/>
        <v>0.76500000000000001</v>
      </c>
      <c r="BH96" s="26">
        <f t="shared" si="44"/>
        <v>0.77</v>
      </c>
      <c r="BI96" s="26">
        <f t="shared" si="44"/>
        <v>0.77500000000000002</v>
      </c>
      <c r="BJ96" s="26">
        <f t="shared" si="44"/>
        <v>0.78</v>
      </c>
      <c r="BK96" s="26">
        <f t="shared" si="44"/>
        <v>0.78500000000000003</v>
      </c>
      <c r="BL96" s="26">
        <f t="shared" si="46"/>
        <v>0.79</v>
      </c>
      <c r="BM96" s="26">
        <f t="shared" si="46"/>
        <v>0.79500000000000004</v>
      </c>
      <c r="BN96" s="26">
        <f t="shared" si="46"/>
        <v>0.8</v>
      </c>
      <c r="BO96" s="26">
        <f t="shared" si="46"/>
        <v>0.80500000000000005</v>
      </c>
      <c r="BP96" s="26">
        <f t="shared" si="46"/>
        <v>0.81</v>
      </c>
      <c r="BQ96" s="26">
        <f t="shared" si="46"/>
        <v>0.81499999999999995</v>
      </c>
      <c r="BR96" s="26">
        <f t="shared" si="46"/>
        <v>0.82</v>
      </c>
      <c r="BS96" s="26">
        <f t="shared" si="46"/>
        <v>0.82499999999999996</v>
      </c>
      <c r="BT96" s="26">
        <f t="shared" si="46"/>
        <v>0.83</v>
      </c>
      <c r="BU96" s="26">
        <f t="shared" si="46"/>
        <v>0.83499999999999996</v>
      </c>
      <c r="BV96" s="26">
        <f t="shared" si="46"/>
        <v>0.84</v>
      </c>
      <c r="BW96" s="26">
        <f t="shared" si="46"/>
        <v>0.84499999999999997</v>
      </c>
      <c r="BX96" s="26">
        <f t="shared" si="46"/>
        <v>0.85</v>
      </c>
      <c r="BY96" s="26">
        <f t="shared" si="46"/>
        <v>0.85499999999999998</v>
      </c>
      <c r="BZ96" s="26">
        <f t="shared" si="46"/>
        <v>0.86</v>
      </c>
      <c r="CA96" s="26">
        <f t="shared" si="46"/>
        <v>0.86499999999999999</v>
      </c>
      <c r="CB96" s="26">
        <f t="shared" si="47"/>
        <v>0.87</v>
      </c>
      <c r="CC96" s="26">
        <f t="shared" si="47"/>
        <v>0.875</v>
      </c>
      <c r="CD96" s="26">
        <f t="shared" si="47"/>
        <v>0.88</v>
      </c>
      <c r="CE96" s="26">
        <f t="shared" si="47"/>
        <v>0.88500000000000001</v>
      </c>
      <c r="CF96" s="26">
        <f t="shared" si="47"/>
        <v>0.89</v>
      </c>
      <c r="CG96" s="26">
        <f t="shared" si="47"/>
        <v>0.89500000000000002</v>
      </c>
      <c r="CH96" s="26">
        <f t="shared" si="47"/>
        <v>0.9</v>
      </c>
      <c r="CI96" s="26">
        <f t="shared" si="47"/>
        <v>0.90500000000000003</v>
      </c>
      <c r="CJ96" s="26">
        <f t="shared" si="47"/>
        <v>0.91</v>
      </c>
      <c r="CK96" s="26">
        <f t="shared" si="47"/>
        <v>0.91500000000000004</v>
      </c>
      <c r="CL96" s="26">
        <f t="shared" si="47"/>
        <v>0.92</v>
      </c>
      <c r="CM96" s="26">
        <f t="shared" si="47"/>
        <v>0.92500000000000004</v>
      </c>
      <c r="CN96" s="26">
        <f t="shared" si="47"/>
        <v>0.93</v>
      </c>
      <c r="CO96" s="26">
        <f t="shared" si="47"/>
        <v>0.93500000000000005</v>
      </c>
      <c r="CP96" s="26">
        <f t="shared" si="47"/>
        <v>0.94</v>
      </c>
      <c r="CQ96" s="26">
        <f t="shared" si="47"/>
        <v>0.94499999999999995</v>
      </c>
      <c r="CR96" s="26">
        <f t="shared" si="48"/>
        <v>0.95</v>
      </c>
      <c r="CS96" s="26">
        <f t="shared" si="48"/>
        <v>0.95499999999999996</v>
      </c>
      <c r="CT96" s="26">
        <f t="shared" si="48"/>
        <v>0.96</v>
      </c>
      <c r="CU96" s="26">
        <f t="shared" si="48"/>
        <v>0.96499999999999997</v>
      </c>
      <c r="CV96" s="26">
        <f t="shared" si="48"/>
        <v>0.97</v>
      </c>
      <c r="CW96" s="26">
        <f t="shared" si="48"/>
        <v>0.97499999999999998</v>
      </c>
    </row>
    <row r="97" spans="2:101" ht="20.100000000000001" customHeight="1">
      <c r="B97" s="26">
        <f t="shared" si="45"/>
        <v>0.48499999999999999</v>
      </c>
      <c r="C97" s="26">
        <f t="shared" si="45"/>
        <v>0.49</v>
      </c>
      <c r="D97" s="26">
        <f t="shared" si="45"/>
        <v>0.495</v>
      </c>
      <c r="E97" s="26">
        <f t="shared" si="45"/>
        <v>0.5</v>
      </c>
      <c r="F97" s="26">
        <f t="shared" si="45"/>
        <v>0.505</v>
      </c>
      <c r="G97" s="26">
        <f t="shared" si="45"/>
        <v>0.51</v>
      </c>
      <c r="H97" s="26">
        <f t="shared" si="45"/>
        <v>0.51500000000000001</v>
      </c>
      <c r="I97" s="26">
        <f t="shared" si="45"/>
        <v>0.52</v>
      </c>
      <c r="J97" s="26">
        <f t="shared" si="45"/>
        <v>0.52500000000000002</v>
      </c>
      <c r="K97" s="26">
        <f t="shared" si="45"/>
        <v>0.53</v>
      </c>
      <c r="L97" s="26">
        <f t="shared" si="45"/>
        <v>0.53500000000000003</v>
      </c>
      <c r="M97" s="26">
        <f t="shared" si="45"/>
        <v>0.54</v>
      </c>
      <c r="N97" s="26">
        <f t="shared" si="45"/>
        <v>0.54500000000000004</v>
      </c>
      <c r="O97" s="26">
        <f t="shared" si="45"/>
        <v>0.55000000000000004</v>
      </c>
      <c r="P97" s="26">
        <f t="shared" si="45"/>
        <v>0.55500000000000005</v>
      </c>
      <c r="Q97" s="26">
        <f t="shared" si="45"/>
        <v>0.56000000000000005</v>
      </c>
      <c r="R97" s="26">
        <f t="shared" si="43"/>
        <v>0.56499999999999995</v>
      </c>
      <c r="S97" s="26">
        <f t="shared" si="43"/>
        <v>0.56999999999999995</v>
      </c>
      <c r="T97" s="26">
        <f t="shared" si="43"/>
        <v>0.57499999999999996</v>
      </c>
      <c r="U97" s="26">
        <f t="shared" si="43"/>
        <v>0.57999999999999996</v>
      </c>
      <c r="V97" s="26">
        <f t="shared" si="43"/>
        <v>0.58499999999999996</v>
      </c>
      <c r="W97" s="26">
        <f t="shared" si="43"/>
        <v>0.59</v>
      </c>
      <c r="X97" s="26">
        <f t="shared" si="43"/>
        <v>0.59499999999999997</v>
      </c>
      <c r="Y97" s="26">
        <f t="shared" si="43"/>
        <v>0.6</v>
      </c>
      <c r="Z97" s="26">
        <f t="shared" si="43"/>
        <v>0.60499999999999998</v>
      </c>
      <c r="AA97" s="26">
        <f t="shared" si="43"/>
        <v>0.61</v>
      </c>
      <c r="AB97" s="26">
        <f t="shared" si="43"/>
        <v>0.61499999999999999</v>
      </c>
      <c r="AC97" s="26">
        <f t="shared" si="43"/>
        <v>0.62</v>
      </c>
      <c r="AD97" s="26">
        <f t="shared" si="43"/>
        <v>0.625</v>
      </c>
      <c r="AE97" s="26">
        <f t="shared" si="43"/>
        <v>0.63</v>
      </c>
      <c r="AF97" s="26">
        <f t="shared" si="43"/>
        <v>0.63500000000000001</v>
      </c>
      <c r="AG97" s="26">
        <f t="shared" si="43"/>
        <v>0.64</v>
      </c>
      <c r="AH97" s="26">
        <f t="shared" ref="AH97:AW101" si="49">(ROW(AG96)+COLUMN(AG96))/200</f>
        <v>0.64500000000000002</v>
      </c>
      <c r="AI97" s="26">
        <f t="shared" si="49"/>
        <v>0.65</v>
      </c>
      <c r="AJ97" s="26">
        <f t="shared" si="49"/>
        <v>0.65500000000000003</v>
      </c>
      <c r="AK97" s="26">
        <f t="shared" si="49"/>
        <v>0.66</v>
      </c>
      <c r="AL97" s="26">
        <f t="shared" si="49"/>
        <v>0.66500000000000004</v>
      </c>
      <c r="AM97" s="26">
        <f t="shared" si="49"/>
        <v>0.67</v>
      </c>
      <c r="AN97" s="26">
        <f t="shared" si="49"/>
        <v>0.67500000000000004</v>
      </c>
      <c r="AO97" s="26">
        <f t="shared" si="49"/>
        <v>0.68</v>
      </c>
      <c r="AP97" s="26">
        <f t="shared" si="49"/>
        <v>0.68500000000000005</v>
      </c>
      <c r="AQ97" s="26">
        <f t="shared" si="49"/>
        <v>0.69</v>
      </c>
      <c r="AR97" s="26">
        <f t="shared" si="49"/>
        <v>0.69499999999999995</v>
      </c>
      <c r="AS97" s="26">
        <f t="shared" si="49"/>
        <v>0.7</v>
      </c>
      <c r="AT97" s="26">
        <f t="shared" si="49"/>
        <v>0.70499999999999996</v>
      </c>
      <c r="AU97" s="26">
        <f t="shared" si="49"/>
        <v>0.71</v>
      </c>
      <c r="AV97" s="26">
        <f t="shared" si="44"/>
        <v>0.71499999999999997</v>
      </c>
      <c r="AW97" s="26">
        <f t="shared" si="44"/>
        <v>0.72</v>
      </c>
      <c r="AX97" s="26">
        <f t="shared" si="44"/>
        <v>0.72499999999999998</v>
      </c>
      <c r="AY97" s="26">
        <f t="shared" si="44"/>
        <v>0.73</v>
      </c>
      <c r="AZ97" s="26">
        <f t="shared" si="44"/>
        <v>0.73499999999999999</v>
      </c>
      <c r="BA97" s="26">
        <f t="shared" si="44"/>
        <v>0.74</v>
      </c>
      <c r="BB97" s="26">
        <f t="shared" si="44"/>
        <v>0.745</v>
      </c>
      <c r="BC97" s="26">
        <f t="shared" si="44"/>
        <v>0.75</v>
      </c>
      <c r="BD97" s="26">
        <f t="shared" si="44"/>
        <v>0.755</v>
      </c>
      <c r="BE97" s="26">
        <f t="shared" si="44"/>
        <v>0.76</v>
      </c>
      <c r="BF97" s="26">
        <f t="shared" si="44"/>
        <v>0.76500000000000001</v>
      </c>
      <c r="BG97" s="26">
        <f t="shared" si="44"/>
        <v>0.77</v>
      </c>
      <c r="BH97" s="26">
        <f t="shared" si="44"/>
        <v>0.77500000000000002</v>
      </c>
      <c r="BI97" s="26">
        <f t="shared" si="44"/>
        <v>0.78</v>
      </c>
      <c r="BJ97" s="26">
        <f t="shared" si="44"/>
        <v>0.78500000000000003</v>
      </c>
      <c r="BK97" s="26">
        <f t="shared" si="44"/>
        <v>0.79</v>
      </c>
      <c r="BL97" s="26">
        <f t="shared" si="46"/>
        <v>0.79500000000000004</v>
      </c>
      <c r="BM97" s="26">
        <f t="shared" si="46"/>
        <v>0.8</v>
      </c>
      <c r="BN97" s="26">
        <f t="shared" si="46"/>
        <v>0.80500000000000005</v>
      </c>
      <c r="BO97" s="26">
        <f t="shared" si="46"/>
        <v>0.81</v>
      </c>
      <c r="BP97" s="26">
        <f t="shared" si="46"/>
        <v>0.81499999999999995</v>
      </c>
      <c r="BQ97" s="26">
        <f t="shared" si="46"/>
        <v>0.82</v>
      </c>
      <c r="BR97" s="26">
        <f t="shared" si="46"/>
        <v>0.82499999999999996</v>
      </c>
      <c r="BS97" s="26">
        <f t="shared" si="46"/>
        <v>0.83</v>
      </c>
      <c r="BT97" s="26">
        <f t="shared" si="46"/>
        <v>0.83499999999999996</v>
      </c>
      <c r="BU97" s="26">
        <f t="shared" si="46"/>
        <v>0.84</v>
      </c>
      <c r="BV97" s="26">
        <f t="shared" si="46"/>
        <v>0.84499999999999997</v>
      </c>
      <c r="BW97" s="26">
        <f t="shared" si="46"/>
        <v>0.85</v>
      </c>
      <c r="BX97" s="26">
        <f t="shared" si="46"/>
        <v>0.85499999999999998</v>
      </c>
      <c r="BY97" s="26">
        <f t="shared" si="46"/>
        <v>0.86</v>
      </c>
      <c r="BZ97" s="26">
        <f t="shared" si="46"/>
        <v>0.86499999999999999</v>
      </c>
      <c r="CA97" s="26">
        <f t="shared" si="46"/>
        <v>0.87</v>
      </c>
      <c r="CB97" s="26">
        <f t="shared" si="47"/>
        <v>0.875</v>
      </c>
      <c r="CC97" s="26">
        <f t="shared" si="47"/>
        <v>0.88</v>
      </c>
      <c r="CD97" s="26">
        <f t="shared" si="47"/>
        <v>0.88500000000000001</v>
      </c>
      <c r="CE97" s="26">
        <f t="shared" si="47"/>
        <v>0.89</v>
      </c>
      <c r="CF97" s="26">
        <f t="shared" si="47"/>
        <v>0.89500000000000002</v>
      </c>
      <c r="CG97" s="26">
        <f t="shared" si="47"/>
        <v>0.9</v>
      </c>
      <c r="CH97" s="26">
        <f t="shared" si="47"/>
        <v>0.90500000000000003</v>
      </c>
      <c r="CI97" s="26">
        <f t="shared" si="47"/>
        <v>0.91</v>
      </c>
      <c r="CJ97" s="26">
        <f t="shared" si="47"/>
        <v>0.91500000000000004</v>
      </c>
      <c r="CK97" s="26">
        <f t="shared" si="47"/>
        <v>0.92</v>
      </c>
      <c r="CL97" s="26">
        <f t="shared" si="47"/>
        <v>0.92500000000000004</v>
      </c>
      <c r="CM97" s="26">
        <f t="shared" si="47"/>
        <v>0.93</v>
      </c>
      <c r="CN97" s="26">
        <f t="shared" si="47"/>
        <v>0.93500000000000005</v>
      </c>
      <c r="CO97" s="26">
        <f t="shared" si="47"/>
        <v>0.94</v>
      </c>
      <c r="CP97" s="26">
        <f t="shared" si="47"/>
        <v>0.94499999999999995</v>
      </c>
      <c r="CQ97" s="26">
        <f t="shared" si="47"/>
        <v>0.95</v>
      </c>
      <c r="CR97" s="26">
        <f t="shared" si="48"/>
        <v>0.95499999999999996</v>
      </c>
      <c r="CS97" s="26">
        <f t="shared" si="48"/>
        <v>0.96</v>
      </c>
      <c r="CT97" s="26">
        <f t="shared" si="48"/>
        <v>0.96499999999999997</v>
      </c>
      <c r="CU97" s="26">
        <f t="shared" si="48"/>
        <v>0.97</v>
      </c>
      <c r="CV97" s="26">
        <f t="shared" si="48"/>
        <v>0.97499999999999998</v>
      </c>
      <c r="CW97" s="26">
        <f t="shared" si="48"/>
        <v>0.98</v>
      </c>
    </row>
    <row r="98" spans="2:101" ht="20.100000000000001" customHeight="1">
      <c r="B98" s="26">
        <f t="shared" si="45"/>
        <v>0.49</v>
      </c>
      <c r="C98" s="26">
        <f t="shared" si="45"/>
        <v>0.495</v>
      </c>
      <c r="D98" s="26">
        <f t="shared" si="45"/>
        <v>0.5</v>
      </c>
      <c r="E98" s="26">
        <f t="shared" si="45"/>
        <v>0.505</v>
      </c>
      <c r="F98" s="26">
        <f t="shared" si="45"/>
        <v>0.51</v>
      </c>
      <c r="G98" s="26">
        <f t="shared" si="45"/>
        <v>0.51500000000000001</v>
      </c>
      <c r="H98" s="26">
        <f t="shared" si="45"/>
        <v>0.52</v>
      </c>
      <c r="I98" s="26">
        <f t="shared" si="45"/>
        <v>0.52500000000000002</v>
      </c>
      <c r="J98" s="26">
        <f t="shared" si="45"/>
        <v>0.53</v>
      </c>
      <c r="K98" s="26">
        <f t="shared" si="45"/>
        <v>0.53500000000000003</v>
      </c>
      <c r="L98" s="26">
        <f t="shared" si="45"/>
        <v>0.54</v>
      </c>
      <c r="M98" s="26">
        <f t="shared" si="45"/>
        <v>0.54500000000000004</v>
      </c>
      <c r="N98" s="26">
        <f t="shared" si="45"/>
        <v>0.55000000000000004</v>
      </c>
      <c r="O98" s="26">
        <f t="shared" si="45"/>
        <v>0.55500000000000005</v>
      </c>
      <c r="P98" s="26">
        <f t="shared" si="45"/>
        <v>0.56000000000000005</v>
      </c>
      <c r="Q98" s="26">
        <f t="shared" ref="Q98:AF101" si="50">(ROW(P97)+COLUMN(P97))/200</f>
        <v>0.56499999999999995</v>
      </c>
      <c r="R98" s="26">
        <f t="shared" si="50"/>
        <v>0.56999999999999995</v>
      </c>
      <c r="S98" s="26">
        <f t="shared" si="50"/>
        <v>0.57499999999999996</v>
      </c>
      <c r="T98" s="26">
        <f t="shared" si="50"/>
        <v>0.57999999999999996</v>
      </c>
      <c r="U98" s="26">
        <f t="shared" si="50"/>
        <v>0.58499999999999996</v>
      </c>
      <c r="V98" s="26">
        <f t="shared" si="50"/>
        <v>0.59</v>
      </c>
      <c r="W98" s="26">
        <f t="shared" si="50"/>
        <v>0.59499999999999997</v>
      </c>
      <c r="X98" s="26">
        <f t="shared" si="50"/>
        <v>0.6</v>
      </c>
      <c r="Y98" s="26">
        <f t="shared" si="50"/>
        <v>0.60499999999999998</v>
      </c>
      <c r="Z98" s="26">
        <f t="shared" si="50"/>
        <v>0.61</v>
      </c>
      <c r="AA98" s="26">
        <f t="shared" si="50"/>
        <v>0.61499999999999999</v>
      </c>
      <c r="AB98" s="26">
        <f t="shared" si="50"/>
        <v>0.62</v>
      </c>
      <c r="AC98" s="26">
        <f t="shared" si="50"/>
        <v>0.625</v>
      </c>
      <c r="AD98" s="26">
        <f t="shared" si="50"/>
        <v>0.63</v>
      </c>
      <c r="AE98" s="26">
        <f t="shared" si="50"/>
        <v>0.63500000000000001</v>
      </c>
      <c r="AF98" s="26">
        <f t="shared" si="50"/>
        <v>0.64</v>
      </c>
      <c r="AG98" s="26">
        <f t="shared" ref="AG98:AG101" si="51">(ROW(AF97)+COLUMN(AF97))/200</f>
        <v>0.64500000000000002</v>
      </c>
      <c r="AH98" s="26">
        <f t="shared" si="49"/>
        <v>0.65</v>
      </c>
      <c r="AI98" s="26">
        <f t="shared" si="49"/>
        <v>0.65500000000000003</v>
      </c>
      <c r="AJ98" s="26">
        <f t="shared" si="49"/>
        <v>0.66</v>
      </c>
      <c r="AK98" s="26">
        <f t="shared" si="49"/>
        <v>0.66500000000000004</v>
      </c>
      <c r="AL98" s="26">
        <f t="shared" si="49"/>
        <v>0.67</v>
      </c>
      <c r="AM98" s="26">
        <f t="shared" si="49"/>
        <v>0.67500000000000004</v>
      </c>
      <c r="AN98" s="26">
        <f t="shared" si="49"/>
        <v>0.68</v>
      </c>
      <c r="AO98" s="26">
        <f t="shared" si="49"/>
        <v>0.68500000000000005</v>
      </c>
      <c r="AP98" s="26">
        <f t="shared" si="49"/>
        <v>0.69</v>
      </c>
      <c r="AQ98" s="26">
        <f t="shared" si="49"/>
        <v>0.69499999999999995</v>
      </c>
      <c r="AR98" s="26">
        <f t="shared" si="49"/>
        <v>0.7</v>
      </c>
      <c r="AS98" s="26">
        <f t="shared" si="49"/>
        <v>0.70499999999999996</v>
      </c>
      <c r="AT98" s="26">
        <f t="shared" si="49"/>
        <v>0.71</v>
      </c>
      <c r="AU98" s="26">
        <f t="shared" si="49"/>
        <v>0.71499999999999997</v>
      </c>
      <c r="AV98" s="26">
        <f t="shared" si="49"/>
        <v>0.72</v>
      </c>
      <c r="AW98" s="26">
        <f t="shared" si="49"/>
        <v>0.72499999999999998</v>
      </c>
      <c r="AX98" s="26">
        <f t="shared" ref="AX98:BK101" si="52">(ROW(AW97)+COLUMN(AW97))/200</f>
        <v>0.73</v>
      </c>
      <c r="AY98" s="26">
        <f t="shared" si="52"/>
        <v>0.73499999999999999</v>
      </c>
      <c r="AZ98" s="26">
        <f t="shared" si="52"/>
        <v>0.74</v>
      </c>
      <c r="BA98" s="26">
        <f t="shared" si="52"/>
        <v>0.745</v>
      </c>
      <c r="BB98" s="26">
        <f t="shared" si="52"/>
        <v>0.75</v>
      </c>
      <c r="BC98" s="26">
        <f t="shared" si="52"/>
        <v>0.755</v>
      </c>
      <c r="BD98" s="26">
        <f t="shared" si="52"/>
        <v>0.76</v>
      </c>
      <c r="BE98" s="26">
        <f t="shared" si="52"/>
        <v>0.76500000000000001</v>
      </c>
      <c r="BF98" s="26">
        <f t="shared" si="52"/>
        <v>0.77</v>
      </c>
      <c r="BG98" s="26">
        <f t="shared" si="52"/>
        <v>0.77500000000000002</v>
      </c>
      <c r="BH98" s="26">
        <f t="shared" si="52"/>
        <v>0.78</v>
      </c>
      <c r="BI98" s="26">
        <f t="shared" si="52"/>
        <v>0.78500000000000003</v>
      </c>
      <c r="BJ98" s="26">
        <f t="shared" si="52"/>
        <v>0.79</v>
      </c>
      <c r="BK98" s="26">
        <f t="shared" si="52"/>
        <v>0.79500000000000004</v>
      </c>
      <c r="BL98" s="26">
        <f t="shared" si="46"/>
        <v>0.8</v>
      </c>
      <c r="BM98" s="26">
        <f t="shared" si="46"/>
        <v>0.80500000000000005</v>
      </c>
      <c r="BN98" s="26">
        <f t="shared" si="46"/>
        <v>0.81</v>
      </c>
      <c r="BO98" s="26">
        <f t="shared" si="46"/>
        <v>0.81499999999999995</v>
      </c>
      <c r="BP98" s="26">
        <f t="shared" si="46"/>
        <v>0.82</v>
      </c>
      <c r="BQ98" s="26">
        <f t="shared" si="46"/>
        <v>0.82499999999999996</v>
      </c>
      <c r="BR98" s="26">
        <f t="shared" si="46"/>
        <v>0.83</v>
      </c>
      <c r="BS98" s="26">
        <f t="shared" si="46"/>
        <v>0.83499999999999996</v>
      </c>
      <c r="BT98" s="26">
        <f t="shared" si="46"/>
        <v>0.84</v>
      </c>
      <c r="BU98" s="26">
        <f t="shared" si="46"/>
        <v>0.84499999999999997</v>
      </c>
      <c r="BV98" s="26">
        <f t="shared" si="46"/>
        <v>0.85</v>
      </c>
      <c r="BW98" s="26">
        <f t="shared" si="46"/>
        <v>0.85499999999999998</v>
      </c>
      <c r="BX98" s="26">
        <f t="shared" si="46"/>
        <v>0.86</v>
      </c>
      <c r="BY98" s="26">
        <f t="shared" si="46"/>
        <v>0.86499999999999999</v>
      </c>
      <c r="BZ98" s="26">
        <f t="shared" si="46"/>
        <v>0.87</v>
      </c>
      <c r="CA98" s="26">
        <f t="shared" si="46"/>
        <v>0.875</v>
      </c>
      <c r="CB98" s="26">
        <f t="shared" si="47"/>
        <v>0.88</v>
      </c>
      <c r="CC98" s="26">
        <f t="shared" si="47"/>
        <v>0.88500000000000001</v>
      </c>
      <c r="CD98" s="26">
        <f t="shared" si="47"/>
        <v>0.89</v>
      </c>
      <c r="CE98" s="26">
        <f t="shared" si="47"/>
        <v>0.89500000000000002</v>
      </c>
      <c r="CF98" s="26">
        <f t="shared" si="47"/>
        <v>0.9</v>
      </c>
      <c r="CG98" s="26">
        <f t="shared" si="47"/>
        <v>0.90500000000000003</v>
      </c>
      <c r="CH98" s="26">
        <f t="shared" si="47"/>
        <v>0.91</v>
      </c>
      <c r="CI98" s="26">
        <f t="shared" si="47"/>
        <v>0.91500000000000004</v>
      </c>
      <c r="CJ98" s="26">
        <f t="shared" si="47"/>
        <v>0.92</v>
      </c>
      <c r="CK98" s="26">
        <f t="shared" si="47"/>
        <v>0.92500000000000004</v>
      </c>
      <c r="CL98" s="26">
        <f t="shared" si="47"/>
        <v>0.93</v>
      </c>
      <c r="CM98" s="26">
        <f t="shared" si="47"/>
        <v>0.93500000000000005</v>
      </c>
      <c r="CN98" s="26">
        <f t="shared" si="47"/>
        <v>0.94</v>
      </c>
      <c r="CO98" s="26">
        <f t="shared" si="47"/>
        <v>0.94499999999999995</v>
      </c>
      <c r="CP98" s="26">
        <f t="shared" si="47"/>
        <v>0.95</v>
      </c>
      <c r="CQ98" s="26">
        <f t="shared" si="47"/>
        <v>0.95499999999999996</v>
      </c>
      <c r="CR98" s="26">
        <f t="shared" si="48"/>
        <v>0.96</v>
      </c>
      <c r="CS98" s="26">
        <f t="shared" si="48"/>
        <v>0.96499999999999997</v>
      </c>
      <c r="CT98" s="26">
        <f t="shared" si="48"/>
        <v>0.97</v>
      </c>
      <c r="CU98" s="26">
        <f t="shared" si="48"/>
        <v>0.97499999999999998</v>
      </c>
      <c r="CV98" s="26">
        <f t="shared" si="48"/>
        <v>0.98</v>
      </c>
      <c r="CW98" s="26">
        <f t="shared" si="48"/>
        <v>0.98499999999999999</v>
      </c>
    </row>
    <row r="99" spans="2:101" ht="20.100000000000001" customHeight="1">
      <c r="B99" s="26">
        <f t="shared" ref="B99:P101" si="53">(ROW(A98)+COLUMN(A98))/200</f>
        <v>0.495</v>
      </c>
      <c r="C99" s="26">
        <f t="shared" si="53"/>
        <v>0.5</v>
      </c>
      <c r="D99" s="26">
        <f t="shared" si="53"/>
        <v>0.505</v>
      </c>
      <c r="E99" s="26">
        <f t="shared" si="53"/>
        <v>0.51</v>
      </c>
      <c r="F99" s="26">
        <f t="shared" si="53"/>
        <v>0.51500000000000001</v>
      </c>
      <c r="G99" s="26">
        <f t="shared" si="53"/>
        <v>0.52</v>
      </c>
      <c r="H99" s="26">
        <f t="shared" si="53"/>
        <v>0.52500000000000002</v>
      </c>
      <c r="I99" s="26">
        <f t="shared" si="53"/>
        <v>0.53</v>
      </c>
      <c r="J99" s="26">
        <f t="shared" si="53"/>
        <v>0.53500000000000003</v>
      </c>
      <c r="K99" s="26">
        <f t="shared" si="53"/>
        <v>0.54</v>
      </c>
      <c r="L99" s="26">
        <f t="shared" si="53"/>
        <v>0.54500000000000004</v>
      </c>
      <c r="M99" s="26">
        <f t="shared" si="53"/>
        <v>0.55000000000000004</v>
      </c>
      <c r="N99" s="26">
        <f t="shared" si="53"/>
        <v>0.55500000000000005</v>
      </c>
      <c r="O99" s="26">
        <f t="shared" si="53"/>
        <v>0.56000000000000005</v>
      </c>
      <c r="P99" s="26">
        <f t="shared" si="53"/>
        <v>0.56499999999999995</v>
      </c>
      <c r="Q99" s="26">
        <f t="shared" si="50"/>
        <v>0.56999999999999995</v>
      </c>
      <c r="R99" s="26">
        <f t="shared" si="50"/>
        <v>0.57499999999999996</v>
      </c>
      <c r="S99" s="26">
        <f t="shared" si="50"/>
        <v>0.57999999999999996</v>
      </c>
      <c r="T99" s="26">
        <f t="shared" si="50"/>
        <v>0.58499999999999996</v>
      </c>
      <c r="U99" s="26">
        <f t="shared" si="50"/>
        <v>0.59</v>
      </c>
      <c r="V99" s="26">
        <f t="shared" si="50"/>
        <v>0.59499999999999997</v>
      </c>
      <c r="W99" s="26">
        <f t="shared" si="50"/>
        <v>0.6</v>
      </c>
      <c r="X99" s="26">
        <f t="shared" si="50"/>
        <v>0.60499999999999998</v>
      </c>
      <c r="Y99" s="26">
        <f t="shared" si="50"/>
        <v>0.61</v>
      </c>
      <c r="Z99" s="26">
        <f t="shared" si="50"/>
        <v>0.61499999999999999</v>
      </c>
      <c r="AA99" s="26">
        <f t="shared" si="50"/>
        <v>0.62</v>
      </c>
      <c r="AB99" s="26">
        <f t="shared" si="50"/>
        <v>0.625</v>
      </c>
      <c r="AC99" s="26">
        <f t="shared" si="50"/>
        <v>0.63</v>
      </c>
      <c r="AD99" s="26">
        <f t="shared" si="50"/>
        <v>0.63500000000000001</v>
      </c>
      <c r="AE99" s="26">
        <f t="shared" si="50"/>
        <v>0.64</v>
      </c>
      <c r="AF99" s="26">
        <f t="shared" si="50"/>
        <v>0.64500000000000002</v>
      </c>
      <c r="AG99" s="26">
        <f t="shared" si="51"/>
        <v>0.65</v>
      </c>
      <c r="AH99" s="26">
        <f t="shared" si="49"/>
        <v>0.65500000000000003</v>
      </c>
      <c r="AI99" s="26">
        <f t="shared" si="49"/>
        <v>0.66</v>
      </c>
      <c r="AJ99" s="26">
        <f t="shared" si="49"/>
        <v>0.66500000000000004</v>
      </c>
      <c r="AK99" s="26">
        <f t="shared" si="49"/>
        <v>0.67</v>
      </c>
      <c r="AL99" s="26">
        <f t="shared" si="49"/>
        <v>0.67500000000000004</v>
      </c>
      <c r="AM99" s="26">
        <f t="shared" si="49"/>
        <v>0.68</v>
      </c>
      <c r="AN99" s="26">
        <f t="shared" si="49"/>
        <v>0.68500000000000005</v>
      </c>
      <c r="AO99" s="26">
        <f t="shared" si="49"/>
        <v>0.69</v>
      </c>
      <c r="AP99" s="26">
        <f t="shared" si="49"/>
        <v>0.69499999999999995</v>
      </c>
      <c r="AQ99" s="26">
        <f t="shared" si="49"/>
        <v>0.7</v>
      </c>
      <c r="AR99" s="26">
        <f t="shared" si="49"/>
        <v>0.70499999999999996</v>
      </c>
      <c r="AS99" s="26">
        <f t="shared" si="49"/>
        <v>0.71</v>
      </c>
      <c r="AT99" s="26">
        <f t="shared" si="49"/>
        <v>0.71499999999999997</v>
      </c>
      <c r="AU99" s="26">
        <f t="shared" si="49"/>
        <v>0.72</v>
      </c>
      <c r="AV99" s="26">
        <f t="shared" si="49"/>
        <v>0.72499999999999998</v>
      </c>
      <c r="AW99" s="26">
        <f t="shared" si="49"/>
        <v>0.73</v>
      </c>
      <c r="AX99" s="26">
        <f t="shared" si="52"/>
        <v>0.73499999999999999</v>
      </c>
      <c r="AY99" s="26">
        <f t="shared" si="52"/>
        <v>0.74</v>
      </c>
      <c r="AZ99" s="26">
        <f t="shared" si="52"/>
        <v>0.745</v>
      </c>
      <c r="BA99" s="26">
        <f t="shared" si="52"/>
        <v>0.75</v>
      </c>
      <c r="BB99" s="26">
        <f t="shared" si="52"/>
        <v>0.755</v>
      </c>
      <c r="BC99" s="26">
        <f t="shared" si="52"/>
        <v>0.76</v>
      </c>
      <c r="BD99" s="26">
        <f t="shared" si="52"/>
        <v>0.76500000000000001</v>
      </c>
      <c r="BE99" s="26">
        <f t="shared" si="52"/>
        <v>0.77</v>
      </c>
      <c r="BF99" s="26">
        <f t="shared" si="52"/>
        <v>0.77500000000000002</v>
      </c>
      <c r="BG99" s="26">
        <f t="shared" si="52"/>
        <v>0.78</v>
      </c>
      <c r="BH99" s="26">
        <f t="shared" si="52"/>
        <v>0.78500000000000003</v>
      </c>
      <c r="BI99" s="26">
        <f t="shared" si="52"/>
        <v>0.79</v>
      </c>
      <c r="BJ99" s="26">
        <f t="shared" si="52"/>
        <v>0.79500000000000004</v>
      </c>
      <c r="BK99" s="26">
        <f t="shared" si="52"/>
        <v>0.8</v>
      </c>
      <c r="BL99" s="26">
        <f t="shared" si="46"/>
        <v>0.80500000000000005</v>
      </c>
      <c r="BM99" s="26">
        <f t="shared" si="46"/>
        <v>0.81</v>
      </c>
      <c r="BN99" s="26">
        <f t="shared" si="46"/>
        <v>0.81499999999999995</v>
      </c>
      <c r="BO99" s="26">
        <f t="shared" si="46"/>
        <v>0.82</v>
      </c>
      <c r="BP99" s="26">
        <f t="shared" si="46"/>
        <v>0.82499999999999996</v>
      </c>
      <c r="BQ99" s="26">
        <f t="shared" si="46"/>
        <v>0.83</v>
      </c>
      <c r="BR99" s="26">
        <f t="shared" si="46"/>
        <v>0.83499999999999996</v>
      </c>
      <c r="BS99" s="26">
        <f t="shared" si="46"/>
        <v>0.84</v>
      </c>
      <c r="BT99" s="26">
        <f t="shared" si="46"/>
        <v>0.84499999999999997</v>
      </c>
      <c r="BU99" s="26">
        <f t="shared" si="46"/>
        <v>0.85</v>
      </c>
      <c r="BV99" s="26">
        <f t="shared" si="46"/>
        <v>0.85499999999999998</v>
      </c>
      <c r="BW99" s="26">
        <f t="shared" si="46"/>
        <v>0.86</v>
      </c>
      <c r="BX99" s="26">
        <f t="shared" si="46"/>
        <v>0.86499999999999999</v>
      </c>
      <c r="BY99" s="26">
        <f t="shared" si="46"/>
        <v>0.87</v>
      </c>
      <c r="BZ99" s="26">
        <f t="shared" si="46"/>
        <v>0.875</v>
      </c>
      <c r="CA99" s="26">
        <f t="shared" si="46"/>
        <v>0.88</v>
      </c>
      <c r="CB99" s="26">
        <f t="shared" si="47"/>
        <v>0.88500000000000001</v>
      </c>
      <c r="CC99" s="26">
        <f t="shared" si="47"/>
        <v>0.89</v>
      </c>
      <c r="CD99" s="26">
        <f t="shared" si="47"/>
        <v>0.89500000000000002</v>
      </c>
      <c r="CE99" s="26">
        <f t="shared" si="47"/>
        <v>0.9</v>
      </c>
      <c r="CF99" s="26">
        <f t="shared" si="47"/>
        <v>0.90500000000000003</v>
      </c>
      <c r="CG99" s="26">
        <f t="shared" si="47"/>
        <v>0.91</v>
      </c>
      <c r="CH99" s="26">
        <f t="shared" si="47"/>
        <v>0.91500000000000004</v>
      </c>
      <c r="CI99" s="26">
        <f t="shared" si="47"/>
        <v>0.92</v>
      </c>
      <c r="CJ99" s="26">
        <f t="shared" si="47"/>
        <v>0.92500000000000004</v>
      </c>
      <c r="CK99" s="26">
        <f t="shared" si="47"/>
        <v>0.93</v>
      </c>
      <c r="CL99" s="26">
        <f t="shared" si="47"/>
        <v>0.93500000000000005</v>
      </c>
      <c r="CM99" s="26">
        <f t="shared" si="47"/>
        <v>0.94</v>
      </c>
      <c r="CN99" s="26">
        <f t="shared" si="47"/>
        <v>0.94499999999999995</v>
      </c>
      <c r="CO99" s="26">
        <f t="shared" si="47"/>
        <v>0.95</v>
      </c>
      <c r="CP99" s="26">
        <f t="shared" si="47"/>
        <v>0.95499999999999996</v>
      </c>
      <c r="CQ99" s="26">
        <f t="shared" si="47"/>
        <v>0.96</v>
      </c>
      <c r="CR99" s="26">
        <f t="shared" si="48"/>
        <v>0.96499999999999997</v>
      </c>
      <c r="CS99" s="26">
        <f t="shared" si="48"/>
        <v>0.97</v>
      </c>
      <c r="CT99" s="26">
        <f t="shared" si="48"/>
        <v>0.97499999999999998</v>
      </c>
      <c r="CU99" s="26">
        <f t="shared" si="48"/>
        <v>0.98</v>
      </c>
      <c r="CV99" s="26">
        <f t="shared" si="48"/>
        <v>0.98499999999999999</v>
      </c>
      <c r="CW99" s="26">
        <f t="shared" si="48"/>
        <v>0.99</v>
      </c>
    </row>
    <row r="100" spans="2:101" ht="20.100000000000001" customHeight="1">
      <c r="B100" s="26">
        <f t="shared" si="53"/>
        <v>0.5</v>
      </c>
      <c r="C100" s="26">
        <f t="shared" si="53"/>
        <v>0.505</v>
      </c>
      <c r="D100" s="26">
        <f t="shared" si="53"/>
        <v>0.51</v>
      </c>
      <c r="E100" s="26">
        <f t="shared" si="53"/>
        <v>0.51500000000000001</v>
      </c>
      <c r="F100" s="26">
        <f t="shared" si="53"/>
        <v>0.52</v>
      </c>
      <c r="G100" s="26">
        <f t="shared" si="53"/>
        <v>0.52500000000000002</v>
      </c>
      <c r="H100" s="26">
        <f t="shared" si="53"/>
        <v>0.53</v>
      </c>
      <c r="I100" s="26">
        <f t="shared" si="53"/>
        <v>0.53500000000000003</v>
      </c>
      <c r="J100" s="26">
        <f t="shared" si="53"/>
        <v>0.54</v>
      </c>
      <c r="K100" s="26">
        <f t="shared" si="53"/>
        <v>0.54500000000000004</v>
      </c>
      <c r="L100" s="26">
        <f t="shared" si="53"/>
        <v>0.55000000000000004</v>
      </c>
      <c r="M100" s="26">
        <f t="shared" si="53"/>
        <v>0.55500000000000005</v>
      </c>
      <c r="N100" s="26">
        <f t="shared" si="53"/>
        <v>0.56000000000000005</v>
      </c>
      <c r="O100" s="26">
        <f t="shared" si="53"/>
        <v>0.56499999999999995</v>
      </c>
      <c r="P100" s="26">
        <f t="shared" si="53"/>
        <v>0.56999999999999995</v>
      </c>
      <c r="Q100" s="26">
        <f t="shared" si="50"/>
        <v>0.57499999999999996</v>
      </c>
      <c r="R100" s="26">
        <f t="shared" si="50"/>
        <v>0.57999999999999996</v>
      </c>
      <c r="S100" s="26">
        <f t="shared" si="50"/>
        <v>0.58499999999999996</v>
      </c>
      <c r="T100" s="26">
        <f t="shared" si="50"/>
        <v>0.59</v>
      </c>
      <c r="U100" s="26">
        <f t="shared" si="50"/>
        <v>0.59499999999999997</v>
      </c>
      <c r="V100" s="26">
        <f t="shared" si="50"/>
        <v>0.6</v>
      </c>
      <c r="W100" s="26">
        <f t="shared" si="50"/>
        <v>0.60499999999999998</v>
      </c>
      <c r="X100" s="26">
        <f t="shared" si="50"/>
        <v>0.61</v>
      </c>
      <c r="Y100" s="26">
        <f t="shared" si="50"/>
        <v>0.61499999999999999</v>
      </c>
      <c r="Z100" s="26">
        <f t="shared" si="50"/>
        <v>0.62</v>
      </c>
      <c r="AA100" s="26">
        <f t="shared" si="50"/>
        <v>0.625</v>
      </c>
      <c r="AB100" s="26">
        <f t="shared" si="50"/>
        <v>0.63</v>
      </c>
      <c r="AC100" s="26">
        <f t="shared" si="50"/>
        <v>0.63500000000000001</v>
      </c>
      <c r="AD100" s="26">
        <f t="shared" si="50"/>
        <v>0.64</v>
      </c>
      <c r="AE100" s="26">
        <f t="shared" si="50"/>
        <v>0.64500000000000002</v>
      </c>
      <c r="AF100" s="26">
        <f t="shared" si="50"/>
        <v>0.65</v>
      </c>
      <c r="AG100" s="26">
        <f t="shared" si="51"/>
        <v>0.65500000000000003</v>
      </c>
      <c r="AH100" s="26">
        <f t="shared" si="49"/>
        <v>0.66</v>
      </c>
      <c r="AI100" s="26">
        <f t="shared" si="49"/>
        <v>0.66500000000000004</v>
      </c>
      <c r="AJ100" s="26">
        <f t="shared" si="49"/>
        <v>0.67</v>
      </c>
      <c r="AK100" s="26">
        <f t="shared" si="49"/>
        <v>0.67500000000000004</v>
      </c>
      <c r="AL100" s="26">
        <f t="shared" si="49"/>
        <v>0.68</v>
      </c>
      <c r="AM100" s="26">
        <f t="shared" si="49"/>
        <v>0.68500000000000005</v>
      </c>
      <c r="AN100" s="26">
        <f t="shared" si="49"/>
        <v>0.69</v>
      </c>
      <c r="AO100" s="26">
        <f t="shared" si="49"/>
        <v>0.69499999999999995</v>
      </c>
      <c r="AP100" s="26">
        <f t="shared" si="49"/>
        <v>0.7</v>
      </c>
      <c r="AQ100" s="26">
        <f t="shared" si="49"/>
        <v>0.70499999999999996</v>
      </c>
      <c r="AR100" s="26">
        <f t="shared" si="49"/>
        <v>0.71</v>
      </c>
      <c r="AS100" s="26">
        <f t="shared" si="49"/>
        <v>0.71499999999999997</v>
      </c>
      <c r="AT100" s="26">
        <f t="shared" si="49"/>
        <v>0.72</v>
      </c>
      <c r="AU100" s="26">
        <f t="shared" si="49"/>
        <v>0.72499999999999998</v>
      </c>
      <c r="AV100" s="26">
        <f t="shared" si="49"/>
        <v>0.73</v>
      </c>
      <c r="AW100" s="26">
        <f t="shared" si="49"/>
        <v>0.73499999999999999</v>
      </c>
      <c r="AX100" s="26">
        <f t="shared" si="52"/>
        <v>0.74</v>
      </c>
      <c r="AY100" s="26">
        <f t="shared" si="52"/>
        <v>0.745</v>
      </c>
      <c r="AZ100" s="26">
        <f t="shared" si="52"/>
        <v>0.75</v>
      </c>
      <c r="BA100" s="26">
        <f t="shared" si="52"/>
        <v>0.755</v>
      </c>
      <c r="BB100" s="26">
        <f t="shared" si="52"/>
        <v>0.76</v>
      </c>
      <c r="BC100" s="26">
        <f t="shared" si="52"/>
        <v>0.76500000000000001</v>
      </c>
      <c r="BD100" s="26">
        <f t="shared" si="52"/>
        <v>0.77</v>
      </c>
      <c r="BE100" s="26">
        <f t="shared" si="52"/>
        <v>0.77500000000000002</v>
      </c>
      <c r="BF100" s="26">
        <f t="shared" si="52"/>
        <v>0.78</v>
      </c>
      <c r="BG100" s="26">
        <f t="shared" si="52"/>
        <v>0.78500000000000003</v>
      </c>
      <c r="BH100" s="26">
        <f t="shared" si="52"/>
        <v>0.79</v>
      </c>
      <c r="BI100" s="26">
        <f t="shared" si="52"/>
        <v>0.79500000000000004</v>
      </c>
      <c r="BJ100" s="26">
        <f t="shared" si="52"/>
        <v>0.8</v>
      </c>
      <c r="BK100" s="26">
        <f t="shared" si="52"/>
        <v>0.80500000000000005</v>
      </c>
      <c r="BL100" s="26">
        <f t="shared" si="46"/>
        <v>0.81</v>
      </c>
      <c r="BM100" s="26">
        <f t="shared" si="46"/>
        <v>0.81499999999999995</v>
      </c>
      <c r="BN100" s="26">
        <f t="shared" si="46"/>
        <v>0.82</v>
      </c>
      <c r="BO100" s="26">
        <f t="shared" si="46"/>
        <v>0.82499999999999996</v>
      </c>
      <c r="BP100" s="26">
        <f t="shared" si="46"/>
        <v>0.83</v>
      </c>
      <c r="BQ100" s="26">
        <f t="shared" si="46"/>
        <v>0.83499999999999996</v>
      </c>
      <c r="BR100" s="26">
        <f t="shared" si="46"/>
        <v>0.84</v>
      </c>
      <c r="BS100" s="26">
        <f t="shared" si="46"/>
        <v>0.84499999999999997</v>
      </c>
      <c r="BT100" s="26">
        <f t="shared" si="46"/>
        <v>0.85</v>
      </c>
      <c r="BU100" s="26">
        <f t="shared" si="46"/>
        <v>0.85499999999999998</v>
      </c>
      <c r="BV100" s="26">
        <f t="shared" si="46"/>
        <v>0.86</v>
      </c>
      <c r="BW100" s="26">
        <f t="shared" si="46"/>
        <v>0.86499999999999999</v>
      </c>
      <c r="BX100" s="26">
        <f t="shared" si="46"/>
        <v>0.87</v>
      </c>
      <c r="BY100" s="26">
        <f t="shared" si="46"/>
        <v>0.875</v>
      </c>
      <c r="BZ100" s="26">
        <f t="shared" si="46"/>
        <v>0.88</v>
      </c>
      <c r="CA100" s="26">
        <f t="shared" si="46"/>
        <v>0.88500000000000001</v>
      </c>
      <c r="CB100" s="26">
        <f t="shared" si="47"/>
        <v>0.89</v>
      </c>
      <c r="CC100" s="26">
        <f t="shared" si="47"/>
        <v>0.89500000000000002</v>
      </c>
      <c r="CD100" s="26">
        <f t="shared" si="47"/>
        <v>0.9</v>
      </c>
      <c r="CE100" s="26">
        <f t="shared" si="47"/>
        <v>0.90500000000000003</v>
      </c>
      <c r="CF100" s="26">
        <f t="shared" si="47"/>
        <v>0.91</v>
      </c>
      <c r="CG100" s="26">
        <f t="shared" si="47"/>
        <v>0.91500000000000004</v>
      </c>
      <c r="CH100" s="26">
        <f t="shared" si="47"/>
        <v>0.92</v>
      </c>
      <c r="CI100" s="26">
        <f t="shared" si="47"/>
        <v>0.92500000000000004</v>
      </c>
      <c r="CJ100" s="26">
        <f t="shared" si="47"/>
        <v>0.93</v>
      </c>
      <c r="CK100" s="26">
        <f t="shared" si="47"/>
        <v>0.93500000000000005</v>
      </c>
      <c r="CL100" s="26">
        <f t="shared" si="47"/>
        <v>0.94</v>
      </c>
      <c r="CM100" s="26">
        <f t="shared" si="47"/>
        <v>0.94499999999999995</v>
      </c>
      <c r="CN100" s="26">
        <f t="shared" si="47"/>
        <v>0.95</v>
      </c>
      <c r="CO100" s="26">
        <f t="shared" si="47"/>
        <v>0.95499999999999996</v>
      </c>
      <c r="CP100" s="26">
        <f t="shared" si="47"/>
        <v>0.96</v>
      </c>
      <c r="CQ100" s="26">
        <f t="shared" si="47"/>
        <v>0.96499999999999997</v>
      </c>
      <c r="CR100" s="26">
        <f t="shared" si="48"/>
        <v>0.97</v>
      </c>
      <c r="CS100" s="26">
        <f t="shared" si="48"/>
        <v>0.97499999999999998</v>
      </c>
      <c r="CT100" s="26">
        <f t="shared" si="48"/>
        <v>0.98</v>
      </c>
      <c r="CU100" s="26">
        <f t="shared" si="48"/>
        <v>0.98499999999999999</v>
      </c>
      <c r="CV100" s="26">
        <f t="shared" si="48"/>
        <v>0.99</v>
      </c>
      <c r="CW100" s="26">
        <f t="shared" si="48"/>
        <v>0.995</v>
      </c>
    </row>
    <row r="101" spans="2:101" ht="20.100000000000001" customHeight="1">
      <c r="B101" s="26">
        <f t="shared" si="53"/>
        <v>0.505</v>
      </c>
      <c r="C101" s="26">
        <f t="shared" si="53"/>
        <v>0.51</v>
      </c>
      <c r="D101" s="26">
        <f t="shared" si="53"/>
        <v>0.51500000000000001</v>
      </c>
      <c r="E101" s="26">
        <f t="shared" si="53"/>
        <v>0.52</v>
      </c>
      <c r="F101" s="26">
        <f t="shared" si="53"/>
        <v>0.52500000000000002</v>
      </c>
      <c r="G101" s="26">
        <f t="shared" si="53"/>
        <v>0.53</v>
      </c>
      <c r="H101" s="26">
        <f t="shared" si="53"/>
        <v>0.53500000000000003</v>
      </c>
      <c r="I101" s="26">
        <f t="shared" si="53"/>
        <v>0.54</v>
      </c>
      <c r="J101" s="26">
        <f t="shared" si="53"/>
        <v>0.54500000000000004</v>
      </c>
      <c r="K101" s="26">
        <f t="shared" si="53"/>
        <v>0.55000000000000004</v>
      </c>
      <c r="L101" s="26">
        <f t="shared" si="53"/>
        <v>0.55500000000000005</v>
      </c>
      <c r="M101" s="26">
        <f t="shared" si="53"/>
        <v>0.56000000000000005</v>
      </c>
      <c r="N101" s="26">
        <f t="shared" si="53"/>
        <v>0.56499999999999995</v>
      </c>
      <c r="O101" s="26">
        <f t="shared" si="53"/>
        <v>0.56999999999999995</v>
      </c>
      <c r="P101" s="26">
        <f t="shared" si="53"/>
        <v>0.57499999999999996</v>
      </c>
      <c r="Q101" s="26">
        <f t="shared" si="50"/>
        <v>0.57999999999999996</v>
      </c>
      <c r="R101" s="26">
        <f t="shared" si="50"/>
        <v>0.58499999999999996</v>
      </c>
      <c r="S101" s="26">
        <f t="shared" si="50"/>
        <v>0.59</v>
      </c>
      <c r="T101" s="26">
        <f t="shared" si="50"/>
        <v>0.59499999999999997</v>
      </c>
      <c r="U101" s="26">
        <f t="shared" si="50"/>
        <v>0.6</v>
      </c>
      <c r="V101" s="26">
        <f t="shared" si="50"/>
        <v>0.60499999999999998</v>
      </c>
      <c r="W101" s="26">
        <f t="shared" si="50"/>
        <v>0.61</v>
      </c>
      <c r="X101" s="26">
        <f t="shared" si="50"/>
        <v>0.61499999999999999</v>
      </c>
      <c r="Y101" s="26">
        <f t="shared" si="50"/>
        <v>0.62</v>
      </c>
      <c r="Z101" s="26">
        <f t="shared" si="50"/>
        <v>0.625</v>
      </c>
      <c r="AA101" s="26">
        <f t="shared" si="50"/>
        <v>0.63</v>
      </c>
      <c r="AB101" s="26">
        <f t="shared" si="50"/>
        <v>0.63500000000000001</v>
      </c>
      <c r="AC101" s="26">
        <f t="shared" si="50"/>
        <v>0.64</v>
      </c>
      <c r="AD101" s="26">
        <f t="shared" si="50"/>
        <v>0.64500000000000002</v>
      </c>
      <c r="AE101" s="26">
        <f t="shared" si="50"/>
        <v>0.65</v>
      </c>
      <c r="AF101" s="26">
        <f t="shared" si="50"/>
        <v>0.65500000000000003</v>
      </c>
      <c r="AG101" s="26">
        <f t="shared" si="51"/>
        <v>0.66</v>
      </c>
      <c r="AH101" s="26">
        <f t="shared" si="49"/>
        <v>0.66500000000000004</v>
      </c>
      <c r="AI101" s="26">
        <f t="shared" si="49"/>
        <v>0.67</v>
      </c>
      <c r="AJ101" s="26">
        <f t="shared" si="49"/>
        <v>0.67500000000000004</v>
      </c>
      <c r="AK101" s="26">
        <f t="shared" si="49"/>
        <v>0.68</v>
      </c>
      <c r="AL101" s="26">
        <f t="shared" si="49"/>
        <v>0.68500000000000005</v>
      </c>
      <c r="AM101" s="26">
        <f t="shared" si="49"/>
        <v>0.69</v>
      </c>
      <c r="AN101" s="26">
        <f t="shared" si="49"/>
        <v>0.69499999999999995</v>
      </c>
      <c r="AO101" s="26">
        <f t="shared" si="49"/>
        <v>0.7</v>
      </c>
      <c r="AP101" s="26">
        <f t="shared" si="49"/>
        <v>0.70499999999999996</v>
      </c>
      <c r="AQ101" s="26">
        <f t="shared" si="49"/>
        <v>0.71</v>
      </c>
      <c r="AR101" s="26">
        <f t="shared" si="49"/>
        <v>0.71499999999999997</v>
      </c>
      <c r="AS101" s="26">
        <f t="shared" si="49"/>
        <v>0.72</v>
      </c>
      <c r="AT101" s="26">
        <f t="shared" si="49"/>
        <v>0.72499999999999998</v>
      </c>
      <c r="AU101" s="26">
        <f t="shared" si="49"/>
        <v>0.73</v>
      </c>
      <c r="AV101" s="26">
        <f t="shared" si="49"/>
        <v>0.73499999999999999</v>
      </c>
      <c r="AW101" s="26">
        <f t="shared" si="49"/>
        <v>0.74</v>
      </c>
      <c r="AX101" s="26">
        <f t="shared" si="52"/>
        <v>0.745</v>
      </c>
      <c r="AY101" s="26">
        <f t="shared" si="52"/>
        <v>0.75</v>
      </c>
      <c r="AZ101" s="26">
        <f t="shared" si="52"/>
        <v>0.755</v>
      </c>
      <c r="BA101" s="26">
        <f t="shared" si="52"/>
        <v>0.76</v>
      </c>
      <c r="BB101" s="26">
        <f t="shared" si="52"/>
        <v>0.76500000000000001</v>
      </c>
      <c r="BC101" s="26">
        <f t="shared" si="52"/>
        <v>0.77</v>
      </c>
      <c r="BD101" s="26">
        <f t="shared" si="52"/>
        <v>0.77500000000000002</v>
      </c>
      <c r="BE101" s="26">
        <f t="shared" si="52"/>
        <v>0.78</v>
      </c>
      <c r="BF101" s="26">
        <f t="shared" si="52"/>
        <v>0.78500000000000003</v>
      </c>
      <c r="BG101" s="26">
        <f t="shared" si="52"/>
        <v>0.79</v>
      </c>
      <c r="BH101" s="26">
        <f t="shared" si="52"/>
        <v>0.79500000000000004</v>
      </c>
      <c r="BI101" s="26">
        <f t="shared" si="52"/>
        <v>0.8</v>
      </c>
      <c r="BJ101" s="26">
        <f t="shared" si="52"/>
        <v>0.80500000000000005</v>
      </c>
      <c r="BK101" s="26">
        <f t="shared" si="52"/>
        <v>0.81</v>
      </c>
      <c r="BL101" s="26">
        <f t="shared" si="46"/>
        <v>0.81499999999999995</v>
      </c>
      <c r="BM101" s="26">
        <f t="shared" si="46"/>
        <v>0.82</v>
      </c>
      <c r="BN101" s="26">
        <f t="shared" si="46"/>
        <v>0.82499999999999996</v>
      </c>
      <c r="BO101" s="26">
        <f t="shared" si="46"/>
        <v>0.83</v>
      </c>
      <c r="BP101" s="26">
        <f t="shared" si="46"/>
        <v>0.83499999999999996</v>
      </c>
      <c r="BQ101" s="26">
        <f t="shared" si="46"/>
        <v>0.84</v>
      </c>
      <c r="BR101" s="26">
        <f t="shared" si="46"/>
        <v>0.84499999999999997</v>
      </c>
      <c r="BS101" s="26">
        <f t="shared" si="46"/>
        <v>0.85</v>
      </c>
      <c r="BT101" s="26">
        <f t="shared" si="46"/>
        <v>0.85499999999999998</v>
      </c>
      <c r="BU101" s="26">
        <f t="shared" si="46"/>
        <v>0.86</v>
      </c>
      <c r="BV101" s="26">
        <f t="shared" si="46"/>
        <v>0.86499999999999999</v>
      </c>
      <c r="BW101" s="26">
        <f t="shared" si="46"/>
        <v>0.87</v>
      </c>
      <c r="BX101" s="26">
        <f t="shared" si="46"/>
        <v>0.875</v>
      </c>
      <c r="BY101" s="26">
        <f t="shared" si="46"/>
        <v>0.88</v>
      </c>
      <c r="BZ101" s="26">
        <f t="shared" si="46"/>
        <v>0.88500000000000001</v>
      </c>
      <c r="CA101" s="26">
        <f t="shared" si="46"/>
        <v>0.89</v>
      </c>
      <c r="CB101" s="26">
        <f t="shared" si="47"/>
        <v>0.89500000000000002</v>
      </c>
      <c r="CC101" s="26">
        <f t="shared" si="47"/>
        <v>0.9</v>
      </c>
      <c r="CD101" s="26">
        <f t="shared" si="47"/>
        <v>0.90500000000000003</v>
      </c>
      <c r="CE101" s="26">
        <f t="shared" si="47"/>
        <v>0.91</v>
      </c>
      <c r="CF101" s="26">
        <f t="shared" si="47"/>
        <v>0.91500000000000004</v>
      </c>
      <c r="CG101" s="26">
        <f t="shared" si="47"/>
        <v>0.92</v>
      </c>
      <c r="CH101" s="26">
        <f t="shared" si="47"/>
        <v>0.92500000000000004</v>
      </c>
      <c r="CI101" s="26">
        <f t="shared" si="47"/>
        <v>0.93</v>
      </c>
      <c r="CJ101" s="26">
        <f t="shared" si="47"/>
        <v>0.93500000000000005</v>
      </c>
      <c r="CK101" s="26">
        <f t="shared" si="47"/>
        <v>0.94</v>
      </c>
      <c r="CL101" s="26">
        <f t="shared" si="47"/>
        <v>0.94499999999999995</v>
      </c>
      <c r="CM101" s="26">
        <f t="shared" si="47"/>
        <v>0.95</v>
      </c>
      <c r="CN101" s="26">
        <f t="shared" si="47"/>
        <v>0.95499999999999996</v>
      </c>
      <c r="CO101" s="26">
        <f t="shared" si="47"/>
        <v>0.96</v>
      </c>
      <c r="CP101" s="26">
        <f t="shared" si="47"/>
        <v>0.96499999999999997</v>
      </c>
      <c r="CQ101" s="26">
        <f t="shared" si="47"/>
        <v>0.97</v>
      </c>
      <c r="CR101" s="26">
        <f t="shared" si="48"/>
        <v>0.97499999999999998</v>
      </c>
      <c r="CS101" s="26">
        <f t="shared" si="48"/>
        <v>0.98</v>
      </c>
      <c r="CT101" s="26">
        <f t="shared" si="48"/>
        <v>0.98499999999999999</v>
      </c>
      <c r="CU101" s="26">
        <f t="shared" si="48"/>
        <v>0.99</v>
      </c>
      <c r="CV101" s="26">
        <f t="shared" si="48"/>
        <v>0.995</v>
      </c>
      <c r="CW101" s="26">
        <f t="shared" si="48"/>
        <v>1</v>
      </c>
    </row>
  </sheetData>
  <conditionalFormatting sqref="B2:CW101">
    <cfRule type="colorScale" priority="1">
      <colorScale>
        <cfvo type="min"/>
        <cfvo type="percentile" val="50"/>
        <cfvo type="max"/>
        <color theme="6" tint="-0.499984740745262"/>
        <color theme="2" tint="-0.499984740745262"/>
        <color theme="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0D9E-29D5-4048-B58C-A4C71C8AFB2E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47CD-A5C4-4C68-9368-209841020A17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a34e98-a348-4e4d-a03a-92d18d4f147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9784483E442646AC3B87276CE2D71E" ma:contentTypeVersion="15" ma:contentTypeDescription="Create a new document." ma:contentTypeScope="" ma:versionID="6d3fd11af7179fb799710023a86c7357">
  <xsd:schema xmlns:xsd="http://www.w3.org/2001/XMLSchema" xmlns:xs="http://www.w3.org/2001/XMLSchema" xmlns:p="http://schemas.microsoft.com/office/2006/metadata/properties" xmlns:ns3="a8a34e98-a348-4e4d-a03a-92d18d4f1478" xmlns:ns4="f930dae6-9eec-4ca9-85e3-09838b61cb6d" targetNamespace="http://schemas.microsoft.com/office/2006/metadata/properties" ma:root="true" ma:fieldsID="4367bc3690ee242cb5466503e16ffa2f" ns3:_="" ns4:_="">
    <xsd:import namespace="a8a34e98-a348-4e4d-a03a-92d18d4f1478"/>
    <xsd:import namespace="f930dae6-9eec-4ca9-85e3-09838b61c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4e98-a348-4e4d-a03a-92d18d4f14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30dae6-9eec-4ca9-85e3-09838b61cb6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0892DD-4661-462F-8071-DC4DD2F95465}"/>
</file>

<file path=customXml/itemProps2.xml><?xml version="1.0" encoding="utf-8"?>
<ds:datastoreItem xmlns:ds="http://schemas.openxmlformats.org/officeDocument/2006/customXml" ds:itemID="{3F214F7B-91BE-43F1-92F6-B5EF287540A5}"/>
</file>

<file path=customXml/itemProps3.xml><?xml version="1.0" encoding="utf-8"?>
<ds:datastoreItem xmlns:ds="http://schemas.openxmlformats.org/officeDocument/2006/customXml" ds:itemID="{C0475947-684C-4C9D-BD55-C953923E4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Myles Jordan MacPherson</dc:creator>
  <cp:keywords/>
  <dc:description/>
  <cp:lastModifiedBy/>
  <cp:revision/>
  <dcterms:created xsi:type="dcterms:W3CDTF">2025-09-29T13:23:18Z</dcterms:created>
  <dcterms:modified xsi:type="dcterms:W3CDTF">2026-03-11T19:23:38Z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0x010100819784483E442646AC3B87276CE2D71E</vt:lpwstr>
  </property>
</Properties>
</file>